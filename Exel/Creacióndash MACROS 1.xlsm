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e_12\Downloads\"/>
    </mc:Choice>
  </mc:AlternateContent>
  <xr:revisionPtr revIDLastSave="0" documentId="8_{562E3E4F-860D-4298-A569-BE6527F3080A}" xr6:coauthVersionLast="47" xr6:coauthVersionMax="47" xr10:uidLastSave="{00000000-0000-0000-0000-000000000000}"/>
  <bookViews>
    <workbookView xWindow="-110" yWindow="-110" windowWidth="19420" windowHeight="10300" activeTab="4" xr2:uid="{6EC5D297-0208-415E-AEE5-F7241C6CD591}"/>
  </bookViews>
  <sheets>
    <sheet name="Principal" sheetId="6" r:id="rId1"/>
    <sheet name="Requerimientos" sheetId="7" r:id="rId2"/>
    <sheet name="Base de Datos" sheetId="1" r:id="rId3"/>
    <sheet name="Tablas Dinámicas" sheetId="3" r:id="rId4"/>
    <sheet name="Dashboard" sheetId="8" r:id="rId5"/>
  </sheets>
  <definedNames>
    <definedName name="_xlnm._FilterDatabase" localSheetId="2" hidden="1">'Base de Datos'!$B$6:$T$377</definedName>
    <definedName name="NativeTimeline_Fecha_de_orden2">#N/A</definedName>
    <definedName name="SegmentaciónDeDatos_Categoría">#N/A</definedName>
    <definedName name="SegmentaciónDeDatos_Region">#N/A</definedName>
  </definedNames>
  <calcPr calcId="191029"/>
  <pivotCaches>
    <pivotCache cacheId="8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7" i="1" l="1"/>
  <c r="D377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S377" i="1"/>
  <c r="L376" i="1"/>
  <c r="S376" i="1"/>
  <c r="S375" i="1"/>
  <c r="L375" i="1"/>
  <c r="S374" i="1"/>
  <c r="L374" i="1"/>
  <c r="S373" i="1"/>
  <c r="L373" i="1"/>
  <c r="S372" i="1"/>
  <c r="L372" i="1"/>
  <c r="S371" i="1"/>
  <c r="L371" i="1"/>
  <c r="S370" i="1"/>
  <c r="L370" i="1"/>
  <c r="S369" i="1"/>
  <c r="L369" i="1"/>
  <c r="S368" i="1"/>
  <c r="L368" i="1"/>
  <c r="S367" i="1"/>
  <c r="L367" i="1"/>
  <c r="S366" i="1"/>
  <c r="L366" i="1"/>
  <c r="S365" i="1"/>
  <c r="L365" i="1"/>
  <c r="S364" i="1"/>
  <c r="L364" i="1"/>
  <c r="S363" i="1"/>
  <c r="L363" i="1"/>
  <c r="S362" i="1"/>
  <c r="L362" i="1"/>
  <c r="S361" i="1"/>
  <c r="L361" i="1"/>
  <c r="S360" i="1"/>
  <c r="L360" i="1"/>
  <c r="S359" i="1"/>
  <c r="L359" i="1"/>
  <c r="S358" i="1"/>
  <c r="L358" i="1"/>
  <c r="S357" i="1"/>
  <c r="L357" i="1"/>
  <c r="S356" i="1"/>
  <c r="L356" i="1"/>
  <c r="S355" i="1"/>
  <c r="L355" i="1"/>
  <c r="S354" i="1"/>
  <c r="L354" i="1"/>
  <c r="S353" i="1"/>
  <c r="L353" i="1"/>
  <c r="S352" i="1"/>
  <c r="L352" i="1"/>
  <c r="S351" i="1"/>
  <c r="L351" i="1"/>
  <c r="S350" i="1"/>
  <c r="L350" i="1"/>
  <c r="S349" i="1"/>
  <c r="L349" i="1"/>
  <c r="S348" i="1"/>
  <c r="L348" i="1"/>
  <c r="S347" i="1"/>
  <c r="L347" i="1"/>
  <c r="S346" i="1"/>
  <c r="L346" i="1"/>
  <c r="S345" i="1"/>
  <c r="L345" i="1"/>
  <c r="S344" i="1"/>
  <c r="L344" i="1"/>
  <c r="S343" i="1"/>
  <c r="L343" i="1"/>
  <c r="S342" i="1"/>
  <c r="L342" i="1"/>
  <c r="S341" i="1"/>
  <c r="L341" i="1"/>
  <c r="S340" i="1"/>
  <c r="L340" i="1"/>
  <c r="S339" i="1"/>
  <c r="L339" i="1"/>
  <c r="S338" i="1"/>
  <c r="L338" i="1"/>
  <c r="S337" i="1"/>
  <c r="L337" i="1"/>
  <c r="S336" i="1"/>
  <c r="L336" i="1"/>
  <c r="S335" i="1"/>
  <c r="L335" i="1"/>
  <c r="S334" i="1"/>
  <c r="L334" i="1"/>
  <c r="S333" i="1"/>
  <c r="L333" i="1"/>
  <c r="S332" i="1"/>
  <c r="L332" i="1"/>
  <c r="S331" i="1"/>
  <c r="L331" i="1"/>
  <c r="S330" i="1"/>
  <c r="L330" i="1"/>
  <c r="S329" i="1"/>
  <c r="L329" i="1"/>
  <c r="S328" i="1"/>
  <c r="L328" i="1"/>
  <c r="S327" i="1"/>
  <c r="L327" i="1"/>
  <c r="S326" i="1"/>
  <c r="L326" i="1"/>
  <c r="S325" i="1"/>
  <c r="L325" i="1"/>
  <c r="S324" i="1"/>
  <c r="L324" i="1"/>
  <c r="S323" i="1"/>
  <c r="L323" i="1"/>
  <c r="S322" i="1"/>
  <c r="L322" i="1"/>
  <c r="S321" i="1"/>
  <c r="L321" i="1"/>
  <c r="S320" i="1"/>
  <c r="L320" i="1"/>
  <c r="S319" i="1"/>
  <c r="L319" i="1"/>
  <c r="S318" i="1"/>
  <c r="L318" i="1"/>
  <c r="S317" i="1"/>
  <c r="L317" i="1"/>
  <c r="S316" i="1"/>
  <c r="L316" i="1"/>
  <c r="S315" i="1"/>
  <c r="L315" i="1"/>
  <c r="S314" i="1"/>
  <c r="L314" i="1"/>
  <c r="S313" i="1"/>
  <c r="L313" i="1"/>
  <c r="S312" i="1"/>
  <c r="L312" i="1"/>
  <c r="S311" i="1"/>
  <c r="L311" i="1"/>
  <c r="S310" i="1"/>
  <c r="L310" i="1"/>
  <c r="S309" i="1"/>
  <c r="L309" i="1"/>
  <c r="S308" i="1"/>
  <c r="L308" i="1"/>
  <c r="S307" i="1"/>
  <c r="L307" i="1"/>
  <c r="S306" i="1"/>
  <c r="L306" i="1"/>
  <c r="S305" i="1"/>
  <c r="L305" i="1"/>
  <c r="S304" i="1"/>
  <c r="L304" i="1"/>
  <c r="S303" i="1"/>
  <c r="L303" i="1"/>
  <c r="S302" i="1"/>
  <c r="L302" i="1"/>
  <c r="S301" i="1"/>
  <c r="L301" i="1"/>
  <c r="S300" i="1"/>
  <c r="L300" i="1"/>
  <c r="S299" i="1"/>
  <c r="L299" i="1"/>
  <c r="S298" i="1"/>
  <c r="L298" i="1"/>
  <c r="S297" i="1"/>
  <c r="L297" i="1"/>
  <c r="S296" i="1"/>
  <c r="L296" i="1"/>
  <c r="S295" i="1"/>
  <c r="L295" i="1"/>
  <c r="S294" i="1"/>
  <c r="L294" i="1"/>
  <c r="S293" i="1"/>
  <c r="L293" i="1"/>
  <c r="S292" i="1"/>
  <c r="L292" i="1"/>
  <c r="S291" i="1"/>
  <c r="L291" i="1"/>
  <c r="S290" i="1"/>
  <c r="L290" i="1"/>
  <c r="S289" i="1"/>
  <c r="L289" i="1"/>
  <c r="S288" i="1"/>
  <c r="L288" i="1"/>
  <c r="S287" i="1"/>
  <c r="L287" i="1"/>
  <c r="S286" i="1"/>
  <c r="L286" i="1"/>
  <c r="S285" i="1"/>
  <c r="L285" i="1"/>
  <c r="S284" i="1"/>
  <c r="L284" i="1"/>
  <c r="S283" i="1"/>
  <c r="L283" i="1"/>
  <c r="S282" i="1"/>
  <c r="L282" i="1"/>
  <c r="S281" i="1"/>
  <c r="L281" i="1"/>
  <c r="S280" i="1"/>
  <c r="L280" i="1"/>
  <c r="S279" i="1"/>
  <c r="L279" i="1"/>
  <c r="S278" i="1"/>
  <c r="L278" i="1"/>
  <c r="S277" i="1"/>
  <c r="L277" i="1"/>
  <c r="S276" i="1"/>
  <c r="L276" i="1"/>
  <c r="S275" i="1"/>
  <c r="L275" i="1"/>
  <c r="S274" i="1"/>
  <c r="L274" i="1"/>
  <c r="S273" i="1"/>
  <c r="L273" i="1"/>
  <c r="S272" i="1"/>
  <c r="L272" i="1"/>
  <c r="S271" i="1"/>
  <c r="L271" i="1"/>
  <c r="S270" i="1"/>
  <c r="L270" i="1"/>
  <c r="S269" i="1"/>
  <c r="L269" i="1"/>
  <c r="S268" i="1"/>
  <c r="L268" i="1"/>
  <c r="S267" i="1"/>
  <c r="L267" i="1"/>
  <c r="S266" i="1"/>
  <c r="L266" i="1"/>
  <c r="S265" i="1"/>
  <c r="L265" i="1"/>
  <c r="S264" i="1"/>
  <c r="L264" i="1"/>
  <c r="S263" i="1"/>
  <c r="L263" i="1"/>
  <c r="S262" i="1"/>
  <c r="L262" i="1"/>
  <c r="S261" i="1"/>
  <c r="L261" i="1"/>
  <c r="S260" i="1"/>
  <c r="L260" i="1"/>
  <c r="S259" i="1"/>
  <c r="L259" i="1"/>
  <c r="S258" i="1"/>
  <c r="L258" i="1"/>
  <c r="S257" i="1"/>
  <c r="L257" i="1"/>
  <c r="S256" i="1"/>
  <c r="L256" i="1"/>
  <c r="S255" i="1"/>
  <c r="L255" i="1"/>
  <c r="S254" i="1"/>
  <c r="L254" i="1"/>
  <c r="S253" i="1"/>
  <c r="L253" i="1"/>
  <c r="S252" i="1"/>
  <c r="L252" i="1"/>
  <c r="S251" i="1"/>
  <c r="L251" i="1"/>
  <c r="S250" i="1"/>
  <c r="L250" i="1"/>
  <c r="S249" i="1"/>
  <c r="L249" i="1"/>
  <c r="S248" i="1"/>
  <c r="L248" i="1"/>
  <c r="S247" i="1"/>
  <c r="L247" i="1"/>
  <c r="S246" i="1"/>
  <c r="L246" i="1"/>
  <c r="S245" i="1"/>
  <c r="L245" i="1"/>
  <c r="S244" i="1"/>
  <c r="L244" i="1"/>
  <c r="S243" i="1"/>
  <c r="L243" i="1"/>
  <c r="S242" i="1"/>
  <c r="L242" i="1"/>
  <c r="S241" i="1"/>
  <c r="L241" i="1"/>
  <c r="S240" i="1"/>
  <c r="L240" i="1"/>
  <c r="S239" i="1"/>
  <c r="L239" i="1"/>
  <c r="S238" i="1"/>
  <c r="L238" i="1"/>
  <c r="S237" i="1"/>
  <c r="L237" i="1"/>
  <c r="S236" i="1"/>
  <c r="L236" i="1"/>
  <c r="S235" i="1"/>
  <c r="L235" i="1"/>
  <c r="S234" i="1"/>
  <c r="L234" i="1"/>
  <c r="S233" i="1"/>
  <c r="L233" i="1"/>
  <c r="S232" i="1"/>
  <c r="L232" i="1"/>
  <c r="S231" i="1"/>
  <c r="L231" i="1"/>
  <c r="S230" i="1"/>
  <c r="L230" i="1"/>
  <c r="S229" i="1"/>
  <c r="L229" i="1"/>
  <c r="S228" i="1"/>
  <c r="L228" i="1"/>
  <c r="S227" i="1"/>
  <c r="L227" i="1"/>
  <c r="S226" i="1"/>
  <c r="L226" i="1"/>
  <c r="S225" i="1"/>
  <c r="L225" i="1"/>
  <c r="S224" i="1"/>
  <c r="L224" i="1"/>
  <c r="S223" i="1"/>
  <c r="L223" i="1"/>
  <c r="S222" i="1"/>
  <c r="L222" i="1"/>
  <c r="S221" i="1"/>
  <c r="L221" i="1"/>
  <c r="S220" i="1"/>
  <c r="L220" i="1"/>
  <c r="S219" i="1"/>
  <c r="L219" i="1"/>
  <c r="S218" i="1"/>
  <c r="L218" i="1"/>
  <c r="S217" i="1"/>
  <c r="L217" i="1"/>
  <c r="S216" i="1"/>
  <c r="L216" i="1"/>
  <c r="S215" i="1"/>
  <c r="L215" i="1"/>
  <c r="S214" i="1"/>
  <c r="L214" i="1"/>
  <c r="S213" i="1"/>
  <c r="L213" i="1"/>
  <c r="S212" i="1"/>
  <c r="L212" i="1"/>
  <c r="S211" i="1"/>
  <c r="L211" i="1"/>
  <c r="S210" i="1"/>
  <c r="L210" i="1"/>
  <c r="S209" i="1"/>
  <c r="L209" i="1"/>
  <c r="S208" i="1"/>
  <c r="L208" i="1"/>
  <c r="S207" i="1"/>
  <c r="L207" i="1"/>
  <c r="S206" i="1"/>
  <c r="L206" i="1"/>
  <c r="S205" i="1"/>
  <c r="L205" i="1"/>
  <c r="S204" i="1"/>
  <c r="L204" i="1"/>
  <c r="S203" i="1"/>
  <c r="L203" i="1"/>
  <c r="S202" i="1"/>
  <c r="L202" i="1"/>
  <c r="S201" i="1"/>
  <c r="L201" i="1"/>
  <c r="S200" i="1"/>
  <c r="L200" i="1"/>
  <c r="S199" i="1"/>
  <c r="L199" i="1"/>
  <c r="S198" i="1"/>
  <c r="L198" i="1"/>
  <c r="S197" i="1"/>
  <c r="L197" i="1"/>
  <c r="S196" i="1"/>
  <c r="L196" i="1"/>
  <c r="S195" i="1"/>
  <c r="L195" i="1"/>
  <c r="S194" i="1"/>
  <c r="L194" i="1"/>
  <c r="S193" i="1"/>
  <c r="L193" i="1"/>
  <c r="S192" i="1"/>
  <c r="L192" i="1"/>
  <c r="S191" i="1"/>
  <c r="L191" i="1"/>
  <c r="S190" i="1"/>
  <c r="L190" i="1"/>
  <c r="S189" i="1"/>
  <c r="L189" i="1"/>
  <c r="S188" i="1"/>
  <c r="L188" i="1"/>
  <c r="S187" i="1"/>
  <c r="L187" i="1"/>
  <c r="S186" i="1"/>
  <c r="L186" i="1"/>
  <c r="S185" i="1"/>
  <c r="L185" i="1"/>
  <c r="S184" i="1"/>
  <c r="L184" i="1"/>
  <c r="S183" i="1"/>
  <c r="L183" i="1"/>
  <c r="S182" i="1"/>
  <c r="L182" i="1"/>
  <c r="S181" i="1"/>
  <c r="L181" i="1"/>
  <c r="S180" i="1"/>
  <c r="L180" i="1"/>
  <c r="S179" i="1"/>
  <c r="L179" i="1"/>
  <c r="S178" i="1"/>
  <c r="L178" i="1"/>
  <c r="S177" i="1"/>
  <c r="L177" i="1"/>
  <c r="S176" i="1"/>
  <c r="L176" i="1"/>
  <c r="S175" i="1"/>
  <c r="L175" i="1"/>
  <c r="S174" i="1"/>
  <c r="L174" i="1"/>
  <c r="S173" i="1"/>
  <c r="L173" i="1"/>
  <c r="S172" i="1"/>
  <c r="L172" i="1"/>
  <c r="S171" i="1"/>
  <c r="L171" i="1"/>
  <c r="S170" i="1"/>
  <c r="L170" i="1"/>
  <c r="S169" i="1"/>
  <c r="L169" i="1"/>
  <c r="S168" i="1"/>
  <c r="L168" i="1"/>
  <c r="S167" i="1"/>
  <c r="L167" i="1"/>
  <c r="S166" i="1"/>
  <c r="L166" i="1"/>
  <c r="S165" i="1"/>
  <c r="L165" i="1"/>
  <c r="S164" i="1"/>
  <c r="L164" i="1"/>
  <c r="S163" i="1"/>
  <c r="L163" i="1"/>
  <c r="S162" i="1"/>
  <c r="L162" i="1"/>
  <c r="S161" i="1"/>
  <c r="L161" i="1"/>
  <c r="S160" i="1"/>
  <c r="L160" i="1"/>
  <c r="S159" i="1"/>
  <c r="L159" i="1"/>
  <c r="S158" i="1"/>
  <c r="L158" i="1"/>
  <c r="S157" i="1"/>
  <c r="L157" i="1"/>
  <c r="S156" i="1"/>
  <c r="L156" i="1"/>
  <c r="S155" i="1"/>
  <c r="L155" i="1"/>
  <c r="S154" i="1"/>
  <c r="L154" i="1"/>
  <c r="S153" i="1"/>
  <c r="L153" i="1"/>
  <c r="S152" i="1"/>
  <c r="L152" i="1"/>
  <c r="S151" i="1"/>
  <c r="L151" i="1"/>
  <c r="S150" i="1"/>
  <c r="L150" i="1"/>
  <c r="S149" i="1"/>
  <c r="L149" i="1"/>
  <c r="S148" i="1"/>
  <c r="L148" i="1"/>
  <c r="S147" i="1"/>
  <c r="L147" i="1"/>
  <c r="S146" i="1"/>
  <c r="L146" i="1"/>
  <c r="S145" i="1"/>
  <c r="L145" i="1"/>
  <c r="S144" i="1"/>
  <c r="L144" i="1"/>
  <c r="S143" i="1"/>
  <c r="L143" i="1"/>
  <c r="S142" i="1"/>
  <c r="L142" i="1"/>
  <c r="S141" i="1"/>
  <c r="L141" i="1"/>
  <c r="S140" i="1"/>
  <c r="L140" i="1"/>
  <c r="S139" i="1"/>
  <c r="L139" i="1"/>
  <c r="S138" i="1"/>
  <c r="L138" i="1"/>
  <c r="S137" i="1"/>
  <c r="L137" i="1"/>
  <c r="S136" i="1"/>
  <c r="L136" i="1"/>
  <c r="S135" i="1"/>
  <c r="L135" i="1"/>
  <c r="S134" i="1"/>
  <c r="L134" i="1"/>
  <c r="S133" i="1"/>
  <c r="L133" i="1"/>
  <c r="S132" i="1"/>
  <c r="L132" i="1"/>
  <c r="S131" i="1"/>
  <c r="L131" i="1"/>
  <c r="S130" i="1"/>
  <c r="L130" i="1"/>
  <c r="S129" i="1"/>
  <c r="L129" i="1"/>
  <c r="S128" i="1"/>
  <c r="L128" i="1"/>
  <c r="S127" i="1"/>
  <c r="L127" i="1"/>
  <c r="S126" i="1"/>
  <c r="L126" i="1"/>
  <c r="S125" i="1"/>
  <c r="L125" i="1"/>
  <c r="S124" i="1"/>
  <c r="L124" i="1"/>
  <c r="S123" i="1"/>
  <c r="L123" i="1"/>
  <c r="S122" i="1"/>
  <c r="L122" i="1"/>
  <c r="S121" i="1"/>
  <c r="L121" i="1"/>
  <c r="S120" i="1"/>
  <c r="L120" i="1"/>
  <c r="S119" i="1"/>
  <c r="L119" i="1"/>
  <c r="S118" i="1"/>
  <c r="L118" i="1"/>
  <c r="S117" i="1"/>
  <c r="L117" i="1"/>
  <c r="S116" i="1"/>
  <c r="L116" i="1"/>
  <c r="S115" i="1"/>
  <c r="L115" i="1"/>
  <c r="S114" i="1"/>
  <c r="L114" i="1"/>
  <c r="S113" i="1"/>
  <c r="L113" i="1"/>
  <c r="S112" i="1"/>
  <c r="L112" i="1"/>
  <c r="S111" i="1"/>
  <c r="L111" i="1"/>
  <c r="S110" i="1"/>
  <c r="L110" i="1"/>
  <c r="S109" i="1"/>
  <c r="L109" i="1"/>
  <c r="S108" i="1"/>
  <c r="L108" i="1"/>
  <c r="S107" i="1"/>
  <c r="L107" i="1"/>
  <c r="S106" i="1"/>
  <c r="L106" i="1"/>
  <c r="S105" i="1"/>
  <c r="L105" i="1"/>
  <c r="S104" i="1"/>
  <c r="L104" i="1"/>
  <c r="S103" i="1"/>
  <c r="L103" i="1"/>
  <c r="S102" i="1"/>
  <c r="L102" i="1"/>
  <c r="S101" i="1"/>
  <c r="L101" i="1"/>
  <c r="S100" i="1"/>
  <c r="L100" i="1"/>
  <c r="S99" i="1"/>
  <c r="L99" i="1"/>
  <c r="S98" i="1"/>
  <c r="L98" i="1"/>
  <c r="S97" i="1"/>
  <c r="L97" i="1"/>
  <c r="S96" i="1"/>
  <c r="L96" i="1"/>
  <c r="S95" i="1"/>
  <c r="L95" i="1"/>
  <c r="S94" i="1"/>
  <c r="L94" i="1"/>
  <c r="S93" i="1"/>
  <c r="L93" i="1"/>
  <c r="S92" i="1"/>
  <c r="L92" i="1"/>
  <c r="S91" i="1"/>
  <c r="L91" i="1"/>
  <c r="S90" i="1"/>
  <c r="L90" i="1"/>
  <c r="S89" i="1"/>
  <c r="L89" i="1"/>
  <c r="S88" i="1"/>
  <c r="L88" i="1"/>
  <c r="S87" i="1"/>
  <c r="L87" i="1"/>
  <c r="S86" i="1"/>
  <c r="L86" i="1"/>
  <c r="S85" i="1"/>
  <c r="L85" i="1"/>
  <c r="S84" i="1"/>
  <c r="L84" i="1"/>
  <c r="S83" i="1"/>
  <c r="L83" i="1"/>
  <c r="S82" i="1"/>
  <c r="L82" i="1"/>
  <c r="S81" i="1"/>
  <c r="L81" i="1"/>
  <c r="S80" i="1"/>
  <c r="L80" i="1"/>
  <c r="S79" i="1"/>
  <c r="L79" i="1"/>
  <c r="S78" i="1"/>
  <c r="L78" i="1"/>
  <c r="S77" i="1"/>
  <c r="L77" i="1"/>
  <c r="S76" i="1"/>
  <c r="L76" i="1"/>
  <c r="S75" i="1"/>
  <c r="L75" i="1"/>
  <c r="S74" i="1"/>
  <c r="L74" i="1"/>
  <c r="S73" i="1"/>
  <c r="L73" i="1"/>
  <c r="S72" i="1"/>
  <c r="L72" i="1"/>
  <c r="S71" i="1"/>
  <c r="L71" i="1"/>
  <c r="S70" i="1"/>
  <c r="L70" i="1"/>
  <c r="S69" i="1"/>
  <c r="L69" i="1"/>
  <c r="S68" i="1"/>
  <c r="L68" i="1"/>
  <c r="S67" i="1"/>
  <c r="L67" i="1"/>
  <c r="S66" i="1"/>
  <c r="L66" i="1"/>
  <c r="S65" i="1"/>
  <c r="L65" i="1"/>
  <c r="S64" i="1"/>
  <c r="L64" i="1"/>
  <c r="S63" i="1"/>
  <c r="L63" i="1"/>
  <c r="S62" i="1"/>
  <c r="L62" i="1"/>
  <c r="S61" i="1"/>
  <c r="L61" i="1"/>
  <c r="S60" i="1"/>
  <c r="L60" i="1"/>
  <c r="S59" i="1"/>
  <c r="L59" i="1"/>
  <c r="S58" i="1"/>
  <c r="L58" i="1"/>
  <c r="S57" i="1"/>
  <c r="L57" i="1"/>
  <c r="S56" i="1"/>
  <c r="L56" i="1"/>
  <c r="S55" i="1"/>
  <c r="L55" i="1"/>
  <c r="S54" i="1"/>
  <c r="L54" i="1"/>
  <c r="S53" i="1"/>
  <c r="L53" i="1"/>
  <c r="S52" i="1"/>
  <c r="L52" i="1"/>
  <c r="S51" i="1"/>
  <c r="L51" i="1"/>
  <c r="S50" i="1"/>
  <c r="L50" i="1"/>
  <c r="S49" i="1"/>
  <c r="L49" i="1"/>
  <c r="S48" i="1"/>
  <c r="L48" i="1"/>
  <c r="S47" i="1"/>
  <c r="L47" i="1"/>
  <c r="S46" i="1"/>
  <c r="L46" i="1"/>
  <c r="S45" i="1"/>
  <c r="L45" i="1"/>
  <c r="S44" i="1"/>
  <c r="L44" i="1"/>
  <c r="S43" i="1"/>
  <c r="L43" i="1"/>
  <c r="S42" i="1"/>
  <c r="L42" i="1"/>
  <c r="S41" i="1"/>
  <c r="L41" i="1"/>
  <c r="S40" i="1"/>
  <c r="L40" i="1"/>
  <c r="S39" i="1"/>
  <c r="L39" i="1"/>
  <c r="S38" i="1"/>
  <c r="L38" i="1"/>
  <c r="S37" i="1"/>
  <c r="L37" i="1"/>
  <c r="S36" i="1"/>
  <c r="L36" i="1"/>
  <c r="S35" i="1"/>
  <c r="L35" i="1"/>
  <c r="S34" i="1"/>
  <c r="L34" i="1"/>
  <c r="S33" i="1"/>
  <c r="L33" i="1"/>
  <c r="S32" i="1"/>
  <c r="L32" i="1"/>
  <c r="S31" i="1"/>
  <c r="L31" i="1"/>
  <c r="S30" i="1"/>
  <c r="L30" i="1"/>
  <c r="S29" i="1"/>
  <c r="L29" i="1"/>
  <c r="S28" i="1"/>
  <c r="L28" i="1"/>
  <c r="S27" i="1"/>
  <c r="L27" i="1"/>
  <c r="S26" i="1"/>
  <c r="L26" i="1"/>
  <c r="S25" i="1"/>
  <c r="L25" i="1"/>
  <c r="S24" i="1"/>
  <c r="L24" i="1"/>
  <c r="S23" i="1"/>
  <c r="L23" i="1"/>
  <c r="S22" i="1"/>
  <c r="L22" i="1"/>
  <c r="S21" i="1"/>
  <c r="L21" i="1"/>
  <c r="S20" i="1"/>
  <c r="L20" i="1"/>
  <c r="S19" i="1"/>
  <c r="L19" i="1"/>
  <c r="S18" i="1"/>
  <c r="L18" i="1"/>
  <c r="S17" i="1"/>
  <c r="L17" i="1"/>
  <c r="S16" i="1"/>
  <c r="L16" i="1"/>
  <c r="S15" i="1"/>
  <c r="L15" i="1"/>
  <c r="S14" i="1"/>
  <c r="L14" i="1"/>
  <c r="S13" i="1"/>
  <c r="L13" i="1"/>
  <c r="S12" i="1"/>
  <c r="L12" i="1"/>
  <c r="S11" i="1"/>
  <c r="L11" i="1"/>
  <c r="S10" i="1"/>
  <c r="L10" i="1"/>
  <c r="S9" i="1"/>
  <c r="L9" i="1"/>
  <c r="S8" i="1"/>
  <c r="L8" i="1"/>
  <c r="S7" i="1"/>
  <c r="L7" i="1"/>
  <c r="B8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salinas</author>
  </authors>
  <commentList>
    <comment ref="D376" authorId="0" shapeId="0" xr:uid="{3A6627CA-319F-4E43-AC71-B5DCEFF4A363}">
      <text>
        <r>
          <rPr>
            <b/>
            <sz val="9"/>
            <color indexed="81"/>
            <rFont val="Tahoma"/>
            <family val="2"/>
          </rPr>
          <t>Eric salinas:</t>
        </r>
        <r>
          <rPr>
            <sz val="9"/>
            <color indexed="81"/>
            <rFont val="Tahoma"/>
            <family val="2"/>
          </rPr>
          <t xml:space="preserve">
OJO CON ESTE DE SER MISMO FORMATO QUE ANTERIOR, SINO NO DEJ AACUALISAR TABLA DINAMICA</t>
        </r>
      </text>
    </comment>
  </commentList>
</comments>
</file>

<file path=xl/sharedStrings.xml><?xml version="1.0" encoding="utf-8"?>
<sst xmlns="http://schemas.openxmlformats.org/spreadsheetml/2006/main" count="3410" uniqueCount="178">
  <si>
    <t>Folio</t>
  </si>
  <si>
    <t>Fecha de orden</t>
  </si>
  <si>
    <t>Num. cliente</t>
  </si>
  <si>
    <t>Nombre cliente</t>
  </si>
  <si>
    <t>Ciudad</t>
  </si>
  <si>
    <t>Estado</t>
  </si>
  <si>
    <t>Vendedor</t>
  </si>
  <si>
    <t>Region</t>
  </si>
  <si>
    <t>Fecha de embarque</t>
  </si>
  <si>
    <t>Empresa fletera</t>
  </si>
  <si>
    <t>Forma de pago</t>
  </si>
  <si>
    <t>Nombre del producto</t>
  </si>
  <si>
    <t>Categoría</t>
  </si>
  <si>
    <t>Precio unitario</t>
  </si>
  <si>
    <t>Cantidad</t>
  </si>
  <si>
    <t>Tarifa de envío</t>
  </si>
  <si>
    <t>Mazatlán</t>
  </si>
  <si>
    <t>Sinaloa</t>
  </si>
  <si>
    <t>Mayra Aguilar Sepúlveda</t>
  </si>
  <si>
    <t>Cerveza</t>
  </si>
  <si>
    <t>Bebidas</t>
  </si>
  <si>
    <t>Ciruelas secas</t>
  </si>
  <si>
    <t>Frutas secas</t>
  </si>
  <si>
    <t>Querétaro</t>
  </si>
  <si>
    <t>Andrés González Rico</t>
  </si>
  <si>
    <t>Tarjeta de crédito</t>
  </si>
  <si>
    <t>Peras secas</t>
  </si>
  <si>
    <t>Manzanas secas</t>
  </si>
  <si>
    <t>Té chai</t>
  </si>
  <si>
    <t>Café</t>
  </si>
  <si>
    <t>Monterrey</t>
  </si>
  <si>
    <t>Nuevo León</t>
  </si>
  <si>
    <t>Nancy Gil de la Peña</t>
  </si>
  <si>
    <t>Norte</t>
  </si>
  <si>
    <t>Galletas de chocolate</t>
  </si>
  <si>
    <t>Productos horneados</t>
  </si>
  <si>
    <t>Puerto Vallarta</t>
  </si>
  <si>
    <t>Jalisco</t>
  </si>
  <si>
    <t>José de Jesús Morales</t>
  </si>
  <si>
    <t>Chocolate</t>
  </si>
  <si>
    <t>Dulces</t>
  </si>
  <si>
    <t>Acapulco</t>
  </si>
  <si>
    <t>Guerrero</t>
  </si>
  <si>
    <t>Efectivo</t>
  </si>
  <si>
    <t>Almejas</t>
  </si>
  <si>
    <t>Sopas</t>
  </si>
  <si>
    <t>Tijuana</t>
  </si>
  <si>
    <t>Baja California</t>
  </si>
  <si>
    <t>Luis Miguel Valdés Garza</t>
  </si>
  <si>
    <t>Salsa curry</t>
  </si>
  <si>
    <t>Salsas</t>
  </si>
  <si>
    <t>Toluca</t>
  </si>
  <si>
    <t>Estado de México</t>
  </si>
  <si>
    <t>Ana del Valle Hinojosa</t>
  </si>
  <si>
    <t>León</t>
  </si>
  <si>
    <t>Guanajuato</t>
  </si>
  <si>
    <t>Laura Gutiérrez Saenz</t>
  </si>
  <si>
    <t>Té verde</t>
  </si>
  <si>
    <t>Chihuahua</t>
  </si>
  <si>
    <t>Jalea de fresa</t>
  </si>
  <si>
    <t>Mermeladas y jaleas</t>
  </si>
  <si>
    <t>Condimento cajún</t>
  </si>
  <si>
    <t>Condimentos</t>
  </si>
  <si>
    <t>Ciudad de México</t>
  </si>
  <si>
    <t>Torreón</t>
  </si>
  <si>
    <t>Coahuila</t>
  </si>
  <si>
    <t>Carne de cangrejo</t>
  </si>
  <si>
    <t>Carne enlatada</t>
  </si>
  <si>
    <t>Guadalajara</t>
  </si>
  <si>
    <t>Robert Zárate Carrillo</t>
  </si>
  <si>
    <t>Ravioli</t>
  </si>
  <si>
    <t>Pasta</t>
  </si>
  <si>
    <t>Mozzarella</t>
  </si>
  <si>
    <t>Productos lácteos</t>
  </si>
  <si>
    <t>Jarabe</t>
  </si>
  <si>
    <t>Almendras</t>
  </si>
  <si>
    <t>Cóctel de frutas</t>
  </si>
  <si>
    <t>Frutas y vegetales</t>
  </si>
  <si>
    <t>Pasta penne</t>
  </si>
  <si>
    <t>Bolillos</t>
  </si>
  <si>
    <t>Aceite de oliva</t>
  </si>
  <si>
    <t>Aceite</t>
  </si>
  <si>
    <t>Mermelada de zarzamora</t>
  </si>
  <si>
    <t>Arroz de grano largo</t>
  </si>
  <si>
    <t>Granos</t>
  </si>
  <si>
    <t>MENDOZA PEREYRA, Rosa</t>
  </si>
  <si>
    <t>SHEFFER MENDOZA, Milagros</t>
  </si>
  <si>
    <t>ALVARADO TIRADO, Patricia</t>
  </si>
  <si>
    <t>BECERRA CRUZADO, Tania</t>
  </si>
  <si>
    <t>HILARIO CANOVA, Corina</t>
  </si>
  <si>
    <t>DEXTRE PEREZ, Zenia</t>
  </si>
  <si>
    <t>ODAR BARRIENTE, Karina</t>
  </si>
  <si>
    <t>ALLCCARIMA CRISOSTOMO, Eliana</t>
  </si>
  <si>
    <t>CUBAS PEREZ, Nelly</t>
  </si>
  <si>
    <t>PALOMINO GARCIA, Selene</t>
  </si>
  <si>
    <t>CONTRERAS RAMOS, Roxi</t>
  </si>
  <si>
    <t>PONCE HERMOZA, Catalina</t>
  </si>
  <si>
    <t>SOLIER ZAMORA, Susy</t>
  </si>
  <si>
    <t>VASQUEZ RUIZ, Gladys</t>
  </si>
  <si>
    <t>GALAN GALLARDO, Aracely</t>
  </si>
  <si>
    <t>ACOSTA ARMAS SANDRA PAOLA</t>
  </si>
  <si>
    <t>ALCANTARA CHANDUVI CRISTOPHER</t>
  </si>
  <si>
    <t>ALMONACID PINEDA VIVIANA THAIS</t>
  </si>
  <si>
    <t>BALBIN CUSQUISIBAN DARIANA ISABEL</t>
  </si>
  <si>
    <t>CAMASCA CENENO JHOEL LUIS</t>
  </si>
  <si>
    <t>CARBAJAL HUANCAS CARLOS ABEL</t>
  </si>
  <si>
    <t>CASTILLO AGUIRRE GUADALUPE VANESSA</t>
  </si>
  <si>
    <t>CCASA TICONA NELLY</t>
  </si>
  <si>
    <t>CONDORI PALOMINO LUCERO</t>
  </si>
  <si>
    <t>ENCARNACIÓN VENTURA FELICITA</t>
  </si>
  <si>
    <t>FLORES DE LA MATA ANGEEL JOHAGNETH VALERIA</t>
  </si>
  <si>
    <t>HUAYLLASCO RAMOS JOHANA</t>
  </si>
  <si>
    <t>LEON BLAS ROSMERY JHUDIT</t>
  </si>
  <si>
    <t>MENDOZA ALZAMORA GABRIELA</t>
  </si>
  <si>
    <t>NUNINGO NONINGO JUAN LUIS</t>
  </si>
  <si>
    <t>ORIZANO CABELLO DOMINGO ALFREDO</t>
  </si>
  <si>
    <t>PEDRAZA ORCCOAPAZA JEAN PIERE</t>
  </si>
  <si>
    <t>QUISPE QUISPE KEVIN HERMOGENES</t>
  </si>
  <si>
    <t>QUISPE VILLENA JORDI DAVID</t>
  </si>
  <si>
    <t>RAMOS BARRIENTOS FLOR MARIA</t>
  </si>
  <si>
    <t>RIVERA MARCA NATALI</t>
  </si>
  <si>
    <t>SILVA REATEGUI PATRICIA</t>
  </si>
  <si>
    <t>VELASQUEZ ROCA LILIANA</t>
  </si>
  <si>
    <t>CRUZ BRICEÑO, Yolanda</t>
  </si>
  <si>
    <t>BEJAR PILLACA, Marlene</t>
  </si>
  <si>
    <t>FLORES PEREZ, Lourdes</t>
  </si>
  <si>
    <t>Base de Datos</t>
  </si>
  <si>
    <t>Tablas Dinámicas</t>
  </si>
  <si>
    <t>Requerimientos</t>
  </si>
  <si>
    <t>Creamos 5 Tablas Dinámicas:</t>
  </si>
  <si>
    <t>Creamos Segmentaciones de datos por los siguientes campos:</t>
  </si>
  <si>
    <t>Creamos una Escala de tiempo por el siguiente campo:</t>
  </si>
  <si>
    <t>1. Fecha de orden</t>
  </si>
  <si>
    <t>CREACIÓN DE UN DASHBOARD</t>
  </si>
  <si>
    <t>TABLAS DINÁMICAS</t>
  </si>
  <si>
    <t>Creación del Dashboard</t>
  </si>
  <si>
    <t>Fecha de orden2</t>
  </si>
  <si>
    <t>Fecha de embarque3</t>
  </si>
  <si>
    <t>Empresa de embarque #1</t>
  </si>
  <si>
    <t>Empresa de embarque #2</t>
  </si>
  <si>
    <t>Empresa de embarque #3</t>
  </si>
  <si>
    <t>Sur</t>
  </si>
  <si>
    <t>Este</t>
  </si>
  <si>
    <t>Oeste</t>
  </si>
  <si>
    <t>1. Ventas totales por Mes (Línea)</t>
  </si>
  <si>
    <t>2. Top 5 de Ventas totales por Vendedor(Barras)</t>
  </si>
  <si>
    <t>3. Top 5 de Ventas totales por Categoria de Producto (Barras)</t>
  </si>
  <si>
    <t>4. Porcentaje de Cantidad de Ventas por Región (Anillo)</t>
  </si>
  <si>
    <t>6. Ventas totales</t>
  </si>
  <si>
    <t>5. Porcentaje de Cantidad de Ventas por Forma de Pago (Columnas)</t>
  </si>
  <si>
    <t>1. Región</t>
  </si>
  <si>
    <t>2. Categoria</t>
  </si>
  <si>
    <t>Venta Total</t>
  </si>
  <si>
    <t>Etiquetas de fila</t>
  </si>
  <si>
    <t>Total general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</si>
  <si>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</si>
  <si>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</si>
  <si>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</si>
  <si>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</si>
  <si>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</si>
  <si>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</si>
  <si>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</si>
  <si>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</si>
  <si>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</si>
  <si>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</si>
  <si>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</si>
  <si>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</si>
  <si>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Suma de Venta Total</t>
  </si>
  <si>
    <t>Suma de Cantidad</t>
  </si>
  <si>
    <t>DASHBOARD DE VENTAS</t>
  </si>
  <si>
    <t>SARMIENTO VASQUEZ ,Pedro</t>
  </si>
  <si>
    <t>Leon</t>
  </si>
  <si>
    <t>Luis Cuadros Garcia</t>
  </si>
  <si>
    <t>Empresa de embarque #4</t>
  </si>
  <si>
    <t>Gaseosa</t>
  </si>
  <si>
    <t>Empresa de embarque #5</t>
  </si>
  <si>
    <t>Lácteos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</si>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</sst>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&quot;S/&quot;* #,##0.00_-;\-&quot;S/&quot;* #,##0.00_-;_-&quot;S/&quot;* &quot;-&quot;??_-;_-@_-"/>
    <numFmt numFmtId="165" formatCode="dd\/mm\/yy"/>
    <numFmt numFmtId="166" formatCode="_(&quot;$&quot;* #,##0.00_);_(&quot;$&quot;* \(#,##0.00\);_(&quot;$&quot;* &quot;-&quot;??_);_(@_)"/>
    <numFmt numFmtId="167" formatCode="_-[$S/-280A]\ * #,##0.00_-;\-[$S/-280A]\ * #,##0.00_-;_-[$S/-280A]\ * &quot;-&quot;?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2060"/>
      <name val="Comic Sans MS"/>
      <family val="4"/>
    </font>
    <font>
      <sz val="10"/>
      <color rgb="FF002060"/>
      <name val="Arial Unicode MS"/>
      <family val="2"/>
    </font>
    <font>
      <sz val="11"/>
      <color rgb="FF002060"/>
      <name val="Calibri"/>
      <family val="2"/>
      <scheme val="minor"/>
    </font>
    <font>
      <b/>
      <sz val="28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u/>
      <sz val="11"/>
      <color theme="10"/>
      <name val="Comic Sans MS"/>
      <family val="4"/>
    </font>
    <font>
      <b/>
      <sz val="12"/>
      <color theme="1"/>
      <name val="Calibri"/>
      <family val="2"/>
      <scheme val="minor"/>
    </font>
    <font>
      <b/>
      <sz val="10"/>
      <color rgb="FF002060"/>
      <name val="Arial Unicode MS"/>
      <family val="2"/>
    </font>
    <font>
      <b/>
      <sz val="22"/>
      <color theme="0"/>
      <name val="Calibri"/>
      <family val="2"/>
      <scheme val="minor"/>
    </font>
    <font>
      <sz val="14"/>
      <name val="Bookman Old Style"/>
      <family val="1"/>
    </font>
    <font>
      <b/>
      <sz val="14"/>
      <color indexed="12"/>
      <name val="Bookman Old Style"/>
      <family val="1"/>
    </font>
    <font>
      <b/>
      <sz val="18"/>
      <color theme="0"/>
      <name val="Calibri"/>
      <family val="2"/>
      <scheme val="minor"/>
    </font>
    <font>
      <sz val="14"/>
      <color rgb="FF00206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medium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 style="hair">
        <color theme="1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</cellStyleXfs>
  <cellXfs count="74">
    <xf numFmtId="0" fontId="0" fillId="0" borderId="0" xfId="0"/>
    <xf numFmtId="0" fontId="2" fillId="0" borderId="0" xfId="0" applyFont="1"/>
    <xf numFmtId="165" fontId="0" fillId="0" borderId="0" xfId="0" applyNumberFormat="1"/>
    <xf numFmtId="0" fontId="5" fillId="3" borderId="0" xfId="4" applyFont="1" applyFill="1" applyProtection="1">
      <protection locked="0"/>
    </xf>
    <xf numFmtId="0" fontId="9" fillId="3" borderId="0" xfId="4" applyFont="1" applyFill="1" applyProtection="1">
      <protection locked="0"/>
    </xf>
    <xf numFmtId="0" fontId="4" fillId="3" borderId="0" xfId="4" applyFont="1" applyFill="1" applyProtection="1">
      <protection locked="0"/>
    </xf>
    <xf numFmtId="0" fontId="10" fillId="3" borderId="0" xfId="3" applyFont="1" applyFill="1" applyAlignment="1" applyProtection="1">
      <alignment horizontal="center" vertical="center"/>
      <protection locked="0"/>
    </xf>
    <xf numFmtId="0" fontId="11" fillId="0" borderId="0" xfId="0" applyFont="1"/>
    <xf numFmtId="0" fontId="0" fillId="0" borderId="0" xfId="0" applyAlignment="1">
      <alignment horizontal="left"/>
    </xf>
    <xf numFmtId="0" fontId="5" fillId="6" borderId="0" xfId="4" applyFont="1" applyFill="1" applyProtection="1">
      <protection locked="0"/>
    </xf>
    <xf numFmtId="0" fontId="12" fillId="6" borderId="0" xfId="0" applyFont="1" applyFill="1" applyProtection="1">
      <protection locked="0"/>
    </xf>
    <xf numFmtId="0" fontId="5" fillId="6" borderId="0" xfId="0" applyFont="1" applyFill="1" applyProtection="1">
      <protection locked="0"/>
    </xf>
    <xf numFmtId="0" fontId="13" fillId="6" borderId="0" xfId="0" applyFont="1" applyFill="1" applyAlignment="1" applyProtection="1">
      <alignment vertical="center"/>
      <protection locked="0"/>
    </xf>
    <xf numFmtId="165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3" borderId="1" xfId="0" applyFont="1" applyFill="1" applyBorder="1" applyAlignment="1" applyProtection="1">
      <alignment horizontal="left" vertical="center"/>
      <protection locked="0"/>
    </xf>
    <xf numFmtId="0" fontId="6" fillId="0" borderId="1" xfId="0" applyFont="1" applyBorder="1"/>
    <xf numFmtId="164" fontId="6" fillId="0" borderId="1" xfId="1" applyFont="1" applyFill="1" applyBorder="1"/>
    <xf numFmtId="0" fontId="6" fillId="4" borderId="1" xfId="0" applyFont="1" applyFill="1" applyBorder="1" applyAlignment="1" applyProtection="1">
      <alignment horizontal="left" vertical="center"/>
      <protection locked="0"/>
    </xf>
    <xf numFmtId="165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4" borderId="2" xfId="0" applyFont="1" applyFill="1" applyBorder="1" applyAlignment="1" applyProtection="1">
      <alignment horizontal="left" vertical="center"/>
      <protection locked="0"/>
    </xf>
    <xf numFmtId="0" fontId="6" fillId="0" borderId="2" xfId="0" applyFont="1" applyBorder="1"/>
    <xf numFmtId="164" fontId="6" fillId="0" borderId="2" xfId="1" applyFont="1" applyFill="1" applyBorder="1"/>
    <xf numFmtId="0" fontId="7" fillId="0" borderId="0" xfId="0" applyFont="1"/>
    <xf numFmtId="0" fontId="14" fillId="2" borderId="0" xfId="0" applyFont="1" applyFill="1" applyProtection="1">
      <protection locked="0"/>
    </xf>
    <xf numFmtId="0" fontId="15" fillId="2" borderId="0" xfId="0" applyFont="1" applyFill="1" applyAlignment="1" applyProtection="1">
      <alignment horizontal="left"/>
      <protection locked="0"/>
    </xf>
    <xf numFmtId="0" fontId="16" fillId="2" borderId="0" xfId="0" applyFont="1" applyFill="1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164" fontId="6" fillId="0" borderId="5" xfId="1" applyFont="1" applyFill="1" applyBorder="1"/>
    <xf numFmtId="164" fontId="6" fillId="0" borderId="6" xfId="1" applyFont="1" applyFill="1" applyBorder="1"/>
    <xf numFmtId="0" fontId="3" fillId="6" borderId="7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vertical="center"/>
    </xf>
    <xf numFmtId="165" fontId="3" fillId="6" borderId="8" xfId="0" applyNumberFormat="1" applyFont="1" applyFill="1" applyBorder="1" applyAlignment="1">
      <alignment vertical="center"/>
    </xf>
    <xf numFmtId="165" fontId="3" fillId="6" borderId="8" xfId="0" applyNumberFormat="1" applyFont="1" applyFill="1" applyBorder="1" applyAlignment="1">
      <alignment horizontal="center" vertical="center"/>
    </xf>
    <xf numFmtId="0" fontId="3" fillId="6" borderId="9" xfId="0" applyFont="1" applyFill="1" applyBorder="1" applyAlignment="1">
      <alignment vertical="center"/>
    </xf>
    <xf numFmtId="164" fontId="17" fillId="0" borderId="5" xfId="0" applyNumberFormat="1" applyFont="1" applyBorder="1"/>
    <xf numFmtId="164" fontId="6" fillId="0" borderId="5" xfId="0" applyNumberFormat="1" applyFont="1" applyBorder="1"/>
    <xf numFmtId="164" fontId="6" fillId="0" borderId="6" xfId="0" applyNumberFormat="1" applyFont="1" applyBorder="1"/>
    <xf numFmtId="0" fontId="0" fillId="0" borderId="0" xfId="0" pivotButton="1"/>
    <xf numFmtId="164" fontId="0" fillId="0" borderId="0" xfId="0" applyNumberFormat="1"/>
    <xf numFmtId="10" fontId="0" fillId="0" borderId="0" xfId="0" applyNumberFormat="1"/>
    <xf numFmtId="167" fontId="0" fillId="0" borderId="0" xfId="0" applyNumberFormat="1"/>
    <xf numFmtId="0" fontId="6" fillId="0" borderId="10" xfId="0" applyFont="1" applyBorder="1" applyAlignment="1">
      <alignment horizontal="center"/>
    </xf>
    <xf numFmtId="165" fontId="6" fillId="0" borderId="11" xfId="0" applyNumberFormat="1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4" borderId="11" xfId="0" applyFont="1" applyFill="1" applyBorder="1" applyAlignment="1" applyProtection="1">
      <alignment horizontal="left" vertical="center"/>
      <protection locked="0"/>
    </xf>
    <xf numFmtId="0" fontId="6" fillId="0" borderId="11" xfId="0" applyFont="1" applyBorder="1"/>
    <xf numFmtId="164" fontId="6" fillId="0" borderId="11" xfId="1" applyFont="1" applyFill="1" applyBorder="1"/>
    <xf numFmtId="164" fontId="6" fillId="0" borderId="12" xfId="0" applyNumberFormat="1" applyFont="1" applyBorder="1"/>
    <xf numFmtId="164" fontId="6" fillId="0" borderId="12" xfId="1" applyFont="1" applyFill="1" applyBorder="1"/>
    <xf numFmtId="0" fontId="19" fillId="0" borderId="10" xfId="0" applyFont="1" applyBorder="1" applyAlignment="1">
      <alignment horizontal="center"/>
    </xf>
    <xf numFmtId="165" fontId="19" fillId="0" borderId="11" xfId="0" applyNumberFormat="1" applyFont="1" applyBorder="1" applyAlignment="1">
      <alignment horizontal="center"/>
    </xf>
    <xf numFmtId="165" fontId="19" fillId="0" borderId="2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4" borderId="11" xfId="0" applyFont="1" applyFill="1" applyBorder="1" applyAlignment="1" applyProtection="1">
      <alignment horizontal="left" vertical="center"/>
      <protection locked="0"/>
    </xf>
    <xf numFmtId="0" fontId="19" fillId="0" borderId="11" xfId="0" applyFont="1" applyBorder="1"/>
    <xf numFmtId="0" fontId="19" fillId="0" borderId="2" xfId="0" applyFont="1" applyBorder="1"/>
    <xf numFmtId="165" fontId="19" fillId="0" borderId="11" xfId="0" applyNumberFormat="1" applyFont="1" applyBorder="1"/>
    <xf numFmtId="164" fontId="19" fillId="0" borderId="11" xfId="1" applyFont="1" applyFill="1" applyBorder="1"/>
    <xf numFmtId="164" fontId="19" fillId="0" borderId="12" xfId="0" applyNumberFormat="1" applyFont="1" applyBorder="1"/>
    <xf numFmtId="164" fontId="19" fillId="0" borderId="12" xfId="1" applyFont="1" applyFill="1" applyBorder="1"/>
    <xf numFmtId="0" fontId="9" fillId="5" borderId="0" xfId="3" applyFont="1" applyFill="1" applyAlignment="1" applyProtection="1">
      <alignment horizontal="center" vertical="center"/>
      <protection locked="0"/>
    </xf>
    <xf numFmtId="0" fontId="9" fillId="5" borderId="0" xfId="3" applyFont="1" applyFill="1" applyAlignment="1" applyProtection="1">
      <alignment horizontal="center" vertical="center" wrapText="1"/>
      <protection locked="0"/>
    </xf>
    <xf numFmtId="0" fontId="9" fillId="0" borderId="0" xfId="3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horizontal="left" vertical="center"/>
    </xf>
    <xf numFmtId="0" fontId="13" fillId="6" borderId="0" xfId="0" applyFont="1" applyFill="1" applyAlignment="1" applyProtection="1">
      <alignment horizontal="center" vertical="center"/>
      <protection locked="0"/>
    </xf>
    <xf numFmtId="0" fontId="16" fillId="2" borderId="0" xfId="0" applyFont="1" applyFill="1" applyAlignment="1" applyProtection="1">
      <alignment horizontal="center" vertical="center"/>
      <protection locked="0"/>
    </xf>
    <xf numFmtId="0" fontId="16" fillId="0" borderId="0" xfId="0" applyFont="1" applyAlignment="1">
      <alignment horizontal="center"/>
    </xf>
  </cellXfs>
  <cellStyles count="5">
    <cellStyle name="Currency 2" xfId="2" xr:uid="{0ADEB810-246D-4E52-A2DA-88F655F415BD}"/>
    <cellStyle name="Hipervínculo" xfId="3" builtinId="8"/>
    <cellStyle name="Moneda" xfId="1" builtinId="4"/>
    <cellStyle name="Normal" xfId="0" builtinId="0"/>
    <cellStyle name="Normal 4 3" xfId="4" xr:uid="{A492D2DF-07C4-47D8-A6BA-BEC5676CCFF9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4" formatCode="_-&quot;S/&quot;* #,##0.00_-;\-&quot;S/&quot;* #,##0.00_-;_-&quot;S/&quot;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/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4" formatCode="_-&quot;S/&quot;* #,##0.00_-;\-&quot;S/&quot;* #,##0.00_-;_-&quot;S/&quot;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/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4" formatCode="_-&quot;S/&quot;* #,##0.00_-;\-&quot;S/&quot;* #,##0.00_-;_-&quot;S/&quot;* &quot;-&quot;??_-;_-@_-"/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dd\/mm\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dd\/mm\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dd\/mm\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numFmt numFmtId="165" formatCode="dd\/mm\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theme="1"/>
        </left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hair">
          <color theme="1"/>
        </right>
        <top style="hair">
          <color theme="1"/>
        </top>
        <bottom style="hair">
          <color theme="1"/>
        </bottom>
        <vertical/>
        <horizontal/>
      </border>
    </dxf>
    <dxf>
      <border outline="0">
        <top style="hair">
          <color theme="1"/>
        </top>
      </border>
    </dxf>
    <dxf>
      <border outline="0">
        <left style="medium">
          <color theme="1"/>
        </left>
        <right style="medium">
          <color theme="1"/>
        </right>
        <top style="medium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hair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  <border diagonalUp="0" diagonalDown="0" outline="0">
        <left style="hair">
          <color theme="1"/>
        </left>
        <right style="hair">
          <color theme="1"/>
        </right>
        <top/>
        <bottom/>
      </border>
    </dxf>
    <dxf>
      <font>
        <sz val="12"/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sz val="12"/>
        <color theme="0"/>
        <name val="Calibri"/>
        <family val="2"/>
        <scheme val="minor"/>
      </font>
      <fill>
        <patternFill>
          <bgColor theme="1"/>
        </patternFill>
      </fill>
    </dxf>
    <dxf>
      <font>
        <color theme="0"/>
      </font>
      <fill>
        <patternFill patternType="solid">
          <fgColor theme="0"/>
          <bgColor theme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i val="0"/>
        <sz val="12"/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rgb="FF002060"/>
        </patternFill>
      </fill>
    </dxf>
    <dxf>
      <font>
        <b/>
        <i val="0"/>
        <sz val="11"/>
        <color theme="0"/>
        <name val="Calibri"/>
        <family val="2"/>
        <scheme val="minor"/>
      </font>
      <fill>
        <patternFill>
          <bgColor rgb="FF002060"/>
        </patternFill>
      </fill>
    </dxf>
    <dxf>
      <fill>
        <patternFill patternType="solid">
          <fgColor theme="0"/>
          <bgColor rgb="FF00206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4" defaultTableStyle="TableStyleMedium2" defaultPivotStyle="PivotStyleLight16">
    <tableStyle name="Escala 2021" pivot="0" table="0" count="8" xr9:uid="{F97F97DB-DE73-48D9-A288-68C3297BEBDF}">
      <tableStyleElement type="wholeTable" dxfId="31"/>
      <tableStyleElement type="headerRow" dxfId="30"/>
    </tableStyle>
    <tableStyle name="Estilo 2021" pivot="0" table="0" count="4" xr9:uid="{A2CC9538-4008-4578-886C-21C3F437BA60}">
      <tableStyleElement type="wholeTable" dxfId="29"/>
      <tableStyleElement type="headerRow" dxfId="28"/>
    </tableStyle>
    <tableStyle name="Estilo de escala de tiempo 1" pivot="0" table="0" count="8" xr9:uid="{41718FBB-D765-4003-9BB8-473200F7DFD4}">
      <tableStyleElement type="wholeTable" dxfId="27"/>
      <tableStyleElement type="headerRow" dxfId="26"/>
    </tableStyle>
    <tableStyle name="Estilo de segmentación de datos 1" pivot="0" table="0" count="3" xr9:uid="{6A12B246-3229-4FB5-BD2A-B6F20668B914}">
      <tableStyleElement type="wholeTable" dxfId="25"/>
      <tableStyleElement type="headerRow" dxfId="24"/>
    </tableStyle>
  </tableStyles>
  <extLst>
    <ext xmlns:x14="http://schemas.microsoft.com/office/spreadsheetml/2009/9/main" uri="{46F421CA-312F-682f-3DD2-61675219B42D}">
      <x14:dxfs count="3">
        <dxf>
          <font>
            <color theme="0"/>
          </font>
          <fill>
            <patternFill>
              <bgColor rgb="FFC00000"/>
            </patternFill>
          </fill>
        </dxf>
        <dxf>
          <font>
            <b/>
            <i val="0"/>
            <sz val="10"/>
            <color rgb="FF002060"/>
          </font>
          <fill>
            <patternFill>
              <bgColor theme="8" tint="0.59996337778862885"/>
            </patternFill>
          </fill>
        </dxf>
        <dxf>
          <font>
            <b/>
            <i val="0"/>
            <sz val="10"/>
            <color theme="0"/>
          </font>
          <fill>
            <patternFill>
              <bgColor rgb="FF0070C0"/>
            </patternFill>
          </fill>
        </dxf>
      </x14:dxfs>
    </ext>
    <ext xmlns:x14="http://schemas.microsoft.com/office/spreadsheetml/2009/9/main" uri="{EB79DEF2-80B8-43e5-95BD-54CBDDF9020C}">
      <x14:slicerStyles defaultSlicerStyle="Estilo 2021">
        <x14:slicerStyle name="Estilo 2021">
          <x14:slicerStyleElements>
            <x14:slicerStyleElement type="selectedItemWithData" dxfId="2"/>
            <x14:slicerStyleElement type="selectedItemWithNoData" dxfId="1"/>
          </x14:slicerStyleElements>
        </x14:slicerStyle>
        <x14:slicerStyle name="Estilo de segmentación de datos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A0A4C193-F2C1-4fcb-8827-314CF55A85BB}">
      <x15:dxfs count="12">
        <dxf>
          <fill>
            <patternFill patternType="solid">
              <fgColor theme="0" tint="-0.14996795556505021"/>
              <bgColor theme="0"/>
            </patternFill>
          </fill>
        </dxf>
        <dxf>
          <fill>
            <patternFill patternType="solid">
              <fgColor theme="0"/>
              <bgColor rgb="FFC0000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6795556505021"/>
              <bgColor theme="8" tint="0.59996337778862885"/>
            </patternFill>
          </fill>
        </dxf>
        <dxf>
          <fill>
            <patternFill patternType="solid">
              <fgColor theme="0"/>
              <bgColor rgb="FF0070C0"/>
            </patternFill>
          </fill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10"/>
            <color theme="0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Escala 2021">
        <x15:timelineStyle name="Escala 2021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Estilo de escala de ti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[Creacióndash MACROS 1.xlsm]Tablas Dinámicas!TD1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'Tablas Dinámicas'!$A$5:$A$17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Dinámicas'!$B$5:$B$17</c:f>
              <c:numCache>
                <c:formatCode>_-"S/"* #,##0.00_-;\-"S/"* #,##0.00_-;_-"S/"* "-"??_-;_-@_-</c:formatCode>
                <c:ptCount val="12"/>
                <c:pt idx="0">
                  <c:v>460709.76000000007</c:v>
                </c:pt>
                <c:pt idx="1">
                  <c:v>329777</c:v>
                </c:pt>
                <c:pt idx="2">
                  <c:v>431936.39999999997</c:v>
                </c:pt>
                <c:pt idx="3">
                  <c:v>290805.06</c:v>
                </c:pt>
                <c:pt idx="4">
                  <c:v>480298.70000000007</c:v>
                </c:pt>
                <c:pt idx="5">
                  <c:v>778422.54</c:v>
                </c:pt>
                <c:pt idx="6">
                  <c:v>382459.56</c:v>
                </c:pt>
                <c:pt idx="7">
                  <c:v>418900.44</c:v>
                </c:pt>
                <c:pt idx="8">
                  <c:v>447299.57999999996</c:v>
                </c:pt>
                <c:pt idx="9">
                  <c:v>742470.26</c:v>
                </c:pt>
                <c:pt idx="10">
                  <c:v>444828.02</c:v>
                </c:pt>
                <c:pt idx="11">
                  <c:v>932998.92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E-4093-A8E3-31F08D340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3917887"/>
        <c:axId val="1133917407"/>
      </c:lineChart>
      <c:catAx>
        <c:axId val="113391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33917407"/>
        <c:crosses val="autoZero"/>
        <c:auto val="1"/>
        <c:lblAlgn val="ctr"/>
        <c:lblOffset val="100"/>
        <c:noMultiLvlLbl val="0"/>
      </c:catAx>
      <c:valAx>
        <c:axId val="113391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S/&quot;* #,##0.00_-;\-&quot;S/&quot;* #,##0.00_-;_-&quot;S/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33917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[Creacióndash MACROS 1.xlsm]Tablas Dinámicas!TD2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Dinámicas'!$B$22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Dinámicas'!$A$23:$A$28</c:f>
              <c:strCache>
                <c:ptCount val="5"/>
                <c:pt idx="0">
                  <c:v>Nancy Gil de la Peña</c:v>
                </c:pt>
                <c:pt idx="1">
                  <c:v>Ana del Valle Hinojosa</c:v>
                </c:pt>
                <c:pt idx="2">
                  <c:v>Andrés González Rico</c:v>
                </c:pt>
                <c:pt idx="3">
                  <c:v>Mayra Aguilar Sepúlveda</c:v>
                </c:pt>
                <c:pt idx="4">
                  <c:v>Laura Gutiérrez Saenz</c:v>
                </c:pt>
              </c:strCache>
            </c:strRef>
          </c:cat>
          <c:val>
            <c:numRef>
              <c:f>'Tablas Dinámicas'!$B$23:$B$28</c:f>
              <c:numCache>
                <c:formatCode>_-"S/"* #,##0.00_-;\-"S/"* #,##0.00_-;_-"S/"* "-"??_-;_-@_-</c:formatCode>
                <c:ptCount val="5"/>
                <c:pt idx="0">
                  <c:v>1476192.7600000002</c:v>
                </c:pt>
                <c:pt idx="1">
                  <c:v>1330676.6200000001</c:v>
                </c:pt>
                <c:pt idx="2">
                  <c:v>940527</c:v>
                </c:pt>
                <c:pt idx="3">
                  <c:v>593192.32000000007</c:v>
                </c:pt>
                <c:pt idx="4">
                  <c:v>575330.14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6-4242-9D98-8FD449A27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33915967"/>
        <c:axId val="1133916447"/>
      </c:barChart>
      <c:catAx>
        <c:axId val="11339159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33916447"/>
        <c:crosses val="autoZero"/>
        <c:auto val="1"/>
        <c:lblAlgn val="ctr"/>
        <c:lblOffset val="100"/>
        <c:noMultiLvlLbl val="0"/>
      </c:catAx>
      <c:valAx>
        <c:axId val="1133916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S/&quot;* #,##0.00_-;\-&quot;S/&quot;* #,##0.00_-;_-&quot;S/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3391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[Creacióndash MACROS 1.xlsm]Tablas Dinámicas!TD3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Dinámicas'!$B$38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Dinámicas'!$A$39:$A$54</c:f>
              <c:strCache>
                <c:ptCount val="15"/>
                <c:pt idx="0">
                  <c:v>Bebidas</c:v>
                </c:pt>
                <c:pt idx="1">
                  <c:v>Salsas</c:v>
                </c:pt>
                <c:pt idx="2">
                  <c:v>Mermeladas y jaleas</c:v>
                </c:pt>
                <c:pt idx="3">
                  <c:v>Productos lácteos</c:v>
                </c:pt>
                <c:pt idx="4">
                  <c:v>Frutas secas</c:v>
                </c:pt>
                <c:pt idx="5">
                  <c:v>Carne enlatada</c:v>
                </c:pt>
                <c:pt idx="6">
                  <c:v>Condimentos</c:v>
                </c:pt>
                <c:pt idx="7">
                  <c:v>Pasta</c:v>
                </c:pt>
                <c:pt idx="8">
                  <c:v>Productos horneados</c:v>
                </c:pt>
                <c:pt idx="9">
                  <c:v>Dulces</c:v>
                </c:pt>
                <c:pt idx="10">
                  <c:v>Sopas</c:v>
                </c:pt>
                <c:pt idx="11">
                  <c:v>Aceite</c:v>
                </c:pt>
                <c:pt idx="12">
                  <c:v>Frutas y vegetales</c:v>
                </c:pt>
                <c:pt idx="13">
                  <c:v>Tarifa de envío</c:v>
                </c:pt>
                <c:pt idx="14">
                  <c:v>Granos</c:v>
                </c:pt>
              </c:strCache>
            </c:strRef>
          </c:cat>
          <c:val>
            <c:numRef>
              <c:f>'Tablas Dinámicas'!$B$39:$B$54</c:f>
              <c:numCache>
                <c:formatCode>_-"S/"* #,##0.00_-;\-"S/"* #,##0.00_-;_-"S/"* "-"??_-;_-@_-</c:formatCode>
                <c:ptCount val="15"/>
                <c:pt idx="0">
                  <c:v>1548079.5399999998</c:v>
                </c:pt>
                <c:pt idx="1">
                  <c:v>966000</c:v>
                </c:pt>
                <c:pt idx="2">
                  <c:v>721574</c:v>
                </c:pt>
                <c:pt idx="3">
                  <c:v>463814.39999999985</c:v>
                </c:pt>
                <c:pt idx="4">
                  <c:v>391993</c:v>
                </c:pt>
                <c:pt idx="5">
                  <c:v>356518.39999999997</c:v>
                </c:pt>
                <c:pt idx="6">
                  <c:v>283892</c:v>
                </c:pt>
                <c:pt idx="7">
                  <c:v>282471</c:v>
                </c:pt>
                <c:pt idx="8">
                  <c:v>266750.40000000002</c:v>
                </c:pt>
                <c:pt idx="9">
                  <c:v>249721.5</c:v>
                </c:pt>
                <c:pt idx="10">
                  <c:v>235614.39999999997</c:v>
                </c:pt>
                <c:pt idx="11">
                  <c:v>186513.60000000003</c:v>
                </c:pt>
                <c:pt idx="12">
                  <c:v>97188</c:v>
                </c:pt>
                <c:pt idx="13">
                  <c:v>50400</c:v>
                </c:pt>
                <c:pt idx="14">
                  <c:v>40376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2-484E-AB7F-FAECAFFAA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76891376"/>
        <c:axId val="576892336"/>
      </c:barChart>
      <c:catAx>
        <c:axId val="576891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76892336"/>
        <c:crosses val="autoZero"/>
        <c:auto val="1"/>
        <c:lblAlgn val="ctr"/>
        <c:lblOffset val="100"/>
        <c:noMultiLvlLbl val="0"/>
      </c:catAx>
      <c:valAx>
        <c:axId val="57689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S/&quot;* #,##0.00_-;\-&quot;S/&quot;* #,##0.00_-;_-&quot;S/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7689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[Creacióndash MACROS 1.xlsm]Tablas Dinámicas!TD4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'Tablas Dinámicas'!$B$57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BA-49B5-AA9C-D7CFF2E08B6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BA-49B5-AA9C-D7CFF2E08B6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7D-41D5-A2C0-6C3A0979437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7D-41D5-A2C0-6C3A09794374}"/>
              </c:ext>
            </c:extLst>
          </c:dPt>
          <c:cat>
            <c:strRef>
              <c:f>'Tablas Dinámicas'!$A$58:$A$62</c:f>
              <c:strCache>
                <c:ptCount val="4"/>
                <c:pt idx="0">
                  <c:v>Este</c:v>
                </c:pt>
                <c:pt idx="1">
                  <c:v>Norte</c:v>
                </c:pt>
                <c:pt idx="2">
                  <c:v>Oeste</c:v>
                </c:pt>
                <c:pt idx="3">
                  <c:v>Sur</c:v>
                </c:pt>
              </c:strCache>
            </c:strRef>
          </c:cat>
          <c:val>
            <c:numRef>
              <c:f>'Tablas Dinámicas'!$B$58:$B$62</c:f>
              <c:numCache>
                <c:formatCode>0.00%</c:formatCode>
                <c:ptCount val="4"/>
                <c:pt idx="0">
                  <c:v>0.2117783579924572</c:v>
                </c:pt>
                <c:pt idx="1">
                  <c:v>0.30388743835219029</c:v>
                </c:pt>
                <c:pt idx="2">
                  <c:v>0.24098249685717049</c:v>
                </c:pt>
                <c:pt idx="3">
                  <c:v>0.24335170679818199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8-47BE-86A1-93A89BBBC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[Creacióndash MACROS 1.xlsm]Tablas Dinámicas!TD5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Dinámicas'!$B$71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Dinámicas'!$A$72:$A$74</c:f>
              <c:strCache>
                <c:ptCount val="2"/>
                <c:pt idx="0">
                  <c:v>Efectivo</c:v>
                </c:pt>
                <c:pt idx="1">
                  <c:v>Tarjeta de crédito</c:v>
                </c:pt>
              </c:strCache>
            </c:strRef>
          </c:cat>
          <c:val>
            <c:numRef>
              <c:f>'Tablas Dinámicas'!$B$72:$B$74</c:f>
              <c:numCache>
                <c:formatCode>0.00%</c:formatCode>
                <c:ptCount val="2"/>
                <c:pt idx="0">
                  <c:v>0.40774586597040907</c:v>
                </c:pt>
                <c:pt idx="1">
                  <c:v>0.59225413402959093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7-4D26-8DCE-A2DF2AA3F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892335"/>
        <c:axId val="1195889935"/>
      </c:barChart>
      <c:catAx>
        <c:axId val="119589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95889935"/>
        <c:crosses val="autoZero"/>
        <c:auto val="1"/>
        <c:lblAlgn val="ctr"/>
        <c:lblOffset val="100"/>
        <c:noMultiLvlLbl val="0"/>
      </c:catAx>
      <c:valAx>
        <c:axId val="1195889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9589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[Creacióndash MACROS 1.xlsm]Tablas Dinámicas!TD1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66675" cap="rnd">
            <a:solidFill>
              <a:srgbClr val="00B0F0"/>
            </a:solidFill>
            <a:round/>
          </a:ln>
          <a:effectLst/>
        </c:spPr>
        <c:marker>
          <c:symbol val="triangle"/>
          <c:size val="10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Dinámicas'!$B$4</c:f>
              <c:strCache>
                <c:ptCount val="1"/>
                <c:pt idx="0">
                  <c:v>Total</c:v>
                </c:pt>
              </c:strCache>
            </c:strRef>
          </c:tx>
          <c:spPr>
            <a:ln w="66675" cap="rnd">
              <a:solidFill>
                <a:srgbClr val="00B0F0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Dinámicas'!$A$5:$A$17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'Tablas Dinámicas'!$B$5:$B$17</c:f>
              <c:numCache>
                <c:formatCode>_-"S/"* #,##0.00_-;\-"S/"* #,##0.00_-;_-"S/"* "-"??_-;_-@_-</c:formatCode>
                <c:ptCount val="12"/>
                <c:pt idx="0">
                  <c:v>460709.76000000007</c:v>
                </c:pt>
                <c:pt idx="1">
                  <c:v>329777</c:v>
                </c:pt>
                <c:pt idx="2">
                  <c:v>431936.39999999997</c:v>
                </c:pt>
                <c:pt idx="3">
                  <c:v>290805.06</c:v>
                </c:pt>
                <c:pt idx="4">
                  <c:v>480298.70000000007</c:v>
                </c:pt>
                <c:pt idx="5">
                  <c:v>778422.54</c:v>
                </c:pt>
                <c:pt idx="6">
                  <c:v>382459.56</c:v>
                </c:pt>
                <c:pt idx="7">
                  <c:v>418900.44</c:v>
                </c:pt>
                <c:pt idx="8">
                  <c:v>447299.57999999996</c:v>
                </c:pt>
                <c:pt idx="9">
                  <c:v>742470.26</c:v>
                </c:pt>
                <c:pt idx="10">
                  <c:v>444828.02</c:v>
                </c:pt>
                <c:pt idx="11">
                  <c:v>932998.92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48-4536-B4C5-43FE8A1608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33917887"/>
        <c:axId val="1133917407"/>
      </c:lineChart>
      <c:catAx>
        <c:axId val="113391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33917407"/>
        <c:crosses val="autoZero"/>
        <c:auto val="1"/>
        <c:lblAlgn val="ctr"/>
        <c:lblOffset val="100"/>
        <c:noMultiLvlLbl val="0"/>
      </c:catAx>
      <c:valAx>
        <c:axId val="1133917407"/>
        <c:scaling>
          <c:orientation val="minMax"/>
        </c:scaling>
        <c:delete val="1"/>
        <c:axPos val="l"/>
        <c:numFmt formatCode="_-&quot;S/&quot;* #,##0.00_-;\-&quot;S/&quot;* #,##0.00_-;_-&quot;S/&quot;* &quot;-&quot;??_-;_-@_-" sourceLinked="1"/>
        <c:majorTickMark val="none"/>
        <c:minorTickMark val="none"/>
        <c:tickLblPos val="nextTo"/>
        <c:crossAx val="113391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[Creacióndash MACROS 1.xlsm]Tablas Dinámicas!TD2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66675" cap="rnd">
            <a:solidFill>
              <a:srgbClr val="00B0F0"/>
            </a:solidFill>
            <a:round/>
          </a:ln>
          <a:effectLst/>
        </c:spPr>
        <c:marker>
          <c:symbol val="triangle"/>
          <c:size val="10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Dinámicas'!$B$22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66675">
              <a:solidFill>
                <a:srgbClr val="00B0F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Dinámicas'!$A$23:$A$28</c:f>
              <c:strCache>
                <c:ptCount val="5"/>
                <c:pt idx="0">
                  <c:v>Nancy Gil de la Peña</c:v>
                </c:pt>
                <c:pt idx="1">
                  <c:v>Ana del Valle Hinojosa</c:v>
                </c:pt>
                <c:pt idx="2">
                  <c:v>Andrés González Rico</c:v>
                </c:pt>
                <c:pt idx="3">
                  <c:v>Mayra Aguilar Sepúlveda</c:v>
                </c:pt>
                <c:pt idx="4">
                  <c:v>Laura Gutiérrez Saenz</c:v>
                </c:pt>
              </c:strCache>
            </c:strRef>
          </c:cat>
          <c:val>
            <c:numRef>
              <c:f>'Tablas Dinámicas'!$B$23:$B$28</c:f>
              <c:numCache>
                <c:formatCode>_-"S/"* #,##0.00_-;\-"S/"* #,##0.00_-;_-"S/"* "-"??_-;_-@_-</c:formatCode>
                <c:ptCount val="5"/>
                <c:pt idx="0">
                  <c:v>1476192.7600000002</c:v>
                </c:pt>
                <c:pt idx="1">
                  <c:v>1330676.6200000001</c:v>
                </c:pt>
                <c:pt idx="2">
                  <c:v>940527</c:v>
                </c:pt>
                <c:pt idx="3">
                  <c:v>593192.32000000007</c:v>
                </c:pt>
                <c:pt idx="4">
                  <c:v>575330.14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8-4536-B4C5-43FE8A1608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33917887"/>
        <c:axId val="1133917407"/>
      </c:barChart>
      <c:catAx>
        <c:axId val="1133917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33917407"/>
        <c:crosses val="autoZero"/>
        <c:auto val="1"/>
        <c:lblAlgn val="ctr"/>
        <c:lblOffset val="100"/>
        <c:noMultiLvlLbl val="0"/>
      </c:catAx>
      <c:valAx>
        <c:axId val="1133917407"/>
        <c:scaling>
          <c:orientation val="minMax"/>
        </c:scaling>
        <c:delete val="1"/>
        <c:axPos val="b"/>
        <c:numFmt formatCode="_-&quot;S/&quot;* #,##0.00_-;\-&quot;S/&quot;* #,##0.00_-;_-&quot;S/&quot;* &quot;-&quot;??_-;_-@_-" sourceLinked="1"/>
        <c:majorTickMark val="none"/>
        <c:minorTickMark val="none"/>
        <c:tickLblPos val="nextTo"/>
        <c:crossAx val="113391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[Creacióndash MACROS 1.xlsm]Tablas Dinámicas!TD3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66675" cap="rnd">
            <a:solidFill>
              <a:srgbClr val="00B0F0"/>
            </a:solidFill>
            <a:round/>
          </a:ln>
          <a:effectLst/>
        </c:spPr>
        <c:marker>
          <c:symbol val="triangle"/>
          <c:size val="10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  <c:marker>
          <c:symbol val="triangle"/>
          <c:size val="10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/>
          </a:solidFill>
          <a:ln w="66675">
            <a:solidFill>
              <a:srgbClr val="70AD4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Dinámicas'!$B$38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AD47"/>
            </a:solidFill>
            <a:ln w="66675">
              <a:solidFill>
                <a:srgbClr val="70AD47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Dinámicas'!$A$39:$A$54</c:f>
              <c:strCache>
                <c:ptCount val="15"/>
                <c:pt idx="0">
                  <c:v>Bebidas</c:v>
                </c:pt>
                <c:pt idx="1">
                  <c:v>Salsas</c:v>
                </c:pt>
                <c:pt idx="2">
                  <c:v>Mermeladas y jaleas</c:v>
                </c:pt>
                <c:pt idx="3">
                  <c:v>Productos lácteos</c:v>
                </c:pt>
                <c:pt idx="4">
                  <c:v>Frutas secas</c:v>
                </c:pt>
                <c:pt idx="5">
                  <c:v>Carne enlatada</c:v>
                </c:pt>
                <c:pt idx="6">
                  <c:v>Condimentos</c:v>
                </c:pt>
                <c:pt idx="7">
                  <c:v>Pasta</c:v>
                </c:pt>
                <c:pt idx="8">
                  <c:v>Productos horneados</c:v>
                </c:pt>
                <c:pt idx="9">
                  <c:v>Dulces</c:v>
                </c:pt>
                <c:pt idx="10">
                  <c:v>Sopas</c:v>
                </c:pt>
                <c:pt idx="11">
                  <c:v>Aceite</c:v>
                </c:pt>
                <c:pt idx="12">
                  <c:v>Frutas y vegetales</c:v>
                </c:pt>
                <c:pt idx="13">
                  <c:v>Tarifa de envío</c:v>
                </c:pt>
                <c:pt idx="14">
                  <c:v>Granos</c:v>
                </c:pt>
              </c:strCache>
            </c:strRef>
          </c:cat>
          <c:val>
            <c:numRef>
              <c:f>'Tablas Dinámicas'!$B$39:$B$54</c:f>
              <c:numCache>
                <c:formatCode>_-"S/"* #,##0.00_-;\-"S/"* #,##0.00_-;_-"S/"* "-"??_-;_-@_-</c:formatCode>
                <c:ptCount val="15"/>
                <c:pt idx="0">
                  <c:v>1548079.5399999998</c:v>
                </c:pt>
                <c:pt idx="1">
                  <c:v>966000</c:v>
                </c:pt>
                <c:pt idx="2">
                  <c:v>721574</c:v>
                </c:pt>
                <c:pt idx="3">
                  <c:v>463814.39999999985</c:v>
                </c:pt>
                <c:pt idx="4">
                  <c:v>391993</c:v>
                </c:pt>
                <c:pt idx="5">
                  <c:v>356518.39999999997</c:v>
                </c:pt>
                <c:pt idx="6">
                  <c:v>283892</c:v>
                </c:pt>
                <c:pt idx="7">
                  <c:v>282471</c:v>
                </c:pt>
                <c:pt idx="8">
                  <c:v>266750.40000000002</c:v>
                </c:pt>
                <c:pt idx="9">
                  <c:v>249721.5</c:v>
                </c:pt>
                <c:pt idx="10">
                  <c:v>235614.39999999997</c:v>
                </c:pt>
                <c:pt idx="11">
                  <c:v>186513.60000000003</c:v>
                </c:pt>
                <c:pt idx="12">
                  <c:v>97188</c:v>
                </c:pt>
                <c:pt idx="13">
                  <c:v>50400</c:v>
                </c:pt>
                <c:pt idx="14">
                  <c:v>40376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8-4536-B4C5-43FE8A1608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133917887"/>
        <c:axId val="1133917407"/>
      </c:barChart>
      <c:catAx>
        <c:axId val="1133917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33917407"/>
        <c:crosses val="autoZero"/>
        <c:auto val="1"/>
        <c:lblAlgn val="ctr"/>
        <c:lblOffset val="100"/>
        <c:noMultiLvlLbl val="0"/>
      </c:catAx>
      <c:valAx>
        <c:axId val="1133917407"/>
        <c:scaling>
          <c:orientation val="minMax"/>
        </c:scaling>
        <c:delete val="1"/>
        <c:axPos val="b"/>
        <c:numFmt formatCode="_-&quot;S/&quot;* #,##0.00_-;\-&quot;S/&quot;* #,##0.00_-;_-&quot;S/&quot;* &quot;-&quot;??_-;_-@_-" sourceLinked="1"/>
        <c:majorTickMark val="none"/>
        <c:minorTickMark val="none"/>
        <c:tickLblPos val="nextTo"/>
        <c:crossAx val="113391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[Creacióndash MACROS 1.xlsm]Tablas Dinámicas!TD4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66675" cap="rnd">
            <a:solidFill>
              <a:srgbClr val="00B0F0"/>
            </a:solidFill>
            <a:round/>
          </a:ln>
          <a:effectLst/>
        </c:spPr>
        <c:marker>
          <c:symbol val="triangle"/>
          <c:size val="10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  <c:marker>
          <c:symbol val="triangle"/>
          <c:size val="10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'Tablas Dinámicas'!$B$57</c:f>
              <c:strCache>
                <c:ptCount val="1"/>
                <c:pt idx="0">
                  <c:v>Total</c:v>
                </c:pt>
              </c:strCache>
            </c:strRef>
          </c:tx>
          <c:spPr>
            <a:ln w="66675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66675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276-4BBA-8442-EB9172AA42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66675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276-4BBA-8442-EB9172AA42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66675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1C-4B88-9ABC-072FEB80CCA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66675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F1C-4B88-9ABC-072FEB80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Dinámicas'!$A$58:$A$62</c:f>
              <c:strCache>
                <c:ptCount val="4"/>
                <c:pt idx="0">
                  <c:v>Este</c:v>
                </c:pt>
                <c:pt idx="1">
                  <c:v>Norte</c:v>
                </c:pt>
                <c:pt idx="2">
                  <c:v>Oeste</c:v>
                </c:pt>
                <c:pt idx="3">
                  <c:v>Sur</c:v>
                </c:pt>
              </c:strCache>
            </c:strRef>
          </c:cat>
          <c:val>
            <c:numRef>
              <c:f>'Tablas Dinámicas'!$B$58:$B$62</c:f>
              <c:numCache>
                <c:formatCode>0.00%</c:formatCode>
                <c:ptCount val="4"/>
                <c:pt idx="0">
                  <c:v>0.2117783579924572</c:v>
                </c:pt>
                <c:pt idx="1">
                  <c:v>0.30388743835219029</c:v>
                </c:pt>
                <c:pt idx="2">
                  <c:v>0.24098249685717049</c:v>
                </c:pt>
                <c:pt idx="3">
                  <c:v>0.24335170679818199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8-4536-B4C5-43FE8A160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[Creacióndash MACROS 1.xlsm]Tablas Dinámicas!TD5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66675" cap="rnd">
            <a:solidFill>
              <a:srgbClr val="00B0F0"/>
            </a:solidFill>
            <a:round/>
          </a:ln>
          <a:effectLst/>
        </c:spPr>
        <c:marker>
          <c:symbol val="triangle"/>
          <c:size val="10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  <c:marker>
          <c:symbol val="triangle"/>
          <c:size val="10"/>
          <c:spPr>
            <a:solidFill>
              <a:srgbClr val="FFFF00"/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66675">
            <a:solidFill>
              <a:srgbClr val="00B0F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186221498907816E-2"/>
          <c:y val="0"/>
          <c:w val="0.89298385450400464"/>
          <c:h val="0.757096574982733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'Tablas Dinámicas'!$B$71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66675">
              <a:solidFill>
                <a:srgbClr val="00B0F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Dinámicas'!$A$72:$A$74</c:f>
              <c:strCache>
                <c:ptCount val="2"/>
                <c:pt idx="0">
                  <c:v>Efectivo</c:v>
                </c:pt>
                <c:pt idx="1">
                  <c:v>Tarjeta de crédito</c:v>
                </c:pt>
              </c:strCache>
            </c:strRef>
          </c:cat>
          <c:val>
            <c:numRef>
              <c:f>'Tablas Dinámicas'!$B$72:$B$74</c:f>
              <c:numCache>
                <c:formatCode>0.00%</c:formatCode>
                <c:ptCount val="2"/>
                <c:pt idx="0">
                  <c:v>0.40774586597040907</c:v>
                </c:pt>
                <c:pt idx="1">
                  <c:v>0.59225413402959093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8-4536-B4C5-43FE8A1608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33917887"/>
        <c:axId val="1133917407"/>
      </c:barChart>
      <c:catAx>
        <c:axId val="113391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133917407"/>
        <c:crosses val="autoZero"/>
        <c:auto val="1"/>
        <c:lblAlgn val="ctr"/>
        <c:lblOffset val="100"/>
        <c:noMultiLvlLbl val="0"/>
      </c:catAx>
      <c:valAx>
        <c:axId val="1133917407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133917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image" Target="../media/image3.svg"/><Relationship Id="rId7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chart" Target="../charts/chart6.xml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160020</xdr:colOff>
      <xdr:row>3</xdr:row>
      <xdr:rowOff>167640</xdr:rowOff>
    </xdr:from>
    <xdr:ext cx="10248900" cy="103489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51985AF-D719-4269-A0BA-D981894E256D}"/>
            </a:ext>
          </a:extLst>
        </xdr:cNvPr>
        <xdr:cNvSpPr/>
      </xdr:nvSpPr>
      <xdr:spPr>
        <a:xfrm>
          <a:off x="160020" y="1813560"/>
          <a:ext cx="10248900" cy="103489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6000" b="1" i="0" cap="none" spc="0" baseline="0">
              <a:ln w="9525">
                <a:noFill/>
                <a:prstDash val="solid"/>
              </a:ln>
              <a:solidFill>
                <a:schemeClr val="tx1"/>
              </a:solidFill>
              <a:effectLst/>
              <a:latin typeface="Gilroy ExtraBold" panose="00000900000000000000" pitchFamily="50" charset="0"/>
            </a:rPr>
            <a:t>Creación de un Dashboard</a:t>
          </a:r>
          <a:endParaRPr lang="es-ES" sz="4800" b="1" i="0" cap="none" spc="0">
            <a:ln w="9525">
              <a:noFill/>
              <a:prstDash val="solid"/>
            </a:ln>
            <a:solidFill>
              <a:schemeClr val="tx1"/>
            </a:solidFill>
            <a:effectLst/>
            <a:latin typeface="Gilroy ExtraBold" panose="00000900000000000000" pitchFamily="50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80029</xdr:colOff>
      <xdr:row>0</xdr:row>
      <xdr:rowOff>146539</xdr:rowOff>
    </xdr:from>
    <xdr:ext cx="4698594" cy="846386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1FA289B9-23A9-4C54-9E00-65824F667FC8}"/>
            </a:ext>
          </a:extLst>
        </xdr:cNvPr>
        <xdr:cNvSpPr/>
      </xdr:nvSpPr>
      <xdr:spPr>
        <a:xfrm>
          <a:off x="417959" y="146539"/>
          <a:ext cx="4698594" cy="84638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4800" b="1" i="0" cap="none" spc="0" baseline="0">
              <a:ln w="9525">
                <a:noFill/>
                <a:prstDash val="solid"/>
              </a:ln>
              <a:solidFill>
                <a:schemeClr val="tx1"/>
              </a:solidFill>
              <a:effectLst/>
              <a:latin typeface="Gilroy ExtraBold" panose="00000900000000000000" pitchFamily="50" charset="0"/>
            </a:rPr>
            <a:t>Requerimientos</a:t>
          </a:r>
          <a:endParaRPr lang="es-ES" sz="4000" b="1" i="0" cap="none" spc="0">
            <a:ln w="9525">
              <a:noFill/>
              <a:prstDash val="solid"/>
            </a:ln>
            <a:solidFill>
              <a:schemeClr val="tx1"/>
            </a:solidFill>
            <a:effectLst/>
            <a:latin typeface="Gilroy ExtraBold" panose="00000900000000000000" pitchFamily="50" charset="0"/>
          </a:endParaRPr>
        </a:p>
      </xdr:txBody>
    </xdr:sp>
    <xdr:clientData/>
  </xdr:oneCellAnchor>
  <xdr:twoCellAnchor>
    <xdr:from>
      <xdr:col>1</xdr:col>
      <xdr:colOff>287215</xdr:colOff>
      <xdr:row>6</xdr:row>
      <xdr:rowOff>117231</xdr:rowOff>
    </xdr:from>
    <xdr:to>
      <xdr:col>2</xdr:col>
      <xdr:colOff>5861</xdr:colOff>
      <xdr:row>8</xdr:row>
      <xdr:rowOff>93784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737A4885-0B91-4A0B-A57F-674ABE937E3C}"/>
            </a:ext>
          </a:extLst>
        </xdr:cNvPr>
        <xdr:cNvGrpSpPr/>
      </xdr:nvGrpSpPr>
      <xdr:grpSpPr>
        <a:xfrm>
          <a:off x="631929" y="1205802"/>
          <a:ext cx="526003" cy="357553"/>
          <a:chOff x="621323" y="1207477"/>
          <a:chExt cx="509953" cy="357553"/>
        </a:xfrm>
      </xdr:grpSpPr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74FCC5A4-A5D1-4B7F-8EF6-CF2A5AAB7B0F}"/>
              </a:ext>
            </a:extLst>
          </xdr:cNvPr>
          <xdr:cNvSpPr/>
        </xdr:nvSpPr>
        <xdr:spPr>
          <a:xfrm>
            <a:off x="709245" y="1207477"/>
            <a:ext cx="339969" cy="357553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400" b="1"/>
          </a:p>
        </xdr:txBody>
      </xdr:sp>
      <xdr:sp macro="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B63E119-2879-4362-8427-5CC1503C0E15}"/>
              </a:ext>
            </a:extLst>
          </xdr:cNvPr>
          <xdr:cNvSpPr txBox="1"/>
        </xdr:nvSpPr>
        <xdr:spPr>
          <a:xfrm>
            <a:off x="621323" y="1213339"/>
            <a:ext cx="509953" cy="2520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PE" sz="1600" b="1">
                <a:solidFill>
                  <a:schemeClr val="bg1"/>
                </a:solidFill>
              </a:rPr>
              <a:t>1</a:t>
            </a:r>
          </a:p>
        </xdr:txBody>
      </xdr:sp>
    </xdr:grpSp>
    <xdr:clientData/>
  </xdr:twoCellAnchor>
  <xdr:twoCellAnchor>
    <xdr:from>
      <xdr:col>1</xdr:col>
      <xdr:colOff>287215</xdr:colOff>
      <xdr:row>14</xdr:row>
      <xdr:rowOff>76201</xdr:rowOff>
    </xdr:from>
    <xdr:to>
      <xdr:col>2</xdr:col>
      <xdr:colOff>5861</xdr:colOff>
      <xdr:row>16</xdr:row>
      <xdr:rowOff>70338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7C0179D8-CA0A-443C-9625-606C65CC0D2D}"/>
            </a:ext>
          </a:extLst>
        </xdr:cNvPr>
        <xdr:cNvGrpSpPr/>
      </xdr:nvGrpSpPr>
      <xdr:grpSpPr>
        <a:xfrm>
          <a:off x="631929" y="2634344"/>
          <a:ext cx="526003" cy="375137"/>
          <a:chOff x="621323" y="1207477"/>
          <a:chExt cx="509953" cy="357553"/>
        </a:xfrm>
      </xdr:grpSpPr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812E7359-A62B-4C25-9D3D-A68713D4CF4D}"/>
              </a:ext>
            </a:extLst>
          </xdr:cNvPr>
          <xdr:cNvSpPr/>
        </xdr:nvSpPr>
        <xdr:spPr>
          <a:xfrm>
            <a:off x="709245" y="1207477"/>
            <a:ext cx="339969" cy="357553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400" b="1"/>
          </a:p>
        </xdr:txBody>
      </xdr:sp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F8708ED6-0801-41F1-9E41-96A724464791}"/>
              </a:ext>
            </a:extLst>
          </xdr:cNvPr>
          <xdr:cNvSpPr txBox="1"/>
        </xdr:nvSpPr>
        <xdr:spPr>
          <a:xfrm>
            <a:off x="621323" y="1213339"/>
            <a:ext cx="509953" cy="2520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PE" sz="1600" b="1">
                <a:solidFill>
                  <a:schemeClr val="bg1"/>
                </a:solidFill>
              </a:rPr>
              <a:t>2</a:t>
            </a:r>
          </a:p>
        </xdr:txBody>
      </xdr:sp>
    </xdr:grpSp>
    <xdr:clientData/>
  </xdr:twoCellAnchor>
  <xdr:twoCellAnchor>
    <xdr:from>
      <xdr:col>1</xdr:col>
      <xdr:colOff>287215</xdr:colOff>
      <xdr:row>19</xdr:row>
      <xdr:rowOff>41031</xdr:rowOff>
    </xdr:from>
    <xdr:to>
      <xdr:col>2</xdr:col>
      <xdr:colOff>5861</xdr:colOff>
      <xdr:row>21</xdr:row>
      <xdr:rowOff>35169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ED2CA880-F9FE-4525-8239-166B572DE524}"/>
            </a:ext>
          </a:extLst>
        </xdr:cNvPr>
        <xdr:cNvGrpSpPr/>
      </xdr:nvGrpSpPr>
      <xdr:grpSpPr>
        <a:xfrm>
          <a:off x="631929" y="3524460"/>
          <a:ext cx="526003" cy="375138"/>
          <a:chOff x="621323" y="1207477"/>
          <a:chExt cx="509953" cy="357553"/>
        </a:xfrm>
      </xdr:grpSpPr>
      <xdr:sp macro="" textlink="">
        <xdr:nvSpPr>
          <xdr:cNvPr id="12" name="Elipse 11">
            <a:extLst>
              <a:ext uri="{FF2B5EF4-FFF2-40B4-BE49-F238E27FC236}">
                <a16:creationId xmlns:a16="http://schemas.microsoft.com/office/drawing/2014/main" id="{71BCD212-5319-4323-A721-AC8D435223FE}"/>
              </a:ext>
            </a:extLst>
          </xdr:cNvPr>
          <xdr:cNvSpPr/>
        </xdr:nvSpPr>
        <xdr:spPr>
          <a:xfrm>
            <a:off x="709245" y="1207477"/>
            <a:ext cx="339969" cy="357553"/>
          </a:xfrm>
          <a:prstGeom prst="ellipse">
            <a:avLst/>
          </a:prstGeom>
          <a:solidFill>
            <a:srgbClr val="C00000"/>
          </a:solidFill>
          <a:ln>
            <a:noFill/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400" b="1"/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6F35A855-EC6F-4300-BA05-7BBA65A2FE92}"/>
              </a:ext>
            </a:extLst>
          </xdr:cNvPr>
          <xdr:cNvSpPr txBox="1"/>
        </xdr:nvSpPr>
        <xdr:spPr>
          <a:xfrm>
            <a:off x="621323" y="1213339"/>
            <a:ext cx="509953" cy="2520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s-PE" sz="1600" b="1">
                <a:solidFill>
                  <a:schemeClr val="bg1"/>
                </a:solidFill>
              </a:rPr>
              <a:t>3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711201</xdr:colOff>
      <xdr:row>3</xdr:row>
      <xdr:rowOff>22226</xdr:rowOff>
    </xdr:from>
    <xdr:to>
      <xdr:col>4</xdr:col>
      <xdr:colOff>1397001</xdr:colOff>
      <xdr:row>16</xdr:row>
      <xdr:rowOff>36286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852471-38A3-5BBF-C958-9C001D50B8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925286</xdr:colOff>
      <xdr:row>17</xdr:row>
      <xdr:rowOff>129722</xdr:rowOff>
    </xdr:from>
    <xdr:to>
      <xdr:col>5</xdr:col>
      <xdr:colOff>843643</xdr:colOff>
      <xdr:row>32</xdr:row>
      <xdr:rowOff>151493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93088AB-7BB5-0240-E4F8-3217ACB74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1124857</xdr:colOff>
      <xdr:row>34</xdr:row>
      <xdr:rowOff>25401</xdr:rowOff>
    </xdr:from>
    <xdr:to>
      <xdr:col>5</xdr:col>
      <xdr:colOff>1349375</xdr:colOff>
      <xdr:row>47</xdr:row>
      <xdr:rowOff>81644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43ACD9-56AE-29EB-21CD-B7906114C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1206500</xdr:colOff>
      <xdr:row>54</xdr:row>
      <xdr:rowOff>39008</xdr:rowOff>
    </xdr:from>
    <xdr:to>
      <xdr:col>5</xdr:col>
      <xdr:colOff>1088571</xdr:colOff>
      <xdr:row>65</xdr:row>
      <xdr:rowOff>54429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EBF6354-B288-0DF2-52F3-C38B29D43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480786</xdr:colOff>
      <xdr:row>65</xdr:row>
      <xdr:rowOff>170543</xdr:rowOff>
    </xdr:from>
    <xdr:to>
      <xdr:col>5</xdr:col>
      <xdr:colOff>789214</xdr:colOff>
      <xdr:row>77</xdr:row>
      <xdr:rowOff>72572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D776E3E-1970-1868-F824-CACA14EDD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213028</xdr:colOff>
      <xdr:row>2</xdr:row>
      <xdr:rowOff>38877</xdr:rowOff>
    </xdr:from>
    <xdr:to>
      <xdr:col>8</xdr:col>
      <xdr:colOff>373991</xdr:colOff>
      <xdr:row>18</xdr:row>
      <xdr:rowOff>84760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56B39279-6691-1A58-1925-B3213E6E205F}"/>
            </a:ext>
          </a:extLst>
        </xdr:cNvPr>
        <xdr:cNvSpPr/>
      </xdr:nvSpPr>
      <xdr:spPr>
        <a:xfrm>
          <a:off x="213028" y="518367"/>
          <a:ext cx="6277698" cy="2948740"/>
        </a:xfrm>
        <a:prstGeom prst="rect">
          <a:avLst/>
        </a:prstGeom>
        <a:solidFill>
          <a:srgbClr val="002060">
            <a:alpha val="55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186406</xdr:colOff>
      <xdr:row>21</xdr:row>
      <xdr:rowOff>137732</xdr:rowOff>
    </xdr:from>
    <xdr:to>
      <xdr:col>4</xdr:col>
      <xdr:colOff>165940</xdr:colOff>
      <xdr:row>37</xdr:row>
      <xdr:rowOff>41405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F9C5D4-D176-3A7F-4483-575E39D1BCBC}"/>
            </a:ext>
          </a:extLst>
        </xdr:cNvPr>
        <xdr:cNvSpPr/>
      </xdr:nvSpPr>
      <xdr:spPr>
        <a:xfrm>
          <a:off x="186406" y="4156817"/>
          <a:ext cx="3015144" cy="2877332"/>
        </a:xfrm>
        <a:prstGeom prst="rect">
          <a:avLst/>
        </a:prstGeom>
        <a:solidFill>
          <a:srgbClr val="002060">
            <a:alpha val="55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4</xdr:col>
      <xdr:colOff>433380</xdr:colOff>
      <xdr:row>21</xdr:row>
      <xdr:rowOff>106757</xdr:rowOff>
    </xdr:from>
    <xdr:to>
      <xdr:col>8</xdr:col>
      <xdr:colOff>412915</xdr:colOff>
      <xdr:row>36</xdr:row>
      <xdr:rowOff>170366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BBFE7F20-9B68-E7BF-7562-6EF058037ED8}"/>
            </a:ext>
          </a:extLst>
        </xdr:cNvPr>
        <xdr:cNvSpPr/>
      </xdr:nvSpPr>
      <xdr:spPr>
        <a:xfrm>
          <a:off x="3468990" y="4125842"/>
          <a:ext cx="3015145" cy="2851414"/>
        </a:xfrm>
        <a:prstGeom prst="rect">
          <a:avLst/>
        </a:prstGeom>
        <a:solidFill>
          <a:srgbClr val="002060">
            <a:alpha val="55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527493</xdr:colOff>
      <xdr:row>23</xdr:row>
      <xdr:rowOff>185414</xdr:rowOff>
    </xdr:from>
    <xdr:to>
      <xdr:col>16</xdr:col>
      <xdr:colOff>597743</xdr:colOff>
      <xdr:row>36</xdr:row>
      <xdr:rowOff>160933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9DB027B0-C458-909B-8511-A29947EBC69C}"/>
            </a:ext>
          </a:extLst>
        </xdr:cNvPr>
        <xdr:cNvSpPr/>
      </xdr:nvSpPr>
      <xdr:spPr>
        <a:xfrm>
          <a:off x="6598713" y="4576207"/>
          <a:ext cx="6141469" cy="2391616"/>
        </a:xfrm>
        <a:prstGeom prst="rect">
          <a:avLst/>
        </a:prstGeom>
        <a:solidFill>
          <a:srgbClr val="002060">
            <a:alpha val="55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596813</xdr:colOff>
      <xdr:row>2</xdr:row>
      <xdr:rowOff>21897</xdr:rowOff>
    </xdr:from>
    <xdr:to>
      <xdr:col>12</xdr:col>
      <xdr:colOff>361292</xdr:colOff>
      <xdr:row>8</xdr:row>
      <xdr:rowOff>100100</xdr:rowOff>
    </xdr:to>
    <xdr:sp macro="" textlink="'Tablas Dinámicas'!B84">
      <xdr:nvSpPr>
        <xdr:cNvPr id="6" name="Rectángulo 5">
          <a:extLst>
            <a:ext uri="{FF2B5EF4-FFF2-40B4-BE49-F238E27FC236}">
              <a16:creationId xmlns:a16="http://schemas.microsoft.com/office/drawing/2014/main" id="{AFCBF316-5BA5-6425-B40F-CD30F90996B1}"/>
            </a:ext>
          </a:extLst>
        </xdr:cNvPr>
        <xdr:cNvSpPr/>
      </xdr:nvSpPr>
      <xdr:spPr>
        <a:xfrm>
          <a:off x="6727847" y="503621"/>
          <a:ext cx="2829997" cy="1194927"/>
        </a:xfrm>
        <a:prstGeom prst="rect">
          <a:avLst/>
        </a:prstGeom>
        <a:solidFill>
          <a:srgbClr val="002060">
            <a:alpha val="55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8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  <a:p>
          <a:pPr algn="l"/>
          <a:fld id="{D179479C-B0EB-4AB2-8933-FE0DEFF74BDA}" type="TxLink">
            <a:rPr lang="en-US" sz="2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 S/ 249,721.50 </a:t>
          </a:fld>
          <a:endParaRPr lang="es-PE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621447</xdr:colOff>
      <xdr:row>3</xdr:row>
      <xdr:rowOff>65129</xdr:rowOff>
    </xdr:from>
    <xdr:to>
      <xdr:col>16</xdr:col>
      <xdr:colOff>600982</xdr:colOff>
      <xdr:row>16</xdr:row>
      <xdr:rowOff>109484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4B5F378D-44F6-E30C-3E60-AA6A458FAC06}"/>
            </a:ext>
          </a:extLst>
        </xdr:cNvPr>
        <xdr:cNvSpPr/>
      </xdr:nvSpPr>
      <xdr:spPr>
        <a:xfrm>
          <a:off x="9817999" y="732974"/>
          <a:ext cx="3045052" cy="2463924"/>
        </a:xfrm>
        <a:prstGeom prst="rect">
          <a:avLst/>
        </a:prstGeom>
        <a:solidFill>
          <a:srgbClr val="002060">
            <a:alpha val="5500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468803</xdr:colOff>
      <xdr:row>6</xdr:row>
      <xdr:rowOff>120135</xdr:rowOff>
    </xdr:from>
    <xdr:to>
      <xdr:col>8</xdr:col>
      <xdr:colOff>186266</xdr:colOff>
      <xdr:row>17</xdr:row>
      <xdr:rowOff>104902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54E0FB9-4352-469E-912A-49CF979DA0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473364</xdr:colOff>
      <xdr:row>3</xdr:row>
      <xdr:rowOff>127000</xdr:rowOff>
    </xdr:from>
    <xdr:to>
      <xdr:col>3</xdr:col>
      <xdr:colOff>484909</xdr:colOff>
      <xdr:row>6</xdr:row>
      <xdr:rowOff>57727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84E71B7B-C1E7-F6F1-5931-63A4231D0D11}"/>
            </a:ext>
          </a:extLst>
        </xdr:cNvPr>
        <xdr:cNvSpPr/>
      </xdr:nvSpPr>
      <xdr:spPr>
        <a:xfrm>
          <a:off x="473364" y="796636"/>
          <a:ext cx="2297545" cy="48490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Ventas</a:t>
          </a:r>
          <a:r>
            <a:rPr lang="es-PE" sz="1600" b="1" baseline="0"/>
            <a:t> Totales por Mes</a:t>
          </a:r>
          <a:endParaRPr lang="es-PE" sz="1600" b="1"/>
        </a:p>
      </xdr:txBody>
    </xdr:sp>
    <xdr:clientData/>
  </xdr:twoCellAnchor>
  <xdr:twoCellAnchor editAs="oneCell">
    <xdr:from>
      <xdr:col>0</xdr:col>
      <xdr:colOff>127001</xdr:colOff>
      <xdr:row>3</xdr:row>
      <xdr:rowOff>103910</xdr:rowOff>
    </xdr:from>
    <xdr:to>
      <xdr:col>0</xdr:col>
      <xdr:colOff>588819</xdr:colOff>
      <xdr:row>6</xdr:row>
      <xdr:rowOff>11546</xdr:rowOff>
    </xdr:to>
    <xdr:pic>
      <xdr:nvPicPr>
        <xdr:cNvPr id="12" name="Gráfico 11" descr="Calendario con relleno sólido">
          <a:extLst>
            <a:ext uri="{FF2B5EF4-FFF2-40B4-BE49-F238E27FC236}">
              <a16:creationId xmlns:a16="http://schemas.microsoft.com/office/drawing/2014/main" id="{F421981F-0A7A-2CEC-61A2-6ED567F42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001" y="773546"/>
          <a:ext cx="461818" cy="461818"/>
        </a:xfrm>
        <a:prstGeom prst="rect">
          <a:avLst/>
        </a:prstGeom>
      </xdr:spPr>
    </xdr:pic>
    <xdr:clientData/>
  </xdr:twoCellAnchor>
  <xdr:twoCellAnchor>
    <xdr:from>
      <xdr:col>0</xdr:col>
      <xdr:colOff>201894</xdr:colOff>
      <xdr:row>23</xdr:row>
      <xdr:rowOff>110388</xdr:rowOff>
    </xdr:from>
    <xdr:to>
      <xdr:col>3</xdr:col>
      <xdr:colOff>727363</xdr:colOff>
      <xdr:row>34</xdr:row>
      <xdr:rowOff>35682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9433FFB-99DF-450B-9ABC-CB65DBD9B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16855</xdr:colOff>
      <xdr:row>21</xdr:row>
      <xdr:rowOff>115095</xdr:rowOff>
    </xdr:from>
    <xdr:to>
      <xdr:col>4</xdr:col>
      <xdr:colOff>28399</xdr:colOff>
      <xdr:row>24</xdr:row>
      <xdr:rowOff>45822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9FA6E37B-9544-47D1-B24B-86BE22CCDA4C}"/>
            </a:ext>
          </a:extLst>
        </xdr:cNvPr>
        <xdr:cNvSpPr/>
      </xdr:nvSpPr>
      <xdr:spPr>
        <a:xfrm>
          <a:off x="775757" y="4134180"/>
          <a:ext cx="2288252" cy="48828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Top</a:t>
          </a:r>
          <a:r>
            <a:rPr lang="es-PE" sz="1600" b="1" baseline="0"/>
            <a:t> 5 Ventas Totales por Vendedor</a:t>
          </a:r>
          <a:endParaRPr lang="es-PE" sz="1600" b="1"/>
        </a:p>
      </xdr:txBody>
    </xdr:sp>
    <xdr:clientData/>
  </xdr:twoCellAnchor>
  <xdr:twoCellAnchor editAs="oneCell">
    <xdr:from>
      <xdr:col>0</xdr:col>
      <xdr:colOff>261472</xdr:colOff>
      <xdr:row>21</xdr:row>
      <xdr:rowOff>90194</xdr:rowOff>
    </xdr:from>
    <xdr:to>
      <xdr:col>0</xdr:col>
      <xdr:colOff>747060</xdr:colOff>
      <xdr:row>24</xdr:row>
      <xdr:rowOff>15488</xdr:rowOff>
    </xdr:to>
    <xdr:pic>
      <xdr:nvPicPr>
        <xdr:cNvPr id="18" name="Gráfico 17" descr="Grupo con relleno sólido">
          <a:extLst>
            <a:ext uri="{FF2B5EF4-FFF2-40B4-BE49-F238E27FC236}">
              <a16:creationId xmlns:a16="http://schemas.microsoft.com/office/drawing/2014/main" id="{B2EAA277-8382-B942-1C4E-99BC822B7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472" y="4109279"/>
          <a:ext cx="485588" cy="482855"/>
        </a:xfrm>
        <a:prstGeom prst="rect">
          <a:avLst/>
        </a:prstGeom>
      </xdr:spPr>
    </xdr:pic>
    <xdr:clientData/>
  </xdr:twoCellAnchor>
  <xdr:twoCellAnchor>
    <xdr:from>
      <xdr:col>4</xdr:col>
      <xdr:colOff>579872</xdr:colOff>
      <xdr:row>24</xdr:row>
      <xdr:rowOff>180478</xdr:rowOff>
    </xdr:from>
    <xdr:to>
      <xdr:col>8</xdr:col>
      <xdr:colOff>426827</xdr:colOff>
      <xdr:row>35</xdr:row>
      <xdr:rowOff>6984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94C9BF0C-F0FF-4FCB-9A24-C2F66EC62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128143</xdr:colOff>
      <xdr:row>21</xdr:row>
      <xdr:rowOff>140087</xdr:rowOff>
    </xdr:from>
    <xdr:to>
      <xdr:col>8</xdr:col>
      <xdr:colOff>139688</xdr:colOff>
      <xdr:row>24</xdr:row>
      <xdr:rowOff>70814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91795DE6-AE47-4CD8-BBE0-AB33838D09AF}"/>
            </a:ext>
          </a:extLst>
        </xdr:cNvPr>
        <xdr:cNvSpPr/>
      </xdr:nvSpPr>
      <xdr:spPr>
        <a:xfrm>
          <a:off x="3922655" y="4159172"/>
          <a:ext cx="2288253" cy="48828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Top</a:t>
          </a:r>
          <a:r>
            <a:rPr lang="es-PE" sz="1600" b="1" baseline="0"/>
            <a:t> 5 Ventas Totales por categoria</a:t>
          </a:r>
          <a:endParaRPr lang="es-PE" sz="1600" b="1"/>
        </a:p>
      </xdr:txBody>
    </xdr:sp>
    <xdr:clientData/>
  </xdr:twoCellAnchor>
  <xdr:twoCellAnchor>
    <xdr:from>
      <xdr:col>8</xdr:col>
      <xdr:colOff>684010</xdr:colOff>
      <xdr:row>26</xdr:row>
      <xdr:rowOff>27629</xdr:rowOff>
    </xdr:from>
    <xdr:to>
      <xdr:col>16</xdr:col>
      <xdr:colOff>116487</xdr:colOff>
      <xdr:row>36</xdr:row>
      <xdr:rowOff>126162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E0A85FF7-63B3-478B-9235-56B10B5BE3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339736</xdr:colOff>
      <xdr:row>24</xdr:row>
      <xdr:rowOff>67470</xdr:rowOff>
    </xdr:from>
    <xdr:to>
      <xdr:col>14</xdr:col>
      <xdr:colOff>702478</xdr:colOff>
      <xdr:row>26</xdr:row>
      <xdr:rowOff>184318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EDABD0CE-E65B-78FF-F836-E422F2B72537}"/>
            </a:ext>
          </a:extLst>
        </xdr:cNvPr>
        <xdr:cNvSpPr/>
      </xdr:nvSpPr>
      <xdr:spPr>
        <a:xfrm>
          <a:off x="7169858" y="4644116"/>
          <a:ext cx="4157254" cy="488556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Top</a:t>
          </a:r>
          <a:r>
            <a:rPr lang="es-PE" sz="1600" b="1" baseline="0"/>
            <a:t> 5 Ventas Totales por Vendedor</a:t>
          </a:r>
          <a:endParaRPr lang="es-PE" sz="1600" b="1"/>
        </a:p>
      </xdr:txBody>
    </xdr:sp>
    <xdr:clientData/>
  </xdr:twoCellAnchor>
  <xdr:twoCellAnchor>
    <xdr:from>
      <xdr:col>13</xdr:col>
      <xdr:colOff>82455</xdr:colOff>
      <xdr:row>4</xdr:row>
      <xdr:rowOff>103306</xdr:rowOff>
    </xdr:from>
    <xdr:to>
      <xdr:col>16</xdr:col>
      <xdr:colOff>394138</xdr:colOff>
      <xdr:row>15</xdr:row>
      <xdr:rowOff>135151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6EF22296-9E11-4F1B-B97A-AA7CF05D2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51505</xdr:colOff>
      <xdr:row>2</xdr:row>
      <xdr:rowOff>157444</xdr:rowOff>
    </xdr:from>
    <xdr:to>
      <xdr:col>17</xdr:col>
      <xdr:colOff>416035</xdr:colOff>
      <xdr:row>5</xdr:row>
      <xdr:rowOff>88171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752908F-5FCB-B5DB-6A03-CDE616270A23}"/>
            </a:ext>
          </a:extLst>
        </xdr:cNvPr>
        <xdr:cNvSpPr/>
      </xdr:nvSpPr>
      <xdr:spPr>
        <a:xfrm>
          <a:off x="9248057" y="639168"/>
          <a:ext cx="4196426" cy="489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%Ventas por forma de pago</a:t>
          </a:r>
        </a:p>
      </xdr:txBody>
    </xdr:sp>
    <xdr:clientData/>
  </xdr:twoCellAnchor>
  <xdr:twoCellAnchor>
    <xdr:from>
      <xdr:col>7</xdr:col>
      <xdr:colOff>719349</xdr:colOff>
      <xdr:row>1</xdr:row>
      <xdr:rowOff>113652</xdr:rowOff>
    </xdr:from>
    <xdr:to>
      <xdr:col>13</xdr:col>
      <xdr:colOff>317499</xdr:colOff>
      <xdr:row>4</xdr:row>
      <xdr:rowOff>44378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AB631865-88B2-EB65-C2DB-3D2F134CAB73}"/>
            </a:ext>
          </a:extLst>
        </xdr:cNvPr>
        <xdr:cNvSpPr/>
      </xdr:nvSpPr>
      <xdr:spPr>
        <a:xfrm>
          <a:off x="6084004" y="409255"/>
          <a:ext cx="4196426" cy="489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 baseline="0"/>
            <a:t> Ventas Totales </a:t>
          </a:r>
          <a:endParaRPr lang="es-PE" sz="1600" b="1"/>
        </a:p>
      </xdr:txBody>
    </xdr:sp>
    <xdr:clientData/>
  </xdr:twoCellAnchor>
  <xdr:twoCellAnchor editAs="oneCell">
    <xdr:from>
      <xdr:col>8</xdr:col>
      <xdr:colOff>547173</xdr:colOff>
      <xdr:row>16</xdr:row>
      <xdr:rowOff>24819</xdr:rowOff>
    </xdr:from>
    <xdr:to>
      <xdr:col>12</xdr:col>
      <xdr:colOff>531327</xdr:colOff>
      <xdr:row>20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Region">
              <a:extLst>
                <a:ext uri="{FF2B5EF4-FFF2-40B4-BE49-F238E27FC236}">
                  <a16:creationId xmlns:a16="http://schemas.microsoft.com/office/drawing/2014/main" id="{AD6E4900-FB92-BE7D-1192-1CA50BDD4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3908" y="3044309"/>
              <a:ext cx="3042521" cy="843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531868</xdr:colOff>
      <xdr:row>8</xdr:row>
      <xdr:rowOff>146927</xdr:rowOff>
    </xdr:from>
    <xdr:to>
      <xdr:col>12</xdr:col>
      <xdr:colOff>503620</xdr:colOff>
      <xdr:row>15</xdr:row>
      <xdr:rowOff>175173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Categoría">
              <a:extLst>
                <a:ext uri="{FF2B5EF4-FFF2-40B4-BE49-F238E27FC236}">
                  <a16:creationId xmlns:a16="http://schemas.microsoft.com/office/drawing/2014/main" id="{9B06DD83-E694-07C7-40D6-A70E7EF128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48603" y="1714988"/>
              <a:ext cx="3030119" cy="12982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631748</xdr:colOff>
      <xdr:row>14</xdr:row>
      <xdr:rowOff>185852</xdr:rowOff>
    </xdr:from>
    <xdr:to>
      <xdr:col>17</xdr:col>
      <xdr:colOff>565306</xdr:colOff>
      <xdr:row>22</xdr:row>
      <xdr:rowOff>108415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de orden2">
              <a:extLst>
                <a:ext uri="{FF2B5EF4-FFF2-40B4-BE49-F238E27FC236}">
                  <a16:creationId xmlns:a16="http://schemas.microsoft.com/office/drawing/2014/main" id="{614A85D2-99F0-4E65-9544-B0FC12F972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de orden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26587" y="2879481"/>
              <a:ext cx="3723074" cy="13974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0</xdr:col>
      <xdr:colOff>281214</xdr:colOff>
      <xdr:row>0</xdr:row>
      <xdr:rowOff>108857</xdr:rowOff>
    </xdr:from>
    <xdr:to>
      <xdr:col>2</xdr:col>
      <xdr:colOff>417286</xdr:colOff>
      <xdr:row>1</xdr:row>
      <xdr:rowOff>172357</xdr:rowOff>
    </xdr:to>
    <xdr:sp macro="[0]!Módulo1.MostrarElementos" textlink="">
      <xdr:nvSpPr>
        <xdr:cNvPr id="11" name="Rectángulo 10">
          <a:extLst>
            <a:ext uri="{FF2B5EF4-FFF2-40B4-BE49-F238E27FC236}">
              <a16:creationId xmlns:a16="http://schemas.microsoft.com/office/drawing/2014/main" id="{25071EEA-32FE-A3E7-4640-8785828D086C}"/>
            </a:ext>
          </a:extLst>
        </xdr:cNvPr>
        <xdr:cNvSpPr/>
      </xdr:nvSpPr>
      <xdr:spPr>
        <a:xfrm>
          <a:off x="281214" y="108857"/>
          <a:ext cx="1660072" cy="36285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MOSTRAR</a:t>
          </a:r>
          <a:r>
            <a:rPr lang="es-PE" sz="1100" baseline="0"/>
            <a:t> ELEMENTOS</a:t>
          </a:r>
          <a:endParaRPr lang="es-PE" sz="1100"/>
        </a:p>
      </xdr:txBody>
    </xdr:sp>
    <xdr:clientData/>
  </xdr:twoCellAnchor>
  <xdr:twoCellAnchor>
    <xdr:from>
      <xdr:col>2</xdr:col>
      <xdr:colOff>625928</xdr:colOff>
      <xdr:row>0</xdr:row>
      <xdr:rowOff>81643</xdr:rowOff>
    </xdr:from>
    <xdr:to>
      <xdr:col>5</xdr:col>
      <xdr:colOff>0</xdr:colOff>
      <xdr:row>1</xdr:row>
      <xdr:rowOff>145143</xdr:rowOff>
    </xdr:to>
    <xdr:sp macro="[0]!Módulo1.OcultarElementos" textlink="">
      <xdr:nvSpPr>
        <xdr:cNvPr id="13" name="Rectángulo 12">
          <a:extLst>
            <a:ext uri="{FF2B5EF4-FFF2-40B4-BE49-F238E27FC236}">
              <a16:creationId xmlns:a16="http://schemas.microsoft.com/office/drawing/2014/main" id="{6EB4553A-DD72-3663-4FC7-429CE6DBAABB}"/>
            </a:ext>
          </a:extLst>
        </xdr:cNvPr>
        <xdr:cNvSpPr/>
      </xdr:nvSpPr>
      <xdr:spPr>
        <a:xfrm>
          <a:off x="2149928" y="81643"/>
          <a:ext cx="1660072" cy="36285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aseline="0"/>
            <a:t>OCULTAR ELEMENTOS</a:t>
          </a:r>
          <a:endParaRPr lang="es-P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ric salinas" refreshedDate="45887.646188541665" createdVersion="8" refreshedVersion="8" minRefreshableVersion="3" recordCount="371" xr:uid="{F9C230D2-D0D9-44F3-BD66-8811F3508E54}">
  <cacheSource type="worksheet">
    <worksheetSource name="VENTAS"/>
  </cacheSource>
  <cacheFields count="20">
    <cacheField name="Folio" numFmtId="0">
      <sharedItems containsSemiMixedTypes="0" containsString="0" containsNumber="1" containsInteger="1" minValue="1001" maxValue="1434"/>
    </cacheField>
    <cacheField name="Fecha de orden" numFmtId="165">
      <sharedItems containsNonDate="0" containsDate="1" containsString="0" containsBlank="1" minDate="2018-01-01T00:00:00" maxDate="2018-12-30T00:00:00"/>
    </cacheField>
    <cacheField name="Fecha de orden2" numFmtId="165">
      <sharedItems containsSemiMixedTypes="0" containsNonDate="0" containsDate="1" containsString="0" minDate="1901-12-31T00:00:00" maxDate="2020-12-30T00:00:00" count="150">
        <d v="2020-01-27T00:00:00"/>
        <d v="2020-01-04T00:00:00"/>
        <d v="2020-01-12T00:00:00"/>
        <d v="2020-01-08T00:00:00"/>
        <d v="2020-01-29T00:00:00"/>
        <d v="2020-01-03T00:00:00"/>
        <d v="2020-01-06T00:00:00"/>
        <d v="2020-01-28T00:00:00"/>
        <d v="2020-01-10T00:00:00"/>
        <d v="2020-01-07T00:00:00"/>
        <d v="2020-01-11T00:00:00"/>
        <d v="2020-01-01T00:00:00"/>
        <d v="2020-01-09T00:00:00"/>
        <d v="2020-02-08T00:00:00"/>
        <d v="2020-02-03T00:00:00"/>
        <d v="2020-02-06T00:00:00"/>
        <d v="2020-02-28T00:00:00"/>
        <d v="2020-02-10T00:00:00"/>
        <d v="2020-02-11T00:00:00"/>
        <d v="2020-02-01T00:00:00"/>
        <d v="2020-02-09T00:00:00"/>
        <d v="2020-02-25T00:00:00"/>
        <d v="2020-02-26T00:00:00"/>
        <d v="2020-03-01T00:00:00"/>
        <d v="2020-02-04T00:00:00"/>
        <d v="2020-03-09T00:00:00"/>
        <d v="2020-03-06T00:00:00"/>
        <d v="2020-03-08T00:00:00"/>
        <d v="2020-03-25T00:00:00"/>
        <d v="2020-03-26T00:00:00"/>
        <d v="2020-03-29T00:00:00"/>
        <d v="2020-03-04T00:00:00"/>
        <d v="2020-03-03T00:00:00"/>
        <d v="2020-03-10T00:00:00"/>
        <d v="2020-03-11T00:00:00"/>
        <d v="2020-03-28T00:00:00"/>
        <d v="2020-04-04T00:00:00"/>
        <d v="2020-04-12T00:00:00"/>
        <d v="2020-04-08T00:00:00"/>
        <d v="2020-04-29T00:00:00"/>
        <d v="2020-04-03T00:00:00"/>
        <d v="2020-04-06T00:00:00"/>
        <d v="2020-04-28T00:00:00"/>
        <d v="2020-04-10T00:00:00"/>
        <d v="2020-04-07T00:00:00"/>
        <d v="2020-04-11T00:00:00"/>
        <d v="2020-04-01T00:00:00"/>
        <d v="2020-05-29T00:00:00"/>
        <d v="2020-05-03T00:00:00"/>
        <d v="2020-05-06T00:00:00"/>
        <d v="2020-05-28T00:00:00"/>
        <d v="2020-05-08T00:00:00"/>
        <d v="2020-05-10T00:00:00"/>
        <d v="2020-05-07T00:00:00"/>
        <d v="2020-05-11T00:00:00"/>
        <d v="2020-05-01T00:00:00"/>
        <d v="2020-05-09T00:00:00"/>
        <d v="2020-05-25T00:00:00"/>
        <d v="2020-05-26T00:00:00"/>
        <d v="2020-05-04T00:00:00"/>
        <d v="2020-06-07T00:00:00"/>
        <d v="2020-06-10T00:00:00"/>
        <d v="2020-06-11T00:00:00"/>
        <d v="2020-06-01T00:00:00"/>
        <d v="2020-06-28T00:00:00"/>
        <d v="2020-06-09T00:00:00"/>
        <d v="2020-06-06T00:00:00"/>
        <d v="2020-06-08T00:00:00"/>
        <d v="2020-06-25T00:00:00"/>
        <d v="2020-06-26T00:00:00"/>
        <d v="2020-06-29T00:00:00"/>
        <d v="2020-06-04T00:00:00"/>
        <d v="2020-06-03T00:00:00"/>
        <d v="2020-07-01T00:00:00"/>
        <d v="2020-07-28T00:00:00"/>
        <d v="2020-07-09T00:00:00"/>
        <d v="2020-07-06T00:00:00"/>
        <d v="2020-07-08T00:00:00"/>
        <d v="2020-07-25T00:00:00"/>
        <d v="2020-07-26T00:00:00"/>
        <d v="2020-07-29T00:00:00"/>
        <d v="2020-07-04T00:00:00"/>
        <d v="2020-07-03T00:00:00"/>
        <d v="2020-07-10T00:00:00"/>
        <d v="2020-07-11T00:00:00"/>
        <d v="2020-08-28T00:00:00"/>
        <d v="2020-08-08T00:00:00"/>
        <d v="2020-08-10T00:00:00"/>
        <d v="2020-08-07T00:00:00"/>
        <d v="2020-08-11T00:00:00"/>
        <d v="2020-08-01T00:00:00"/>
        <d v="2020-08-09T00:00:00"/>
        <d v="2020-08-06T00:00:00"/>
        <d v="2020-08-25T00:00:00"/>
        <d v="2020-08-26T00:00:00"/>
        <d v="2020-08-29T00:00:00"/>
        <d v="2020-08-04T00:00:00"/>
        <d v="2020-09-10T00:00:00"/>
        <d v="2020-09-11T00:00:00"/>
        <d v="2020-09-01T00:00:00"/>
        <d v="2020-09-28T00:00:00"/>
        <d v="2020-09-09T00:00:00"/>
        <d v="2020-09-06T00:00:00"/>
        <d v="2020-09-08T00:00:00"/>
        <d v="2020-09-25T00:00:00"/>
        <d v="2020-09-26T00:00:00"/>
        <d v="2020-09-29T00:00:00"/>
        <d v="2020-09-04T00:00:00"/>
        <d v="2020-09-03T00:00:00"/>
        <d v="2020-10-06T00:00:00"/>
        <d v="2020-10-28T00:00:00"/>
        <d v="2020-10-08T00:00:00"/>
        <d v="2020-10-10T00:00:00"/>
        <d v="2020-10-07T00:00:00"/>
        <d v="2020-10-11T00:00:00"/>
        <d v="2020-10-01T00:00:00"/>
        <d v="2020-10-09T00:00:00"/>
        <d v="2020-10-25T00:00:00"/>
        <d v="2020-10-26T00:00:00"/>
        <d v="2020-10-29T00:00:00"/>
        <d v="2020-10-04T00:00:00"/>
        <d v="2020-10-03T00:00:00"/>
        <d v="2020-11-10T00:00:00"/>
        <d v="2020-11-11T00:00:00"/>
        <d v="2020-11-01T00:00:00"/>
        <d v="2020-11-28T00:00:00"/>
        <d v="2020-11-09T00:00:00"/>
        <d v="2020-11-06T00:00:00"/>
        <d v="2020-11-08T00:00:00"/>
        <d v="2020-11-25T00:00:00"/>
        <d v="2020-11-26T00:00:00"/>
        <d v="2020-11-29T00:00:00"/>
        <d v="2020-11-04T00:00:00"/>
        <d v="2020-11-03T00:00:00"/>
        <d v="2020-12-27T00:00:00"/>
        <d v="2020-12-04T00:00:00"/>
        <d v="2020-12-12T00:00:00"/>
        <d v="2020-12-08T00:00:00"/>
        <d v="2020-12-29T00:00:00"/>
        <d v="2020-12-03T00:00:00"/>
        <d v="2020-12-06T00:00:00"/>
        <d v="2020-12-28T00:00:00"/>
        <d v="2020-12-10T00:00:00"/>
        <d v="2020-12-07T00:00:00"/>
        <d v="2020-12-11T00:00:00"/>
        <d v="2020-12-01T00:00:00"/>
        <d v="2020-12-09T00:00:00"/>
        <d v="2020-12-25T00:00:00"/>
        <d v="2020-12-26T00:00:00"/>
        <d v="1901-12-31T00:00:00"/>
      </sharedItems>
      <fieldGroup par="19"/>
    </cacheField>
    <cacheField name="Num. cliente" numFmtId="0">
      <sharedItems containsSemiMixedTypes="0" containsString="0" containsNumber="1" containsInteger="1" minValue="1" maxValue="29"/>
    </cacheField>
    <cacheField name="Nombre cliente" numFmtId="0">
      <sharedItems/>
    </cacheField>
    <cacheField name="Ciudad" numFmtId="0">
      <sharedItems/>
    </cacheField>
    <cacheField name="Estado" numFmtId="0">
      <sharedItems/>
    </cacheField>
    <cacheField name="Vendedor" numFmtId="0">
      <sharedItems count="9">
        <s v="Mayra Aguilar Sepúlveda"/>
        <s v="Andrés González Rico"/>
        <s v="Nancy Gil de la Peña"/>
        <s v="José de Jesús Morales"/>
        <s v="Luis Miguel Valdés Garza"/>
        <s v="Ana del Valle Hinojosa"/>
        <s v="Laura Gutiérrez Saenz"/>
        <s v="Robert Zárate Carrillo"/>
        <s v="Luis Cuadros Garcia"/>
      </sharedItems>
    </cacheField>
    <cacheField name="Region" numFmtId="0">
      <sharedItems count="4">
        <s v="Este"/>
        <s v="Sur"/>
        <s v="Norte"/>
        <s v="Oeste"/>
      </sharedItems>
    </cacheField>
    <cacheField name="Fecha de embarque" numFmtId="165">
      <sharedItems containsNonDate="0" containsDate="1" containsString="0" containsBlank="1" minDate="2018-01-05T00:00:00" maxDate="2019-01-01T00:00:00"/>
    </cacheField>
    <cacheField name="Fecha de embarque3" numFmtId="165">
      <sharedItems containsSemiMixedTypes="0" containsNonDate="0" containsDate="1" containsString="0" minDate="1901-12-31T00:00:00" maxDate="2021-01-01T00:00:00"/>
    </cacheField>
    <cacheField name="Empresa fletera" numFmtId="0">
      <sharedItems containsBlank="1"/>
    </cacheField>
    <cacheField name="Forma de pago" numFmtId="0">
      <sharedItems count="2">
        <s v="Efectivo"/>
        <s v="Tarjeta de crédito"/>
      </sharedItems>
    </cacheField>
    <cacheField name="Nombre del producto" numFmtId="0">
      <sharedItems/>
    </cacheField>
    <cacheField name="Categoría" numFmtId="0">
      <sharedItems count="17">
        <s v="Bebidas"/>
        <s v="Frutas secas"/>
        <s v="Productos horneados"/>
        <s v="Dulces"/>
        <s v="Sopas"/>
        <s v="Salsas"/>
        <s v="Mermeladas y jaleas"/>
        <s v="Condimentos"/>
        <s v="Carne enlatada"/>
        <s v="Pasta"/>
        <s v="Productos lácteos"/>
        <s v="Tarifa de envío"/>
        <s v="Frutas y vegetales"/>
        <s v="Aceite"/>
        <s v="Granos"/>
        <s v="Gaseosa"/>
        <s v="Lácteos"/>
      </sharedItems>
    </cacheField>
    <cacheField name="Precio unitario" numFmtId="164">
      <sharedItems containsSemiMixedTypes="0" containsString="0" containsNumber="1" minValue="41.86" maxValue="1134"/>
    </cacheField>
    <cacheField name="Cantidad" numFmtId="0">
      <sharedItems containsSemiMixedTypes="0" containsString="0" containsNumber="1" containsInteger="1" minValue="10" maxValue="100"/>
    </cacheField>
    <cacheField name="Venta Total" numFmtId="164">
      <sharedItems containsSemiMixedTypes="0" containsString="0" containsNumber="1" minValue="539" maxValue="111132"/>
    </cacheField>
    <cacheField name="Tarifa de envío" numFmtId="164">
      <sharedItems containsSemiMixedTypes="0" containsString="0" containsNumber="1" minValue="30" maxValue="10779.804"/>
    </cacheField>
    <cacheField name="Meses (Fecha de orden2)" numFmtId="0" databaseField="0">
      <fieldGroup base="2">
        <rangePr groupBy="months" startDate="1901-12-31T00:00:00" endDate="2020-12-30T00:00:00"/>
        <groupItems count="14">
          <s v="&lt;31/12/1901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0/12/2020"/>
        </groupItems>
      </fieldGroup>
    </cacheField>
  </cacheFields>
  <extLst>
    <ext xmlns:x14="http://schemas.microsoft.com/office/spreadsheetml/2009/9/main" uri="{725AE2AE-9491-48be-B2B4-4EB974FC3084}">
      <x14:pivotCacheDefinition pivotCacheId="131109535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1">
  <r>
    <n v="1001"/>
    <d v="2018-01-27T00:00:00"/>
    <x v="0"/>
    <n v="27"/>
    <s v="MENDOZA PEREYRA, Rosa"/>
    <s v="Mazatlán"/>
    <s v="Sinaloa"/>
    <x v="0"/>
    <x v="0"/>
    <d v="2018-01-29T00:00:00"/>
    <d v="2020-01-29T00:00:00"/>
    <s v="Empresa de embarque #2"/>
    <x v="0"/>
    <s v="Cerveza"/>
    <x v="0"/>
    <n v="196"/>
    <n v="49"/>
    <n v="9604"/>
    <n v="931.58799999999997"/>
  </r>
  <r>
    <n v="1002"/>
    <d v="2018-01-27T00:00:00"/>
    <x v="0"/>
    <n v="27"/>
    <s v="SHEFFER MENDOZA, Milagros"/>
    <s v="Mazatlán"/>
    <s v="Sinaloa"/>
    <x v="0"/>
    <x v="0"/>
    <d v="2018-01-29T00:00:00"/>
    <d v="2020-01-29T00:00:00"/>
    <s v="Empresa de embarque #2"/>
    <x v="0"/>
    <s v="Ciruelas secas"/>
    <x v="1"/>
    <n v="49"/>
    <n v="47"/>
    <n v="2303"/>
    <n v="232.60300000000001"/>
  </r>
  <r>
    <n v="1003"/>
    <d v="2018-01-04T00:00:00"/>
    <x v="1"/>
    <n v="4"/>
    <s v="ALVARADO TIRADO, Patricia"/>
    <s v="Querétaro"/>
    <s v="Querétaro"/>
    <x v="1"/>
    <x v="1"/>
    <d v="2018-01-06T00:00:00"/>
    <d v="2020-01-06T00:00:00"/>
    <s v="Empresa de embarque #1"/>
    <x v="1"/>
    <s v="Peras secas"/>
    <x v="1"/>
    <n v="420"/>
    <n v="69"/>
    <n v="28980"/>
    <n v="2782.08"/>
  </r>
  <r>
    <n v="1004"/>
    <d v="2018-01-04T00:00:00"/>
    <x v="1"/>
    <n v="4"/>
    <s v="BECERRA CRUZADO, Tania"/>
    <s v="Querétaro"/>
    <s v="Querétaro"/>
    <x v="1"/>
    <x v="1"/>
    <d v="2018-01-06T00:00:00"/>
    <d v="2020-01-06T00:00:00"/>
    <s v="Empresa de embarque #1"/>
    <x v="1"/>
    <s v="Manzanas secas"/>
    <x v="1"/>
    <n v="742"/>
    <n v="89"/>
    <n v="66038"/>
    <n v="6273.6100000000006"/>
  </r>
  <r>
    <n v="1005"/>
    <d v="2018-01-04T00:00:00"/>
    <x v="1"/>
    <n v="4"/>
    <s v="HILARIO CANOVA, Corina"/>
    <s v="Querétaro"/>
    <s v="Querétaro"/>
    <x v="1"/>
    <x v="1"/>
    <d v="2018-01-06T00:00:00"/>
    <d v="2020-01-06T00:00:00"/>
    <s v="Empresa de embarque #1"/>
    <x v="1"/>
    <s v="Ciruelas secas"/>
    <x v="1"/>
    <n v="49"/>
    <n v="11"/>
    <n v="539"/>
    <n v="52.283000000000001"/>
  </r>
  <r>
    <n v="1006"/>
    <d v="2018-01-12T00:00:00"/>
    <x v="2"/>
    <n v="12"/>
    <s v="DEXTRE PEREZ, Zenia"/>
    <s v="Mazatlán"/>
    <s v="Sinaloa"/>
    <x v="0"/>
    <x v="0"/>
    <d v="2018-01-14T00:00:00"/>
    <d v="2020-01-14T00:00:00"/>
    <s v="Empresa de embarque #2"/>
    <x v="1"/>
    <s v="Té chai"/>
    <x v="0"/>
    <n v="252"/>
    <n v="81"/>
    <n v="20412"/>
    <n v="1979.9640000000002"/>
  </r>
  <r>
    <n v="1007"/>
    <d v="2018-01-12T00:00:00"/>
    <x v="2"/>
    <n v="12"/>
    <s v="ODAR BARRIENTE, Karina"/>
    <s v="Mazatlán"/>
    <s v="Sinaloa"/>
    <x v="0"/>
    <x v="0"/>
    <d v="2018-01-14T00:00:00"/>
    <d v="2020-01-14T00:00:00"/>
    <s v="Empresa de embarque #2"/>
    <x v="1"/>
    <s v="Café"/>
    <x v="0"/>
    <n v="644"/>
    <n v="44"/>
    <n v="28336"/>
    <n v="2776.9279999999999"/>
  </r>
  <r>
    <n v="1008"/>
    <d v="2018-01-08T00:00:00"/>
    <x v="3"/>
    <n v="8"/>
    <s v="ALLCCARIMA CRISOSTOMO, Eliana"/>
    <s v="Monterrey"/>
    <s v="Nuevo León"/>
    <x v="2"/>
    <x v="2"/>
    <d v="2018-01-10T00:00:00"/>
    <d v="2020-01-10T00:00:00"/>
    <s v="Empresa de embarque #3"/>
    <x v="1"/>
    <s v="Galletas de chocolate"/>
    <x v="2"/>
    <n v="128.79999999999998"/>
    <n v="38"/>
    <n v="4894.3999999999996"/>
    <n v="504.1232"/>
  </r>
  <r>
    <n v="1009"/>
    <d v="2018-01-04T00:00:00"/>
    <x v="1"/>
    <n v="4"/>
    <s v="CUBAS PEREZ, Nelly"/>
    <s v="Querétaro"/>
    <s v="Querétaro"/>
    <x v="1"/>
    <x v="1"/>
    <d v="2018-01-06T00:00:00"/>
    <d v="2020-01-06T00:00:00"/>
    <s v="Empresa de embarque #3"/>
    <x v="0"/>
    <s v="Galletas de chocolate"/>
    <x v="2"/>
    <n v="128.79999999999998"/>
    <n v="88"/>
    <n v="11334.399999999998"/>
    <n v="1110.7711999999999"/>
  </r>
  <r>
    <n v="1010"/>
    <d v="2018-01-29T00:00:00"/>
    <x v="4"/>
    <n v="29"/>
    <s v="PALOMINO GARCIA, Selene"/>
    <s v="Puerto Vallarta"/>
    <s v="Jalisco"/>
    <x v="3"/>
    <x v="0"/>
    <d v="2018-01-31T00:00:00"/>
    <d v="2020-01-31T00:00:00"/>
    <s v="Empresa de embarque #2"/>
    <x v="0"/>
    <s v="Chocolate"/>
    <x v="3"/>
    <n v="178.5"/>
    <n v="94"/>
    <n v="16779"/>
    <n v="1711.4580000000001"/>
  </r>
  <r>
    <n v="1011"/>
    <d v="2018-01-03T00:00:00"/>
    <x v="5"/>
    <n v="3"/>
    <s v="CONTRERAS RAMOS, Roxi"/>
    <s v="Acapulco"/>
    <s v="Guerrero"/>
    <x v="0"/>
    <x v="0"/>
    <d v="2018-01-05T00:00:00"/>
    <d v="2020-01-05T00:00:00"/>
    <s v="Empresa de embarque #2"/>
    <x v="0"/>
    <s v="Almejas"/>
    <x v="4"/>
    <n v="135.1"/>
    <n v="91"/>
    <n v="12294.1"/>
    <n v="1290.8805"/>
  </r>
  <r>
    <n v="1012"/>
    <d v="2018-01-06T00:00:00"/>
    <x v="6"/>
    <n v="6"/>
    <s v="PONCE HERMOZA, Catalina"/>
    <s v="Tijuana"/>
    <s v="Baja California"/>
    <x v="4"/>
    <x v="2"/>
    <d v="2018-01-08T00:00:00"/>
    <d v="2020-01-08T00:00:00"/>
    <s v="Empresa de embarque #2"/>
    <x v="1"/>
    <s v="Salsa curry"/>
    <x v="5"/>
    <n v="560"/>
    <n v="32"/>
    <n v="17920"/>
    <n v="1863.68"/>
  </r>
  <r>
    <n v="1013"/>
    <d v="2018-01-28T00:00:00"/>
    <x v="7"/>
    <n v="28"/>
    <s v="SOLIER ZAMORA, Susy"/>
    <s v="Toluca"/>
    <s v="Estado de México"/>
    <x v="5"/>
    <x v="3"/>
    <d v="2018-01-30T00:00:00"/>
    <d v="2020-01-30T00:00:00"/>
    <s v="Empresa de embarque #3"/>
    <x v="0"/>
    <s v="Café"/>
    <x v="0"/>
    <n v="644"/>
    <n v="55"/>
    <n v="35420"/>
    <n v="3542"/>
  </r>
  <r>
    <n v="1014"/>
    <d v="2018-01-08T00:00:00"/>
    <x v="3"/>
    <n v="8"/>
    <s v="VASQUEZ RUIZ, Gladys"/>
    <s v="Monterrey"/>
    <s v="Nuevo León"/>
    <x v="2"/>
    <x v="2"/>
    <d v="2018-01-10T00:00:00"/>
    <d v="2020-01-10T00:00:00"/>
    <s v="Empresa de embarque #3"/>
    <x v="0"/>
    <s v="Chocolate"/>
    <x v="3"/>
    <n v="178.5"/>
    <n v="47"/>
    <n v="8389.5"/>
    <n v="864.11850000000004"/>
  </r>
  <r>
    <n v="1015"/>
    <d v="2018-01-10T00:00:00"/>
    <x v="8"/>
    <n v="10"/>
    <s v="GALAN GALLARDO, Aracely"/>
    <s v="León"/>
    <s v="Guanajuato"/>
    <x v="6"/>
    <x v="1"/>
    <d v="2018-01-12T00:00:00"/>
    <d v="2020-01-12T00:00:00"/>
    <s v="Empresa de embarque #2"/>
    <x v="1"/>
    <s v="Té verde"/>
    <x v="0"/>
    <n v="41.86"/>
    <n v="90"/>
    <n v="3767.4"/>
    <n v="388.04220000000009"/>
  </r>
  <r>
    <n v="1016"/>
    <d v="2018-01-07T00:00:00"/>
    <x v="9"/>
    <n v="7"/>
    <s v="ACOSTA ARMAS SANDRA PAOLA"/>
    <s v="Chihuahua"/>
    <s v="Chihuahua"/>
    <x v="2"/>
    <x v="2"/>
    <d v="2018-01-13T00:00:00"/>
    <d v="2020-01-13T00:00:00"/>
    <s v="Empresa de embarque #2"/>
    <x v="1"/>
    <s v="Café"/>
    <x v="0"/>
    <n v="644"/>
    <n v="24"/>
    <n v="15456"/>
    <n v="1545.6000000000001"/>
  </r>
  <r>
    <n v="1017"/>
    <d v="2018-01-10T00:00:00"/>
    <x v="8"/>
    <n v="10"/>
    <s v="ALCANTARA CHANDUVI CRISTOPHER"/>
    <s v="León"/>
    <s v="Guanajuato"/>
    <x v="6"/>
    <x v="1"/>
    <d v="2018-01-12T00:00:00"/>
    <d v="2020-01-12T00:00:00"/>
    <s v="Empresa de embarque #1"/>
    <x v="0"/>
    <s v="Jalea de fresa"/>
    <x v="6"/>
    <n v="350"/>
    <n v="34"/>
    <n v="11900"/>
    <n v="1130.5"/>
  </r>
  <r>
    <n v="1018"/>
    <d v="2018-01-10T00:00:00"/>
    <x v="8"/>
    <n v="10"/>
    <s v="ALMONACID PINEDA VIVIANA THAIS"/>
    <s v="León"/>
    <s v="Guanajuato"/>
    <x v="6"/>
    <x v="1"/>
    <d v="2018-01-12T00:00:00"/>
    <d v="2020-01-12T00:00:00"/>
    <s v="Empresa de embarque #1"/>
    <x v="0"/>
    <s v="Condimento cajún"/>
    <x v="7"/>
    <n v="308"/>
    <n v="17"/>
    <n v="5236"/>
    <n v="502.65599999999995"/>
  </r>
  <r>
    <n v="1019"/>
    <d v="2018-01-10T00:00:00"/>
    <x v="8"/>
    <n v="10"/>
    <s v="BALBIN CUSQUISIBAN DARIANA ISABEL"/>
    <s v="León"/>
    <s v="Guanajuato"/>
    <x v="6"/>
    <x v="1"/>
    <d v="2018-01-12T00:00:00"/>
    <d v="2020-01-12T00:00:00"/>
    <s v="Empresa de embarque #1"/>
    <x v="0"/>
    <s v="Galletas de chocolate"/>
    <x v="2"/>
    <n v="128.79999999999998"/>
    <n v="44"/>
    <n v="5667.1999999999989"/>
    <n v="589.38879999999995"/>
  </r>
  <r>
    <n v="1020"/>
    <d v="2018-01-11T00:00:00"/>
    <x v="10"/>
    <n v="11"/>
    <s v="CAMASCA CENENO JHOEL LUIS"/>
    <s v="Ciudad de México"/>
    <s v="Ciudad de México"/>
    <x v="5"/>
    <x v="3"/>
    <d v="2018-01-13T00:00:00"/>
    <d v="2020-01-13T00:00:00"/>
    <s v="Empresa de embarque #3"/>
    <x v="0"/>
    <s v="Ciruelas secas"/>
    <x v="1"/>
    <n v="49"/>
    <n v="81"/>
    <n v="3969"/>
    <n v="384.99299999999999"/>
  </r>
  <r>
    <n v="1021"/>
    <d v="2018-01-11T00:00:00"/>
    <x v="10"/>
    <n v="11"/>
    <s v="CARBAJAL HUANCAS CARLOS ABEL"/>
    <s v="Ciudad de México"/>
    <s v="Ciudad de México"/>
    <x v="5"/>
    <x v="3"/>
    <d v="2018-01-14T00:00:00"/>
    <d v="2020-01-14T00:00:00"/>
    <s v="Empresa de embarque #3"/>
    <x v="0"/>
    <s v="Té verde"/>
    <x v="0"/>
    <n v="41.86"/>
    <n v="49"/>
    <n v="2051.14"/>
    <n v="211.26742000000007"/>
  </r>
  <r>
    <n v="1022"/>
    <d v="2018-01-01T00:00:00"/>
    <x v="11"/>
    <n v="1"/>
    <s v="CASTILLO AGUIRRE GUADALUPE VANESSA"/>
    <s v="Torreón"/>
    <s v="Coahuila"/>
    <x v="2"/>
    <x v="2"/>
    <d v="2018-01-15T00:00:00"/>
    <d v="2020-01-15T00:00:00"/>
    <s v="Empresa de embarque #3"/>
    <x v="1"/>
    <s v="Té chai"/>
    <x v="0"/>
    <n v="252"/>
    <n v="42"/>
    <n v="10584"/>
    <n v="1058.4000000000001"/>
  </r>
  <r>
    <n v="1023"/>
    <d v="2018-01-01T00:00:00"/>
    <x v="11"/>
    <n v="1"/>
    <s v="CCASA TICONA NELLY"/>
    <s v="Torreón"/>
    <s v="Coahuila"/>
    <x v="2"/>
    <x v="2"/>
    <d v="2018-01-16T00:00:00"/>
    <d v="2020-01-16T00:00:00"/>
    <s v="Empresa de embarque #3"/>
    <x v="1"/>
    <s v="Café"/>
    <x v="0"/>
    <n v="644"/>
    <n v="58"/>
    <n v="37352"/>
    <n v="3772.5520000000001"/>
  </r>
  <r>
    <n v="1024"/>
    <d v="2018-01-01T00:00:00"/>
    <x v="11"/>
    <n v="1"/>
    <s v="CONDORI PALOMINO LUCERO"/>
    <s v="Torreón"/>
    <s v="Coahuila"/>
    <x v="2"/>
    <x v="2"/>
    <d v="2018-01-17T00:00:00"/>
    <d v="2020-01-17T00:00:00"/>
    <s v="Empresa de embarque #3"/>
    <x v="0"/>
    <s v="Té verde"/>
    <x v="0"/>
    <n v="41.86"/>
    <n v="67"/>
    <n v="2804.62"/>
    <n v="280.46199999999999"/>
  </r>
  <r>
    <n v="1025"/>
    <d v="2018-01-28T00:00:00"/>
    <x v="7"/>
    <n v="28"/>
    <s v="ENCARNACIÓN VENTURA FELICITA"/>
    <s v="Toluca"/>
    <s v="Estado de México"/>
    <x v="5"/>
    <x v="3"/>
    <d v="2018-01-30T00:00:00"/>
    <d v="2020-01-30T00:00:00"/>
    <s v="Empresa de embarque #3"/>
    <x v="1"/>
    <s v="Almejas"/>
    <x v="4"/>
    <n v="135.1"/>
    <n v="100"/>
    <n v="13510"/>
    <n v="1310.47"/>
  </r>
  <r>
    <n v="1026"/>
    <d v="2018-01-28T00:00:00"/>
    <x v="7"/>
    <n v="28"/>
    <s v="FLORES DE LA MATA ANGEEL JOHAGNETH VALERIA"/>
    <s v="Toluca"/>
    <s v="Estado de México"/>
    <x v="5"/>
    <x v="3"/>
    <d v="2018-01-30T00:00:00"/>
    <d v="2020-01-30T00:00:00"/>
    <s v="Empresa de embarque #3"/>
    <x v="1"/>
    <s v="Carne de cangrejo"/>
    <x v="8"/>
    <n v="257.59999999999997"/>
    <n v="63"/>
    <n v="16228.799999999997"/>
    <n v="1606.6511999999998"/>
  </r>
  <r>
    <n v="1027"/>
    <d v="2018-01-09T00:00:00"/>
    <x v="12"/>
    <n v="9"/>
    <s v="HUAYLLASCO RAMOS JOHANA"/>
    <s v="Guadalajara"/>
    <s v="Jalisco"/>
    <x v="7"/>
    <x v="0"/>
    <d v="2018-01-11T00:00:00"/>
    <d v="2020-01-11T00:00:00"/>
    <s v="Empresa de embarque #1"/>
    <x v="0"/>
    <s v="Ravioli"/>
    <x v="9"/>
    <n v="273"/>
    <n v="57"/>
    <n v="15561"/>
    <n v="1540.539"/>
  </r>
  <r>
    <n v="1028"/>
    <d v="2018-01-09T00:00:00"/>
    <x v="12"/>
    <n v="9"/>
    <s v="LEON BLAS ROSMERY JHUDIT"/>
    <s v="Guadalajara"/>
    <s v="Jalisco"/>
    <x v="7"/>
    <x v="0"/>
    <d v="2018-01-11T00:00:00"/>
    <d v="2020-01-11T00:00:00"/>
    <s v="Empresa de embarque #1"/>
    <x v="0"/>
    <s v="Mozzarella"/>
    <x v="10"/>
    <n v="487.19999999999993"/>
    <n v="81"/>
    <n v="39463.199999999997"/>
    <n v="4143.6359999999995"/>
  </r>
  <r>
    <n v="1029"/>
    <d v="2018-01-06T00:00:00"/>
    <x v="6"/>
    <n v="6"/>
    <s v="MENDOZA ALZAMORA GABRIELA"/>
    <s v="Tijuana"/>
    <s v="Baja California"/>
    <x v="4"/>
    <x v="2"/>
    <d v="2018-01-08T00:00:00"/>
    <d v="2020-01-08T00:00:00"/>
    <s v="Empresa de embarque #2"/>
    <x v="1"/>
    <s v="Cerveza"/>
    <x v="0"/>
    <n v="196"/>
    <n v="71"/>
    <n v="13916"/>
    <n v="1335.9360000000001"/>
  </r>
  <r>
    <n v="1030"/>
    <d v="2018-02-08T00:00:00"/>
    <x v="13"/>
    <n v="8"/>
    <s v="NUNINGO NONINGO JUAN LUIS"/>
    <s v="Monterrey"/>
    <s v="Nuevo León"/>
    <x v="2"/>
    <x v="2"/>
    <d v="2018-02-10T00:00:00"/>
    <d v="2020-02-10T00:00:00"/>
    <s v="Empresa de embarque #2"/>
    <x v="0"/>
    <s v="Salsa curry"/>
    <x v="5"/>
    <n v="560"/>
    <n v="32"/>
    <n v="17920"/>
    <n v="1809.92"/>
  </r>
  <r>
    <n v="1031"/>
    <d v="2018-02-03T00:00:00"/>
    <x v="14"/>
    <n v="3"/>
    <s v="ORIZANO CABELLO DOMINGO ALFREDO"/>
    <s v="Acapulco"/>
    <s v="Guerrero"/>
    <x v="0"/>
    <x v="0"/>
    <d v="2018-02-05T00:00:00"/>
    <d v="2020-02-05T00:00:00"/>
    <s v="Empresa de embarque #2"/>
    <x v="0"/>
    <s v="Jarabe"/>
    <x v="7"/>
    <n v="140"/>
    <n v="63"/>
    <n v="8820"/>
    <n v="917.28"/>
  </r>
  <r>
    <n v="1032"/>
    <d v="2018-02-03T00:00:00"/>
    <x v="14"/>
    <n v="3"/>
    <s v="PEDRAZA ORCCOAPAZA JEAN PIERE"/>
    <s v="Acapulco"/>
    <s v="Guerrero"/>
    <x v="0"/>
    <x v="0"/>
    <d v="2018-02-05T00:00:00"/>
    <d v="2020-02-05T00:00:00"/>
    <s v="Empresa de embarque #2"/>
    <x v="0"/>
    <s v="Salsa curry"/>
    <x v="5"/>
    <n v="560"/>
    <n v="30"/>
    <n v="16800"/>
    <n v="1680"/>
  </r>
  <r>
    <n v="1033"/>
    <d v="2018-02-06T00:00:00"/>
    <x v="15"/>
    <n v="6"/>
    <s v="QUISPE QUISPE KEVIN HERMOGENES"/>
    <s v="Tijuana"/>
    <s v="Baja California"/>
    <x v="4"/>
    <x v="2"/>
    <d v="2018-02-08T00:00:00"/>
    <d v="2020-02-08T00:00:00"/>
    <s v="Empresa de embarque #2"/>
    <x v="1"/>
    <s v="Salsa curry"/>
    <x v="11"/>
    <n v="560"/>
    <n v="30"/>
    <n v="16800"/>
    <n v="602"/>
  </r>
  <r>
    <n v="1034"/>
    <d v="2018-02-28T00:00:00"/>
    <x v="16"/>
    <n v="28"/>
    <s v="QUISPE VILLENA JORDI DAVID"/>
    <s v="Toluca"/>
    <s v="Estado de México"/>
    <x v="5"/>
    <x v="3"/>
    <d v="2018-03-02T00:00:00"/>
    <d v="2020-03-02T00:00:00"/>
    <s v="Empresa de embarque #3"/>
    <x v="0"/>
    <s v="Salsa curry"/>
    <x v="11"/>
    <n v="560"/>
    <n v="30"/>
    <n v="16800"/>
    <n v="434"/>
  </r>
  <r>
    <n v="1035"/>
    <d v="2018-02-08T00:00:00"/>
    <x v="13"/>
    <n v="8"/>
    <s v="RAMOS BARRIENTOS FLOR MARIA"/>
    <s v="Monterrey"/>
    <s v="Nuevo León"/>
    <x v="2"/>
    <x v="2"/>
    <d v="2018-02-10T00:00:00"/>
    <d v="2020-02-10T00:00:00"/>
    <s v="Empresa de embarque #3"/>
    <x v="0"/>
    <s v="Salsa curry"/>
    <x v="11"/>
    <n v="560"/>
    <n v="30"/>
    <n v="16800"/>
    <n v="644"/>
  </r>
  <r>
    <n v="1036"/>
    <d v="2018-02-10T00:00:00"/>
    <x v="17"/>
    <n v="10"/>
    <s v="RIVERA MARCA NATALI"/>
    <s v="León"/>
    <s v="Guanajuato"/>
    <x v="6"/>
    <x v="1"/>
    <d v="2018-02-12T00:00:00"/>
    <d v="2020-02-12T00:00:00"/>
    <s v="Empresa de embarque #2"/>
    <x v="1"/>
    <s v="Almendras"/>
    <x v="1"/>
    <n v="140"/>
    <n v="47"/>
    <n v="6580"/>
    <n v="684.32"/>
  </r>
  <r>
    <n v="1038"/>
    <d v="2018-02-10T00:00:00"/>
    <x v="17"/>
    <n v="10"/>
    <s v="SILVA REATEGUI PATRICIA"/>
    <s v="León"/>
    <s v="Guanajuato"/>
    <x v="6"/>
    <x v="1"/>
    <d v="2018-02-13T00:00:00"/>
    <d v="2020-02-13T00:00:00"/>
    <s v="Empresa de embarque #1"/>
    <x v="1"/>
    <s v="Ciruelas secas"/>
    <x v="1"/>
    <n v="49"/>
    <n v="49"/>
    <n v="2401"/>
    <n v="230.49600000000004"/>
  </r>
  <r>
    <n v="1039"/>
    <d v="2018-02-11T00:00:00"/>
    <x v="18"/>
    <n v="11"/>
    <s v="VELASQUEZ ROCA LILIANA"/>
    <s v="Ciudad de México"/>
    <s v="Ciudad de México"/>
    <x v="5"/>
    <x v="3"/>
    <d v="2018-02-14T00:00:00"/>
    <d v="2020-02-14T00:00:00"/>
    <s v="Empresa de embarque #3"/>
    <x v="1"/>
    <s v="Salsa curry"/>
    <x v="5"/>
    <n v="560"/>
    <n v="72"/>
    <n v="40320"/>
    <n v="3991.6800000000003"/>
  </r>
  <r>
    <n v="1040"/>
    <d v="2018-02-01T00:00:00"/>
    <x v="19"/>
    <n v="1"/>
    <s v="BECERRA CRUZADO, Tania"/>
    <s v="Torreón"/>
    <s v="Coahuila"/>
    <x v="2"/>
    <x v="2"/>
    <d v="2018-02-15T00:00:00"/>
    <d v="2020-02-15T00:00:00"/>
    <s v="Empresa de embarque #3"/>
    <x v="1"/>
    <s v="Carne de cangrejo"/>
    <x v="8"/>
    <n v="257.59999999999997"/>
    <n v="13"/>
    <n v="3348.7999999999997"/>
    <n v="331.53120000000001"/>
  </r>
  <r>
    <n v="1041"/>
    <d v="2018-02-28T00:00:00"/>
    <x v="16"/>
    <n v="28"/>
    <s v="MENDOZA PEREYRA, Rosa"/>
    <s v="Toluca"/>
    <s v="Estado de México"/>
    <x v="5"/>
    <x v="3"/>
    <d v="2018-02-16T00:00:00"/>
    <d v="2020-02-16T00:00:00"/>
    <s v="Empresa de embarque #3"/>
    <x v="1"/>
    <s v="Café"/>
    <x v="0"/>
    <n v="644"/>
    <n v="32"/>
    <n v="20608"/>
    <n v="2081.4080000000004"/>
  </r>
  <r>
    <n v="1042"/>
    <d v="2018-02-09T00:00:00"/>
    <x v="20"/>
    <n v="9"/>
    <s v="ODAR BARRIENTE, Karina"/>
    <s v="Guadalajara"/>
    <s v="Jalisco"/>
    <x v="7"/>
    <x v="0"/>
    <d v="2018-02-11T00:00:00"/>
    <d v="2020-02-11T00:00:00"/>
    <s v="Empresa de embarque #1"/>
    <x v="0"/>
    <s v="Almejas"/>
    <x v="4"/>
    <n v="135.1"/>
    <n v="27"/>
    <n v="3647.7"/>
    <n v="346.53150000000005"/>
  </r>
  <r>
    <n v="1043"/>
    <d v="2018-02-06T00:00:00"/>
    <x v="15"/>
    <n v="6"/>
    <s v="ALVARADO TIRADO, Patricia"/>
    <s v="Tijuana"/>
    <s v="Baja California"/>
    <x v="4"/>
    <x v="2"/>
    <d v="2018-02-08T00:00:00"/>
    <d v="2020-02-08T00:00:00"/>
    <s v="Empresa de embarque #2"/>
    <x v="1"/>
    <s v="Chocolate"/>
    <x v="3"/>
    <n v="178.5"/>
    <n v="71"/>
    <n v="12673.5"/>
    <n v="1280.0235"/>
  </r>
  <r>
    <n v="1044"/>
    <d v="2018-02-08T00:00:00"/>
    <x v="13"/>
    <n v="8"/>
    <s v="SHEFFER MENDOZA, Milagros"/>
    <s v="Monterrey"/>
    <s v="Nuevo León"/>
    <x v="2"/>
    <x v="2"/>
    <d v="2018-02-10T00:00:00"/>
    <d v="2020-02-10T00:00:00"/>
    <s v="Empresa de embarque #2"/>
    <x v="0"/>
    <s v="Chocolate"/>
    <x v="3"/>
    <n v="178.5"/>
    <n v="13"/>
    <n v="2320.5"/>
    <n v="220.44749999999996"/>
  </r>
  <r>
    <n v="1045"/>
    <d v="2018-02-25T00:00:00"/>
    <x v="21"/>
    <n v="25"/>
    <s v="CRUZ BRICEÑO, Yolanda"/>
    <s v="León"/>
    <s v="Guanajuato"/>
    <x v="6"/>
    <x v="1"/>
    <d v="2018-02-27T00:00:00"/>
    <d v="2020-02-27T00:00:00"/>
    <s v="Empresa de embarque #1"/>
    <x v="0"/>
    <s v="Condimento cajún"/>
    <x v="7"/>
    <n v="308"/>
    <n v="98"/>
    <n v="30184"/>
    <n v="2867.4800000000005"/>
  </r>
  <r>
    <n v="1046"/>
    <d v="2018-02-26T00:00:00"/>
    <x v="22"/>
    <n v="26"/>
    <s v="HILARIO CANOVA, Corina"/>
    <s v="Ciudad de México"/>
    <s v="Ciudad de México"/>
    <x v="5"/>
    <x v="3"/>
    <d v="2018-02-28T00:00:00"/>
    <d v="2020-02-28T00:00:00"/>
    <s v="Empresa de embarque #3"/>
    <x v="1"/>
    <s v="Jalea de fresa"/>
    <x v="6"/>
    <n v="350"/>
    <n v="21"/>
    <n v="7350"/>
    <n v="749.7"/>
  </r>
  <r>
    <n v="1047"/>
    <d v="2018-03-01T00:00:00"/>
    <x v="23"/>
    <n v="29"/>
    <s v="BEJAR PILLACA, Marlene"/>
    <s v="Puerto Vallarta"/>
    <s v="Jalisco"/>
    <x v="3"/>
    <x v="0"/>
    <d v="2018-03-03T00:00:00"/>
    <d v="2020-03-03T00:00:00"/>
    <s v="Empresa de embarque #2"/>
    <x v="0"/>
    <s v="Cóctel de frutas"/>
    <x v="12"/>
    <n v="546"/>
    <n v="26"/>
    <n v="14196"/>
    <n v="1490.5800000000002"/>
  </r>
  <r>
    <n v="1048"/>
    <d v="2018-02-06T00:00:00"/>
    <x v="15"/>
    <n v="6"/>
    <s v="ALLCCARIMA CRISOSTOMO, Eliana"/>
    <s v="Tijuana"/>
    <s v="Baja California"/>
    <x v="4"/>
    <x v="2"/>
    <d v="2018-02-08T00:00:00"/>
    <d v="2020-02-08T00:00:00"/>
    <s v="Empresa de embarque #3"/>
    <x v="0"/>
    <s v="Peras secas"/>
    <x v="1"/>
    <n v="420"/>
    <n v="96"/>
    <n v="40320"/>
    <n v="4152.96"/>
  </r>
  <r>
    <n v="1049"/>
    <d v="2018-02-06T00:00:00"/>
    <x v="15"/>
    <n v="6"/>
    <s v="FLORES PEREZ, Lourdes"/>
    <s v="Tijuana"/>
    <s v="Baja California"/>
    <x v="4"/>
    <x v="2"/>
    <d v="2018-02-08T00:00:00"/>
    <d v="2020-02-08T00:00:00"/>
    <s v="Empresa de embarque #3"/>
    <x v="0"/>
    <s v="Manzanas secas"/>
    <x v="1"/>
    <n v="742"/>
    <n v="16"/>
    <n v="11872"/>
    <n v="1234.6880000000003"/>
  </r>
  <r>
    <n v="1050"/>
    <d v="2018-02-04T00:00:00"/>
    <x v="24"/>
    <n v="4"/>
    <s v="MENDOZA PEREYRA, Rosa"/>
    <s v="Querétaro"/>
    <s v="Querétaro"/>
    <x v="1"/>
    <x v="1"/>
    <m/>
    <d v="1901-12-31T00:00:00"/>
    <m/>
    <x v="1"/>
    <s v="Pasta penne"/>
    <x v="9"/>
    <n v="532"/>
    <n v="96"/>
    <n v="51072"/>
    <n v="4851.84"/>
  </r>
  <r>
    <n v="1051"/>
    <d v="2018-02-03T00:00:00"/>
    <x v="14"/>
    <n v="3"/>
    <s v="SHEFFER MENDOZA, Milagros"/>
    <s v="Acapulco"/>
    <s v="Guerrero"/>
    <x v="0"/>
    <x v="0"/>
    <m/>
    <d v="1901-12-31T00:00:00"/>
    <m/>
    <x v="1"/>
    <s v="Té verde"/>
    <x v="0"/>
    <n v="41.86"/>
    <n v="75"/>
    <n v="3139.5"/>
    <n v="323.36850000000004"/>
  </r>
  <r>
    <n v="1052"/>
    <d v="2018-03-09T00:00:00"/>
    <x v="25"/>
    <n v="9"/>
    <s v="ALVARADO TIRADO, Patricia"/>
    <s v="Guadalajara"/>
    <s v="Jalisco"/>
    <x v="7"/>
    <x v="0"/>
    <d v="2018-03-11T00:00:00"/>
    <d v="2020-03-11T00:00:00"/>
    <s v="Empresa de embarque #1"/>
    <x v="0"/>
    <s v="Ravioli"/>
    <x v="9"/>
    <n v="273"/>
    <n v="55"/>
    <n v="15015"/>
    <n v="1516.5150000000001"/>
  </r>
  <r>
    <n v="1053"/>
    <d v="2018-03-09T00:00:00"/>
    <x v="25"/>
    <n v="9"/>
    <s v="BECERRA CRUZADO, Tania"/>
    <s v="Guadalajara"/>
    <s v="Jalisco"/>
    <x v="7"/>
    <x v="0"/>
    <d v="2018-03-11T00:00:00"/>
    <d v="2020-03-11T00:00:00"/>
    <s v="Empresa de embarque #1"/>
    <x v="0"/>
    <s v="Mozzarella"/>
    <x v="10"/>
    <n v="487.19999999999993"/>
    <n v="11"/>
    <n v="5359.1999999999989"/>
    <n v="514.4831999999999"/>
  </r>
  <r>
    <n v="1054"/>
    <d v="2018-03-06T00:00:00"/>
    <x v="26"/>
    <n v="6"/>
    <s v="HILARIO CANOVA, Corina"/>
    <s v="Tijuana"/>
    <s v="Baja California"/>
    <x v="4"/>
    <x v="2"/>
    <d v="2018-03-08T00:00:00"/>
    <d v="2020-03-08T00:00:00"/>
    <s v="Empresa de embarque #2"/>
    <x v="1"/>
    <s v="Cerveza"/>
    <x v="0"/>
    <n v="196"/>
    <n v="53"/>
    <n v="10388"/>
    <n v="1007.6360000000001"/>
  </r>
  <r>
    <n v="1055"/>
    <d v="2018-03-08T00:00:00"/>
    <x v="27"/>
    <n v="8"/>
    <s v="DEXTRE PEREZ, Zenia"/>
    <s v="Monterrey"/>
    <s v="Nuevo León"/>
    <x v="2"/>
    <x v="2"/>
    <d v="2018-03-10T00:00:00"/>
    <d v="2020-03-10T00:00:00"/>
    <s v="Empresa de embarque #2"/>
    <x v="0"/>
    <s v="Salsa curry"/>
    <x v="5"/>
    <n v="560"/>
    <n v="85"/>
    <n v="47600"/>
    <n v="4998"/>
  </r>
  <r>
    <n v="1056"/>
    <d v="2018-03-08T00:00:00"/>
    <x v="27"/>
    <n v="8"/>
    <s v="ODAR BARRIENTE, Karina"/>
    <s v="Monterrey"/>
    <s v="Nuevo León"/>
    <x v="2"/>
    <x v="2"/>
    <d v="2018-03-10T00:00:00"/>
    <d v="2020-03-10T00:00:00"/>
    <s v="Empresa de embarque #2"/>
    <x v="0"/>
    <s v="Galletas de chocolate"/>
    <x v="2"/>
    <n v="128.79999999999998"/>
    <n v="97"/>
    <n v="12493.599999999999"/>
    <n v="1274.3472000000002"/>
  </r>
  <r>
    <n v="1057"/>
    <d v="2018-03-25T00:00:00"/>
    <x v="28"/>
    <n v="25"/>
    <s v="ALLCCARIMA CRISOSTOMO, Eliana"/>
    <s v="León"/>
    <s v="Guanajuato"/>
    <x v="6"/>
    <x v="1"/>
    <d v="2018-03-27T00:00:00"/>
    <d v="2020-03-27T00:00:00"/>
    <s v="Empresa de embarque #1"/>
    <x v="0"/>
    <s v="Bolillos"/>
    <x v="2"/>
    <n v="140"/>
    <n v="46"/>
    <n v="6440"/>
    <n v="650.44000000000005"/>
  </r>
  <r>
    <n v="1058"/>
    <d v="2018-03-26T00:00:00"/>
    <x v="29"/>
    <n v="26"/>
    <s v="CUBAS PEREZ, Nelly"/>
    <s v="Ciudad de México"/>
    <s v="Ciudad de México"/>
    <x v="5"/>
    <x v="3"/>
    <d v="2018-03-28T00:00:00"/>
    <d v="2020-03-28T00:00:00"/>
    <s v="Empresa de embarque #3"/>
    <x v="1"/>
    <s v="Aceite de oliva"/>
    <x v="13"/>
    <n v="298.90000000000003"/>
    <n v="97"/>
    <n v="28993.300000000003"/>
    <n v="2754.3634999999999"/>
  </r>
  <r>
    <n v="1059"/>
    <d v="2018-03-26T00:00:00"/>
    <x v="29"/>
    <n v="26"/>
    <s v="PALOMINO GARCIA, Selene"/>
    <s v="Ciudad de México"/>
    <s v="Ciudad de México"/>
    <x v="5"/>
    <x v="3"/>
    <d v="2018-03-28T00:00:00"/>
    <d v="2020-03-28T00:00:00"/>
    <s v="Empresa de embarque #3"/>
    <x v="1"/>
    <s v="Almejas"/>
    <x v="4"/>
    <n v="135.1"/>
    <n v="97"/>
    <n v="13104.699999999999"/>
    <n v="1336.6794000000002"/>
  </r>
  <r>
    <n v="1060"/>
    <d v="2018-03-26T00:00:00"/>
    <x v="29"/>
    <n v="26"/>
    <s v="CONTRERAS RAMOS, Roxi"/>
    <s v="Ciudad de México"/>
    <s v="Ciudad de México"/>
    <x v="5"/>
    <x v="3"/>
    <d v="2018-03-28T00:00:00"/>
    <d v="2020-03-28T00:00:00"/>
    <s v="Empresa de embarque #3"/>
    <x v="1"/>
    <s v="Carne de cangrejo"/>
    <x v="8"/>
    <n v="257.59999999999997"/>
    <n v="65"/>
    <n v="16743.999999999996"/>
    <n v="1724.6320000000003"/>
  </r>
  <r>
    <n v="1061"/>
    <d v="2018-03-29T00:00:00"/>
    <x v="30"/>
    <n v="29"/>
    <s v="PONCE HERMOZA, Catalina"/>
    <s v="Puerto Vallarta"/>
    <s v="Jalisco"/>
    <x v="3"/>
    <x v="0"/>
    <d v="2018-03-31T00:00:00"/>
    <d v="2020-03-31T00:00:00"/>
    <s v="Empresa de embarque #2"/>
    <x v="0"/>
    <s v="Cerveza"/>
    <x v="0"/>
    <n v="196"/>
    <n v="72"/>
    <n v="14112"/>
    <n v="1411.2000000000003"/>
  </r>
  <r>
    <n v="1062"/>
    <d v="2018-03-06T00:00:00"/>
    <x v="26"/>
    <n v="6"/>
    <s v="SOLIER ZAMORA, Susy"/>
    <s v="Tijuana"/>
    <s v="Baja California"/>
    <x v="4"/>
    <x v="2"/>
    <d v="2018-03-08T00:00:00"/>
    <d v="2020-03-08T00:00:00"/>
    <s v="Empresa de embarque #3"/>
    <x v="0"/>
    <s v="Chocolate"/>
    <x v="3"/>
    <n v="178.5"/>
    <n v="16"/>
    <n v="2856"/>
    <n v="282.74400000000003"/>
  </r>
  <r>
    <n v="1064"/>
    <d v="2018-03-04T00:00:00"/>
    <x v="31"/>
    <n v="4"/>
    <s v="VASQUEZ RUIZ, Gladys"/>
    <s v="Querétaro"/>
    <s v="Querétaro"/>
    <x v="1"/>
    <x v="1"/>
    <d v="2018-03-06T00:00:00"/>
    <d v="2020-03-06T00:00:00"/>
    <s v="Empresa de embarque #1"/>
    <x v="1"/>
    <s v="Mermelada de zarzamora"/>
    <x v="6"/>
    <n v="1134"/>
    <n v="77"/>
    <n v="87318"/>
    <n v="8993.7540000000008"/>
  </r>
  <r>
    <n v="1065"/>
    <d v="2018-03-04T00:00:00"/>
    <x v="31"/>
    <n v="4"/>
    <s v="GALAN GALLARDO, Aracely"/>
    <s v="Querétaro"/>
    <s v="Querétaro"/>
    <x v="1"/>
    <x v="1"/>
    <d v="2018-03-06T00:00:00"/>
    <d v="2020-03-06T00:00:00"/>
    <s v="Empresa de embarque #1"/>
    <x v="1"/>
    <s v="Arroz de grano largo"/>
    <x v="14"/>
    <n v="98"/>
    <n v="37"/>
    <n v="3626"/>
    <n v="344.47"/>
  </r>
  <r>
    <n v="1067"/>
    <d v="2018-03-08T00:00:00"/>
    <x v="27"/>
    <n v="8"/>
    <s v="ACOSTA ARMAS SANDRA PAOLA"/>
    <s v="Monterrey"/>
    <s v="Nuevo León"/>
    <x v="2"/>
    <x v="2"/>
    <d v="2018-03-10T00:00:00"/>
    <d v="2020-03-10T00:00:00"/>
    <s v="Empresa de embarque #3"/>
    <x v="1"/>
    <s v="Mozzarella"/>
    <x v="10"/>
    <n v="487.19999999999993"/>
    <n v="63"/>
    <n v="30693.599999999995"/>
    <n v="3038.6664000000001"/>
  </r>
  <r>
    <n v="1070"/>
    <d v="2018-03-03T00:00:00"/>
    <x v="32"/>
    <n v="3"/>
    <s v="ALCANTARA CHANDUVI CRISTOPHER"/>
    <s v="Acapulco"/>
    <s v="Guerrero"/>
    <x v="0"/>
    <x v="0"/>
    <d v="2018-03-05T00:00:00"/>
    <d v="2020-03-05T00:00:00"/>
    <s v="Empresa de embarque #2"/>
    <x v="0"/>
    <s v="Jarabe"/>
    <x v="7"/>
    <n v="140"/>
    <n v="48"/>
    <n v="6720"/>
    <n v="672"/>
  </r>
  <r>
    <n v="1071"/>
    <d v="2018-03-03T00:00:00"/>
    <x v="32"/>
    <n v="3"/>
    <s v="ALMONACID PINEDA VIVIANA THAIS"/>
    <s v="Acapulco"/>
    <s v="Guerrero"/>
    <x v="0"/>
    <x v="0"/>
    <d v="2018-03-05T00:00:00"/>
    <d v="2020-03-05T00:00:00"/>
    <s v="Empresa de embarque #2"/>
    <x v="0"/>
    <s v="Salsa curry"/>
    <x v="5"/>
    <n v="560"/>
    <n v="71"/>
    <n v="39760"/>
    <n v="4135.04"/>
  </r>
  <r>
    <n v="1075"/>
    <d v="2018-03-10T00:00:00"/>
    <x v="33"/>
    <n v="10"/>
    <s v="BALBIN CUSQUISIBAN DARIANA ISABEL"/>
    <s v="León"/>
    <s v="Guanajuato"/>
    <x v="6"/>
    <x v="1"/>
    <d v="2018-03-12T00:00:00"/>
    <d v="2020-03-12T00:00:00"/>
    <s v="Empresa de embarque #2"/>
    <x v="1"/>
    <s v="Almendras"/>
    <x v="1"/>
    <n v="140"/>
    <n v="55"/>
    <n v="7700"/>
    <n v="770"/>
  </r>
  <r>
    <n v="1077"/>
    <d v="2018-03-10T00:00:00"/>
    <x v="33"/>
    <n v="10"/>
    <s v="CAMASCA CENENO JHOEL LUIS"/>
    <s v="León"/>
    <s v="Guanajuato"/>
    <x v="6"/>
    <x v="1"/>
    <m/>
    <d v="1901-12-31T00:00:00"/>
    <s v="Empresa de embarque #1"/>
    <x v="1"/>
    <s v="Ciruelas secas"/>
    <x v="1"/>
    <n v="49"/>
    <n v="21"/>
    <n v="1029"/>
    <n v="102.9"/>
  </r>
  <r>
    <n v="1078"/>
    <d v="2018-03-11T00:00:00"/>
    <x v="34"/>
    <n v="11"/>
    <s v="CARBAJAL HUANCAS CARLOS ABEL"/>
    <s v="Ciudad de México"/>
    <s v="Ciudad de México"/>
    <x v="5"/>
    <x v="3"/>
    <m/>
    <d v="1901-12-31T00:00:00"/>
    <s v="Empresa de embarque #3"/>
    <x v="1"/>
    <s v="Salsa curry"/>
    <x v="5"/>
    <n v="560"/>
    <n v="67"/>
    <n v="37520"/>
    <n v="3789.52"/>
  </r>
  <r>
    <n v="1079"/>
    <d v="2018-03-01T00:00:00"/>
    <x v="23"/>
    <n v="1"/>
    <s v="CASTILLO AGUIRRE GUADALUPE VANESSA"/>
    <s v="Torreón"/>
    <s v="Coahuila"/>
    <x v="2"/>
    <x v="2"/>
    <m/>
    <d v="1901-12-31T00:00:00"/>
    <s v="Empresa de embarque #3"/>
    <x v="1"/>
    <s v="Carne de cangrejo"/>
    <x v="8"/>
    <n v="257.59999999999997"/>
    <n v="75"/>
    <n v="19319.999999999996"/>
    <n v="1932"/>
  </r>
  <r>
    <n v="1080"/>
    <d v="2018-03-28T00:00:00"/>
    <x v="35"/>
    <n v="28"/>
    <s v="CCASA TICONA NELLY"/>
    <s v="Toluca"/>
    <s v="Estado de México"/>
    <x v="5"/>
    <x v="3"/>
    <d v="2018-03-30T00:00:00"/>
    <d v="2020-03-30T00:00:00"/>
    <s v="Empresa de embarque #3"/>
    <x v="1"/>
    <s v="Café"/>
    <x v="0"/>
    <n v="644"/>
    <n v="17"/>
    <n v="10948"/>
    <n v="1127.644"/>
  </r>
  <r>
    <n v="1081"/>
    <d v="2018-04-04T00:00:00"/>
    <x v="36"/>
    <n v="4"/>
    <s v="CONDORI PALOMINO LUCERO"/>
    <s v="Querétaro"/>
    <s v="Querétaro"/>
    <x v="1"/>
    <x v="1"/>
    <d v="2018-04-06T00:00:00"/>
    <d v="2020-04-06T00:00:00"/>
    <s v="Empresa de embarque #1"/>
    <x v="1"/>
    <s v="Ciruelas secas"/>
    <x v="1"/>
    <n v="49"/>
    <n v="48"/>
    <n v="2352"/>
    <n v="228.14400000000001"/>
  </r>
  <r>
    <n v="1082"/>
    <d v="2018-04-12T00:00:00"/>
    <x v="37"/>
    <n v="12"/>
    <s v="ENCARNACIÓN VENTURA FELICITA"/>
    <s v="Mazatlán"/>
    <s v="Sinaloa"/>
    <x v="0"/>
    <x v="0"/>
    <d v="2018-04-14T00:00:00"/>
    <d v="2020-04-14T00:00:00"/>
    <s v="Empresa de embarque #2"/>
    <x v="1"/>
    <s v="Té chai"/>
    <x v="0"/>
    <n v="252"/>
    <n v="74"/>
    <n v="18648"/>
    <n v="1920.7440000000004"/>
  </r>
  <r>
    <n v="1083"/>
    <d v="2018-04-12T00:00:00"/>
    <x v="37"/>
    <n v="12"/>
    <s v="FLORES DE LA MATA ANGEEL JOHAGNETH VALERIA"/>
    <s v="Mazatlán"/>
    <s v="Sinaloa"/>
    <x v="0"/>
    <x v="0"/>
    <d v="2018-04-14T00:00:00"/>
    <d v="2020-04-14T00:00:00"/>
    <s v="Empresa de embarque #2"/>
    <x v="1"/>
    <s v="Café"/>
    <x v="0"/>
    <n v="644"/>
    <n v="96"/>
    <n v="61824"/>
    <n v="5996.9280000000008"/>
  </r>
  <r>
    <n v="1084"/>
    <d v="2018-04-08T00:00:00"/>
    <x v="38"/>
    <n v="8"/>
    <s v="HUAYLLASCO RAMOS JOHANA"/>
    <s v="Monterrey"/>
    <s v="Nuevo León"/>
    <x v="2"/>
    <x v="2"/>
    <d v="2018-04-10T00:00:00"/>
    <d v="2020-04-10T00:00:00"/>
    <s v="Empresa de embarque #3"/>
    <x v="1"/>
    <s v="Galletas de chocolate"/>
    <x v="2"/>
    <n v="128.79999999999998"/>
    <n v="12"/>
    <n v="1545.6"/>
    <n v="159.1968"/>
  </r>
  <r>
    <n v="1085"/>
    <d v="2018-04-04T00:00:00"/>
    <x v="36"/>
    <n v="4"/>
    <s v="LEON BLAS ROSMERY JHUDIT"/>
    <s v="Querétaro"/>
    <s v="Querétaro"/>
    <x v="1"/>
    <x v="1"/>
    <d v="2018-04-06T00:00:00"/>
    <d v="2020-04-06T00:00:00"/>
    <s v="Empresa de embarque #3"/>
    <x v="0"/>
    <s v="Galletas de chocolate"/>
    <x v="2"/>
    <n v="128.79999999999998"/>
    <n v="62"/>
    <n v="7985.5999999999985"/>
    <n v="822.51679999999999"/>
  </r>
  <r>
    <n v="1086"/>
    <d v="2018-04-29T00:00:00"/>
    <x v="39"/>
    <n v="29"/>
    <s v="MENDOZA ALZAMORA GABRIELA"/>
    <s v="Puerto Vallarta"/>
    <s v="Jalisco"/>
    <x v="3"/>
    <x v="0"/>
    <d v="2018-05-01T00:00:00"/>
    <d v="2020-05-01T00:00:00"/>
    <s v="Empresa de embarque #2"/>
    <x v="0"/>
    <s v="Chocolate"/>
    <x v="3"/>
    <n v="178.5"/>
    <n v="35"/>
    <n v="6247.5"/>
    <n v="643.49250000000006"/>
  </r>
  <r>
    <n v="1087"/>
    <d v="2018-04-03T00:00:00"/>
    <x v="40"/>
    <n v="3"/>
    <s v="NUNINGO NONINGO JUAN LUIS"/>
    <s v="Acapulco"/>
    <s v="Guerrero"/>
    <x v="0"/>
    <x v="0"/>
    <d v="2018-04-05T00:00:00"/>
    <d v="2020-04-05T00:00:00"/>
    <s v="Empresa de embarque #2"/>
    <x v="0"/>
    <s v="Almejas"/>
    <x v="4"/>
    <n v="135.1"/>
    <n v="95"/>
    <n v="12834.5"/>
    <n v="1283.4500000000003"/>
  </r>
  <r>
    <n v="1088"/>
    <d v="2018-04-06T00:00:00"/>
    <x v="41"/>
    <n v="6"/>
    <s v="ORIZANO CABELLO DOMINGO ALFREDO"/>
    <s v="Tijuana"/>
    <s v="Baja California"/>
    <x v="4"/>
    <x v="2"/>
    <d v="2018-04-08T00:00:00"/>
    <d v="2020-04-08T00:00:00"/>
    <s v="Empresa de embarque #2"/>
    <x v="1"/>
    <s v="Salsa curry"/>
    <x v="5"/>
    <n v="560"/>
    <n v="17"/>
    <n v="9520"/>
    <n v="961.5200000000001"/>
  </r>
  <r>
    <n v="1089"/>
    <d v="2018-04-28T00:00:00"/>
    <x v="42"/>
    <n v="28"/>
    <s v="PEDRAZA ORCCOAPAZA JEAN PIERE"/>
    <s v="Toluca"/>
    <s v="Estado de México"/>
    <x v="5"/>
    <x v="3"/>
    <d v="2018-04-30T00:00:00"/>
    <d v="2020-04-30T00:00:00"/>
    <s v="Empresa de embarque #3"/>
    <x v="0"/>
    <s v="Café"/>
    <x v="0"/>
    <n v="644"/>
    <n v="96"/>
    <n v="61824"/>
    <n v="6491.52"/>
  </r>
  <r>
    <n v="1090"/>
    <d v="2018-04-08T00:00:00"/>
    <x v="38"/>
    <n v="8"/>
    <s v="QUISPE QUISPE KEVIN HERMOGENES"/>
    <s v="Monterrey"/>
    <s v="Nuevo León"/>
    <x v="2"/>
    <x v="2"/>
    <d v="2018-04-10T00:00:00"/>
    <d v="2020-04-10T00:00:00"/>
    <s v="Empresa de embarque #3"/>
    <x v="0"/>
    <s v="Chocolate"/>
    <x v="3"/>
    <n v="178.5"/>
    <n v="83"/>
    <n v="14815.5"/>
    <n v="1437.1034999999999"/>
  </r>
  <r>
    <n v="1091"/>
    <d v="2018-04-10T00:00:00"/>
    <x v="43"/>
    <n v="10"/>
    <s v="QUISPE VILLENA JORDI DAVID"/>
    <s v="León"/>
    <s v="Guanajuato"/>
    <x v="6"/>
    <x v="1"/>
    <d v="2018-04-12T00:00:00"/>
    <d v="2020-04-12T00:00:00"/>
    <s v="Empresa de embarque #2"/>
    <x v="1"/>
    <s v="Té verde"/>
    <x v="0"/>
    <n v="41.86"/>
    <n v="88"/>
    <n v="3683.68"/>
    <n v="364.68432000000001"/>
  </r>
  <r>
    <n v="1092"/>
    <d v="2018-04-07T00:00:00"/>
    <x v="44"/>
    <n v="7"/>
    <s v="RAMOS BARRIENTOS FLOR MARIA"/>
    <s v="Chihuahua"/>
    <s v="Chihuahua"/>
    <x v="2"/>
    <x v="2"/>
    <m/>
    <d v="1901-12-31T00:00:00"/>
    <m/>
    <x v="1"/>
    <s v="Café"/>
    <x v="0"/>
    <n v="644"/>
    <n v="59"/>
    <n v="37996"/>
    <n v="3989.5800000000004"/>
  </r>
  <r>
    <n v="1093"/>
    <d v="2018-04-10T00:00:00"/>
    <x v="43"/>
    <n v="10"/>
    <s v="RIVERA MARCA NATALI"/>
    <s v="León"/>
    <s v="Guanajuato"/>
    <x v="6"/>
    <x v="1"/>
    <d v="2018-04-12T00:00:00"/>
    <d v="2020-04-12T00:00:00"/>
    <s v="Empresa de embarque #1"/>
    <x v="1"/>
    <s v="Jalea de fresa"/>
    <x v="6"/>
    <n v="350"/>
    <n v="27"/>
    <n v="9450"/>
    <n v="963.89999999999986"/>
  </r>
  <r>
    <n v="1094"/>
    <d v="2018-04-10T00:00:00"/>
    <x v="43"/>
    <n v="10"/>
    <s v="SILVA REATEGUI PATRICIA"/>
    <s v="León"/>
    <s v="Guanajuato"/>
    <x v="6"/>
    <x v="1"/>
    <d v="2018-04-12T00:00:00"/>
    <d v="2020-04-12T00:00:00"/>
    <s v="Empresa de embarque #1"/>
    <x v="1"/>
    <s v="Condimento cajún"/>
    <x v="7"/>
    <n v="308"/>
    <n v="37"/>
    <n v="11396"/>
    <n v="1196.5800000000002"/>
  </r>
  <r>
    <n v="1095"/>
    <d v="2018-04-10T00:00:00"/>
    <x v="43"/>
    <n v="10"/>
    <s v="VELASQUEZ ROCA LILIANA"/>
    <s v="León"/>
    <s v="Guanajuato"/>
    <x v="6"/>
    <x v="1"/>
    <d v="2018-04-12T00:00:00"/>
    <d v="2020-04-12T00:00:00"/>
    <s v="Empresa de embarque #1"/>
    <x v="1"/>
    <s v="Galletas de chocolate"/>
    <x v="2"/>
    <n v="128.79999999999998"/>
    <n v="75"/>
    <n v="9659.9999999999982"/>
    <n v="966"/>
  </r>
  <r>
    <n v="1096"/>
    <d v="2018-04-11T00:00:00"/>
    <x v="45"/>
    <n v="11"/>
    <s v="BECERRA CRUZADO, Tania"/>
    <s v="Ciudad de México"/>
    <s v="Ciudad de México"/>
    <x v="5"/>
    <x v="3"/>
    <m/>
    <d v="1901-12-31T00:00:00"/>
    <s v="Empresa de embarque #3"/>
    <x v="1"/>
    <s v="Ciruelas secas"/>
    <x v="1"/>
    <n v="49"/>
    <n v="71"/>
    <n v="3479"/>
    <n v="337.46300000000002"/>
  </r>
  <r>
    <n v="1097"/>
    <d v="2018-04-11T00:00:00"/>
    <x v="45"/>
    <n v="11"/>
    <s v="MENDOZA PEREYRA, Rosa"/>
    <s v="Ciudad de México"/>
    <s v="Ciudad de México"/>
    <x v="5"/>
    <x v="3"/>
    <m/>
    <d v="1901-12-31T00:00:00"/>
    <s v="Empresa de embarque #3"/>
    <x v="1"/>
    <s v="Té verde"/>
    <x v="0"/>
    <n v="41.86"/>
    <n v="88"/>
    <n v="3683.68"/>
    <n v="364.68432000000001"/>
  </r>
  <r>
    <n v="1098"/>
    <d v="2018-04-01T00:00:00"/>
    <x v="46"/>
    <n v="1"/>
    <s v="ODAR BARRIENTE, Karina"/>
    <s v="Torreón"/>
    <s v="Coahuila"/>
    <x v="2"/>
    <x v="2"/>
    <m/>
    <d v="1901-12-31T00:00:00"/>
    <m/>
    <x v="1"/>
    <s v="Té chai"/>
    <x v="0"/>
    <n v="252"/>
    <n v="55"/>
    <n v="13860"/>
    <n v="1358.28"/>
  </r>
  <r>
    <n v="1099"/>
    <d v="2018-05-29T00:00:00"/>
    <x v="47"/>
    <n v="29"/>
    <s v="ALVARADO TIRADO, Patricia"/>
    <s v="Puerto Vallarta"/>
    <s v="Jalisco"/>
    <x v="3"/>
    <x v="0"/>
    <d v="2018-05-31T00:00:00"/>
    <d v="2020-05-31T00:00:00"/>
    <s v="Empresa de embarque #2"/>
    <x v="0"/>
    <s v="Chocolate"/>
    <x v="3"/>
    <n v="178.5"/>
    <n v="14"/>
    <n v="2499"/>
    <n v="237.405"/>
  </r>
  <r>
    <n v="1100"/>
    <d v="2018-05-03T00:00:00"/>
    <x v="48"/>
    <n v="3"/>
    <s v="SHEFFER MENDOZA, Milagros"/>
    <s v="Acapulco"/>
    <s v="Guerrero"/>
    <x v="0"/>
    <x v="0"/>
    <d v="2018-05-05T00:00:00"/>
    <d v="2020-05-05T00:00:00"/>
    <s v="Empresa de embarque #2"/>
    <x v="0"/>
    <s v="Almejas"/>
    <x v="4"/>
    <n v="135.1"/>
    <n v="43"/>
    <n v="5809.3"/>
    <n v="592.54860000000008"/>
  </r>
  <r>
    <n v="1101"/>
    <d v="2018-05-06T00:00:00"/>
    <x v="49"/>
    <n v="6"/>
    <s v="CRUZ BRICEÑO, Yolanda"/>
    <s v="Tijuana"/>
    <s v="Baja California"/>
    <x v="4"/>
    <x v="2"/>
    <d v="2018-05-08T00:00:00"/>
    <d v="2020-05-08T00:00:00"/>
    <s v="Empresa de embarque #2"/>
    <x v="1"/>
    <s v="Salsa curry"/>
    <x v="5"/>
    <n v="560"/>
    <n v="63"/>
    <n v="35280"/>
    <n v="3563.28"/>
  </r>
  <r>
    <n v="1102"/>
    <d v="2018-05-28T00:00:00"/>
    <x v="50"/>
    <n v="28"/>
    <s v="HILARIO CANOVA, Corina"/>
    <s v="Toluca"/>
    <s v="Estado de México"/>
    <x v="5"/>
    <x v="3"/>
    <d v="2018-05-30T00:00:00"/>
    <d v="2020-05-30T00:00:00"/>
    <s v="Empresa de embarque #3"/>
    <x v="0"/>
    <s v="Café"/>
    <x v="0"/>
    <n v="644"/>
    <n v="36"/>
    <n v="23184"/>
    <n v="2318.4000000000005"/>
  </r>
  <r>
    <n v="1103"/>
    <d v="2018-05-08T00:00:00"/>
    <x v="51"/>
    <n v="8"/>
    <s v="BEJAR PILLACA, Marlene"/>
    <s v="Monterrey"/>
    <s v="Nuevo León"/>
    <x v="2"/>
    <x v="2"/>
    <d v="2018-05-10T00:00:00"/>
    <d v="2020-05-10T00:00:00"/>
    <s v="Empresa de embarque #3"/>
    <x v="0"/>
    <s v="Chocolate"/>
    <x v="3"/>
    <n v="178.5"/>
    <n v="41"/>
    <n v="7318.5"/>
    <n v="761.12400000000014"/>
  </r>
  <r>
    <n v="1104"/>
    <d v="2018-05-10T00:00:00"/>
    <x v="52"/>
    <n v="10"/>
    <s v="ALLCCARIMA CRISOSTOMO, Eliana"/>
    <s v="León"/>
    <s v="Guanajuato"/>
    <x v="6"/>
    <x v="1"/>
    <d v="2018-05-12T00:00:00"/>
    <d v="2020-05-12T00:00:00"/>
    <s v="Empresa de embarque #2"/>
    <x v="1"/>
    <s v="Té verde"/>
    <x v="0"/>
    <n v="41.86"/>
    <n v="35"/>
    <n v="1465.1"/>
    <n v="143.57980000000001"/>
  </r>
  <r>
    <n v="1105"/>
    <d v="2018-05-07T00:00:00"/>
    <x v="53"/>
    <n v="7"/>
    <s v="FLORES PEREZ, Lourdes"/>
    <s v="Chihuahua"/>
    <s v="Chihuahua"/>
    <x v="2"/>
    <x v="2"/>
    <m/>
    <d v="1901-12-31T00:00:00"/>
    <m/>
    <x v="1"/>
    <s v="Café"/>
    <x v="0"/>
    <n v="644"/>
    <n v="31"/>
    <n v="19964"/>
    <n v="1916.5439999999999"/>
  </r>
  <r>
    <n v="1106"/>
    <d v="2018-05-10T00:00:00"/>
    <x v="52"/>
    <n v="10"/>
    <s v="MENDOZA PEREYRA, Rosa"/>
    <s v="León"/>
    <s v="Guanajuato"/>
    <x v="6"/>
    <x v="1"/>
    <d v="2018-05-12T00:00:00"/>
    <d v="2020-05-12T00:00:00"/>
    <s v="Empresa de embarque #1"/>
    <x v="1"/>
    <s v="Jalea de fresa"/>
    <x v="6"/>
    <n v="350"/>
    <n v="52"/>
    <n v="18200"/>
    <n v="1729"/>
  </r>
  <r>
    <n v="1107"/>
    <d v="2018-05-10T00:00:00"/>
    <x v="52"/>
    <n v="10"/>
    <s v="SHEFFER MENDOZA, Milagros"/>
    <s v="León"/>
    <s v="Guanajuato"/>
    <x v="6"/>
    <x v="1"/>
    <d v="2018-05-12T00:00:00"/>
    <d v="2020-05-12T00:00:00"/>
    <s v="Empresa de embarque #1"/>
    <x v="1"/>
    <s v="Condimento cajún"/>
    <x v="7"/>
    <n v="308"/>
    <n v="30"/>
    <n v="9240"/>
    <n v="942.48000000000013"/>
  </r>
  <r>
    <n v="1108"/>
    <d v="2018-05-10T00:00:00"/>
    <x v="52"/>
    <n v="10"/>
    <s v="ALVARADO TIRADO, Patricia"/>
    <s v="León"/>
    <s v="Guanajuato"/>
    <x v="6"/>
    <x v="1"/>
    <d v="2018-05-12T00:00:00"/>
    <d v="2020-05-12T00:00:00"/>
    <s v="Empresa de embarque #1"/>
    <x v="1"/>
    <s v="Galletas de chocolate"/>
    <x v="2"/>
    <n v="128.79999999999998"/>
    <n v="41"/>
    <n v="5280.7999999999993"/>
    <n v="538.64160000000004"/>
  </r>
  <r>
    <n v="1109"/>
    <d v="2018-05-11T00:00:00"/>
    <x v="54"/>
    <n v="11"/>
    <s v="BECERRA CRUZADO, Tania"/>
    <s v="Ciudad de México"/>
    <s v="Ciudad de México"/>
    <x v="5"/>
    <x v="3"/>
    <m/>
    <d v="1901-12-31T00:00:00"/>
    <s v="Empresa de embarque #3"/>
    <x v="1"/>
    <s v="Ciruelas secas"/>
    <x v="1"/>
    <n v="49"/>
    <n v="44"/>
    <n v="2156"/>
    <n v="213.44400000000002"/>
  </r>
  <r>
    <n v="1110"/>
    <d v="2018-05-11T00:00:00"/>
    <x v="54"/>
    <n v="11"/>
    <s v="HILARIO CANOVA, Corina"/>
    <s v="Ciudad de México"/>
    <s v="Ciudad de México"/>
    <x v="5"/>
    <x v="3"/>
    <m/>
    <d v="1901-12-31T00:00:00"/>
    <s v="Empresa de embarque #3"/>
    <x v="1"/>
    <s v="Té verde"/>
    <x v="0"/>
    <n v="41.86"/>
    <n v="77"/>
    <n v="3223.22"/>
    <n v="322.32200000000006"/>
  </r>
  <r>
    <n v="1111"/>
    <d v="2018-05-01T00:00:00"/>
    <x v="55"/>
    <n v="1"/>
    <s v="DEXTRE PEREZ, Zenia"/>
    <s v="Torreón"/>
    <s v="Coahuila"/>
    <x v="2"/>
    <x v="2"/>
    <m/>
    <d v="1901-12-31T00:00:00"/>
    <m/>
    <x v="1"/>
    <s v="Té chai"/>
    <x v="0"/>
    <n v="252"/>
    <n v="29"/>
    <n v="7308"/>
    <n v="738.10800000000006"/>
  </r>
  <r>
    <n v="1112"/>
    <d v="2018-05-01T00:00:00"/>
    <x v="55"/>
    <n v="1"/>
    <s v="ODAR BARRIENTE, Karina"/>
    <s v="Torreón"/>
    <s v="Coahuila"/>
    <x v="2"/>
    <x v="2"/>
    <m/>
    <d v="1901-12-31T00:00:00"/>
    <m/>
    <x v="1"/>
    <s v="Café"/>
    <x v="0"/>
    <n v="644"/>
    <n v="77"/>
    <n v="49588"/>
    <n v="5157.152000000001"/>
  </r>
  <r>
    <n v="1113"/>
    <d v="2018-05-01T00:00:00"/>
    <x v="55"/>
    <n v="1"/>
    <s v="ALLCCARIMA CRISOSTOMO, Eliana"/>
    <s v="Torreón"/>
    <s v="Coahuila"/>
    <x v="2"/>
    <x v="2"/>
    <m/>
    <d v="1901-12-31T00:00:00"/>
    <m/>
    <x v="1"/>
    <s v="Té verde"/>
    <x v="0"/>
    <n v="41.86"/>
    <n v="73"/>
    <n v="3055.7799999999997"/>
    <n v="305.57800000000003"/>
  </r>
  <r>
    <n v="1114"/>
    <d v="2018-05-28T00:00:00"/>
    <x v="50"/>
    <n v="28"/>
    <s v="CUBAS PEREZ, Nelly"/>
    <s v="Toluca"/>
    <s v="Estado de México"/>
    <x v="5"/>
    <x v="3"/>
    <d v="2018-05-30T00:00:00"/>
    <d v="2020-05-30T00:00:00"/>
    <s v="Empresa de embarque #3"/>
    <x v="1"/>
    <s v="Almejas"/>
    <x v="4"/>
    <n v="135.1"/>
    <n v="74"/>
    <n v="9997.4"/>
    <n v="949.75300000000004"/>
  </r>
  <r>
    <n v="1115"/>
    <d v="2018-05-28T00:00:00"/>
    <x v="50"/>
    <n v="28"/>
    <s v="PALOMINO GARCIA, Selene"/>
    <s v="Toluca"/>
    <s v="Estado de México"/>
    <x v="5"/>
    <x v="3"/>
    <d v="2018-05-30T00:00:00"/>
    <d v="2020-05-30T00:00:00"/>
    <s v="Empresa de embarque #3"/>
    <x v="1"/>
    <s v="Carne de cangrejo"/>
    <x v="8"/>
    <n v="257.59999999999997"/>
    <n v="25"/>
    <n v="6439.9999999999991"/>
    <n v="650.44000000000005"/>
  </r>
  <r>
    <n v="1116"/>
    <d v="2018-05-09T00:00:00"/>
    <x v="56"/>
    <n v="9"/>
    <s v="CONTRERAS RAMOS, Roxi"/>
    <s v="Guadalajara"/>
    <s v="Jalisco"/>
    <x v="7"/>
    <x v="0"/>
    <d v="2018-05-11T00:00:00"/>
    <d v="2020-05-11T00:00:00"/>
    <s v="Empresa de embarque #1"/>
    <x v="0"/>
    <s v="Ravioli"/>
    <x v="9"/>
    <n v="273"/>
    <n v="82"/>
    <n v="22386"/>
    <n v="2149.056"/>
  </r>
  <r>
    <n v="1117"/>
    <d v="2018-05-09T00:00:00"/>
    <x v="56"/>
    <n v="9"/>
    <s v="PONCE HERMOZA, Catalina"/>
    <s v="Guadalajara"/>
    <s v="Jalisco"/>
    <x v="7"/>
    <x v="0"/>
    <d v="2018-05-11T00:00:00"/>
    <d v="2020-05-11T00:00:00"/>
    <s v="Empresa de embarque #1"/>
    <x v="0"/>
    <s v="Mozzarella"/>
    <x v="10"/>
    <n v="487.19999999999993"/>
    <n v="37"/>
    <n v="18026.399999999998"/>
    <n v="1856.7191999999998"/>
  </r>
  <r>
    <n v="1118"/>
    <d v="2018-05-06T00:00:00"/>
    <x v="49"/>
    <n v="6"/>
    <s v="SOLIER ZAMORA, Susy"/>
    <s v="Tijuana"/>
    <s v="Baja California"/>
    <x v="4"/>
    <x v="2"/>
    <d v="2018-05-08T00:00:00"/>
    <d v="2020-05-08T00:00:00"/>
    <s v="Empresa de embarque #2"/>
    <x v="1"/>
    <s v="Cerveza"/>
    <x v="0"/>
    <n v="196"/>
    <n v="84"/>
    <n v="16464"/>
    <n v="1580.5440000000001"/>
  </r>
  <r>
    <n v="1119"/>
    <d v="2018-05-08T00:00:00"/>
    <x v="51"/>
    <n v="8"/>
    <s v="VASQUEZ RUIZ, Gladys"/>
    <s v="Monterrey"/>
    <s v="Nuevo León"/>
    <x v="2"/>
    <x v="2"/>
    <d v="2018-05-10T00:00:00"/>
    <d v="2020-05-10T00:00:00"/>
    <s v="Empresa de embarque #2"/>
    <x v="0"/>
    <s v="Salsa curry"/>
    <x v="5"/>
    <n v="560"/>
    <n v="73"/>
    <n v="40880"/>
    <n v="3965.36"/>
  </r>
  <r>
    <n v="1120"/>
    <d v="2018-05-08T00:00:00"/>
    <x v="51"/>
    <n v="8"/>
    <s v="GALAN GALLARDO, Aracely"/>
    <s v="Monterrey"/>
    <s v="Nuevo León"/>
    <x v="2"/>
    <x v="2"/>
    <d v="2018-05-10T00:00:00"/>
    <d v="2020-05-10T00:00:00"/>
    <s v="Empresa de embarque #2"/>
    <x v="0"/>
    <s v="Galletas de chocolate"/>
    <x v="2"/>
    <n v="128.79999999999998"/>
    <n v="51"/>
    <n v="6568.7999999999993"/>
    <n v="624.03599999999994"/>
  </r>
  <r>
    <n v="1121"/>
    <d v="2018-05-25T00:00:00"/>
    <x v="57"/>
    <n v="25"/>
    <s v="ACOSTA ARMAS SANDRA PAOLA"/>
    <s v="León"/>
    <s v="Guanajuato"/>
    <x v="6"/>
    <x v="1"/>
    <d v="2018-05-27T00:00:00"/>
    <d v="2020-05-27T00:00:00"/>
    <s v="Empresa de embarque #1"/>
    <x v="0"/>
    <s v="Bolillos"/>
    <x v="2"/>
    <n v="140"/>
    <n v="66"/>
    <n v="9240"/>
    <n v="960.96"/>
  </r>
  <r>
    <n v="1122"/>
    <d v="2018-05-26T00:00:00"/>
    <x v="58"/>
    <n v="26"/>
    <s v="ALCANTARA CHANDUVI CRISTOPHER"/>
    <s v="Ciudad de México"/>
    <s v="Ciudad de México"/>
    <x v="5"/>
    <x v="3"/>
    <d v="2018-05-28T00:00:00"/>
    <d v="2020-05-28T00:00:00"/>
    <s v="Empresa de embarque #3"/>
    <x v="1"/>
    <s v="Aceite de oliva"/>
    <x v="13"/>
    <n v="298.90000000000003"/>
    <n v="36"/>
    <n v="10760.400000000001"/>
    <n v="1043.7588000000001"/>
  </r>
  <r>
    <n v="1123"/>
    <d v="2018-05-26T00:00:00"/>
    <x v="58"/>
    <n v="26"/>
    <s v="ALMONACID PINEDA VIVIANA THAIS"/>
    <s v="Ciudad de México"/>
    <s v="Ciudad de México"/>
    <x v="5"/>
    <x v="3"/>
    <d v="2018-05-28T00:00:00"/>
    <d v="2020-05-28T00:00:00"/>
    <s v="Empresa de embarque #3"/>
    <x v="1"/>
    <s v="Almejas"/>
    <x v="4"/>
    <n v="135.1"/>
    <n v="87"/>
    <n v="11753.699999999999"/>
    <n v="1222.3848"/>
  </r>
  <r>
    <n v="1124"/>
    <d v="2018-05-26T00:00:00"/>
    <x v="58"/>
    <n v="26"/>
    <s v="BALBIN CUSQUISIBAN DARIANA ISABEL"/>
    <s v="Ciudad de México"/>
    <s v="Ciudad de México"/>
    <x v="5"/>
    <x v="3"/>
    <d v="2018-05-28T00:00:00"/>
    <d v="2020-05-28T00:00:00"/>
    <s v="Empresa de embarque #3"/>
    <x v="1"/>
    <s v="Carne de cangrejo"/>
    <x v="8"/>
    <n v="257.59999999999997"/>
    <n v="64"/>
    <n v="16486.399999999998"/>
    <n v="1615.6671999999999"/>
  </r>
  <r>
    <n v="1125"/>
    <d v="2018-05-29T00:00:00"/>
    <x v="47"/>
    <n v="29"/>
    <s v="CAMASCA CENENO JHOEL LUIS"/>
    <s v="Puerto Vallarta"/>
    <s v="Jalisco"/>
    <x v="3"/>
    <x v="0"/>
    <d v="2018-05-31T00:00:00"/>
    <d v="2020-05-31T00:00:00"/>
    <s v="Empresa de embarque #2"/>
    <x v="0"/>
    <s v="Cerveza"/>
    <x v="0"/>
    <n v="196"/>
    <n v="21"/>
    <n v="4116"/>
    <n v="432.18000000000006"/>
  </r>
  <r>
    <n v="1126"/>
    <d v="2018-05-06T00:00:00"/>
    <x v="49"/>
    <n v="6"/>
    <s v="CARBAJAL HUANCAS CARLOS ABEL"/>
    <s v="Tijuana"/>
    <s v="Baja California"/>
    <x v="4"/>
    <x v="2"/>
    <d v="2018-05-08T00:00:00"/>
    <d v="2020-05-08T00:00:00"/>
    <s v="Empresa de embarque #3"/>
    <x v="0"/>
    <s v="Chocolate"/>
    <x v="3"/>
    <n v="178.5"/>
    <n v="19"/>
    <n v="3391.5"/>
    <n v="342.54149999999998"/>
  </r>
  <r>
    <n v="1128"/>
    <d v="2018-05-04T00:00:00"/>
    <x v="59"/>
    <n v="4"/>
    <s v="CASTILLO AGUIRRE GUADALUPE VANESSA"/>
    <s v="Querétaro"/>
    <s v="Querétaro"/>
    <x v="1"/>
    <x v="1"/>
    <d v="2018-05-06T00:00:00"/>
    <d v="2020-05-06T00:00:00"/>
    <s v="Empresa de embarque #1"/>
    <x v="1"/>
    <s v="Mermelada de zarzamora"/>
    <x v="6"/>
    <n v="1134"/>
    <n v="23"/>
    <n v="26082"/>
    <n v="2738.61"/>
  </r>
  <r>
    <n v="1129"/>
    <d v="2018-05-04T00:00:00"/>
    <x v="59"/>
    <n v="4"/>
    <s v="CCASA TICONA NELLY"/>
    <s v="Querétaro"/>
    <s v="Querétaro"/>
    <x v="1"/>
    <x v="1"/>
    <d v="2018-05-06T00:00:00"/>
    <d v="2020-05-06T00:00:00"/>
    <s v="Empresa de embarque #1"/>
    <x v="1"/>
    <s v="Arroz de grano largo"/>
    <x v="14"/>
    <n v="98"/>
    <n v="72"/>
    <n v="7056"/>
    <n v="726.76800000000003"/>
  </r>
  <r>
    <n v="1131"/>
    <d v="2018-05-08T00:00:00"/>
    <x v="51"/>
    <n v="8"/>
    <s v="CONDORI PALOMINO LUCERO"/>
    <s v="Monterrey"/>
    <s v="Nuevo León"/>
    <x v="2"/>
    <x v="2"/>
    <d v="2018-05-10T00:00:00"/>
    <d v="2020-05-10T00:00:00"/>
    <s v="Empresa de embarque #3"/>
    <x v="1"/>
    <s v="Mozzarella"/>
    <x v="10"/>
    <n v="487.19999999999993"/>
    <n v="22"/>
    <n v="10718.399999999998"/>
    <n v="1050.4031999999997"/>
  </r>
  <r>
    <n v="1134"/>
    <d v="2018-05-03T00:00:00"/>
    <x v="48"/>
    <n v="3"/>
    <s v="ENCARNACIÓN VENTURA FELICITA"/>
    <s v="Acapulco"/>
    <s v="Guerrero"/>
    <x v="0"/>
    <x v="0"/>
    <d v="2018-05-05T00:00:00"/>
    <d v="2020-05-05T00:00:00"/>
    <s v="Empresa de embarque #2"/>
    <x v="0"/>
    <s v="Jarabe"/>
    <x v="7"/>
    <n v="140"/>
    <n v="82"/>
    <n v="11480"/>
    <n v="1193.92"/>
  </r>
  <r>
    <n v="1135"/>
    <d v="2018-05-03T00:00:00"/>
    <x v="48"/>
    <n v="3"/>
    <s v="FLORES DE LA MATA ANGEEL JOHAGNETH VALERIA"/>
    <s v="Acapulco"/>
    <s v="Guerrero"/>
    <x v="0"/>
    <x v="0"/>
    <d v="2018-05-05T00:00:00"/>
    <d v="2020-05-05T00:00:00"/>
    <s v="Empresa de embarque #2"/>
    <x v="0"/>
    <s v="Salsa curry"/>
    <x v="5"/>
    <n v="560"/>
    <n v="98"/>
    <n v="54880"/>
    <n v="5762.4000000000005"/>
  </r>
  <r>
    <n v="1138"/>
    <d v="2018-06-07T00:00:00"/>
    <x v="60"/>
    <n v="7"/>
    <s v="HUAYLLASCO RAMOS JOHANA"/>
    <s v="Chihuahua"/>
    <s v="Chihuahua"/>
    <x v="2"/>
    <x v="2"/>
    <m/>
    <d v="1901-12-31T00:00:00"/>
    <m/>
    <x v="1"/>
    <s v="Café"/>
    <x v="0"/>
    <n v="644"/>
    <n v="71"/>
    <n v="45724"/>
    <n v="4343.78"/>
  </r>
  <r>
    <n v="1139"/>
    <d v="2018-06-10T00:00:00"/>
    <x v="61"/>
    <n v="10"/>
    <s v="LEON BLAS ROSMERY JHUDIT"/>
    <s v="León"/>
    <s v="Guanajuato"/>
    <x v="6"/>
    <x v="1"/>
    <d v="2018-06-12T00:00:00"/>
    <d v="2020-06-12T00:00:00"/>
    <s v="Empresa de embarque #1"/>
    <x v="1"/>
    <s v="Jalea de fresa"/>
    <x v="6"/>
    <n v="350"/>
    <n v="40"/>
    <n v="14000"/>
    <n v="1470"/>
  </r>
  <r>
    <n v="1140"/>
    <d v="2018-06-10T00:00:00"/>
    <x v="61"/>
    <n v="10"/>
    <s v="MENDOZA ALZAMORA GABRIELA"/>
    <s v="León"/>
    <s v="Guanajuato"/>
    <x v="6"/>
    <x v="1"/>
    <d v="2018-06-12T00:00:00"/>
    <d v="2020-06-12T00:00:00"/>
    <s v="Empresa de embarque #1"/>
    <x v="1"/>
    <s v="Condimento cajún"/>
    <x v="7"/>
    <n v="308"/>
    <n v="80"/>
    <n v="24640"/>
    <n v="2414.7199999999998"/>
  </r>
  <r>
    <n v="1141"/>
    <d v="2018-06-10T00:00:00"/>
    <x v="61"/>
    <n v="10"/>
    <s v="NUNINGO NONINGO JUAN LUIS"/>
    <s v="León"/>
    <s v="Guanajuato"/>
    <x v="6"/>
    <x v="1"/>
    <d v="2018-06-12T00:00:00"/>
    <d v="2020-06-12T00:00:00"/>
    <s v="Empresa de embarque #1"/>
    <x v="1"/>
    <s v="Galletas de chocolate"/>
    <x v="2"/>
    <n v="128.79999999999998"/>
    <n v="38"/>
    <n v="4894.3999999999996"/>
    <n v="464.96799999999996"/>
  </r>
  <r>
    <n v="1142"/>
    <d v="2018-06-11T00:00:00"/>
    <x v="62"/>
    <n v="11"/>
    <s v="ORIZANO CABELLO DOMINGO ALFREDO"/>
    <s v="Ciudad de México"/>
    <s v="Ciudad de México"/>
    <x v="5"/>
    <x v="3"/>
    <m/>
    <d v="1901-12-31T00:00:00"/>
    <s v="Empresa de embarque #3"/>
    <x v="1"/>
    <s v="Ciruelas secas"/>
    <x v="1"/>
    <n v="49"/>
    <n v="28"/>
    <n v="1372"/>
    <n v="144.06"/>
  </r>
  <r>
    <n v="1143"/>
    <d v="2018-06-11T00:00:00"/>
    <x v="62"/>
    <n v="11"/>
    <s v="PEDRAZA ORCCOAPAZA JEAN PIERE"/>
    <s v="Ciudad de México"/>
    <s v="Ciudad de México"/>
    <x v="5"/>
    <x v="3"/>
    <m/>
    <d v="1901-12-31T00:00:00"/>
    <s v="Empresa de embarque #3"/>
    <x v="1"/>
    <s v="Té verde"/>
    <x v="0"/>
    <n v="41.86"/>
    <n v="60"/>
    <n v="2511.6"/>
    <n v="246.13680000000005"/>
  </r>
  <r>
    <n v="1144"/>
    <d v="2018-06-01T00:00:00"/>
    <x v="63"/>
    <n v="1"/>
    <s v="QUISPE QUISPE KEVIN HERMOGENES"/>
    <s v="Torreón"/>
    <s v="Coahuila"/>
    <x v="2"/>
    <x v="2"/>
    <m/>
    <d v="1901-12-31T00:00:00"/>
    <m/>
    <x v="1"/>
    <s v="Té chai"/>
    <x v="0"/>
    <n v="252"/>
    <n v="33"/>
    <n v="8316"/>
    <n v="814.96800000000007"/>
  </r>
  <r>
    <n v="1145"/>
    <d v="2018-06-01T00:00:00"/>
    <x v="63"/>
    <n v="1"/>
    <s v="QUISPE VILLENA JORDI DAVID"/>
    <s v="Torreón"/>
    <s v="Coahuila"/>
    <x v="2"/>
    <x v="2"/>
    <m/>
    <d v="1901-12-31T00:00:00"/>
    <m/>
    <x v="1"/>
    <s v="Café"/>
    <x v="0"/>
    <n v="644"/>
    <n v="22"/>
    <n v="14168"/>
    <n v="1416.8"/>
  </r>
  <r>
    <n v="1146"/>
    <d v="2018-06-01T00:00:00"/>
    <x v="63"/>
    <n v="1"/>
    <s v="RAMOS BARRIENTOS FLOR MARIA"/>
    <s v="Torreón"/>
    <s v="Coahuila"/>
    <x v="2"/>
    <x v="2"/>
    <m/>
    <d v="1901-12-31T00:00:00"/>
    <m/>
    <x v="1"/>
    <s v="Té verde"/>
    <x v="0"/>
    <n v="41.86"/>
    <n v="51"/>
    <n v="2134.86"/>
    <n v="209.21628000000004"/>
  </r>
  <r>
    <n v="1147"/>
    <d v="2018-06-28T00:00:00"/>
    <x v="64"/>
    <n v="28"/>
    <s v="RIVERA MARCA NATALI"/>
    <s v="Toluca"/>
    <s v="Estado de México"/>
    <x v="5"/>
    <x v="3"/>
    <d v="2018-06-30T00:00:00"/>
    <d v="2020-06-30T00:00:00"/>
    <s v="Empresa de embarque #3"/>
    <x v="1"/>
    <s v="Almejas"/>
    <x v="4"/>
    <n v="135.1"/>
    <n v="60"/>
    <n v="8106"/>
    <n v="802.49400000000003"/>
  </r>
  <r>
    <n v="1148"/>
    <d v="2018-06-28T00:00:00"/>
    <x v="64"/>
    <n v="28"/>
    <s v="SILVA REATEGUI PATRICIA"/>
    <s v="Toluca"/>
    <s v="Estado de México"/>
    <x v="5"/>
    <x v="3"/>
    <d v="2018-06-30T00:00:00"/>
    <d v="2020-06-30T00:00:00"/>
    <s v="Empresa de embarque #3"/>
    <x v="1"/>
    <s v="Carne de cangrejo"/>
    <x v="8"/>
    <n v="257.59999999999997"/>
    <n v="98"/>
    <n v="25244.799999999996"/>
    <n v="2574.9695999999999"/>
  </r>
  <r>
    <n v="1149"/>
    <d v="2018-06-09T00:00:00"/>
    <x v="65"/>
    <n v="9"/>
    <s v="VELASQUEZ ROCA LILIANA"/>
    <s v="Guadalajara"/>
    <s v="Jalisco"/>
    <x v="7"/>
    <x v="0"/>
    <d v="2018-06-11T00:00:00"/>
    <d v="2020-06-11T00:00:00"/>
    <s v="Empresa de embarque #1"/>
    <x v="0"/>
    <s v="Ravioli"/>
    <x v="9"/>
    <n v="273"/>
    <n v="27"/>
    <n v="7371"/>
    <n v="714.98700000000008"/>
  </r>
  <r>
    <n v="1150"/>
    <d v="2018-06-09T00:00:00"/>
    <x v="65"/>
    <n v="9"/>
    <s v="BECERRA CRUZADO, Tania"/>
    <s v="Guadalajara"/>
    <s v="Jalisco"/>
    <x v="7"/>
    <x v="0"/>
    <d v="2018-06-11T00:00:00"/>
    <d v="2020-06-11T00:00:00"/>
    <s v="Empresa de embarque #1"/>
    <x v="0"/>
    <s v="Mozzarella"/>
    <x v="10"/>
    <n v="487.19999999999993"/>
    <n v="88"/>
    <n v="42873.599999999991"/>
    <n v="4244.4863999999989"/>
  </r>
  <r>
    <n v="1151"/>
    <d v="2018-06-06T00:00:00"/>
    <x v="66"/>
    <n v="6"/>
    <s v="MENDOZA PEREYRA, Rosa"/>
    <s v="Tijuana"/>
    <s v="Baja California"/>
    <x v="4"/>
    <x v="2"/>
    <d v="2018-06-08T00:00:00"/>
    <d v="2020-06-08T00:00:00"/>
    <s v="Empresa de embarque #2"/>
    <x v="1"/>
    <s v="Cerveza"/>
    <x v="0"/>
    <n v="196"/>
    <n v="65"/>
    <n v="12740"/>
    <n v="1337.7"/>
  </r>
  <r>
    <n v="1152"/>
    <d v="2018-06-08T00:00:00"/>
    <x v="67"/>
    <n v="8"/>
    <s v="ODAR BARRIENTE, Karina"/>
    <s v="Monterrey"/>
    <s v="Nuevo León"/>
    <x v="2"/>
    <x v="2"/>
    <d v="2018-06-10T00:00:00"/>
    <d v="2020-06-10T00:00:00"/>
    <s v="Empresa de embarque #2"/>
    <x v="0"/>
    <s v="Salsa curry"/>
    <x v="5"/>
    <n v="560"/>
    <n v="38"/>
    <n v="21280"/>
    <n v="2085.44"/>
  </r>
  <r>
    <n v="1153"/>
    <d v="2018-06-08T00:00:00"/>
    <x v="67"/>
    <n v="8"/>
    <s v="ALVARADO TIRADO, Patricia"/>
    <s v="Monterrey"/>
    <s v="Nuevo León"/>
    <x v="2"/>
    <x v="2"/>
    <d v="2018-06-10T00:00:00"/>
    <d v="2020-06-10T00:00:00"/>
    <s v="Empresa de embarque #2"/>
    <x v="0"/>
    <s v="Galletas de chocolate"/>
    <x v="2"/>
    <n v="128.79999999999998"/>
    <n v="80"/>
    <n v="10303.999999999998"/>
    <n v="989.18400000000008"/>
  </r>
  <r>
    <n v="1154"/>
    <d v="2018-06-25T00:00:00"/>
    <x v="68"/>
    <n v="25"/>
    <s v="SHEFFER MENDOZA, Milagros"/>
    <s v="León"/>
    <s v="Guanajuato"/>
    <x v="6"/>
    <x v="1"/>
    <d v="2018-06-27T00:00:00"/>
    <d v="2020-06-27T00:00:00"/>
    <s v="Empresa de embarque #1"/>
    <x v="0"/>
    <s v="Bolillos"/>
    <x v="2"/>
    <n v="140"/>
    <n v="49"/>
    <n v="6860"/>
    <n v="658.56"/>
  </r>
  <r>
    <n v="1155"/>
    <d v="2018-06-26T00:00:00"/>
    <x v="69"/>
    <n v="26"/>
    <s v="CRUZ BRICEÑO, Yolanda"/>
    <s v="Ciudad de México"/>
    <s v="Ciudad de México"/>
    <x v="5"/>
    <x v="3"/>
    <d v="2018-06-28T00:00:00"/>
    <d v="2020-06-28T00:00:00"/>
    <s v="Empresa de embarque #3"/>
    <x v="1"/>
    <s v="Aceite de oliva"/>
    <x v="13"/>
    <n v="298.90000000000003"/>
    <n v="90"/>
    <n v="26901.000000000004"/>
    <n v="2609.3970000000004"/>
  </r>
  <r>
    <n v="1156"/>
    <d v="2018-06-26T00:00:00"/>
    <x v="69"/>
    <n v="26"/>
    <s v="HILARIO CANOVA, Corina"/>
    <s v="Ciudad de México"/>
    <s v="Ciudad de México"/>
    <x v="5"/>
    <x v="3"/>
    <d v="2018-06-28T00:00:00"/>
    <d v="2020-06-28T00:00:00"/>
    <s v="Empresa de embarque #3"/>
    <x v="1"/>
    <s v="Almejas"/>
    <x v="4"/>
    <n v="135.1"/>
    <n v="60"/>
    <n v="8106"/>
    <n v="834.91800000000012"/>
  </r>
  <r>
    <n v="1157"/>
    <d v="2018-06-26T00:00:00"/>
    <x v="69"/>
    <n v="26"/>
    <s v="BEJAR PILLACA, Marlene"/>
    <s v="Ciudad de México"/>
    <s v="Ciudad de México"/>
    <x v="5"/>
    <x v="3"/>
    <d v="2018-06-28T00:00:00"/>
    <d v="2020-06-28T00:00:00"/>
    <s v="Empresa de embarque #3"/>
    <x v="1"/>
    <s v="Carne de cangrejo"/>
    <x v="8"/>
    <n v="257.59999999999997"/>
    <n v="39"/>
    <n v="10046.399999999998"/>
    <n v="1004.6399999999999"/>
  </r>
  <r>
    <n v="1158"/>
    <d v="2018-06-29T00:00:00"/>
    <x v="70"/>
    <n v="29"/>
    <s v="ALLCCARIMA CRISOSTOMO, Eliana"/>
    <s v="Puerto Vallarta"/>
    <s v="Jalisco"/>
    <x v="3"/>
    <x v="0"/>
    <d v="2018-07-01T00:00:00"/>
    <d v="2020-07-01T00:00:00"/>
    <s v="Empresa de embarque #2"/>
    <x v="0"/>
    <s v="Cerveza"/>
    <x v="0"/>
    <n v="196"/>
    <n v="79"/>
    <n v="15484"/>
    <n v="1594.8520000000001"/>
  </r>
  <r>
    <n v="1159"/>
    <d v="2018-06-06T00:00:00"/>
    <x v="66"/>
    <n v="6"/>
    <s v="FLORES PEREZ, Lourdes"/>
    <s v="Tijuana"/>
    <s v="Baja California"/>
    <x v="4"/>
    <x v="2"/>
    <d v="2018-06-08T00:00:00"/>
    <d v="2020-06-08T00:00:00"/>
    <s v="Empresa de embarque #3"/>
    <x v="0"/>
    <s v="Chocolate"/>
    <x v="3"/>
    <n v="178.5"/>
    <n v="44"/>
    <n v="7854"/>
    <n v="801.10800000000006"/>
  </r>
  <r>
    <n v="1161"/>
    <d v="2018-06-04T00:00:00"/>
    <x v="71"/>
    <n v="4"/>
    <s v="MENDOZA PEREYRA, Rosa"/>
    <s v="Querétaro"/>
    <s v="Querétaro"/>
    <x v="1"/>
    <x v="1"/>
    <d v="2018-06-06T00:00:00"/>
    <d v="2020-06-06T00:00:00"/>
    <s v="Empresa de embarque #1"/>
    <x v="1"/>
    <s v="Mermelada de zarzamora"/>
    <x v="6"/>
    <n v="1134"/>
    <n v="98"/>
    <n v="111132"/>
    <n v="10779.804"/>
  </r>
  <r>
    <n v="1162"/>
    <d v="2018-06-04T00:00:00"/>
    <x v="71"/>
    <n v="4"/>
    <s v="SHEFFER MENDOZA, Milagros"/>
    <s v="Querétaro"/>
    <s v="Querétaro"/>
    <x v="1"/>
    <x v="1"/>
    <d v="2018-06-06T00:00:00"/>
    <d v="2020-06-06T00:00:00"/>
    <s v="Empresa de embarque #1"/>
    <x v="1"/>
    <s v="Arroz de grano largo"/>
    <x v="14"/>
    <n v="98"/>
    <n v="61"/>
    <n v="5978"/>
    <n v="591.822"/>
  </r>
  <r>
    <n v="1164"/>
    <d v="2018-06-08T00:00:00"/>
    <x v="67"/>
    <n v="8"/>
    <s v="ALVARADO TIRADO, Patricia"/>
    <s v="Monterrey"/>
    <s v="Nuevo León"/>
    <x v="2"/>
    <x v="2"/>
    <d v="2018-06-10T00:00:00"/>
    <d v="2020-06-10T00:00:00"/>
    <s v="Empresa de embarque #3"/>
    <x v="1"/>
    <s v="Mozzarella"/>
    <x v="10"/>
    <n v="487.19999999999993"/>
    <n v="30"/>
    <n v="14615.999999999998"/>
    <n v="1534.68"/>
  </r>
  <r>
    <n v="1167"/>
    <d v="2018-06-03T00:00:00"/>
    <x v="72"/>
    <n v="3"/>
    <s v="BECERRA CRUZADO, Tania"/>
    <s v="Acapulco"/>
    <s v="Guerrero"/>
    <x v="0"/>
    <x v="0"/>
    <d v="2018-06-05T00:00:00"/>
    <d v="2020-06-05T00:00:00"/>
    <s v="Empresa de embarque #2"/>
    <x v="0"/>
    <s v="Jarabe"/>
    <x v="7"/>
    <n v="140"/>
    <n v="24"/>
    <n v="3360"/>
    <n v="352.80000000000007"/>
  </r>
  <r>
    <n v="1168"/>
    <d v="2018-06-03T00:00:00"/>
    <x v="72"/>
    <n v="3"/>
    <s v="HILARIO CANOVA, Corina"/>
    <s v="Acapulco"/>
    <s v="Guerrero"/>
    <x v="0"/>
    <x v="0"/>
    <d v="2018-06-05T00:00:00"/>
    <d v="2020-06-05T00:00:00"/>
    <s v="Empresa de embarque #2"/>
    <x v="0"/>
    <s v="Salsa curry"/>
    <x v="5"/>
    <n v="560"/>
    <n v="28"/>
    <n v="15680"/>
    <n v="1536.6399999999999"/>
  </r>
  <r>
    <n v="1172"/>
    <d v="2018-06-10T00:00:00"/>
    <x v="61"/>
    <n v="10"/>
    <s v="DEXTRE PEREZ, Zenia"/>
    <s v="León"/>
    <s v="Guanajuato"/>
    <x v="6"/>
    <x v="1"/>
    <d v="2018-06-12T00:00:00"/>
    <d v="2020-06-12T00:00:00"/>
    <s v="Empresa de embarque #2"/>
    <x v="1"/>
    <s v="Almendras"/>
    <x v="1"/>
    <n v="140"/>
    <n v="74"/>
    <n v="10360"/>
    <n v="1004.9200000000001"/>
  </r>
  <r>
    <n v="1174"/>
    <d v="2018-06-10T00:00:00"/>
    <x v="61"/>
    <n v="10"/>
    <s v="ODAR BARRIENTE, Karina"/>
    <s v="León"/>
    <s v="Guanajuato"/>
    <x v="6"/>
    <x v="1"/>
    <m/>
    <d v="1901-12-31T00:00:00"/>
    <s v="Empresa de embarque #1"/>
    <x v="1"/>
    <s v="Ciruelas secas"/>
    <x v="1"/>
    <n v="49"/>
    <n v="90"/>
    <n v="4410"/>
    <n v="423.35999999999996"/>
  </r>
  <r>
    <n v="1175"/>
    <d v="2018-06-11T00:00:00"/>
    <x v="62"/>
    <n v="11"/>
    <s v="ALLCCARIMA CRISOSTOMO, Eliana"/>
    <s v="Ciudad de México"/>
    <s v="Ciudad de México"/>
    <x v="5"/>
    <x v="3"/>
    <m/>
    <d v="1901-12-31T00:00:00"/>
    <s v="Empresa de embarque #3"/>
    <x v="1"/>
    <s v="Salsa curry"/>
    <x v="5"/>
    <n v="560"/>
    <n v="27"/>
    <n v="15120"/>
    <n v="1557.3600000000001"/>
  </r>
  <r>
    <n v="1176"/>
    <d v="2018-06-01T00:00:00"/>
    <x v="63"/>
    <n v="1"/>
    <s v="CUBAS PEREZ, Nelly"/>
    <s v="Torreón"/>
    <s v="Coahuila"/>
    <x v="2"/>
    <x v="2"/>
    <m/>
    <d v="1901-12-31T00:00:00"/>
    <s v="Empresa de embarque #3"/>
    <x v="1"/>
    <s v="Carne de cangrejo"/>
    <x v="8"/>
    <n v="257.59999999999997"/>
    <n v="71"/>
    <n v="18289.599999999999"/>
    <n v="1920.4079999999999"/>
  </r>
  <r>
    <n v="1177"/>
    <d v="2018-06-28T00:00:00"/>
    <x v="64"/>
    <n v="28"/>
    <s v="PALOMINO GARCIA, Selene"/>
    <s v="Toluca"/>
    <s v="Estado de México"/>
    <x v="5"/>
    <x v="3"/>
    <d v="2018-06-30T00:00:00"/>
    <d v="2020-06-30T00:00:00"/>
    <s v="Empresa de embarque #3"/>
    <x v="1"/>
    <s v="Café"/>
    <x v="0"/>
    <n v="644"/>
    <n v="74"/>
    <n v="47656"/>
    <n v="4765.6000000000004"/>
  </r>
  <r>
    <n v="1178"/>
    <d v="2018-06-09T00:00:00"/>
    <x v="65"/>
    <n v="9"/>
    <s v="CONTRERAS RAMOS, Roxi"/>
    <s v="Guadalajara"/>
    <s v="Jalisco"/>
    <x v="7"/>
    <x v="0"/>
    <d v="2018-06-11T00:00:00"/>
    <d v="2020-06-11T00:00:00"/>
    <s v="Empresa de embarque #1"/>
    <x v="0"/>
    <s v="Almejas"/>
    <x v="4"/>
    <n v="135.1"/>
    <n v="76"/>
    <n v="10267.6"/>
    <n v="1016.4924"/>
  </r>
  <r>
    <n v="1179"/>
    <d v="2018-06-06T00:00:00"/>
    <x v="66"/>
    <n v="6"/>
    <s v="PONCE HERMOZA, Catalina"/>
    <s v="Tijuana"/>
    <s v="Baja California"/>
    <x v="4"/>
    <x v="2"/>
    <d v="2018-06-08T00:00:00"/>
    <d v="2020-06-08T00:00:00"/>
    <s v="Empresa de embarque #2"/>
    <x v="1"/>
    <s v="Chocolate"/>
    <x v="3"/>
    <n v="178.5"/>
    <n v="96"/>
    <n v="17136"/>
    <n v="1730.7360000000001"/>
  </r>
  <r>
    <n v="1180"/>
    <d v="2018-06-08T00:00:00"/>
    <x v="67"/>
    <n v="8"/>
    <s v="SOLIER ZAMORA, Susy"/>
    <s v="Monterrey"/>
    <s v="Nuevo León"/>
    <x v="2"/>
    <x v="2"/>
    <d v="2018-06-10T00:00:00"/>
    <d v="2020-06-10T00:00:00"/>
    <s v="Empresa de embarque #2"/>
    <x v="0"/>
    <s v="Chocolate"/>
    <x v="3"/>
    <n v="178.5"/>
    <n v="92"/>
    <n v="16422"/>
    <n v="1625.7780000000002"/>
  </r>
  <r>
    <n v="1181"/>
    <d v="2018-06-25T00:00:00"/>
    <x v="68"/>
    <n v="25"/>
    <s v="VASQUEZ RUIZ, Gladys"/>
    <s v="León"/>
    <s v="Guanajuato"/>
    <x v="6"/>
    <x v="1"/>
    <d v="2018-06-27T00:00:00"/>
    <d v="2020-06-27T00:00:00"/>
    <s v="Empresa de embarque #1"/>
    <x v="0"/>
    <s v="Condimento cajún"/>
    <x v="7"/>
    <n v="308"/>
    <n v="93"/>
    <n v="28644"/>
    <n v="2807.1120000000001"/>
  </r>
  <r>
    <n v="1182"/>
    <d v="2018-06-26T00:00:00"/>
    <x v="69"/>
    <n v="26"/>
    <s v="GALAN GALLARDO, Aracely"/>
    <s v="Ciudad de México"/>
    <s v="Ciudad de México"/>
    <x v="5"/>
    <x v="3"/>
    <d v="2018-06-28T00:00:00"/>
    <d v="2020-06-28T00:00:00"/>
    <s v="Empresa de embarque #3"/>
    <x v="1"/>
    <s v="Jalea de fresa"/>
    <x v="6"/>
    <n v="350"/>
    <n v="18"/>
    <n v="6300"/>
    <n v="598.5"/>
  </r>
  <r>
    <n v="1183"/>
    <d v="2018-06-29T00:00:00"/>
    <x v="70"/>
    <n v="29"/>
    <s v="ACOSTA ARMAS SANDRA PAOLA"/>
    <s v="Puerto Vallarta"/>
    <s v="Jalisco"/>
    <x v="3"/>
    <x v="0"/>
    <d v="2018-07-01T00:00:00"/>
    <d v="2020-07-01T00:00:00"/>
    <s v="Empresa de embarque #2"/>
    <x v="0"/>
    <s v="Cóctel de frutas"/>
    <x v="12"/>
    <n v="546"/>
    <n v="98"/>
    <n v="53508"/>
    <n v="5564.8320000000003"/>
  </r>
  <r>
    <n v="1184"/>
    <d v="2018-06-06T00:00:00"/>
    <x v="66"/>
    <n v="6"/>
    <s v="ALCANTARA CHANDUVI CRISTOPHER"/>
    <s v="Tijuana"/>
    <s v="Baja California"/>
    <x v="4"/>
    <x v="2"/>
    <d v="2018-06-08T00:00:00"/>
    <d v="2020-06-08T00:00:00"/>
    <s v="Empresa de embarque #3"/>
    <x v="0"/>
    <s v="Peras secas"/>
    <x v="1"/>
    <n v="420"/>
    <n v="46"/>
    <n v="19320"/>
    <n v="1893.3600000000001"/>
  </r>
  <r>
    <n v="1185"/>
    <d v="2018-06-06T00:00:00"/>
    <x v="66"/>
    <n v="6"/>
    <s v="ALMONACID PINEDA VIVIANA THAIS"/>
    <s v="Tijuana"/>
    <s v="Baja California"/>
    <x v="4"/>
    <x v="2"/>
    <d v="2018-06-08T00:00:00"/>
    <d v="2020-06-08T00:00:00"/>
    <s v="Empresa de embarque #3"/>
    <x v="0"/>
    <s v="Manzanas secas"/>
    <x v="1"/>
    <n v="742"/>
    <n v="14"/>
    <n v="10388"/>
    <n v="1038.8"/>
  </r>
  <r>
    <n v="1186"/>
    <d v="2018-06-04T00:00:00"/>
    <x v="71"/>
    <n v="4"/>
    <s v="BALBIN CUSQUISIBAN DARIANA ISABEL"/>
    <s v="Querétaro"/>
    <s v="Querétaro"/>
    <x v="1"/>
    <x v="1"/>
    <m/>
    <d v="1901-12-31T00:00:00"/>
    <m/>
    <x v="1"/>
    <s v="Pasta penne"/>
    <x v="9"/>
    <n v="532"/>
    <n v="85"/>
    <n v="45220"/>
    <n v="4476.78"/>
  </r>
  <r>
    <n v="1187"/>
    <d v="2018-06-03T00:00:00"/>
    <x v="72"/>
    <n v="3"/>
    <s v="CAMASCA CENENO JHOEL LUIS"/>
    <s v="Acapulco"/>
    <s v="Guerrero"/>
    <x v="0"/>
    <x v="0"/>
    <m/>
    <d v="1901-12-31T00:00:00"/>
    <m/>
    <x v="1"/>
    <s v="Té verde"/>
    <x v="0"/>
    <n v="41.86"/>
    <n v="88"/>
    <n v="3683.68"/>
    <n v="357.31695999999999"/>
  </r>
  <r>
    <n v="1188"/>
    <d v="2018-07-01T00:00:00"/>
    <x v="73"/>
    <n v="1"/>
    <s v="CARBAJAL HUANCAS CARLOS ABEL"/>
    <s v="Torreón"/>
    <s v="Coahuila"/>
    <x v="2"/>
    <x v="2"/>
    <m/>
    <d v="1901-12-31T00:00:00"/>
    <m/>
    <x v="1"/>
    <s v="Té verde"/>
    <x v="0"/>
    <n v="41.86"/>
    <n v="81"/>
    <n v="3390.66"/>
    <n v="335.67534000000006"/>
  </r>
  <r>
    <n v="1189"/>
    <d v="2018-07-28T00:00:00"/>
    <x v="74"/>
    <n v="28"/>
    <s v="CASTILLO AGUIRRE GUADALUPE VANESSA"/>
    <s v="Toluca"/>
    <s v="Estado de México"/>
    <x v="5"/>
    <x v="3"/>
    <d v="2018-07-30T00:00:00"/>
    <d v="2020-07-30T00:00:00"/>
    <s v="Empresa de embarque #3"/>
    <x v="1"/>
    <s v="Almejas"/>
    <x v="4"/>
    <n v="135.1"/>
    <n v="33"/>
    <n v="4458.3"/>
    <n v="423.5385"/>
  </r>
  <r>
    <n v="1190"/>
    <d v="2018-07-28T00:00:00"/>
    <x v="74"/>
    <n v="28"/>
    <s v="CCASA TICONA NELLY"/>
    <s v="Toluca"/>
    <s v="Estado de México"/>
    <x v="5"/>
    <x v="3"/>
    <d v="2018-07-30T00:00:00"/>
    <d v="2020-07-30T00:00:00"/>
    <s v="Empresa de embarque #3"/>
    <x v="1"/>
    <s v="Carne de cangrejo"/>
    <x v="8"/>
    <n v="257.59999999999997"/>
    <n v="47"/>
    <n v="12107.199999999999"/>
    <n v="1271.2560000000001"/>
  </r>
  <r>
    <n v="1191"/>
    <d v="2018-07-09T00:00:00"/>
    <x v="75"/>
    <n v="9"/>
    <s v="CONDORI PALOMINO LUCERO"/>
    <s v="Guadalajara"/>
    <s v="Jalisco"/>
    <x v="7"/>
    <x v="0"/>
    <d v="2018-07-11T00:00:00"/>
    <d v="2020-07-11T00:00:00"/>
    <s v="Empresa de embarque #1"/>
    <x v="0"/>
    <s v="Ravioli"/>
    <x v="9"/>
    <n v="273"/>
    <n v="61"/>
    <n v="16653"/>
    <n v="1731.9120000000003"/>
  </r>
  <r>
    <n v="1192"/>
    <d v="2018-07-09T00:00:00"/>
    <x v="75"/>
    <n v="9"/>
    <s v="ENCARNACIÓN VENTURA FELICITA"/>
    <s v="Guadalajara"/>
    <s v="Jalisco"/>
    <x v="7"/>
    <x v="0"/>
    <d v="2018-07-11T00:00:00"/>
    <d v="2020-07-11T00:00:00"/>
    <s v="Empresa de embarque #1"/>
    <x v="0"/>
    <s v="Mozzarella"/>
    <x v="10"/>
    <n v="487.19999999999993"/>
    <n v="27"/>
    <n v="13154.399999999998"/>
    <n v="1341.7487999999998"/>
  </r>
  <r>
    <n v="1193"/>
    <d v="2018-07-06T00:00:00"/>
    <x v="76"/>
    <n v="6"/>
    <s v="FLORES DE LA MATA ANGEEL JOHAGNETH VALERIA"/>
    <s v="Tijuana"/>
    <s v="Baja California"/>
    <x v="4"/>
    <x v="2"/>
    <d v="2018-07-08T00:00:00"/>
    <d v="2020-07-08T00:00:00"/>
    <s v="Empresa de embarque #2"/>
    <x v="1"/>
    <s v="Cerveza"/>
    <x v="0"/>
    <n v="196"/>
    <n v="84"/>
    <n v="16464"/>
    <n v="1662.864"/>
  </r>
  <r>
    <n v="1194"/>
    <d v="2018-07-08T00:00:00"/>
    <x v="77"/>
    <n v="8"/>
    <s v="HUAYLLASCO RAMOS JOHANA"/>
    <s v="Monterrey"/>
    <s v="Nuevo León"/>
    <x v="2"/>
    <x v="2"/>
    <d v="2018-07-10T00:00:00"/>
    <d v="2020-07-10T00:00:00"/>
    <s v="Empresa de embarque #2"/>
    <x v="0"/>
    <s v="Salsa curry"/>
    <x v="5"/>
    <n v="560"/>
    <n v="91"/>
    <n v="50960"/>
    <n v="5045.04"/>
  </r>
  <r>
    <n v="1195"/>
    <d v="2018-07-08T00:00:00"/>
    <x v="77"/>
    <n v="8"/>
    <s v="LEON BLAS ROSMERY JHUDIT"/>
    <s v="Monterrey"/>
    <s v="Nuevo León"/>
    <x v="2"/>
    <x v="2"/>
    <d v="2018-07-10T00:00:00"/>
    <d v="2020-07-10T00:00:00"/>
    <s v="Empresa de embarque #2"/>
    <x v="0"/>
    <s v="Galletas de chocolate"/>
    <x v="2"/>
    <n v="128.79999999999998"/>
    <n v="36"/>
    <n v="4636.7999999999993"/>
    <n v="482.22720000000004"/>
  </r>
  <r>
    <n v="1196"/>
    <d v="2018-07-25T00:00:00"/>
    <x v="78"/>
    <n v="25"/>
    <s v="MENDOZA ALZAMORA GABRIELA"/>
    <s v="León"/>
    <s v="Guanajuato"/>
    <x v="6"/>
    <x v="1"/>
    <d v="2018-07-27T00:00:00"/>
    <d v="2020-07-27T00:00:00"/>
    <s v="Empresa de embarque #1"/>
    <x v="0"/>
    <s v="Bolillos"/>
    <x v="2"/>
    <n v="140"/>
    <n v="34"/>
    <n v="4760"/>
    <n v="480.76000000000005"/>
  </r>
  <r>
    <n v="1197"/>
    <d v="2018-07-26T00:00:00"/>
    <x v="79"/>
    <n v="26"/>
    <s v="NUNINGO NONINGO JUAN LUIS"/>
    <s v="Ciudad de México"/>
    <s v="Ciudad de México"/>
    <x v="5"/>
    <x v="3"/>
    <d v="2018-07-28T00:00:00"/>
    <d v="2020-07-28T00:00:00"/>
    <s v="Empresa de embarque #3"/>
    <x v="1"/>
    <s v="Aceite de oliva"/>
    <x v="13"/>
    <n v="298.90000000000003"/>
    <n v="81"/>
    <n v="24210.9"/>
    <n v="2493.7227000000003"/>
  </r>
  <r>
    <n v="1198"/>
    <d v="2018-07-26T00:00:00"/>
    <x v="79"/>
    <n v="26"/>
    <s v="ORIZANO CABELLO DOMINGO ALFREDO"/>
    <s v="Ciudad de México"/>
    <s v="Ciudad de México"/>
    <x v="5"/>
    <x v="3"/>
    <d v="2018-07-28T00:00:00"/>
    <d v="2020-07-28T00:00:00"/>
    <s v="Empresa de embarque #3"/>
    <x v="1"/>
    <s v="Almejas"/>
    <x v="4"/>
    <n v="135.1"/>
    <n v="25"/>
    <n v="3377.5"/>
    <n v="327.61750000000001"/>
  </r>
  <r>
    <n v="1199"/>
    <d v="2018-07-26T00:00:00"/>
    <x v="79"/>
    <n v="26"/>
    <s v="PEDRAZA ORCCOAPAZA JEAN PIERE"/>
    <s v="Ciudad de México"/>
    <s v="Ciudad de México"/>
    <x v="5"/>
    <x v="3"/>
    <d v="2018-07-28T00:00:00"/>
    <d v="2020-07-28T00:00:00"/>
    <s v="Empresa de embarque #3"/>
    <x v="1"/>
    <s v="Carne de cangrejo"/>
    <x v="8"/>
    <n v="257.59999999999997"/>
    <n v="12"/>
    <n v="3091.2"/>
    <n v="309.12"/>
  </r>
  <r>
    <n v="1200"/>
    <d v="2018-07-29T00:00:00"/>
    <x v="80"/>
    <n v="29"/>
    <s v="QUISPE QUISPE KEVIN HERMOGENES"/>
    <s v="Puerto Vallarta"/>
    <s v="Jalisco"/>
    <x v="3"/>
    <x v="0"/>
    <d v="2018-07-31T00:00:00"/>
    <d v="2020-07-31T00:00:00"/>
    <s v="Empresa de embarque #2"/>
    <x v="0"/>
    <s v="Cerveza"/>
    <x v="0"/>
    <n v="196"/>
    <n v="23"/>
    <n v="4508"/>
    <n v="432.76800000000003"/>
  </r>
  <r>
    <n v="1201"/>
    <d v="2018-07-06T00:00:00"/>
    <x v="76"/>
    <n v="6"/>
    <s v="QUISPE VILLENA JORDI DAVID"/>
    <s v="Tijuana"/>
    <s v="Baja California"/>
    <x v="4"/>
    <x v="2"/>
    <d v="2018-07-08T00:00:00"/>
    <d v="2020-07-08T00:00:00"/>
    <s v="Empresa de embarque #3"/>
    <x v="0"/>
    <s v="Chocolate"/>
    <x v="3"/>
    <n v="178.5"/>
    <n v="76"/>
    <n v="13566"/>
    <n v="1370.1659999999999"/>
  </r>
  <r>
    <n v="1203"/>
    <d v="2018-07-04T00:00:00"/>
    <x v="81"/>
    <n v="4"/>
    <s v="RAMOS BARRIENTOS FLOR MARIA"/>
    <s v="Querétaro"/>
    <s v="Querétaro"/>
    <x v="1"/>
    <x v="1"/>
    <d v="2018-07-06T00:00:00"/>
    <d v="2020-07-06T00:00:00"/>
    <s v="Empresa de embarque #1"/>
    <x v="1"/>
    <s v="Mermelada de zarzamora"/>
    <x v="6"/>
    <n v="1134"/>
    <n v="55"/>
    <n v="62370"/>
    <n v="6237"/>
  </r>
  <r>
    <n v="1204"/>
    <d v="2018-07-04T00:00:00"/>
    <x v="81"/>
    <n v="4"/>
    <s v="RIVERA MARCA NATALI"/>
    <s v="Querétaro"/>
    <s v="Querétaro"/>
    <x v="1"/>
    <x v="1"/>
    <d v="2018-07-06T00:00:00"/>
    <d v="2020-07-06T00:00:00"/>
    <s v="Empresa de embarque #1"/>
    <x v="1"/>
    <s v="Arroz de grano largo"/>
    <x v="14"/>
    <n v="98"/>
    <n v="19"/>
    <n v="1862"/>
    <n v="180.614"/>
  </r>
  <r>
    <n v="1206"/>
    <d v="2018-07-08T00:00:00"/>
    <x v="77"/>
    <n v="8"/>
    <s v="SILVA REATEGUI PATRICIA"/>
    <s v="Monterrey"/>
    <s v="Nuevo León"/>
    <x v="2"/>
    <x v="2"/>
    <d v="2018-07-10T00:00:00"/>
    <d v="2020-07-10T00:00:00"/>
    <s v="Empresa de embarque #3"/>
    <x v="1"/>
    <s v="Mozzarella"/>
    <x v="10"/>
    <n v="487.19999999999993"/>
    <n v="27"/>
    <n v="13154.399999999998"/>
    <n v="1249.6679999999999"/>
  </r>
  <r>
    <n v="1209"/>
    <d v="2018-07-03T00:00:00"/>
    <x v="82"/>
    <n v="3"/>
    <s v="VELASQUEZ ROCA LILIANA"/>
    <s v="Acapulco"/>
    <s v="Guerrero"/>
    <x v="0"/>
    <x v="0"/>
    <d v="2018-07-05T00:00:00"/>
    <d v="2020-07-05T00:00:00"/>
    <s v="Empresa de embarque #2"/>
    <x v="0"/>
    <s v="Jarabe"/>
    <x v="7"/>
    <n v="140"/>
    <n v="99"/>
    <n v="13860"/>
    <n v="1330.56"/>
  </r>
  <r>
    <n v="1210"/>
    <d v="2018-07-03T00:00:00"/>
    <x v="82"/>
    <n v="3"/>
    <s v="BECERRA CRUZADO, Tania"/>
    <s v="Acapulco"/>
    <s v="Guerrero"/>
    <x v="0"/>
    <x v="0"/>
    <d v="2018-07-05T00:00:00"/>
    <d v="2020-07-05T00:00:00"/>
    <s v="Empresa de embarque #2"/>
    <x v="0"/>
    <s v="Salsa curry"/>
    <x v="5"/>
    <n v="560"/>
    <n v="10"/>
    <n v="5600"/>
    <n v="560"/>
  </r>
  <r>
    <n v="1214"/>
    <d v="2018-07-10T00:00:00"/>
    <x v="83"/>
    <n v="10"/>
    <s v="MENDOZA PEREYRA, Rosa"/>
    <s v="León"/>
    <s v="Guanajuato"/>
    <x v="6"/>
    <x v="1"/>
    <d v="2018-07-12T00:00:00"/>
    <d v="2020-07-12T00:00:00"/>
    <s v="Empresa de embarque #2"/>
    <x v="1"/>
    <s v="Almendras"/>
    <x v="1"/>
    <n v="140"/>
    <n v="80"/>
    <n v="11200"/>
    <n v="1086.3999999999999"/>
  </r>
  <r>
    <n v="1216"/>
    <d v="2018-07-10T00:00:00"/>
    <x v="83"/>
    <n v="10"/>
    <s v="ODAR BARRIENTE, Karina"/>
    <s v="León"/>
    <s v="Guanajuato"/>
    <x v="6"/>
    <x v="1"/>
    <m/>
    <d v="1901-12-31T00:00:00"/>
    <s v="Empresa de embarque #1"/>
    <x v="1"/>
    <s v="Ciruelas secas"/>
    <x v="1"/>
    <n v="49"/>
    <n v="27"/>
    <n v="1323"/>
    <n v="127.00800000000001"/>
  </r>
  <r>
    <n v="1217"/>
    <d v="2018-07-11T00:00:00"/>
    <x v="84"/>
    <n v="11"/>
    <s v="ALVARADO TIRADO, Patricia"/>
    <s v="Ciudad de México"/>
    <s v="Ciudad de México"/>
    <x v="5"/>
    <x v="3"/>
    <m/>
    <d v="1901-12-31T00:00:00"/>
    <s v="Empresa de embarque #3"/>
    <x v="1"/>
    <s v="Salsa curry"/>
    <x v="5"/>
    <n v="560"/>
    <n v="97"/>
    <n v="54320"/>
    <n v="5323.3600000000006"/>
  </r>
  <r>
    <n v="1218"/>
    <d v="2018-07-01T00:00:00"/>
    <x v="73"/>
    <n v="1"/>
    <s v="SHEFFER MENDOZA, Milagros"/>
    <s v="Torreón"/>
    <s v="Coahuila"/>
    <x v="2"/>
    <x v="2"/>
    <m/>
    <d v="1901-12-31T00:00:00"/>
    <s v="Empresa de embarque #3"/>
    <x v="1"/>
    <s v="Carne de cangrejo"/>
    <x v="8"/>
    <n v="257.59999999999997"/>
    <n v="42"/>
    <n v="10819.199999999999"/>
    <n v="1125.1967999999999"/>
  </r>
  <r>
    <n v="1219"/>
    <d v="2018-07-28T00:00:00"/>
    <x v="74"/>
    <n v="28"/>
    <s v="CRUZ BRICEÑO, Yolanda"/>
    <s v="Toluca"/>
    <s v="Estado de México"/>
    <x v="5"/>
    <x v="3"/>
    <d v="2018-07-30T00:00:00"/>
    <d v="2020-07-30T00:00:00"/>
    <s v="Empresa de embarque #3"/>
    <x v="1"/>
    <s v="Café"/>
    <x v="0"/>
    <n v="644"/>
    <n v="24"/>
    <n v="15456"/>
    <n v="1483.7759999999998"/>
  </r>
  <r>
    <n v="1220"/>
    <d v="2018-07-09T00:00:00"/>
    <x v="75"/>
    <n v="9"/>
    <s v="HILARIO CANOVA, Corina"/>
    <s v="Guadalajara"/>
    <s v="Jalisco"/>
    <x v="7"/>
    <x v="0"/>
    <d v="2018-07-11T00:00:00"/>
    <d v="2020-07-11T00:00:00"/>
    <s v="Empresa de embarque #1"/>
    <x v="0"/>
    <s v="Almejas"/>
    <x v="4"/>
    <n v="135.1"/>
    <n v="90"/>
    <n v="12159"/>
    <n v="1167.2640000000001"/>
  </r>
  <r>
    <n v="1221"/>
    <d v="2018-07-06T00:00:00"/>
    <x v="76"/>
    <n v="6"/>
    <s v="BEJAR PILLACA, Marlene"/>
    <s v="Tijuana"/>
    <s v="Baja California"/>
    <x v="4"/>
    <x v="2"/>
    <d v="2018-07-08T00:00:00"/>
    <d v="2020-07-08T00:00:00"/>
    <s v="Empresa de embarque #2"/>
    <x v="1"/>
    <s v="Chocolate"/>
    <x v="3"/>
    <n v="178.5"/>
    <n v="28"/>
    <n v="4998"/>
    <n v="499.80000000000007"/>
  </r>
  <r>
    <n v="1222"/>
    <d v="2018-08-28T00:00:00"/>
    <x v="85"/>
    <n v="28"/>
    <s v="ALLCCARIMA CRISOSTOMO, Eliana"/>
    <s v="Toluca"/>
    <s v="Estado de México"/>
    <x v="5"/>
    <x v="3"/>
    <d v="2018-08-30T00:00:00"/>
    <d v="2020-08-30T00:00:00"/>
    <s v="Empresa de embarque #3"/>
    <x v="0"/>
    <s v="Café"/>
    <x v="0"/>
    <n v="644"/>
    <n v="28"/>
    <n v="18032"/>
    <n v="1875.3280000000004"/>
  </r>
  <r>
    <n v="1223"/>
    <d v="2018-08-08T00:00:00"/>
    <x v="86"/>
    <n v="8"/>
    <s v="FLORES PEREZ, Lourdes"/>
    <s v="Monterrey"/>
    <s v="Nuevo León"/>
    <x v="2"/>
    <x v="2"/>
    <d v="2018-08-10T00:00:00"/>
    <d v="2020-08-10T00:00:00"/>
    <s v="Empresa de embarque #3"/>
    <x v="0"/>
    <s v="Chocolate"/>
    <x v="3"/>
    <n v="178.5"/>
    <n v="57"/>
    <n v="10174.5"/>
    <n v="976.75199999999995"/>
  </r>
  <r>
    <n v="1224"/>
    <d v="2018-08-10T00:00:00"/>
    <x v="87"/>
    <n v="10"/>
    <s v="MENDOZA PEREYRA, Rosa"/>
    <s v="León"/>
    <s v="Guanajuato"/>
    <x v="6"/>
    <x v="1"/>
    <d v="2018-08-12T00:00:00"/>
    <d v="2020-08-12T00:00:00"/>
    <s v="Empresa de embarque #2"/>
    <x v="1"/>
    <s v="Té verde"/>
    <x v="0"/>
    <n v="41.86"/>
    <n v="23"/>
    <n v="962.78"/>
    <n v="93.389660000000021"/>
  </r>
  <r>
    <n v="1225"/>
    <d v="2018-08-07T00:00:00"/>
    <x v="88"/>
    <n v="7"/>
    <s v="SHEFFER MENDOZA, Milagros"/>
    <s v="Chihuahua"/>
    <s v="Chihuahua"/>
    <x v="2"/>
    <x v="2"/>
    <m/>
    <d v="1901-12-31T00:00:00"/>
    <m/>
    <x v="1"/>
    <s v="Café"/>
    <x v="0"/>
    <n v="644"/>
    <n v="86"/>
    <n v="55384"/>
    <n v="5593.7840000000006"/>
  </r>
  <r>
    <n v="1226"/>
    <d v="2018-08-10T00:00:00"/>
    <x v="87"/>
    <n v="10"/>
    <s v="ALVARADO TIRADO, Patricia"/>
    <s v="León"/>
    <s v="Guanajuato"/>
    <x v="6"/>
    <x v="1"/>
    <d v="2018-08-12T00:00:00"/>
    <d v="2020-08-12T00:00:00"/>
    <s v="Empresa de embarque #1"/>
    <x v="1"/>
    <s v="Jalea de fresa"/>
    <x v="6"/>
    <n v="350"/>
    <n v="47"/>
    <n v="16450"/>
    <n v="1628.55"/>
  </r>
  <r>
    <n v="1227"/>
    <d v="2018-08-10T00:00:00"/>
    <x v="87"/>
    <n v="10"/>
    <s v="BECERRA CRUZADO, Tania"/>
    <s v="León"/>
    <s v="Guanajuato"/>
    <x v="6"/>
    <x v="1"/>
    <d v="2018-08-12T00:00:00"/>
    <d v="2020-08-12T00:00:00"/>
    <s v="Empresa de embarque #1"/>
    <x v="1"/>
    <s v="Condimento cajún"/>
    <x v="7"/>
    <n v="308"/>
    <n v="97"/>
    <n v="29876"/>
    <n v="3107.1040000000003"/>
  </r>
  <r>
    <n v="1228"/>
    <d v="2018-08-10T00:00:00"/>
    <x v="87"/>
    <n v="10"/>
    <s v="HILARIO CANOVA, Corina"/>
    <s v="León"/>
    <s v="Guanajuato"/>
    <x v="6"/>
    <x v="1"/>
    <d v="2018-08-12T00:00:00"/>
    <d v="2020-08-12T00:00:00"/>
    <s v="Empresa de embarque #1"/>
    <x v="1"/>
    <s v="Galletas de chocolate"/>
    <x v="2"/>
    <n v="128.79999999999998"/>
    <n v="96"/>
    <n v="12364.8"/>
    <n v="1211.7503999999999"/>
  </r>
  <r>
    <n v="1229"/>
    <d v="2018-08-11T00:00:00"/>
    <x v="89"/>
    <n v="11"/>
    <s v="DEXTRE PEREZ, Zenia"/>
    <s v="Ciudad de México"/>
    <s v="Ciudad de México"/>
    <x v="5"/>
    <x v="3"/>
    <m/>
    <d v="1901-12-31T00:00:00"/>
    <s v="Empresa de embarque #3"/>
    <x v="1"/>
    <s v="Ciruelas secas"/>
    <x v="1"/>
    <n v="49"/>
    <n v="31"/>
    <n v="1519"/>
    <n v="151.90000000000003"/>
  </r>
  <r>
    <n v="1230"/>
    <d v="2018-08-11T00:00:00"/>
    <x v="89"/>
    <n v="11"/>
    <s v="ODAR BARRIENTE, Karina"/>
    <s v="Ciudad de México"/>
    <s v="Ciudad de México"/>
    <x v="5"/>
    <x v="3"/>
    <m/>
    <d v="1901-12-31T00:00:00"/>
    <s v="Empresa de embarque #3"/>
    <x v="1"/>
    <s v="Té verde"/>
    <x v="0"/>
    <n v="41.86"/>
    <n v="52"/>
    <n v="2176.7199999999998"/>
    <n v="224.20216000000005"/>
  </r>
  <r>
    <n v="1231"/>
    <d v="2018-08-01T00:00:00"/>
    <x v="90"/>
    <n v="1"/>
    <s v="ALLCCARIMA CRISOSTOMO, Eliana"/>
    <s v="Torreón"/>
    <s v="Coahuila"/>
    <x v="2"/>
    <x v="2"/>
    <m/>
    <d v="1901-12-31T00:00:00"/>
    <m/>
    <x v="1"/>
    <s v="Té chai"/>
    <x v="0"/>
    <n v="252"/>
    <n v="91"/>
    <n v="22932"/>
    <n v="2224.404"/>
  </r>
  <r>
    <n v="1232"/>
    <d v="2018-08-01T00:00:00"/>
    <x v="90"/>
    <n v="1"/>
    <s v="CUBAS PEREZ, Nelly"/>
    <s v="Torreón"/>
    <s v="Coahuila"/>
    <x v="2"/>
    <x v="2"/>
    <m/>
    <d v="1901-12-31T00:00:00"/>
    <m/>
    <x v="1"/>
    <s v="Café"/>
    <x v="0"/>
    <n v="644"/>
    <n v="14"/>
    <n v="9016"/>
    <n v="892.58400000000006"/>
  </r>
  <r>
    <n v="1233"/>
    <d v="2018-08-01T00:00:00"/>
    <x v="90"/>
    <n v="1"/>
    <s v="PALOMINO GARCIA, Selene"/>
    <s v="Torreón"/>
    <s v="Coahuila"/>
    <x v="2"/>
    <x v="2"/>
    <m/>
    <d v="1901-12-31T00:00:00"/>
    <m/>
    <x v="1"/>
    <s v="Té verde"/>
    <x v="0"/>
    <n v="41.86"/>
    <n v="44"/>
    <n v="1841.84"/>
    <n v="186.02584000000002"/>
  </r>
  <r>
    <n v="1234"/>
    <d v="2018-08-28T00:00:00"/>
    <x v="85"/>
    <n v="28"/>
    <s v="CONTRERAS RAMOS, Roxi"/>
    <s v="Toluca"/>
    <s v="Estado de México"/>
    <x v="5"/>
    <x v="3"/>
    <d v="2018-08-30T00:00:00"/>
    <d v="2020-08-30T00:00:00"/>
    <s v="Empresa de embarque #3"/>
    <x v="1"/>
    <s v="Almejas"/>
    <x v="4"/>
    <n v="135.1"/>
    <n v="97"/>
    <n v="13104.699999999999"/>
    <n v="1336.6794000000002"/>
  </r>
  <r>
    <n v="1235"/>
    <d v="2018-08-28T00:00:00"/>
    <x v="85"/>
    <n v="28"/>
    <s v="PONCE HERMOZA, Catalina"/>
    <s v="Toluca"/>
    <s v="Estado de México"/>
    <x v="5"/>
    <x v="3"/>
    <d v="2018-08-30T00:00:00"/>
    <d v="2020-08-30T00:00:00"/>
    <s v="Empresa de embarque #3"/>
    <x v="1"/>
    <s v="Carne de cangrejo"/>
    <x v="8"/>
    <n v="257.59999999999997"/>
    <n v="80"/>
    <n v="20607.999999999996"/>
    <n v="2102.0160000000005"/>
  </r>
  <r>
    <n v="1236"/>
    <d v="2018-08-09T00:00:00"/>
    <x v="91"/>
    <n v="9"/>
    <s v="SOLIER ZAMORA, Susy"/>
    <s v="Guadalajara"/>
    <s v="Jalisco"/>
    <x v="7"/>
    <x v="0"/>
    <d v="2018-08-11T00:00:00"/>
    <d v="2020-08-11T00:00:00"/>
    <s v="Empresa de embarque #1"/>
    <x v="0"/>
    <s v="Ravioli"/>
    <x v="9"/>
    <n v="273"/>
    <n v="66"/>
    <n v="18018"/>
    <n v="1855.854"/>
  </r>
  <r>
    <n v="1237"/>
    <d v="2018-08-09T00:00:00"/>
    <x v="91"/>
    <n v="9"/>
    <s v="VASQUEZ RUIZ, Gladys"/>
    <s v="Guadalajara"/>
    <s v="Jalisco"/>
    <x v="7"/>
    <x v="0"/>
    <d v="2018-08-11T00:00:00"/>
    <d v="2020-08-11T00:00:00"/>
    <s v="Empresa de embarque #1"/>
    <x v="0"/>
    <s v="Mozzarella"/>
    <x v="10"/>
    <n v="487.19999999999993"/>
    <n v="32"/>
    <n v="15590.399999999998"/>
    <n v="1559.04"/>
  </r>
  <r>
    <n v="1238"/>
    <d v="2018-08-06T00:00:00"/>
    <x v="92"/>
    <n v="6"/>
    <s v="GALAN GALLARDO, Aracely"/>
    <s v="Tijuana"/>
    <s v="Baja California"/>
    <x v="4"/>
    <x v="2"/>
    <d v="2018-08-08T00:00:00"/>
    <d v="2020-08-08T00:00:00"/>
    <s v="Empresa de embarque #2"/>
    <x v="1"/>
    <s v="Cerveza"/>
    <x v="0"/>
    <n v="196"/>
    <n v="52"/>
    <n v="10192"/>
    <n v="1019.1999999999999"/>
  </r>
  <r>
    <n v="1239"/>
    <d v="2018-08-08T00:00:00"/>
    <x v="86"/>
    <n v="8"/>
    <s v="ACOSTA ARMAS SANDRA PAOLA"/>
    <s v="Monterrey"/>
    <s v="Nuevo León"/>
    <x v="2"/>
    <x v="2"/>
    <d v="2018-08-10T00:00:00"/>
    <d v="2020-08-10T00:00:00"/>
    <s v="Empresa de embarque #2"/>
    <x v="0"/>
    <s v="Salsa curry"/>
    <x v="5"/>
    <n v="560"/>
    <n v="78"/>
    <n v="43680"/>
    <n v="4455.3600000000006"/>
  </r>
  <r>
    <n v="1240"/>
    <d v="2018-08-08T00:00:00"/>
    <x v="86"/>
    <n v="8"/>
    <s v="ALCANTARA CHANDUVI CRISTOPHER"/>
    <s v="Monterrey"/>
    <s v="Nuevo León"/>
    <x v="2"/>
    <x v="2"/>
    <d v="2018-08-10T00:00:00"/>
    <d v="2020-08-10T00:00:00"/>
    <s v="Empresa de embarque #2"/>
    <x v="0"/>
    <s v="Galletas de chocolate"/>
    <x v="2"/>
    <n v="128.79999999999998"/>
    <n v="54"/>
    <n v="6955.1999999999989"/>
    <n v="688.56479999999999"/>
  </r>
  <r>
    <n v="1241"/>
    <d v="2018-08-25T00:00:00"/>
    <x v="93"/>
    <n v="25"/>
    <s v="ALMONACID PINEDA VIVIANA THAIS"/>
    <s v="León"/>
    <s v="Guanajuato"/>
    <x v="6"/>
    <x v="1"/>
    <d v="2018-08-27T00:00:00"/>
    <d v="2020-08-27T00:00:00"/>
    <s v="Empresa de embarque #1"/>
    <x v="0"/>
    <s v="Bolillos"/>
    <x v="2"/>
    <n v="140"/>
    <n v="55"/>
    <n v="7700"/>
    <n v="731.5"/>
  </r>
  <r>
    <n v="1242"/>
    <d v="2018-08-26T00:00:00"/>
    <x v="94"/>
    <n v="26"/>
    <s v="BALBIN CUSQUISIBAN DARIANA ISABEL"/>
    <s v="Ciudad de México"/>
    <s v="Ciudad de México"/>
    <x v="5"/>
    <x v="3"/>
    <d v="2018-08-28T00:00:00"/>
    <d v="2020-08-28T00:00:00"/>
    <s v="Empresa de embarque #3"/>
    <x v="1"/>
    <s v="Aceite de oliva"/>
    <x v="13"/>
    <n v="298.90000000000003"/>
    <n v="60"/>
    <n v="17934.000000000004"/>
    <n v="1811.3340000000001"/>
  </r>
  <r>
    <n v="1243"/>
    <d v="2018-08-26T00:00:00"/>
    <x v="94"/>
    <n v="26"/>
    <s v="CAMASCA CENENO JHOEL LUIS"/>
    <s v="Ciudad de México"/>
    <s v="Ciudad de México"/>
    <x v="5"/>
    <x v="3"/>
    <d v="2018-08-28T00:00:00"/>
    <d v="2020-08-28T00:00:00"/>
    <s v="Empresa de embarque #3"/>
    <x v="1"/>
    <s v="Almejas"/>
    <x v="4"/>
    <n v="135.1"/>
    <n v="19"/>
    <n v="2566.9"/>
    <n v="243.85550000000001"/>
  </r>
  <r>
    <n v="1244"/>
    <d v="2018-08-26T00:00:00"/>
    <x v="94"/>
    <n v="26"/>
    <s v="CARBAJAL HUANCAS CARLOS ABEL"/>
    <s v="Ciudad de México"/>
    <s v="Ciudad de México"/>
    <x v="5"/>
    <x v="3"/>
    <d v="2018-08-28T00:00:00"/>
    <d v="2020-08-28T00:00:00"/>
    <s v="Empresa de embarque #3"/>
    <x v="1"/>
    <s v="Carne de cangrejo"/>
    <x v="8"/>
    <n v="257.59999999999997"/>
    <n v="66"/>
    <n v="17001.599999999999"/>
    <n v="1751.1648"/>
  </r>
  <r>
    <n v="1245"/>
    <d v="2018-08-29T00:00:00"/>
    <x v="95"/>
    <n v="29"/>
    <s v="CASTILLO AGUIRRE GUADALUPE VANESSA"/>
    <s v="Puerto Vallarta"/>
    <s v="Jalisco"/>
    <x v="3"/>
    <x v="0"/>
    <d v="2018-08-31T00:00:00"/>
    <d v="2020-08-31T00:00:00"/>
    <s v="Empresa de embarque #2"/>
    <x v="0"/>
    <s v="Cerveza"/>
    <x v="0"/>
    <n v="196"/>
    <n v="42"/>
    <n v="8232"/>
    <n v="831.43200000000002"/>
  </r>
  <r>
    <n v="1246"/>
    <d v="2018-08-06T00:00:00"/>
    <x v="92"/>
    <n v="6"/>
    <s v="CCASA TICONA NELLY"/>
    <s v="Tijuana"/>
    <s v="Baja California"/>
    <x v="4"/>
    <x v="2"/>
    <d v="2018-08-08T00:00:00"/>
    <d v="2020-08-08T00:00:00"/>
    <s v="Empresa de embarque #3"/>
    <x v="0"/>
    <s v="Chocolate"/>
    <x v="3"/>
    <n v="178.5"/>
    <n v="72"/>
    <n v="12852"/>
    <n v="1246.644"/>
  </r>
  <r>
    <n v="1248"/>
    <d v="2018-08-04T00:00:00"/>
    <x v="96"/>
    <n v="4"/>
    <s v="CONDORI PALOMINO LUCERO"/>
    <s v="Querétaro"/>
    <s v="Querétaro"/>
    <x v="1"/>
    <x v="1"/>
    <d v="2018-08-06T00:00:00"/>
    <d v="2020-08-06T00:00:00"/>
    <s v="Empresa de embarque #1"/>
    <x v="1"/>
    <s v="Mermelada de zarzamora"/>
    <x v="6"/>
    <n v="1134"/>
    <n v="32"/>
    <n v="36288"/>
    <n v="3519.9359999999997"/>
  </r>
  <r>
    <n v="1249"/>
    <d v="2018-08-04T00:00:00"/>
    <x v="96"/>
    <n v="4"/>
    <s v="ENCARNACIÓN VENTURA FELICITA"/>
    <s v="Querétaro"/>
    <s v="Querétaro"/>
    <x v="1"/>
    <x v="1"/>
    <d v="2018-08-06T00:00:00"/>
    <d v="2020-08-06T00:00:00"/>
    <s v="Empresa de embarque #1"/>
    <x v="1"/>
    <s v="Arroz de grano largo"/>
    <x v="14"/>
    <n v="98"/>
    <n v="76"/>
    <n v="7448"/>
    <n v="752.24800000000005"/>
  </r>
  <r>
    <n v="1250"/>
    <d v="2018-09-10T00:00:00"/>
    <x v="97"/>
    <n v="10"/>
    <s v="FLORES DE LA MATA ANGEEL JOHAGNETH VALERIA"/>
    <s v="León"/>
    <s v="Guanajuato"/>
    <x v="6"/>
    <x v="1"/>
    <d v="2018-09-12T00:00:00"/>
    <d v="2020-09-12T00:00:00"/>
    <s v="Empresa de embarque #1"/>
    <x v="1"/>
    <s v="Galletas de chocolate"/>
    <x v="2"/>
    <n v="128.79999999999998"/>
    <n v="83"/>
    <n v="10690.399999999998"/>
    <n v="1047.6591999999998"/>
  </r>
  <r>
    <n v="1251"/>
    <d v="2018-09-11T00:00:00"/>
    <x v="98"/>
    <n v="11"/>
    <s v="HUAYLLASCO RAMOS JOHANA"/>
    <s v="Ciudad de México"/>
    <s v="Ciudad de México"/>
    <x v="5"/>
    <x v="3"/>
    <m/>
    <d v="1901-12-31T00:00:00"/>
    <s v="Empresa de embarque #3"/>
    <x v="1"/>
    <s v="Ciruelas secas"/>
    <x v="1"/>
    <n v="49"/>
    <n v="91"/>
    <n v="4459"/>
    <n v="436.98200000000003"/>
  </r>
  <r>
    <n v="1252"/>
    <d v="2018-09-11T00:00:00"/>
    <x v="98"/>
    <n v="11"/>
    <s v="LEON BLAS ROSMERY JHUDIT"/>
    <s v="Ciudad de México"/>
    <s v="Ciudad de México"/>
    <x v="5"/>
    <x v="3"/>
    <m/>
    <d v="1901-12-31T00:00:00"/>
    <s v="Empresa de embarque #3"/>
    <x v="1"/>
    <s v="Té verde"/>
    <x v="0"/>
    <n v="41.86"/>
    <n v="64"/>
    <n v="2679.04"/>
    <n v="273.26208000000003"/>
  </r>
  <r>
    <n v="1253"/>
    <d v="2018-09-01T00:00:00"/>
    <x v="99"/>
    <n v="1"/>
    <s v="MENDOZA ALZAMORA GABRIELA"/>
    <s v="Torreón"/>
    <s v="Coahuila"/>
    <x v="2"/>
    <x v="2"/>
    <m/>
    <d v="1901-12-31T00:00:00"/>
    <m/>
    <x v="1"/>
    <s v="Té chai"/>
    <x v="0"/>
    <n v="252"/>
    <n v="58"/>
    <n v="14616"/>
    <n v="1446.9840000000002"/>
  </r>
  <r>
    <n v="1254"/>
    <d v="2018-09-01T00:00:00"/>
    <x v="99"/>
    <n v="1"/>
    <s v="NUNINGO NONINGO JUAN LUIS"/>
    <s v="Torreón"/>
    <s v="Coahuila"/>
    <x v="2"/>
    <x v="2"/>
    <m/>
    <d v="1901-12-31T00:00:00"/>
    <m/>
    <x v="1"/>
    <s v="Café"/>
    <x v="0"/>
    <n v="644"/>
    <n v="97"/>
    <n v="62468"/>
    <n v="6496.6720000000005"/>
  </r>
  <r>
    <n v="1255"/>
    <d v="2018-09-01T00:00:00"/>
    <x v="99"/>
    <n v="1"/>
    <s v="ORIZANO CABELLO DOMINGO ALFREDO"/>
    <s v="Torreón"/>
    <s v="Coahuila"/>
    <x v="2"/>
    <x v="2"/>
    <m/>
    <d v="1901-12-31T00:00:00"/>
    <m/>
    <x v="1"/>
    <s v="Té verde"/>
    <x v="0"/>
    <n v="41.86"/>
    <n v="14"/>
    <n v="586.04"/>
    <n v="60.948160000000001"/>
  </r>
  <r>
    <n v="1256"/>
    <d v="2018-09-28T00:00:00"/>
    <x v="100"/>
    <n v="28"/>
    <s v="PEDRAZA ORCCOAPAZA JEAN PIERE"/>
    <s v="Toluca"/>
    <s v="Estado de México"/>
    <x v="5"/>
    <x v="3"/>
    <d v="2018-09-30T00:00:00"/>
    <d v="2020-09-30T00:00:00"/>
    <s v="Empresa de embarque #3"/>
    <x v="1"/>
    <s v="Almejas"/>
    <x v="4"/>
    <n v="135.1"/>
    <n v="68"/>
    <n v="9186.7999999999993"/>
    <n v="900.30640000000017"/>
  </r>
  <r>
    <n v="1257"/>
    <d v="2018-09-28T00:00:00"/>
    <x v="100"/>
    <n v="28"/>
    <s v="QUISPE QUISPE KEVIN HERMOGENES"/>
    <s v="Toluca"/>
    <s v="Estado de México"/>
    <x v="5"/>
    <x v="3"/>
    <d v="2018-09-30T00:00:00"/>
    <d v="2020-09-30T00:00:00"/>
    <s v="Empresa de embarque #3"/>
    <x v="1"/>
    <s v="Carne de cangrejo"/>
    <x v="8"/>
    <n v="257.59999999999997"/>
    <n v="32"/>
    <n v="8243.1999999999989"/>
    <n v="824.31999999999994"/>
  </r>
  <r>
    <n v="1258"/>
    <d v="2018-09-09T00:00:00"/>
    <x v="101"/>
    <n v="9"/>
    <s v="QUISPE VILLENA JORDI DAVID"/>
    <s v="Guadalajara"/>
    <s v="Jalisco"/>
    <x v="7"/>
    <x v="0"/>
    <d v="2018-09-11T00:00:00"/>
    <d v="2020-09-11T00:00:00"/>
    <s v="Empresa de embarque #1"/>
    <x v="0"/>
    <s v="Ravioli"/>
    <x v="9"/>
    <n v="273"/>
    <n v="48"/>
    <n v="13104"/>
    <n v="1323.5040000000001"/>
  </r>
  <r>
    <n v="1259"/>
    <d v="2018-09-09T00:00:00"/>
    <x v="101"/>
    <n v="9"/>
    <s v="RAMOS BARRIENTOS FLOR MARIA"/>
    <s v="Guadalajara"/>
    <s v="Jalisco"/>
    <x v="7"/>
    <x v="0"/>
    <d v="2018-09-11T00:00:00"/>
    <d v="2020-09-11T00:00:00"/>
    <s v="Empresa de embarque #1"/>
    <x v="0"/>
    <s v="Mozzarella"/>
    <x v="10"/>
    <n v="487.19999999999993"/>
    <n v="57"/>
    <n v="27770.399999999998"/>
    <n v="2721.4992000000002"/>
  </r>
  <r>
    <n v="1260"/>
    <d v="2018-09-06T00:00:00"/>
    <x v="102"/>
    <n v="6"/>
    <s v="RIVERA MARCA NATALI"/>
    <s v="Tijuana"/>
    <s v="Baja California"/>
    <x v="4"/>
    <x v="2"/>
    <d v="2018-09-08T00:00:00"/>
    <d v="2020-09-08T00:00:00"/>
    <s v="Empresa de embarque #2"/>
    <x v="1"/>
    <s v="Cerveza"/>
    <x v="0"/>
    <n v="196"/>
    <n v="67"/>
    <n v="13132"/>
    <n v="1378.8600000000001"/>
  </r>
  <r>
    <n v="1261"/>
    <d v="2018-09-08T00:00:00"/>
    <x v="103"/>
    <n v="8"/>
    <s v="SILVA REATEGUI PATRICIA"/>
    <s v="Monterrey"/>
    <s v="Nuevo León"/>
    <x v="2"/>
    <x v="2"/>
    <d v="2018-09-10T00:00:00"/>
    <d v="2020-09-10T00:00:00"/>
    <s v="Empresa de embarque #2"/>
    <x v="0"/>
    <s v="Salsa curry"/>
    <x v="5"/>
    <n v="560"/>
    <n v="48"/>
    <n v="26880"/>
    <n v="2634.24"/>
  </r>
  <r>
    <n v="1262"/>
    <d v="2018-09-08T00:00:00"/>
    <x v="103"/>
    <n v="8"/>
    <s v="VELASQUEZ ROCA LILIANA"/>
    <s v="Monterrey"/>
    <s v="Nuevo León"/>
    <x v="2"/>
    <x v="2"/>
    <d v="2018-09-10T00:00:00"/>
    <d v="2020-09-10T00:00:00"/>
    <s v="Empresa de embarque #2"/>
    <x v="0"/>
    <s v="Galletas de chocolate"/>
    <x v="2"/>
    <n v="128.79999999999998"/>
    <n v="77"/>
    <n v="9917.5999999999985"/>
    <n v="1011.5952"/>
  </r>
  <r>
    <n v="1263"/>
    <d v="2018-09-25T00:00:00"/>
    <x v="104"/>
    <n v="25"/>
    <s v="BECERRA CRUZADO, Tania"/>
    <s v="León"/>
    <s v="Guanajuato"/>
    <x v="6"/>
    <x v="1"/>
    <d v="2018-09-27T00:00:00"/>
    <d v="2020-09-27T00:00:00"/>
    <s v="Empresa de embarque #1"/>
    <x v="0"/>
    <s v="Bolillos"/>
    <x v="2"/>
    <n v="140"/>
    <n v="94"/>
    <n v="13160"/>
    <n v="1368.64"/>
  </r>
  <r>
    <n v="1264"/>
    <d v="2018-09-26T00:00:00"/>
    <x v="105"/>
    <n v="26"/>
    <s v="MENDOZA PEREYRA, Rosa"/>
    <s v="Ciudad de México"/>
    <s v="Ciudad de México"/>
    <x v="5"/>
    <x v="3"/>
    <d v="2018-09-28T00:00:00"/>
    <d v="2020-09-28T00:00:00"/>
    <s v="Empresa de embarque #3"/>
    <x v="1"/>
    <s v="Aceite de oliva"/>
    <x v="13"/>
    <n v="298.90000000000003"/>
    <n v="54"/>
    <n v="16140.600000000002"/>
    <n v="1694.7630000000004"/>
  </r>
  <r>
    <n v="1265"/>
    <d v="2018-09-26T00:00:00"/>
    <x v="105"/>
    <n v="26"/>
    <s v="ODAR BARRIENTE, Karina"/>
    <s v="Ciudad de México"/>
    <s v="Ciudad de México"/>
    <x v="5"/>
    <x v="3"/>
    <d v="2018-09-28T00:00:00"/>
    <d v="2020-09-28T00:00:00"/>
    <s v="Empresa de embarque #3"/>
    <x v="1"/>
    <s v="Almejas"/>
    <x v="4"/>
    <n v="135.1"/>
    <n v="43"/>
    <n v="5809.3"/>
    <n v="563.50210000000004"/>
  </r>
  <r>
    <n v="1266"/>
    <d v="2018-09-26T00:00:00"/>
    <x v="105"/>
    <n v="26"/>
    <s v="ALVARADO TIRADO, Patricia"/>
    <s v="Ciudad de México"/>
    <s v="Ciudad de México"/>
    <x v="5"/>
    <x v="3"/>
    <d v="2018-09-28T00:00:00"/>
    <d v="2020-09-28T00:00:00"/>
    <s v="Empresa de embarque #3"/>
    <x v="1"/>
    <s v="Carne de cangrejo"/>
    <x v="8"/>
    <n v="257.59999999999997"/>
    <n v="71"/>
    <n v="18289.599999999999"/>
    <n v="1883.8287999999998"/>
  </r>
  <r>
    <n v="1267"/>
    <d v="2018-09-29T00:00:00"/>
    <x v="106"/>
    <n v="29"/>
    <s v="SHEFFER MENDOZA, Milagros"/>
    <s v="Puerto Vallarta"/>
    <s v="Jalisco"/>
    <x v="3"/>
    <x v="0"/>
    <d v="2018-10-01T00:00:00"/>
    <d v="2020-10-01T00:00:00"/>
    <s v="Empresa de embarque #2"/>
    <x v="0"/>
    <s v="Cerveza"/>
    <x v="0"/>
    <n v="196"/>
    <n v="50"/>
    <n v="9800"/>
    <n v="940.80000000000007"/>
  </r>
  <r>
    <n v="1268"/>
    <d v="2018-09-06T00:00:00"/>
    <x v="102"/>
    <n v="6"/>
    <s v="CRUZ BRICEÑO, Yolanda"/>
    <s v="Tijuana"/>
    <s v="Baja California"/>
    <x v="4"/>
    <x v="2"/>
    <d v="2018-09-08T00:00:00"/>
    <d v="2020-09-08T00:00:00"/>
    <s v="Empresa de embarque #3"/>
    <x v="0"/>
    <s v="Chocolate"/>
    <x v="3"/>
    <n v="178.5"/>
    <n v="96"/>
    <n v="17136"/>
    <n v="1679.328"/>
  </r>
  <r>
    <n v="1270"/>
    <d v="2018-09-04T00:00:00"/>
    <x v="107"/>
    <n v="4"/>
    <s v="HILARIO CANOVA, Corina"/>
    <s v="Querétaro"/>
    <s v="Querétaro"/>
    <x v="1"/>
    <x v="1"/>
    <d v="2018-09-06T00:00:00"/>
    <d v="2020-09-06T00:00:00"/>
    <s v="Empresa de embarque #1"/>
    <x v="1"/>
    <s v="Mermelada de zarzamora"/>
    <x v="6"/>
    <n v="1134"/>
    <n v="54"/>
    <n v="61236"/>
    <n v="6123.6"/>
  </r>
  <r>
    <n v="1271"/>
    <d v="2018-09-04T00:00:00"/>
    <x v="107"/>
    <n v="4"/>
    <s v="BEJAR PILLACA, Marlene"/>
    <s v="Querétaro"/>
    <s v="Querétaro"/>
    <x v="1"/>
    <x v="1"/>
    <d v="2018-09-06T00:00:00"/>
    <d v="2020-09-06T00:00:00"/>
    <s v="Empresa de embarque #1"/>
    <x v="1"/>
    <s v="Arroz de grano largo"/>
    <x v="14"/>
    <n v="98"/>
    <n v="39"/>
    <n v="3822"/>
    <n v="382.2"/>
  </r>
  <r>
    <n v="1273"/>
    <d v="2018-09-08T00:00:00"/>
    <x v="103"/>
    <n v="8"/>
    <s v="ALLCCARIMA CRISOSTOMO, Eliana"/>
    <s v="Monterrey"/>
    <s v="Nuevo León"/>
    <x v="2"/>
    <x v="2"/>
    <d v="2018-09-10T00:00:00"/>
    <d v="2020-09-10T00:00:00"/>
    <s v="Empresa de embarque #3"/>
    <x v="1"/>
    <s v="Mozzarella"/>
    <x v="10"/>
    <n v="487.19999999999993"/>
    <n v="63"/>
    <n v="30693.599999999995"/>
    <n v="3222.828"/>
  </r>
  <r>
    <n v="1276"/>
    <d v="2018-09-03T00:00:00"/>
    <x v="108"/>
    <n v="3"/>
    <s v="FLORES PEREZ, Lourdes"/>
    <s v="Acapulco"/>
    <s v="Guerrero"/>
    <x v="0"/>
    <x v="0"/>
    <d v="2018-09-05T00:00:00"/>
    <d v="2020-09-05T00:00:00"/>
    <s v="Empresa de embarque #2"/>
    <x v="0"/>
    <s v="Jarabe"/>
    <x v="7"/>
    <n v="140"/>
    <n v="71"/>
    <n v="9940"/>
    <n v="1023.8199999999999"/>
  </r>
  <r>
    <n v="1277"/>
    <d v="2018-09-03T00:00:00"/>
    <x v="108"/>
    <n v="3"/>
    <s v="MENDOZA PEREYRA, Rosa"/>
    <s v="Acapulco"/>
    <s v="Guerrero"/>
    <x v="0"/>
    <x v="0"/>
    <d v="2018-09-05T00:00:00"/>
    <d v="2020-09-05T00:00:00"/>
    <s v="Empresa de embarque #2"/>
    <x v="0"/>
    <s v="Salsa curry"/>
    <x v="5"/>
    <n v="560"/>
    <n v="88"/>
    <n v="49280"/>
    <n v="5125.1200000000008"/>
  </r>
  <r>
    <n v="1281"/>
    <d v="2018-09-10T00:00:00"/>
    <x v="97"/>
    <n v="10"/>
    <s v="SHEFFER MENDOZA, Milagros"/>
    <s v="León"/>
    <s v="Guanajuato"/>
    <x v="6"/>
    <x v="1"/>
    <d v="2018-09-12T00:00:00"/>
    <d v="2020-09-12T00:00:00"/>
    <s v="Empresa de embarque #2"/>
    <x v="1"/>
    <s v="Almendras"/>
    <x v="1"/>
    <n v="140"/>
    <n v="59"/>
    <n v="8260"/>
    <n v="834.26"/>
  </r>
  <r>
    <n v="1282"/>
    <d v="2018-10-06T00:00:00"/>
    <x v="109"/>
    <n v="6"/>
    <s v="ALVARADO TIRADO, Patricia"/>
    <s v="Tijuana"/>
    <s v="Baja California"/>
    <x v="4"/>
    <x v="2"/>
    <d v="2018-10-08T00:00:00"/>
    <d v="2020-10-08T00:00:00"/>
    <s v="Empresa de embarque #2"/>
    <x v="1"/>
    <s v="Salsa curry"/>
    <x v="5"/>
    <n v="560"/>
    <n v="94"/>
    <n v="52640"/>
    <n v="5264"/>
  </r>
  <r>
    <n v="1283"/>
    <d v="2018-10-28T00:00:00"/>
    <x v="110"/>
    <n v="28"/>
    <s v="BECERRA CRUZADO, Tania"/>
    <s v="Toluca"/>
    <s v="Estado de México"/>
    <x v="5"/>
    <x v="3"/>
    <d v="2018-10-30T00:00:00"/>
    <d v="2020-10-30T00:00:00"/>
    <s v="Empresa de embarque #3"/>
    <x v="0"/>
    <s v="Café"/>
    <x v="0"/>
    <n v="644"/>
    <n v="86"/>
    <n v="55384"/>
    <n v="5316.8640000000005"/>
  </r>
  <r>
    <n v="1284"/>
    <d v="2018-10-08T00:00:00"/>
    <x v="111"/>
    <n v="8"/>
    <s v="HILARIO CANOVA, Corina"/>
    <s v="Monterrey"/>
    <s v="Nuevo León"/>
    <x v="2"/>
    <x v="2"/>
    <d v="2018-10-10T00:00:00"/>
    <d v="2020-10-10T00:00:00"/>
    <s v="Empresa de embarque #3"/>
    <x v="0"/>
    <s v="Chocolate"/>
    <x v="3"/>
    <n v="178.5"/>
    <n v="61"/>
    <n v="10888.5"/>
    <n v="1099.7384999999999"/>
  </r>
  <r>
    <n v="1285"/>
    <d v="2018-10-10T00:00:00"/>
    <x v="112"/>
    <n v="10"/>
    <s v="DEXTRE PEREZ, Zenia"/>
    <s v="León"/>
    <s v="Guanajuato"/>
    <x v="6"/>
    <x v="1"/>
    <d v="2018-10-12T00:00:00"/>
    <d v="2020-10-12T00:00:00"/>
    <s v="Empresa de embarque #2"/>
    <x v="1"/>
    <s v="Té verde"/>
    <x v="0"/>
    <n v="41.86"/>
    <n v="32"/>
    <n v="1339.52"/>
    <n v="136.63104000000001"/>
  </r>
  <r>
    <n v="1286"/>
    <d v="2018-10-07T00:00:00"/>
    <x v="113"/>
    <n v="7"/>
    <s v="ODAR BARRIENTE, Karina"/>
    <s v="Chihuahua"/>
    <s v="Chihuahua"/>
    <x v="2"/>
    <x v="2"/>
    <m/>
    <d v="1901-12-31T00:00:00"/>
    <m/>
    <x v="1"/>
    <s v="Café"/>
    <x v="0"/>
    <n v="644"/>
    <n v="62"/>
    <n v="39928"/>
    <n v="4072.6559999999999"/>
  </r>
  <r>
    <n v="1287"/>
    <d v="2018-10-10T00:00:00"/>
    <x v="112"/>
    <n v="10"/>
    <s v="ALLCCARIMA CRISOSTOMO, Eliana"/>
    <s v="León"/>
    <s v="Guanajuato"/>
    <x v="6"/>
    <x v="1"/>
    <d v="2018-10-12T00:00:00"/>
    <d v="2020-10-12T00:00:00"/>
    <s v="Empresa de embarque #1"/>
    <x v="1"/>
    <s v="Jalea de fresa"/>
    <x v="6"/>
    <n v="350"/>
    <n v="60"/>
    <n v="21000"/>
    <n v="2163"/>
  </r>
  <r>
    <n v="1288"/>
    <d v="2018-10-10T00:00:00"/>
    <x v="112"/>
    <n v="10"/>
    <s v="CUBAS PEREZ, Nelly"/>
    <s v="León"/>
    <s v="Guanajuato"/>
    <x v="6"/>
    <x v="1"/>
    <d v="2018-10-12T00:00:00"/>
    <d v="2020-10-12T00:00:00"/>
    <s v="Empresa de embarque #1"/>
    <x v="1"/>
    <s v="Condimento cajún"/>
    <x v="7"/>
    <n v="308"/>
    <n v="51"/>
    <n v="15708"/>
    <n v="1539.384"/>
  </r>
  <r>
    <n v="1289"/>
    <d v="2018-10-10T00:00:00"/>
    <x v="112"/>
    <n v="10"/>
    <s v="PALOMINO GARCIA, Selene"/>
    <s v="León"/>
    <s v="Guanajuato"/>
    <x v="6"/>
    <x v="1"/>
    <d v="2018-10-12T00:00:00"/>
    <d v="2020-10-12T00:00:00"/>
    <s v="Empresa de embarque #1"/>
    <x v="1"/>
    <s v="Galletas de chocolate"/>
    <x v="2"/>
    <n v="128.79999999999998"/>
    <n v="49"/>
    <n v="6311.1999999999989"/>
    <n v="624.80880000000002"/>
  </r>
  <r>
    <n v="1290"/>
    <d v="2018-10-11T00:00:00"/>
    <x v="114"/>
    <n v="11"/>
    <s v="CONTRERAS RAMOS, Roxi"/>
    <s v="Ciudad de México"/>
    <s v="Ciudad de México"/>
    <x v="5"/>
    <x v="3"/>
    <m/>
    <d v="1901-12-31T00:00:00"/>
    <s v="Empresa de embarque #3"/>
    <x v="1"/>
    <s v="Ciruelas secas"/>
    <x v="1"/>
    <n v="49"/>
    <n v="20"/>
    <n v="980"/>
    <n v="97.02"/>
  </r>
  <r>
    <n v="1291"/>
    <d v="2018-10-11T00:00:00"/>
    <x v="114"/>
    <n v="11"/>
    <s v="PONCE HERMOZA, Catalina"/>
    <s v="Ciudad de México"/>
    <s v="Ciudad de México"/>
    <x v="5"/>
    <x v="3"/>
    <m/>
    <d v="1901-12-31T00:00:00"/>
    <s v="Empresa de embarque #3"/>
    <x v="1"/>
    <s v="Té verde"/>
    <x v="0"/>
    <n v="41.86"/>
    <n v="49"/>
    <n v="2051.14"/>
    <n v="205.11400000000003"/>
  </r>
  <r>
    <n v="1292"/>
    <d v="2018-10-01T00:00:00"/>
    <x v="115"/>
    <n v="1"/>
    <s v="SOLIER ZAMORA, Susy"/>
    <s v="Torreón"/>
    <s v="Coahuila"/>
    <x v="2"/>
    <x v="2"/>
    <m/>
    <d v="1901-12-31T00:00:00"/>
    <m/>
    <x v="1"/>
    <s v="Té chai"/>
    <x v="0"/>
    <n v="252"/>
    <n v="22"/>
    <n v="5544"/>
    <n v="532.22399999999993"/>
  </r>
  <r>
    <n v="1293"/>
    <d v="2018-10-01T00:00:00"/>
    <x v="115"/>
    <n v="1"/>
    <s v="VASQUEZ RUIZ, Gladys"/>
    <s v="Torreón"/>
    <s v="Coahuila"/>
    <x v="2"/>
    <x v="2"/>
    <m/>
    <d v="1901-12-31T00:00:00"/>
    <m/>
    <x v="1"/>
    <s v="Café"/>
    <x v="0"/>
    <n v="644"/>
    <n v="73"/>
    <n v="47012"/>
    <n v="4748.2120000000004"/>
  </r>
  <r>
    <n v="1294"/>
    <d v="2018-10-01T00:00:00"/>
    <x v="115"/>
    <n v="1"/>
    <s v="GALAN GALLARDO, Aracely"/>
    <s v="Torreón"/>
    <s v="Coahuila"/>
    <x v="2"/>
    <x v="2"/>
    <m/>
    <d v="1901-12-31T00:00:00"/>
    <m/>
    <x v="1"/>
    <s v="Té verde"/>
    <x v="0"/>
    <n v="41.86"/>
    <n v="85"/>
    <n v="3558.1"/>
    <n v="345.13570000000004"/>
  </r>
  <r>
    <n v="1295"/>
    <d v="2018-10-28T00:00:00"/>
    <x v="110"/>
    <n v="28"/>
    <s v="ACOSTA ARMAS SANDRA PAOLA"/>
    <s v="Toluca"/>
    <s v="Estado de México"/>
    <x v="5"/>
    <x v="3"/>
    <d v="2018-10-30T00:00:00"/>
    <d v="2020-10-30T00:00:00"/>
    <s v="Empresa de embarque #3"/>
    <x v="1"/>
    <s v="Almejas"/>
    <x v="4"/>
    <n v="135.1"/>
    <n v="44"/>
    <n v="5944.4"/>
    <n v="618.21760000000006"/>
  </r>
  <r>
    <n v="1296"/>
    <d v="2018-10-28T00:00:00"/>
    <x v="110"/>
    <n v="28"/>
    <s v="ALCANTARA CHANDUVI CRISTOPHER"/>
    <s v="Toluca"/>
    <s v="Estado de México"/>
    <x v="5"/>
    <x v="3"/>
    <d v="2018-10-30T00:00:00"/>
    <d v="2020-10-30T00:00:00"/>
    <s v="Empresa de embarque #3"/>
    <x v="1"/>
    <s v="Carne de cangrejo"/>
    <x v="8"/>
    <n v="257.59999999999997"/>
    <n v="24"/>
    <n v="6182.4"/>
    <n v="599.69279999999992"/>
  </r>
  <r>
    <n v="1297"/>
    <d v="2018-10-09T00:00:00"/>
    <x v="116"/>
    <n v="9"/>
    <s v="ALMONACID PINEDA VIVIANA THAIS"/>
    <s v="Guadalajara"/>
    <s v="Jalisco"/>
    <x v="7"/>
    <x v="0"/>
    <d v="2018-10-11T00:00:00"/>
    <d v="2020-10-11T00:00:00"/>
    <s v="Empresa de embarque #1"/>
    <x v="0"/>
    <s v="Ravioli"/>
    <x v="9"/>
    <n v="273"/>
    <n v="64"/>
    <n v="17472"/>
    <n v="1677.3120000000001"/>
  </r>
  <r>
    <n v="1298"/>
    <d v="2018-10-09T00:00:00"/>
    <x v="116"/>
    <n v="9"/>
    <s v="BALBIN CUSQUISIBAN DARIANA ISABEL"/>
    <s v="Guadalajara"/>
    <s v="Jalisco"/>
    <x v="7"/>
    <x v="0"/>
    <d v="2018-10-11T00:00:00"/>
    <d v="2020-10-11T00:00:00"/>
    <s v="Empresa de embarque #1"/>
    <x v="0"/>
    <s v="Mozzarella"/>
    <x v="10"/>
    <n v="487.19999999999993"/>
    <n v="70"/>
    <n v="34103.999999999993"/>
    <n v="3444.5040000000004"/>
  </r>
  <r>
    <n v="1299"/>
    <d v="2018-10-06T00:00:00"/>
    <x v="109"/>
    <n v="6"/>
    <s v="CAMASCA CENENO JHOEL LUIS"/>
    <s v="Tijuana"/>
    <s v="Baja California"/>
    <x v="4"/>
    <x v="2"/>
    <d v="2018-10-08T00:00:00"/>
    <d v="2020-10-08T00:00:00"/>
    <s v="Empresa de embarque #2"/>
    <x v="1"/>
    <s v="Cerveza"/>
    <x v="0"/>
    <n v="196"/>
    <n v="98"/>
    <n v="19208"/>
    <n v="1940.0080000000005"/>
  </r>
  <r>
    <n v="1300"/>
    <d v="2018-10-08T00:00:00"/>
    <x v="111"/>
    <n v="8"/>
    <s v="CARBAJAL HUANCAS CARLOS ABEL"/>
    <s v="Monterrey"/>
    <s v="Nuevo León"/>
    <x v="2"/>
    <x v="2"/>
    <d v="2018-10-10T00:00:00"/>
    <d v="2020-10-10T00:00:00"/>
    <s v="Empresa de embarque #2"/>
    <x v="0"/>
    <s v="Salsa curry"/>
    <x v="5"/>
    <n v="560"/>
    <n v="48"/>
    <n v="26880"/>
    <n v="2634.24"/>
  </r>
  <r>
    <n v="1301"/>
    <d v="2018-10-08T00:00:00"/>
    <x v="111"/>
    <n v="8"/>
    <s v="CASTILLO AGUIRRE GUADALUPE VANESSA"/>
    <s v="Monterrey"/>
    <s v="Nuevo León"/>
    <x v="2"/>
    <x v="2"/>
    <d v="2018-10-10T00:00:00"/>
    <d v="2020-10-10T00:00:00"/>
    <s v="Empresa de embarque #2"/>
    <x v="0"/>
    <s v="Galletas de chocolate"/>
    <x v="2"/>
    <n v="128.79999999999998"/>
    <n v="100"/>
    <n v="12879.999999999998"/>
    <n v="1275.1199999999999"/>
  </r>
  <r>
    <n v="1302"/>
    <d v="2018-10-25T00:00:00"/>
    <x v="117"/>
    <n v="25"/>
    <s v="CCASA TICONA NELLY"/>
    <s v="León"/>
    <s v="Guanajuato"/>
    <x v="6"/>
    <x v="1"/>
    <d v="2018-10-27T00:00:00"/>
    <d v="2020-10-27T00:00:00"/>
    <s v="Empresa de embarque #1"/>
    <x v="0"/>
    <s v="Bolillos"/>
    <x v="2"/>
    <n v="140"/>
    <n v="90"/>
    <n v="12600"/>
    <n v="1222.2"/>
  </r>
  <r>
    <n v="1303"/>
    <d v="2018-10-26T00:00:00"/>
    <x v="118"/>
    <n v="26"/>
    <s v="CONDORI PALOMINO LUCERO"/>
    <s v="Ciudad de México"/>
    <s v="Ciudad de México"/>
    <x v="5"/>
    <x v="3"/>
    <d v="2018-10-28T00:00:00"/>
    <d v="2020-10-28T00:00:00"/>
    <s v="Empresa de embarque #3"/>
    <x v="1"/>
    <s v="Aceite de oliva"/>
    <x v="13"/>
    <n v="298.90000000000003"/>
    <n v="49"/>
    <n v="14646.100000000002"/>
    <n v="1435.3178"/>
  </r>
  <r>
    <n v="1304"/>
    <d v="2018-10-26T00:00:00"/>
    <x v="118"/>
    <n v="26"/>
    <s v="ENCARNACIÓN VENTURA FELICITA"/>
    <s v="Ciudad de México"/>
    <s v="Ciudad de México"/>
    <x v="5"/>
    <x v="3"/>
    <d v="2018-10-28T00:00:00"/>
    <d v="2020-10-28T00:00:00"/>
    <s v="Empresa de embarque #3"/>
    <x v="1"/>
    <s v="Almejas"/>
    <x v="4"/>
    <n v="135.1"/>
    <n v="71"/>
    <n v="9592.1"/>
    <n v="920.84159999999997"/>
  </r>
  <r>
    <n v="1305"/>
    <d v="2018-10-26T00:00:00"/>
    <x v="118"/>
    <n v="26"/>
    <s v="FLORES DE LA MATA ANGEEL JOHAGNETH VALERIA"/>
    <s v="Ciudad de México"/>
    <s v="Ciudad de México"/>
    <x v="5"/>
    <x v="3"/>
    <d v="2018-10-28T00:00:00"/>
    <d v="2020-10-28T00:00:00"/>
    <s v="Empresa de embarque #3"/>
    <x v="1"/>
    <s v="Carne de cangrejo"/>
    <x v="8"/>
    <n v="257.59999999999997"/>
    <n v="10"/>
    <n v="2575.9999999999995"/>
    <n v="267.90400000000005"/>
  </r>
  <r>
    <n v="1306"/>
    <d v="2018-10-29T00:00:00"/>
    <x v="119"/>
    <n v="29"/>
    <s v="HUAYLLASCO RAMOS JOHANA"/>
    <s v="Puerto Vallarta"/>
    <s v="Jalisco"/>
    <x v="3"/>
    <x v="0"/>
    <d v="2018-10-31T00:00:00"/>
    <d v="2020-10-31T00:00:00"/>
    <s v="Empresa de embarque #2"/>
    <x v="0"/>
    <s v="Cerveza"/>
    <x v="0"/>
    <n v="196"/>
    <n v="78"/>
    <n v="15288"/>
    <n v="1574.664"/>
  </r>
  <r>
    <n v="1307"/>
    <d v="2018-10-06T00:00:00"/>
    <x v="109"/>
    <n v="6"/>
    <s v="LEON BLAS ROSMERY JHUDIT"/>
    <s v="Tijuana"/>
    <s v="Baja California"/>
    <x v="4"/>
    <x v="2"/>
    <d v="2018-10-08T00:00:00"/>
    <d v="2020-10-08T00:00:00"/>
    <s v="Empresa de embarque #3"/>
    <x v="0"/>
    <s v="Chocolate"/>
    <x v="3"/>
    <n v="178.5"/>
    <n v="44"/>
    <n v="7854"/>
    <n v="753.98400000000004"/>
  </r>
  <r>
    <n v="1309"/>
    <d v="2018-10-04T00:00:00"/>
    <x v="120"/>
    <n v="4"/>
    <s v="MENDOZA ALZAMORA GABRIELA"/>
    <s v="Querétaro"/>
    <s v="Querétaro"/>
    <x v="1"/>
    <x v="1"/>
    <d v="2018-10-06T00:00:00"/>
    <d v="2020-10-06T00:00:00"/>
    <s v="Empresa de embarque #1"/>
    <x v="1"/>
    <s v="Mermelada de zarzamora"/>
    <x v="6"/>
    <n v="1134"/>
    <n v="82"/>
    <n v="92988"/>
    <n v="9763.7400000000016"/>
  </r>
  <r>
    <n v="1310"/>
    <d v="2018-10-04T00:00:00"/>
    <x v="120"/>
    <n v="4"/>
    <s v="NUNINGO NONINGO JUAN LUIS"/>
    <s v="Querétaro"/>
    <s v="Querétaro"/>
    <x v="1"/>
    <x v="1"/>
    <d v="2018-10-06T00:00:00"/>
    <d v="2020-10-06T00:00:00"/>
    <s v="Empresa de embarque #1"/>
    <x v="1"/>
    <s v="Arroz de grano largo"/>
    <x v="14"/>
    <n v="98"/>
    <n v="29"/>
    <n v="2842"/>
    <n v="284.2"/>
  </r>
  <r>
    <n v="1312"/>
    <d v="2018-10-08T00:00:00"/>
    <x v="111"/>
    <n v="8"/>
    <s v="ORIZANO CABELLO DOMINGO ALFREDO"/>
    <s v="Monterrey"/>
    <s v="Nuevo León"/>
    <x v="2"/>
    <x v="2"/>
    <d v="2018-10-10T00:00:00"/>
    <d v="2020-10-10T00:00:00"/>
    <s v="Empresa de embarque #3"/>
    <x v="1"/>
    <s v="Mozzarella"/>
    <x v="10"/>
    <n v="487.19999999999993"/>
    <n v="93"/>
    <n v="45309.599999999991"/>
    <n v="4395.0311999999994"/>
  </r>
  <r>
    <n v="1315"/>
    <d v="2018-10-03T00:00:00"/>
    <x v="121"/>
    <n v="3"/>
    <s v="PEDRAZA ORCCOAPAZA JEAN PIERE"/>
    <s v="Acapulco"/>
    <s v="Guerrero"/>
    <x v="0"/>
    <x v="0"/>
    <d v="2018-10-05T00:00:00"/>
    <d v="2020-10-05T00:00:00"/>
    <s v="Empresa de embarque #2"/>
    <x v="0"/>
    <s v="Jarabe"/>
    <x v="7"/>
    <n v="140"/>
    <n v="11"/>
    <n v="1540"/>
    <n v="160.16000000000003"/>
  </r>
  <r>
    <n v="1316"/>
    <d v="2018-10-03T00:00:00"/>
    <x v="121"/>
    <n v="3"/>
    <s v="QUISPE QUISPE KEVIN HERMOGENES"/>
    <s v="Acapulco"/>
    <s v="Guerrero"/>
    <x v="0"/>
    <x v="0"/>
    <d v="2018-10-05T00:00:00"/>
    <d v="2020-10-05T00:00:00"/>
    <s v="Empresa de embarque #2"/>
    <x v="0"/>
    <s v="Salsa curry"/>
    <x v="5"/>
    <n v="560"/>
    <n v="91"/>
    <n v="50960"/>
    <n v="5096"/>
  </r>
  <r>
    <n v="1320"/>
    <d v="2018-10-10T00:00:00"/>
    <x v="112"/>
    <n v="10"/>
    <s v="QUISPE VILLENA JORDI DAVID"/>
    <s v="León"/>
    <s v="Guanajuato"/>
    <x v="6"/>
    <x v="1"/>
    <d v="2018-10-12T00:00:00"/>
    <d v="2020-10-12T00:00:00"/>
    <s v="Empresa de embarque #2"/>
    <x v="1"/>
    <s v="Almendras"/>
    <x v="1"/>
    <n v="140"/>
    <n v="12"/>
    <n v="1680"/>
    <n v="173.04"/>
  </r>
  <r>
    <n v="1322"/>
    <d v="2018-10-10T00:00:00"/>
    <x v="112"/>
    <n v="10"/>
    <s v="RAMOS BARRIENTOS FLOR MARIA"/>
    <s v="León"/>
    <s v="Guanajuato"/>
    <x v="6"/>
    <x v="1"/>
    <m/>
    <d v="1901-12-31T00:00:00"/>
    <s v="Empresa de embarque #1"/>
    <x v="1"/>
    <s v="Ciruelas secas"/>
    <x v="1"/>
    <n v="49"/>
    <n v="78"/>
    <n v="3822"/>
    <n v="382.2"/>
  </r>
  <r>
    <n v="1323"/>
    <d v="2018-10-11T00:00:00"/>
    <x v="114"/>
    <n v="11"/>
    <s v="RIVERA MARCA NATALI"/>
    <s v="Ciudad de México"/>
    <s v="Ciudad de México"/>
    <x v="5"/>
    <x v="3"/>
    <m/>
    <d v="1901-12-31T00:00:00"/>
    <s v="Empresa de embarque #3"/>
    <x v="1"/>
    <s v="Salsa curry"/>
    <x v="5"/>
    <n v="560"/>
    <n v="60"/>
    <n v="33600"/>
    <n v="3192"/>
  </r>
  <r>
    <n v="1324"/>
    <d v="2018-10-01T00:00:00"/>
    <x v="115"/>
    <n v="1"/>
    <s v="SILVA REATEGUI PATRICIA"/>
    <s v="Torreón"/>
    <s v="Coahuila"/>
    <x v="2"/>
    <x v="2"/>
    <m/>
    <d v="1901-12-31T00:00:00"/>
    <s v="Empresa de embarque #3"/>
    <x v="1"/>
    <s v="Carne de cangrejo"/>
    <x v="8"/>
    <n v="257.59999999999997"/>
    <n v="23"/>
    <n v="5924.7999999999993"/>
    <n v="610.25440000000003"/>
  </r>
  <r>
    <n v="1325"/>
    <d v="2018-10-28T00:00:00"/>
    <x v="110"/>
    <n v="28"/>
    <s v="VELASQUEZ ROCA LILIANA"/>
    <s v="Toluca"/>
    <s v="Estado de México"/>
    <x v="5"/>
    <x v="3"/>
    <d v="2018-10-30T00:00:00"/>
    <d v="2020-10-30T00:00:00"/>
    <s v="Empresa de embarque #3"/>
    <x v="1"/>
    <s v="Café"/>
    <x v="0"/>
    <n v="644"/>
    <n v="34"/>
    <n v="21896"/>
    <n v="2211.4960000000001"/>
  </r>
  <r>
    <n v="1326"/>
    <d v="2018-10-09T00:00:00"/>
    <x v="116"/>
    <n v="9"/>
    <s v="BECERRA CRUZADO, Tania"/>
    <s v="Guadalajara"/>
    <s v="Jalisco"/>
    <x v="7"/>
    <x v="0"/>
    <d v="2018-10-11T00:00:00"/>
    <d v="2020-10-11T00:00:00"/>
    <s v="Empresa de embarque #1"/>
    <x v="0"/>
    <s v="Almejas"/>
    <x v="4"/>
    <n v="135.1"/>
    <n v="89"/>
    <n v="12023.9"/>
    <n v="1214.4139"/>
  </r>
  <r>
    <n v="1327"/>
    <d v="2018-10-06T00:00:00"/>
    <x v="109"/>
    <n v="6"/>
    <s v="MENDOZA PEREYRA, Rosa"/>
    <s v="Tijuana"/>
    <s v="Baja California"/>
    <x v="4"/>
    <x v="2"/>
    <d v="2018-10-08T00:00:00"/>
    <d v="2020-10-08T00:00:00"/>
    <s v="Empresa de embarque #2"/>
    <x v="1"/>
    <s v="Chocolate"/>
    <x v="3"/>
    <n v="178.5"/>
    <n v="82"/>
    <n v="14637"/>
    <n v="1449.0630000000001"/>
  </r>
  <r>
    <n v="1328"/>
    <d v="2018-10-08T00:00:00"/>
    <x v="111"/>
    <n v="8"/>
    <s v="ODAR BARRIENTE, Karina"/>
    <s v="Monterrey"/>
    <s v="Nuevo León"/>
    <x v="2"/>
    <x v="2"/>
    <d v="2018-10-10T00:00:00"/>
    <d v="2020-10-10T00:00:00"/>
    <s v="Empresa de embarque #2"/>
    <x v="0"/>
    <s v="Chocolate"/>
    <x v="3"/>
    <n v="178.5"/>
    <n v="43"/>
    <n v="7675.5"/>
    <n v="736.84799999999996"/>
  </r>
  <r>
    <n v="1329"/>
    <d v="2018-11-10T00:00:00"/>
    <x v="122"/>
    <n v="10"/>
    <s v="ALVARADO TIRADO, Patricia"/>
    <s v="León"/>
    <s v="Guanajuato"/>
    <x v="6"/>
    <x v="1"/>
    <d v="2018-11-12T00:00:00"/>
    <d v="2020-11-12T00:00:00"/>
    <s v="Empresa de embarque #1"/>
    <x v="1"/>
    <s v="Condimento cajún"/>
    <x v="7"/>
    <n v="308"/>
    <n v="96"/>
    <n v="29568"/>
    <n v="3104.6400000000003"/>
  </r>
  <r>
    <n v="1330"/>
    <d v="2018-11-10T00:00:00"/>
    <x v="122"/>
    <n v="10"/>
    <s v="SHEFFER MENDOZA, Milagros"/>
    <s v="León"/>
    <s v="Guanajuato"/>
    <x v="6"/>
    <x v="1"/>
    <d v="2018-11-12T00:00:00"/>
    <d v="2020-11-12T00:00:00"/>
    <s v="Empresa de embarque #1"/>
    <x v="1"/>
    <s v="Galletas de chocolate"/>
    <x v="2"/>
    <n v="128.79999999999998"/>
    <n v="34"/>
    <n v="4379.2"/>
    <n v="437.91999999999996"/>
  </r>
  <r>
    <n v="1331"/>
    <d v="2018-11-11T00:00:00"/>
    <x v="123"/>
    <n v="11"/>
    <s v="CRUZ BRICEÑO, Yolanda"/>
    <s v="Ciudad de México"/>
    <s v="Ciudad de México"/>
    <x v="5"/>
    <x v="3"/>
    <m/>
    <d v="1901-12-31T00:00:00"/>
    <s v="Empresa de embarque #3"/>
    <x v="1"/>
    <s v="Ciruelas secas"/>
    <x v="1"/>
    <n v="49"/>
    <n v="42"/>
    <n v="2058"/>
    <n v="211.97400000000002"/>
  </r>
  <r>
    <n v="1332"/>
    <d v="2018-11-11T00:00:00"/>
    <x v="123"/>
    <n v="11"/>
    <s v="HILARIO CANOVA, Corina"/>
    <s v="Ciudad de México"/>
    <s v="Ciudad de México"/>
    <x v="5"/>
    <x v="3"/>
    <m/>
    <d v="1901-12-31T00:00:00"/>
    <s v="Empresa de embarque #3"/>
    <x v="1"/>
    <s v="Té verde"/>
    <x v="0"/>
    <n v="41.86"/>
    <n v="100"/>
    <n v="4186"/>
    <n v="426.97200000000004"/>
  </r>
  <r>
    <n v="1333"/>
    <d v="2018-11-01T00:00:00"/>
    <x v="124"/>
    <n v="1"/>
    <s v="BEJAR PILLACA, Marlene"/>
    <s v="Torreón"/>
    <s v="Coahuila"/>
    <x v="2"/>
    <x v="2"/>
    <m/>
    <d v="1901-12-31T00:00:00"/>
    <m/>
    <x v="1"/>
    <s v="Té chai"/>
    <x v="0"/>
    <n v="252"/>
    <n v="42"/>
    <n v="10584"/>
    <n v="1068.9840000000002"/>
  </r>
  <r>
    <n v="1334"/>
    <d v="2018-11-01T00:00:00"/>
    <x v="124"/>
    <n v="1"/>
    <s v="ALLCCARIMA CRISOSTOMO, Eliana"/>
    <s v="Torreón"/>
    <s v="Coahuila"/>
    <x v="2"/>
    <x v="2"/>
    <m/>
    <d v="1901-12-31T00:00:00"/>
    <m/>
    <x v="1"/>
    <s v="Café"/>
    <x v="0"/>
    <n v="644"/>
    <n v="16"/>
    <n v="10304"/>
    <n v="989.18400000000008"/>
  </r>
  <r>
    <n v="1335"/>
    <d v="2018-11-01T00:00:00"/>
    <x v="124"/>
    <n v="1"/>
    <s v="FLORES PEREZ, Lourdes"/>
    <s v="Torreón"/>
    <s v="Coahuila"/>
    <x v="2"/>
    <x v="2"/>
    <m/>
    <d v="1901-12-31T00:00:00"/>
    <m/>
    <x v="1"/>
    <s v="Té verde"/>
    <x v="0"/>
    <n v="41.86"/>
    <n v="22"/>
    <n v="920.92"/>
    <n v="89.329239999999999"/>
  </r>
  <r>
    <n v="1336"/>
    <d v="2018-11-28T00:00:00"/>
    <x v="125"/>
    <n v="28"/>
    <s v="MENDOZA PEREYRA, Rosa"/>
    <s v="Toluca"/>
    <s v="Estado de México"/>
    <x v="5"/>
    <x v="3"/>
    <d v="2018-11-30T00:00:00"/>
    <d v="2020-11-30T00:00:00"/>
    <s v="Empresa de embarque #3"/>
    <x v="1"/>
    <s v="Almejas"/>
    <x v="4"/>
    <n v="135.1"/>
    <n v="46"/>
    <n v="6214.5999999999995"/>
    <n v="640.10380000000009"/>
  </r>
  <r>
    <n v="1337"/>
    <d v="2018-11-28T00:00:00"/>
    <x v="125"/>
    <n v="28"/>
    <s v="SHEFFER MENDOZA, Milagros"/>
    <s v="Toluca"/>
    <s v="Estado de México"/>
    <x v="5"/>
    <x v="3"/>
    <d v="2018-11-30T00:00:00"/>
    <d v="2020-11-30T00:00:00"/>
    <s v="Empresa de embarque #3"/>
    <x v="1"/>
    <s v="Carne de cangrejo"/>
    <x v="8"/>
    <n v="257.59999999999997"/>
    <n v="100"/>
    <n v="25759.999999999996"/>
    <n v="2576"/>
  </r>
  <r>
    <n v="1338"/>
    <d v="2018-11-09T00:00:00"/>
    <x v="126"/>
    <n v="9"/>
    <s v="ALVARADO TIRADO, Patricia"/>
    <s v="Guadalajara"/>
    <s v="Jalisco"/>
    <x v="7"/>
    <x v="0"/>
    <d v="2018-11-11T00:00:00"/>
    <d v="2020-11-11T00:00:00"/>
    <s v="Empresa de embarque #1"/>
    <x v="0"/>
    <s v="Ravioli"/>
    <x v="9"/>
    <n v="273"/>
    <n v="87"/>
    <n v="23751"/>
    <n v="2446.3530000000001"/>
  </r>
  <r>
    <n v="1339"/>
    <d v="2018-11-09T00:00:00"/>
    <x v="126"/>
    <n v="9"/>
    <s v="BECERRA CRUZADO, Tania"/>
    <s v="Guadalajara"/>
    <s v="Jalisco"/>
    <x v="7"/>
    <x v="0"/>
    <d v="2018-11-11T00:00:00"/>
    <d v="2020-11-11T00:00:00"/>
    <s v="Empresa de embarque #1"/>
    <x v="0"/>
    <s v="Mozzarella"/>
    <x v="10"/>
    <n v="487.19999999999993"/>
    <n v="58"/>
    <n v="28257.599999999995"/>
    <n v="2882.2752"/>
  </r>
  <r>
    <n v="1340"/>
    <d v="2018-11-06T00:00:00"/>
    <x v="127"/>
    <n v="6"/>
    <s v="HILARIO CANOVA, Corina"/>
    <s v="Tijuana"/>
    <s v="Baja California"/>
    <x v="4"/>
    <x v="2"/>
    <d v="2018-11-08T00:00:00"/>
    <d v="2020-11-08T00:00:00"/>
    <s v="Empresa de embarque #2"/>
    <x v="1"/>
    <s v="Cerveza"/>
    <x v="0"/>
    <n v="196"/>
    <n v="85"/>
    <n v="16660"/>
    <n v="1682.6599999999999"/>
  </r>
  <r>
    <n v="1341"/>
    <d v="2018-11-08T00:00:00"/>
    <x v="128"/>
    <n v="8"/>
    <s v="DEXTRE PEREZ, Zenia"/>
    <s v="Monterrey"/>
    <s v="Nuevo León"/>
    <x v="2"/>
    <x v="2"/>
    <d v="2018-11-10T00:00:00"/>
    <d v="2020-11-10T00:00:00"/>
    <s v="Empresa de embarque #2"/>
    <x v="0"/>
    <s v="Salsa curry"/>
    <x v="5"/>
    <n v="560"/>
    <n v="28"/>
    <n v="15680"/>
    <n v="1552.32"/>
  </r>
  <r>
    <n v="1342"/>
    <d v="2018-11-08T00:00:00"/>
    <x v="128"/>
    <n v="8"/>
    <s v="ODAR BARRIENTE, Karina"/>
    <s v="Monterrey"/>
    <s v="Nuevo León"/>
    <x v="2"/>
    <x v="2"/>
    <d v="2018-11-10T00:00:00"/>
    <d v="2020-11-10T00:00:00"/>
    <s v="Empresa de embarque #2"/>
    <x v="0"/>
    <s v="Galletas de chocolate"/>
    <x v="2"/>
    <n v="128.79999999999998"/>
    <n v="19"/>
    <n v="2447.1999999999998"/>
    <n v="239.82560000000001"/>
  </r>
  <r>
    <n v="1343"/>
    <d v="2018-11-25T00:00:00"/>
    <x v="129"/>
    <n v="25"/>
    <s v="ALLCCARIMA CRISOSTOMO, Eliana"/>
    <s v="León"/>
    <s v="Guanajuato"/>
    <x v="6"/>
    <x v="1"/>
    <d v="2018-11-27T00:00:00"/>
    <d v="2020-11-27T00:00:00"/>
    <s v="Empresa de embarque #1"/>
    <x v="0"/>
    <s v="Bolillos"/>
    <x v="2"/>
    <n v="140"/>
    <n v="99"/>
    <n v="13860"/>
    <n v="1441.44"/>
  </r>
  <r>
    <n v="1344"/>
    <d v="2018-11-26T00:00:00"/>
    <x v="130"/>
    <n v="26"/>
    <s v="CUBAS PEREZ, Nelly"/>
    <s v="Ciudad de México"/>
    <s v="Ciudad de México"/>
    <x v="5"/>
    <x v="3"/>
    <d v="2018-11-28T00:00:00"/>
    <d v="2020-11-28T00:00:00"/>
    <s v="Empresa de embarque #3"/>
    <x v="1"/>
    <s v="Aceite de oliva"/>
    <x v="13"/>
    <n v="298.90000000000003"/>
    <n v="69"/>
    <n v="20624.100000000002"/>
    <n v="2144.9064000000008"/>
  </r>
  <r>
    <n v="1345"/>
    <d v="2018-11-26T00:00:00"/>
    <x v="130"/>
    <n v="26"/>
    <s v="PALOMINO GARCIA, Selene"/>
    <s v="Ciudad de México"/>
    <s v="Ciudad de México"/>
    <x v="5"/>
    <x v="3"/>
    <d v="2018-11-28T00:00:00"/>
    <d v="2020-11-28T00:00:00"/>
    <s v="Empresa de embarque #3"/>
    <x v="1"/>
    <s v="Almejas"/>
    <x v="4"/>
    <n v="135.1"/>
    <n v="37"/>
    <n v="4998.7"/>
    <n v="474.87650000000002"/>
  </r>
  <r>
    <n v="1346"/>
    <d v="2018-11-26T00:00:00"/>
    <x v="130"/>
    <n v="26"/>
    <s v="CONTRERAS RAMOS, Roxi"/>
    <s v="Ciudad de México"/>
    <s v="Ciudad de México"/>
    <x v="5"/>
    <x v="3"/>
    <d v="2018-11-28T00:00:00"/>
    <d v="2020-11-28T00:00:00"/>
    <s v="Empresa de embarque #3"/>
    <x v="1"/>
    <s v="Carne de cangrejo"/>
    <x v="8"/>
    <n v="257.59999999999997"/>
    <n v="64"/>
    <n v="16486.399999999998"/>
    <n v="1665.1263999999999"/>
  </r>
  <r>
    <n v="1347"/>
    <d v="2018-11-29T00:00:00"/>
    <x v="131"/>
    <n v="29"/>
    <s v="PONCE HERMOZA, Catalina"/>
    <s v="Puerto Vallarta"/>
    <s v="Jalisco"/>
    <x v="3"/>
    <x v="0"/>
    <d v="2018-12-01T00:00:00"/>
    <d v="2020-12-01T00:00:00"/>
    <s v="Empresa de embarque #2"/>
    <x v="0"/>
    <s v="Cerveza"/>
    <x v="0"/>
    <n v="196"/>
    <n v="38"/>
    <n v="7448"/>
    <n v="774.5920000000001"/>
  </r>
  <r>
    <n v="1348"/>
    <d v="2018-11-06T00:00:00"/>
    <x v="127"/>
    <n v="6"/>
    <s v="SOLIER ZAMORA, Susy"/>
    <s v="Tijuana"/>
    <s v="Baja California"/>
    <x v="4"/>
    <x v="2"/>
    <d v="2018-11-08T00:00:00"/>
    <d v="2020-11-08T00:00:00"/>
    <s v="Empresa de embarque #3"/>
    <x v="0"/>
    <s v="Chocolate"/>
    <x v="3"/>
    <n v="178.5"/>
    <n v="15"/>
    <n v="2677.5"/>
    <n v="259.71749999999997"/>
  </r>
  <r>
    <n v="1350"/>
    <d v="2018-11-04T00:00:00"/>
    <x v="132"/>
    <n v="4"/>
    <s v="VASQUEZ RUIZ, Gladys"/>
    <s v="Querétaro"/>
    <s v="Querétaro"/>
    <x v="1"/>
    <x v="1"/>
    <d v="2018-11-06T00:00:00"/>
    <d v="2020-11-06T00:00:00"/>
    <s v="Empresa de embarque #1"/>
    <x v="1"/>
    <s v="Mermelada de zarzamora"/>
    <x v="6"/>
    <n v="1134"/>
    <n v="52"/>
    <n v="58968"/>
    <n v="5778.8640000000005"/>
  </r>
  <r>
    <n v="1351"/>
    <d v="2018-11-04T00:00:00"/>
    <x v="132"/>
    <n v="4"/>
    <s v="GALAN GALLARDO, Aracely"/>
    <s v="Querétaro"/>
    <s v="Querétaro"/>
    <x v="1"/>
    <x v="1"/>
    <d v="2018-11-06T00:00:00"/>
    <d v="2020-11-06T00:00:00"/>
    <s v="Empresa de embarque #1"/>
    <x v="1"/>
    <s v="Arroz de grano largo"/>
    <x v="14"/>
    <n v="98"/>
    <n v="37"/>
    <n v="3626"/>
    <n v="355.34800000000001"/>
  </r>
  <r>
    <n v="1353"/>
    <d v="2018-11-08T00:00:00"/>
    <x v="128"/>
    <n v="8"/>
    <s v="ACOSTA ARMAS SANDRA PAOLA"/>
    <s v="Monterrey"/>
    <s v="Nuevo León"/>
    <x v="2"/>
    <x v="2"/>
    <d v="2018-11-10T00:00:00"/>
    <d v="2020-11-10T00:00:00"/>
    <s v="Empresa de embarque #3"/>
    <x v="1"/>
    <s v="Mozzarella"/>
    <x v="10"/>
    <n v="487.19999999999993"/>
    <n v="24"/>
    <n v="11692.8"/>
    <n v="1122.5087999999998"/>
  </r>
  <r>
    <n v="1356"/>
    <d v="2018-11-03T00:00:00"/>
    <x v="133"/>
    <n v="3"/>
    <s v="ALCANTARA CHANDUVI CRISTOPHER"/>
    <s v="Acapulco"/>
    <s v="Guerrero"/>
    <x v="0"/>
    <x v="0"/>
    <d v="2018-11-05T00:00:00"/>
    <d v="2020-11-05T00:00:00"/>
    <s v="Empresa de embarque #2"/>
    <x v="0"/>
    <s v="Jarabe"/>
    <x v="7"/>
    <n v="140"/>
    <n v="36"/>
    <n v="5040"/>
    <n v="519.12"/>
  </r>
  <r>
    <n v="1357"/>
    <d v="2018-11-03T00:00:00"/>
    <x v="133"/>
    <n v="3"/>
    <s v="ALMONACID PINEDA VIVIANA THAIS"/>
    <s v="Acapulco"/>
    <s v="Guerrero"/>
    <x v="0"/>
    <x v="0"/>
    <d v="2018-11-05T00:00:00"/>
    <d v="2020-11-05T00:00:00"/>
    <s v="Empresa de embarque #2"/>
    <x v="0"/>
    <s v="Salsa curry"/>
    <x v="5"/>
    <n v="560"/>
    <n v="24"/>
    <n v="13440"/>
    <n v="1344"/>
  </r>
  <r>
    <n v="1361"/>
    <d v="2018-11-10T00:00:00"/>
    <x v="122"/>
    <n v="10"/>
    <s v="BALBIN CUSQUISIBAN DARIANA ISABEL"/>
    <s v="León"/>
    <s v="Guanajuato"/>
    <x v="6"/>
    <x v="1"/>
    <d v="2018-11-12T00:00:00"/>
    <d v="2020-11-12T00:00:00"/>
    <s v="Empresa de embarque #2"/>
    <x v="1"/>
    <s v="Almendras"/>
    <x v="1"/>
    <n v="140"/>
    <n v="20"/>
    <n v="2800"/>
    <n v="280"/>
  </r>
  <r>
    <n v="1363"/>
    <d v="2018-11-10T00:00:00"/>
    <x v="122"/>
    <n v="10"/>
    <s v="CAMASCA CENENO JHOEL LUIS"/>
    <s v="León"/>
    <s v="Guanajuato"/>
    <x v="6"/>
    <x v="1"/>
    <m/>
    <d v="1901-12-31T00:00:00"/>
    <s v="Empresa de embarque #1"/>
    <x v="1"/>
    <s v="Ciruelas secas"/>
    <x v="1"/>
    <n v="49"/>
    <n v="11"/>
    <n v="539"/>
    <n v="52.283000000000001"/>
  </r>
  <r>
    <n v="1364"/>
    <d v="2018-11-11T00:00:00"/>
    <x v="123"/>
    <n v="11"/>
    <s v="CARBAJAL HUANCAS CARLOS ABEL"/>
    <s v="Ciudad de México"/>
    <s v="Ciudad de México"/>
    <x v="5"/>
    <x v="3"/>
    <m/>
    <d v="1901-12-31T00:00:00"/>
    <s v="Empresa de embarque #3"/>
    <x v="1"/>
    <s v="Salsa curry"/>
    <x v="5"/>
    <n v="560"/>
    <n v="78"/>
    <n v="43680"/>
    <n v="4193.28"/>
  </r>
  <r>
    <n v="1365"/>
    <d v="2018-11-01T00:00:00"/>
    <x v="124"/>
    <n v="1"/>
    <s v="CASTILLO AGUIRRE GUADALUPE VANESSA"/>
    <s v="Torreón"/>
    <s v="Coahuila"/>
    <x v="2"/>
    <x v="2"/>
    <m/>
    <d v="1901-12-31T00:00:00"/>
    <s v="Empresa de embarque #3"/>
    <x v="1"/>
    <s v="Carne de cangrejo"/>
    <x v="8"/>
    <n v="257.59999999999997"/>
    <n v="76"/>
    <n v="19577.599999999999"/>
    <n v="2016.4928"/>
  </r>
  <r>
    <n v="1366"/>
    <d v="2018-11-28T00:00:00"/>
    <x v="125"/>
    <n v="28"/>
    <s v="CCASA TICONA NELLY"/>
    <s v="Toluca"/>
    <s v="Estado de México"/>
    <x v="5"/>
    <x v="3"/>
    <d v="2018-11-30T00:00:00"/>
    <d v="2020-11-30T00:00:00"/>
    <s v="Empresa de embarque #3"/>
    <x v="1"/>
    <s v="Café"/>
    <x v="0"/>
    <n v="644"/>
    <n v="57"/>
    <n v="36708"/>
    <n v="3817.6319999999996"/>
  </r>
  <r>
    <n v="1367"/>
    <d v="2018-11-09T00:00:00"/>
    <x v="126"/>
    <n v="9"/>
    <s v="CONDORI PALOMINO LUCERO"/>
    <s v="Guadalajara"/>
    <s v="Jalisco"/>
    <x v="7"/>
    <x v="0"/>
    <d v="2018-11-11T00:00:00"/>
    <d v="2020-11-11T00:00:00"/>
    <s v="Empresa de embarque #1"/>
    <x v="0"/>
    <s v="Almejas"/>
    <x v="4"/>
    <n v="135.1"/>
    <n v="14"/>
    <n v="1891.3999999999999"/>
    <n v="181.5744"/>
  </r>
  <r>
    <n v="1368"/>
    <d v="2018-12-27T00:00:00"/>
    <x v="134"/>
    <n v="27"/>
    <s v="ENCARNACIÓN VENTURA FELICITA"/>
    <s v="Mazatlán"/>
    <s v="Sinaloa"/>
    <x v="0"/>
    <x v="0"/>
    <d v="2018-12-29T00:00:00"/>
    <d v="2020-12-29T00:00:00"/>
    <s v="Empresa de embarque #2"/>
    <x v="0"/>
    <s v="Cerveza"/>
    <x v="0"/>
    <n v="196"/>
    <n v="14"/>
    <n v="2744"/>
    <n v="277.14400000000006"/>
  </r>
  <r>
    <n v="1369"/>
    <d v="2018-12-27T00:00:00"/>
    <x v="134"/>
    <n v="27"/>
    <s v="FLORES DE LA MATA ANGEEL JOHAGNETH VALERIA"/>
    <s v="Mazatlán"/>
    <s v="Sinaloa"/>
    <x v="0"/>
    <x v="0"/>
    <d v="2018-12-29T00:00:00"/>
    <d v="2020-12-29T00:00:00"/>
    <s v="Empresa de embarque #2"/>
    <x v="0"/>
    <s v="Ciruelas secas"/>
    <x v="1"/>
    <n v="49"/>
    <n v="70"/>
    <n v="3430"/>
    <n v="353.28999999999996"/>
  </r>
  <r>
    <n v="1370"/>
    <d v="2018-12-04T00:00:00"/>
    <x v="135"/>
    <n v="4"/>
    <s v="HUAYLLASCO RAMOS JOHANA"/>
    <s v="Querétaro"/>
    <s v="Querétaro"/>
    <x v="1"/>
    <x v="1"/>
    <d v="2018-12-06T00:00:00"/>
    <d v="2020-12-06T00:00:00"/>
    <s v="Empresa de embarque #1"/>
    <x v="1"/>
    <s v="Peras secas"/>
    <x v="1"/>
    <n v="420"/>
    <n v="100"/>
    <n v="42000"/>
    <n v="4074"/>
  </r>
  <r>
    <n v="1371"/>
    <d v="2018-12-04T00:00:00"/>
    <x v="135"/>
    <n v="4"/>
    <s v="LEON BLAS ROSMERY JHUDIT"/>
    <s v="Querétaro"/>
    <s v="Querétaro"/>
    <x v="1"/>
    <x v="1"/>
    <d v="2018-12-06T00:00:00"/>
    <d v="2020-12-06T00:00:00"/>
    <s v="Empresa de embarque #1"/>
    <x v="1"/>
    <s v="Manzanas secas"/>
    <x v="1"/>
    <n v="742"/>
    <n v="27"/>
    <n v="20034"/>
    <n v="2003.3999999999999"/>
  </r>
  <r>
    <n v="1372"/>
    <d v="2018-12-04T00:00:00"/>
    <x v="135"/>
    <n v="4"/>
    <s v="MENDOZA ALZAMORA GABRIELA"/>
    <s v="Querétaro"/>
    <s v="Querétaro"/>
    <x v="1"/>
    <x v="1"/>
    <d v="2018-12-06T00:00:00"/>
    <d v="2020-12-06T00:00:00"/>
    <s v="Empresa de embarque #1"/>
    <x v="1"/>
    <s v="Ciruelas secas"/>
    <x v="1"/>
    <n v="49"/>
    <n v="70"/>
    <n v="3430"/>
    <n v="336.14"/>
  </r>
  <r>
    <n v="1373"/>
    <d v="2018-12-12T00:00:00"/>
    <x v="136"/>
    <n v="12"/>
    <s v="NUNINGO NONINGO JUAN LUIS"/>
    <s v="Mazatlán"/>
    <s v="Sinaloa"/>
    <x v="0"/>
    <x v="0"/>
    <d v="2018-12-14T00:00:00"/>
    <d v="2020-12-14T00:00:00"/>
    <s v="Empresa de embarque #2"/>
    <x v="1"/>
    <s v="Té chai"/>
    <x v="0"/>
    <n v="252"/>
    <n v="57"/>
    <n v="14364"/>
    <n v="1436.4"/>
  </r>
  <r>
    <n v="1374"/>
    <d v="2018-12-12T00:00:00"/>
    <x v="136"/>
    <n v="12"/>
    <s v="ORIZANO CABELLO DOMINGO ALFREDO"/>
    <s v="Mazatlán"/>
    <s v="Sinaloa"/>
    <x v="0"/>
    <x v="0"/>
    <d v="2018-12-14T00:00:00"/>
    <d v="2020-12-14T00:00:00"/>
    <s v="Empresa de embarque #2"/>
    <x v="1"/>
    <s v="Café"/>
    <x v="0"/>
    <n v="644"/>
    <n v="83"/>
    <n v="53452"/>
    <n v="5238.2960000000003"/>
  </r>
  <r>
    <n v="1375"/>
    <d v="2018-12-08T00:00:00"/>
    <x v="137"/>
    <n v="8"/>
    <s v="PEDRAZA ORCCOAPAZA JEAN PIERE"/>
    <s v="Monterrey"/>
    <s v="Nuevo León"/>
    <x v="2"/>
    <x v="2"/>
    <d v="2018-12-10T00:00:00"/>
    <d v="2020-12-10T00:00:00"/>
    <s v="Empresa de embarque #3"/>
    <x v="1"/>
    <s v="Galletas de chocolate"/>
    <x v="2"/>
    <n v="128.79999999999998"/>
    <n v="76"/>
    <n v="9788.7999999999993"/>
    <n v="939.72479999999996"/>
  </r>
  <r>
    <n v="1376"/>
    <d v="2018-12-04T00:00:00"/>
    <x v="135"/>
    <n v="4"/>
    <s v="QUISPE QUISPE KEVIN HERMOGENES"/>
    <s v="Querétaro"/>
    <s v="Querétaro"/>
    <x v="1"/>
    <x v="1"/>
    <d v="2018-12-06T00:00:00"/>
    <d v="2020-12-06T00:00:00"/>
    <s v="Empresa de embarque #3"/>
    <x v="0"/>
    <s v="Galletas de chocolate"/>
    <x v="2"/>
    <n v="128.79999999999998"/>
    <n v="80"/>
    <n v="10303.999999999998"/>
    <n v="1020.096"/>
  </r>
  <r>
    <n v="1377"/>
    <d v="2018-12-29T00:00:00"/>
    <x v="138"/>
    <n v="29"/>
    <s v="QUISPE VILLENA JORDI DAVID"/>
    <s v="Puerto Vallarta"/>
    <s v="Jalisco"/>
    <x v="3"/>
    <x v="0"/>
    <d v="2018-12-31T00:00:00"/>
    <d v="2020-12-31T00:00:00"/>
    <s v="Empresa de embarque #2"/>
    <x v="0"/>
    <s v="Chocolate"/>
    <x v="3"/>
    <n v="178.5"/>
    <n v="47"/>
    <n v="8389.5"/>
    <n v="830.56050000000005"/>
  </r>
  <r>
    <n v="1378"/>
    <d v="2018-12-03T00:00:00"/>
    <x v="139"/>
    <n v="3"/>
    <s v="RAMOS BARRIENTOS FLOR MARIA"/>
    <s v="Acapulco"/>
    <s v="Guerrero"/>
    <x v="0"/>
    <x v="0"/>
    <d v="2018-12-05T00:00:00"/>
    <d v="2020-12-05T00:00:00"/>
    <s v="Empresa de embarque #2"/>
    <x v="0"/>
    <s v="Almejas"/>
    <x v="4"/>
    <n v="135.1"/>
    <n v="96"/>
    <n v="12969.599999999999"/>
    <n v="1322.8992000000003"/>
  </r>
  <r>
    <n v="1379"/>
    <d v="2018-12-06T00:00:00"/>
    <x v="140"/>
    <n v="6"/>
    <s v="RIVERA MARCA NATALI"/>
    <s v="Tijuana"/>
    <s v="Baja California"/>
    <x v="4"/>
    <x v="2"/>
    <d v="2018-12-08T00:00:00"/>
    <d v="2020-12-08T00:00:00"/>
    <s v="Empresa de embarque #2"/>
    <x v="1"/>
    <s v="Salsa curry"/>
    <x v="5"/>
    <n v="560"/>
    <n v="32"/>
    <n v="17920"/>
    <n v="1881.6000000000001"/>
  </r>
  <r>
    <n v="1380"/>
    <d v="2018-12-28T00:00:00"/>
    <x v="141"/>
    <n v="28"/>
    <s v="SILVA REATEGUI PATRICIA"/>
    <s v="Toluca"/>
    <s v="Estado de México"/>
    <x v="5"/>
    <x v="3"/>
    <d v="2018-12-30T00:00:00"/>
    <d v="2020-12-30T00:00:00"/>
    <s v="Empresa de embarque #3"/>
    <x v="0"/>
    <s v="Café"/>
    <x v="0"/>
    <n v="644"/>
    <n v="16"/>
    <n v="10304"/>
    <n v="1030.4000000000001"/>
  </r>
  <r>
    <n v="1381"/>
    <d v="2018-12-08T00:00:00"/>
    <x v="137"/>
    <n v="8"/>
    <s v="VELASQUEZ ROCA LILIANA"/>
    <s v="Monterrey"/>
    <s v="Nuevo León"/>
    <x v="2"/>
    <x v="2"/>
    <d v="2018-12-10T00:00:00"/>
    <d v="2020-12-10T00:00:00"/>
    <s v="Empresa de embarque #3"/>
    <x v="0"/>
    <s v="Chocolate"/>
    <x v="3"/>
    <n v="178.5"/>
    <n v="41"/>
    <n v="7318.5"/>
    <n v="717.21299999999997"/>
  </r>
  <r>
    <n v="1382"/>
    <d v="2018-12-10T00:00:00"/>
    <x v="142"/>
    <n v="10"/>
    <s v="BECERRA CRUZADO, Tania"/>
    <s v="León"/>
    <s v="Guanajuato"/>
    <x v="6"/>
    <x v="1"/>
    <d v="2018-12-12T00:00:00"/>
    <d v="2020-12-12T00:00:00"/>
    <s v="Empresa de embarque #2"/>
    <x v="1"/>
    <s v="Té verde"/>
    <x v="0"/>
    <n v="41.86"/>
    <n v="41"/>
    <n v="1716.26"/>
    <n v="180.20730000000003"/>
  </r>
  <r>
    <n v="1383"/>
    <d v="2018-12-07T00:00:00"/>
    <x v="143"/>
    <n v="7"/>
    <s v="MENDOZA PEREYRA, Rosa"/>
    <s v="Chihuahua"/>
    <s v="Chihuahua"/>
    <x v="2"/>
    <x v="2"/>
    <d v="2018-12-13T00:00:00"/>
    <d v="2020-12-13T00:00:00"/>
    <s v="Empresa de embarque #2"/>
    <x v="0"/>
    <s v="Café"/>
    <x v="0"/>
    <n v="644"/>
    <n v="41"/>
    <n v="26404"/>
    <n v="2719.6120000000005"/>
  </r>
  <r>
    <n v="1384"/>
    <d v="2018-12-10T00:00:00"/>
    <x v="142"/>
    <n v="10"/>
    <s v="ODAR BARRIENTE, Karina"/>
    <s v="León"/>
    <s v="Guanajuato"/>
    <x v="6"/>
    <x v="1"/>
    <d v="2018-12-12T00:00:00"/>
    <d v="2020-12-12T00:00:00"/>
    <s v="Empresa de embarque #1"/>
    <x v="0"/>
    <s v="Jalea de fresa"/>
    <x v="6"/>
    <n v="350"/>
    <n v="94"/>
    <n v="32900"/>
    <n v="3290"/>
  </r>
  <r>
    <n v="1385"/>
    <d v="2018-12-10T00:00:00"/>
    <x v="142"/>
    <n v="10"/>
    <s v="ALVARADO TIRADO, Patricia"/>
    <s v="León"/>
    <s v="Guanajuato"/>
    <x v="6"/>
    <x v="1"/>
    <d v="2018-12-12T00:00:00"/>
    <d v="2020-12-12T00:00:00"/>
    <s v="Empresa de embarque #1"/>
    <x v="0"/>
    <s v="Condimento cajún"/>
    <x v="7"/>
    <n v="308"/>
    <n v="20"/>
    <n v="6160"/>
    <n v="646.80000000000007"/>
  </r>
  <r>
    <n v="1386"/>
    <d v="2018-12-10T00:00:00"/>
    <x v="142"/>
    <n v="10"/>
    <s v="SHEFFER MENDOZA, Milagros"/>
    <s v="León"/>
    <s v="Guanajuato"/>
    <x v="6"/>
    <x v="1"/>
    <d v="2018-12-12T00:00:00"/>
    <d v="2020-12-12T00:00:00"/>
    <s v="Empresa de embarque #1"/>
    <x v="0"/>
    <s v="Galletas de chocolate"/>
    <x v="2"/>
    <n v="128.79999999999998"/>
    <n v="13"/>
    <n v="1674.3999999999999"/>
    <n v="174.13760000000002"/>
  </r>
  <r>
    <n v="1387"/>
    <d v="2018-12-11T00:00:00"/>
    <x v="144"/>
    <n v="11"/>
    <s v="CRUZ BRICEÑO, Yolanda"/>
    <s v="Ciudad de México"/>
    <s v="Ciudad de México"/>
    <x v="5"/>
    <x v="3"/>
    <d v="2018-12-06T00:00:00"/>
    <d v="2020-12-06T00:00:00"/>
    <s v="Empresa de embarque #3"/>
    <x v="0"/>
    <s v="Ciruelas secas"/>
    <x v="1"/>
    <n v="49"/>
    <n v="74"/>
    <n v="3626"/>
    <n v="377.10400000000004"/>
  </r>
  <r>
    <n v="1388"/>
    <d v="2018-12-11T00:00:00"/>
    <x v="144"/>
    <n v="11"/>
    <s v="HILARIO CANOVA, Corina"/>
    <s v="Ciudad de México"/>
    <s v="Ciudad de México"/>
    <x v="5"/>
    <x v="3"/>
    <d v="2018-12-31T00:00:00"/>
    <d v="2020-12-31T00:00:00"/>
    <s v="Empresa de embarque #3"/>
    <x v="0"/>
    <s v="Té verde"/>
    <x v="0"/>
    <n v="41.86"/>
    <n v="53"/>
    <n v="2218.58"/>
    <n v="224.07658000000004"/>
  </r>
  <r>
    <n v="1389"/>
    <d v="2018-12-01T00:00:00"/>
    <x v="145"/>
    <n v="1"/>
    <s v="BEJAR PILLACA, Marlene"/>
    <s v="Torreón"/>
    <s v="Coahuila"/>
    <x v="2"/>
    <x v="2"/>
    <d v="2018-12-05T00:00:00"/>
    <d v="2020-12-05T00:00:00"/>
    <s v="Empresa de embarque #2"/>
    <x v="0"/>
    <s v="Té chai"/>
    <x v="0"/>
    <n v="252"/>
    <n v="99"/>
    <n v="24948"/>
    <n v="2444.9040000000005"/>
  </r>
  <r>
    <n v="1390"/>
    <d v="2018-12-01T00:00:00"/>
    <x v="145"/>
    <n v="1"/>
    <s v="ALLCCARIMA CRISOSTOMO, Eliana"/>
    <s v="Torreón"/>
    <s v="Coahuila"/>
    <x v="2"/>
    <x v="2"/>
    <d v="2018-12-06T00:00:00"/>
    <d v="2020-12-06T00:00:00"/>
    <s v="Empresa de embarque #2"/>
    <x v="0"/>
    <s v="Café"/>
    <x v="0"/>
    <n v="644"/>
    <n v="89"/>
    <n v="57316"/>
    <n v="5445.02"/>
  </r>
  <r>
    <n v="1391"/>
    <d v="2018-12-01T00:00:00"/>
    <x v="145"/>
    <n v="1"/>
    <s v="FLORES PEREZ, Lourdes"/>
    <s v="Torreón"/>
    <s v="Coahuila"/>
    <x v="2"/>
    <x v="2"/>
    <d v="2018-12-07T00:00:00"/>
    <d v="2020-12-07T00:00:00"/>
    <s v="Empresa de embarque #2"/>
    <x v="0"/>
    <s v="Té verde"/>
    <x v="0"/>
    <n v="41.86"/>
    <n v="64"/>
    <n v="2679.04"/>
    <n v="273.26208000000003"/>
  </r>
  <r>
    <n v="1392"/>
    <d v="2018-12-28T00:00:00"/>
    <x v="141"/>
    <n v="28"/>
    <s v="ACOSTA ARMAS SANDRA PAOLA"/>
    <s v="Toluca"/>
    <s v="Estado de México"/>
    <x v="5"/>
    <x v="3"/>
    <d v="2018-12-30T00:00:00"/>
    <d v="2020-12-30T00:00:00"/>
    <s v="Empresa de embarque #3"/>
    <x v="1"/>
    <s v="Almejas"/>
    <x v="4"/>
    <n v="135.1"/>
    <n v="98"/>
    <n v="13239.8"/>
    <n v="1350.4596000000001"/>
  </r>
  <r>
    <n v="1393"/>
    <d v="2018-12-28T00:00:00"/>
    <x v="141"/>
    <n v="28"/>
    <s v="ALCANTARA CHANDUVI CRISTOPHER"/>
    <s v="Toluca"/>
    <s v="Estado de México"/>
    <x v="5"/>
    <x v="3"/>
    <d v="2018-12-30T00:00:00"/>
    <d v="2020-12-30T00:00:00"/>
    <s v="Empresa de embarque #3"/>
    <x v="1"/>
    <s v="Carne de cangrejo"/>
    <x v="8"/>
    <n v="257.59999999999997"/>
    <n v="86"/>
    <n v="22153.599999999999"/>
    <n v="2171.0527999999999"/>
  </r>
  <r>
    <n v="1394"/>
    <d v="2018-12-09T00:00:00"/>
    <x v="146"/>
    <n v="9"/>
    <s v="ALMONACID PINEDA VIVIANA THAIS"/>
    <s v="Guadalajara"/>
    <s v="Jalisco"/>
    <x v="7"/>
    <x v="0"/>
    <d v="2018-12-11T00:00:00"/>
    <d v="2020-12-11T00:00:00"/>
    <s v="Empresa de embarque #1"/>
    <x v="0"/>
    <s v="Ravioli"/>
    <x v="9"/>
    <n v="273"/>
    <n v="20"/>
    <n v="5460"/>
    <n v="573.30000000000007"/>
  </r>
  <r>
    <n v="1395"/>
    <d v="2018-12-09T00:00:00"/>
    <x v="146"/>
    <n v="9"/>
    <s v="BALBIN CUSQUISIBAN DARIANA ISABEL"/>
    <s v="Guadalajara"/>
    <s v="Jalisco"/>
    <x v="7"/>
    <x v="0"/>
    <d v="2018-12-11T00:00:00"/>
    <d v="2020-12-11T00:00:00"/>
    <s v="Empresa de embarque #1"/>
    <x v="0"/>
    <s v="Mozzarella"/>
    <x v="10"/>
    <n v="487.19999999999993"/>
    <n v="69"/>
    <n v="33616.799999999996"/>
    <n v="3361.6800000000003"/>
  </r>
  <r>
    <n v="1396"/>
    <d v="2018-12-06T00:00:00"/>
    <x v="140"/>
    <n v="6"/>
    <s v="CAMASCA CENENO JHOEL LUIS"/>
    <s v="Tijuana"/>
    <s v="Baja California"/>
    <x v="4"/>
    <x v="2"/>
    <d v="2018-12-08T00:00:00"/>
    <d v="2020-12-08T00:00:00"/>
    <s v="Empresa de embarque #2"/>
    <x v="1"/>
    <s v="Cerveza"/>
    <x v="0"/>
    <n v="196"/>
    <n v="68"/>
    <n v="13328"/>
    <n v="1279.4879999999998"/>
  </r>
  <r>
    <n v="1397"/>
    <d v="2018-12-08T00:00:00"/>
    <x v="137"/>
    <n v="8"/>
    <s v="CARBAJAL HUANCAS CARLOS ABEL"/>
    <s v="Monterrey"/>
    <s v="Nuevo León"/>
    <x v="2"/>
    <x v="2"/>
    <d v="2018-12-10T00:00:00"/>
    <d v="2020-12-10T00:00:00"/>
    <s v="Empresa de embarque #2"/>
    <x v="0"/>
    <s v="Salsa curry"/>
    <x v="5"/>
    <n v="560"/>
    <n v="52"/>
    <n v="29120"/>
    <n v="2853.76"/>
  </r>
  <r>
    <n v="1398"/>
    <d v="2018-12-08T00:00:00"/>
    <x v="137"/>
    <n v="8"/>
    <s v="CASTILLO AGUIRRE GUADALUPE VANESSA"/>
    <s v="Monterrey"/>
    <s v="Nuevo León"/>
    <x v="2"/>
    <x v="2"/>
    <d v="2018-12-10T00:00:00"/>
    <d v="2020-12-10T00:00:00"/>
    <s v="Empresa de embarque #2"/>
    <x v="0"/>
    <s v="Galletas de chocolate"/>
    <x v="2"/>
    <n v="128.79999999999998"/>
    <n v="40"/>
    <n v="5151.9999999999991"/>
    <n v="540.96000000000015"/>
  </r>
  <r>
    <n v="1399"/>
    <d v="2018-12-25T00:00:00"/>
    <x v="147"/>
    <n v="25"/>
    <s v="CCASA TICONA NELLY"/>
    <s v="León"/>
    <s v="Guanajuato"/>
    <x v="6"/>
    <x v="1"/>
    <d v="2018-12-27T00:00:00"/>
    <d v="2020-12-27T00:00:00"/>
    <s v="Empresa de embarque #1"/>
    <x v="0"/>
    <s v="Bolillos"/>
    <x v="2"/>
    <n v="140"/>
    <n v="100"/>
    <n v="14000"/>
    <n v="1372"/>
  </r>
  <r>
    <n v="1400"/>
    <d v="2018-12-26T00:00:00"/>
    <x v="148"/>
    <n v="26"/>
    <s v="CONDORI PALOMINO LUCERO"/>
    <s v="Ciudad de México"/>
    <s v="Ciudad de México"/>
    <x v="5"/>
    <x v="3"/>
    <d v="2018-12-28T00:00:00"/>
    <d v="2020-12-28T00:00:00"/>
    <s v="Empresa de embarque #3"/>
    <x v="1"/>
    <s v="Aceite de oliva"/>
    <x v="13"/>
    <n v="298.90000000000003"/>
    <n v="88"/>
    <n v="26303.200000000004"/>
    <n v="2577.7136000000005"/>
  </r>
  <r>
    <n v="1401"/>
    <d v="2018-12-26T00:00:00"/>
    <x v="148"/>
    <n v="26"/>
    <s v="ENCARNACIÓN VENTURA FELICITA"/>
    <s v="Ciudad de México"/>
    <s v="Ciudad de México"/>
    <x v="5"/>
    <x v="3"/>
    <d v="2018-12-28T00:00:00"/>
    <d v="2020-12-28T00:00:00"/>
    <s v="Empresa de embarque #3"/>
    <x v="1"/>
    <s v="Almejas"/>
    <x v="4"/>
    <n v="135.1"/>
    <n v="46"/>
    <n v="6214.5999999999995"/>
    <n v="596.60160000000008"/>
  </r>
  <r>
    <n v="1402"/>
    <d v="2018-12-26T00:00:00"/>
    <x v="148"/>
    <n v="26"/>
    <s v="FLORES DE LA MATA ANGEEL JOHAGNETH VALERIA"/>
    <s v="Ciudad de México"/>
    <s v="Ciudad de México"/>
    <x v="5"/>
    <x v="3"/>
    <d v="2018-12-28T00:00:00"/>
    <d v="2020-12-28T00:00:00"/>
    <s v="Empresa de embarque #3"/>
    <x v="1"/>
    <s v="Carne de cangrejo"/>
    <x v="8"/>
    <n v="257.59999999999997"/>
    <n v="93"/>
    <n v="23956.799999999996"/>
    <n v="2347.7664"/>
  </r>
  <r>
    <n v="1403"/>
    <d v="2018-12-29T00:00:00"/>
    <x v="138"/>
    <n v="29"/>
    <s v="HUAYLLASCO RAMOS JOHANA"/>
    <s v="Puerto Vallarta"/>
    <s v="Jalisco"/>
    <x v="3"/>
    <x v="0"/>
    <d v="2018-12-31T00:00:00"/>
    <d v="2020-12-31T00:00:00"/>
    <s v="Empresa de embarque #2"/>
    <x v="0"/>
    <s v="Cerveza"/>
    <x v="0"/>
    <n v="196"/>
    <n v="96"/>
    <n v="18816"/>
    <n v="1975.68"/>
  </r>
  <r>
    <n v="1404"/>
    <d v="2018-12-06T00:00:00"/>
    <x v="140"/>
    <n v="6"/>
    <s v="LEON BLAS ROSMERY JHUDIT"/>
    <s v="Tijuana"/>
    <s v="Baja California"/>
    <x v="4"/>
    <x v="2"/>
    <d v="2018-12-08T00:00:00"/>
    <d v="2020-12-08T00:00:00"/>
    <s v="Empresa de embarque #3"/>
    <x v="0"/>
    <s v="Chocolate"/>
    <x v="3"/>
    <n v="178.5"/>
    <n v="12"/>
    <n v="2142"/>
    <n v="224.91000000000003"/>
  </r>
  <r>
    <n v="1406"/>
    <d v="2018-12-04T00:00:00"/>
    <x v="135"/>
    <n v="4"/>
    <s v="MENDOZA ALZAMORA GABRIELA"/>
    <s v="Querétaro"/>
    <s v="Querétaro"/>
    <x v="1"/>
    <x v="1"/>
    <d v="2018-12-06T00:00:00"/>
    <d v="2020-12-06T00:00:00"/>
    <s v="Empresa de embarque #1"/>
    <x v="1"/>
    <s v="Mermelada de zarzamora"/>
    <x v="6"/>
    <n v="1134"/>
    <n v="38"/>
    <n v="43092"/>
    <n v="4093.7400000000002"/>
  </r>
  <r>
    <n v="1407"/>
    <d v="2018-12-04T00:00:00"/>
    <x v="135"/>
    <n v="4"/>
    <s v="NUNINGO NONINGO JUAN LUIS"/>
    <s v="Querétaro"/>
    <s v="Querétaro"/>
    <x v="1"/>
    <x v="1"/>
    <d v="2018-12-06T00:00:00"/>
    <d v="2020-12-06T00:00:00"/>
    <s v="Empresa de embarque #1"/>
    <x v="1"/>
    <s v="Arroz de grano largo"/>
    <x v="14"/>
    <n v="98"/>
    <n v="42"/>
    <n v="4116"/>
    <n v="407.48400000000004"/>
  </r>
  <r>
    <n v="1409"/>
    <d v="2018-12-08T00:00:00"/>
    <x v="137"/>
    <n v="8"/>
    <s v="ORIZANO CABELLO DOMINGO ALFREDO"/>
    <s v="Monterrey"/>
    <s v="Nuevo León"/>
    <x v="2"/>
    <x v="2"/>
    <d v="2018-12-10T00:00:00"/>
    <d v="2020-12-10T00:00:00"/>
    <s v="Empresa de embarque #3"/>
    <x v="1"/>
    <s v="Mozzarella"/>
    <x v="10"/>
    <n v="487.19999999999993"/>
    <n v="100"/>
    <n v="48719.999999999993"/>
    <n v="4823.28"/>
  </r>
  <r>
    <n v="1412"/>
    <d v="2018-12-03T00:00:00"/>
    <x v="139"/>
    <n v="3"/>
    <s v="PEDRAZA ORCCOAPAZA JEAN PIERE"/>
    <s v="Acapulco"/>
    <s v="Guerrero"/>
    <x v="0"/>
    <x v="0"/>
    <d v="2018-12-05T00:00:00"/>
    <d v="2020-12-05T00:00:00"/>
    <s v="Empresa de embarque #2"/>
    <x v="0"/>
    <s v="Jarabe"/>
    <x v="7"/>
    <n v="140"/>
    <n v="89"/>
    <n v="12460"/>
    <n v="1221.08"/>
  </r>
  <r>
    <n v="1413"/>
    <d v="2018-12-03T00:00:00"/>
    <x v="139"/>
    <n v="3"/>
    <s v="QUISPE QUISPE KEVIN HERMOGENES"/>
    <s v="Acapulco"/>
    <s v="Guerrero"/>
    <x v="0"/>
    <x v="0"/>
    <d v="2018-12-05T00:00:00"/>
    <d v="2020-12-05T00:00:00"/>
    <s v="Empresa de embarque #2"/>
    <x v="0"/>
    <s v="Salsa curry"/>
    <x v="5"/>
    <n v="560"/>
    <n v="12"/>
    <n v="6720"/>
    <n v="651.84"/>
  </r>
  <r>
    <n v="1417"/>
    <d v="2018-12-10T00:00:00"/>
    <x v="142"/>
    <n v="10"/>
    <s v="QUISPE VILLENA JORDI DAVID"/>
    <s v="León"/>
    <s v="Guanajuato"/>
    <x v="6"/>
    <x v="1"/>
    <d v="2018-12-12T00:00:00"/>
    <d v="2020-12-12T00:00:00"/>
    <s v="Empresa de embarque #2"/>
    <x v="1"/>
    <s v="Almendras"/>
    <x v="1"/>
    <n v="140"/>
    <n v="97"/>
    <n v="13580"/>
    <n v="1412.3200000000002"/>
  </r>
  <r>
    <n v="1419"/>
    <d v="2018-12-10T00:00:00"/>
    <x v="142"/>
    <n v="10"/>
    <s v="RAMOS BARRIENTOS FLOR MARIA"/>
    <s v="León"/>
    <s v="Guanajuato"/>
    <x v="6"/>
    <x v="1"/>
    <d v="2018-12-13T00:00:00"/>
    <d v="2020-12-13T00:00:00"/>
    <s v="Empresa de embarque #1"/>
    <x v="1"/>
    <s v="Ciruelas secas"/>
    <x v="1"/>
    <n v="49"/>
    <n v="53"/>
    <n v="2597"/>
    <n v="246.71499999999997"/>
  </r>
  <r>
    <n v="1420"/>
    <d v="2018-12-11T00:00:00"/>
    <x v="144"/>
    <n v="11"/>
    <s v="RIVERA MARCA NATALI"/>
    <s v="Ciudad de México"/>
    <s v="Ciudad de México"/>
    <x v="5"/>
    <x v="3"/>
    <d v="2018-12-14T00:00:00"/>
    <d v="2020-12-14T00:00:00"/>
    <s v="Empresa de embarque #3"/>
    <x v="1"/>
    <s v="Salsa curry"/>
    <x v="5"/>
    <n v="560"/>
    <n v="61"/>
    <n v="34160"/>
    <n v="3484.3199999999997"/>
  </r>
  <r>
    <n v="1421"/>
    <d v="2018-12-01T00:00:00"/>
    <x v="145"/>
    <n v="1"/>
    <s v="SILVA REATEGUI PATRICIA"/>
    <s v="Torreón"/>
    <s v="Coahuila"/>
    <x v="2"/>
    <x v="2"/>
    <d v="2018-12-15T00:00:00"/>
    <d v="2020-12-15T00:00:00"/>
    <s v="Empresa de embarque #3"/>
    <x v="1"/>
    <s v="Carne de cangrejo"/>
    <x v="8"/>
    <n v="257.59999999999997"/>
    <n v="45"/>
    <n v="11591.999999999998"/>
    <n v="1136.0159999999998"/>
  </r>
  <r>
    <n v="1422"/>
    <d v="2018-12-28T00:00:00"/>
    <x v="141"/>
    <n v="28"/>
    <s v="VELASQUEZ ROCA LILIANA"/>
    <s v="Toluca"/>
    <s v="Estado de México"/>
    <x v="5"/>
    <x v="3"/>
    <d v="2018-12-30T00:00:00"/>
    <d v="2020-12-30T00:00:00"/>
    <s v="Empresa de embarque #3"/>
    <x v="1"/>
    <s v="Café"/>
    <x v="0"/>
    <n v="644"/>
    <n v="43"/>
    <n v="27692"/>
    <n v="2769.2000000000003"/>
  </r>
  <r>
    <n v="1423"/>
    <d v="2018-12-09T00:00:00"/>
    <x v="146"/>
    <n v="9"/>
    <s v="BECERRA CRUZADO, Tania"/>
    <s v="Guadalajara"/>
    <s v="Jalisco"/>
    <x v="7"/>
    <x v="0"/>
    <d v="2018-12-11T00:00:00"/>
    <d v="2020-12-11T00:00:00"/>
    <s v="Empresa de embarque #1"/>
    <x v="0"/>
    <s v="Almejas"/>
    <x v="4"/>
    <n v="135.1"/>
    <n v="18"/>
    <n v="2431.7999999999997"/>
    <n v="231.02100000000002"/>
  </r>
  <r>
    <n v="1424"/>
    <d v="2018-12-06T00:00:00"/>
    <x v="140"/>
    <n v="6"/>
    <s v="MENDOZA PEREYRA, Rosa"/>
    <s v="Tijuana"/>
    <s v="Baja California"/>
    <x v="4"/>
    <x v="2"/>
    <d v="2018-12-08T00:00:00"/>
    <d v="2020-12-08T00:00:00"/>
    <s v="Empresa de embarque #2"/>
    <x v="1"/>
    <s v="Chocolate"/>
    <x v="3"/>
    <n v="178.5"/>
    <n v="41"/>
    <n v="7318.5"/>
    <n v="709.89450000000011"/>
  </r>
  <r>
    <n v="1425"/>
    <d v="2018-12-08T00:00:00"/>
    <x v="137"/>
    <n v="8"/>
    <s v="ODAR BARRIENTE, Karina"/>
    <s v="Monterrey"/>
    <s v="Nuevo León"/>
    <x v="2"/>
    <x v="2"/>
    <d v="2018-12-10T00:00:00"/>
    <d v="2020-12-10T00:00:00"/>
    <s v="Empresa de embarque #2"/>
    <x v="0"/>
    <s v="Chocolate"/>
    <x v="3"/>
    <n v="178.5"/>
    <n v="19"/>
    <n v="3391.5"/>
    <n v="335.75850000000003"/>
  </r>
  <r>
    <n v="1426"/>
    <d v="2018-12-25T00:00:00"/>
    <x v="147"/>
    <n v="25"/>
    <s v="ALVARADO TIRADO, Patricia"/>
    <s v="León"/>
    <s v="Guanajuato"/>
    <x v="6"/>
    <x v="1"/>
    <d v="2018-12-27T00:00:00"/>
    <d v="2020-12-27T00:00:00"/>
    <s v="Empresa de embarque #1"/>
    <x v="0"/>
    <s v="Condimento cajún"/>
    <x v="7"/>
    <n v="308"/>
    <n v="65"/>
    <n v="20020"/>
    <n v="1941.94"/>
  </r>
  <r>
    <n v="1427"/>
    <d v="2018-12-26T00:00:00"/>
    <x v="148"/>
    <n v="26"/>
    <s v="SHEFFER MENDOZA, Milagros"/>
    <s v="Ciudad de México"/>
    <s v="Ciudad de México"/>
    <x v="5"/>
    <x v="3"/>
    <d v="2018-12-28T00:00:00"/>
    <d v="2020-12-28T00:00:00"/>
    <s v="Empresa de embarque #3"/>
    <x v="1"/>
    <s v="Jalea de fresa"/>
    <x v="6"/>
    <n v="350"/>
    <n v="13"/>
    <n v="4550"/>
    <n v="450.44999999999993"/>
  </r>
  <r>
    <n v="1428"/>
    <d v="2018-12-29T00:00:00"/>
    <x v="138"/>
    <n v="29"/>
    <s v="CRUZ BRICEÑO, Yolanda"/>
    <s v="Puerto Vallarta"/>
    <s v="Jalisco"/>
    <x v="3"/>
    <x v="0"/>
    <d v="2018-12-31T00:00:00"/>
    <d v="2020-12-31T00:00:00"/>
    <s v="Empresa de embarque #2"/>
    <x v="0"/>
    <s v="Cóctel de frutas"/>
    <x v="12"/>
    <n v="546"/>
    <n v="54"/>
    <n v="29484"/>
    <n v="3007.3680000000004"/>
  </r>
  <r>
    <n v="1429"/>
    <d v="2018-12-06T00:00:00"/>
    <x v="140"/>
    <n v="6"/>
    <s v="HILARIO CANOVA, Corina"/>
    <s v="Tijuana"/>
    <s v="Baja California"/>
    <x v="4"/>
    <x v="2"/>
    <d v="2018-12-08T00:00:00"/>
    <d v="2020-12-08T00:00:00"/>
    <s v="Empresa de embarque #3"/>
    <x v="0"/>
    <s v="Peras secas"/>
    <x v="1"/>
    <n v="420"/>
    <n v="33"/>
    <n v="13860"/>
    <n v="1330.56"/>
  </r>
  <r>
    <n v="1430"/>
    <d v="2018-12-06T00:00:00"/>
    <x v="140"/>
    <n v="6"/>
    <s v="BEJAR PILLACA, Marlene"/>
    <s v="Tijuana"/>
    <s v="Baja California"/>
    <x v="4"/>
    <x v="2"/>
    <d v="2018-12-08T00:00:00"/>
    <d v="2020-12-08T00:00:00"/>
    <s v="Empresa de embarque #3"/>
    <x v="0"/>
    <s v="Manzanas secas"/>
    <x v="1"/>
    <n v="742"/>
    <n v="34"/>
    <n v="25228"/>
    <n v="2598.4840000000004"/>
  </r>
  <r>
    <n v="1431"/>
    <d v="2018-12-04T00:00:00"/>
    <x v="135"/>
    <n v="4"/>
    <s v="ALLCCARIMA CRISOSTOMO, Eliana"/>
    <s v="Querétaro"/>
    <s v="Querétaro"/>
    <x v="1"/>
    <x v="1"/>
    <d v="2018-12-09T00:00:00"/>
    <d v="2020-12-09T00:00:00"/>
    <s v="Empresa de embarque #3"/>
    <x v="0"/>
    <s v="Pasta penne"/>
    <x v="9"/>
    <n v="532"/>
    <n v="59"/>
    <n v="31388"/>
    <n v="3170.1880000000001"/>
  </r>
  <r>
    <n v="1432"/>
    <d v="2018-12-03T00:00:00"/>
    <x v="139"/>
    <n v="3"/>
    <s v="FLORES PEREZ, Lourdes"/>
    <s v="Acapulco"/>
    <s v="Guerrero"/>
    <x v="0"/>
    <x v="0"/>
    <d v="2018-12-10T00:00:00"/>
    <d v="2020-12-10T00:00:00"/>
    <s v="Empresa de embarque #3"/>
    <x v="0"/>
    <s v="Té verde"/>
    <x v="0"/>
    <n v="41.86"/>
    <n v="24"/>
    <n v="1004.64"/>
    <n v="99.459360000000004"/>
  </r>
  <r>
    <n v="1433"/>
    <m/>
    <x v="149"/>
    <n v="19"/>
    <s v="SARMIENTO VASQUEZ ,Pedro"/>
    <s v="Leon"/>
    <s v="Jalisco"/>
    <x v="8"/>
    <x v="0"/>
    <m/>
    <d v="1901-12-31T00:00:00"/>
    <s v="Empresa de embarque #4"/>
    <x v="0"/>
    <s v="Peras secas"/>
    <x v="15"/>
    <n v="55"/>
    <n v="40"/>
    <n v="2200"/>
    <n v="30"/>
  </r>
  <r>
    <n v="1434"/>
    <m/>
    <x v="149"/>
    <n v="4"/>
    <s v="SARMIENTO VASQUEZ ,Pedro"/>
    <s v="Leon"/>
    <s v="Jalisco"/>
    <x v="8"/>
    <x v="0"/>
    <m/>
    <d v="1901-12-31T00:00:00"/>
    <s v="Empresa de embarque #5"/>
    <x v="1"/>
    <s v="Té verde"/>
    <x v="16"/>
    <n v="85"/>
    <n v="34"/>
    <n v="2890"/>
    <n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B52AFD-C923-49CE-B9B0-A9045016C98E}" name="TD5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3">
  <location ref="A71:B74" firstHeaderRow="1" firstDataRow="1" firstDataCol="1"/>
  <pivotFields count="20">
    <pivotField showAll="0"/>
    <pivotField numFmtId="165" showAll="0"/>
    <pivotField numFmtId="165" showAll="0">
      <items count="151">
        <item x="11"/>
        <item x="5"/>
        <item x="1"/>
        <item x="6"/>
        <item x="9"/>
        <item x="3"/>
        <item x="12"/>
        <item x="8"/>
        <item x="10"/>
        <item x="2"/>
        <item x="0"/>
        <item x="7"/>
        <item x="4"/>
        <item x="19"/>
        <item x="14"/>
        <item x="24"/>
        <item x="15"/>
        <item x="13"/>
        <item x="20"/>
        <item x="17"/>
        <item x="18"/>
        <item x="21"/>
        <item x="22"/>
        <item x="16"/>
        <item x="23"/>
        <item x="32"/>
        <item x="31"/>
        <item x="26"/>
        <item x="27"/>
        <item x="25"/>
        <item x="33"/>
        <item x="34"/>
        <item x="28"/>
        <item x="29"/>
        <item x="35"/>
        <item x="30"/>
        <item x="46"/>
        <item x="40"/>
        <item x="36"/>
        <item x="41"/>
        <item x="44"/>
        <item x="38"/>
        <item x="43"/>
        <item x="45"/>
        <item x="37"/>
        <item x="42"/>
        <item x="39"/>
        <item x="55"/>
        <item x="48"/>
        <item x="59"/>
        <item x="49"/>
        <item x="53"/>
        <item x="51"/>
        <item x="56"/>
        <item x="52"/>
        <item x="54"/>
        <item x="57"/>
        <item x="58"/>
        <item x="50"/>
        <item x="47"/>
        <item x="63"/>
        <item x="72"/>
        <item x="71"/>
        <item x="66"/>
        <item x="60"/>
        <item x="67"/>
        <item x="65"/>
        <item x="61"/>
        <item x="62"/>
        <item x="68"/>
        <item x="69"/>
        <item x="64"/>
        <item x="70"/>
        <item x="73"/>
        <item x="82"/>
        <item x="81"/>
        <item x="76"/>
        <item x="77"/>
        <item x="75"/>
        <item x="83"/>
        <item x="84"/>
        <item x="78"/>
        <item x="79"/>
        <item x="74"/>
        <item x="80"/>
        <item x="90"/>
        <item x="96"/>
        <item x="92"/>
        <item x="88"/>
        <item x="86"/>
        <item x="91"/>
        <item x="87"/>
        <item x="89"/>
        <item x="93"/>
        <item x="94"/>
        <item x="85"/>
        <item x="95"/>
        <item x="99"/>
        <item x="108"/>
        <item x="107"/>
        <item x="102"/>
        <item x="103"/>
        <item x="101"/>
        <item x="97"/>
        <item x="98"/>
        <item x="104"/>
        <item x="105"/>
        <item x="100"/>
        <item x="106"/>
        <item x="115"/>
        <item x="121"/>
        <item x="120"/>
        <item x="109"/>
        <item x="113"/>
        <item x="111"/>
        <item x="116"/>
        <item x="112"/>
        <item x="114"/>
        <item x="117"/>
        <item x="118"/>
        <item x="110"/>
        <item x="119"/>
        <item x="124"/>
        <item x="133"/>
        <item x="132"/>
        <item x="127"/>
        <item x="128"/>
        <item x="126"/>
        <item x="122"/>
        <item x="123"/>
        <item x="129"/>
        <item x="130"/>
        <item x="125"/>
        <item x="131"/>
        <item x="145"/>
        <item x="139"/>
        <item x="135"/>
        <item x="140"/>
        <item x="143"/>
        <item x="137"/>
        <item x="146"/>
        <item x="142"/>
        <item x="144"/>
        <item x="136"/>
        <item x="147"/>
        <item x="148"/>
        <item x="134"/>
        <item x="141"/>
        <item x="138"/>
        <item x="149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0"/>
        <item x="2"/>
        <item x="3"/>
        <item x="1"/>
        <item t="default"/>
      </items>
    </pivotField>
    <pivotField showAll="0"/>
    <pivotField numFmtId="165" showAll="0"/>
    <pivotField showAll="0"/>
    <pivotField axis="axisRow" showAll="0">
      <items count="3">
        <item x="0"/>
        <item x="1"/>
        <item t="default"/>
      </items>
    </pivotField>
    <pivotField showAll="0"/>
    <pivotField showAll="0">
      <items count="18">
        <item x="13"/>
        <item x="0"/>
        <item x="8"/>
        <item x="7"/>
        <item x="3"/>
        <item x="1"/>
        <item x="12"/>
        <item x="15"/>
        <item x="14"/>
        <item x="16"/>
        <item x="6"/>
        <item x="9"/>
        <item x="2"/>
        <item x="10"/>
        <item x="5"/>
        <item x="4"/>
        <item x="11"/>
        <item t="default"/>
      </items>
    </pivotField>
    <pivotField numFmtId="164" showAll="0"/>
    <pivotField dataField="1" showAll="0"/>
    <pivotField numFmtId="164" showAll="0"/>
    <pivotField numFmtId="164"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Suma de Cantidad" fld="16" showDataAs="percentOfTotal" baseField="0" baseItem="0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68" name="Fecha de orden2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BC83B2-3844-40C8-873D-96F52153D03F}" name="TD4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1">
  <location ref="A57:B62" firstHeaderRow="1" firstDataRow="1" firstDataCol="1"/>
  <pivotFields count="20">
    <pivotField showAll="0"/>
    <pivotField numFmtId="165" showAll="0"/>
    <pivotField numFmtId="165" showAll="0">
      <items count="151">
        <item x="11"/>
        <item x="5"/>
        <item x="1"/>
        <item x="6"/>
        <item x="9"/>
        <item x="3"/>
        <item x="12"/>
        <item x="8"/>
        <item x="10"/>
        <item x="2"/>
        <item x="0"/>
        <item x="7"/>
        <item x="4"/>
        <item x="19"/>
        <item x="14"/>
        <item x="24"/>
        <item x="15"/>
        <item x="13"/>
        <item x="20"/>
        <item x="17"/>
        <item x="18"/>
        <item x="21"/>
        <item x="22"/>
        <item x="16"/>
        <item x="23"/>
        <item x="32"/>
        <item x="31"/>
        <item x="26"/>
        <item x="27"/>
        <item x="25"/>
        <item x="33"/>
        <item x="34"/>
        <item x="28"/>
        <item x="29"/>
        <item x="35"/>
        <item x="30"/>
        <item x="46"/>
        <item x="40"/>
        <item x="36"/>
        <item x="41"/>
        <item x="44"/>
        <item x="38"/>
        <item x="43"/>
        <item x="45"/>
        <item x="37"/>
        <item x="42"/>
        <item x="39"/>
        <item x="55"/>
        <item x="48"/>
        <item x="59"/>
        <item x="49"/>
        <item x="53"/>
        <item x="51"/>
        <item x="56"/>
        <item x="52"/>
        <item x="54"/>
        <item x="57"/>
        <item x="58"/>
        <item x="50"/>
        <item x="47"/>
        <item x="63"/>
        <item x="72"/>
        <item x="71"/>
        <item x="66"/>
        <item x="60"/>
        <item x="67"/>
        <item x="65"/>
        <item x="61"/>
        <item x="62"/>
        <item x="68"/>
        <item x="69"/>
        <item x="64"/>
        <item x="70"/>
        <item x="73"/>
        <item x="82"/>
        <item x="81"/>
        <item x="76"/>
        <item x="77"/>
        <item x="75"/>
        <item x="83"/>
        <item x="84"/>
        <item x="78"/>
        <item x="79"/>
        <item x="74"/>
        <item x="80"/>
        <item x="90"/>
        <item x="96"/>
        <item x="92"/>
        <item x="88"/>
        <item x="86"/>
        <item x="91"/>
        <item x="87"/>
        <item x="89"/>
        <item x="93"/>
        <item x="94"/>
        <item x="85"/>
        <item x="95"/>
        <item x="99"/>
        <item x="108"/>
        <item x="107"/>
        <item x="102"/>
        <item x="103"/>
        <item x="101"/>
        <item x="97"/>
        <item x="98"/>
        <item x="104"/>
        <item x="105"/>
        <item x="100"/>
        <item x="106"/>
        <item x="115"/>
        <item x="121"/>
        <item x="120"/>
        <item x="109"/>
        <item x="113"/>
        <item x="111"/>
        <item x="116"/>
        <item x="112"/>
        <item x="114"/>
        <item x="117"/>
        <item x="118"/>
        <item x="110"/>
        <item x="119"/>
        <item x="124"/>
        <item x="133"/>
        <item x="132"/>
        <item x="127"/>
        <item x="128"/>
        <item x="126"/>
        <item x="122"/>
        <item x="123"/>
        <item x="129"/>
        <item x="130"/>
        <item x="125"/>
        <item x="131"/>
        <item x="145"/>
        <item x="139"/>
        <item x="135"/>
        <item x="140"/>
        <item x="143"/>
        <item x="137"/>
        <item x="146"/>
        <item x="142"/>
        <item x="144"/>
        <item x="136"/>
        <item x="147"/>
        <item x="148"/>
        <item x="134"/>
        <item x="141"/>
        <item x="138"/>
        <item x="149"/>
        <item t="default"/>
      </items>
    </pivotField>
    <pivotField showAll="0"/>
    <pivotField showAll="0"/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numFmtId="165" showAll="0"/>
    <pivotField showAll="0"/>
    <pivotField showAll="0"/>
    <pivotField showAll="0"/>
    <pivotField showAll="0">
      <items count="18">
        <item x="13"/>
        <item x="0"/>
        <item x="8"/>
        <item x="7"/>
        <item x="3"/>
        <item x="1"/>
        <item x="12"/>
        <item x="15"/>
        <item x="14"/>
        <item x="16"/>
        <item x="6"/>
        <item x="9"/>
        <item x="2"/>
        <item x="10"/>
        <item x="5"/>
        <item x="4"/>
        <item x="11"/>
        <item t="default"/>
      </items>
    </pivotField>
    <pivotField numFmtId="164" showAll="0"/>
    <pivotField dataField="1" showAll="0"/>
    <pivotField numFmtId="164" showAll="0"/>
    <pivotField numFmtId="164"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" fld="16" showDataAs="percentOfTotal" baseField="0" baseItem="0" numFmtId="1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68" name="Fecha de orden2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5F106-8C14-4784-8B72-CEEA586A558C}" name="TD2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3">
  <location ref="A22:B28" firstHeaderRow="1" firstDataRow="1" firstDataCol="1"/>
  <pivotFields count="20">
    <pivotField showAll="0"/>
    <pivotField numFmtId="165" showAll="0"/>
    <pivotField numFmtId="165" showAll="0">
      <items count="151">
        <item x="11"/>
        <item x="5"/>
        <item x="1"/>
        <item x="6"/>
        <item x="9"/>
        <item x="3"/>
        <item x="12"/>
        <item x="8"/>
        <item x="10"/>
        <item x="2"/>
        <item x="0"/>
        <item x="7"/>
        <item x="4"/>
        <item x="19"/>
        <item x="14"/>
        <item x="24"/>
        <item x="15"/>
        <item x="13"/>
        <item x="20"/>
        <item x="17"/>
        <item x="18"/>
        <item x="21"/>
        <item x="22"/>
        <item x="16"/>
        <item x="23"/>
        <item x="32"/>
        <item x="31"/>
        <item x="26"/>
        <item x="27"/>
        <item x="25"/>
        <item x="33"/>
        <item x="34"/>
        <item x="28"/>
        <item x="29"/>
        <item x="35"/>
        <item x="30"/>
        <item x="46"/>
        <item x="40"/>
        <item x="36"/>
        <item x="41"/>
        <item x="44"/>
        <item x="38"/>
        <item x="43"/>
        <item x="45"/>
        <item x="37"/>
        <item x="42"/>
        <item x="39"/>
        <item x="55"/>
        <item x="48"/>
        <item x="59"/>
        <item x="49"/>
        <item x="53"/>
        <item x="51"/>
        <item x="56"/>
        <item x="52"/>
        <item x="54"/>
        <item x="57"/>
        <item x="58"/>
        <item x="50"/>
        <item x="47"/>
        <item x="63"/>
        <item x="72"/>
        <item x="71"/>
        <item x="66"/>
        <item x="60"/>
        <item x="67"/>
        <item x="65"/>
        <item x="61"/>
        <item x="62"/>
        <item x="68"/>
        <item x="69"/>
        <item x="64"/>
        <item x="70"/>
        <item x="73"/>
        <item x="82"/>
        <item x="81"/>
        <item x="76"/>
        <item x="77"/>
        <item x="75"/>
        <item x="83"/>
        <item x="84"/>
        <item x="78"/>
        <item x="79"/>
        <item x="74"/>
        <item x="80"/>
        <item x="90"/>
        <item x="96"/>
        <item x="92"/>
        <item x="88"/>
        <item x="86"/>
        <item x="91"/>
        <item x="87"/>
        <item x="89"/>
        <item x="93"/>
        <item x="94"/>
        <item x="85"/>
        <item x="95"/>
        <item x="99"/>
        <item x="108"/>
        <item x="107"/>
        <item x="102"/>
        <item x="103"/>
        <item x="101"/>
        <item x="97"/>
        <item x="98"/>
        <item x="104"/>
        <item x="105"/>
        <item x="100"/>
        <item x="106"/>
        <item x="115"/>
        <item x="121"/>
        <item x="120"/>
        <item x="109"/>
        <item x="113"/>
        <item x="111"/>
        <item x="116"/>
        <item x="112"/>
        <item x="114"/>
        <item x="117"/>
        <item x="118"/>
        <item x="110"/>
        <item x="119"/>
        <item x="124"/>
        <item x="133"/>
        <item x="132"/>
        <item x="127"/>
        <item x="128"/>
        <item x="126"/>
        <item x="122"/>
        <item x="123"/>
        <item x="129"/>
        <item x="130"/>
        <item x="125"/>
        <item x="131"/>
        <item x="145"/>
        <item x="139"/>
        <item x="135"/>
        <item x="140"/>
        <item x="143"/>
        <item x="137"/>
        <item x="146"/>
        <item x="142"/>
        <item x="144"/>
        <item x="136"/>
        <item x="147"/>
        <item x="148"/>
        <item x="134"/>
        <item x="141"/>
        <item x="138"/>
        <item x="149"/>
        <item t="default"/>
      </items>
    </pivotField>
    <pivotField showAll="0"/>
    <pivotField showAll="0"/>
    <pivotField showAll="0"/>
    <pivotField showAll="0"/>
    <pivotField axis="axisRow" showAll="0" measureFilter="1" sortType="descending">
      <items count="10">
        <item x="5"/>
        <item x="1"/>
        <item x="3"/>
        <item x="6"/>
        <item x="4"/>
        <item x="0"/>
        <item x="2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0"/>
        <item x="2"/>
        <item x="3"/>
        <item x="1"/>
        <item t="default"/>
      </items>
    </pivotField>
    <pivotField showAll="0"/>
    <pivotField numFmtId="165" showAll="0"/>
    <pivotField showAll="0"/>
    <pivotField showAll="0"/>
    <pivotField showAll="0"/>
    <pivotField showAll="0">
      <items count="18">
        <item x="13"/>
        <item x="0"/>
        <item x="8"/>
        <item x="7"/>
        <item x="3"/>
        <item x="1"/>
        <item x="12"/>
        <item x="15"/>
        <item x="14"/>
        <item x="16"/>
        <item x="6"/>
        <item x="9"/>
        <item x="2"/>
        <item x="10"/>
        <item x="5"/>
        <item x="4"/>
        <item x="11"/>
        <item t="default"/>
      </items>
    </pivotField>
    <pivotField numFmtId="164" showAll="0"/>
    <pivotField showAll="0"/>
    <pivotField dataField="1" numFmtId="164" showAll="0"/>
    <pivotField numFmtId="164"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7"/>
  </rowFields>
  <rowItems count="6">
    <i>
      <x v="6"/>
    </i>
    <i>
      <x/>
    </i>
    <i>
      <x v="1"/>
    </i>
    <i>
      <x v="5"/>
    </i>
    <i>
      <x v="3"/>
    </i>
    <i t="grand">
      <x/>
    </i>
  </rowItems>
  <colItems count="1">
    <i/>
  </colItems>
  <dataFields count="1">
    <dataField name="Suma de Venta Total" fld="17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dateBetween" evalOrder="-1" id="69" name="Fecha de orden2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  <filter fld="7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D29275-1D61-452F-979D-9B726E07CD92}" name="TD3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9">
  <location ref="A38:B54" firstHeaderRow="1" firstDataRow="1" firstDataCol="1"/>
  <pivotFields count="20">
    <pivotField showAll="0"/>
    <pivotField numFmtId="165" showAll="0"/>
    <pivotField numFmtId="165" showAll="0">
      <items count="151">
        <item x="11"/>
        <item x="5"/>
        <item x="1"/>
        <item x="6"/>
        <item x="9"/>
        <item x="3"/>
        <item x="12"/>
        <item x="8"/>
        <item x="10"/>
        <item x="2"/>
        <item x="0"/>
        <item x="7"/>
        <item x="4"/>
        <item x="19"/>
        <item x="14"/>
        <item x="24"/>
        <item x="15"/>
        <item x="13"/>
        <item x="20"/>
        <item x="17"/>
        <item x="18"/>
        <item x="21"/>
        <item x="22"/>
        <item x="16"/>
        <item x="23"/>
        <item x="32"/>
        <item x="31"/>
        <item x="26"/>
        <item x="27"/>
        <item x="25"/>
        <item x="33"/>
        <item x="34"/>
        <item x="28"/>
        <item x="29"/>
        <item x="35"/>
        <item x="30"/>
        <item x="46"/>
        <item x="40"/>
        <item x="36"/>
        <item x="41"/>
        <item x="44"/>
        <item x="38"/>
        <item x="43"/>
        <item x="45"/>
        <item x="37"/>
        <item x="42"/>
        <item x="39"/>
        <item x="55"/>
        <item x="48"/>
        <item x="59"/>
        <item x="49"/>
        <item x="53"/>
        <item x="51"/>
        <item x="56"/>
        <item x="52"/>
        <item x="54"/>
        <item x="57"/>
        <item x="58"/>
        <item x="50"/>
        <item x="47"/>
        <item x="63"/>
        <item x="72"/>
        <item x="71"/>
        <item x="66"/>
        <item x="60"/>
        <item x="67"/>
        <item x="65"/>
        <item x="61"/>
        <item x="62"/>
        <item x="68"/>
        <item x="69"/>
        <item x="64"/>
        <item x="70"/>
        <item x="73"/>
        <item x="82"/>
        <item x="81"/>
        <item x="76"/>
        <item x="77"/>
        <item x="75"/>
        <item x="83"/>
        <item x="84"/>
        <item x="78"/>
        <item x="79"/>
        <item x="74"/>
        <item x="80"/>
        <item x="90"/>
        <item x="96"/>
        <item x="92"/>
        <item x="88"/>
        <item x="86"/>
        <item x="91"/>
        <item x="87"/>
        <item x="89"/>
        <item x="93"/>
        <item x="94"/>
        <item x="85"/>
        <item x="95"/>
        <item x="99"/>
        <item x="108"/>
        <item x="107"/>
        <item x="102"/>
        <item x="103"/>
        <item x="101"/>
        <item x="97"/>
        <item x="98"/>
        <item x="104"/>
        <item x="105"/>
        <item x="100"/>
        <item x="106"/>
        <item x="115"/>
        <item x="121"/>
        <item x="120"/>
        <item x="109"/>
        <item x="113"/>
        <item x="111"/>
        <item x="116"/>
        <item x="112"/>
        <item x="114"/>
        <item x="117"/>
        <item x="118"/>
        <item x="110"/>
        <item x="119"/>
        <item x="124"/>
        <item x="133"/>
        <item x="132"/>
        <item x="127"/>
        <item x="128"/>
        <item x="126"/>
        <item x="122"/>
        <item x="123"/>
        <item x="129"/>
        <item x="130"/>
        <item x="125"/>
        <item x="131"/>
        <item x="145"/>
        <item x="139"/>
        <item x="135"/>
        <item x="140"/>
        <item x="143"/>
        <item x="137"/>
        <item x="146"/>
        <item x="142"/>
        <item x="144"/>
        <item x="136"/>
        <item x="147"/>
        <item x="148"/>
        <item x="134"/>
        <item x="141"/>
        <item x="138"/>
        <item x="149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0"/>
        <item x="2"/>
        <item x="3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 sortType="descending">
      <items count="18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  <pivotField numFmtId="164"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4"/>
  </rowFields>
  <rowItems count="16">
    <i>
      <x v="1"/>
    </i>
    <i>
      <x v="12"/>
    </i>
    <i>
      <x v="8"/>
    </i>
    <i>
      <x v="11"/>
    </i>
    <i>
      <x v="5"/>
    </i>
    <i>
      <x v="2"/>
    </i>
    <i>
      <x v="3"/>
    </i>
    <i>
      <x v="9"/>
    </i>
    <i>
      <x v="10"/>
    </i>
    <i>
      <x v="4"/>
    </i>
    <i>
      <x v="13"/>
    </i>
    <i>
      <x/>
    </i>
    <i>
      <x v="6"/>
    </i>
    <i>
      <x v="14"/>
    </i>
    <i>
      <x v="7"/>
    </i>
    <i t="grand">
      <x/>
    </i>
  </rowItems>
  <colItems count="1">
    <i/>
  </colItems>
  <dataFields count="1">
    <dataField name="Suma de Venta Total" fld="17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68" name="Fecha de orden2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06E2A-CB64-40C8-A27F-B1647FA17F15}" name="TD6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A83:A84" firstHeaderRow="1" firstDataRow="1" firstDataCol="0"/>
  <pivotFields count="20">
    <pivotField showAll="0"/>
    <pivotField numFmtId="165" showAll="0"/>
    <pivotField numFmtId="165" showAll="0">
      <items count="151">
        <item x="11"/>
        <item x="5"/>
        <item x="1"/>
        <item x="6"/>
        <item x="9"/>
        <item x="3"/>
        <item x="12"/>
        <item x="8"/>
        <item x="10"/>
        <item x="2"/>
        <item x="0"/>
        <item x="7"/>
        <item x="4"/>
        <item x="19"/>
        <item x="14"/>
        <item x="24"/>
        <item x="15"/>
        <item x="13"/>
        <item x="20"/>
        <item x="17"/>
        <item x="18"/>
        <item x="21"/>
        <item x="22"/>
        <item x="16"/>
        <item x="23"/>
        <item x="32"/>
        <item x="31"/>
        <item x="26"/>
        <item x="27"/>
        <item x="25"/>
        <item x="33"/>
        <item x="34"/>
        <item x="28"/>
        <item x="29"/>
        <item x="35"/>
        <item x="30"/>
        <item x="46"/>
        <item x="40"/>
        <item x="36"/>
        <item x="41"/>
        <item x="44"/>
        <item x="38"/>
        <item x="43"/>
        <item x="45"/>
        <item x="37"/>
        <item x="42"/>
        <item x="39"/>
        <item x="55"/>
        <item x="48"/>
        <item x="59"/>
        <item x="49"/>
        <item x="53"/>
        <item x="51"/>
        <item x="56"/>
        <item x="52"/>
        <item x="54"/>
        <item x="57"/>
        <item x="58"/>
        <item x="50"/>
        <item x="47"/>
        <item x="63"/>
        <item x="72"/>
        <item x="71"/>
        <item x="66"/>
        <item x="60"/>
        <item x="67"/>
        <item x="65"/>
        <item x="61"/>
        <item x="62"/>
        <item x="68"/>
        <item x="69"/>
        <item x="64"/>
        <item x="70"/>
        <item x="73"/>
        <item x="82"/>
        <item x="81"/>
        <item x="76"/>
        <item x="77"/>
        <item x="75"/>
        <item x="83"/>
        <item x="84"/>
        <item x="78"/>
        <item x="79"/>
        <item x="74"/>
        <item x="80"/>
        <item x="90"/>
        <item x="96"/>
        <item x="92"/>
        <item x="88"/>
        <item x="86"/>
        <item x="91"/>
        <item x="87"/>
        <item x="89"/>
        <item x="93"/>
        <item x="94"/>
        <item x="85"/>
        <item x="95"/>
        <item x="99"/>
        <item x="108"/>
        <item x="107"/>
        <item x="102"/>
        <item x="103"/>
        <item x="101"/>
        <item x="97"/>
        <item x="98"/>
        <item x="104"/>
        <item x="105"/>
        <item x="100"/>
        <item x="106"/>
        <item x="115"/>
        <item x="121"/>
        <item x="120"/>
        <item x="109"/>
        <item x="113"/>
        <item x="111"/>
        <item x="116"/>
        <item x="112"/>
        <item x="114"/>
        <item x="117"/>
        <item x="118"/>
        <item x="110"/>
        <item x="119"/>
        <item x="124"/>
        <item x="133"/>
        <item x="132"/>
        <item x="127"/>
        <item x="128"/>
        <item x="126"/>
        <item x="122"/>
        <item x="123"/>
        <item x="129"/>
        <item x="130"/>
        <item x="125"/>
        <item x="131"/>
        <item x="145"/>
        <item x="139"/>
        <item x="135"/>
        <item x="140"/>
        <item x="143"/>
        <item x="137"/>
        <item x="146"/>
        <item x="142"/>
        <item x="144"/>
        <item x="136"/>
        <item x="147"/>
        <item x="148"/>
        <item x="134"/>
        <item x="141"/>
        <item x="138"/>
        <item x="149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0"/>
        <item x="2"/>
        <item x="3"/>
        <item x="1"/>
        <item t="default"/>
      </items>
    </pivotField>
    <pivotField showAll="0"/>
    <pivotField numFmtId="165" showAll="0"/>
    <pivotField showAll="0"/>
    <pivotField showAll="0"/>
    <pivotField showAll="0"/>
    <pivotField showAll="0">
      <items count="18">
        <item x="13"/>
        <item x="0"/>
        <item x="8"/>
        <item x="7"/>
        <item x="3"/>
        <item x="1"/>
        <item x="12"/>
        <item x="15"/>
        <item x="14"/>
        <item x="16"/>
        <item x="6"/>
        <item x="9"/>
        <item x="2"/>
        <item x="10"/>
        <item x="5"/>
        <item x="4"/>
        <item x="11"/>
        <item t="default"/>
      </items>
    </pivotField>
    <pivotField numFmtId="164" showAll="0"/>
    <pivotField showAll="0"/>
    <pivotField dataField="1" numFmtId="164" showAll="0"/>
    <pivotField numFmtId="164"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Items count="1">
    <i/>
  </rowItems>
  <colItems count="1">
    <i/>
  </colItems>
  <dataFields count="1">
    <dataField name="Suma de Venta Total" fld="17" baseField="0" baseItem="0" numFmtId="164"/>
  </dataFields>
  <pivotTableStyleInfo name="PivotStyleLight16" showRowHeaders="1" showColHeaders="1" showRowStripes="0" showColStripes="0" showLastColumn="1"/>
  <filters count="1">
    <filter fld="2" type="dateBetween" evalOrder="-1" id="68" name="Fecha de orden2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64C71-BA02-4EBA-B32C-369B81A1994E}" name="TD1" cacheId="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4">
  <location ref="A4:B17" firstHeaderRow="1" firstDataRow="1" firstDataCol="1"/>
  <pivotFields count="20">
    <pivotField showAll="0"/>
    <pivotField numFmtId="165" showAll="0"/>
    <pivotField numFmtId="165" showAll="0">
      <items count="151">
        <item x="11"/>
        <item x="5"/>
        <item x="1"/>
        <item x="6"/>
        <item x="9"/>
        <item x="3"/>
        <item x="12"/>
        <item x="8"/>
        <item x="10"/>
        <item x="2"/>
        <item x="0"/>
        <item x="7"/>
        <item x="4"/>
        <item x="19"/>
        <item x="14"/>
        <item x="24"/>
        <item x="15"/>
        <item x="13"/>
        <item x="20"/>
        <item x="17"/>
        <item x="18"/>
        <item x="21"/>
        <item x="22"/>
        <item x="16"/>
        <item x="23"/>
        <item x="32"/>
        <item x="31"/>
        <item x="26"/>
        <item x="27"/>
        <item x="25"/>
        <item x="33"/>
        <item x="34"/>
        <item x="28"/>
        <item x="29"/>
        <item x="35"/>
        <item x="30"/>
        <item x="46"/>
        <item x="40"/>
        <item x="36"/>
        <item x="41"/>
        <item x="44"/>
        <item x="38"/>
        <item x="43"/>
        <item x="45"/>
        <item x="37"/>
        <item x="42"/>
        <item x="39"/>
        <item x="55"/>
        <item x="48"/>
        <item x="59"/>
        <item x="49"/>
        <item x="53"/>
        <item x="51"/>
        <item x="56"/>
        <item x="52"/>
        <item x="54"/>
        <item x="57"/>
        <item x="58"/>
        <item x="50"/>
        <item x="47"/>
        <item x="63"/>
        <item x="72"/>
        <item x="71"/>
        <item x="66"/>
        <item x="60"/>
        <item x="67"/>
        <item x="65"/>
        <item x="61"/>
        <item x="62"/>
        <item x="68"/>
        <item x="69"/>
        <item x="64"/>
        <item x="70"/>
        <item x="73"/>
        <item x="82"/>
        <item x="81"/>
        <item x="76"/>
        <item x="77"/>
        <item x="75"/>
        <item x="83"/>
        <item x="84"/>
        <item x="78"/>
        <item x="79"/>
        <item x="74"/>
        <item x="80"/>
        <item x="90"/>
        <item x="96"/>
        <item x="92"/>
        <item x="88"/>
        <item x="86"/>
        <item x="91"/>
        <item x="87"/>
        <item x="89"/>
        <item x="93"/>
        <item x="94"/>
        <item x="85"/>
        <item x="95"/>
        <item x="99"/>
        <item x="108"/>
        <item x="107"/>
        <item x="102"/>
        <item x="103"/>
        <item x="101"/>
        <item x="97"/>
        <item x="98"/>
        <item x="104"/>
        <item x="105"/>
        <item x="100"/>
        <item x="106"/>
        <item x="115"/>
        <item x="121"/>
        <item x="120"/>
        <item x="109"/>
        <item x="113"/>
        <item x="111"/>
        <item x="116"/>
        <item x="112"/>
        <item x="114"/>
        <item x="117"/>
        <item x="118"/>
        <item x="110"/>
        <item x="119"/>
        <item x="124"/>
        <item x="133"/>
        <item x="132"/>
        <item x="127"/>
        <item x="128"/>
        <item x="126"/>
        <item x="122"/>
        <item x="123"/>
        <item x="129"/>
        <item x="130"/>
        <item x="125"/>
        <item x="131"/>
        <item x="145"/>
        <item x="139"/>
        <item x="135"/>
        <item x="140"/>
        <item x="143"/>
        <item x="137"/>
        <item x="146"/>
        <item x="142"/>
        <item x="144"/>
        <item x="136"/>
        <item x="147"/>
        <item x="148"/>
        <item x="134"/>
        <item x="141"/>
        <item x="138"/>
        <item x="149"/>
        <item t="default"/>
      </items>
    </pivotField>
    <pivotField showAll="0"/>
    <pivotField showAll="0"/>
    <pivotField showAll="0"/>
    <pivotField showAll="0"/>
    <pivotField showAll="0"/>
    <pivotField showAll="0">
      <items count="5">
        <item x="0"/>
        <item x="2"/>
        <item x="3"/>
        <item x="1"/>
        <item t="default"/>
      </items>
    </pivotField>
    <pivotField showAll="0"/>
    <pivotField numFmtId="165" showAll="0"/>
    <pivotField showAll="0"/>
    <pivotField showAll="0"/>
    <pivotField showAll="0"/>
    <pivotField showAll="0">
      <items count="18">
        <item x="13"/>
        <item x="0"/>
        <item x="8"/>
        <item x="7"/>
        <item x="3"/>
        <item x="1"/>
        <item x="12"/>
        <item x="15"/>
        <item x="14"/>
        <item x="16"/>
        <item x="6"/>
        <item x="9"/>
        <item x="2"/>
        <item x="10"/>
        <item x="5"/>
        <item x="4"/>
        <item x="11"/>
        <item t="default"/>
      </items>
    </pivotField>
    <pivotField numFmtId="164" showAll="0"/>
    <pivotField showAll="0"/>
    <pivotField dataField="1" numFmtId="164" showAll="0"/>
    <pivotField numFmtId="164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Venta Total" fld="17" baseField="0" baseItem="0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68" name="Fecha de orden2">
      <autoFilter ref="A1">
        <filterColumn colId="0">
          <customFilters and="1">
            <customFilter operator="greaterThanOrEqual" val="43831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on" xr10:uid="{70614F8D-0EA6-4D8B-B1C6-F84BBE99E90D}" sourceName="Region">
  <pivotTables>
    <pivotTable tabId="3" name="TD1"/>
    <pivotTable tabId="3" name="TD2"/>
    <pivotTable tabId="3" name="TD3"/>
    <pivotTable tabId="3" name="TD4"/>
    <pivotTable tabId="3" name="TD5"/>
    <pivotTable tabId="3" name="TD6"/>
  </pivotTables>
  <data>
    <tabular pivotCacheId="1311095351">
      <items count="4">
        <i x="0" s="1"/>
        <i x="2" s="1"/>
        <i x="3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DCB1559E-6D3B-48B1-BD15-BDA172DE96BA}" sourceName="Categoría">
  <pivotTables>
    <pivotTable tabId="3" name="TD1"/>
    <pivotTable tabId="3" name="TD2"/>
    <pivotTable tabId="3" name="TD3"/>
    <pivotTable tabId="3" name="TD4"/>
    <pivotTable tabId="3" name="TD5"/>
    <pivotTable tabId="3" name="TD6"/>
  </pivotTables>
  <data>
    <tabular pivotCacheId="1311095351">
      <items count="17">
        <i x="13" s="1"/>
        <i x="0" s="1"/>
        <i x="8" s="1"/>
        <i x="7" s="1"/>
        <i x="3" s="1"/>
        <i x="1" s="1"/>
        <i x="12" s="1"/>
        <i x="14" s="1"/>
        <i x="6" s="1"/>
        <i x="9" s="1"/>
        <i x="2" s="1"/>
        <i x="10" s="1"/>
        <i x="5" s="1"/>
        <i x="4" s="1"/>
        <i x="11" s="1"/>
        <i x="15" s="1" nd="1"/>
        <i x="16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3B2207CD-4507-4D62-8B2C-FA93D04720F1}" cache="SegmentaciónDeDatos_Region" caption="Region" columnCount="2" rowHeight="220133"/>
  <slicer name="Categoría" xr10:uid="{4D858EE7-83E0-4478-85BE-9B8774744893}" cache="SegmentaciónDeDatos_Categoría" caption="Categoría" columnCount="4" rowHeight="22013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509C98-C662-4E8D-BD73-B2CE35B7E383}" name="VENTAS" displayName="VENTAS" ref="B6:T377" totalsRowShown="0" headerRowDxfId="23" dataDxfId="21" headerRowBorderDxfId="22" tableBorderDxfId="20" totalsRowBorderDxfId="19">
  <autoFilter ref="B6:T377" xr:uid="{B8509C98-C662-4E8D-BD73-B2CE35B7E383}"/>
  <tableColumns count="19">
    <tableColumn id="1" xr3:uid="{B80CDB18-FD51-4117-A801-40FDC0A3C7FE}" name="Folio" dataDxfId="18"/>
    <tableColumn id="2" xr3:uid="{EDC476C6-E178-47F5-AEBB-90ED736A0096}" name="Fecha de orden" dataDxfId="17"/>
    <tableColumn id="3" xr3:uid="{F024392F-356F-43C8-AB1B-23DA062D40B8}" name="Fecha de orden2" dataDxfId="16">
      <calculatedColumnFormula>EDATE(C7,24)</calculatedColumnFormula>
    </tableColumn>
    <tableColumn id="4" xr3:uid="{47EA0907-9178-442C-88AB-6F733145FDAC}" name="Num. cliente" dataDxfId="15"/>
    <tableColumn id="5" xr3:uid="{698ADBFC-C2EA-4DEA-B941-9BF6B459B617}" name="Nombre cliente" dataDxfId="14"/>
    <tableColumn id="6" xr3:uid="{CAC1B8F5-25C8-4638-B994-004B3E43A1F4}" name="Ciudad" dataDxfId="13"/>
    <tableColumn id="7" xr3:uid="{8A2DCC4A-CD93-408E-B8D9-EA598CA8EEF0}" name="Estado" dataDxfId="12"/>
    <tableColumn id="8" xr3:uid="{3E7A1736-7251-4AB7-9F22-D4FDB9D22EA5}" name="Vendedor" dataDxfId="11"/>
    <tableColumn id="9" xr3:uid="{01F8ECC5-3D6C-410A-A034-D8201C73E2AC}" name="Region" dataDxfId="10"/>
    <tableColumn id="10" xr3:uid="{56A93C89-A1F1-4C0C-8AEF-31FE96B4D384}" name="Fecha de embarque" dataDxfId="9"/>
    <tableColumn id="11" xr3:uid="{1F6F013F-141A-4A80-85DE-783E83F7CC35}" name="Fecha de embarque3" dataDxfId="8">
      <calculatedColumnFormula>EDATE(K7,24)</calculatedColumnFormula>
    </tableColumn>
    <tableColumn id="12" xr3:uid="{79601ABE-54F9-4BD2-B2E0-C7230BB65C64}" name="Empresa fletera" dataDxfId="7"/>
    <tableColumn id="13" xr3:uid="{32172194-1FCF-4E3E-8474-08E3BA43B71C}" name="Forma de pago" dataDxfId="6"/>
    <tableColumn id="14" xr3:uid="{8C089583-857A-43A7-81D6-929F4102B331}" name="Nombre del producto" dataDxfId="5"/>
    <tableColumn id="15" xr3:uid="{E62E721D-2591-4DC3-830A-1F1CDBC07987}" name="Categoría" dataDxfId="4"/>
    <tableColumn id="16" xr3:uid="{4C4A467A-F4B7-4383-A522-049B3FD8D85F}" name="Precio unitario" dataDxfId="3" dataCellStyle="Moneda"/>
    <tableColumn id="17" xr3:uid="{E2EB0CC0-D9DF-40BE-AEE5-F60DC83F5931}" name="Cantidad" dataDxfId="2"/>
    <tableColumn id="19" xr3:uid="{565AAFC1-399C-46B5-98B6-1A3E3531ED6D}" name="Venta Total" dataDxfId="1">
      <calculatedColumnFormula>VENTAS[[#This Row],[Precio unitario]]*VENTAS[[#This Row],[Cantidad]]</calculatedColumnFormula>
    </tableColumn>
    <tableColumn id="18" xr3:uid="{919429DC-FF9F-4471-90F5-AE7AB8043A57}" name="Tarifa de envío" dataDxfId="0" dataCellStyle="Moneda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de_orden2" xr10:uid="{22C90FCF-6409-4EE1-8C3C-BB4D7FF33BBB}" sourceName="Fecha de orden2">
  <pivotTables>
    <pivotTable tabId="3" name="TD5"/>
    <pivotTable tabId="3" name="TD1"/>
    <pivotTable tabId="3" name="TD2"/>
    <pivotTable tabId="3" name="TD3"/>
    <pivotTable tabId="3" name="TD4"/>
    <pivotTable tabId="3" name="TD6"/>
  </pivotTables>
  <state minimalRefreshVersion="6" lastRefreshVersion="6" pivotCacheId="1311095351" filterType="dateBetween">
    <selection startDate="2020-01-01T00:00:00" endDate="2020-12-31T00:00:00"/>
    <bounds startDate="1901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de orden2" xr10:uid="{945E4A22-1933-4479-B067-612952E3E94C}" cache="NativeTimeline_Fecha_de_orden2" caption="Fecha de orden2" showHeader="0" level="2" selectionLevel="0" scrollPosition="2020-04-30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image" Target="../media/image1.jpeg"/><Relationship Id="rId1" Type="http://schemas.openxmlformats.org/officeDocument/2006/relationships/drawing" Target="../drawings/drawing4.xml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B9BE9-2948-4F7E-A66C-403FF862B818}">
  <sheetPr codeName="Hoja1">
    <tabColor theme="1"/>
  </sheetPr>
  <dimension ref="A1:O61"/>
  <sheetViews>
    <sheetView showGridLines="0" zoomScale="70" zoomScaleNormal="70" workbookViewId="0">
      <selection activeCell="G15" sqref="G15:I15"/>
    </sheetView>
  </sheetViews>
  <sheetFormatPr baseColWidth="10" defaultColWidth="0" defaultRowHeight="14.5" zeroHeight="1"/>
  <cols>
    <col min="1" max="5" width="11.54296875" customWidth="1"/>
    <col min="6" max="6" width="0.90625" customWidth="1"/>
    <col min="7" max="9" width="11.54296875" customWidth="1"/>
    <col min="10" max="10" width="0.90625" customWidth="1"/>
    <col min="11" max="15" width="11.54296875" customWidth="1"/>
    <col min="16" max="16384" width="11.54296875" hidden="1"/>
  </cols>
  <sheetData>
    <row r="1" spans="1:1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ht="3" customHeight="1">
      <c r="A11" s="3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3"/>
    </row>
    <row r="12" spans="1:1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ht="50" customHeight="1">
      <c r="A13" s="3"/>
      <c r="B13" s="3"/>
      <c r="C13" s="67" t="s">
        <v>128</v>
      </c>
      <c r="D13" s="67"/>
      <c r="E13" s="67"/>
      <c r="F13" s="4"/>
      <c r="G13" s="67" t="s">
        <v>126</v>
      </c>
      <c r="H13" s="67"/>
      <c r="I13" s="67"/>
      <c r="J13" s="4"/>
      <c r="K13" s="67" t="s">
        <v>127</v>
      </c>
      <c r="L13" s="67"/>
      <c r="M13" s="67"/>
      <c r="N13" s="3"/>
      <c r="O13" s="3"/>
    </row>
    <row r="14" spans="1:15" ht="5" customHeight="1">
      <c r="A14" s="3"/>
      <c r="B14" s="3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3"/>
      <c r="O14" s="3"/>
    </row>
    <row r="15" spans="1:15" ht="50" customHeight="1">
      <c r="A15" s="3"/>
      <c r="B15" s="3"/>
      <c r="C15" s="68" t="s">
        <v>135</v>
      </c>
      <c r="D15" s="68"/>
      <c r="E15" s="68"/>
      <c r="F15" s="4"/>
      <c r="G15" s="69"/>
      <c r="H15" s="69"/>
      <c r="I15" s="69"/>
      <c r="J15" s="4"/>
      <c r="K15" s="69"/>
      <c r="L15" s="69"/>
      <c r="M15" s="69"/>
      <c r="N15" s="3"/>
      <c r="O15" s="3"/>
    </row>
    <row r="16" spans="1:15" ht="16.5">
      <c r="A16" s="3"/>
      <c r="B16" s="3"/>
      <c r="C16" s="6"/>
      <c r="D16" s="6"/>
      <c r="E16" s="6"/>
      <c r="F16" s="5"/>
      <c r="G16" s="6"/>
      <c r="H16" s="6"/>
      <c r="I16" s="6"/>
      <c r="J16" s="5"/>
      <c r="K16" s="6"/>
      <c r="L16" s="6"/>
      <c r="M16" s="6"/>
      <c r="N16" s="3"/>
      <c r="O16" s="3"/>
    </row>
    <row r="17" spans="1:15" ht="3" customHeight="1">
      <c r="A17" s="3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3"/>
    </row>
    <row r="18" spans="1:1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8" spans="1:15" hidden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</row>
    <row r="29" spans="1:15" hidden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</row>
    <row r="30" spans="1:15" hidden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</row>
    <row r="31" spans="1:15" hidden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pans="1:15" hidden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</row>
    <row r="33" spans="1:15" hidden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</row>
    <row r="34" spans="1:15" hidden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</row>
    <row r="56"/>
    <row r="57"/>
    <row r="58"/>
    <row r="59"/>
    <row r="60"/>
    <row r="61"/>
  </sheetData>
  <mergeCells count="6">
    <mergeCell ref="C13:E13"/>
    <mergeCell ref="G13:I13"/>
    <mergeCell ref="K13:M13"/>
    <mergeCell ref="C15:E15"/>
    <mergeCell ref="G15:I15"/>
    <mergeCell ref="K15:M15"/>
  </mergeCells>
  <hyperlinks>
    <hyperlink ref="C13:E13" location="Requerimientos!A1" display="Requerimientos" xr:uid="{D9675160-898E-4768-8ACB-F19444AA2779}"/>
    <hyperlink ref="G13:I13" location="'Base de Datos'!A1" display="Base de Datos" xr:uid="{E9750062-5492-4812-8A1F-ADABDCCA1734}"/>
    <hyperlink ref="K13:M13" location="'Tablas Dinámicas'!A1" display="Tablas Dinámicas" xr:uid="{7D8650CB-5C35-49F4-ABAF-BE9C99997D99}"/>
    <hyperlink ref="C15:E15" location="Dashboard!A1" display="Dashboard" xr:uid="{85FDAB82-7A77-4356-970F-296887E80DD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AC0F6-C30F-41EF-8E95-2318CA9A8BD4}">
  <sheetPr codeName="Hoja4">
    <tabColor theme="1"/>
  </sheetPr>
  <dimension ref="A1:H1048576"/>
  <sheetViews>
    <sheetView showGridLines="0" showRowColHeaders="0" zoomScale="70" zoomScaleNormal="70" workbookViewId="0">
      <selection activeCell="C14" sqref="C14:F14"/>
    </sheetView>
  </sheetViews>
  <sheetFormatPr baseColWidth="10" defaultColWidth="0" defaultRowHeight="14.5" zeroHeight="1"/>
  <cols>
    <col min="1" max="1" width="4.90625" customWidth="1"/>
    <col min="2" max="8" width="11.54296875" customWidth="1"/>
    <col min="9" max="16384" width="11.54296875" hidden="1"/>
  </cols>
  <sheetData>
    <row r="1" spans="3:7"/>
    <row r="2" spans="3:7"/>
    <row r="3" spans="3:7"/>
    <row r="4" spans="3:7"/>
    <row r="5" spans="3:7"/>
    <row r="6" spans="3:7"/>
    <row r="7" spans="3:7"/>
    <row r="8" spans="3:7" ht="15.5">
      <c r="C8" s="28" t="s">
        <v>129</v>
      </c>
      <c r="D8" s="29"/>
      <c r="E8" s="29"/>
      <c r="F8" s="29"/>
    </row>
    <row r="9" spans="3:7">
      <c r="C9" s="70" t="s">
        <v>144</v>
      </c>
      <c r="D9" s="70"/>
      <c r="E9" s="70"/>
      <c r="F9" s="70"/>
    </row>
    <row r="10" spans="3:7">
      <c r="C10" s="70" t="s">
        <v>145</v>
      </c>
      <c r="D10" s="70"/>
      <c r="E10" s="70"/>
      <c r="F10" s="70"/>
    </row>
    <row r="11" spans="3:7">
      <c r="C11" s="30" t="s">
        <v>146</v>
      </c>
      <c r="D11" s="30"/>
      <c r="E11" s="30"/>
      <c r="F11" s="30"/>
      <c r="G11" s="8"/>
    </row>
    <row r="12" spans="3:7">
      <c r="C12" s="70" t="s">
        <v>147</v>
      </c>
      <c r="D12" s="70"/>
      <c r="E12" s="70"/>
      <c r="F12" s="70"/>
    </row>
    <row r="13" spans="3:7">
      <c r="C13" s="30" t="s">
        <v>149</v>
      </c>
      <c r="D13" s="30"/>
      <c r="E13" s="30"/>
      <c r="F13" s="30"/>
      <c r="G13" s="8"/>
    </row>
    <row r="14" spans="3:7">
      <c r="C14" s="70" t="s">
        <v>148</v>
      </c>
      <c r="D14" s="70"/>
      <c r="E14" s="70"/>
      <c r="F14" s="70"/>
    </row>
    <row r="15" spans="3:7"/>
    <row r="16" spans="3:7" ht="15.5">
      <c r="C16" s="7" t="s">
        <v>130</v>
      </c>
    </row>
    <row r="17" spans="3:3">
      <c r="C17" t="s">
        <v>150</v>
      </c>
    </row>
    <row r="18" spans="3:3">
      <c r="C18" t="s">
        <v>151</v>
      </c>
    </row>
    <row r="19" spans="3:3"/>
    <row r="20" spans="3:3"/>
    <row r="21" spans="3:3" ht="15.5">
      <c r="C21" s="7" t="s">
        <v>131</v>
      </c>
    </row>
    <row r="22" spans="3:3">
      <c r="C22" t="s">
        <v>132</v>
      </c>
    </row>
    <row r="23" spans="3:3"/>
    <row r="24" spans="3:3"/>
    <row r="1048576" ht="28.75" hidden="1" customHeight="1"/>
  </sheetData>
  <mergeCells count="4">
    <mergeCell ref="C14:F14"/>
    <mergeCell ref="C9:F9"/>
    <mergeCell ref="C10:F10"/>
    <mergeCell ref="C12:F1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8DFF-0408-4AEA-BE80-DA3D971AE846}">
  <sheetPr codeName="Hoja2">
    <tabColor theme="1"/>
  </sheetPr>
  <dimension ref="B1:T383"/>
  <sheetViews>
    <sheetView showGridLines="0" topLeftCell="A364" zoomScale="70" zoomScaleNormal="70" workbookViewId="0">
      <selection activeCell="D383" sqref="D383"/>
    </sheetView>
  </sheetViews>
  <sheetFormatPr baseColWidth="10" defaultColWidth="10.90625" defaultRowHeight="14.5"/>
  <cols>
    <col min="1" max="1" width="4.453125" customWidth="1"/>
    <col min="3" max="3" width="6.453125" hidden="1" customWidth="1"/>
    <col min="4" max="4" width="17.36328125" customWidth="1"/>
    <col min="5" max="5" width="14.36328125" customWidth="1"/>
    <col min="6" max="6" width="35.6328125" bestFit="1" customWidth="1"/>
    <col min="7" max="8" width="16.90625" bestFit="1" customWidth="1"/>
    <col min="9" max="9" width="23.08984375" bestFit="1" customWidth="1"/>
    <col min="10" max="10" width="16" customWidth="1"/>
    <col min="11" max="11" width="11.54296875" hidden="1" customWidth="1"/>
    <col min="12" max="12" width="20.453125" customWidth="1"/>
    <col min="13" max="13" width="22.90625" bestFit="1" customWidth="1"/>
    <col min="14" max="14" width="21.90625" style="2" bestFit="1" customWidth="1"/>
    <col min="15" max="15" width="21" customWidth="1"/>
    <col min="16" max="16" width="21.08984375" bestFit="1" customWidth="1"/>
    <col min="17" max="17" width="19.08984375" bestFit="1" customWidth="1"/>
    <col min="18" max="18" width="15.90625" bestFit="1" customWidth="1"/>
    <col min="19" max="19" width="15.90625" customWidth="1"/>
    <col min="20" max="20" width="15.36328125" customWidth="1"/>
    <col min="21" max="21" width="15.90625" bestFit="1" customWidth="1"/>
    <col min="24" max="24" width="22.54296875" bestFit="1" customWidth="1"/>
  </cols>
  <sheetData>
    <row r="1" spans="2:20" s="11" customFormat="1" ht="26.4" customHeight="1">
      <c r="B1" s="10"/>
      <c r="D1" s="12"/>
      <c r="E1" s="12"/>
      <c r="F1" s="12"/>
      <c r="G1" s="71" t="s">
        <v>133</v>
      </c>
      <c r="H1" s="71"/>
      <c r="I1" s="71"/>
      <c r="J1" s="71"/>
      <c r="K1" s="71"/>
      <c r="L1" s="71"/>
    </row>
    <row r="2" spans="2:20" ht="18.5">
      <c r="B2" s="1"/>
    </row>
    <row r="3" spans="2:20" ht="18.5">
      <c r="B3" s="1"/>
    </row>
    <row r="4" spans="2:20" ht="36">
      <c r="G4" s="24"/>
      <c r="H4" s="24"/>
      <c r="I4" s="24"/>
    </row>
    <row r="6" spans="2:20" ht="31.75" customHeight="1">
      <c r="B6" s="35" t="s">
        <v>0</v>
      </c>
      <c r="C6" s="36" t="s">
        <v>1</v>
      </c>
      <c r="D6" s="36" t="s">
        <v>136</v>
      </c>
      <c r="E6" s="36" t="s">
        <v>2</v>
      </c>
      <c r="F6" s="37" t="s">
        <v>3</v>
      </c>
      <c r="G6" s="37" t="s">
        <v>4</v>
      </c>
      <c r="H6" s="37" t="s">
        <v>5</v>
      </c>
      <c r="I6" s="37" t="s">
        <v>6</v>
      </c>
      <c r="J6" s="37" t="s">
        <v>7</v>
      </c>
      <c r="K6" s="38" t="s">
        <v>8</v>
      </c>
      <c r="L6" s="39" t="s">
        <v>137</v>
      </c>
      <c r="M6" s="37" t="s">
        <v>9</v>
      </c>
      <c r="N6" s="37" t="s">
        <v>10</v>
      </c>
      <c r="O6" s="37" t="s">
        <v>11</v>
      </c>
      <c r="P6" s="37" t="s">
        <v>12</v>
      </c>
      <c r="Q6" s="37" t="s">
        <v>13</v>
      </c>
      <c r="R6" s="37" t="s">
        <v>14</v>
      </c>
      <c r="S6" s="40" t="s">
        <v>152</v>
      </c>
      <c r="T6" s="40" t="s">
        <v>15</v>
      </c>
    </row>
    <row r="7" spans="2:20" ht="18.5">
      <c r="B7" s="31">
        <v>1001</v>
      </c>
      <c r="C7" s="13">
        <v>43127</v>
      </c>
      <c r="D7" s="13">
        <f t="shared" ref="D7:D70" si="0">EDATE(C7,24)</f>
        <v>43857</v>
      </c>
      <c r="E7" s="14">
        <v>27</v>
      </c>
      <c r="F7" s="15" t="s">
        <v>85</v>
      </c>
      <c r="G7" s="16" t="s">
        <v>16</v>
      </c>
      <c r="H7" s="16" t="s">
        <v>17</v>
      </c>
      <c r="I7" s="16" t="s">
        <v>18</v>
      </c>
      <c r="J7" s="16" t="s">
        <v>142</v>
      </c>
      <c r="K7" s="13">
        <v>43129</v>
      </c>
      <c r="L7" s="13">
        <f t="shared" ref="L7:L70" si="1">EDATE(K7,24)</f>
        <v>43859</v>
      </c>
      <c r="M7" s="16" t="s">
        <v>139</v>
      </c>
      <c r="N7" s="16" t="s">
        <v>43</v>
      </c>
      <c r="O7" s="16" t="s">
        <v>19</v>
      </c>
      <c r="P7" s="16" t="s">
        <v>20</v>
      </c>
      <c r="Q7" s="17">
        <v>196</v>
      </c>
      <c r="R7" s="16">
        <v>49</v>
      </c>
      <c r="S7" s="41">
        <f>VENTAS[[#This Row],[Precio unitario]]*VENTAS[[#This Row],[Cantidad]]</f>
        <v>9604</v>
      </c>
      <c r="T7" s="33">
        <v>931.58799999999997</v>
      </c>
    </row>
    <row r="8" spans="2:20">
      <c r="B8" s="31">
        <v>1002</v>
      </c>
      <c r="C8" s="13">
        <v>43127</v>
      </c>
      <c r="D8" s="13">
        <f t="shared" si="0"/>
        <v>43857</v>
      </c>
      <c r="E8" s="14">
        <v>27</v>
      </c>
      <c r="F8" s="15" t="s">
        <v>86</v>
      </c>
      <c r="G8" s="16" t="s">
        <v>16</v>
      </c>
      <c r="H8" s="16" t="s">
        <v>17</v>
      </c>
      <c r="I8" s="16" t="s">
        <v>18</v>
      </c>
      <c r="J8" s="16" t="s">
        <v>142</v>
      </c>
      <c r="K8" s="13">
        <v>43129</v>
      </c>
      <c r="L8" s="13">
        <f t="shared" si="1"/>
        <v>43859</v>
      </c>
      <c r="M8" s="16" t="s">
        <v>139</v>
      </c>
      <c r="N8" s="16" t="s">
        <v>43</v>
      </c>
      <c r="O8" s="16" t="s">
        <v>21</v>
      </c>
      <c r="P8" s="16" t="s">
        <v>22</v>
      </c>
      <c r="Q8" s="17">
        <v>49</v>
      </c>
      <c r="R8" s="16">
        <v>47</v>
      </c>
      <c r="S8" s="42">
        <f>VENTAS[[#This Row],[Precio unitario]]*VENTAS[[#This Row],[Cantidad]]</f>
        <v>2303</v>
      </c>
      <c r="T8" s="33">
        <v>232.60300000000001</v>
      </c>
    </row>
    <row r="9" spans="2:20">
      <c r="B9" s="31">
        <v>1003</v>
      </c>
      <c r="C9" s="13">
        <v>43104</v>
      </c>
      <c r="D9" s="13">
        <f t="shared" si="0"/>
        <v>43834</v>
      </c>
      <c r="E9" s="14">
        <v>4</v>
      </c>
      <c r="F9" s="15" t="s">
        <v>87</v>
      </c>
      <c r="G9" s="16" t="s">
        <v>23</v>
      </c>
      <c r="H9" s="16" t="s">
        <v>23</v>
      </c>
      <c r="I9" s="16" t="s">
        <v>24</v>
      </c>
      <c r="J9" s="16" t="s">
        <v>141</v>
      </c>
      <c r="K9" s="13">
        <v>43106</v>
      </c>
      <c r="L9" s="13">
        <f t="shared" si="1"/>
        <v>43836</v>
      </c>
      <c r="M9" s="16" t="s">
        <v>138</v>
      </c>
      <c r="N9" s="16" t="s">
        <v>25</v>
      </c>
      <c r="O9" s="16" t="s">
        <v>26</v>
      </c>
      <c r="P9" s="16" t="s">
        <v>22</v>
      </c>
      <c r="Q9" s="17">
        <v>420</v>
      </c>
      <c r="R9" s="16">
        <v>69</v>
      </c>
      <c r="S9" s="42">
        <f>VENTAS[[#This Row],[Precio unitario]]*VENTAS[[#This Row],[Cantidad]]</f>
        <v>28980</v>
      </c>
      <c r="T9" s="33">
        <v>2782.08</v>
      </c>
    </row>
    <row r="10" spans="2:20">
      <c r="B10" s="31">
        <v>1004</v>
      </c>
      <c r="C10" s="13">
        <v>43104</v>
      </c>
      <c r="D10" s="13">
        <f t="shared" si="0"/>
        <v>43834</v>
      </c>
      <c r="E10" s="14">
        <v>4</v>
      </c>
      <c r="F10" s="15" t="s">
        <v>88</v>
      </c>
      <c r="G10" s="16" t="s">
        <v>23</v>
      </c>
      <c r="H10" s="16" t="s">
        <v>23</v>
      </c>
      <c r="I10" s="16" t="s">
        <v>24</v>
      </c>
      <c r="J10" s="16" t="s">
        <v>141</v>
      </c>
      <c r="K10" s="13">
        <v>43106</v>
      </c>
      <c r="L10" s="13">
        <f t="shared" si="1"/>
        <v>43836</v>
      </c>
      <c r="M10" s="16" t="s">
        <v>138</v>
      </c>
      <c r="N10" s="16" t="s">
        <v>25</v>
      </c>
      <c r="O10" s="16" t="s">
        <v>27</v>
      </c>
      <c r="P10" s="16" t="s">
        <v>22</v>
      </c>
      <c r="Q10" s="17">
        <v>742</v>
      </c>
      <c r="R10" s="16">
        <v>89</v>
      </c>
      <c r="S10" s="42">
        <f>VENTAS[[#This Row],[Precio unitario]]*VENTAS[[#This Row],[Cantidad]]</f>
        <v>66038</v>
      </c>
      <c r="T10" s="33">
        <v>6273.6100000000006</v>
      </c>
    </row>
    <row r="11" spans="2:20">
      <c r="B11" s="31">
        <v>1005</v>
      </c>
      <c r="C11" s="13">
        <v>43104</v>
      </c>
      <c r="D11" s="13">
        <f t="shared" si="0"/>
        <v>43834</v>
      </c>
      <c r="E11" s="14">
        <v>4</v>
      </c>
      <c r="F11" s="15" t="s">
        <v>89</v>
      </c>
      <c r="G11" s="16" t="s">
        <v>23</v>
      </c>
      <c r="H11" s="16" t="s">
        <v>23</v>
      </c>
      <c r="I11" s="16" t="s">
        <v>24</v>
      </c>
      <c r="J11" s="16" t="s">
        <v>141</v>
      </c>
      <c r="K11" s="13">
        <v>43106</v>
      </c>
      <c r="L11" s="13">
        <f t="shared" si="1"/>
        <v>43836</v>
      </c>
      <c r="M11" s="16" t="s">
        <v>138</v>
      </c>
      <c r="N11" s="16" t="s">
        <v>25</v>
      </c>
      <c r="O11" s="16" t="s">
        <v>21</v>
      </c>
      <c r="P11" s="16" t="s">
        <v>22</v>
      </c>
      <c r="Q11" s="17">
        <v>49</v>
      </c>
      <c r="R11" s="16">
        <v>11</v>
      </c>
      <c r="S11" s="42">
        <f>VENTAS[[#This Row],[Precio unitario]]*VENTAS[[#This Row],[Cantidad]]</f>
        <v>539</v>
      </c>
      <c r="T11" s="33">
        <v>52.283000000000001</v>
      </c>
    </row>
    <row r="12" spans="2:20">
      <c r="B12" s="31">
        <v>1006</v>
      </c>
      <c r="C12" s="13">
        <v>43112</v>
      </c>
      <c r="D12" s="13">
        <f t="shared" si="0"/>
        <v>43842</v>
      </c>
      <c r="E12" s="14">
        <v>12</v>
      </c>
      <c r="F12" s="15" t="s">
        <v>90</v>
      </c>
      <c r="G12" s="16" t="s">
        <v>16</v>
      </c>
      <c r="H12" s="16" t="s">
        <v>17</v>
      </c>
      <c r="I12" s="16" t="s">
        <v>18</v>
      </c>
      <c r="J12" s="16" t="s">
        <v>142</v>
      </c>
      <c r="K12" s="13">
        <v>43114</v>
      </c>
      <c r="L12" s="13">
        <f t="shared" si="1"/>
        <v>43844</v>
      </c>
      <c r="M12" s="16" t="s">
        <v>139</v>
      </c>
      <c r="N12" s="16" t="s">
        <v>25</v>
      </c>
      <c r="O12" s="16" t="s">
        <v>28</v>
      </c>
      <c r="P12" s="16" t="s">
        <v>20</v>
      </c>
      <c r="Q12" s="17">
        <v>252</v>
      </c>
      <c r="R12" s="16">
        <v>81</v>
      </c>
      <c r="S12" s="42">
        <f>VENTAS[[#This Row],[Precio unitario]]*VENTAS[[#This Row],[Cantidad]]</f>
        <v>20412</v>
      </c>
      <c r="T12" s="33">
        <v>1979.9640000000002</v>
      </c>
    </row>
    <row r="13" spans="2:20">
      <c r="B13" s="31">
        <v>1007</v>
      </c>
      <c r="C13" s="13">
        <v>43112</v>
      </c>
      <c r="D13" s="13">
        <f t="shared" si="0"/>
        <v>43842</v>
      </c>
      <c r="E13" s="14">
        <v>12</v>
      </c>
      <c r="F13" s="15" t="s">
        <v>91</v>
      </c>
      <c r="G13" s="16" t="s">
        <v>16</v>
      </c>
      <c r="H13" s="16" t="s">
        <v>17</v>
      </c>
      <c r="I13" s="16" t="s">
        <v>18</v>
      </c>
      <c r="J13" s="16" t="s">
        <v>142</v>
      </c>
      <c r="K13" s="13">
        <v>43114</v>
      </c>
      <c r="L13" s="13">
        <f t="shared" si="1"/>
        <v>43844</v>
      </c>
      <c r="M13" s="16" t="s">
        <v>139</v>
      </c>
      <c r="N13" s="16" t="s">
        <v>25</v>
      </c>
      <c r="O13" s="16" t="s">
        <v>29</v>
      </c>
      <c r="P13" s="16" t="s">
        <v>20</v>
      </c>
      <c r="Q13" s="17">
        <v>644</v>
      </c>
      <c r="R13" s="16">
        <v>44</v>
      </c>
      <c r="S13" s="42">
        <f>VENTAS[[#This Row],[Precio unitario]]*VENTAS[[#This Row],[Cantidad]]</f>
        <v>28336</v>
      </c>
      <c r="T13" s="33">
        <v>2776.9279999999999</v>
      </c>
    </row>
    <row r="14" spans="2:20">
      <c r="B14" s="31">
        <v>1008</v>
      </c>
      <c r="C14" s="13">
        <v>43108</v>
      </c>
      <c r="D14" s="13">
        <f t="shared" si="0"/>
        <v>43838</v>
      </c>
      <c r="E14" s="14">
        <v>8</v>
      </c>
      <c r="F14" s="15" t="s">
        <v>92</v>
      </c>
      <c r="G14" s="16" t="s">
        <v>30</v>
      </c>
      <c r="H14" s="16" t="s">
        <v>31</v>
      </c>
      <c r="I14" s="16" t="s">
        <v>32</v>
      </c>
      <c r="J14" s="16" t="s">
        <v>33</v>
      </c>
      <c r="K14" s="13">
        <v>43110</v>
      </c>
      <c r="L14" s="13">
        <f t="shared" si="1"/>
        <v>43840</v>
      </c>
      <c r="M14" s="16" t="s">
        <v>140</v>
      </c>
      <c r="N14" s="16" t="s">
        <v>25</v>
      </c>
      <c r="O14" s="16" t="s">
        <v>34</v>
      </c>
      <c r="P14" s="16" t="s">
        <v>35</v>
      </c>
      <c r="Q14" s="17">
        <v>128.79999999999998</v>
      </c>
      <c r="R14" s="16">
        <v>38</v>
      </c>
      <c r="S14" s="42">
        <f>VENTAS[[#This Row],[Precio unitario]]*VENTAS[[#This Row],[Cantidad]]</f>
        <v>4894.3999999999996</v>
      </c>
      <c r="T14" s="33">
        <v>504.1232</v>
      </c>
    </row>
    <row r="15" spans="2:20">
      <c r="B15" s="31">
        <v>1009</v>
      </c>
      <c r="C15" s="13">
        <v>43104</v>
      </c>
      <c r="D15" s="13">
        <f t="shared" si="0"/>
        <v>43834</v>
      </c>
      <c r="E15" s="14">
        <v>4</v>
      </c>
      <c r="F15" s="15" t="s">
        <v>93</v>
      </c>
      <c r="G15" s="16" t="s">
        <v>23</v>
      </c>
      <c r="H15" s="16" t="s">
        <v>23</v>
      </c>
      <c r="I15" s="16" t="s">
        <v>24</v>
      </c>
      <c r="J15" s="16" t="s">
        <v>141</v>
      </c>
      <c r="K15" s="13">
        <v>43106</v>
      </c>
      <c r="L15" s="13">
        <f t="shared" si="1"/>
        <v>43836</v>
      </c>
      <c r="M15" s="16" t="s">
        <v>140</v>
      </c>
      <c r="N15" s="16" t="s">
        <v>43</v>
      </c>
      <c r="O15" s="16" t="s">
        <v>34</v>
      </c>
      <c r="P15" s="16" t="s">
        <v>35</v>
      </c>
      <c r="Q15" s="17">
        <v>128.79999999999998</v>
      </c>
      <c r="R15" s="16">
        <v>88</v>
      </c>
      <c r="S15" s="42">
        <f>VENTAS[[#This Row],[Precio unitario]]*VENTAS[[#This Row],[Cantidad]]</f>
        <v>11334.399999999998</v>
      </c>
      <c r="T15" s="33">
        <v>1110.7711999999999</v>
      </c>
    </row>
    <row r="16" spans="2:20">
      <c r="B16" s="31">
        <v>1010</v>
      </c>
      <c r="C16" s="13">
        <v>43129</v>
      </c>
      <c r="D16" s="13">
        <f t="shared" si="0"/>
        <v>43859</v>
      </c>
      <c r="E16" s="14">
        <v>29</v>
      </c>
      <c r="F16" s="15" t="s">
        <v>94</v>
      </c>
      <c r="G16" s="16" t="s">
        <v>36</v>
      </c>
      <c r="H16" s="16" t="s">
        <v>37</v>
      </c>
      <c r="I16" s="16" t="s">
        <v>38</v>
      </c>
      <c r="J16" s="16" t="s">
        <v>142</v>
      </c>
      <c r="K16" s="13">
        <v>43131</v>
      </c>
      <c r="L16" s="13">
        <f t="shared" si="1"/>
        <v>43861</v>
      </c>
      <c r="M16" s="16" t="s">
        <v>139</v>
      </c>
      <c r="N16" s="16" t="s">
        <v>43</v>
      </c>
      <c r="O16" s="16" t="s">
        <v>39</v>
      </c>
      <c r="P16" s="16" t="s">
        <v>40</v>
      </c>
      <c r="Q16" s="17">
        <v>178.5</v>
      </c>
      <c r="R16" s="16">
        <v>94</v>
      </c>
      <c r="S16" s="42">
        <f>VENTAS[[#This Row],[Precio unitario]]*VENTAS[[#This Row],[Cantidad]]</f>
        <v>16779</v>
      </c>
      <c r="T16" s="33">
        <v>1711.4580000000001</v>
      </c>
    </row>
    <row r="17" spans="2:20">
      <c r="B17" s="31">
        <v>1011</v>
      </c>
      <c r="C17" s="13">
        <v>43103</v>
      </c>
      <c r="D17" s="13">
        <f t="shared" si="0"/>
        <v>43833</v>
      </c>
      <c r="E17" s="14">
        <v>3</v>
      </c>
      <c r="F17" s="15" t="s">
        <v>95</v>
      </c>
      <c r="G17" s="16" t="s">
        <v>41</v>
      </c>
      <c r="H17" s="16" t="s">
        <v>42</v>
      </c>
      <c r="I17" s="16" t="s">
        <v>18</v>
      </c>
      <c r="J17" s="16" t="s">
        <v>142</v>
      </c>
      <c r="K17" s="13">
        <v>43105</v>
      </c>
      <c r="L17" s="13">
        <f t="shared" si="1"/>
        <v>43835</v>
      </c>
      <c r="M17" s="16" t="s">
        <v>139</v>
      </c>
      <c r="N17" s="16" t="s">
        <v>43</v>
      </c>
      <c r="O17" s="16" t="s">
        <v>44</v>
      </c>
      <c r="P17" s="16" t="s">
        <v>45</v>
      </c>
      <c r="Q17" s="17">
        <v>135.1</v>
      </c>
      <c r="R17" s="16">
        <v>91</v>
      </c>
      <c r="S17" s="42">
        <f>VENTAS[[#This Row],[Precio unitario]]*VENTAS[[#This Row],[Cantidad]]</f>
        <v>12294.1</v>
      </c>
      <c r="T17" s="33">
        <v>1290.8805</v>
      </c>
    </row>
    <row r="18" spans="2:20">
      <c r="B18" s="31">
        <v>1012</v>
      </c>
      <c r="C18" s="13">
        <v>43106</v>
      </c>
      <c r="D18" s="13">
        <f t="shared" si="0"/>
        <v>43836</v>
      </c>
      <c r="E18" s="14">
        <v>6</v>
      </c>
      <c r="F18" s="15" t="s">
        <v>96</v>
      </c>
      <c r="G18" s="16" t="s">
        <v>46</v>
      </c>
      <c r="H18" s="16" t="s">
        <v>47</v>
      </c>
      <c r="I18" s="16" t="s">
        <v>48</v>
      </c>
      <c r="J18" s="16" t="s">
        <v>33</v>
      </c>
      <c r="K18" s="13">
        <v>43108</v>
      </c>
      <c r="L18" s="13">
        <f t="shared" si="1"/>
        <v>43838</v>
      </c>
      <c r="M18" s="16" t="s">
        <v>139</v>
      </c>
      <c r="N18" s="16" t="s">
        <v>25</v>
      </c>
      <c r="O18" s="16" t="s">
        <v>49</v>
      </c>
      <c r="P18" s="16" t="s">
        <v>50</v>
      </c>
      <c r="Q18" s="17">
        <v>560</v>
      </c>
      <c r="R18" s="16">
        <v>32</v>
      </c>
      <c r="S18" s="42">
        <f>VENTAS[[#This Row],[Precio unitario]]*VENTAS[[#This Row],[Cantidad]]</f>
        <v>17920</v>
      </c>
      <c r="T18" s="33">
        <v>1863.68</v>
      </c>
    </row>
    <row r="19" spans="2:20">
      <c r="B19" s="31">
        <v>1013</v>
      </c>
      <c r="C19" s="13">
        <v>43128</v>
      </c>
      <c r="D19" s="13">
        <f t="shared" si="0"/>
        <v>43858</v>
      </c>
      <c r="E19" s="14">
        <v>28</v>
      </c>
      <c r="F19" s="15" t="s">
        <v>97</v>
      </c>
      <c r="G19" s="16" t="s">
        <v>51</v>
      </c>
      <c r="H19" s="16" t="s">
        <v>52</v>
      </c>
      <c r="I19" s="16" t="s">
        <v>53</v>
      </c>
      <c r="J19" s="16" t="s">
        <v>143</v>
      </c>
      <c r="K19" s="13">
        <v>43130</v>
      </c>
      <c r="L19" s="13">
        <f t="shared" si="1"/>
        <v>43860</v>
      </c>
      <c r="M19" s="16" t="s">
        <v>140</v>
      </c>
      <c r="N19" s="16" t="s">
        <v>43</v>
      </c>
      <c r="O19" s="16" t="s">
        <v>29</v>
      </c>
      <c r="P19" s="16" t="s">
        <v>20</v>
      </c>
      <c r="Q19" s="17">
        <v>644</v>
      </c>
      <c r="R19" s="16">
        <v>55</v>
      </c>
      <c r="S19" s="42">
        <f>VENTAS[[#This Row],[Precio unitario]]*VENTAS[[#This Row],[Cantidad]]</f>
        <v>35420</v>
      </c>
      <c r="T19" s="33">
        <v>3542</v>
      </c>
    </row>
    <row r="20" spans="2:20">
      <c r="B20" s="31">
        <v>1014</v>
      </c>
      <c r="C20" s="13">
        <v>43108</v>
      </c>
      <c r="D20" s="13">
        <f t="shared" si="0"/>
        <v>43838</v>
      </c>
      <c r="E20" s="14">
        <v>8</v>
      </c>
      <c r="F20" s="15" t="s">
        <v>98</v>
      </c>
      <c r="G20" s="16" t="s">
        <v>30</v>
      </c>
      <c r="H20" s="16" t="s">
        <v>31</v>
      </c>
      <c r="I20" s="16" t="s">
        <v>32</v>
      </c>
      <c r="J20" s="16" t="s">
        <v>33</v>
      </c>
      <c r="K20" s="13">
        <v>43110</v>
      </c>
      <c r="L20" s="13">
        <f t="shared" si="1"/>
        <v>43840</v>
      </c>
      <c r="M20" s="16" t="s">
        <v>140</v>
      </c>
      <c r="N20" s="16" t="s">
        <v>43</v>
      </c>
      <c r="O20" s="16" t="s">
        <v>39</v>
      </c>
      <c r="P20" s="16" t="s">
        <v>40</v>
      </c>
      <c r="Q20" s="17">
        <v>178.5</v>
      </c>
      <c r="R20" s="16">
        <v>47</v>
      </c>
      <c r="S20" s="42">
        <f>VENTAS[[#This Row],[Precio unitario]]*VENTAS[[#This Row],[Cantidad]]</f>
        <v>8389.5</v>
      </c>
      <c r="T20" s="33">
        <v>864.11850000000004</v>
      </c>
    </row>
    <row r="21" spans="2:20">
      <c r="B21" s="31">
        <v>1015</v>
      </c>
      <c r="C21" s="13">
        <v>43110</v>
      </c>
      <c r="D21" s="13">
        <f t="shared" si="0"/>
        <v>43840</v>
      </c>
      <c r="E21" s="14">
        <v>10</v>
      </c>
      <c r="F21" s="15" t="s">
        <v>99</v>
      </c>
      <c r="G21" s="16" t="s">
        <v>54</v>
      </c>
      <c r="H21" s="16" t="s">
        <v>55</v>
      </c>
      <c r="I21" s="16" t="s">
        <v>56</v>
      </c>
      <c r="J21" s="16" t="s">
        <v>141</v>
      </c>
      <c r="K21" s="13">
        <v>43112</v>
      </c>
      <c r="L21" s="13">
        <f t="shared" si="1"/>
        <v>43842</v>
      </c>
      <c r="M21" s="16" t="s">
        <v>139</v>
      </c>
      <c r="N21" s="16" t="s">
        <v>25</v>
      </c>
      <c r="O21" s="16" t="s">
        <v>57</v>
      </c>
      <c r="P21" s="16" t="s">
        <v>20</v>
      </c>
      <c r="Q21" s="17">
        <v>41.86</v>
      </c>
      <c r="R21" s="16">
        <v>90</v>
      </c>
      <c r="S21" s="42">
        <f>VENTAS[[#This Row],[Precio unitario]]*VENTAS[[#This Row],[Cantidad]]</f>
        <v>3767.4</v>
      </c>
      <c r="T21" s="33">
        <v>388.04220000000009</v>
      </c>
    </row>
    <row r="22" spans="2:20">
      <c r="B22" s="31">
        <v>1016</v>
      </c>
      <c r="C22" s="13">
        <v>43107</v>
      </c>
      <c r="D22" s="13">
        <f t="shared" si="0"/>
        <v>43837</v>
      </c>
      <c r="E22" s="14">
        <v>7</v>
      </c>
      <c r="F22" s="15" t="s">
        <v>100</v>
      </c>
      <c r="G22" s="16" t="s">
        <v>58</v>
      </c>
      <c r="H22" s="16" t="s">
        <v>58</v>
      </c>
      <c r="I22" s="16" t="s">
        <v>32</v>
      </c>
      <c r="J22" s="16" t="s">
        <v>33</v>
      </c>
      <c r="K22" s="13">
        <v>43113</v>
      </c>
      <c r="L22" s="13">
        <f t="shared" si="1"/>
        <v>43843</v>
      </c>
      <c r="M22" s="16" t="s">
        <v>139</v>
      </c>
      <c r="N22" s="16" t="s">
        <v>25</v>
      </c>
      <c r="O22" s="16" t="s">
        <v>29</v>
      </c>
      <c r="P22" s="16" t="s">
        <v>20</v>
      </c>
      <c r="Q22" s="17">
        <v>644</v>
      </c>
      <c r="R22" s="16">
        <v>24</v>
      </c>
      <c r="S22" s="42">
        <f>VENTAS[[#This Row],[Precio unitario]]*VENTAS[[#This Row],[Cantidad]]</f>
        <v>15456</v>
      </c>
      <c r="T22" s="33">
        <v>1545.6000000000001</v>
      </c>
    </row>
    <row r="23" spans="2:20">
      <c r="B23" s="31">
        <v>1017</v>
      </c>
      <c r="C23" s="13">
        <v>43110</v>
      </c>
      <c r="D23" s="13">
        <f t="shared" si="0"/>
        <v>43840</v>
      </c>
      <c r="E23" s="14">
        <v>10</v>
      </c>
      <c r="F23" s="15" t="s">
        <v>101</v>
      </c>
      <c r="G23" s="16" t="s">
        <v>54</v>
      </c>
      <c r="H23" s="16" t="s">
        <v>55</v>
      </c>
      <c r="I23" s="16" t="s">
        <v>56</v>
      </c>
      <c r="J23" s="16" t="s">
        <v>141</v>
      </c>
      <c r="K23" s="13">
        <v>43112</v>
      </c>
      <c r="L23" s="13">
        <f t="shared" si="1"/>
        <v>43842</v>
      </c>
      <c r="M23" s="16" t="s">
        <v>138</v>
      </c>
      <c r="N23" s="16" t="s">
        <v>43</v>
      </c>
      <c r="O23" s="16" t="s">
        <v>59</v>
      </c>
      <c r="P23" s="16" t="s">
        <v>60</v>
      </c>
      <c r="Q23" s="17">
        <v>350</v>
      </c>
      <c r="R23" s="16">
        <v>34</v>
      </c>
      <c r="S23" s="42">
        <f>VENTAS[[#This Row],[Precio unitario]]*VENTAS[[#This Row],[Cantidad]]</f>
        <v>11900</v>
      </c>
      <c r="T23" s="33">
        <v>1130.5</v>
      </c>
    </row>
    <row r="24" spans="2:20">
      <c r="B24" s="31">
        <v>1018</v>
      </c>
      <c r="C24" s="13">
        <v>43110</v>
      </c>
      <c r="D24" s="13">
        <f t="shared" si="0"/>
        <v>43840</v>
      </c>
      <c r="E24" s="14">
        <v>10</v>
      </c>
      <c r="F24" s="15" t="s">
        <v>102</v>
      </c>
      <c r="G24" s="16" t="s">
        <v>54</v>
      </c>
      <c r="H24" s="16" t="s">
        <v>55</v>
      </c>
      <c r="I24" s="16" t="s">
        <v>56</v>
      </c>
      <c r="J24" s="16" t="s">
        <v>141</v>
      </c>
      <c r="K24" s="13">
        <v>43112</v>
      </c>
      <c r="L24" s="13">
        <f t="shared" si="1"/>
        <v>43842</v>
      </c>
      <c r="M24" s="16" t="s">
        <v>138</v>
      </c>
      <c r="N24" s="16" t="s">
        <v>43</v>
      </c>
      <c r="O24" s="16" t="s">
        <v>61</v>
      </c>
      <c r="P24" s="16" t="s">
        <v>62</v>
      </c>
      <c r="Q24" s="17">
        <v>308</v>
      </c>
      <c r="R24" s="16">
        <v>17</v>
      </c>
      <c r="S24" s="42">
        <f>VENTAS[[#This Row],[Precio unitario]]*VENTAS[[#This Row],[Cantidad]]</f>
        <v>5236</v>
      </c>
      <c r="T24" s="33">
        <v>502.65599999999995</v>
      </c>
    </row>
    <row r="25" spans="2:20">
      <c r="B25" s="31">
        <v>1019</v>
      </c>
      <c r="C25" s="13">
        <v>43110</v>
      </c>
      <c r="D25" s="13">
        <f t="shared" si="0"/>
        <v>43840</v>
      </c>
      <c r="E25" s="14">
        <v>10</v>
      </c>
      <c r="F25" s="15" t="s">
        <v>103</v>
      </c>
      <c r="G25" s="16" t="s">
        <v>54</v>
      </c>
      <c r="H25" s="16" t="s">
        <v>55</v>
      </c>
      <c r="I25" s="16" t="s">
        <v>56</v>
      </c>
      <c r="J25" s="16" t="s">
        <v>141</v>
      </c>
      <c r="K25" s="13">
        <v>43112</v>
      </c>
      <c r="L25" s="13">
        <f t="shared" si="1"/>
        <v>43842</v>
      </c>
      <c r="M25" s="16" t="s">
        <v>138</v>
      </c>
      <c r="N25" s="16" t="s">
        <v>43</v>
      </c>
      <c r="O25" s="16" t="s">
        <v>34</v>
      </c>
      <c r="P25" s="16" t="s">
        <v>35</v>
      </c>
      <c r="Q25" s="17">
        <v>128.79999999999998</v>
      </c>
      <c r="R25" s="16">
        <v>44</v>
      </c>
      <c r="S25" s="42">
        <f>VENTAS[[#This Row],[Precio unitario]]*VENTAS[[#This Row],[Cantidad]]</f>
        <v>5667.1999999999989</v>
      </c>
      <c r="T25" s="33">
        <v>589.38879999999995</v>
      </c>
    </row>
    <row r="26" spans="2:20">
      <c r="B26" s="31">
        <v>1020</v>
      </c>
      <c r="C26" s="13">
        <v>43111</v>
      </c>
      <c r="D26" s="13">
        <f t="shared" si="0"/>
        <v>43841</v>
      </c>
      <c r="E26" s="14">
        <v>11</v>
      </c>
      <c r="F26" s="15" t="s">
        <v>104</v>
      </c>
      <c r="G26" s="16" t="s">
        <v>63</v>
      </c>
      <c r="H26" s="16" t="s">
        <v>63</v>
      </c>
      <c r="I26" s="16" t="s">
        <v>53</v>
      </c>
      <c r="J26" s="16" t="s">
        <v>143</v>
      </c>
      <c r="K26" s="13">
        <v>43113</v>
      </c>
      <c r="L26" s="13">
        <f t="shared" si="1"/>
        <v>43843</v>
      </c>
      <c r="M26" s="16" t="s">
        <v>140</v>
      </c>
      <c r="N26" s="16" t="s">
        <v>43</v>
      </c>
      <c r="O26" s="16" t="s">
        <v>21</v>
      </c>
      <c r="P26" s="16" t="s">
        <v>22</v>
      </c>
      <c r="Q26" s="17">
        <v>49</v>
      </c>
      <c r="R26" s="16">
        <v>81</v>
      </c>
      <c r="S26" s="42">
        <f>VENTAS[[#This Row],[Precio unitario]]*VENTAS[[#This Row],[Cantidad]]</f>
        <v>3969</v>
      </c>
      <c r="T26" s="33">
        <v>384.99299999999999</v>
      </c>
    </row>
    <row r="27" spans="2:20">
      <c r="B27" s="31">
        <v>1021</v>
      </c>
      <c r="C27" s="13">
        <v>43111</v>
      </c>
      <c r="D27" s="13">
        <f t="shared" si="0"/>
        <v>43841</v>
      </c>
      <c r="E27" s="14">
        <v>11</v>
      </c>
      <c r="F27" s="15" t="s">
        <v>105</v>
      </c>
      <c r="G27" s="16" t="s">
        <v>63</v>
      </c>
      <c r="H27" s="16" t="s">
        <v>63</v>
      </c>
      <c r="I27" s="16" t="s">
        <v>53</v>
      </c>
      <c r="J27" s="16" t="s">
        <v>143</v>
      </c>
      <c r="K27" s="13">
        <v>43114</v>
      </c>
      <c r="L27" s="13">
        <f t="shared" si="1"/>
        <v>43844</v>
      </c>
      <c r="M27" s="16" t="s">
        <v>140</v>
      </c>
      <c r="N27" s="16" t="s">
        <v>43</v>
      </c>
      <c r="O27" s="16" t="s">
        <v>57</v>
      </c>
      <c r="P27" s="16" t="s">
        <v>20</v>
      </c>
      <c r="Q27" s="17">
        <v>41.86</v>
      </c>
      <c r="R27" s="16">
        <v>49</v>
      </c>
      <c r="S27" s="42">
        <f>VENTAS[[#This Row],[Precio unitario]]*VENTAS[[#This Row],[Cantidad]]</f>
        <v>2051.14</v>
      </c>
      <c r="T27" s="33">
        <v>211.26742000000007</v>
      </c>
    </row>
    <row r="28" spans="2:20">
      <c r="B28" s="31">
        <v>1022</v>
      </c>
      <c r="C28" s="13">
        <v>43101</v>
      </c>
      <c r="D28" s="13">
        <f t="shared" si="0"/>
        <v>43831</v>
      </c>
      <c r="E28" s="14">
        <v>1</v>
      </c>
      <c r="F28" s="15" t="s">
        <v>106</v>
      </c>
      <c r="G28" s="16" t="s">
        <v>64</v>
      </c>
      <c r="H28" s="16" t="s">
        <v>65</v>
      </c>
      <c r="I28" s="16" t="s">
        <v>32</v>
      </c>
      <c r="J28" s="16" t="s">
        <v>33</v>
      </c>
      <c r="K28" s="13">
        <v>43115</v>
      </c>
      <c r="L28" s="13">
        <f t="shared" si="1"/>
        <v>43845</v>
      </c>
      <c r="M28" s="16" t="s">
        <v>140</v>
      </c>
      <c r="N28" s="16" t="s">
        <v>25</v>
      </c>
      <c r="O28" s="16" t="s">
        <v>28</v>
      </c>
      <c r="P28" s="16" t="s">
        <v>20</v>
      </c>
      <c r="Q28" s="17">
        <v>252</v>
      </c>
      <c r="R28" s="16">
        <v>42</v>
      </c>
      <c r="S28" s="42">
        <f>VENTAS[[#This Row],[Precio unitario]]*VENTAS[[#This Row],[Cantidad]]</f>
        <v>10584</v>
      </c>
      <c r="T28" s="33">
        <v>1058.4000000000001</v>
      </c>
    </row>
    <row r="29" spans="2:20">
      <c r="B29" s="31">
        <v>1023</v>
      </c>
      <c r="C29" s="13">
        <v>43101</v>
      </c>
      <c r="D29" s="13">
        <f t="shared" si="0"/>
        <v>43831</v>
      </c>
      <c r="E29" s="14">
        <v>1</v>
      </c>
      <c r="F29" s="15" t="s">
        <v>107</v>
      </c>
      <c r="G29" s="16" t="s">
        <v>64</v>
      </c>
      <c r="H29" s="16" t="s">
        <v>65</v>
      </c>
      <c r="I29" s="16" t="s">
        <v>32</v>
      </c>
      <c r="J29" s="16" t="s">
        <v>33</v>
      </c>
      <c r="K29" s="13">
        <v>43116</v>
      </c>
      <c r="L29" s="13">
        <f t="shared" si="1"/>
        <v>43846</v>
      </c>
      <c r="M29" s="16" t="s">
        <v>140</v>
      </c>
      <c r="N29" s="16" t="s">
        <v>25</v>
      </c>
      <c r="O29" s="16" t="s">
        <v>29</v>
      </c>
      <c r="P29" s="16" t="s">
        <v>20</v>
      </c>
      <c r="Q29" s="17">
        <v>644</v>
      </c>
      <c r="R29" s="16">
        <v>58</v>
      </c>
      <c r="S29" s="42">
        <f>VENTAS[[#This Row],[Precio unitario]]*VENTAS[[#This Row],[Cantidad]]</f>
        <v>37352</v>
      </c>
      <c r="T29" s="33">
        <v>3772.5520000000001</v>
      </c>
    </row>
    <row r="30" spans="2:20">
      <c r="B30" s="31">
        <v>1024</v>
      </c>
      <c r="C30" s="13">
        <v>43101</v>
      </c>
      <c r="D30" s="13">
        <f t="shared" si="0"/>
        <v>43831</v>
      </c>
      <c r="E30" s="14">
        <v>1</v>
      </c>
      <c r="F30" s="15" t="s">
        <v>108</v>
      </c>
      <c r="G30" s="16" t="s">
        <v>64</v>
      </c>
      <c r="H30" s="16" t="s">
        <v>65</v>
      </c>
      <c r="I30" s="16" t="s">
        <v>32</v>
      </c>
      <c r="J30" s="16" t="s">
        <v>33</v>
      </c>
      <c r="K30" s="13">
        <v>43117</v>
      </c>
      <c r="L30" s="13">
        <f t="shared" si="1"/>
        <v>43847</v>
      </c>
      <c r="M30" s="16" t="s">
        <v>140</v>
      </c>
      <c r="N30" s="16" t="s">
        <v>43</v>
      </c>
      <c r="O30" s="16" t="s">
        <v>57</v>
      </c>
      <c r="P30" s="16" t="s">
        <v>20</v>
      </c>
      <c r="Q30" s="17">
        <v>41.86</v>
      </c>
      <c r="R30" s="16">
        <v>67</v>
      </c>
      <c r="S30" s="42">
        <f>VENTAS[[#This Row],[Precio unitario]]*VENTAS[[#This Row],[Cantidad]]</f>
        <v>2804.62</v>
      </c>
      <c r="T30" s="33">
        <v>280.46199999999999</v>
      </c>
    </row>
    <row r="31" spans="2:20">
      <c r="B31" s="31">
        <v>1025</v>
      </c>
      <c r="C31" s="13">
        <v>43128</v>
      </c>
      <c r="D31" s="13">
        <f t="shared" si="0"/>
        <v>43858</v>
      </c>
      <c r="E31" s="14">
        <v>28</v>
      </c>
      <c r="F31" s="15" t="s">
        <v>109</v>
      </c>
      <c r="G31" s="16" t="s">
        <v>51</v>
      </c>
      <c r="H31" s="16" t="s">
        <v>52</v>
      </c>
      <c r="I31" s="16" t="s">
        <v>53</v>
      </c>
      <c r="J31" s="16" t="s">
        <v>143</v>
      </c>
      <c r="K31" s="13">
        <v>43130</v>
      </c>
      <c r="L31" s="13">
        <f t="shared" si="1"/>
        <v>43860</v>
      </c>
      <c r="M31" s="16" t="s">
        <v>140</v>
      </c>
      <c r="N31" s="16" t="s">
        <v>25</v>
      </c>
      <c r="O31" s="16" t="s">
        <v>44</v>
      </c>
      <c r="P31" s="16" t="s">
        <v>45</v>
      </c>
      <c r="Q31" s="17">
        <v>135.1</v>
      </c>
      <c r="R31" s="16">
        <v>100</v>
      </c>
      <c r="S31" s="42">
        <f>VENTAS[[#This Row],[Precio unitario]]*VENTAS[[#This Row],[Cantidad]]</f>
        <v>13510</v>
      </c>
      <c r="T31" s="33">
        <v>1310.47</v>
      </c>
    </row>
    <row r="32" spans="2:20">
      <c r="B32" s="31">
        <v>1026</v>
      </c>
      <c r="C32" s="13">
        <v>43128</v>
      </c>
      <c r="D32" s="13">
        <f t="shared" si="0"/>
        <v>43858</v>
      </c>
      <c r="E32" s="14">
        <v>28</v>
      </c>
      <c r="F32" s="15" t="s">
        <v>110</v>
      </c>
      <c r="G32" s="16" t="s">
        <v>51</v>
      </c>
      <c r="H32" s="16" t="s">
        <v>52</v>
      </c>
      <c r="I32" s="16" t="s">
        <v>53</v>
      </c>
      <c r="J32" s="16" t="s">
        <v>143</v>
      </c>
      <c r="K32" s="13">
        <v>43130</v>
      </c>
      <c r="L32" s="13">
        <f t="shared" si="1"/>
        <v>43860</v>
      </c>
      <c r="M32" s="16" t="s">
        <v>140</v>
      </c>
      <c r="N32" s="16" t="s">
        <v>25</v>
      </c>
      <c r="O32" s="16" t="s">
        <v>66</v>
      </c>
      <c r="P32" s="16" t="s">
        <v>67</v>
      </c>
      <c r="Q32" s="17">
        <v>257.59999999999997</v>
      </c>
      <c r="R32" s="16">
        <v>63</v>
      </c>
      <c r="S32" s="42">
        <f>VENTAS[[#This Row],[Precio unitario]]*VENTAS[[#This Row],[Cantidad]]</f>
        <v>16228.799999999997</v>
      </c>
      <c r="T32" s="33">
        <v>1606.6511999999998</v>
      </c>
    </row>
    <row r="33" spans="2:20">
      <c r="B33" s="31">
        <v>1027</v>
      </c>
      <c r="C33" s="13">
        <v>43109</v>
      </c>
      <c r="D33" s="13">
        <f t="shared" si="0"/>
        <v>43839</v>
      </c>
      <c r="E33" s="14">
        <v>9</v>
      </c>
      <c r="F33" s="15" t="s">
        <v>111</v>
      </c>
      <c r="G33" s="16" t="s">
        <v>68</v>
      </c>
      <c r="H33" s="16" t="s">
        <v>37</v>
      </c>
      <c r="I33" s="16" t="s">
        <v>69</v>
      </c>
      <c r="J33" s="16" t="s">
        <v>142</v>
      </c>
      <c r="K33" s="13">
        <v>43111</v>
      </c>
      <c r="L33" s="13">
        <f t="shared" si="1"/>
        <v>43841</v>
      </c>
      <c r="M33" s="16" t="s">
        <v>138</v>
      </c>
      <c r="N33" s="16" t="s">
        <v>43</v>
      </c>
      <c r="O33" s="16" t="s">
        <v>70</v>
      </c>
      <c r="P33" s="16" t="s">
        <v>71</v>
      </c>
      <c r="Q33" s="17">
        <v>273</v>
      </c>
      <c r="R33" s="16">
        <v>57</v>
      </c>
      <c r="S33" s="42">
        <f>VENTAS[[#This Row],[Precio unitario]]*VENTAS[[#This Row],[Cantidad]]</f>
        <v>15561</v>
      </c>
      <c r="T33" s="33">
        <v>1540.539</v>
      </c>
    </row>
    <row r="34" spans="2:20">
      <c r="B34" s="31">
        <v>1028</v>
      </c>
      <c r="C34" s="13">
        <v>43109</v>
      </c>
      <c r="D34" s="13">
        <f t="shared" si="0"/>
        <v>43839</v>
      </c>
      <c r="E34" s="14">
        <v>9</v>
      </c>
      <c r="F34" s="15" t="s">
        <v>112</v>
      </c>
      <c r="G34" s="16" t="s">
        <v>68</v>
      </c>
      <c r="H34" s="16" t="s">
        <v>37</v>
      </c>
      <c r="I34" s="16" t="s">
        <v>69</v>
      </c>
      <c r="J34" s="16" t="s">
        <v>142</v>
      </c>
      <c r="K34" s="13">
        <v>43111</v>
      </c>
      <c r="L34" s="13">
        <f t="shared" si="1"/>
        <v>43841</v>
      </c>
      <c r="M34" s="16" t="s">
        <v>138</v>
      </c>
      <c r="N34" s="16" t="s">
        <v>43</v>
      </c>
      <c r="O34" s="16" t="s">
        <v>72</v>
      </c>
      <c r="P34" s="16" t="s">
        <v>73</v>
      </c>
      <c r="Q34" s="17">
        <v>487.19999999999993</v>
      </c>
      <c r="R34" s="16">
        <v>81</v>
      </c>
      <c r="S34" s="42">
        <f>VENTAS[[#This Row],[Precio unitario]]*VENTAS[[#This Row],[Cantidad]]</f>
        <v>39463.199999999997</v>
      </c>
      <c r="T34" s="33">
        <v>4143.6359999999995</v>
      </c>
    </row>
    <row r="35" spans="2:20">
      <c r="B35" s="31">
        <v>1029</v>
      </c>
      <c r="C35" s="13">
        <v>43106</v>
      </c>
      <c r="D35" s="13">
        <f t="shared" si="0"/>
        <v>43836</v>
      </c>
      <c r="E35" s="14">
        <v>6</v>
      </c>
      <c r="F35" s="15" t="s">
        <v>113</v>
      </c>
      <c r="G35" s="16" t="s">
        <v>46</v>
      </c>
      <c r="H35" s="16" t="s">
        <v>47</v>
      </c>
      <c r="I35" s="16" t="s">
        <v>48</v>
      </c>
      <c r="J35" s="16" t="s">
        <v>33</v>
      </c>
      <c r="K35" s="13">
        <v>43108</v>
      </c>
      <c r="L35" s="13">
        <f t="shared" si="1"/>
        <v>43838</v>
      </c>
      <c r="M35" s="16" t="s">
        <v>139</v>
      </c>
      <c r="N35" s="16" t="s">
        <v>25</v>
      </c>
      <c r="O35" s="16" t="s">
        <v>19</v>
      </c>
      <c r="P35" s="16" t="s">
        <v>20</v>
      </c>
      <c r="Q35" s="17">
        <v>196</v>
      </c>
      <c r="R35" s="16">
        <v>71</v>
      </c>
      <c r="S35" s="42">
        <f>VENTAS[[#This Row],[Precio unitario]]*VENTAS[[#This Row],[Cantidad]]</f>
        <v>13916</v>
      </c>
      <c r="T35" s="33">
        <v>1335.9360000000001</v>
      </c>
    </row>
    <row r="36" spans="2:20">
      <c r="B36" s="31">
        <v>1030</v>
      </c>
      <c r="C36" s="13">
        <v>43139</v>
      </c>
      <c r="D36" s="13">
        <f t="shared" si="0"/>
        <v>43869</v>
      </c>
      <c r="E36" s="14">
        <v>8</v>
      </c>
      <c r="F36" s="15" t="s">
        <v>114</v>
      </c>
      <c r="G36" s="16" t="s">
        <v>30</v>
      </c>
      <c r="H36" s="16" t="s">
        <v>31</v>
      </c>
      <c r="I36" s="16" t="s">
        <v>32</v>
      </c>
      <c r="J36" s="16" t="s">
        <v>33</v>
      </c>
      <c r="K36" s="13">
        <v>43141</v>
      </c>
      <c r="L36" s="13">
        <f t="shared" si="1"/>
        <v>43871</v>
      </c>
      <c r="M36" s="16" t="s">
        <v>139</v>
      </c>
      <c r="N36" s="16" t="s">
        <v>43</v>
      </c>
      <c r="O36" s="16" t="s">
        <v>49</v>
      </c>
      <c r="P36" s="16" t="s">
        <v>50</v>
      </c>
      <c r="Q36" s="17">
        <v>560</v>
      </c>
      <c r="R36" s="16">
        <v>32</v>
      </c>
      <c r="S36" s="42">
        <f>VENTAS[[#This Row],[Precio unitario]]*VENTAS[[#This Row],[Cantidad]]</f>
        <v>17920</v>
      </c>
      <c r="T36" s="33">
        <v>1809.92</v>
      </c>
    </row>
    <row r="37" spans="2:20">
      <c r="B37" s="31">
        <v>1031</v>
      </c>
      <c r="C37" s="13">
        <v>43134</v>
      </c>
      <c r="D37" s="13">
        <f t="shared" si="0"/>
        <v>43864</v>
      </c>
      <c r="E37" s="14">
        <v>3</v>
      </c>
      <c r="F37" s="15" t="s">
        <v>115</v>
      </c>
      <c r="G37" s="16" t="s">
        <v>41</v>
      </c>
      <c r="H37" s="16" t="s">
        <v>42</v>
      </c>
      <c r="I37" s="16" t="s">
        <v>18</v>
      </c>
      <c r="J37" s="16" t="s">
        <v>142</v>
      </c>
      <c r="K37" s="13">
        <v>43136</v>
      </c>
      <c r="L37" s="13">
        <f t="shared" si="1"/>
        <v>43866</v>
      </c>
      <c r="M37" s="16" t="s">
        <v>139</v>
      </c>
      <c r="N37" s="16" t="s">
        <v>43</v>
      </c>
      <c r="O37" s="16" t="s">
        <v>74</v>
      </c>
      <c r="P37" s="16" t="s">
        <v>62</v>
      </c>
      <c r="Q37" s="17">
        <v>140</v>
      </c>
      <c r="R37" s="16">
        <v>63</v>
      </c>
      <c r="S37" s="42">
        <f>VENTAS[[#This Row],[Precio unitario]]*VENTAS[[#This Row],[Cantidad]]</f>
        <v>8820</v>
      </c>
      <c r="T37" s="33">
        <v>917.28</v>
      </c>
    </row>
    <row r="38" spans="2:20">
      <c r="B38" s="31">
        <v>1032</v>
      </c>
      <c r="C38" s="13">
        <v>43134</v>
      </c>
      <c r="D38" s="13">
        <f t="shared" si="0"/>
        <v>43864</v>
      </c>
      <c r="E38" s="14">
        <v>3</v>
      </c>
      <c r="F38" s="15" t="s">
        <v>116</v>
      </c>
      <c r="G38" s="16" t="s">
        <v>41</v>
      </c>
      <c r="H38" s="16" t="s">
        <v>42</v>
      </c>
      <c r="I38" s="16" t="s">
        <v>18</v>
      </c>
      <c r="J38" s="16" t="s">
        <v>142</v>
      </c>
      <c r="K38" s="13">
        <v>43136</v>
      </c>
      <c r="L38" s="13">
        <f t="shared" si="1"/>
        <v>43866</v>
      </c>
      <c r="M38" s="16" t="s">
        <v>139</v>
      </c>
      <c r="N38" s="16" t="s">
        <v>43</v>
      </c>
      <c r="O38" s="16" t="s">
        <v>49</v>
      </c>
      <c r="P38" s="16" t="s">
        <v>50</v>
      </c>
      <c r="Q38" s="17">
        <v>560</v>
      </c>
      <c r="R38" s="16">
        <v>30</v>
      </c>
      <c r="S38" s="42">
        <f>VENTAS[[#This Row],[Precio unitario]]*VENTAS[[#This Row],[Cantidad]]</f>
        <v>16800</v>
      </c>
      <c r="T38" s="33">
        <v>1680</v>
      </c>
    </row>
    <row r="39" spans="2:20">
      <c r="B39" s="31">
        <v>1033</v>
      </c>
      <c r="C39" s="13">
        <v>43137</v>
      </c>
      <c r="D39" s="13">
        <f t="shared" si="0"/>
        <v>43867</v>
      </c>
      <c r="E39" s="14">
        <v>6</v>
      </c>
      <c r="F39" s="15" t="s">
        <v>117</v>
      </c>
      <c r="G39" s="16" t="s">
        <v>46</v>
      </c>
      <c r="H39" s="16" t="s">
        <v>47</v>
      </c>
      <c r="I39" s="16" t="s">
        <v>48</v>
      </c>
      <c r="J39" s="16" t="s">
        <v>33</v>
      </c>
      <c r="K39" s="13">
        <v>43139</v>
      </c>
      <c r="L39" s="13">
        <f t="shared" si="1"/>
        <v>43869</v>
      </c>
      <c r="M39" s="16" t="s">
        <v>139</v>
      </c>
      <c r="N39" s="16" t="s">
        <v>25</v>
      </c>
      <c r="O39" s="16" t="s">
        <v>49</v>
      </c>
      <c r="P39" s="16" t="s">
        <v>15</v>
      </c>
      <c r="Q39" s="17">
        <v>560</v>
      </c>
      <c r="R39" s="16">
        <v>30</v>
      </c>
      <c r="S39" s="42">
        <f>VENTAS[[#This Row],[Precio unitario]]*VENTAS[[#This Row],[Cantidad]]</f>
        <v>16800</v>
      </c>
      <c r="T39" s="33">
        <v>602</v>
      </c>
    </row>
    <row r="40" spans="2:20">
      <c r="B40" s="31">
        <v>1034</v>
      </c>
      <c r="C40" s="13">
        <v>43159</v>
      </c>
      <c r="D40" s="13">
        <f t="shared" si="0"/>
        <v>43889</v>
      </c>
      <c r="E40" s="14">
        <v>28</v>
      </c>
      <c r="F40" s="15" t="s">
        <v>118</v>
      </c>
      <c r="G40" s="16" t="s">
        <v>51</v>
      </c>
      <c r="H40" s="16" t="s">
        <v>52</v>
      </c>
      <c r="I40" s="16" t="s">
        <v>53</v>
      </c>
      <c r="J40" s="16" t="s">
        <v>143</v>
      </c>
      <c r="K40" s="13">
        <v>43161</v>
      </c>
      <c r="L40" s="13">
        <f t="shared" si="1"/>
        <v>43892</v>
      </c>
      <c r="M40" s="16" t="s">
        <v>140</v>
      </c>
      <c r="N40" s="16" t="s">
        <v>43</v>
      </c>
      <c r="O40" s="16" t="s">
        <v>49</v>
      </c>
      <c r="P40" s="16" t="s">
        <v>15</v>
      </c>
      <c r="Q40" s="17">
        <v>560</v>
      </c>
      <c r="R40" s="16">
        <v>30</v>
      </c>
      <c r="S40" s="42">
        <f>VENTAS[[#This Row],[Precio unitario]]*VENTAS[[#This Row],[Cantidad]]</f>
        <v>16800</v>
      </c>
      <c r="T40" s="33">
        <v>434</v>
      </c>
    </row>
    <row r="41" spans="2:20">
      <c r="B41" s="31">
        <v>1035</v>
      </c>
      <c r="C41" s="13">
        <v>43139</v>
      </c>
      <c r="D41" s="13">
        <f t="shared" si="0"/>
        <v>43869</v>
      </c>
      <c r="E41" s="14">
        <v>8</v>
      </c>
      <c r="F41" s="15" t="s">
        <v>119</v>
      </c>
      <c r="G41" s="16" t="s">
        <v>30</v>
      </c>
      <c r="H41" s="16" t="s">
        <v>31</v>
      </c>
      <c r="I41" s="16" t="s">
        <v>32</v>
      </c>
      <c r="J41" s="16" t="s">
        <v>33</v>
      </c>
      <c r="K41" s="13">
        <v>43141</v>
      </c>
      <c r="L41" s="13">
        <f t="shared" si="1"/>
        <v>43871</v>
      </c>
      <c r="M41" s="16" t="s">
        <v>140</v>
      </c>
      <c r="N41" s="16" t="s">
        <v>43</v>
      </c>
      <c r="O41" s="16" t="s">
        <v>49</v>
      </c>
      <c r="P41" s="16" t="s">
        <v>15</v>
      </c>
      <c r="Q41" s="17">
        <v>560</v>
      </c>
      <c r="R41" s="16">
        <v>30</v>
      </c>
      <c r="S41" s="42">
        <f>VENTAS[[#This Row],[Precio unitario]]*VENTAS[[#This Row],[Cantidad]]</f>
        <v>16800</v>
      </c>
      <c r="T41" s="33">
        <v>644</v>
      </c>
    </row>
    <row r="42" spans="2:20">
      <c r="B42" s="31">
        <v>1036</v>
      </c>
      <c r="C42" s="13">
        <v>43141</v>
      </c>
      <c r="D42" s="13">
        <f t="shared" si="0"/>
        <v>43871</v>
      </c>
      <c r="E42" s="14">
        <v>10</v>
      </c>
      <c r="F42" s="15" t="s">
        <v>120</v>
      </c>
      <c r="G42" s="16" t="s">
        <v>54</v>
      </c>
      <c r="H42" s="16" t="s">
        <v>55</v>
      </c>
      <c r="I42" s="16" t="s">
        <v>56</v>
      </c>
      <c r="J42" s="16" t="s">
        <v>141</v>
      </c>
      <c r="K42" s="13">
        <v>43143</v>
      </c>
      <c r="L42" s="13">
        <f t="shared" si="1"/>
        <v>43873</v>
      </c>
      <c r="M42" s="16" t="s">
        <v>139</v>
      </c>
      <c r="N42" s="16" t="s">
        <v>25</v>
      </c>
      <c r="O42" s="16" t="s">
        <v>75</v>
      </c>
      <c r="P42" s="16" t="s">
        <v>22</v>
      </c>
      <c r="Q42" s="17">
        <v>140</v>
      </c>
      <c r="R42" s="16">
        <v>47</v>
      </c>
      <c r="S42" s="42">
        <f>VENTAS[[#This Row],[Precio unitario]]*VENTAS[[#This Row],[Cantidad]]</f>
        <v>6580</v>
      </c>
      <c r="T42" s="33">
        <v>684.32</v>
      </c>
    </row>
    <row r="43" spans="2:20">
      <c r="B43" s="31">
        <v>1038</v>
      </c>
      <c r="C43" s="13">
        <v>43141</v>
      </c>
      <c r="D43" s="13">
        <f t="shared" si="0"/>
        <v>43871</v>
      </c>
      <c r="E43" s="14">
        <v>10</v>
      </c>
      <c r="F43" s="15" t="s">
        <v>121</v>
      </c>
      <c r="G43" s="16" t="s">
        <v>54</v>
      </c>
      <c r="H43" s="16" t="s">
        <v>55</v>
      </c>
      <c r="I43" s="16" t="s">
        <v>56</v>
      </c>
      <c r="J43" s="16" t="s">
        <v>141</v>
      </c>
      <c r="K43" s="13">
        <v>43144</v>
      </c>
      <c r="L43" s="13">
        <f t="shared" si="1"/>
        <v>43874</v>
      </c>
      <c r="M43" s="16" t="s">
        <v>138</v>
      </c>
      <c r="N43" s="16" t="s">
        <v>25</v>
      </c>
      <c r="O43" s="16" t="s">
        <v>21</v>
      </c>
      <c r="P43" s="16" t="s">
        <v>22</v>
      </c>
      <c r="Q43" s="17">
        <v>49</v>
      </c>
      <c r="R43" s="16">
        <v>49</v>
      </c>
      <c r="S43" s="42">
        <f>VENTAS[[#This Row],[Precio unitario]]*VENTAS[[#This Row],[Cantidad]]</f>
        <v>2401</v>
      </c>
      <c r="T43" s="33">
        <v>230.49600000000004</v>
      </c>
    </row>
    <row r="44" spans="2:20">
      <c r="B44" s="31">
        <v>1039</v>
      </c>
      <c r="C44" s="13">
        <v>43142</v>
      </c>
      <c r="D44" s="13">
        <f t="shared" si="0"/>
        <v>43872</v>
      </c>
      <c r="E44" s="14">
        <v>11</v>
      </c>
      <c r="F44" s="15" t="s">
        <v>122</v>
      </c>
      <c r="G44" s="16" t="s">
        <v>63</v>
      </c>
      <c r="H44" s="16" t="s">
        <v>63</v>
      </c>
      <c r="I44" s="16" t="s">
        <v>53</v>
      </c>
      <c r="J44" s="16" t="s">
        <v>143</v>
      </c>
      <c r="K44" s="13">
        <v>43145</v>
      </c>
      <c r="L44" s="13">
        <f t="shared" si="1"/>
        <v>43875</v>
      </c>
      <c r="M44" s="16" t="s">
        <v>140</v>
      </c>
      <c r="N44" s="16" t="s">
        <v>25</v>
      </c>
      <c r="O44" s="16" t="s">
        <v>49</v>
      </c>
      <c r="P44" s="16" t="s">
        <v>50</v>
      </c>
      <c r="Q44" s="17">
        <v>560</v>
      </c>
      <c r="R44" s="16">
        <v>72</v>
      </c>
      <c r="S44" s="42">
        <f>VENTAS[[#This Row],[Precio unitario]]*VENTAS[[#This Row],[Cantidad]]</f>
        <v>40320</v>
      </c>
      <c r="T44" s="33">
        <v>3991.6800000000003</v>
      </c>
    </row>
    <row r="45" spans="2:20">
      <c r="B45" s="31">
        <v>1040</v>
      </c>
      <c r="C45" s="13">
        <v>43132</v>
      </c>
      <c r="D45" s="13">
        <f t="shared" si="0"/>
        <v>43862</v>
      </c>
      <c r="E45" s="14">
        <v>1</v>
      </c>
      <c r="F45" s="18" t="s">
        <v>88</v>
      </c>
      <c r="G45" s="16" t="s">
        <v>64</v>
      </c>
      <c r="H45" s="16" t="s">
        <v>65</v>
      </c>
      <c r="I45" s="16" t="s">
        <v>32</v>
      </c>
      <c r="J45" s="16" t="s">
        <v>33</v>
      </c>
      <c r="K45" s="13">
        <v>43146</v>
      </c>
      <c r="L45" s="13">
        <f t="shared" si="1"/>
        <v>43876</v>
      </c>
      <c r="M45" s="16" t="s">
        <v>140</v>
      </c>
      <c r="N45" s="16" t="s">
        <v>25</v>
      </c>
      <c r="O45" s="16" t="s">
        <v>66</v>
      </c>
      <c r="P45" s="16" t="s">
        <v>67</v>
      </c>
      <c r="Q45" s="17">
        <v>257.59999999999997</v>
      </c>
      <c r="R45" s="16">
        <v>13</v>
      </c>
      <c r="S45" s="42">
        <f>VENTAS[[#This Row],[Precio unitario]]*VENTAS[[#This Row],[Cantidad]]</f>
        <v>3348.7999999999997</v>
      </c>
      <c r="T45" s="33">
        <v>331.53120000000001</v>
      </c>
    </row>
    <row r="46" spans="2:20">
      <c r="B46" s="31">
        <v>1041</v>
      </c>
      <c r="C46" s="13">
        <v>43159</v>
      </c>
      <c r="D46" s="13">
        <f t="shared" si="0"/>
        <v>43889</v>
      </c>
      <c r="E46" s="14">
        <v>28</v>
      </c>
      <c r="F46" s="18" t="s">
        <v>85</v>
      </c>
      <c r="G46" s="16" t="s">
        <v>51</v>
      </c>
      <c r="H46" s="16" t="s">
        <v>52</v>
      </c>
      <c r="I46" s="16" t="s">
        <v>53</v>
      </c>
      <c r="J46" s="16" t="s">
        <v>143</v>
      </c>
      <c r="K46" s="13">
        <v>43147</v>
      </c>
      <c r="L46" s="13">
        <f t="shared" si="1"/>
        <v>43877</v>
      </c>
      <c r="M46" s="16" t="s">
        <v>140</v>
      </c>
      <c r="N46" s="16" t="s">
        <v>25</v>
      </c>
      <c r="O46" s="16" t="s">
        <v>29</v>
      </c>
      <c r="P46" s="16" t="s">
        <v>20</v>
      </c>
      <c r="Q46" s="17">
        <v>644</v>
      </c>
      <c r="R46" s="16">
        <v>32</v>
      </c>
      <c r="S46" s="42">
        <f>VENTAS[[#This Row],[Precio unitario]]*VENTAS[[#This Row],[Cantidad]]</f>
        <v>20608</v>
      </c>
      <c r="T46" s="33">
        <v>2081.4080000000004</v>
      </c>
    </row>
    <row r="47" spans="2:20">
      <c r="B47" s="31">
        <v>1042</v>
      </c>
      <c r="C47" s="13">
        <v>43140</v>
      </c>
      <c r="D47" s="13">
        <f t="shared" si="0"/>
        <v>43870</v>
      </c>
      <c r="E47" s="14">
        <v>9</v>
      </c>
      <c r="F47" s="18" t="s">
        <v>91</v>
      </c>
      <c r="G47" s="16" t="s">
        <v>68</v>
      </c>
      <c r="H47" s="16" t="s">
        <v>37</v>
      </c>
      <c r="I47" s="16" t="s">
        <v>69</v>
      </c>
      <c r="J47" s="16" t="s">
        <v>142</v>
      </c>
      <c r="K47" s="13">
        <v>43142</v>
      </c>
      <c r="L47" s="13">
        <f t="shared" si="1"/>
        <v>43872</v>
      </c>
      <c r="M47" s="16" t="s">
        <v>138</v>
      </c>
      <c r="N47" s="16" t="s">
        <v>43</v>
      </c>
      <c r="O47" s="16" t="s">
        <v>44</v>
      </c>
      <c r="P47" s="16" t="s">
        <v>45</v>
      </c>
      <c r="Q47" s="17">
        <v>135.1</v>
      </c>
      <c r="R47" s="16">
        <v>27</v>
      </c>
      <c r="S47" s="42">
        <f>VENTAS[[#This Row],[Precio unitario]]*VENTAS[[#This Row],[Cantidad]]</f>
        <v>3647.7</v>
      </c>
      <c r="T47" s="33">
        <v>346.53150000000005</v>
      </c>
    </row>
    <row r="48" spans="2:20">
      <c r="B48" s="31">
        <v>1043</v>
      </c>
      <c r="C48" s="13">
        <v>43137</v>
      </c>
      <c r="D48" s="13">
        <f t="shared" si="0"/>
        <v>43867</v>
      </c>
      <c r="E48" s="14">
        <v>6</v>
      </c>
      <c r="F48" s="18" t="s">
        <v>87</v>
      </c>
      <c r="G48" s="16" t="s">
        <v>46</v>
      </c>
      <c r="H48" s="16" t="s">
        <v>47</v>
      </c>
      <c r="I48" s="16" t="s">
        <v>48</v>
      </c>
      <c r="J48" s="16" t="s">
        <v>33</v>
      </c>
      <c r="K48" s="13">
        <v>43139</v>
      </c>
      <c r="L48" s="13">
        <f t="shared" si="1"/>
        <v>43869</v>
      </c>
      <c r="M48" s="16" t="s">
        <v>139</v>
      </c>
      <c r="N48" s="16" t="s">
        <v>25</v>
      </c>
      <c r="O48" s="16" t="s">
        <v>39</v>
      </c>
      <c r="P48" s="16" t="s">
        <v>40</v>
      </c>
      <c r="Q48" s="17">
        <v>178.5</v>
      </c>
      <c r="R48" s="16">
        <v>71</v>
      </c>
      <c r="S48" s="42">
        <f>VENTAS[[#This Row],[Precio unitario]]*VENTAS[[#This Row],[Cantidad]]</f>
        <v>12673.5</v>
      </c>
      <c r="T48" s="33">
        <v>1280.0235</v>
      </c>
    </row>
    <row r="49" spans="2:20">
      <c r="B49" s="31">
        <v>1044</v>
      </c>
      <c r="C49" s="13">
        <v>43139</v>
      </c>
      <c r="D49" s="13">
        <f t="shared" si="0"/>
        <v>43869</v>
      </c>
      <c r="E49" s="14">
        <v>8</v>
      </c>
      <c r="F49" s="18" t="s">
        <v>86</v>
      </c>
      <c r="G49" s="16" t="s">
        <v>30</v>
      </c>
      <c r="H49" s="16" t="s">
        <v>31</v>
      </c>
      <c r="I49" s="16" t="s">
        <v>32</v>
      </c>
      <c r="J49" s="16" t="s">
        <v>33</v>
      </c>
      <c r="K49" s="13">
        <v>43141</v>
      </c>
      <c r="L49" s="13">
        <f t="shared" si="1"/>
        <v>43871</v>
      </c>
      <c r="M49" s="16" t="s">
        <v>139</v>
      </c>
      <c r="N49" s="16" t="s">
        <v>43</v>
      </c>
      <c r="O49" s="16" t="s">
        <v>39</v>
      </c>
      <c r="P49" s="16" t="s">
        <v>40</v>
      </c>
      <c r="Q49" s="17">
        <v>178.5</v>
      </c>
      <c r="R49" s="16">
        <v>13</v>
      </c>
      <c r="S49" s="42">
        <f>VENTAS[[#This Row],[Precio unitario]]*VENTAS[[#This Row],[Cantidad]]</f>
        <v>2320.5</v>
      </c>
      <c r="T49" s="33">
        <v>220.44749999999996</v>
      </c>
    </row>
    <row r="50" spans="2:20">
      <c r="B50" s="31">
        <v>1045</v>
      </c>
      <c r="C50" s="13">
        <v>43156</v>
      </c>
      <c r="D50" s="13">
        <f t="shared" si="0"/>
        <v>43886</v>
      </c>
      <c r="E50" s="14">
        <v>25</v>
      </c>
      <c r="F50" s="18" t="s">
        <v>123</v>
      </c>
      <c r="G50" s="16" t="s">
        <v>54</v>
      </c>
      <c r="H50" s="16" t="s">
        <v>55</v>
      </c>
      <c r="I50" s="16" t="s">
        <v>56</v>
      </c>
      <c r="J50" s="16" t="s">
        <v>141</v>
      </c>
      <c r="K50" s="13">
        <v>43158</v>
      </c>
      <c r="L50" s="13">
        <f t="shared" si="1"/>
        <v>43888</v>
      </c>
      <c r="M50" s="16" t="s">
        <v>138</v>
      </c>
      <c r="N50" s="16" t="s">
        <v>43</v>
      </c>
      <c r="O50" s="16" t="s">
        <v>61</v>
      </c>
      <c r="P50" s="16" t="s">
        <v>62</v>
      </c>
      <c r="Q50" s="17">
        <v>308</v>
      </c>
      <c r="R50" s="16">
        <v>98</v>
      </c>
      <c r="S50" s="42">
        <f>VENTAS[[#This Row],[Precio unitario]]*VENTAS[[#This Row],[Cantidad]]</f>
        <v>30184</v>
      </c>
      <c r="T50" s="33">
        <v>2867.4800000000005</v>
      </c>
    </row>
    <row r="51" spans="2:20">
      <c r="B51" s="31">
        <v>1046</v>
      </c>
      <c r="C51" s="13">
        <v>43157</v>
      </c>
      <c r="D51" s="13">
        <f t="shared" si="0"/>
        <v>43887</v>
      </c>
      <c r="E51" s="14">
        <v>26</v>
      </c>
      <c r="F51" s="18" t="s">
        <v>89</v>
      </c>
      <c r="G51" s="16" t="s">
        <v>63</v>
      </c>
      <c r="H51" s="16" t="s">
        <v>63</v>
      </c>
      <c r="I51" s="16" t="s">
        <v>53</v>
      </c>
      <c r="J51" s="16" t="s">
        <v>143</v>
      </c>
      <c r="K51" s="13">
        <v>43159</v>
      </c>
      <c r="L51" s="13">
        <f t="shared" si="1"/>
        <v>43889</v>
      </c>
      <c r="M51" s="16" t="s">
        <v>140</v>
      </c>
      <c r="N51" s="16" t="s">
        <v>25</v>
      </c>
      <c r="O51" s="16" t="s">
        <v>59</v>
      </c>
      <c r="P51" s="16" t="s">
        <v>60</v>
      </c>
      <c r="Q51" s="17">
        <v>350</v>
      </c>
      <c r="R51" s="16">
        <v>21</v>
      </c>
      <c r="S51" s="42">
        <f>VENTAS[[#This Row],[Precio unitario]]*VENTAS[[#This Row],[Cantidad]]</f>
        <v>7350</v>
      </c>
      <c r="T51" s="33">
        <v>749.7</v>
      </c>
    </row>
    <row r="52" spans="2:20">
      <c r="B52" s="31">
        <v>1047</v>
      </c>
      <c r="C52" s="13">
        <v>43160</v>
      </c>
      <c r="D52" s="13">
        <f t="shared" si="0"/>
        <v>43891</v>
      </c>
      <c r="E52" s="14">
        <v>29</v>
      </c>
      <c r="F52" s="18" t="s">
        <v>124</v>
      </c>
      <c r="G52" s="16" t="s">
        <v>36</v>
      </c>
      <c r="H52" s="16" t="s">
        <v>37</v>
      </c>
      <c r="I52" s="16" t="s">
        <v>38</v>
      </c>
      <c r="J52" s="16" t="s">
        <v>142</v>
      </c>
      <c r="K52" s="13">
        <v>43162</v>
      </c>
      <c r="L52" s="13">
        <f t="shared" si="1"/>
        <v>43893</v>
      </c>
      <c r="M52" s="16" t="s">
        <v>139</v>
      </c>
      <c r="N52" s="16" t="s">
        <v>43</v>
      </c>
      <c r="O52" s="16" t="s">
        <v>76</v>
      </c>
      <c r="P52" s="16" t="s">
        <v>77</v>
      </c>
      <c r="Q52" s="17">
        <v>546</v>
      </c>
      <c r="R52" s="16">
        <v>26</v>
      </c>
      <c r="S52" s="42">
        <f>VENTAS[[#This Row],[Precio unitario]]*VENTAS[[#This Row],[Cantidad]]</f>
        <v>14196</v>
      </c>
      <c r="T52" s="33">
        <v>1490.5800000000002</v>
      </c>
    </row>
    <row r="53" spans="2:20">
      <c r="B53" s="31">
        <v>1048</v>
      </c>
      <c r="C53" s="13">
        <v>43137</v>
      </c>
      <c r="D53" s="13">
        <f t="shared" si="0"/>
        <v>43867</v>
      </c>
      <c r="E53" s="14">
        <v>6</v>
      </c>
      <c r="F53" s="18" t="s">
        <v>92</v>
      </c>
      <c r="G53" s="16" t="s">
        <v>46</v>
      </c>
      <c r="H53" s="16" t="s">
        <v>47</v>
      </c>
      <c r="I53" s="16" t="s">
        <v>48</v>
      </c>
      <c r="J53" s="16" t="s">
        <v>33</v>
      </c>
      <c r="K53" s="13">
        <v>43139</v>
      </c>
      <c r="L53" s="13">
        <f t="shared" si="1"/>
        <v>43869</v>
      </c>
      <c r="M53" s="16" t="s">
        <v>140</v>
      </c>
      <c r="N53" s="16" t="s">
        <v>43</v>
      </c>
      <c r="O53" s="16" t="s">
        <v>26</v>
      </c>
      <c r="P53" s="16" t="s">
        <v>22</v>
      </c>
      <c r="Q53" s="17">
        <v>420</v>
      </c>
      <c r="R53" s="16">
        <v>96</v>
      </c>
      <c r="S53" s="42">
        <f>VENTAS[[#This Row],[Precio unitario]]*VENTAS[[#This Row],[Cantidad]]</f>
        <v>40320</v>
      </c>
      <c r="T53" s="33">
        <v>4152.96</v>
      </c>
    </row>
    <row r="54" spans="2:20">
      <c r="B54" s="31">
        <v>1049</v>
      </c>
      <c r="C54" s="13">
        <v>43137</v>
      </c>
      <c r="D54" s="13">
        <f t="shared" si="0"/>
        <v>43867</v>
      </c>
      <c r="E54" s="14">
        <v>6</v>
      </c>
      <c r="F54" s="18" t="s">
        <v>125</v>
      </c>
      <c r="G54" s="16" t="s">
        <v>46</v>
      </c>
      <c r="H54" s="16" t="s">
        <v>47</v>
      </c>
      <c r="I54" s="16" t="s">
        <v>48</v>
      </c>
      <c r="J54" s="16" t="s">
        <v>33</v>
      </c>
      <c r="K54" s="13">
        <v>43139</v>
      </c>
      <c r="L54" s="13">
        <f t="shared" si="1"/>
        <v>43869</v>
      </c>
      <c r="M54" s="16" t="s">
        <v>140</v>
      </c>
      <c r="N54" s="16" t="s">
        <v>43</v>
      </c>
      <c r="O54" s="16" t="s">
        <v>27</v>
      </c>
      <c r="P54" s="16" t="s">
        <v>22</v>
      </c>
      <c r="Q54" s="17">
        <v>742</v>
      </c>
      <c r="R54" s="16">
        <v>16</v>
      </c>
      <c r="S54" s="42">
        <f>VENTAS[[#This Row],[Precio unitario]]*VENTAS[[#This Row],[Cantidad]]</f>
        <v>11872</v>
      </c>
      <c r="T54" s="33">
        <v>1234.6880000000003</v>
      </c>
    </row>
    <row r="55" spans="2:20">
      <c r="B55" s="31">
        <v>1050</v>
      </c>
      <c r="C55" s="13">
        <v>43135</v>
      </c>
      <c r="D55" s="13">
        <f t="shared" si="0"/>
        <v>43865</v>
      </c>
      <c r="E55" s="14">
        <v>4</v>
      </c>
      <c r="F55" s="15" t="s">
        <v>85</v>
      </c>
      <c r="G55" s="16" t="s">
        <v>23</v>
      </c>
      <c r="H55" s="16" t="s">
        <v>23</v>
      </c>
      <c r="I55" s="16" t="s">
        <v>24</v>
      </c>
      <c r="J55" s="16" t="s">
        <v>141</v>
      </c>
      <c r="K55" s="13"/>
      <c r="L55" s="13">
        <f t="shared" si="1"/>
        <v>731</v>
      </c>
      <c r="M55" s="16"/>
      <c r="N55" s="16" t="s">
        <v>25</v>
      </c>
      <c r="O55" s="16" t="s">
        <v>78</v>
      </c>
      <c r="P55" s="16" t="s">
        <v>71</v>
      </c>
      <c r="Q55" s="17">
        <v>532</v>
      </c>
      <c r="R55" s="16">
        <v>96</v>
      </c>
      <c r="S55" s="42">
        <f>VENTAS[[#This Row],[Precio unitario]]*VENTAS[[#This Row],[Cantidad]]</f>
        <v>51072</v>
      </c>
      <c r="T55" s="33">
        <v>4851.84</v>
      </c>
    </row>
    <row r="56" spans="2:20">
      <c r="B56" s="31">
        <v>1051</v>
      </c>
      <c r="C56" s="13">
        <v>43134</v>
      </c>
      <c r="D56" s="13">
        <f t="shared" si="0"/>
        <v>43864</v>
      </c>
      <c r="E56" s="14">
        <v>3</v>
      </c>
      <c r="F56" s="15" t="s">
        <v>86</v>
      </c>
      <c r="G56" s="16" t="s">
        <v>41</v>
      </c>
      <c r="H56" s="16" t="s">
        <v>42</v>
      </c>
      <c r="I56" s="16" t="s">
        <v>18</v>
      </c>
      <c r="J56" s="16" t="s">
        <v>142</v>
      </c>
      <c r="K56" s="13"/>
      <c r="L56" s="13">
        <f t="shared" si="1"/>
        <v>731</v>
      </c>
      <c r="M56" s="16"/>
      <c r="N56" s="16" t="s">
        <v>25</v>
      </c>
      <c r="O56" s="16" t="s">
        <v>57</v>
      </c>
      <c r="P56" s="16" t="s">
        <v>20</v>
      </c>
      <c r="Q56" s="17">
        <v>41.86</v>
      </c>
      <c r="R56" s="16">
        <v>75</v>
      </c>
      <c r="S56" s="42">
        <f>VENTAS[[#This Row],[Precio unitario]]*VENTAS[[#This Row],[Cantidad]]</f>
        <v>3139.5</v>
      </c>
      <c r="T56" s="33">
        <v>323.36850000000004</v>
      </c>
    </row>
    <row r="57" spans="2:20">
      <c r="B57" s="31">
        <v>1052</v>
      </c>
      <c r="C57" s="13">
        <v>43168</v>
      </c>
      <c r="D57" s="13">
        <f t="shared" si="0"/>
        <v>43899</v>
      </c>
      <c r="E57" s="14">
        <v>9</v>
      </c>
      <c r="F57" s="15" t="s">
        <v>87</v>
      </c>
      <c r="G57" s="16" t="s">
        <v>68</v>
      </c>
      <c r="H57" s="16" t="s">
        <v>37</v>
      </c>
      <c r="I57" s="16" t="s">
        <v>69</v>
      </c>
      <c r="J57" s="16" t="s">
        <v>142</v>
      </c>
      <c r="K57" s="13">
        <v>43170</v>
      </c>
      <c r="L57" s="13">
        <f t="shared" si="1"/>
        <v>43901</v>
      </c>
      <c r="M57" s="16" t="s">
        <v>138</v>
      </c>
      <c r="N57" s="16" t="s">
        <v>43</v>
      </c>
      <c r="O57" s="16" t="s">
        <v>70</v>
      </c>
      <c r="P57" s="16" t="s">
        <v>71</v>
      </c>
      <c r="Q57" s="17">
        <v>273</v>
      </c>
      <c r="R57" s="16">
        <v>55</v>
      </c>
      <c r="S57" s="42">
        <f>VENTAS[[#This Row],[Precio unitario]]*VENTAS[[#This Row],[Cantidad]]</f>
        <v>15015</v>
      </c>
      <c r="T57" s="33">
        <v>1516.5150000000001</v>
      </c>
    </row>
    <row r="58" spans="2:20">
      <c r="B58" s="31">
        <v>1053</v>
      </c>
      <c r="C58" s="13">
        <v>43168</v>
      </c>
      <c r="D58" s="13">
        <f t="shared" si="0"/>
        <v>43899</v>
      </c>
      <c r="E58" s="14">
        <v>9</v>
      </c>
      <c r="F58" s="15" t="s">
        <v>88</v>
      </c>
      <c r="G58" s="16" t="s">
        <v>68</v>
      </c>
      <c r="H58" s="16" t="s">
        <v>37</v>
      </c>
      <c r="I58" s="16" t="s">
        <v>69</v>
      </c>
      <c r="J58" s="16" t="s">
        <v>142</v>
      </c>
      <c r="K58" s="13">
        <v>43170</v>
      </c>
      <c r="L58" s="13">
        <f t="shared" si="1"/>
        <v>43901</v>
      </c>
      <c r="M58" s="16" t="s">
        <v>138</v>
      </c>
      <c r="N58" s="16" t="s">
        <v>43</v>
      </c>
      <c r="O58" s="16" t="s">
        <v>72</v>
      </c>
      <c r="P58" s="16" t="s">
        <v>73</v>
      </c>
      <c r="Q58" s="17">
        <v>487.19999999999993</v>
      </c>
      <c r="R58" s="16">
        <v>11</v>
      </c>
      <c r="S58" s="42">
        <f>VENTAS[[#This Row],[Precio unitario]]*VENTAS[[#This Row],[Cantidad]]</f>
        <v>5359.1999999999989</v>
      </c>
      <c r="T58" s="33">
        <v>514.4831999999999</v>
      </c>
    </row>
    <row r="59" spans="2:20">
      <c r="B59" s="31">
        <v>1054</v>
      </c>
      <c r="C59" s="13">
        <v>43165</v>
      </c>
      <c r="D59" s="13">
        <f t="shared" si="0"/>
        <v>43896</v>
      </c>
      <c r="E59" s="14">
        <v>6</v>
      </c>
      <c r="F59" s="15" t="s">
        <v>89</v>
      </c>
      <c r="G59" s="16" t="s">
        <v>46</v>
      </c>
      <c r="H59" s="16" t="s">
        <v>47</v>
      </c>
      <c r="I59" s="16" t="s">
        <v>48</v>
      </c>
      <c r="J59" s="16" t="s">
        <v>33</v>
      </c>
      <c r="K59" s="13">
        <v>43167</v>
      </c>
      <c r="L59" s="13">
        <f t="shared" si="1"/>
        <v>43898</v>
      </c>
      <c r="M59" s="16" t="s">
        <v>139</v>
      </c>
      <c r="N59" s="16" t="s">
        <v>25</v>
      </c>
      <c r="O59" s="16" t="s">
        <v>19</v>
      </c>
      <c r="P59" s="16" t="s">
        <v>20</v>
      </c>
      <c r="Q59" s="17">
        <v>196</v>
      </c>
      <c r="R59" s="16">
        <v>53</v>
      </c>
      <c r="S59" s="42">
        <f>VENTAS[[#This Row],[Precio unitario]]*VENTAS[[#This Row],[Cantidad]]</f>
        <v>10388</v>
      </c>
      <c r="T59" s="33">
        <v>1007.6360000000001</v>
      </c>
    </row>
    <row r="60" spans="2:20">
      <c r="B60" s="31">
        <v>1055</v>
      </c>
      <c r="C60" s="13">
        <v>43167</v>
      </c>
      <c r="D60" s="13">
        <f t="shared" si="0"/>
        <v>43898</v>
      </c>
      <c r="E60" s="14">
        <v>8</v>
      </c>
      <c r="F60" s="15" t="s">
        <v>90</v>
      </c>
      <c r="G60" s="16" t="s">
        <v>30</v>
      </c>
      <c r="H60" s="16" t="s">
        <v>31</v>
      </c>
      <c r="I60" s="16" t="s">
        <v>32</v>
      </c>
      <c r="J60" s="16" t="s">
        <v>33</v>
      </c>
      <c r="K60" s="13">
        <v>43169</v>
      </c>
      <c r="L60" s="13">
        <f t="shared" si="1"/>
        <v>43900</v>
      </c>
      <c r="M60" s="16" t="s">
        <v>139</v>
      </c>
      <c r="N60" s="16" t="s">
        <v>43</v>
      </c>
      <c r="O60" s="16" t="s">
        <v>49</v>
      </c>
      <c r="P60" s="16" t="s">
        <v>50</v>
      </c>
      <c r="Q60" s="17">
        <v>560</v>
      </c>
      <c r="R60" s="16">
        <v>85</v>
      </c>
      <c r="S60" s="42">
        <f>VENTAS[[#This Row],[Precio unitario]]*VENTAS[[#This Row],[Cantidad]]</f>
        <v>47600</v>
      </c>
      <c r="T60" s="33">
        <v>4998</v>
      </c>
    </row>
    <row r="61" spans="2:20">
      <c r="B61" s="31">
        <v>1056</v>
      </c>
      <c r="C61" s="13">
        <v>43167</v>
      </c>
      <c r="D61" s="13">
        <f t="shared" si="0"/>
        <v>43898</v>
      </c>
      <c r="E61" s="14">
        <v>8</v>
      </c>
      <c r="F61" s="15" t="s">
        <v>91</v>
      </c>
      <c r="G61" s="16" t="s">
        <v>30</v>
      </c>
      <c r="H61" s="16" t="s">
        <v>31</v>
      </c>
      <c r="I61" s="16" t="s">
        <v>32</v>
      </c>
      <c r="J61" s="16" t="s">
        <v>33</v>
      </c>
      <c r="K61" s="13">
        <v>43169</v>
      </c>
      <c r="L61" s="13">
        <f t="shared" si="1"/>
        <v>43900</v>
      </c>
      <c r="M61" s="16" t="s">
        <v>139</v>
      </c>
      <c r="N61" s="16" t="s">
        <v>43</v>
      </c>
      <c r="O61" s="16" t="s">
        <v>34</v>
      </c>
      <c r="P61" s="16" t="s">
        <v>35</v>
      </c>
      <c r="Q61" s="17">
        <v>128.79999999999998</v>
      </c>
      <c r="R61" s="16">
        <v>97</v>
      </c>
      <c r="S61" s="42">
        <f>VENTAS[[#This Row],[Precio unitario]]*VENTAS[[#This Row],[Cantidad]]</f>
        <v>12493.599999999999</v>
      </c>
      <c r="T61" s="33">
        <v>1274.3472000000002</v>
      </c>
    </row>
    <row r="62" spans="2:20">
      <c r="B62" s="31">
        <v>1057</v>
      </c>
      <c r="C62" s="13">
        <v>43184</v>
      </c>
      <c r="D62" s="13">
        <f t="shared" si="0"/>
        <v>43915</v>
      </c>
      <c r="E62" s="14">
        <v>25</v>
      </c>
      <c r="F62" s="15" t="s">
        <v>92</v>
      </c>
      <c r="G62" s="16" t="s">
        <v>54</v>
      </c>
      <c r="H62" s="16" t="s">
        <v>55</v>
      </c>
      <c r="I62" s="16" t="s">
        <v>56</v>
      </c>
      <c r="J62" s="16" t="s">
        <v>141</v>
      </c>
      <c r="K62" s="13">
        <v>43186</v>
      </c>
      <c r="L62" s="13">
        <f t="shared" si="1"/>
        <v>43917</v>
      </c>
      <c r="M62" s="16" t="s">
        <v>138</v>
      </c>
      <c r="N62" s="16" t="s">
        <v>43</v>
      </c>
      <c r="O62" s="16" t="s">
        <v>79</v>
      </c>
      <c r="P62" s="16" t="s">
        <v>35</v>
      </c>
      <c r="Q62" s="17">
        <v>140</v>
      </c>
      <c r="R62" s="16">
        <v>46</v>
      </c>
      <c r="S62" s="42">
        <f>VENTAS[[#This Row],[Precio unitario]]*VENTAS[[#This Row],[Cantidad]]</f>
        <v>6440</v>
      </c>
      <c r="T62" s="33">
        <v>650.44000000000005</v>
      </c>
    </row>
    <row r="63" spans="2:20">
      <c r="B63" s="31">
        <v>1058</v>
      </c>
      <c r="C63" s="13">
        <v>43185</v>
      </c>
      <c r="D63" s="13">
        <f t="shared" si="0"/>
        <v>43916</v>
      </c>
      <c r="E63" s="14">
        <v>26</v>
      </c>
      <c r="F63" s="15" t="s">
        <v>93</v>
      </c>
      <c r="G63" s="16" t="s">
        <v>63</v>
      </c>
      <c r="H63" s="16" t="s">
        <v>63</v>
      </c>
      <c r="I63" s="16" t="s">
        <v>53</v>
      </c>
      <c r="J63" s="16" t="s">
        <v>143</v>
      </c>
      <c r="K63" s="13">
        <v>43187</v>
      </c>
      <c r="L63" s="13">
        <f t="shared" si="1"/>
        <v>43918</v>
      </c>
      <c r="M63" s="16" t="s">
        <v>140</v>
      </c>
      <c r="N63" s="16" t="s">
        <v>25</v>
      </c>
      <c r="O63" s="16" t="s">
        <v>80</v>
      </c>
      <c r="P63" s="16" t="s">
        <v>81</v>
      </c>
      <c r="Q63" s="17">
        <v>298.90000000000003</v>
      </c>
      <c r="R63" s="16">
        <v>97</v>
      </c>
      <c r="S63" s="42">
        <f>VENTAS[[#This Row],[Precio unitario]]*VENTAS[[#This Row],[Cantidad]]</f>
        <v>28993.300000000003</v>
      </c>
      <c r="T63" s="33">
        <v>2754.3634999999999</v>
      </c>
    </row>
    <row r="64" spans="2:20">
      <c r="B64" s="31">
        <v>1059</v>
      </c>
      <c r="C64" s="13">
        <v>43185</v>
      </c>
      <c r="D64" s="13">
        <f t="shared" si="0"/>
        <v>43916</v>
      </c>
      <c r="E64" s="14">
        <v>26</v>
      </c>
      <c r="F64" s="15" t="s">
        <v>94</v>
      </c>
      <c r="G64" s="16" t="s">
        <v>63</v>
      </c>
      <c r="H64" s="16" t="s">
        <v>63</v>
      </c>
      <c r="I64" s="16" t="s">
        <v>53</v>
      </c>
      <c r="J64" s="16" t="s">
        <v>143</v>
      </c>
      <c r="K64" s="13">
        <v>43187</v>
      </c>
      <c r="L64" s="13">
        <f t="shared" si="1"/>
        <v>43918</v>
      </c>
      <c r="M64" s="16" t="s">
        <v>140</v>
      </c>
      <c r="N64" s="16" t="s">
        <v>25</v>
      </c>
      <c r="O64" s="16" t="s">
        <v>44</v>
      </c>
      <c r="P64" s="16" t="s">
        <v>45</v>
      </c>
      <c r="Q64" s="17">
        <v>135.1</v>
      </c>
      <c r="R64" s="16">
        <v>97</v>
      </c>
      <c r="S64" s="42">
        <f>VENTAS[[#This Row],[Precio unitario]]*VENTAS[[#This Row],[Cantidad]]</f>
        <v>13104.699999999999</v>
      </c>
      <c r="T64" s="33">
        <v>1336.6794000000002</v>
      </c>
    </row>
    <row r="65" spans="2:20">
      <c r="B65" s="31">
        <v>1060</v>
      </c>
      <c r="C65" s="13">
        <v>43185</v>
      </c>
      <c r="D65" s="13">
        <f t="shared" si="0"/>
        <v>43916</v>
      </c>
      <c r="E65" s="14">
        <v>26</v>
      </c>
      <c r="F65" s="15" t="s">
        <v>95</v>
      </c>
      <c r="G65" s="16" t="s">
        <v>63</v>
      </c>
      <c r="H65" s="16" t="s">
        <v>63</v>
      </c>
      <c r="I65" s="16" t="s">
        <v>53</v>
      </c>
      <c r="J65" s="16" t="s">
        <v>143</v>
      </c>
      <c r="K65" s="13">
        <v>43187</v>
      </c>
      <c r="L65" s="13">
        <f t="shared" si="1"/>
        <v>43918</v>
      </c>
      <c r="M65" s="16" t="s">
        <v>140</v>
      </c>
      <c r="N65" s="16" t="s">
        <v>25</v>
      </c>
      <c r="O65" s="16" t="s">
        <v>66</v>
      </c>
      <c r="P65" s="16" t="s">
        <v>67</v>
      </c>
      <c r="Q65" s="17">
        <v>257.59999999999997</v>
      </c>
      <c r="R65" s="16">
        <v>65</v>
      </c>
      <c r="S65" s="42">
        <f>VENTAS[[#This Row],[Precio unitario]]*VENTAS[[#This Row],[Cantidad]]</f>
        <v>16743.999999999996</v>
      </c>
      <c r="T65" s="33">
        <v>1724.6320000000003</v>
      </c>
    </row>
    <row r="66" spans="2:20">
      <c r="B66" s="31">
        <v>1061</v>
      </c>
      <c r="C66" s="13">
        <v>43188</v>
      </c>
      <c r="D66" s="13">
        <f t="shared" si="0"/>
        <v>43919</v>
      </c>
      <c r="E66" s="14">
        <v>29</v>
      </c>
      <c r="F66" s="15" t="s">
        <v>96</v>
      </c>
      <c r="G66" s="16" t="s">
        <v>36</v>
      </c>
      <c r="H66" s="16" t="s">
        <v>37</v>
      </c>
      <c r="I66" s="16" t="s">
        <v>38</v>
      </c>
      <c r="J66" s="16" t="s">
        <v>142</v>
      </c>
      <c r="K66" s="13">
        <v>43190</v>
      </c>
      <c r="L66" s="13">
        <f t="shared" si="1"/>
        <v>43921</v>
      </c>
      <c r="M66" s="16" t="s">
        <v>139</v>
      </c>
      <c r="N66" s="16" t="s">
        <v>43</v>
      </c>
      <c r="O66" s="16" t="s">
        <v>19</v>
      </c>
      <c r="P66" s="16" t="s">
        <v>20</v>
      </c>
      <c r="Q66" s="17">
        <v>196</v>
      </c>
      <c r="R66" s="16">
        <v>72</v>
      </c>
      <c r="S66" s="42">
        <f>VENTAS[[#This Row],[Precio unitario]]*VENTAS[[#This Row],[Cantidad]]</f>
        <v>14112</v>
      </c>
      <c r="T66" s="33">
        <v>1411.2000000000003</v>
      </c>
    </row>
    <row r="67" spans="2:20">
      <c r="B67" s="31">
        <v>1062</v>
      </c>
      <c r="C67" s="13">
        <v>43165</v>
      </c>
      <c r="D67" s="13">
        <f t="shared" si="0"/>
        <v>43896</v>
      </c>
      <c r="E67" s="14">
        <v>6</v>
      </c>
      <c r="F67" s="15" t="s">
        <v>97</v>
      </c>
      <c r="G67" s="16" t="s">
        <v>46</v>
      </c>
      <c r="H67" s="16" t="s">
        <v>47</v>
      </c>
      <c r="I67" s="16" t="s">
        <v>48</v>
      </c>
      <c r="J67" s="16" t="s">
        <v>33</v>
      </c>
      <c r="K67" s="13">
        <v>43167</v>
      </c>
      <c r="L67" s="13">
        <f t="shared" si="1"/>
        <v>43898</v>
      </c>
      <c r="M67" s="16" t="s">
        <v>140</v>
      </c>
      <c r="N67" s="16" t="s">
        <v>43</v>
      </c>
      <c r="O67" s="16" t="s">
        <v>39</v>
      </c>
      <c r="P67" s="16" t="s">
        <v>40</v>
      </c>
      <c r="Q67" s="17">
        <v>178.5</v>
      </c>
      <c r="R67" s="16">
        <v>16</v>
      </c>
      <c r="S67" s="42">
        <f>VENTAS[[#This Row],[Precio unitario]]*VENTAS[[#This Row],[Cantidad]]</f>
        <v>2856</v>
      </c>
      <c r="T67" s="33">
        <v>282.74400000000003</v>
      </c>
    </row>
    <row r="68" spans="2:20">
      <c r="B68" s="31">
        <v>1064</v>
      </c>
      <c r="C68" s="13">
        <v>43163</v>
      </c>
      <c r="D68" s="13">
        <f t="shared" si="0"/>
        <v>43894</v>
      </c>
      <c r="E68" s="14">
        <v>4</v>
      </c>
      <c r="F68" s="15" t="s">
        <v>98</v>
      </c>
      <c r="G68" s="16" t="s">
        <v>23</v>
      </c>
      <c r="H68" s="16" t="s">
        <v>23</v>
      </c>
      <c r="I68" s="16" t="s">
        <v>24</v>
      </c>
      <c r="J68" s="16" t="s">
        <v>141</v>
      </c>
      <c r="K68" s="13">
        <v>43165</v>
      </c>
      <c r="L68" s="13">
        <f t="shared" si="1"/>
        <v>43896</v>
      </c>
      <c r="M68" s="16" t="s">
        <v>138</v>
      </c>
      <c r="N68" s="16" t="s">
        <v>25</v>
      </c>
      <c r="O68" s="16" t="s">
        <v>82</v>
      </c>
      <c r="P68" s="16" t="s">
        <v>60</v>
      </c>
      <c r="Q68" s="17">
        <v>1134</v>
      </c>
      <c r="R68" s="16">
        <v>77</v>
      </c>
      <c r="S68" s="42">
        <f>VENTAS[[#This Row],[Precio unitario]]*VENTAS[[#This Row],[Cantidad]]</f>
        <v>87318</v>
      </c>
      <c r="T68" s="33">
        <v>8993.7540000000008</v>
      </c>
    </row>
    <row r="69" spans="2:20">
      <c r="B69" s="31">
        <v>1065</v>
      </c>
      <c r="C69" s="13">
        <v>43163</v>
      </c>
      <c r="D69" s="13">
        <f t="shared" si="0"/>
        <v>43894</v>
      </c>
      <c r="E69" s="14">
        <v>4</v>
      </c>
      <c r="F69" s="15" t="s">
        <v>99</v>
      </c>
      <c r="G69" s="16" t="s">
        <v>23</v>
      </c>
      <c r="H69" s="16" t="s">
        <v>23</v>
      </c>
      <c r="I69" s="16" t="s">
        <v>24</v>
      </c>
      <c r="J69" s="16" t="s">
        <v>141</v>
      </c>
      <c r="K69" s="13">
        <v>43165</v>
      </c>
      <c r="L69" s="13">
        <f t="shared" si="1"/>
        <v>43896</v>
      </c>
      <c r="M69" s="16" t="s">
        <v>138</v>
      </c>
      <c r="N69" s="16" t="s">
        <v>25</v>
      </c>
      <c r="O69" s="16" t="s">
        <v>83</v>
      </c>
      <c r="P69" s="16" t="s">
        <v>84</v>
      </c>
      <c r="Q69" s="17">
        <v>98</v>
      </c>
      <c r="R69" s="16">
        <v>37</v>
      </c>
      <c r="S69" s="42">
        <f>VENTAS[[#This Row],[Precio unitario]]*VENTAS[[#This Row],[Cantidad]]</f>
        <v>3626</v>
      </c>
      <c r="T69" s="33">
        <v>344.47</v>
      </c>
    </row>
    <row r="70" spans="2:20">
      <c r="B70" s="31">
        <v>1067</v>
      </c>
      <c r="C70" s="13">
        <v>43167</v>
      </c>
      <c r="D70" s="13">
        <f t="shared" si="0"/>
        <v>43898</v>
      </c>
      <c r="E70" s="14">
        <v>8</v>
      </c>
      <c r="F70" s="15" t="s">
        <v>100</v>
      </c>
      <c r="G70" s="16" t="s">
        <v>30</v>
      </c>
      <c r="H70" s="16" t="s">
        <v>31</v>
      </c>
      <c r="I70" s="16" t="s">
        <v>32</v>
      </c>
      <c r="J70" s="16" t="s">
        <v>33</v>
      </c>
      <c r="K70" s="13">
        <v>43169</v>
      </c>
      <c r="L70" s="13">
        <f t="shared" si="1"/>
        <v>43900</v>
      </c>
      <c r="M70" s="16" t="s">
        <v>140</v>
      </c>
      <c r="N70" s="16" t="s">
        <v>25</v>
      </c>
      <c r="O70" s="16" t="s">
        <v>72</v>
      </c>
      <c r="P70" s="16" t="s">
        <v>73</v>
      </c>
      <c r="Q70" s="17">
        <v>487.19999999999993</v>
      </c>
      <c r="R70" s="16">
        <v>63</v>
      </c>
      <c r="S70" s="42">
        <f>VENTAS[[#This Row],[Precio unitario]]*VENTAS[[#This Row],[Cantidad]]</f>
        <v>30693.599999999995</v>
      </c>
      <c r="T70" s="33">
        <v>3038.6664000000001</v>
      </c>
    </row>
    <row r="71" spans="2:20">
      <c r="B71" s="31">
        <v>1070</v>
      </c>
      <c r="C71" s="13">
        <v>43162</v>
      </c>
      <c r="D71" s="13">
        <f t="shared" ref="D71:D134" si="2">EDATE(C71,24)</f>
        <v>43893</v>
      </c>
      <c r="E71" s="14">
        <v>3</v>
      </c>
      <c r="F71" s="15" t="s">
        <v>101</v>
      </c>
      <c r="G71" s="16" t="s">
        <v>41</v>
      </c>
      <c r="H71" s="16" t="s">
        <v>42</v>
      </c>
      <c r="I71" s="16" t="s">
        <v>18</v>
      </c>
      <c r="J71" s="16" t="s">
        <v>142</v>
      </c>
      <c r="K71" s="13">
        <v>43164</v>
      </c>
      <c r="L71" s="13">
        <f t="shared" ref="L71:L134" si="3">EDATE(K71,24)</f>
        <v>43895</v>
      </c>
      <c r="M71" s="16" t="s">
        <v>139</v>
      </c>
      <c r="N71" s="16" t="s">
        <v>43</v>
      </c>
      <c r="O71" s="16" t="s">
        <v>74</v>
      </c>
      <c r="P71" s="16" t="s">
        <v>62</v>
      </c>
      <c r="Q71" s="17">
        <v>140</v>
      </c>
      <c r="R71" s="16">
        <v>48</v>
      </c>
      <c r="S71" s="42">
        <f>VENTAS[[#This Row],[Precio unitario]]*VENTAS[[#This Row],[Cantidad]]</f>
        <v>6720</v>
      </c>
      <c r="T71" s="33">
        <v>672</v>
      </c>
    </row>
    <row r="72" spans="2:20">
      <c r="B72" s="31">
        <v>1071</v>
      </c>
      <c r="C72" s="13">
        <v>43162</v>
      </c>
      <c r="D72" s="13">
        <f t="shared" si="2"/>
        <v>43893</v>
      </c>
      <c r="E72" s="14">
        <v>3</v>
      </c>
      <c r="F72" s="15" t="s">
        <v>102</v>
      </c>
      <c r="G72" s="16" t="s">
        <v>41</v>
      </c>
      <c r="H72" s="16" t="s">
        <v>42</v>
      </c>
      <c r="I72" s="16" t="s">
        <v>18</v>
      </c>
      <c r="J72" s="16" t="s">
        <v>142</v>
      </c>
      <c r="K72" s="13">
        <v>43164</v>
      </c>
      <c r="L72" s="13">
        <f t="shared" si="3"/>
        <v>43895</v>
      </c>
      <c r="M72" s="16" t="s">
        <v>139</v>
      </c>
      <c r="N72" s="16" t="s">
        <v>43</v>
      </c>
      <c r="O72" s="16" t="s">
        <v>49</v>
      </c>
      <c r="P72" s="16" t="s">
        <v>50</v>
      </c>
      <c r="Q72" s="17">
        <v>560</v>
      </c>
      <c r="R72" s="16">
        <v>71</v>
      </c>
      <c r="S72" s="42">
        <f>VENTAS[[#This Row],[Precio unitario]]*VENTAS[[#This Row],[Cantidad]]</f>
        <v>39760</v>
      </c>
      <c r="T72" s="33">
        <v>4135.04</v>
      </c>
    </row>
    <row r="73" spans="2:20">
      <c r="B73" s="31">
        <v>1075</v>
      </c>
      <c r="C73" s="13">
        <v>43169</v>
      </c>
      <c r="D73" s="13">
        <f t="shared" si="2"/>
        <v>43900</v>
      </c>
      <c r="E73" s="14">
        <v>10</v>
      </c>
      <c r="F73" s="15" t="s">
        <v>103</v>
      </c>
      <c r="G73" s="16" t="s">
        <v>54</v>
      </c>
      <c r="H73" s="16" t="s">
        <v>55</v>
      </c>
      <c r="I73" s="16" t="s">
        <v>56</v>
      </c>
      <c r="J73" s="16" t="s">
        <v>141</v>
      </c>
      <c r="K73" s="13">
        <v>43171</v>
      </c>
      <c r="L73" s="13">
        <f t="shared" si="3"/>
        <v>43902</v>
      </c>
      <c r="M73" s="16" t="s">
        <v>139</v>
      </c>
      <c r="N73" s="16" t="s">
        <v>25</v>
      </c>
      <c r="O73" s="16" t="s">
        <v>75</v>
      </c>
      <c r="P73" s="16" t="s">
        <v>22</v>
      </c>
      <c r="Q73" s="17">
        <v>140</v>
      </c>
      <c r="R73" s="16">
        <v>55</v>
      </c>
      <c r="S73" s="42">
        <f>VENTAS[[#This Row],[Precio unitario]]*VENTAS[[#This Row],[Cantidad]]</f>
        <v>7700</v>
      </c>
      <c r="T73" s="33">
        <v>770</v>
      </c>
    </row>
    <row r="74" spans="2:20">
      <c r="B74" s="31">
        <v>1077</v>
      </c>
      <c r="C74" s="13">
        <v>43169</v>
      </c>
      <c r="D74" s="13">
        <f t="shared" si="2"/>
        <v>43900</v>
      </c>
      <c r="E74" s="14">
        <v>10</v>
      </c>
      <c r="F74" s="15" t="s">
        <v>104</v>
      </c>
      <c r="G74" s="16" t="s">
        <v>54</v>
      </c>
      <c r="H74" s="16" t="s">
        <v>55</v>
      </c>
      <c r="I74" s="16" t="s">
        <v>56</v>
      </c>
      <c r="J74" s="16" t="s">
        <v>141</v>
      </c>
      <c r="K74" s="13"/>
      <c r="L74" s="13">
        <f t="shared" si="3"/>
        <v>731</v>
      </c>
      <c r="M74" s="16" t="s">
        <v>138</v>
      </c>
      <c r="N74" s="16" t="s">
        <v>25</v>
      </c>
      <c r="O74" s="16" t="s">
        <v>21</v>
      </c>
      <c r="P74" s="16" t="s">
        <v>22</v>
      </c>
      <c r="Q74" s="17">
        <v>49</v>
      </c>
      <c r="R74" s="16">
        <v>21</v>
      </c>
      <c r="S74" s="42">
        <f>VENTAS[[#This Row],[Precio unitario]]*VENTAS[[#This Row],[Cantidad]]</f>
        <v>1029</v>
      </c>
      <c r="T74" s="33">
        <v>102.9</v>
      </c>
    </row>
    <row r="75" spans="2:20">
      <c r="B75" s="31">
        <v>1078</v>
      </c>
      <c r="C75" s="13">
        <v>43170</v>
      </c>
      <c r="D75" s="13">
        <f t="shared" si="2"/>
        <v>43901</v>
      </c>
      <c r="E75" s="14">
        <v>11</v>
      </c>
      <c r="F75" s="15" t="s">
        <v>105</v>
      </c>
      <c r="G75" s="16" t="s">
        <v>63</v>
      </c>
      <c r="H75" s="16" t="s">
        <v>63</v>
      </c>
      <c r="I75" s="16" t="s">
        <v>53</v>
      </c>
      <c r="J75" s="16" t="s">
        <v>143</v>
      </c>
      <c r="K75" s="13"/>
      <c r="L75" s="13">
        <f t="shared" si="3"/>
        <v>731</v>
      </c>
      <c r="M75" s="16" t="s">
        <v>140</v>
      </c>
      <c r="N75" s="16" t="s">
        <v>25</v>
      </c>
      <c r="O75" s="16" t="s">
        <v>49</v>
      </c>
      <c r="P75" s="16" t="s">
        <v>50</v>
      </c>
      <c r="Q75" s="17">
        <v>560</v>
      </c>
      <c r="R75" s="16">
        <v>67</v>
      </c>
      <c r="S75" s="42">
        <f>VENTAS[[#This Row],[Precio unitario]]*VENTAS[[#This Row],[Cantidad]]</f>
        <v>37520</v>
      </c>
      <c r="T75" s="33">
        <v>3789.52</v>
      </c>
    </row>
    <row r="76" spans="2:20">
      <c r="B76" s="31">
        <v>1079</v>
      </c>
      <c r="C76" s="13">
        <v>43160</v>
      </c>
      <c r="D76" s="13">
        <f t="shared" si="2"/>
        <v>43891</v>
      </c>
      <c r="E76" s="14">
        <v>1</v>
      </c>
      <c r="F76" s="15" t="s">
        <v>106</v>
      </c>
      <c r="G76" s="16" t="s">
        <v>64</v>
      </c>
      <c r="H76" s="16" t="s">
        <v>65</v>
      </c>
      <c r="I76" s="16" t="s">
        <v>32</v>
      </c>
      <c r="J76" s="16" t="s">
        <v>33</v>
      </c>
      <c r="K76" s="13"/>
      <c r="L76" s="13">
        <f t="shared" si="3"/>
        <v>731</v>
      </c>
      <c r="M76" s="16" t="s">
        <v>140</v>
      </c>
      <c r="N76" s="16" t="s">
        <v>25</v>
      </c>
      <c r="O76" s="16" t="s">
        <v>66</v>
      </c>
      <c r="P76" s="16" t="s">
        <v>67</v>
      </c>
      <c r="Q76" s="17">
        <v>257.59999999999997</v>
      </c>
      <c r="R76" s="16">
        <v>75</v>
      </c>
      <c r="S76" s="42">
        <f>VENTAS[[#This Row],[Precio unitario]]*VENTAS[[#This Row],[Cantidad]]</f>
        <v>19319.999999999996</v>
      </c>
      <c r="T76" s="33">
        <v>1932</v>
      </c>
    </row>
    <row r="77" spans="2:20">
      <c r="B77" s="31">
        <v>1080</v>
      </c>
      <c r="C77" s="13">
        <v>43187</v>
      </c>
      <c r="D77" s="13">
        <f t="shared" si="2"/>
        <v>43918</v>
      </c>
      <c r="E77" s="14">
        <v>28</v>
      </c>
      <c r="F77" s="15" t="s">
        <v>107</v>
      </c>
      <c r="G77" s="16" t="s">
        <v>51</v>
      </c>
      <c r="H77" s="16" t="s">
        <v>52</v>
      </c>
      <c r="I77" s="16" t="s">
        <v>53</v>
      </c>
      <c r="J77" s="16" t="s">
        <v>143</v>
      </c>
      <c r="K77" s="13">
        <v>43189</v>
      </c>
      <c r="L77" s="13">
        <f t="shared" si="3"/>
        <v>43920</v>
      </c>
      <c r="M77" s="16" t="s">
        <v>140</v>
      </c>
      <c r="N77" s="16" t="s">
        <v>25</v>
      </c>
      <c r="O77" s="16" t="s">
        <v>29</v>
      </c>
      <c r="P77" s="16" t="s">
        <v>20</v>
      </c>
      <c r="Q77" s="17">
        <v>644</v>
      </c>
      <c r="R77" s="16">
        <v>17</v>
      </c>
      <c r="S77" s="42">
        <f>VENTAS[[#This Row],[Precio unitario]]*VENTAS[[#This Row],[Cantidad]]</f>
        <v>10948</v>
      </c>
      <c r="T77" s="33">
        <v>1127.644</v>
      </c>
    </row>
    <row r="78" spans="2:20">
      <c r="B78" s="31">
        <v>1081</v>
      </c>
      <c r="C78" s="13">
        <v>43194</v>
      </c>
      <c r="D78" s="13">
        <f t="shared" si="2"/>
        <v>43925</v>
      </c>
      <c r="E78" s="14">
        <v>4</v>
      </c>
      <c r="F78" s="15" t="s">
        <v>108</v>
      </c>
      <c r="G78" s="16" t="s">
        <v>23</v>
      </c>
      <c r="H78" s="16" t="s">
        <v>23</v>
      </c>
      <c r="I78" s="16" t="s">
        <v>24</v>
      </c>
      <c r="J78" s="16" t="s">
        <v>141</v>
      </c>
      <c r="K78" s="13">
        <v>43196</v>
      </c>
      <c r="L78" s="13">
        <f t="shared" si="3"/>
        <v>43927</v>
      </c>
      <c r="M78" s="16" t="s">
        <v>138</v>
      </c>
      <c r="N78" s="16" t="s">
        <v>25</v>
      </c>
      <c r="O78" s="16" t="s">
        <v>21</v>
      </c>
      <c r="P78" s="16" t="s">
        <v>22</v>
      </c>
      <c r="Q78" s="17">
        <v>49</v>
      </c>
      <c r="R78" s="16">
        <v>48</v>
      </c>
      <c r="S78" s="42">
        <f>VENTAS[[#This Row],[Precio unitario]]*VENTAS[[#This Row],[Cantidad]]</f>
        <v>2352</v>
      </c>
      <c r="T78" s="33">
        <v>228.14400000000001</v>
      </c>
    </row>
    <row r="79" spans="2:20">
      <c r="B79" s="31">
        <v>1082</v>
      </c>
      <c r="C79" s="13">
        <v>43202</v>
      </c>
      <c r="D79" s="13">
        <f t="shared" si="2"/>
        <v>43933</v>
      </c>
      <c r="E79" s="14">
        <v>12</v>
      </c>
      <c r="F79" s="15" t="s">
        <v>109</v>
      </c>
      <c r="G79" s="16" t="s">
        <v>16</v>
      </c>
      <c r="H79" s="16" t="s">
        <v>17</v>
      </c>
      <c r="I79" s="16" t="s">
        <v>18</v>
      </c>
      <c r="J79" s="16" t="s">
        <v>142</v>
      </c>
      <c r="K79" s="13">
        <v>43204</v>
      </c>
      <c r="L79" s="13">
        <f t="shared" si="3"/>
        <v>43935</v>
      </c>
      <c r="M79" s="16" t="s">
        <v>139</v>
      </c>
      <c r="N79" s="16" t="s">
        <v>25</v>
      </c>
      <c r="O79" s="16" t="s">
        <v>28</v>
      </c>
      <c r="P79" s="16" t="s">
        <v>20</v>
      </c>
      <c r="Q79" s="17">
        <v>252</v>
      </c>
      <c r="R79" s="16">
        <v>74</v>
      </c>
      <c r="S79" s="42">
        <f>VENTAS[[#This Row],[Precio unitario]]*VENTAS[[#This Row],[Cantidad]]</f>
        <v>18648</v>
      </c>
      <c r="T79" s="33">
        <v>1920.7440000000004</v>
      </c>
    </row>
    <row r="80" spans="2:20">
      <c r="B80" s="31">
        <v>1083</v>
      </c>
      <c r="C80" s="13">
        <v>43202</v>
      </c>
      <c r="D80" s="13">
        <f t="shared" si="2"/>
        <v>43933</v>
      </c>
      <c r="E80" s="14">
        <v>12</v>
      </c>
      <c r="F80" s="15" t="s">
        <v>110</v>
      </c>
      <c r="G80" s="16" t="s">
        <v>16</v>
      </c>
      <c r="H80" s="16" t="s">
        <v>17</v>
      </c>
      <c r="I80" s="16" t="s">
        <v>18</v>
      </c>
      <c r="J80" s="16" t="s">
        <v>142</v>
      </c>
      <c r="K80" s="13">
        <v>43204</v>
      </c>
      <c r="L80" s="13">
        <f t="shared" si="3"/>
        <v>43935</v>
      </c>
      <c r="M80" s="16" t="s">
        <v>139</v>
      </c>
      <c r="N80" s="16" t="s">
        <v>25</v>
      </c>
      <c r="O80" s="16" t="s">
        <v>29</v>
      </c>
      <c r="P80" s="16" t="s">
        <v>20</v>
      </c>
      <c r="Q80" s="17">
        <v>644</v>
      </c>
      <c r="R80" s="16">
        <v>96</v>
      </c>
      <c r="S80" s="42">
        <f>VENTAS[[#This Row],[Precio unitario]]*VENTAS[[#This Row],[Cantidad]]</f>
        <v>61824</v>
      </c>
      <c r="T80" s="33">
        <v>5996.9280000000008</v>
      </c>
    </row>
    <row r="81" spans="2:20">
      <c r="B81" s="31">
        <v>1084</v>
      </c>
      <c r="C81" s="13">
        <v>43198</v>
      </c>
      <c r="D81" s="13">
        <f t="shared" si="2"/>
        <v>43929</v>
      </c>
      <c r="E81" s="14">
        <v>8</v>
      </c>
      <c r="F81" s="15" t="s">
        <v>111</v>
      </c>
      <c r="G81" s="16" t="s">
        <v>30</v>
      </c>
      <c r="H81" s="16" t="s">
        <v>31</v>
      </c>
      <c r="I81" s="16" t="s">
        <v>32</v>
      </c>
      <c r="J81" s="16" t="s">
        <v>33</v>
      </c>
      <c r="K81" s="13">
        <v>43200</v>
      </c>
      <c r="L81" s="13">
        <f t="shared" si="3"/>
        <v>43931</v>
      </c>
      <c r="M81" s="16" t="s">
        <v>140</v>
      </c>
      <c r="N81" s="16" t="s">
        <v>25</v>
      </c>
      <c r="O81" s="16" t="s">
        <v>34</v>
      </c>
      <c r="P81" s="16" t="s">
        <v>35</v>
      </c>
      <c r="Q81" s="17">
        <v>128.79999999999998</v>
      </c>
      <c r="R81" s="16">
        <v>12</v>
      </c>
      <c r="S81" s="42">
        <f>VENTAS[[#This Row],[Precio unitario]]*VENTAS[[#This Row],[Cantidad]]</f>
        <v>1545.6</v>
      </c>
      <c r="T81" s="33">
        <v>159.1968</v>
      </c>
    </row>
    <row r="82" spans="2:20">
      <c r="B82" s="31">
        <v>1085</v>
      </c>
      <c r="C82" s="13">
        <v>43194</v>
      </c>
      <c r="D82" s="13">
        <f t="shared" si="2"/>
        <v>43925</v>
      </c>
      <c r="E82" s="14">
        <v>4</v>
      </c>
      <c r="F82" s="15" t="s">
        <v>112</v>
      </c>
      <c r="G82" s="16" t="s">
        <v>23</v>
      </c>
      <c r="H82" s="16" t="s">
        <v>23</v>
      </c>
      <c r="I82" s="16" t="s">
        <v>24</v>
      </c>
      <c r="J82" s="16" t="s">
        <v>141</v>
      </c>
      <c r="K82" s="13">
        <v>43196</v>
      </c>
      <c r="L82" s="13">
        <f t="shared" si="3"/>
        <v>43927</v>
      </c>
      <c r="M82" s="16" t="s">
        <v>140</v>
      </c>
      <c r="N82" s="16" t="s">
        <v>43</v>
      </c>
      <c r="O82" s="16" t="s">
        <v>34</v>
      </c>
      <c r="P82" s="16" t="s">
        <v>35</v>
      </c>
      <c r="Q82" s="17">
        <v>128.79999999999998</v>
      </c>
      <c r="R82" s="16">
        <v>62</v>
      </c>
      <c r="S82" s="42">
        <f>VENTAS[[#This Row],[Precio unitario]]*VENTAS[[#This Row],[Cantidad]]</f>
        <v>7985.5999999999985</v>
      </c>
      <c r="T82" s="33">
        <v>822.51679999999999</v>
      </c>
    </row>
    <row r="83" spans="2:20">
      <c r="B83" s="31">
        <v>1086</v>
      </c>
      <c r="C83" s="13">
        <v>43219</v>
      </c>
      <c r="D83" s="13">
        <f t="shared" si="2"/>
        <v>43950</v>
      </c>
      <c r="E83" s="14">
        <v>29</v>
      </c>
      <c r="F83" s="15" t="s">
        <v>113</v>
      </c>
      <c r="G83" s="16" t="s">
        <v>36</v>
      </c>
      <c r="H83" s="16" t="s">
        <v>37</v>
      </c>
      <c r="I83" s="16" t="s">
        <v>38</v>
      </c>
      <c r="J83" s="16" t="s">
        <v>142</v>
      </c>
      <c r="K83" s="13">
        <v>43221</v>
      </c>
      <c r="L83" s="13">
        <f t="shared" si="3"/>
        <v>43952</v>
      </c>
      <c r="M83" s="16" t="s">
        <v>139</v>
      </c>
      <c r="N83" s="16" t="s">
        <v>43</v>
      </c>
      <c r="O83" s="16" t="s">
        <v>39</v>
      </c>
      <c r="P83" s="16" t="s">
        <v>40</v>
      </c>
      <c r="Q83" s="17">
        <v>178.5</v>
      </c>
      <c r="R83" s="16">
        <v>35</v>
      </c>
      <c r="S83" s="42">
        <f>VENTAS[[#This Row],[Precio unitario]]*VENTAS[[#This Row],[Cantidad]]</f>
        <v>6247.5</v>
      </c>
      <c r="T83" s="33">
        <v>643.49250000000006</v>
      </c>
    </row>
    <row r="84" spans="2:20">
      <c r="B84" s="31">
        <v>1087</v>
      </c>
      <c r="C84" s="13">
        <v>43193</v>
      </c>
      <c r="D84" s="13">
        <f t="shared" si="2"/>
        <v>43924</v>
      </c>
      <c r="E84" s="14">
        <v>3</v>
      </c>
      <c r="F84" s="15" t="s">
        <v>114</v>
      </c>
      <c r="G84" s="16" t="s">
        <v>41</v>
      </c>
      <c r="H84" s="16" t="s">
        <v>42</v>
      </c>
      <c r="I84" s="16" t="s">
        <v>18</v>
      </c>
      <c r="J84" s="16" t="s">
        <v>142</v>
      </c>
      <c r="K84" s="13">
        <v>43195</v>
      </c>
      <c r="L84" s="13">
        <f t="shared" si="3"/>
        <v>43926</v>
      </c>
      <c r="M84" s="16" t="s">
        <v>139</v>
      </c>
      <c r="N84" s="16" t="s">
        <v>43</v>
      </c>
      <c r="O84" s="16" t="s">
        <v>44</v>
      </c>
      <c r="P84" s="16" t="s">
        <v>45</v>
      </c>
      <c r="Q84" s="17">
        <v>135.1</v>
      </c>
      <c r="R84" s="16">
        <v>95</v>
      </c>
      <c r="S84" s="42">
        <f>VENTAS[[#This Row],[Precio unitario]]*VENTAS[[#This Row],[Cantidad]]</f>
        <v>12834.5</v>
      </c>
      <c r="T84" s="33">
        <v>1283.4500000000003</v>
      </c>
    </row>
    <row r="85" spans="2:20">
      <c r="B85" s="31">
        <v>1088</v>
      </c>
      <c r="C85" s="13">
        <v>43196</v>
      </c>
      <c r="D85" s="13">
        <f t="shared" si="2"/>
        <v>43927</v>
      </c>
      <c r="E85" s="14">
        <v>6</v>
      </c>
      <c r="F85" s="15" t="s">
        <v>115</v>
      </c>
      <c r="G85" s="16" t="s">
        <v>46</v>
      </c>
      <c r="H85" s="16" t="s">
        <v>47</v>
      </c>
      <c r="I85" s="16" t="s">
        <v>48</v>
      </c>
      <c r="J85" s="16" t="s">
        <v>33</v>
      </c>
      <c r="K85" s="13">
        <v>43198</v>
      </c>
      <c r="L85" s="13">
        <f t="shared" si="3"/>
        <v>43929</v>
      </c>
      <c r="M85" s="16" t="s">
        <v>139</v>
      </c>
      <c r="N85" s="16" t="s">
        <v>25</v>
      </c>
      <c r="O85" s="16" t="s">
        <v>49</v>
      </c>
      <c r="P85" s="16" t="s">
        <v>50</v>
      </c>
      <c r="Q85" s="17">
        <v>560</v>
      </c>
      <c r="R85" s="16">
        <v>17</v>
      </c>
      <c r="S85" s="42">
        <f>VENTAS[[#This Row],[Precio unitario]]*VENTAS[[#This Row],[Cantidad]]</f>
        <v>9520</v>
      </c>
      <c r="T85" s="33">
        <v>961.5200000000001</v>
      </c>
    </row>
    <row r="86" spans="2:20">
      <c r="B86" s="31">
        <v>1089</v>
      </c>
      <c r="C86" s="13">
        <v>43218</v>
      </c>
      <c r="D86" s="13">
        <f t="shared" si="2"/>
        <v>43949</v>
      </c>
      <c r="E86" s="14">
        <v>28</v>
      </c>
      <c r="F86" s="15" t="s">
        <v>116</v>
      </c>
      <c r="G86" s="16" t="s">
        <v>51</v>
      </c>
      <c r="H86" s="16" t="s">
        <v>52</v>
      </c>
      <c r="I86" s="16" t="s">
        <v>53</v>
      </c>
      <c r="J86" s="16" t="s">
        <v>143</v>
      </c>
      <c r="K86" s="13">
        <v>43220</v>
      </c>
      <c r="L86" s="13">
        <f t="shared" si="3"/>
        <v>43951</v>
      </c>
      <c r="M86" s="16" t="s">
        <v>140</v>
      </c>
      <c r="N86" s="16" t="s">
        <v>43</v>
      </c>
      <c r="O86" s="16" t="s">
        <v>29</v>
      </c>
      <c r="P86" s="16" t="s">
        <v>20</v>
      </c>
      <c r="Q86" s="17">
        <v>644</v>
      </c>
      <c r="R86" s="16">
        <v>96</v>
      </c>
      <c r="S86" s="42">
        <f>VENTAS[[#This Row],[Precio unitario]]*VENTAS[[#This Row],[Cantidad]]</f>
        <v>61824</v>
      </c>
      <c r="T86" s="33">
        <v>6491.52</v>
      </c>
    </row>
    <row r="87" spans="2:20">
      <c r="B87" s="31">
        <v>1090</v>
      </c>
      <c r="C87" s="13">
        <v>43198</v>
      </c>
      <c r="D87" s="13">
        <f t="shared" si="2"/>
        <v>43929</v>
      </c>
      <c r="E87" s="14">
        <v>8</v>
      </c>
      <c r="F87" s="15" t="s">
        <v>117</v>
      </c>
      <c r="G87" s="16" t="s">
        <v>30</v>
      </c>
      <c r="H87" s="16" t="s">
        <v>31</v>
      </c>
      <c r="I87" s="16" t="s">
        <v>32</v>
      </c>
      <c r="J87" s="16" t="s">
        <v>33</v>
      </c>
      <c r="K87" s="13">
        <v>43200</v>
      </c>
      <c r="L87" s="13">
        <f t="shared" si="3"/>
        <v>43931</v>
      </c>
      <c r="M87" s="16" t="s">
        <v>140</v>
      </c>
      <c r="N87" s="16" t="s">
        <v>43</v>
      </c>
      <c r="O87" s="16" t="s">
        <v>39</v>
      </c>
      <c r="P87" s="16" t="s">
        <v>40</v>
      </c>
      <c r="Q87" s="17">
        <v>178.5</v>
      </c>
      <c r="R87" s="16">
        <v>83</v>
      </c>
      <c r="S87" s="42">
        <f>VENTAS[[#This Row],[Precio unitario]]*VENTAS[[#This Row],[Cantidad]]</f>
        <v>14815.5</v>
      </c>
      <c r="T87" s="33">
        <v>1437.1034999999999</v>
      </c>
    </row>
    <row r="88" spans="2:20">
      <c r="B88" s="31">
        <v>1091</v>
      </c>
      <c r="C88" s="13">
        <v>43200</v>
      </c>
      <c r="D88" s="13">
        <f t="shared" si="2"/>
        <v>43931</v>
      </c>
      <c r="E88" s="14">
        <v>10</v>
      </c>
      <c r="F88" s="15" t="s">
        <v>118</v>
      </c>
      <c r="G88" s="16" t="s">
        <v>54</v>
      </c>
      <c r="H88" s="16" t="s">
        <v>55</v>
      </c>
      <c r="I88" s="16" t="s">
        <v>56</v>
      </c>
      <c r="J88" s="16" t="s">
        <v>141</v>
      </c>
      <c r="K88" s="13">
        <v>43202</v>
      </c>
      <c r="L88" s="13">
        <f t="shared" si="3"/>
        <v>43933</v>
      </c>
      <c r="M88" s="16" t="s">
        <v>139</v>
      </c>
      <c r="N88" s="16" t="s">
        <v>25</v>
      </c>
      <c r="O88" s="16" t="s">
        <v>57</v>
      </c>
      <c r="P88" s="16" t="s">
        <v>20</v>
      </c>
      <c r="Q88" s="17">
        <v>41.86</v>
      </c>
      <c r="R88" s="16">
        <v>88</v>
      </c>
      <c r="S88" s="42">
        <f>VENTAS[[#This Row],[Precio unitario]]*VENTAS[[#This Row],[Cantidad]]</f>
        <v>3683.68</v>
      </c>
      <c r="T88" s="33">
        <v>364.68432000000001</v>
      </c>
    </row>
    <row r="89" spans="2:20">
      <c r="B89" s="31">
        <v>1092</v>
      </c>
      <c r="C89" s="13">
        <v>43197</v>
      </c>
      <c r="D89" s="13">
        <f t="shared" si="2"/>
        <v>43928</v>
      </c>
      <c r="E89" s="14">
        <v>7</v>
      </c>
      <c r="F89" s="15" t="s">
        <v>119</v>
      </c>
      <c r="G89" s="16" t="s">
        <v>58</v>
      </c>
      <c r="H89" s="16" t="s">
        <v>58</v>
      </c>
      <c r="I89" s="16" t="s">
        <v>32</v>
      </c>
      <c r="J89" s="16" t="s">
        <v>33</v>
      </c>
      <c r="K89" s="13"/>
      <c r="L89" s="13">
        <f t="shared" si="3"/>
        <v>731</v>
      </c>
      <c r="M89" s="16"/>
      <c r="N89" s="16" t="s">
        <v>25</v>
      </c>
      <c r="O89" s="16" t="s">
        <v>29</v>
      </c>
      <c r="P89" s="16" t="s">
        <v>20</v>
      </c>
      <c r="Q89" s="17">
        <v>644</v>
      </c>
      <c r="R89" s="16">
        <v>59</v>
      </c>
      <c r="S89" s="42">
        <f>VENTAS[[#This Row],[Precio unitario]]*VENTAS[[#This Row],[Cantidad]]</f>
        <v>37996</v>
      </c>
      <c r="T89" s="33">
        <v>3989.5800000000004</v>
      </c>
    </row>
    <row r="90" spans="2:20">
      <c r="B90" s="31">
        <v>1093</v>
      </c>
      <c r="C90" s="13">
        <v>43200</v>
      </c>
      <c r="D90" s="13">
        <f t="shared" si="2"/>
        <v>43931</v>
      </c>
      <c r="E90" s="14">
        <v>10</v>
      </c>
      <c r="F90" s="15" t="s">
        <v>120</v>
      </c>
      <c r="G90" s="16" t="s">
        <v>54</v>
      </c>
      <c r="H90" s="16" t="s">
        <v>55</v>
      </c>
      <c r="I90" s="16" t="s">
        <v>56</v>
      </c>
      <c r="J90" s="16" t="s">
        <v>141</v>
      </c>
      <c r="K90" s="13">
        <v>43202</v>
      </c>
      <c r="L90" s="13">
        <f t="shared" si="3"/>
        <v>43933</v>
      </c>
      <c r="M90" s="16" t="s">
        <v>138</v>
      </c>
      <c r="N90" s="16" t="s">
        <v>25</v>
      </c>
      <c r="O90" s="16" t="s">
        <v>59</v>
      </c>
      <c r="P90" s="16" t="s">
        <v>60</v>
      </c>
      <c r="Q90" s="17">
        <v>350</v>
      </c>
      <c r="R90" s="16">
        <v>27</v>
      </c>
      <c r="S90" s="42">
        <f>VENTAS[[#This Row],[Precio unitario]]*VENTAS[[#This Row],[Cantidad]]</f>
        <v>9450</v>
      </c>
      <c r="T90" s="33">
        <v>963.89999999999986</v>
      </c>
    </row>
    <row r="91" spans="2:20">
      <c r="B91" s="31">
        <v>1094</v>
      </c>
      <c r="C91" s="13">
        <v>43200</v>
      </c>
      <c r="D91" s="13">
        <f t="shared" si="2"/>
        <v>43931</v>
      </c>
      <c r="E91" s="14">
        <v>10</v>
      </c>
      <c r="F91" s="15" t="s">
        <v>121</v>
      </c>
      <c r="G91" s="16" t="s">
        <v>54</v>
      </c>
      <c r="H91" s="16" t="s">
        <v>55</v>
      </c>
      <c r="I91" s="16" t="s">
        <v>56</v>
      </c>
      <c r="J91" s="16" t="s">
        <v>141</v>
      </c>
      <c r="K91" s="13">
        <v>43202</v>
      </c>
      <c r="L91" s="13">
        <f t="shared" si="3"/>
        <v>43933</v>
      </c>
      <c r="M91" s="16" t="s">
        <v>138</v>
      </c>
      <c r="N91" s="16" t="s">
        <v>25</v>
      </c>
      <c r="O91" s="16" t="s">
        <v>61</v>
      </c>
      <c r="P91" s="16" t="s">
        <v>62</v>
      </c>
      <c r="Q91" s="17">
        <v>308</v>
      </c>
      <c r="R91" s="16">
        <v>37</v>
      </c>
      <c r="S91" s="42">
        <f>VENTAS[[#This Row],[Precio unitario]]*VENTAS[[#This Row],[Cantidad]]</f>
        <v>11396</v>
      </c>
      <c r="T91" s="33">
        <v>1196.5800000000002</v>
      </c>
    </row>
    <row r="92" spans="2:20">
      <c r="B92" s="31">
        <v>1095</v>
      </c>
      <c r="C92" s="13">
        <v>43200</v>
      </c>
      <c r="D92" s="13">
        <f t="shared" si="2"/>
        <v>43931</v>
      </c>
      <c r="E92" s="14">
        <v>10</v>
      </c>
      <c r="F92" s="15" t="s">
        <v>122</v>
      </c>
      <c r="G92" s="16" t="s">
        <v>54</v>
      </c>
      <c r="H92" s="16" t="s">
        <v>55</v>
      </c>
      <c r="I92" s="16" t="s">
        <v>56</v>
      </c>
      <c r="J92" s="16" t="s">
        <v>141</v>
      </c>
      <c r="K92" s="13">
        <v>43202</v>
      </c>
      <c r="L92" s="13">
        <f t="shared" si="3"/>
        <v>43933</v>
      </c>
      <c r="M92" s="16" t="s">
        <v>138</v>
      </c>
      <c r="N92" s="16" t="s">
        <v>25</v>
      </c>
      <c r="O92" s="16" t="s">
        <v>34</v>
      </c>
      <c r="P92" s="16" t="s">
        <v>35</v>
      </c>
      <c r="Q92" s="17">
        <v>128.79999999999998</v>
      </c>
      <c r="R92" s="16">
        <v>75</v>
      </c>
      <c r="S92" s="42">
        <f>VENTAS[[#This Row],[Precio unitario]]*VENTAS[[#This Row],[Cantidad]]</f>
        <v>9659.9999999999982</v>
      </c>
      <c r="T92" s="33">
        <v>966</v>
      </c>
    </row>
    <row r="93" spans="2:20">
      <c r="B93" s="31">
        <v>1096</v>
      </c>
      <c r="C93" s="13">
        <v>43201</v>
      </c>
      <c r="D93" s="13">
        <f t="shared" si="2"/>
        <v>43932</v>
      </c>
      <c r="E93" s="14">
        <v>11</v>
      </c>
      <c r="F93" s="18" t="s">
        <v>88</v>
      </c>
      <c r="G93" s="16" t="s">
        <v>63</v>
      </c>
      <c r="H93" s="16" t="s">
        <v>63</v>
      </c>
      <c r="I93" s="16" t="s">
        <v>53</v>
      </c>
      <c r="J93" s="16" t="s">
        <v>143</v>
      </c>
      <c r="K93" s="13"/>
      <c r="L93" s="13">
        <f t="shared" si="3"/>
        <v>731</v>
      </c>
      <c r="M93" s="16" t="s">
        <v>140</v>
      </c>
      <c r="N93" s="16" t="s">
        <v>25</v>
      </c>
      <c r="O93" s="16" t="s">
        <v>21</v>
      </c>
      <c r="P93" s="16" t="s">
        <v>22</v>
      </c>
      <c r="Q93" s="17">
        <v>49</v>
      </c>
      <c r="R93" s="16">
        <v>71</v>
      </c>
      <c r="S93" s="42">
        <f>VENTAS[[#This Row],[Precio unitario]]*VENTAS[[#This Row],[Cantidad]]</f>
        <v>3479</v>
      </c>
      <c r="T93" s="33">
        <v>337.46300000000002</v>
      </c>
    </row>
    <row r="94" spans="2:20">
      <c r="B94" s="31">
        <v>1097</v>
      </c>
      <c r="C94" s="13">
        <v>43201</v>
      </c>
      <c r="D94" s="13">
        <f t="shared" si="2"/>
        <v>43932</v>
      </c>
      <c r="E94" s="14">
        <v>11</v>
      </c>
      <c r="F94" s="18" t="s">
        <v>85</v>
      </c>
      <c r="G94" s="16" t="s">
        <v>63</v>
      </c>
      <c r="H94" s="16" t="s">
        <v>63</v>
      </c>
      <c r="I94" s="16" t="s">
        <v>53</v>
      </c>
      <c r="J94" s="16" t="s">
        <v>143</v>
      </c>
      <c r="K94" s="13"/>
      <c r="L94" s="13">
        <f t="shared" si="3"/>
        <v>731</v>
      </c>
      <c r="M94" s="16" t="s">
        <v>140</v>
      </c>
      <c r="N94" s="16" t="s">
        <v>25</v>
      </c>
      <c r="O94" s="16" t="s">
        <v>57</v>
      </c>
      <c r="P94" s="16" t="s">
        <v>20</v>
      </c>
      <c r="Q94" s="17">
        <v>41.86</v>
      </c>
      <c r="R94" s="16">
        <v>88</v>
      </c>
      <c r="S94" s="42">
        <f>VENTAS[[#This Row],[Precio unitario]]*VENTAS[[#This Row],[Cantidad]]</f>
        <v>3683.68</v>
      </c>
      <c r="T94" s="33">
        <v>364.68432000000001</v>
      </c>
    </row>
    <row r="95" spans="2:20">
      <c r="B95" s="31">
        <v>1098</v>
      </c>
      <c r="C95" s="13">
        <v>43191</v>
      </c>
      <c r="D95" s="13">
        <f t="shared" si="2"/>
        <v>43922</v>
      </c>
      <c r="E95" s="14">
        <v>1</v>
      </c>
      <c r="F95" s="18" t="s">
        <v>91</v>
      </c>
      <c r="G95" s="16" t="s">
        <v>64</v>
      </c>
      <c r="H95" s="16" t="s">
        <v>65</v>
      </c>
      <c r="I95" s="16" t="s">
        <v>32</v>
      </c>
      <c r="J95" s="16" t="s">
        <v>33</v>
      </c>
      <c r="K95" s="13"/>
      <c r="L95" s="13">
        <f t="shared" si="3"/>
        <v>731</v>
      </c>
      <c r="M95" s="16"/>
      <c r="N95" s="16" t="s">
        <v>25</v>
      </c>
      <c r="O95" s="16" t="s">
        <v>28</v>
      </c>
      <c r="P95" s="16" t="s">
        <v>20</v>
      </c>
      <c r="Q95" s="17">
        <v>252</v>
      </c>
      <c r="R95" s="16">
        <v>55</v>
      </c>
      <c r="S95" s="42">
        <f>VENTAS[[#This Row],[Precio unitario]]*VENTAS[[#This Row],[Cantidad]]</f>
        <v>13860</v>
      </c>
      <c r="T95" s="33">
        <v>1358.28</v>
      </c>
    </row>
    <row r="96" spans="2:20">
      <c r="B96" s="31">
        <v>1099</v>
      </c>
      <c r="C96" s="13">
        <v>43249</v>
      </c>
      <c r="D96" s="13">
        <f t="shared" si="2"/>
        <v>43980</v>
      </c>
      <c r="E96" s="14">
        <v>29</v>
      </c>
      <c r="F96" s="18" t="s">
        <v>87</v>
      </c>
      <c r="G96" s="16" t="s">
        <v>36</v>
      </c>
      <c r="H96" s="16" t="s">
        <v>37</v>
      </c>
      <c r="I96" s="16" t="s">
        <v>38</v>
      </c>
      <c r="J96" s="16" t="s">
        <v>142</v>
      </c>
      <c r="K96" s="13">
        <v>43251</v>
      </c>
      <c r="L96" s="13">
        <f t="shared" si="3"/>
        <v>43982</v>
      </c>
      <c r="M96" s="16" t="s">
        <v>139</v>
      </c>
      <c r="N96" s="16" t="s">
        <v>43</v>
      </c>
      <c r="O96" s="16" t="s">
        <v>39</v>
      </c>
      <c r="P96" s="16" t="s">
        <v>40</v>
      </c>
      <c r="Q96" s="17">
        <v>178.5</v>
      </c>
      <c r="R96" s="16">
        <v>14</v>
      </c>
      <c r="S96" s="42">
        <f>VENTAS[[#This Row],[Precio unitario]]*VENTAS[[#This Row],[Cantidad]]</f>
        <v>2499</v>
      </c>
      <c r="T96" s="33">
        <v>237.405</v>
      </c>
    </row>
    <row r="97" spans="2:20">
      <c r="B97" s="31">
        <v>1100</v>
      </c>
      <c r="C97" s="13">
        <v>43223</v>
      </c>
      <c r="D97" s="13">
        <f t="shared" si="2"/>
        <v>43954</v>
      </c>
      <c r="E97" s="14">
        <v>3</v>
      </c>
      <c r="F97" s="18" t="s">
        <v>86</v>
      </c>
      <c r="G97" s="16" t="s">
        <v>41</v>
      </c>
      <c r="H97" s="16" t="s">
        <v>42</v>
      </c>
      <c r="I97" s="16" t="s">
        <v>18</v>
      </c>
      <c r="J97" s="16" t="s">
        <v>142</v>
      </c>
      <c r="K97" s="13">
        <v>43225</v>
      </c>
      <c r="L97" s="13">
        <f t="shared" si="3"/>
        <v>43956</v>
      </c>
      <c r="M97" s="16" t="s">
        <v>139</v>
      </c>
      <c r="N97" s="16" t="s">
        <v>43</v>
      </c>
      <c r="O97" s="16" t="s">
        <v>44</v>
      </c>
      <c r="P97" s="16" t="s">
        <v>45</v>
      </c>
      <c r="Q97" s="17">
        <v>135.1</v>
      </c>
      <c r="R97" s="16">
        <v>43</v>
      </c>
      <c r="S97" s="42">
        <f>VENTAS[[#This Row],[Precio unitario]]*VENTAS[[#This Row],[Cantidad]]</f>
        <v>5809.3</v>
      </c>
      <c r="T97" s="33">
        <v>592.54860000000008</v>
      </c>
    </row>
    <row r="98" spans="2:20">
      <c r="B98" s="31">
        <v>1101</v>
      </c>
      <c r="C98" s="13">
        <v>43226</v>
      </c>
      <c r="D98" s="13">
        <f t="shared" si="2"/>
        <v>43957</v>
      </c>
      <c r="E98" s="14">
        <v>6</v>
      </c>
      <c r="F98" s="18" t="s">
        <v>123</v>
      </c>
      <c r="G98" s="16" t="s">
        <v>46</v>
      </c>
      <c r="H98" s="16" t="s">
        <v>47</v>
      </c>
      <c r="I98" s="16" t="s">
        <v>48</v>
      </c>
      <c r="J98" s="16" t="s">
        <v>33</v>
      </c>
      <c r="K98" s="13">
        <v>43228</v>
      </c>
      <c r="L98" s="13">
        <f t="shared" si="3"/>
        <v>43959</v>
      </c>
      <c r="M98" s="16" t="s">
        <v>139</v>
      </c>
      <c r="N98" s="16" t="s">
        <v>25</v>
      </c>
      <c r="O98" s="16" t="s">
        <v>49</v>
      </c>
      <c r="P98" s="16" t="s">
        <v>50</v>
      </c>
      <c r="Q98" s="17">
        <v>560</v>
      </c>
      <c r="R98" s="16">
        <v>63</v>
      </c>
      <c r="S98" s="42">
        <f>VENTAS[[#This Row],[Precio unitario]]*VENTAS[[#This Row],[Cantidad]]</f>
        <v>35280</v>
      </c>
      <c r="T98" s="33">
        <v>3563.28</v>
      </c>
    </row>
    <row r="99" spans="2:20">
      <c r="B99" s="31">
        <v>1102</v>
      </c>
      <c r="C99" s="13">
        <v>43248</v>
      </c>
      <c r="D99" s="13">
        <f t="shared" si="2"/>
        <v>43979</v>
      </c>
      <c r="E99" s="14">
        <v>28</v>
      </c>
      <c r="F99" s="18" t="s">
        <v>89</v>
      </c>
      <c r="G99" s="16" t="s">
        <v>51</v>
      </c>
      <c r="H99" s="16" t="s">
        <v>52</v>
      </c>
      <c r="I99" s="16" t="s">
        <v>53</v>
      </c>
      <c r="J99" s="16" t="s">
        <v>143</v>
      </c>
      <c r="K99" s="13">
        <v>43250</v>
      </c>
      <c r="L99" s="13">
        <f t="shared" si="3"/>
        <v>43981</v>
      </c>
      <c r="M99" s="16" t="s">
        <v>140</v>
      </c>
      <c r="N99" s="16" t="s">
        <v>43</v>
      </c>
      <c r="O99" s="16" t="s">
        <v>29</v>
      </c>
      <c r="P99" s="16" t="s">
        <v>20</v>
      </c>
      <c r="Q99" s="17">
        <v>644</v>
      </c>
      <c r="R99" s="16">
        <v>36</v>
      </c>
      <c r="S99" s="42">
        <f>VENTAS[[#This Row],[Precio unitario]]*VENTAS[[#This Row],[Cantidad]]</f>
        <v>23184</v>
      </c>
      <c r="T99" s="33">
        <v>2318.4000000000005</v>
      </c>
    </row>
    <row r="100" spans="2:20">
      <c r="B100" s="31">
        <v>1103</v>
      </c>
      <c r="C100" s="13">
        <v>43228</v>
      </c>
      <c r="D100" s="13">
        <f t="shared" si="2"/>
        <v>43959</v>
      </c>
      <c r="E100" s="14">
        <v>8</v>
      </c>
      <c r="F100" s="18" t="s">
        <v>124</v>
      </c>
      <c r="G100" s="16" t="s">
        <v>30</v>
      </c>
      <c r="H100" s="16" t="s">
        <v>31</v>
      </c>
      <c r="I100" s="16" t="s">
        <v>32</v>
      </c>
      <c r="J100" s="16" t="s">
        <v>33</v>
      </c>
      <c r="K100" s="13">
        <v>43230</v>
      </c>
      <c r="L100" s="13">
        <f t="shared" si="3"/>
        <v>43961</v>
      </c>
      <c r="M100" s="16" t="s">
        <v>140</v>
      </c>
      <c r="N100" s="16" t="s">
        <v>43</v>
      </c>
      <c r="O100" s="16" t="s">
        <v>39</v>
      </c>
      <c r="P100" s="16" t="s">
        <v>40</v>
      </c>
      <c r="Q100" s="17">
        <v>178.5</v>
      </c>
      <c r="R100" s="16">
        <v>41</v>
      </c>
      <c r="S100" s="42">
        <f>VENTAS[[#This Row],[Precio unitario]]*VENTAS[[#This Row],[Cantidad]]</f>
        <v>7318.5</v>
      </c>
      <c r="T100" s="33">
        <v>761.12400000000014</v>
      </c>
    </row>
    <row r="101" spans="2:20">
      <c r="B101" s="31">
        <v>1104</v>
      </c>
      <c r="C101" s="13">
        <v>43230</v>
      </c>
      <c r="D101" s="13">
        <f t="shared" si="2"/>
        <v>43961</v>
      </c>
      <c r="E101" s="14">
        <v>10</v>
      </c>
      <c r="F101" s="18" t="s">
        <v>92</v>
      </c>
      <c r="G101" s="16" t="s">
        <v>54</v>
      </c>
      <c r="H101" s="16" t="s">
        <v>55</v>
      </c>
      <c r="I101" s="16" t="s">
        <v>56</v>
      </c>
      <c r="J101" s="16" t="s">
        <v>141</v>
      </c>
      <c r="K101" s="13">
        <v>43232</v>
      </c>
      <c r="L101" s="13">
        <f t="shared" si="3"/>
        <v>43963</v>
      </c>
      <c r="M101" s="16" t="s">
        <v>139</v>
      </c>
      <c r="N101" s="16" t="s">
        <v>25</v>
      </c>
      <c r="O101" s="16" t="s">
        <v>57</v>
      </c>
      <c r="P101" s="16" t="s">
        <v>20</v>
      </c>
      <c r="Q101" s="17">
        <v>41.86</v>
      </c>
      <c r="R101" s="16">
        <v>35</v>
      </c>
      <c r="S101" s="42">
        <f>VENTAS[[#This Row],[Precio unitario]]*VENTAS[[#This Row],[Cantidad]]</f>
        <v>1465.1</v>
      </c>
      <c r="T101" s="33">
        <v>143.57980000000001</v>
      </c>
    </row>
    <row r="102" spans="2:20">
      <c r="B102" s="31">
        <v>1105</v>
      </c>
      <c r="C102" s="13">
        <v>43227</v>
      </c>
      <c r="D102" s="13">
        <f t="shared" si="2"/>
        <v>43958</v>
      </c>
      <c r="E102" s="14">
        <v>7</v>
      </c>
      <c r="F102" s="18" t="s">
        <v>125</v>
      </c>
      <c r="G102" s="16" t="s">
        <v>58</v>
      </c>
      <c r="H102" s="16" t="s">
        <v>58</v>
      </c>
      <c r="I102" s="16" t="s">
        <v>32</v>
      </c>
      <c r="J102" s="16" t="s">
        <v>33</v>
      </c>
      <c r="K102" s="13"/>
      <c r="L102" s="13">
        <f t="shared" si="3"/>
        <v>731</v>
      </c>
      <c r="M102" s="16"/>
      <c r="N102" s="16" t="s">
        <v>25</v>
      </c>
      <c r="O102" s="16" t="s">
        <v>29</v>
      </c>
      <c r="P102" s="16" t="s">
        <v>20</v>
      </c>
      <c r="Q102" s="17">
        <v>644</v>
      </c>
      <c r="R102" s="16">
        <v>31</v>
      </c>
      <c r="S102" s="42">
        <f>VENTAS[[#This Row],[Precio unitario]]*VENTAS[[#This Row],[Cantidad]]</f>
        <v>19964</v>
      </c>
      <c r="T102" s="33">
        <v>1916.5439999999999</v>
      </c>
    </row>
    <row r="103" spans="2:20">
      <c r="B103" s="31">
        <v>1106</v>
      </c>
      <c r="C103" s="13">
        <v>43230</v>
      </c>
      <c r="D103" s="13">
        <f t="shared" si="2"/>
        <v>43961</v>
      </c>
      <c r="E103" s="14">
        <v>10</v>
      </c>
      <c r="F103" s="15" t="s">
        <v>85</v>
      </c>
      <c r="G103" s="16" t="s">
        <v>54</v>
      </c>
      <c r="H103" s="16" t="s">
        <v>55</v>
      </c>
      <c r="I103" s="16" t="s">
        <v>56</v>
      </c>
      <c r="J103" s="16" t="s">
        <v>141</v>
      </c>
      <c r="K103" s="13">
        <v>43232</v>
      </c>
      <c r="L103" s="13">
        <f t="shared" si="3"/>
        <v>43963</v>
      </c>
      <c r="M103" s="16" t="s">
        <v>138</v>
      </c>
      <c r="N103" s="16" t="s">
        <v>25</v>
      </c>
      <c r="O103" s="16" t="s">
        <v>59</v>
      </c>
      <c r="P103" s="16" t="s">
        <v>60</v>
      </c>
      <c r="Q103" s="17">
        <v>350</v>
      </c>
      <c r="R103" s="16">
        <v>52</v>
      </c>
      <c r="S103" s="42">
        <f>VENTAS[[#This Row],[Precio unitario]]*VENTAS[[#This Row],[Cantidad]]</f>
        <v>18200</v>
      </c>
      <c r="T103" s="33">
        <v>1729</v>
      </c>
    </row>
    <row r="104" spans="2:20">
      <c r="B104" s="31">
        <v>1107</v>
      </c>
      <c r="C104" s="13">
        <v>43230</v>
      </c>
      <c r="D104" s="13">
        <f t="shared" si="2"/>
        <v>43961</v>
      </c>
      <c r="E104" s="14">
        <v>10</v>
      </c>
      <c r="F104" s="15" t="s">
        <v>86</v>
      </c>
      <c r="G104" s="16" t="s">
        <v>54</v>
      </c>
      <c r="H104" s="16" t="s">
        <v>55</v>
      </c>
      <c r="I104" s="16" t="s">
        <v>56</v>
      </c>
      <c r="J104" s="16" t="s">
        <v>141</v>
      </c>
      <c r="K104" s="13">
        <v>43232</v>
      </c>
      <c r="L104" s="13">
        <f t="shared" si="3"/>
        <v>43963</v>
      </c>
      <c r="M104" s="16" t="s">
        <v>138</v>
      </c>
      <c r="N104" s="16" t="s">
        <v>25</v>
      </c>
      <c r="O104" s="16" t="s">
        <v>61</v>
      </c>
      <c r="P104" s="16" t="s">
        <v>62</v>
      </c>
      <c r="Q104" s="17">
        <v>308</v>
      </c>
      <c r="R104" s="16">
        <v>30</v>
      </c>
      <c r="S104" s="42">
        <f>VENTAS[[#This Row],[Precio unitario]]*VENTAS[[#This Row],[Cantidad]]</f>
        <v>9240</v>
      </c>
      <c r="T104" s="33">
        <v>942.48000000000013</v>
      </c>
    </row>
    <row r="105" spans="2:20">
      <c r="B105" s="31">
        <v>1108</v>
      </c>
      <c r="C105" s="13">
        <v>43230</v>
      </c>
      <c r="D105" s="13">
        <f t="shared" si="2"/>
        <v>43961</v>
      </c>
      <c r="E105" s="14">
        <v>10</v>
      </c>
      <c r="F105" s="15" t="s">
        <v>87</v>
      </c>
      <c r="G105" s="16" t="s">
        <v>54</v>
      </c>
      <c r="H105" s="16" t="s">
        <v>55</v>
      </c>
      <c r="I105" s="16" t="s">
        <v>56</v>
      </c>
      <c r="J105" s="16" t="s">
        <v>141</v>
      </c>
      <c r="K105" s="13">
        <v>43232</v>
      </c>
      <c r="L105" s="13">
        <f t="shared" si="3"/>
        <v>43963</v>
      </c>
      <c r="M105" s="16" t="s">
        <v>138</v>
      </c>
      <c r="N105" s="16" t="s">
        <v>25</v>
      </c>
      <c r="O105" s="16" t="s">
        <v>34</v>
      </c>
      <c r="P105" s="16" t="s">
        <v>35</v>
      </c>
      <c r="Q105" s="17">
        <v>128.79999999999998</v>
      </c>
      <c r="R105" s="16">
        <v>41</v>
      </c>
      <c r="S105" s="42">
        <f>VENTAS[[#This Row],[Precio unitario]]*VENTAS[[#This Row],[Cantidad]]</f>
        <v>5280.7999999999993</v>
      </c>
      <c r="T105" s="33">
        <v>538.64160000000004</v>
      </c>
    </row>
    <row r="106" spans="2:20">
      <c r="B106" s="31">
        <v>1109</v>
      </c>
      <c r="C106" s="13">
        <v>43231</v>
      </c>
      <c r="D106" s="13">
        <f t="shared" si="2"/>
        <v>43962</v>
      </c>
      <c r="E106" s="14">
        <v>11</v>
      </c>
      <c r="F106" s="15" t="s">
        <v>88</v>
      </c>
      <c r="G106" s="16" t="s">
        <v>63</v>
      </c>
      <c r="H106" s="16" t="s">
        <v>63</v>
      </c>
      <c r="I106" s="16" t="s">
        <v>53</v>
      </c>
      <c r="J106" s="16" t="s">
        <v>143</v>
      </c>
      <c r="K106" s="13"/>
      <c r="L106" s="13">
        <f t="shared" si="3"/>
        <v>731</v>
      </c>
      <c r="M106" s="16" t="s">
        <v>140</v>
      </c>
      <c r="N106" s="16" t="s">
        <v>25</v>
      </c>
      <c r="O106" s="16" t="s">
        <v>21</v>
      </c>
      <c r="P106" s="16" t="s">
        <v>22</v>
      </c>
      <c r="Q106" s="17">
        <v>49</v>
      </c>
      <c r="R106" s="16">
        <v>44</v>
      </c>
      <c r="S106" s="42">
        <f>VENTAS[[#This Row],[Precio unitario]]*VENTAS[[#This Row],[Cantidad]]</f>
        <v>2156</v>
      </c>
      <c r="T106" s="33">
        <v>213.44400000000002</v>
      </c>
    </row>
    <row r="107" spans="2:20">
      <c r="B107" s="31">
        <v>1110</v>
      </c>
      <c r="C107" s="13">
        <v>43231</v>
      </c>
      <c r="D107" s="13">
        <f t="shared" si="2"/>
        <v>43962</v>
      </c>
      <c r="E107" s="14">
        <v>11</v>
      </c>
      <c r="F107" s="15" t="s">
        <v>89</v>
      </c>
      <c r="G107" s="16" t="s">
        <v>63</v>
      </c>
      <c r="H107" s="16" t="s">
        <v>63</v>
      </c>
      <c r="I107" s="16" t="s">
        <v>53</v>
      </c>
      <c r="J107" s="16" t="s">
        <v>143</v>
      </c>
      <c r="K107" s="13"/>
      <c r="L107" s="13">
        <f t="shared" si="3"/>
        <v>731</v>
      </c>
      <c r="M107" s="16" t="s">
        <v>140</v>
      </c>
      <c r="N107" s="16" t="s">
        <v>25</v>
      </c>
      <c r="O107" s="16" t="s">
        <v>57</v>
      </c>
      <c r="P107" s="16" t="s">
        <v>20</v>
      </c>
      <c r="Q107" s="17">
        <v>41.86</v>
      </c>
      <c r="R107" s="16">
        <v>77</v>
      </c>
      <c r="S107" s="42">
        <f>VENTAS[[#This Row],[Precio unitario]]*VENTAS[[#This Row],[Cantidad]]</f>
        <v>3223.22</v>
      </c>
      <c r="T107" s="33">
        <v>322.32200000000006</v>
      </c>
    </row>
    <row r="108" spans="2:20">
      <c r="B108" s="31">
        <v>1111</v>
      </c>
      <c r="C108" s="13">
        <v>43221</v>
      </c>
      <c r="D108" s="13">
        <f t="shared" si="2"/>
        <v>43952</v>
      </c>
      <c r="E108" s="14">
        <v>1</v>
      </c>
      <c r="F108" s="15" t="s">
        <v>90</v>
      </c>
      <c r="G108" s="16" t="s">
        <v>64</v>
      </c>
      <c r="H108" s="16" t="s">
        <v>65</v>
      </c>
      <c r="I108" s="16" t="s">
        <v>32</v>
      </c>
      <c r="J108" s="16" t="s">
        <v>33</v>
      </c>
      <c r="K108" s="13"/>
      <c r="L108" s="13">
        <f t="shared" si="3"/>
        <v>731</v>
      </c>
      <c r="M108" s="16"/>
      <c r="N108" s="16" t="s">
        <v>25</v>
      </c>
      <c r="O108" s="16" t="s">
        <v>28</v>
      </c>
      <c r="P108" s="16" t="s">
        <v>20</v>
      </c>
      <c r="Q108" s="17">
        <v>252</v>
      </c>
      <c r="R108" s="16">
        <v>29</v>
      </c>
      <c r="S108" s="42">
        <f>VENTAS[[#This Row],[Precio unitario]]*VENTAS[[#This Row],[Cantidad]]</f>
        <v>7308</v>
      </c>
      <c r="T108" s="33">
        <v>738.10800000000006</v>
      </c>
    </row>
    <row r="109" spans="2:20">
      <c r="B109" s="31">
        <v>1112</v>
      </c>
      <c r="C109" s="13">
        <v>43221</v>
      </c>
      <c r="D109" s="13">
        <f t="shared" si="2"/>
        <v>43952</v>
      </c>
      <c r="E109" s="14">
        <v>1</v>
      </c>
      <c r="F109" s="15" t="s">
        <v>91</v>
      </c>
      <c r="G109" s="16" t="s">
        <v>64</v>
      </c>
      <c r="H109" s="16" t="s">
        <v>65</v>
      </c>
      <c r="I109" s="16" t="s">
        <v>32</v>
      </c>
      <c r="J109" s="16" t="s">
        <v>33</v>
      </c>
      <c r="K109" s="13"/>
      <c r="L109" s="13">
        <f t="shared" si="3"/>
        <v>731</v>
      </c>
      <c r="M109" s="16"/>
      <c r="N109" s="16" t="s">
        <v>25</v>
      </c>
      <c r="O109" s="16" t="s">
        <v>29</v>
      </c>
      <c r="P109" s="16" t="s">
        <v>20</v>
      </c>
      <c r="Q109" s="17">
        <v>644</v>
      </c>
      <c r="R109" s="16">
        <v>77</v>
      </c>
      <c r="S109" s="42">
        <f>VENTAS[[#This Row],[Precio unitario]]*VENTAS[[#This Row],[Cantidad]]</f>
        <v>49588</v>
      </c>
      <c r="T109" s="33">
        <v>5157.152000000001</v>
      </c>
    </row>
    <row r="110" spans="2:20">
      <c r="B110" s="31">
        <v>1113</v>
      </c>
      <c r="C110" s="13">
        <v>43221</v>
      </c>
      <c r="D110" s="13">
        <f t="shared" si="2"/>
        <v>43952</v>
      </c>
      <c r="E110" s="14">
        <v>1</v>
      </c>
      <c r="F110" s="15" t="s">
        <v>92</v>
      </c>
      <c r="G110" s="16" t="s">
        <v>64</v>
      </c>
      <c r="H110" s="16" t="s">
        <v>65</v>
      </c>
      <c r="I110" s="16" t="s">
        <v>32</v>
      </c>
      <c r="J110" s="16" t="s">
        <v>33</v>
      </c>
      <c r="K110" s="13"/>
      <c r="L110" s="13">
        <f t="shared" si="3"/>
        <v>731</v>
      </c>
      <c r="M110" s="16"/>
      <c r="N110" s="16" t="s">
        <v>25</v>
      </c>
      <c r="O110" s="16" t="s">
        <v>57</v>
      </c>
      <c r="P110" s="16" t="s">
        <v>20</v>
      </c>
      <c r="Q110" s="17">
        <v>41.86</v>
      </c>
      <c r="R110" s="16">
        <v>73</v>
      </c>
      <c r="S110" s="42">
        <f>VENTAS[[#This Row],[Precio unitario]]*VENTAS[[#This Row],[Cantidad]]</f>
        <v>3055.7799999999997</v>
      </c>
      <c r="T110" s="33">
        <v>305.57800000000003</v>
      </c>
    </row>
    <row r="111" spans="2:20">
      <c r="B111" s="31">
        <v>1114</v>
      </c>
      <c r="C111" s="13">
        <v>43248</v>
      </c>
      <c r="D111" s="13">
        <f t="shared" si="2"/>
        <v>43979</v>
      </c>
      <c r="E111" s="14">
        <v>28</v>
      </c>
      <c r="F111" s="15" t="s">
        <v>93</v>
      </c>
      <c r="G111" s="16" t="s">
        <v>51</v>
      </c>
      <c r="H111" s="16" t="s">
        <v>52</v>
      </c>
      <c r="I111" s="16" t="s">
        <v>53</v>
      </c>
      <c r="J111" s="16" t="s">
        <v>143</v>
      </c>
      <c r="K111" s="13">
        <v>43250</v>
      </c>
      <c r="L111" s="13">
        <f t="shared" si="3"/>
        <v>43981</v>
      </c>
      <c r="M111" s="16" t="s">
        <v>140</v>
      </c>
      <c r="N111" s="16" t="s">
        <v>25</v>
      </c>
      <c r="O111" s="16" t="s">
        <v>44</v>
      </c>
      <c r="P111" s="16" t="s">
        <v>45</v>
      </c>
      <c r="Q111" s="17">
        <v>135.1</v>
      </c>
      <c r="R111" s="16">
        <v>74</v>
      </c>
      <c r="S111" s="42">
        <f>VENTAS[[#This Row],[Precio unitario]]*VENTAS[[#This Row],[Cantidad]]</f>
        <v>9997.4</v>
      </c>
      <c r="T111" s="33">
        <v>949.75300000000004</v>
      </c>
    </row>
    <row r="112" spans="2:20">
      <c r="B112" s="31">
        <v>1115</v>
      </c>
      <c r="C112" s="13">
        <v>43248</v>
      </c>
      <c r="D112" s="13">
        <f t="shared" si="2"/>
        <v>43979</v>
      </c>
      <c r="E112" s="14">
        <v>28</v>
      </c>
      <c r="F112" s="15" t="s">
        <v>94</v>
      </c>
      <c r="G112" s="16" t="s">
        <v>51</v>
      </c>
      <c r="H112" s="16" t="s">
        <v>52</v>
      </c>
      <c r="I112" s="16" t="s">
        <v>53</v>
      </c>
      <c r="J112" s="16" t="s">
        <v>143</v>
      </c>
      <c r="K112" s="13">
        <v>43250</v>
      </c>
      <c r="L112" s="13">
        <f t="shared" si="3"/>
        <v>43981</v>
      </c>
      <c r="M112" s="16" t="s">
        <v>140</v>
      </c>
      <c r="N112" s="16" t="s">
        <v>25</v>
      </c>
      <c r="O112" s="16" t="s">
        <v>66</v>
      </c>
      <c r="P112" s="16" t="s">
        <v>67</v>
      </c>
      <c r="Q112" s="17">
        <v>257.59999999999997</v>
      </c>
      <c r="R112" s="16">
        <v>25</v>
      </c>
      <c r="S112" s="42">
        <f>VENTAS[[#This Row],[Precio unitario]]*VENTAS[[#This Row],[Cantidad]]</f>
        <v>6439.9999999999991</v>
      </c>
      <c r="T112" s="33">
        <v>650.44000000000005</v>
      </c>
    </row>
    <row r="113" spans="2:20">
      <c r="B113" s="31">
        <v>1116</v>
      </c>
      <c r="C113" s="13">
        <v>43229</v>
      </c>
      <c r="D113" s="13">
        <f t="shared" si="2"/>
        <v>43960</v>
      </c>
      <c r="E113" s="14">
        <v>9</v>
      </c>
      <c r="F113" s="15" t="s">
        <v>95</v>
      </c>
      <c r="G113" s="16" t="s">
        <v>68</v>
      </c>
      <c r="H113" s="16" t="s">
        <v>37</v>
      </c>
      <c r="I113" s="16" t="s">
        <v>69</v>
      </c>
      <c r="J113" s="16" t="s">
        <v>142</v>
      </c>
      <c r="K113" s="13">
        <v>43231</v>
      </c>
      <c r="L113" s="13">
        <f t="shared" si="3"/>
        <v>43962</v>
      </c>
      <c r="M113" s="16" t="s">
        <v>138</v>
      </c>
      <c r="N113" s="16" t="s">
        <v>43</v>
      </c>
      <c r="O113" s="16" t="s">
        <v>70</v>
      </c>
      <c r="P113" s="16" t="s">
        <v>71</v>
      </c>
      <c r="Q113" s="17">
        <v>273</v>
      </c>
      <c r="R113" s="16">
        <v>82</v>
      </c>
      <c r="S113" s="42">
        <f>VENTAS[[#This Row],[Precio unitario]]*VENTAS[[#This Row],[Cantidad]]</f>
        <v>22386</v>
      </c>
      <c r="T113" s="33">
        <v>2149.056</v>
      </c>
    </row>
    <row r="114" spans="2:20">
      <c r="B114" s="31">
        <v>1117</v>
      </c>
      <c r="C114" s="13">
        <v>43229</v>
      </c>
      <c r="D114" s="13">
        <f t="shared" si="2"/>
        <v>43960</v>
      </c>
      <c r="E114" s="14">
        <v>9</v>
      </c>
      <c r="F114" s="15" t="s">
        <v>96</v>
      </c>
      <c r="G114" s="16" t="s">
        <v>68</v>
      </c>
      <c r="H114" s="16" t="s">
        <v>37</v>
      </c>
      <c r="I114" s="16" t="s">
        <v>69</v>
      </c>
      <c r="J114" s="16" t="s">
        <v>142</v>
      </c>
      <c r="K114" s="13">
        <v>43231</v>
      </c>
      <c r="L114" s="13">
        <f t="shared" si="3"/>
        <v>43962</v>
      </c>
      <c r="M114" s="16" t="s">
        <v>138</v>
      </c>
      <c r="N114" s="16" t="s">
        <v>43</v>
      </c>
      <c r="O114" s="16" t="s">
        <v>72</v>
      </c>
      <c r="P114" s="16" t="s">
        <v>73</v>
      </c>
      <c r="Q114" s="17">
        <v>487.19999999999993</v>
      </c>
      <c r="R114" s="16">
        <v>37</v>
      </c>
      <c r="S114" s="42">
        <f>VENTAS[[#This Row],[Precio unitario]]*VENTAS[[#This Row],[Cantidad]]</f>
        <v>18026.399999999998</v>
      </c>
      <c r="T114" s="33">
        <v>1856.7191999999998</v>
      </c>
    </row>
    <row r="115" spans="2:20">
      <c r="B115" s="31">
        <v>1118</v>
      </c>
      <c r="C115" s="13">
        <v>43226</v>
      </c>
      <c r="D115" s="13">
        <f t="shared" si="2"/>
        <v>43957</v>
      </c>
      <c r="E115" s="14">
        <v>6</v>
      </c>
      <c r="F115" s="15" t="s">
        <v>97</v>
      </c>
      <c r="G115" s="16" t="s">
        <v>46</v>
      </c>
      <c r="H115" s="16" t="s">
        <v>47</v>
      </c>
      <c r="I115" s="16" t="s">
        <v>48</v>
      </c>
      <c r="J115" s="16" t="s">
        <v>33</v>
      </c>
      <c r="K115" s="13">
        <v>43228</v>
      </c>
      <c r="L115" s="13">
        <f t="shared" si="3"/>
        <v>43959</v>
      </c>
      <c r="M115" s="16" t="s">
        <v>139</v>
      </c>
      <c r="N115" s="16" t="s">
        <v>25</v>
      </c>
      <c r="O115" s="16" t="s">
        <v>19</v>
      </c>
      <c r="P115" s="16" t="s">
        <v>20</v>
      </c>
      <c r="Q115" s="17">
        <v>196</v>
      </c>
      <c r="R115" s="16">
        <v>84</v>
      </c>
      <c r="S115" s="42">
        <f>VENTAS[[#This Row],[Precio unitario]]*VENTAS[[#This Row],[Cantidad]]</f>
        <v>16464</v>
      </c>
      <c r="T115" s="33">
        <v>1580.5440000000001</v>
      </c>
    </row>
    <row r="116" spans="2:20">
      <c r="B116" s="31">
        <v>1119</v>
      </c>
      <c r="C116" s="13">
        <v>43228</v>
      </c>
      <c r="D116" s="13">
        <f t="shared" si="2"/>
        <v>43959</v>
      </c>
      <c r="E116" s="14">
        <v>8</v>
      </c>
      <c r="F116" s="15" t="s">
        <v>98</v>
      </c>
      <c r="G116" s="16" t="s">
        <v>30</v>
      </c>
      <c r="H116" s="16" t="s">
        <v>31</v>
      </c>
      <c r="I116" s="16" t="s">
        <v>32</v>
      </c>
      <c r="J116" s="16" t="s">
        <v>33</v>
      </c>
      <c r="K116" s="13">
        <v>43230</v>
      </c>
      <c r="L116" s="13">
        <f t="shared" si="3"/>
        <v>43961</v>
      </c>
      <c r="M116" s="16" t="s">
        <v>139</v>
      </c>
      <c r="N116" s="16" t="s">
        <v>43</v>
      </c>
      <c r="O116" s="16" t="s">
        <v>49</v>
      </c>
      <c r="P116" s="16" t="s">
        <v>50</v>
      </c>
      <c r="Q116" s="17">
        <v>560</v>
      </c>
      <c r="R116" s="16">
        <v>73</v>
      </c>
      <c r="S116" s="42">
        <f>VENTAS[[#This Row],[Precio unitario]]*VENTAS[[#This Row],[Cantidad]]</f>
        <v>40880</v>
      </c>
      <c r="T116" s="33">
        <v>3965.36</v>
      </c>
    </row>
    <row r="117" spans="2:20">
      <c r="B117" s="31">
        <v>1120</v>
      </c>
      <c r="C117" s="13">
        <v>43228</v>
      </c>
      <c r="D117" s="13">
        <f t="shared" si="2"/>
        <v>43959</v>
      </c>
      <c r="E117" s="14">
        <v>8</v>
      </c>
      <c r="F117" s="15" t="s">
        <v>99</v>
      </c>
      <c r="G117" s="16" t="s">
        <v>30</v>
      </c>
      <c r="H117" s="16" t="s">
        <v>31</v>
      </c>
      <c r="I117" s="16" t="s">
        <v>32</v>
      </c>
      <c r="J117" s="16" t="s">
        <v>33</v>
      </c>
      <c r="K117" s="13">
        <v>43230</v>
      </c>
      <c r="L117" s="13">
        <f t="shared" si="3"/>
        <v>43961</v>
      </c>
      <c r="M117" s="16" t="s">
        <v>139</v>
      </c>
      <c r="N117" s="16" t="s">
        <v>43</v>
      </c>
      <c r="O117" s="16" t="s">
        <v>34</v>
      </c>
      <c r="P117" s="16" t="s">
        <v>35</v>
      </c>
      <c r="Q117" s="17">
        <v>128.79999999999998</v>
      </c>
      <c r="R117" s="16">
        <v>51</v>
      </c>
      <c r="S117" s="42">
        <f>VENTAS[[#This Row],[Precio unitario]]*VENTAS[[#This Row],[Cantidad]]</f>
        <v>6568.7999999999993</v>
      </c>
      <c r="T117" s="33">
        <v>624.03599999999994</v>
      </c>
    </row>
    <row r="118" spans="2:20">
      <c r="B118" s="31">
        <v>1121</v>
      </c>
      <c r="C118" s="13">
        <v>43245</v>
      </c>
      <c r="D118" s="13">
        <f t="shared" si="2"/>
        <v>43976</v>
      </c>
      <c r="E118" s="14">
        <v>25</v>
      </c>
      <c r="F118" s="15" t="s">
        <v>100</v>
      </c>
      <c r="G118" s="16" t="s">
        <v>54</v>
      </c>
      <c r="H118" s="16" t="s">
        <v>55</v>
      </c>
      <c r="I118" s="16" t="s">
        <v>56</v>
      </c>
      <c r="J118" s="16" t="s">
        <v>141</v>
      </c>
      <c r="K118" s="13">
        <v>43247</v>
      </c>
      <c r="L118" s="13">
        <f t="shared" si="3"/>
        <v>43978</v>
      </c>
      <c r="M118" s="16" t="s">
        <v>138</v>
      </c>
      <c r="N118" s="16" t="s">
        <v>43</v>
      </c>
      <c r="O118" s="16" t="s">
        <v>79</v>
      </c>
      <c r="P118" s="16" t="s">
        <v>35</v>
      </c>
      <c r="Q118" s="17">
        <v>140</v>
      </c>
      <c r="R118" s="16">
        <v>66</v>
      </c>
      <c r="S118" s="42">
        <f>VENTAS[[#This Row],[Precio unitario]]*VENTAS[[#This Row],[Cantidad]]</f>
        <v>9240</v>
      </c>
      <c r="T118" s="33">
        <v>960.96</v>
      </c>
    </row>
    <row r="119" spans="2:20">
      <c r="B119" s="31">
        <v>1122</v>
      </c>
      <c r="C119" s="13">
        <v>43246</v>
      </c>
      <c r="D119" s="13">
        <f t="shared" si="2"/>
        <v>43977</v>
      </c>
      <c r="E119" s="14">
        <v>26</v>
      </c>
      <c r="F119" s="15" t="s">
        <v>101</v>
      </c>
      <c r="G119" s="16" t="s">
        <v>63</v>
      </c>
      <c r="H119" s="16" t="s">
        <v>63</v>
      </c>
      <c r="I119" s="16" t="s">
        <v>53</v>
      </c>
      <c r="J119" s="16" t="s">
        <v>143</v>
      </c>
      <c r="K119" s="13">
        <v>43248</v>
      </c>
      <c r="L119" s="13">
        <f t="shared" si="3"/>
        <v>43979</v>
      </c>
      <c r="M119" s="16" t="s">
        <v>140</v>
      </c>
      <c r="N119" s="16" t="s">
        <v>25</v>
      </c>
      <c r="O119" s="16" t="s">
        <v>80</v>
      </c>
      <c r="P119" s="16" t="s">
        <v>81</v>
      </c>
      <c r="Q119" s="17">
        <v>298.90000000000003</v>
      </c>
      <c r="R119" s="16">
        <v>36</v>
      </c>
      <c r="S119" s="42">
        <f>VENTAS[[#This Row],[Precio unitario]]*VENTAS[[#This Row],[Cantidad]]</f>
        <v>10760.400000000001</v>
      </c>
      <c r="T119" s="33">
        <v>1043.7588000000001</v>
      </c>
    </row>
    <row r="120" spans="2:20">
      <c r="B120" s="31">
        <v>1123</v>
      </c>
      <c r="C120" s="13">
        <v>43246</v>
      </c>
      <c r="D120" s="13">
        <f t="shared" si="2"/>
        <v>43977</v>
      </c>
      <c r="E120" s="14">
        <v>26</v>
      </c>
      <c r="F120" s="15" t="s">
        <v>102</v>
      </c>
      <c r="G120" s="16" t="s">
        <v>63</v>
      </c>
      <c r="H120" s="16" t="s">
        <v>63</v>
      </c>
      <c r="I120" s="16" t="s">
        <v>53</v>
      </c>
      <c r="J120" s="16" t="s">
        <v>143</v>
      </c>
      <c r="K120" s="13">
        <v>43248</v>
      </c>
      <c r="L120" s="13">
        <f t="shared" si="3"/>
        <v>43979</v>
      </c>
      <c r="M120" s="16" t="s">
        <v>140</v>
      </c>
      <c r="N120" s="16" t="s">
        <v>25</v>
      </c>
      <c r="O120" s="16" t="s">
        <v>44</v>
      </c>
      <c r="P120" s="16" t="s">
        <v>45</v>
      </c>
      <c r="Q120" s="17">
        <v>135.1</v>
      </c>
      <c r="R120" s="16">
        <v>87</v>
      </c>
      <c r="S120" s="42">
        <f>VENTAS[[#This Row],[Precio unitario]]*VENTAS[[#This Row],[Cantidad]]</f>
        <v>11753.699999999999</v>
      </c>
      <c r="T120" s="33">
        <v>1222.3848</v>
      </c>
    </row>
    <row r="121" spans="2:20">
      <c r="B121" s="31">
        <v>1124</v>
      </c>
      <c r="C121" s="13">
        <v>43246</v>
      </c>
      <c r="D121" s="13">
        <f t="shared" si="2"/>
        <v>43977</v>
      </c>
      <c r="E121" s="14">
        <v>26</v>
      </c>
      <c r="F121" s="15" t="s">
        <v>103</v>
      </c>
      <c r="G121" s="16" t="s">
        <v>63</v>
      </c>
      <c r="H121" s="16" t="s">
        <v>63</v>
      </c>
      <c r="I121" s="16" t="s">
        <v>53</v>
      </c>
      <c r="J121" s="16" t="s">
        <v>143</v>
      </c>
      <c r="K121" s="13">
        <v>43248</v>
      </c>
      <c r="L121" s="13">
        <f t="shared" si="3"/>
        <v>43979</v>
      </c>
      <c r="M121" s="16" t="s">
        <v>140</v>
      </c>
      <c r="N121" s="16" t="s">
        <v>25</v>
      </c>
      <c r="O121" s="16" t="s">
        <v>66</v>
      </c>
      <c r="P121" s="16" t="s">
        <v>67</v>
      </c>
      <c r="Q121" s="17">
        <v>257.59999999999997</v>
      </c>
      <c r="R121" s="16">
        <v>64</v>
      </c>
      <c r="S121" s="42">
        <f>VENTAS[[#This Row],[Precio unitario]]*VENTAS[[#This Row],[Cantidad]]</f>
        <v>16486.399999999998</v>
      </c>
      <c r="T121" s="33">
        <v>1615.6671999999999</v>
      </c>
    </row>
    <row r="122" spans="2:20">
      <c r="B122" s="31">
        <v>1125</v>
      </c>
      <c r="C122" s="13">
        <v>43249</v>
      </c>
      <c r="D122" s="13">
        <f t="shared" si="2"/>
        <v>43980</v>
      </c>
      <c r="E122" s="14">
        <v>29</v>
      </c>
      <c r="F122" s="15" t="s">
        <v>104</v>
      </c>
      <c r="G122" s="16" t="s">
        <v>36</v>
      </c>
      <c r="H122" s="16" t="s">
        <v>37</v>
      </c>
      <c r="I122" s="16" t="s">
        <v>38</v>
      </c>
      <c r="J122" s="16" t="s">
        <v>142</v>
      </c>
      <c r="K122" s="13">
        <v>43251</v>
      </c>
      <c r="L122" s="13">
        <f t="shared" si="3"/>
        <v>43982</v>
      </c>
      <c r="M122" s="16" t="s">
        <v>139</v>
      </c>
      <c r="N122" s="16" t="s">
        <v>43</v>
      </c>
      <c r="O122" s="16" t="s">
        <v>19</v>
      </c>
      <c r="P122" s="16" t="s">
        <v>20</v>
      </c>
      <c r="Q122" s="17">
        <v>196</v>
      </c>
      <c r="R122" s="16">
        <v>21</v>
      </c>
      <c r="S122" s="42">
        <f>VENTAS[[#This Row],[Precio unitario]]*VENTAS[[#This Row],[Cantidad]]</f>
        <v>4116</v>
      </c>
      <c r="T122" s="33">
        <v>432.18000000000006</v>
      </c>
    </row>
    <row r="123" spans="2:20">
      <c r="B123" s="31">
        <v>1126</v>
      </c>
      <c r="C123" s="13">
        <v>43226</v>
      </c>
      <c r="D123" s="13">
        <f t="shared" si="2"/>
        <v>43957</v>
      </c>
      <c r="E123" s="14">
        <v>6</v>
      </c>
      <c r="F123" s="15" t="s">
        <v>105</v>
      </c>
      <c r="G123" s="16" t="s">
        <v>46</v>
      </c>
      <c r="H123" s="16" t="s">
        <v>47</v>
      </c>
      <c r="I123" s="16" t="s">
        <v>48</v>
      </c>
      <c r="J123" s="16" t="s">
        <v>33</v>
      </c>
      <c r="K123" s="13">
        <v>43228</v>
      </c>
      <c r="L123" s="13">
        <f t="shared" si="3"/>
        <v>43959</v>
      </c>
      <c r="M123" s="16" t="s">
        <v>140</v>
      </c>
      <c r="N123" s="16" t="s">
        <v>43</v>
      </c>
      <c r="O123" s="16" t="s">
        <v>39</v>
      </c>
      <c r="P123" s="16" t="s">
        <v>40</v>
      </c>
      <c r="Q123" s="17">
        <v>178.5</v>
      </c>
      <c r="R123" s="16">
        <v>19</v>
      </c>
      <c r="S123" s="42">
        <f>VENTAS[[#This Row],[Precio unitario]]*VENTAS[[#This Row],[Cantidad]]</f>
        <v>3391.5</v>
      </c>
      <c r="T123" s="33">
        <v>342.54149999999998</v>
      </c>
    </row>
    <row r="124" spans="2:20">
      <c r="B124" s="31">
        <v>1128</v>
      </c>
      <c r="C124" s="13">
        <v>43224</v>
      </c>
      <c r="D124" s="13">
        <f t="shared" si="2"/>
        <v>43955</v>
      </c>
      <c r="E124" s="14">
        <v>4</v>
      </c>
      <c r="F124" s="15" t="s">
        <v>106</v>
      </c>
      <c r="G124" s="16" t="s">
        <v>23</v>
      </c>
      <c r="H124" s="16" t="s">
        <v>23</v>
      </c>
      <c r="I124" s="16" t="s">
        <v>24</v>
      </c>
      <c r="J124" s="16" t="s">
        <v>141</v>
      </c>
      <c r="K124" s="13">
        <v>43226</v>
      </c>
      <c r="L124" s="13">
        <f t="shared" si="3"/>
        <v>43957</v>
      </c>
      <c r="M124" s="16" t="s">
        <v>138</v>
      </c>
      <c r="N124" s="16" t="s">
        <v>25</v>
      </c>
      <c r="O124" s="16" t="s">
        <v>82</v>
      </c>
      <c r="P124" s="16" t="s">
        <v>60</v>
      </c>
      <c r="Q124" s="17">
        <v>1134</v>
      </c>
      <c r="R124" s="16">
        <v>23</v>
      </c>
      <c r="S124" s="42">
        <f>VENTAS[[#This Row],[Precio unitario]]*VENTAS[[#This Row],[Cantidad]]</f>
        <v>26082</v>
      </c>
      <c r="T124" s="33">
        <v>2738.61</v>
      </c>
    </row>
    <row r="125" spans="2:20">
      <c r="B125" s="31">
        <v>1129</v>
      </c>
      <c r="C125" s="13">
        <v>43224</v>
      </c>
      <c r="D125" s="13">
        <f t="shared" si="2"/>
        <v>43955</v>
      </c>
      <c r="E125" s="14">
        <v>4</v>
      </c>
      <c r="F125" s="15" t="s">
        <v>107</v>
      </c>
      <c r="G125" s="16" t="s">
        <v>23</v>
      </c>
      <c r="H125" s="16" t="s">
        <v>23</v>
      </c>
      <c r="I125" s="16" t="s">
        <v>24</v>
      </c>
      <c r="J125" s="16" t="s">
        <v>141</v>
      </c>
      <c r="K125" s="13">
        <v>43226</v>
      </c>
      <c r="L125" s="13">
        <f t="shared" si="3"/>
        <v>43957</v>
      </c>
      <c r="M125" s="16" t="s">
        <v>138</v>
      </c>
      <c r="N125" s="16" t="s">
        <v>25</v>
      </c>
      <c r="O125" s="16" t="s">
        <v>83</v>
      </c>
      <c r="P125" s="16" t="s">
        <v>84</v>
      </c>
      <c r="Q125" s="17">
        <v>98</v>
      </c>
      <c r="R125" s="16">
        <v>72</v>
      </c>
      <c r="S125" s="42">
        <f>VENTAS[[#This Row],[Precio unitario]]*VENTAS[[#This Row],[Cantidad]]</f>
        <v>7056</v>
      </c>
      <c r="T125" s="33">
        <v>726.76800000000003</v>
      </c>
    </row>
    <row r="126" spans="2:20">
      <c r="B126" s="31">
        <v>1131</v>
      </c>
      <c r="C126" s="13">
        <v>43228</v>
      </c>
      <c r="D126" s="13">
        <f t="shared" si="2"/>
        <v>43959</v>
      </c>
      <c r="E126" s="14">
        <v>8</v>
      </c>
      <c r="F126" s="15" t="s">
        <v>108</v>
      </c>
      <c r="G126" s="16" t="s">
        <v>30</v>
      </c>
      <c r="H126" s="16" t="s">
        <v>31</v>
      </c>
      <c r="I126" s="16" t="s">
        <v>32</v>
      </c>
      <c r="J126" s="16" t="s">
        <v>33</v>
      </c>
      <c r="K126" s="13">
        <v>43230</v>
      </c>
      <c r="L126" s="13">
        <f t="shared" si="3"/>
        <v>43961</v>
      </c>
      <c r="M126" s="16" t="s">
        <v>140</v>
      </c>
      <c r="N126" s="16" t="s">
        <v>25</v>
      </c>
      <c r="O126" s="16" t="s">
        <v>72</v>
      </c>
      <c r="P126" s="16" t="s">
        <v>73</v>
      </c>
      <c r="Q126" s="17">
        <v>487.19999999999993</v>
      </c>
      <c r="R126" s="16">
        <v>22</v>
      </c>
      <c r="S126" s="42">
        <f>VENTAS[[#This Row],[Precio unitario]]*VENTAS[[#This Row],[Cantidad]]</f>
        <v>10718.399999999998</v>
      </c>
      <c r="T126" s="33">
        <v>1050.4031999999997</v>
      </c>
    </row>
    <row r="127" spans="2:20">
      <c r="B127" s="31">
        <v>1134</v>
      </c>
      <c r="C127" s="13">
        <v>43223</v>
      </c>
      <c r="D127" s="13">
        <f t="shared" si="2"/>
        <v>43954</v>
      </c>
      <c r="E127" s="14">
        <v>3</v>
      </c>
      <c r="F127" s="15" t="s">
        <v>109</v>
      </c>
      <c r="G127" s="16" t="s">
        <v>41</v>
      </c>
      <c r="H127" s="16" t="s">
        <v>42</v>
      </c>
      <c r="I127" s="16" t="s">
        <v>18</v>
      </c>
      <c r="J127" s="16" t="s">
        <v>142</v>
      </c>
      <c r="K127" s="13">
        <v>43225</v>
      </c>
      <c r="L127" s="13">
        <f t="shared" si="3"/>
        <v>43956</v>
      </c>
      <c r="M127" s="16" t="s">
        <v>139</v>
      </c>
      <c r="N127" s="16" t="s">
        <v>43</v>
      </c>
      <c r="O127" s="16" t="s">
        <v>74</v>
      </c>
      <c r="P127" s="16" t="s">
        <v>62</v>
      </c>
      <c r="Q127" s="17">
        <v>140</v>
      </c>
      <c r="R127" s="16">
        <v>82</v>
      </c>
      <c r="S127" s="42">
        <f>VENTAS[[#This Row],[Precio unitario]]*VENTAS[[#This Row],[Cantidad]]</f>
        <v>11480</v>
      </c>
      <c r="T127" s="33">
        <v>1193.92</v>
      </c>
    </row>
    <row r="128" spans="2:20">
      <c r="B128" s="31">
        <v>1135</v>
      </c>
      <c r="C128" s="13">
        <v>43223</v>
      </c>
      <c r="D128" s="13">
        <f t="shared" si="2"/>
        <v>43954</v>
      </c>
      <c r="E128" s="14">
        <v>3</v>
      </c>
      <c r="F128" s="15" t="s">
        <v>110</v>
      </c>
      <c r="G128" s="16" t="s">
        <v>41</v>
      </c>
      <c r="H128" s="16" t="s">
        <v>42</v>
      </c>
      <c r="I128" s="16" t="s">
        <v>18</v>
      </c>
      <c r="J128" s="16" t="s">
        <v>142</v>
      </c>
      <c r="K128" s="13">
        <v>43225</v>
      </c>
      <c r="L128" s="13">
        <f t="shared" si="3"/>
        <v>43956</v>
      </c>
      <c r="M128" s="16" t="s">
        <v>139</v>
      </c>
      <c r="N128" s="16" t="s">
        <v>43</v>
      </c>
      <c r="O128" s="16" t="s">
        <v>49</v>
      </c>
      <c r="P128" s="16" t="s">
        <v>50</v>
      </c>
      <c r="Q128" s="17">
        <v>560</v>
      </c>
      <c r="R128" s="16">
        <v>98</v>
      </c>
      <c r="S128" s="42">
        <f>VENTAS[[#This Row],[Precio unitario]]*VENTAS[[#This Row],[Cantidad]]</f>
        <v>54880</v>
      </c>
      <c r="T128" s="33">
        <v>5762.4000000000005</v>
      </c>
    </row>
    <row r="129" spans="2:20">
      <c r="B129" s="31">
        <v>1138</v>
      </c>
      <c r="C129" s="13">
        <v>43258</v>
      </c>
      <c r="D129" s="13">
        <f t="shared" si="2"/>
        <v>43989</v>
      </c>
      <c r="E129" s="14">
        <v>7</v>
      </c>
      <c r="F129" s="15" t="s">
        <v>111</v>
      </c>
      <c r="G129" s="16" t="s">
        <v>58</v>
      </c>
      <c r="H129" s="16" t="s">
        <v>58</v>
      </c>
      <c r="I129" s="16" t="s">
        <v>32</v>
      </c>
      <c r="J129" s="16" t="s">
        <v>33</v>
      </c>
      <c r="K129" s="13"/>
      <c r="L129" s="13">
        <f t="shared" si="3"/>
        <v>731</v>
      </c>
      <c r="M129" s="16"/>
      <c r="N129" s="16" t="s">
        <v>25</v>
      </c>
      <c r="O129" s="16" t="s">
        <v>29</v>
      </c>
      <c r="P129" s="16" t="s">
        <v>20</v>
      </c>
      <c r="Q129" s="17">
        <v>644</v>
      </c>
      <c r="R129" s="16">
        <v>71</v>
      </c>
      <c r="S129" s="42">
        <f>VENTAS[[#This Row],[Precio unitario]]*VENTAS[[#This Row],[Cantidad]]</f>
        <v>45724</v>
      </c>
      <c r="T129" s="33">
        <v>4343.78</v>
      </c>
    </row>
    <row r="130" spans="2:20">
      <c r="B130" s="31">
        <v>1139</v>
      </c>
      <c r="C130" s="13">
        <v>43261</v>
      </c>
      <c r="D130" s="13">
        <f t="shared" si="2"/>
        <v>43992</v>
      </c>
      <c r="E130" s="14">
        <v>10</v>
      </c>
      <c r="F130" s="15" t="s">
        <v>112</v>
      </c>
      <c r="G130" s="16" t="s">
        <v>54</v>
      </c>
      <c r="H130" s="16" t="s">
        <v>55</v>
      </c>
      <c r="I130" s="16" t="s">
        <v>56</v>
      </c>
      <c r="J130" s="16" t="s">
        <v>141</v>
      </c>
      <c r="K130" s="13">
        <v>43263</v>
      </c>
      <c r="L130" s="13">
        <f t="shared" si="3"/>
        <v>43994</v>
      </c>
      <c r="M130" s="16" t="s">
        <v>138</v>
      </c>
      <c r="N130" s="16" t="s">
        <v>25</v>
      </c>
      <c r="O130" s="16" t="s">
        <v>59</v>
      </c>
      <c r="P130" s="16" t="s">
        <v>60</v>
      </c>
      <c r="Q130" s="17">
        <v>350</v>
      </c>
      <c r="R130" s="16">
        <v>40</v>
      </c>
      <c r="S130" s="42">
        <f>VENTAS[[#This Row],[Precio unitario]]*VENTAS[[#This Row],[Cantidad]]</f>
        <v>14000</v>
      </c>
      <c r="T130" s="33">
        <v>1470</v>
      </c>
    </row>
    <row r="131" spans="2:20">
      <c r="B131" s="31">
        <v>1140</v>
      </c>
      <c r="C131" s="13">
        <v>43261</v>
      </c>
      <c r="D131" s="13">
        <f t="shared" si="2"/>
        <v>43992</v>
      </c>
      <c r="E131" s="14">
        <v>10</v>
      </c>
      <c r="F131" s="15" t="s">
        <v>113</v>
      </c>
      <c r="G131" s="16" t="s">
        <v>54</v>
      </c>
      <c r="H131" s="16" t="s">
        <v>55</v>
      </c>
      <c r="I131" s="16" t="s">
        <v>56</v>
      </c>
      <c r="J131" s="16" t="s">
        <v>141</v>
      </c>
      <c r="K131" s="13">
        <v>43263</v>
      </c>
      <c r="L131" s="13">
        <f t="shared" si="3"/>
        <v>43994</v>
      </c>
      <c r="M131" s="16" t="s">
        <v>138</v>
      </c>
      <c r="N131" s="16" t="s">
        <v>25</v>
      </c>
      <c r="O131" s="16" t="s">
        <v>61</v>
      </c>
      <c r="P131" s="16" t="s">
        <v>62</v>
      </c>
      <c r="Q131" s="17">
        <v>308</v>
      </c>
      <c r="R131" s="16">
        <v>80</v>
      </c>
      <c r="S131" s="42">
        <f>VENTAS[[#This Row],[Precio unitario]]*VENTAS[[#This Row],[Cantidad]]</f>
        <v>24640</v>
      </c>
      <c r="T131" s="33">
        <v>2414.7199999999998</v>
      </c>
    </row>
    <row r="132" spans="2:20">
      <c r="B132" s="31">
        <v>1141</v>
      </c>
      <c r="C132" s="13">
        <v>43261</v>
      </c>
      <c r="D132" s="13">
        <f t="shared" si="2"/>
        <v>43992</v>
      </c>
      <c r="E132" s="14">
        <v>10</v>
      </c>
      <c r="F132" s="15" t="s">
        <v>114</v>
      </c>
      <c r="G132" s="16" t="s">
        <v>54</v>
      </c>
      <c r="H132" s="16" t="s">
        <v>55</v>
      </c>
      <c r="I132" s="16" t="s">
        <v>56</v>
      </c>
      <c r="J132" s="16" t="s">
        <v>141</v>
      </c>
      <c r="K132" s="13">
        <v>43263</v>
      </c>
      <c r="L132" s="13">
        <f t="shared" si="3"/>
        <v>43994</v>
      </c>
      <c r="M132" s="16" t="s">
        <v>138</v>
      </c>
      <c r="N132" s="16" t="s">
        <v>25</v>
      </c>
      <c r="O132" s="16" t="s">
        <v>34</v>
      </c>
      <c r="P132" s="16" t="s">
        <v>35</v>
      </c>
      <c r="Q132" s="17">
        <v>128.79999999999998</v>
      </c>
      <c r="R132" s="16">
        <v>38</v>
      </c>
      <c r="S132" s="42">
        <f>VENTAS[[#This Row],[Precio unitario]]*VENTAS[[#This Row],[Cantidad]]</f>
        <v>4894.3999999999996</v>
      </c>
      <c r="T132" s="33">
        <v>464.96799999999996</v>
      </c>
    </row>
    <row r="133" spans="2:20">
      <c r="B133" s="31">
        <v>1142</v>
      </c>
      <c r="C133" s="13">
        <v>43262</v>
      </c>
      <c r="D133" s="13">
        <f t="shared" si="2"/>
        <v>43993</v>
      </c>
      <c r="E133" s="14">
        <v>11</v>
      </c>
      <c r="F133" s="15" t="s">
        <v>115</v>
      </c>
      <c r="G133" s="16" t="s">
        <v>63</v>
      </c>
      <c r="H133" s="16" t="s">
        <v>63</v>
      </c>
      <c r="I133" s="16" t="s">
        <v>53</v>
      </c>
      <c r="J133" s="16" t="s">
        <v>143</v>
      </c>
      <c r="K133" s="13"/>
      <c r="L133" s="13">
        <f t="shared" si="3"/>
        <v>731</v>
      </c>
      <c r="M133" s="16" t="s">
        <v>140</v>
      </c>
      <c r="N133" s="16" t="s">
        <v>25</v>
      </c>
      <c r="O133" s="16" t="s">
        <v>21</v>
      </c>
      <c r="P133" s="16" t="s">
        <v>22</v>
      </c>
      <c r="Q133" s="17">
        <v>49</v>
      </c>
      <c r="R133" s="16">
        <v>28</v>
      </c>
      <c r="S133" s="42">
        <f>VENTAS[[#This Row],[Precio unitario]]*VENTAS[[#This Row],[Cantidad]]</f>
        <v>1372</v>
      </c>
      <c r="T133" s="33">
        <v>144.06</v>
      </c>
    </row>
    <row r="134" spans="2:20">
      <c r="B134" s="31">
        <v>1143</v>
      </c>
      <c r="C134" s="13">
        <v>43262</v>
      </c>
      <c r="D134" s="13">
        <f t="shared" si="2"/>
        <v>43993</v>
      </c>
      <c r="E134" s="14">
        <v>11</v>
      </c>
      <c r="F134" s="15" t="s">
        <v>116</v>
      </c>
      <c r="G134" s="16" t="s">
        <v>63</v>
      </c>
      <c r="H134" s="16" t="s">
        <v>63</v>
      </c>
      <c r="I134" s="16" t="s">
        <v>53</v>
      </c>
      <c r="J134" s="16" t="s">
        <v>143</v>
      </c>
      <c r="K134" s="13"/>
      <c r="L134" s="13">
        <f t="shared" si="3"/>
        <v>731</v>
      </c>
      <c r="M134" s="16" t="s">
        <v>140</v>
      </c>
      <c r="N134" s="16" t="s">
        <v>25</v>
      </c>
      <c r="O134" s="16" t="s">
        <v>57</v>
      </c>
      <c r="P134" s="16" t="s">
        <v>20</v>
      </c>
      <c r="Q134" s="17">
        <v>41.86</v>
      </c>
      <c r="R134" s="16">
        <v>60</v>
      </c>
      <c r="S134" s="42">
        <f>VENTAS[[#This Row],[Precio unitario]]*VENTAS[[#This Row],[Cantidad]]</f>
        <v>2511.6</v>
      </c>
      <c r="T134" s="33">
        <v>246.13680000000005</v>
      </c>
    </row>
    <row r="135" spans="2:20">
      <c r="B135" s="31">
        <v>1144</v>
      </c>
      <c r="C135" s="13">
        <v>43252</v>
      </c>
      <c r="D135" s="13">
        <f t="shared" ref="D135:D198" si="4">EDATE(C135,24)</f>
        <v>43983</v>
      </c>
      <c r="E135" s="14">
        <v>1</v>
      </c>
      <c r="F135" s="15" t="s">
        <v>117</v>
      </c>
      <c r="G135" s="16" t="s">
        <v>64</v>
      </c>
      <c r="H135" s="16" t="s">
        <v>65</v>
      </c>
      <c r="I135" s="16" t="s">
        <v>32</v>
      </c>
      <c r="J135" s="16" t="s">
        <v>33</v>
      </c>
      <c r="K135" s="13"/>
      <c r="L135" s="13">
        <f t="shared" ref="L135:L198" si="5">EDATE(K135,24)</f>
        <v>731</v>
      </c>
      <c r="M135" s="16"/>
      <c r="N135" s="16" t="s">
        <v>25</v>
      </c>
      <c r="O135" s="16" t="s">
        <v>28</v>
      </c>
      <c r="P135" s="16" t="s">
        <v>20</v>
      </c>
      <c r="Q135" s="17">
        <v>252</v>
      </c>
      <c r="R135" s="16">
        <v>33</v>
      </c>
      <c r="S135" s="42">
        <f>VENTAS[[#This Row],[Precio unitario]]*VENTAS[[#This Row],[Cantidad]]</f>
        <v>8316</v>
      </c>
      <c r="T135" s="33">
        <v>814.96800000000007</v>
      </c>
    </row>
    <row r="136" spans="2:20">
      <c r="B136" s="31">
        <v>1145</v>
      </c>
      <c r="C136" s="13">
        <v>43252</v>
      </c>
      <c r="D136" s="13">
        <f t="shared" si="4"/>
        <v>43983</v>
      </c>
      <c r="E136" s="14">
        <v>1</v>
      </c>
      <c r="F136" s="15" t="s">
        <v>118</v>
      </c>
      <c r="G136" s="16" t="s">
        <v>64</v>
      </c>
      <c r="H136" s="16" t="s">
        <v>65</v>
      </c>
      <c r="I136" s="16" t="s">
        <v>32</v>
      </c>
      <c r="J136" s="16" t="s">
        <v>33</v>
      </c>
      <c r="K136" s="13"/>
      <c r="L136" s="13">
        <f t="shared" si="5"/>
        <v>731</v>
      </c>
      <c r="M136" s="16"/>
      <c r="N136" s="16" t="s">
        <v>25</v>
      </c>
      <c r="O136" s="16" t="s">
        <v>29</v>
      </c>
      <c r="P136" s="16" t="s">
        <v>20</v>
      </c>
      <c r="Q136" s="17">
        <v>644</v>
      </c>
      <c r="R136" s="16">
        <v>22</v>
      </c>
      <c r="S136" s="42">
        <f>VENTAS[[#This Row],[Precio unitario]]*VENTAS[[#This Row],[Cantidad]]</f>
        <v>14168</v>
      </c>
      <c r="T136" s="33">
        <v>1416.8</v>
      </c>
    </row>
    <row r="137" spans="2:20">
      <c r="B137" s="31">
        <v>1146</v>
      </c>
      <c r="C137" s="13">
        <v>43252</v>
      </c>
      <c r="D137" s="13">
        <f t="shared" si="4"/>
        <v>43983</v>
      </c>
      <c r="E137" s="14">
        <v>1</v>
      </c>
      <c r="F137" s="15" t="s">
        <v>119</v>
      </c>
      <c r="G137" s="16" t="s">
        <v>64</v>
      </c>
      <c r="H137" s="16" t="s">
        <v>65</v>
      </c>
      <c r="I137" s="16" t="s">
        <v>32</v>
      </c>
      <c r="J137" s="16" t="s">
        <v>33</v>
      </c>
      <c r="K137" s="13"/>
      <c r="L137" s="13">
        <f t="shared" si="5"/>
        <v>731</v>
      </c>
      <c r="M137" s="16"/>
      <c r="N137" s="16" t="s">
        <v>25</v>
      </c>
      <c r="O137" s="16" t="s">
        <v>57</v>
      </c>
      <c r="P137" s="16" t="s">
        <v>20</v>
      </c>
      <c r="Q137" s="17">
        <v>41.86</v>
      </c>
      <c r="R137" s="16">
        <v>51</v>
      </c>
      <c r="S137" s="42">
        <f>VENTAS[[#This Row],[Precio unitario]]*VENTAS[[#This Row],[Cantidad]]</f>
        <v>2134.86</v>
      </c>
      <c r="T137" s="33">
        <v>209.21628000000004</v>
      </c>
    </row>
    <row r="138" spans="2:20">
      <c r="B138" s="31">
        <v>1147</v>
      </c>
      <c r="C138" s="13">
        <v>43279</v>
      </c>
      <c r="D138" s="13">
        <f t="shared" si="4"/>
        <v>44010</v>
      </c>
      <c r="E138" s="14">
        <v>28</v>
      </c>
      <c r="F138" s="15" t="s">
        <v>120</v>
      </c>
      <c r="G138" s="16" t="s">
        <v>51</v>
      </c>
      <c r="H138" s="16" t="s">
        <v>52</v>
      </c>
      <c r="I138" s="16" t="s">
        <v>53</v>
      </c>
      <c r="J138" s="16" t="s">
        <v>143</v>
      </c>
      <c r="K138" s="13">
        <v>43281</v>
      </c>
      <c r="L138" s="13">
        <f t="shared" si="5"/>
        <v>44012</v>
      </c>
      <c r="M138" s="16" t="s">
        <v>140</v>
      </c>
      <c r="N138" s="16" t="s">
        <v>25</v>
      </c>
      <c r="O138" s="16" t="s">
        <v>44</v>
      </c>
      <c r="P138" s="16" t="s">
        <v>45</v>
      </c>
      <c r="Q138" s="17">
        <v>135.1</v>
      </c>
      <c r="R138" s="16">
        <v>60</v>
      </c>
      <c r="S138" s="42">
        <f>VENTAS[[#This Row],[Precio unitario]]*VENTAS[[#This Row],[Cantidad]]</f>
        <v>8106</v>
      </c>
      <c r="T138" s="33">
        <v>802.49400000000003</v>
      </c>
    </row>
    <row r="139" spans="2:20">
      <c r="B139" s="31">
        <v>1148</v>
      </c>
      <c r="C139" s="13">
        <v>43279</v>
      </c>
      <c r="D139" s="13">
        <f t="shared" si="4"/>
        <v>44010</v>
      </c>
      <c r="E139" s="14">
        <v>28</v>
      </c>
      <c r="F139" s="15" t="s">
        <v>121</v>
      </c>
      <c r="G139" s="16" t="s">
        <v>51</v>
      </c>
      <c r="H139" s="16" t="s">
        <v>52</v>
      </c>
      <c r="I139" s="16" t="s">
        <v>53</v>
      </c>
      <c r="J139" s="16" t="s">
        <v>143</v>
      </c>
      <c r="K139" s="13">
        <v>43281</v>
      </c>
      <c r="L139" s="13">
        <f t="shared" si="5"/>
        <v>44012</v>
      </c>
      <c r="M139" s="16" t="s">
        <v>140</v>
      </c>
      <c r="N139" s="16" t="s">
        <v>25</v>
      </c>
      <c r="O139" s="16" t="s">
        <v>66</v>
      </c>
      <c r="P139" s="16" t="s">
        <v>67</v>
      </c>
      <c r="Q139" s="17">
        <v>257.59999999999997</v>
      </c>
      <c r="R139" s="16">
        <v>98</v>
      </c>
      <c r="S139" s="42">
        <f>VENTAS[[#This Row],[Precio unitario]]*VENTAS[[#This Row],[Cantidad]]</f>
        <v>25244.799999999996</v>
      </c>
      <c r="T139" s="33">
        <v>2574.9695999999999</v>
      </c>
    </row>
    <row r="140" spans="2:20">
      <c r="B140" s="31">
        <v>1149</v>
      </c>
      <c r="C140" s="13">
        <v>43260</v>
      </c>
      <c r="D140" s="13">
        <f t="shared" si="4"/>
        <v>43991</v>
      </c>
      <c r="E140" s="14">
        <v>9</v>
      </c>
      <c r="F140" s="15" t="s">
        <v>122</v>
      </c>
      <c r="G140" s="16" t="s">
        <v>68</v>
      </c>
      <c r="H140" s="16" t="s">
        <v>37</v>
      </c>
      <c r="I140" s="16" t="s">
        <v>69</v>
      </c>
      <c r="J140" s="16" t="s">
        <v>142</v>
      </c>
      <c r="K140" s="13">
        <v>43262</v>
      </c>
      <c r="L140" s="13">
        <f t="shared" si="5"/>
        <v>43993</v>
      </c>
      <c r="M140" s="16" t="s">
        <v>138</v>
      </c>
      <c r="N140" s="16" t="s">
        <v>43</v>
      </c>
      <c r="O140" s="16" t="s">
        <v>70</v>
      </c>
      <c r="P140" s="16" t="s">
        <v>71</v>
      </c>
      <c r="Q140" s="17">
        <v>273</v>
      </c>
      <c r="R140" s="16">
        <v>27</v>
      </c>
      <c r="S140" s="42">
        <f>VENTAS[[#This Row],[Precio unitario]]*VENTAS[[#This Row],[Cantidad]]</f>
        <v>7371</v>
      </c>
      <c r="T140" s="33">
        <v>714.98700000000008</v>
      </c>
    </row>
    <row r="141" spans="2:20">
      <c r="B141" s="31">
        <v>1150</v>
      </c>
      <c r="C141" s="13">
        <v>43260</v>
      </c>
      <c r="D141" s="13">
        <f t="shared" si="4"/>
        <v>43991</v>
      </c>
      <c r="E141" s="14">
        <v>9</v>
      </c>
      <c r="F141" s="18" t="s">
        <v>88</v>
      </c>
      <c r="G141" s="16" t="s">
        <v>68</v>
      </c>
      <c r="H141" s="16" t="s">
        <v>37</v>
      </c>
      <c r="I141" s="16" t="s">
        <v>69</v>
      </c>
      <c r="J141" s="16" t="s">
        <v>142</v>
      </c>
      <c r="K141" s="13">
        <v>43262</v>
      </c>
      <c r="L141" s="13">
        <f t="shared" si="5"/>
        <v>43993</v>
      </c>
      <c r="M141" s="16" t="s">
        <v>138</v>
      </c>
      <c r="N141" s="16" t="s">
        <v>43</v>
      </c>
      <c r="O141" s="16" t="s">
        <v>72</v>
      </c>
      <c r="P141" s="16" t="s">
        <v>73</v>
      </c>
      <c r="Q141" s="17">
        <v>487.19999999999993</v>
      </c>
      <c r="R141" s="16">
        <v>88</v>
      </c>
      <c r="S141" s="42">
        <f>VENTAS[[#This Row],[Precio unitario]]*VENTAS[[#This Row],[Cantidad]]</f>
        <v>42873.599999999991</v>
      </c>
      <c r="T141" s="33">
        <v>4244.4863999999989</v>
      </c>
    </row>
    <row r="142" spans="2:20">
      <c r="B142" s="31">
        <v>1151</v>
      </c>
      <c r="C142" s="13">
        <v>43257</v>
      </c>
      <c r="D142" s="13">
        <f t="shared" si="4"/>
        <v>43988</v>
      </c>
      <c r="E142" s="14">
        <v>6</v>
      </c>
      <c r="F142" s="18" t="s">
        <v>85</v>
      </c>
      <c r="G142" s="16" t="s">
        <v>46</v>
      </c>
      <c r="H142" s="16" t="s">
        <v>47</v>
      </c>
      <c r="I142" s="16" t="s">
        <v>48</v>
      </c>
      <c r="J142" s="16" t="s">
        <v>33</v>
      </c>
      <c r="K142" s="13">
        <v>43259</v>
      </c>
      <c r="L142" s="13">
        <f t="shared" si="5"/>
        <v>43990</v>
      </c>
      <c r="M142" s="16" t="s">
        <v>139</v>
      </c>
      <c r="N142" s="16" t="s">
        <v>25</v>
      </c>
      <c r="O142" s="16" t="s">
        <v>19</v>
      </c>
      <c r="P142" s="16" t="s">
        <v>20</v>
      </c>
      <c r="Q142" s="17">
        <v>196</v>
      </c>
      <c r="R142" s="16">
        <v>65</v>
      </c>
      <c r="S142" s="42">
        <f>VENTAS[[#This Row],[Precio unitario]]*VENTAS[[#This Row],[Cantidad]]</f>
        <v>12740</v>
      </c>
      <c r="T142" s="33">
        <v>1337.7</v>
      </c>
    </row>
    <row r="143" spans="2:20">
      <c r="B143" s="31">
        <v>1152</v>
      </c>
      <c r="C143" s="13">
        <v>43259</v>
      </c>
      <c r="D143" s="13">
        <f t="shared" si="4"/>
        <v>43990</v>
      </c>
      <c r="E143" s="14">
        <v>8</v>
      </c>
      <c r="F143" s="18" t="s">
        <v>91</v>
      </c>
      <c r="G143" s="16" t="s">
        <v>30</v>
      </c>
      <c r="H143" s="16" t="s">
        <v>31</v>
      </c>
      <c r="I143" s="16" t="s">
        <v>32</v>
      </c>
      <c r="J143" s="16" t="s">
        <v>33</v>
      </c>
      <c r="K143" s="13">
        <v>43261</v>
      </c>
      <c r="L143" s="13">
        <f t="shared" si="5"/>
        <v>43992</v>
      </c>
      <c r="M143" s="16" t="s">
        <v>139</v>
      </c>
      <c r="N143" s="16" t="s">
        <v>43</v>
      </c>
      <c r="O143" s="16" t="s">
        <v>49</v>
      </c>
      <c r="P143" s="16" t="s">
        <v>50</v>
      </c>
      <c r="Q143" s="17">
        <v>560</v>
      </c>
      <c r="R143" s="16">
        <v>38</v>
      </c>
      <c r="S143" s="42">
        <f>VENTAS[[#This Row],[Precio unitario]]*VENTAS[[#This Row],[Cantidad]]</f>
        <v>21280</v>
      </c>
      <c r="T143" s="33">
        <v>2085.44</v>
      </c>
    </row>
    <row r="144" spans="2:20">
      <c r="B144" s="31">
        <v>1153</v>
      </c>
      <c r="C144" s="13">
        <v>43259</v>
      </c>
      <c r="D144" s="13">
        <f t="shared" si="4"/>
        <v>43990</v>
      </c>
      <c r="E144" s="14">
        <v>8</v>
      </c>
      <c r="F144" s="18" t="s">
        <v>87</v>
      </c>
      <c r="G144" s="16" t="s">
        <v>30</v>
      </c>
      <c r="H144" s="16" t="s">
        <v>31</v>
      </c>
      <c r="I144" s="16" t="s">
        <v>32</v>
      </c>
      <c r="J144" s="16" t="s">
        <v>33</v>
      </c>
      <c r="K144" s="13">
        <v>43261</v>
      </c>
      <c r="L144" s="13">
        <f t="shared" si="5"/>
        <v>43992</v>
      </c>
      <c r="M144" s="16" t="s">
        <v>139</v>
      </c>
      <c r="N144" s="16" t="s">
        <v>43</v>
      </c>
      <c r="O144" s="16" t="s">
        <v>34</v>
      </c>
      <c r="P144" s="16" t="s">
        <v>35</v>
      </c>
      <c r="Q144" s="17">
        <v>128.79999999999998</v>
      </c>
      <c r="R144" s="16">
        <v>80</v>
      </c>
      <c r="S144" s="42">
        <f>VENTAS[[#This Row],[Precio unitario]]*VENTAS[[#This Row],[Cantidad]]</f>
        <v>10303.999999999998</v>
      </c>
      <c r="T144" s="33">
        <v>989.18400000000008</v>
      </c>
    </row>
    <row r="145" spans="2:20">
      <c r="B145" s="31">
        <v>1154</v>
      </c>
      <c r="C145" s="13">
        <v>43276</v>
      </c>
      <c r="D145" s="13">
        <f t="shared" si="4"/>
        <v>44007</v>
      </c>
      <c r="E145" s="14">
        <v>25</v>
      </c>
      <c r="F145" s="18" t="s">
        <v>86</v>
      </c>
      <c r="G145" s="16" t="s">
        <v>54</v>
      </c>
      <c r="H145" s="16" t="s">
        <v>55</v>
      </c>
      <c r="I145" s="16" t="s">
        <v>56</v>
      </c>
      <c r="J145" s="16" t="s">
        <v>141</v>
      </c>
      <c r="K145" s="13">
        <v>43278</v>
      </c>
      <c r="L145" s="13">
        <f t="shared" si="5"/>
        <v>44009</v>
      </c>
      <c r="M145" s="16" t="s">
        <v>138</v>
      </c>
      <c r="N145" s="16" t="s">
        <v>43</v>
      </c>
      <c r="O145" s="16" t="s">
        <v>79</v>
      </c>
      <c r="P145" s="16" t="s">
        <v>35</v>
      </c>
      <c r="Q145" s="17">
        <v>140</v>
      </c>
      <c r="R145" s="16">
        <v>49</v>
      </c>
      <c r="S145" s="42">
        <f>VENTAS[[#This Row],[Precio unitario]]*VENTAS[[#This Row],[Cantidad]]</f>
        <v>6860</v>
      </c>
      <c r="T145" s="33">
        <v>658.56</v>
      </c>
    </row>
    <row r="146" spans="2:20">
      <c r="B146" s="31">
        <v>1155</v>
      </c>
      <c r="C146" s="13">
        <v>43277</v>
      </c>
      <c r="D146" s="13">
        <f t="shared" si="4"/>
        <v>44008</v>
      </c>
      <c r="E146" s="14">
        <v>26</v>
      </c>
      <c r="F146" s="18" t="s">
        <v>123</v>
      </c>
      <c r="G146" s="16" t="s">
        <v>63</v>
      </c>
      <c r="H146" s="16" t="s">
        <v>63</v>
      </c>
      <c r="I146" s="16" t="s">
        <v>53</v>
      </c>
      <c r="J146" s="16" t="s">
        <v>143</v>
      </c>
      <c r="K146" s="13">
        <v>43279</v>
      </c>
      <c r="L146" s="13">
        <f t="shared" si="5"/>
        <v>44010</v>
      </c>
      <c r="M146" s="16" t="s">
        <v>140</v>
      </c>
      <c r="N146" s="16" t="s">
        <v>25</v>
      </c>
      <c r="O146" s="16" t="s">
        <v>80</v>
      </c>
      <c r="P146" s="16" t="s">
        <v>81</v>
      </c>
      <c r="Q146" s="17">
        <v>298.90000000000003</v>
      </c>
      <c r="R146" s="16">
        <v>90</v>
      </c>
      <c r="S146" s="42">
        <f>VENTAS[[#This Row],[Precio unitario]]*VENTAS[[#This Row],[Cantidad]]</f>
        <v>26901.000000000004</v>
      </c>
      <c r="T146" s="33">
        <v>2609.3970000000004</v>
      </c>
    </row>
    <row r="147" spans="2:20">
      <c r="B147" s="31">
        <v>1156</v>
      </c>
      <c r="C147" s="13">
        <v>43277</v>
      </c>
      <c r="D147" s="13">
        <f t="shared" si="4"/>
        <v>44008</v>
      </c>
      <c r="E147" s="14">
        <v>26</v>
      </c>
      <c r="F147" s="18" t="s">
        <v>89</v>
      </c>
      <c r="G147" s="16" t="s">
        <v>63</v>
      </c>
      <c r="H147" s="16" t="s">
        <v>63</v>
      </c>
      <c r="I147" s="16" t="s">
        <v>53</v>
      </c>
      <c r="J147" s="16" t="s">
        <v>143</v>
      </c>
      <c r="K147" s="13">
        <v>43279</v>
      </c>
      <c r="L147" s="13">
        <f t="shared" si="5"/>
        <v>44010</v>
      </c>
      <c r="M147" s="16" t="s">
        <v>140</v>
      </c>
      <c r="N147" s="16" t="s">
        <v>25</v>
      </c>
      <c r="O147" s="16" t="s">
        <v>44</v>
      </c>
      <c r="P147" s="16" t="s">
        <v>45</v>
      </c>
      <c r="Q147" s="17">
        <v>135.1</v>
      </c>
      <c r="R147" s="16">
        <v>60</v>
      </c>
      <c r="S147" s="42">
        <f>VENTAS[[#This Row],[Precio unitario]]*VENTAS[[#This Row],[Cantidad]]</f>
        <v>8106</v>
      </c>
      <c r="T147" s="33">
        <v>834.91800000000012</v>
      </c>
    </row>
    <row r="148" spans="2:20">
      <c r="B148" s="31">
        <v>1157</v>
      </c>
      <c r="C148" s="13">
        <v>43277</v>
      </c>
      <c r="D148" s="13">
        <f t="shared" si="4"/>
        <v>44008</v>
      </c>
      <c r="E148" s="14">
        <v>26</v>
      </c>
      <c r="F148" s="18" t="s">
        <v>124</v>
      </c>
      <c r="G148" s="16" t="s">
        <v>63</v>
      </c>
      <c r="H148" s="16" t="s">
        <v>63</v>
      </c>
      <c r="I148" s="16" t="s">
        <v>53</v>
      </c>
      <c r="J148" s="16" t="s">
        <v>143</v>
      </c>
      <c r="K148" s="13">
        <v>43279</v>
      </c>
      <c r="L148" s="13">
        <f t="shared" si="5"/>
        <v>44010</v>
      </c>
      <c r="M148" s="16" t="s">
        <v>140</v>
      </c>
      <c r="N148" s="16" t="s">
        <v>25</v>
      </c>
      <c r="O148" s="16" t="s">
        <v>66</v>
      </c>
      <c r="P148" s="16" t="s">
        <v>67</v>
      </c>
      <c r="Q148" s="17">
        <v>257.59999999999997</v>
      </c>
      <c r="R148" s="16">
        <v>39</v>
      </c>
      <c r="S148" s="42">
        <f>VENTAS[[#This Row],[Precio unitario]]*VENTAS[[#This Row],[Cantidad]]</f>
        <v>10046.399999999998</v>
      </c>
      <c r="T148" s="33">
        <v>1004.6399999999999</v>
      </c>
    </row>
    <row r="149" spans="2:20">
      <c r="B149" s="31">
        <v>1158</v>
      </c>
      <c r="C149" s="13">
        <v>43280</v>
      </c>
      <c r="D149" s="13">
        <f t="shared" si="4"/>
        <v>44011</v>
      </c>
      <c r="E149" s="14">
        <v>29</v>
      </c>
      <c r="F149" s="18" t="s">
        <v>92</v>
      </c>
      <c r="G149" s="16" t="s">
        <v>36</v>
      </c>
      <c r="H149" s="16" t="s">
        <v>37</v>
      </c>
      <c r="I149" s="16" t="s">
        <v>38</v>
      </c>
      <c r="J149" s="16" t="s">
        <v>142</v>
      </c>
      <c r="K149" s="13">
        <v>43282</v>
      </c>
      <c r="L149" s="13">
        <f t="shared" si="5"/>
        <v>44013</v>
      </c>
      <c r="M149" s="16" t="s">
        <v>139</v>
      </c>
      <c r="N149" s="16" t="s">
        <v>43</v>
      </c>
      <c r="O149" s="16" t="s">
        <v>19</v>
      </c>
      <c r="P149" s="16" t="s">
        <v>20</v>
      </c>
      <c r="Q149" s="17">
        <v>196</v>
      </c>
      <c r="R149" s="16">
        <v>79</v>
      </c>
      <c r="S149" s="42">
        <f>VENTAS[[#This Row],[Precio unitario]]*VENTAS[[#This Row],[Cantidad]]</f>
        <v>15484</v>
      </c>
      <c r="T149" s="33">
        <v>1594.8520000000001</v>
      </c>
    </row>
    <row r="150" spans="2:20">
      <c r="B150" s="31">
        <v>1159</v>
      </c>
      <c r="C150" s="13">
        <v>43257</v>
      </c>
      <c r="D150" s="13">
        <f t="shared" si="4"/>
        <v>43988</v>
      </c>
      <c r="E150" s="14">
        <v>6</v>
      </c>
      <c r="F150" s="18" t="s">
        <v>125</v>
      </c>
      <c r="G150" s="16" t="s">
        <v>46</v>
      </c>
      <c r="H150" s="16" t="s">
        <v>47</v>
      </c>
      <c r="I150" s="16" t="s">
        <v>48</v>
      </c>
      <c r="J150" s="16" t="s">
        <v>33</v>
      </c>
      <c r="K150" s="13">
        <v>43259</v>
      </c>
      <c r="L150" s="13">
        <f t="shared" si="5"/>
        <v>43990</v>
      </c>
      <c r="M150" s="16" t="s">
        <v>140</v>
      </c>
      <c r="N150" s="16" t="s">
        <v>43</v>
      </c>
      <c r="O150" s="16" t="s">
        <v>39</v>
      </c>
      <c r="P150" s="16" t="s">
        <v>40</v>
      </c>
      <c r="Q150" s="17">
        <v>178.5</v>
      </c>
      <c r="R150" s="16">
        <v>44</v>
      </c>
      <c r="S150" s="42">
        <f>VENTAS[[#This Row],[Precio unitario]]*VENTAS[[#This Row],[Cantidad]]</f>
        <v>7854</v>
      </c>
      <c r="T150" s="33">
        <v>801.10800000000006</v>
      </c>
    </row>
    <row r="151" spans="2:20">
      <c r="B151" s="31">
        <v>1161</v>
      </c>
      <c r="C151" s="13">
        <v>43255</v>
      </c>
      <c r="D151" s="13">
        <f t="shared" si="4"/>
        <v>43986</v>
      </c>
      <c r="E151" s="14">
        <v>4</v>
      </c>
      <c r="F151" s="15" t="s">
        <v>85</v>
      </c>
      <c r="G151" s="16" t="s">
        <v>23</v>
      </c>
      <c r="H151" s="16" t="s">
        <v>23</v>
      </c>
      <c r="I151" s="16" t="s">
        <v>24</v>
      </c>
      <c r="J151" s="16" t="s">
        <v>141</v>
      </c>
      <c r="K151" s="13">
        <v>43257</v>
      </c>
      <c r="L151" s="13">
        <f t="shared" si="5"/>
        <v>43988</v>
      </c>
      <c r="M151" s="16" t="s">
        <v>138</v>
      </c>
      <c r="N151" s="16" t="s">
        <v>25</v>
      </c>
      <c r="O151" s="16" t="s">
        <v>82</v>
      </c>
      <c r="P151" s="16" t="s">
        <v>60</v>
      </c>
      <c r="Q151" s="17">
        <v>1134</v>
      </c>
      <c r="R151" s="16">
        <v>98</v>
      </c>
      <c r="S151" s="42">
        <f>VENTAS[[#This Row],[Precio unitario]]*VENTAS[[#This Row],[Cantidad]]</f>
        <v>111132</v>
      </c>
      <c r="T151" s="33">
        <v>10779.804</v>
      </c>
    </row>
    <row r="152" spans="2:20">
      <c r="B152" s="31">
        <v>1162</v>
      </c>
      <c r="C152" s="13">
        <v>43255</v>
      </c>
      <c r="D152" s="13">
        <f t="shared" si="4"/>
        <v>43986</v>
      </c>
      <c r="E152" s="14">
        <v>4</v>
      </c>
      <c r="F152" s="15" t="s">
        <v>86</v>
      </c>
      <c r="G152" s="16" t="s">
        <v>23</v>
      </c>
      <c r="H152" s="16" t="s">
        <v>23</v>
      </c>
      <c r="I152" s="16" t="s">
        <v>24</v>
      </c>
      <c r="J152" s="16" t="s">
        <v>141</v>
      </c>
      <c r="K152" s="13">
        <v>43257</v>
      </c>
      <c r="L152" s="13">
        <f t="shared" si="5"/>
        <v>43988</v>
      </c>
      <c r="M152" s="16" t="s">
        <v>138</v>
      </c>
      <c r="N152" s="16" t="s">
        <v>25</v>
      </c>
      <c r="O152" s="16" t="s">
        <v>83</v>
      </c>
      <c r="P152" s="16" t="s">
        <v>84</v>
      </c>
      <c r="Q152" s="17">
        <v>98</v>
      </c>
      <c r="R152" s="16">
        <v>61</v>
      </c>
      <c r="S152" s="42">
        <f>VENTAS[[#This Row],[Precio unitario]]*VENTAS[[#This Row],[Cantidad]]</f>
        <v>5978</v>
      </c>
      <c r="T152" s="33">
        <v>591.822</v>
      </c>
    </row>
    <row r="153" spans="2:20">
      <c r="B153" s="31">
        <v>1164</v>
      </c>
      <c r="C153" s="13">
        <v>43259</v>
      </c>
      <c r="D153" s="13">
        <f t="shared" si="4"/>
        <v>43990</v>
      </c>
      <c r="E153" s="14">
        <v>8</v>
      </c>
      <c r="F153" s="15" t="s">
        <v>87</v>
      </c>
      <c r="G153" s="16" t="s">
        <v>30</v>
      </c>
      <c r="H153" s="16" t="s">
        <v>31</v>
      </c>
      <c r="I153" s="16" t="s">
        <v>32</v>
      </c>
      <c r="J153" s="16" t="s">
        <v>33</v>
      </c>
      <c r="K153" s="13">
        <v>43261</v>
      </c>
      <c r="L153" s="13">
        <f t="shared" si="5"/>
        <v>43992</v>
      </c>
      <c r="M153" s="16" t="s">
        <v>140</v>
      </c>
      <c r="N153" s="16" t="s">
        <v>25</v>
      </c>
      <c r="O153" s="16" t="s">
        <v>72</v>
      </c>
      <c r="P153" s="16" t="s">
        <v>73</v>
      </c>
      <c r="Q153" s="17">
        <v>487.19999999999993</v>
      </c>
      <c r="R153" s="16">
        <v>30</v>
      </c>
      <c r="S153" s="42">
        <f>VENTAS[[#This Row],[Precio unitario]]*VENTAS[[#This Row],[Cantidad]]</f>
        <v>14615.999999999998</v>
      </c>
      <c r="T153" s="33">
        <v>1534.68</v>
      </c>
    </row>
    <row r="154" spans="2:20">
      <c r="B154" s="31">
        <v>1167</v>
      </c>
      <c r="C154" s="13">
        <v>43254</v>
      </c>
      <c r="D154" s="13">
        <f t="shared" si="4"/>
        <v>43985</v>
      </c>
      <c r="E154" s="14">
        <v>3</v>
      </c>
      <c r="F154" s="15" t="s">
        <v>88</v>
      </c>
      <c r="G154" s="16" t="s">
        <v>41</v>
      </c>
      <c r="H154" s="16" t="s">
        <v>42</v>
      </c>
      <c r="I154" s="16" t="s">
        <v>18</v>
      </c>
      <c r="J154" s="16" t="s">
        <v>142</v>
      </c>
      <c r="K154" s="13">
        <v>43256</v>
      </c>
      <c r="L154" s="13">
        <f t="shared" si="5"/>
        <v>43987</v>
      </c>
      <c r="M154" s="16" t="s">
        <v>139</v>
      </c>
      <c r="N154" s="16" t="s">
        <v>43</v>
      </c>
      <c r="O154" s="16" t="s">
        <v>74</v>
      </c>
      <c r="P154" s="16" t="s">
        <v>62</v>
      </c>
      <c r="Q154" s="17">
        <v>140</v>
      </c>
      <c r="R154" s="16">
        <v>24</v>
      </c>
      <c r="S154" s="42">
        <f>VENTAS[[#This Row],[Precio unitario]]*VENTAS[[#This Row],[Cantidad]]</f>
        <v>3360</v>
      </c>
      <c r="T154" s="33">
        <v>352.80000000000007</v>
      </c>
    </row>
    <row r="155" spans="2:20">
      <c r="B155" s="31">
        <v>1168</v>
      </c>
      <c r="C155" s="13">
        <v>43254</v>
      </c>
      <c r="D155" s="13">
        <f t="shared" si="4"/>
        <v>43985</v>
      </c>
      <c r="E155" s="14">
        <v>3</v>
      </c>
      <c r="F155" s="15" t="s">
        <v>89</v>
      </c>
      <c r="G155" s="16" t="s">
        <v>41</v>
      </c>
      <c r="H155" s="16" t="s">
        <v>42</v>
      </c>
      <c r="I155" s="16" t="s">
        <v>18</v>
      </c>
      <c r="J155" s="16" t="s">
        <v>142</v>
      </c>
      <c r="K155" s="13">
        <v>43256</v>
      </c>
      <c r="L155" s="13">
        <f t="shared" si="5"/>
        <v>43987</v>
      </c>
      <c r="M155" s="16" t="s">
        <v>139</v>
      </c>
      <c r="N155" s="16" t="s">
        <v>43</v>
      </c>
      <c r="O155" s="16" t="s">
        <v>49</v>
      </c>
      <c r="P155" s="16" t="s">
        <v>50</v>
      </c>
      <c r="Q155" s="17">
        <v>560</v>
      </c>
      <c r="R155" s="16">
        <v>28</v>
      </c>
      <c r="S155" s="42">
        <f>VENTAS[[#This Row],[Precio unitario]]*VENTAS[[#This Row],[Cantidad]]</f>
        <v>15680</v>
      </c>
      <c r="T155" s="33">
        <v>1536.6399999999999</v>
      </c>
    </row>
    <row r="156" spans="2:20">
      <c r="B156" s="31">
        <v>1172</v>
      </c>
      <c r="C156" s="13">
        <v>43261</v>
      </c>
      <c r="D156" s="13">
        <f t="shared" si="4"/>
        <v>43992</v>
      </c>
      <c r="E156" s="14">
        <v>10</v>
      </c>
      <c r="F156" s="15" t="s">
        <v>90</v>
      </c>
      <c r="G156" s="16" t="s">
        <v>54</v>
      </c>
      <c r="H156" s="16" t="s">
        <v>55</v>
      </c>
      <c r="I156" s="16" t="s">
        <v>56</v>
      </c>
      <c r="J156" s="16" t="s">
        <v>141</v>
      </c>
      <c r="K156" s="13">
        <v>43263</v>
      </c>
      <c r="L156" s="13">
        <f t="shared" si="5"/>
        <v>43994</v>
      </c>
      <c r="M156" s="16" t="s">
        <v>139</v>
      </c>
      <c r="N156" s="16" t="s">
        <v>25</v>
      </c>
      <c r="O156" s="16" t="s">
        <v>75</v>
      </c>
      <c r="P156" s="16" t="s">
        <v>22</v>
      </c>
      <c r="Q156" s="17">
        <v>140</v>
      </c>
      <c r="R156" s="16">
        <v>74</v>
      </c>
      <c r="S156" s="42">
        <f>VENTAS[[#This Row],[Precio unitario]]*VENTAS[[#This Row],[Cantidad]]</f>
        <v>10360</v>
      </c>
      <c r="T156" s="33">
        <v>1004.9200000000001</v>
      </c>
    </row>
    <row r="157" spans="2:20">
      <c r="B157" s="31">
        <v>1174</v>
      </c>
      <c r="C157" s="13">
        <v>43261</v>
      </c>
      <c r="D157" s="13">
        <f t="shared" si="4"/>
        <v>43992</v>
      </c>
      <c r="E157" s="14">
        <v>10</v>
      </c>
      <c r="F157" s="15" t="s">
        <v>91</v>
      </c>
      <c r="G157" s="16" t="s">
        <v>54</v>
      </c>
      <c r="H157" s="16" t="s">
        <v>55</v>
      </c>
      <c r="I157" s="16" t="s">
        <v>56</v>
      </c>
      <c r="J157" s="16" t="s">
        <v>141</v>
      </c>
      <c r="K157" s="13"/>
      <c r="L157" s="13">
        <f t="shared" si="5"/>
        <v>731</v>
      </c>
      <c r="M157" s="16" t="s">
        <v>138</v>
      </c>
      <c r="N157" s="16" t="s">
        <v>25</v>
      </c>
      <c r="O157" s="16" t="s">
        <v>21</v>
      </c>
      <c r="P157" s="16" t="s">
        <v>22</v>
      </c>
      <c r="Q157" s="17">
        <v>49</v>
      </c>
      <c r="R157" s="16">
        <v>90</v>
      </c>
      <c r="S157" s="42">
        <f>VENTAS[[#This Row],[Precio unitario]]*VENTAS[[#This Row],[Cantidad]]</f>
        <v>4410</v>
      </c>
      <c r="T157" s="33">
        <v>423.35999999999996</v>
      </c>
    </row>
    <row r="158" spans="2:20">
      <c r="B158" s="31">
        <v>1175</v>
      </c>
      <c r="C158" s="13">
        <v>43262</v>
      </c>
      <c r="D158" s="13">
        <f t="shared" si="4"/>
        <v>43993</v>
      </c>
      <c r="E158" s="14">
        <v>11</v>
      </c>
      <c r="F158" s="15" t="s">
        <v>92</v>
      </c>
      <c r="G158" s="16" t="s">
        <v>63</v>
      </c>
      <c r="H158" s="16" t="s">
        <v>63</v>
      </c>
      <c r="I158" s="16" t="s">
        <v>53</v>
      </c>
      <c r="J158" s="16" t="s">
        <v>143</v>
      </c>
      <c r="K158" s="13"/>
      <c r="L158" s="13">
        <f t="shared" si="5"/>
        <v>731</v>
      </c>
      <c r="M158" s="16" t="s">
        <v>140</v>
      </c>
      <c r="N158" s="16" t="s">
        <v>25</v>
      </c>
      <c r="O158" s="16" t="s">
        <v>49</v>
      </c>
      <c r="P158" s="16" t="s">
        <v>50</v>
      </c>
      <c r="Q158" s="17">
        <v>560</v>
      </c>
      <c r="R158" s="16">
        <v>27</v>
      </c>
      <c r="S158" s="42">
        <f>VENTAS[[#This Row],[Precio unitario]]*VENTAS[[#This Row],[Cantidad]]</f>
        <v>15120</v>
      </c>
      <c r="T158" s="33">
        <v>1557.3600000000001</v>
      </c>
    </row>
    <row r="159" spans="2:20">
      <c r="B159" s="31">
        <v>1176</v>
      </c>
      <c r="C159" s="13">
        <v>43252</v>
      </c>
      <c r="D159" s="13">
        <f t="shared" si="4"/>
        <v>43983</v>
      </c>
      <c r="E159" s="14">
        <v>1</v>
      </c>
      <c r="F159" s="15" t="s">
        <v>93</v>
      </c>
      <c r="G159" s="16" t="s">
        <v>64</v>
      </c>
      <c r="H159" s="16" t="s">
        <v>65</v>
      </c>
      <c r="I159" s="16" t="s">
        <v>32</v>
      </c>
      <c r="J159" s="16" t="s">
        <v>33</v>
      </c>
      <c r="K159" s="13"/>
      <c r="L159" s="13">
        <f t="shared" si="5"/>
        <v>731</v>
      </c>
      <c r="M159" s="16" t="s">
        <v>140</v>
      </c>
      <c r="N159" s="16" t="s">
        <v>25</v>
      </c>
      <c r="O159" s="16" t="s">
        <v>66</v>
      </c>
      <c r="P159" s="16" t="s">
        <v>67</v>
      </c>
      <c r="Q159" s="17">
        <v>257.59999999999997</v>
      </c>
      <c r="R159" s="16">
        <v>71</v>
      </c>
      <c r="S159" s="42">
        <f>VENTAS[[#This Row],[Precio unitario]]*VENTAS[[#This Row],[Cantidad]]</f>
        <v>18289.599999999999</v>
      </c>
      <c r="T159" s="33">
        <v>1920.4079999999999</v>
      </c>
    </row>
    <row r="160" spans="2:20">
      <c r="B160" s="31">
        <v>1177</v>
      </c>
      <c r="C160" s="13">
        <v>43279</v>
      </c>
      <c r="D160" s="13">
        <f t="shared" si="4"/>
        <v>44010</v>
      </c>
      <c r="E160" s="14">
        <v>28</v>
      </c>
      <c r="F160" s="15" t="s">
        <v>94</v>
      </c>
      <c r="G160" s="16" t="s">
        <v>51</v>
      </c>
      <c r="H160" s="16" t="s">
        <v>52</v>
      </c>
      <c r="I160" s="16" t="s">
        <v>53</v>
      </c>
      <c r="J160" s="16" t="s">
        <v>143</v>
      </c>
      <c r="K160" s="13">
        <v>43281</v>
      </c>
      <c r="L160" s="13">
        <f t="shared" si="5"/>
        <v>44012</v>
      </c>
      <c r="M160" s="16" t="s">
        <v>140</v>
      </c>
      <c r="N160" s="16" t="s">
        <v>25</v>
      </c>
      <c r="O160" s="16" t="s">
        <v>29</v>
      </c>
      <c r="P160" s="16" t="s">
        <v>20</v>
      </c>
      <c r="Q160" s="17">
        <v>644</v>
      </c>
      <c r="R160" s="16">
        <v>74</v>
      </c>
      <c r="S160" s="42">
        <f>VENTAS[[#This Row],[Precio unitario]]*VENTAS[[#This Row],[Cantidad]]</f>
        <v>47656</v>
      </c>
      <c r="T160" s="33">
        <v>4765.6000000000004</v>
      </c>
    </row>
    <row r="161" spans="2:20">
      <c r="B161" s="31">
        <v>1178</v>
      </c>
      <c r="C161" s="13">
        <v>43260</v>
      </c>
      <c r="D161" s="13">
        <f t="shared" si="4"/>
        <v>43991</v>
      </c>
      <c r="E161" s="14">
        <v>9</v>
      </c>
      <c r="F161" s="15" t="s">
        <v>95</v>
      </c>
      <c r="G161" s="16" t="s">
        <v>68</v>
      </c>
      <c r="H161" s="16" t="s">
        <v>37</v>
      </c>
      <c r="I161" s="16" t="s">
        <v>69</v>
      </c>
      <c r="J161" s="16" t="s">
        <v>142</v>
      </c>
      <c r="K161" s="13">
        <v>43262</v>
      </c>
      <c r="L161" s="13">
        <f t="shared" si="5"/>
        <v>43993</v>
      </c>
      <c r="M161" s="16" t="s">
        <v>138</v>
      </c>
      <c r="N161" s="16" t="s">
        <v>43</v>
      </c>
      <c r="O161" s="16" t="s">
        <v>44</v>
      </c>
      <c r="P161" s="16" t="s">
        <v>45</v>
      </c>
      <c r="Q161" s="17">
        <v>135.1</v>
      </c>
      <c r="R161" s="16">
        <v>76</v>
      </c>
      <c r="S161" s="42">
        <f>VENTAS[[#This Row],[Precio unitario]]*VENTAS[[#This Row],[Cantidad]]</f>
        <v>10267.6</v>
      </c>
      <c r="T161" s="33">
        <v>1016.4924</v>
      </c>
    </row>
    <row r="162" spans="2:20">
      <c r="B162" s="31">
        <v>1179</v>
      </c>
      <c r="C162" s="13">
        <v>43257</v>
      </c>
      <c r="D162" s="13">
        <f t="shared" si="4"/>
        <v>43988</v>
      </c>
      <c r="E162" s="14">
        <v>6</v>
      </c>
      <c r="F162" s="15" t="s">
        <v>96</v>
      </c>
      <c r="G162" s="16" t="s">
        <v>46</v>
      </c>
      <c r="H162" s="16" t="s">
        <v>47</v>
      </c>
      <c r="I162" s="16" t="s">
        <v>48</v>
      </c>
      <c r="J162" s="16" t="s">
        <v>33</v>
      </c>
      <c r="K162" s="13">
        <v>43259</v>
      </c>
      <c r="L162" s="13">
        <f t="shared" si="5"/>
        <v>43990</v>
      </c>
      <c r="M162" s="16" t="s">
        <v>139</v>
      </c>
      <c r="N162" s="16" t="s">
        <v>25</v>
      </c>
      <c r="O162" s="16" t="s">
        <v>39</v>
      </c>
      <c r="P162" s="16" t="s">
        <v>40</v>
      </c>
      <c r="Q162" s="17">
        <v>178.5</v>
      </c>
      <c r="R162" s="16">
        <v>96</v>
      </c>
      <c r="S162" s="42">
        <f>VENTAS[[#This Row],[Precio unitario]]*VENTAS[[#This Row],[Cantidad]]</f>
        <v>17136</v>
      </c>
      <c r="T162" s="33">
        <v>1730.7360000000001</v>
      </c>
    </row>
    <row r="163" spans="2:20">
      <c r="B163" s="31">
        <v>1180</v>
      </c>
      <c r="C163" s="13">
        <v>43259</v>
      </c>
      <c r="D163" s="13">
        <f t="shared" si="4"/>
        <v>43990</v>
      </c>
      <c r="E163" s="14">
        <v>8</v>
      </c>
      <c r="F163" s="15" t="s">
        <v>97</v>
      </c>
      <c r="G163" s="16" t="s">
        <v>30</v>
      </c>
      <c r="H163" s="16" t="s">
        <v>31</v>
      </c>
      <c r="I163" s="16" t="s">
        <v>32</v>
      </c>
      <c r="J163" s="16" t="s">
        <v>33</v>
      </c>
      <c r="K163" s="13">
        <v>43261</v>
      </c>
      <c r="L163" s="13">
        <f t="shared" si="5"/>
        <v>43992</v>
      </c>
      <c r="M163" s="16" t="s">
        <v>139</v>
      </c>
      <c r="N163" s="16" t="s">
        <v>43</v>
      </c>
      <c r="O163" s="16" t="s">
        <v>39</v>
      </c>
      <c r="P163" s="16" t="s">
        <v>40</v>
      </c>
      <c r="Q163" s="17">
        <v>178.5</v>
      </c>
      <c r="R163" s="16">
        <v>92</v>
      </c>
      <c r="S163" s="42">
        <f>VENTAS[[#This Row],[Precio unitario]]*VENTAS[[#This Row],[Cantidad]]</f>
        <v>16422</v>
      </c>
      <c r="T163" s="33">
        <v>1625.7780000000002</v>
      </c>
    </row>
    <row r="164" spans="2:20">
      <c r="B164" s="31">
        <v>1181</v>
      </c>
      <c r="C164" s="13">
        <v>43276</v>
      </c>
      <c r="D164" s="13">
        <f t="shared" si="4"/>
        <v>44007</v>
      </c>
      <c r="E164" s="14">
        <v>25</v>
      </c>
      <c r="F164" s="15" t="s">
        <v>98</v>
      </c>
      <c r="G164" s="16" t="s">
        <v>54</v>
      </c>
      <c r="H164" s="16" t="s">
        <v>55</v>
      </c>
      <c r="I164" s="16" t="s">
        <v>56</v>
      </c>
      <c r="J164" s="16" t="s">
        <v>141</v>
      </c>
      <c r="K164" s="13">
        <v>43278</v>
      </c>
      <c r="L164" s="13">
        <f t="shared" si="5"/>
        <v>44009</v>
      </c>
      <c r="M164" s="16" t="s">
        <v>138</v>
      </c>
      <c r="N164" s="16" t="s">
        <v>43</v>
      </c>
      <c r="O164" s="16" t="s">
        <v>61</v>
      </c>
      <c r="P164" s="16" t="s">
        <v>62</v>
      </c>
      <c r="Q164" s="17">
        <v>308</v>
      </c>
      <c r="R164" s="16">
        <v>93</v>
      </c>
      <c r="S164" s="42">
        <f>VENTAS[[#This Row],[Precio unitario]]*VENTAS[[#This Row],[Cantidad]]</f>
        <v>28644</v>
      </c>
      <c r="T164" s="33">
        <v>2807.1120000000001</v>
      </c>
    </row>
    <row r="165" spans="2:20">
      <c r="B165" s="31">
        <v>1182</v>
      </c>
      <c r="C165" s="13">
        <v>43277</v>
      </c>
      <c r="D165" s="13">
        <f t="shared" si="4"/>
        <v>44008</v>
      </c>
      <c r="E165" s="14">
        <v>26</v>
      </c>
      <c r="F165" s="15" t="s">
        <v>99</v>
      </c>
      <c r="G165" s="16" t="s">
        <v>63</v>
      </c>
      <c r="H165" s="16" t="s">
        <v>63</v>
      </c>
      <c r="I165" s="16" t="s">
        <v>53</v>
      </c>
      <c r="J165" s="16" t="s">
        <v>143</v>
      </c>
      <c r="K165" s="13">
        <v>43279</v>
      </c>
      <c r="L165" s="13">
        <f t="shared" si="5"/>
        <v>44010</v>
      </c>
      <c r="M165" s="16" t="s">
        <v>140</v>
      </c>
      <c r="N165" s="16" t="s">
        <v>25</v>
      </c>
      <c r="O165" s="16" t="s">
        <v>59</v>
      </c>
      <c r="P165" s="16" t="s">
        <v>60</v>
      </c>
      <c r="Q165" s="17">
        <v>350</v>
      </c>
      <c r="R165" s="16">
        <v>18</v>
      </c>
      <c r="S165" s="42">
        <f>VENTAS[[#This Row],[Precio unitario]]*VENTAS[[#This Row],[Cantidad]]</f>
        <v>6300</v>
      </c>
      <c r="T165" s="33">
        <v>598.5</v>
      </c>
    </row>
    <row r="166" spans="2:20">
      <c r="B166" s="31">
        <v>1183</v>
      </c>
      <c r="C166" s="13">
        <v>43280</v>
      </c>
      <c r="D166" s="13">
        <f t="shared" si="4"/>
        <v>44011</v>
      </c>
      <c r="E166" s="14">
        <v>29</v>
      </c>
      <c r="F166" s="15" t="s">
        <v>100</v>
      </c>
      <c r="G166" s="16" t="s">
        <v>36</v>
      </c>
      <c r="H166" s="16" t="s">
        <v>37</v>
      </c>
      <c r="I166" s="16" t="s">
        <v>38</v>
      </c>
      <c r="J166" s="16" t="s">
        <v>142</v>
      </c>
      <c r="K166" s="13">
        <v>43282</v>
      </c>
      <c r="L166" s="13">
        <f t="shared" si="5"/>
        <v>44013</v>
      </c>
      <c r="M166" s="16" t="s">
        <v>139</v>
      </c>
      <c r="N166" s="16" t="s">
        <v>43</v>
      </c>
      <c r="O166" s="16" t="s">
        <v>76</v>
      </c>
      <c r="P166" s="16" t="s">
        <v>77</v>
      </c>
      <c r="Q166" s="17">
        <v>546</v>
      </c>
      <c r="R166" s="16">
        <v>98</v>
      </c>
      <c r="S166" s="42">
        <f>VENTAS[[#This Row],[Precio unitario]]*VENTAS[[#This Row],[Cantidad]]</f>
        <v>53508</v>
      </c>
      <c r="T166" s="33">
        <v>5564.8320000000003</v>
      </c>
    </row>
    <row r="167" spans="2:20">
      <c r="B167" s="31">
        <v>1184</v>
      </c>
      <c r="C167" s="13">
        <v>43257</v>
      </c>
      <c r="D167" s="13">
        <f t="shared" si="4"/>
        <v>43988</v>
      </c>
      <c r="E167" s="14">
        <v>6</v>
      </c>
      <c r="F167" s="15" t="s">
        <v>101</v>
      </c>
      <c r="G167" s="16" t="s">
        <v>46</v>
      </c>
      <c r="H167" s="16" t="s">
        <v>47</v>
      </c>
      <c r="I167" s="16" t="s">
        <v>48</v>
      </c>
      <c r="J167" s="16" t="s">
        <v>33</v>
      </c>
      <c r="K167" s="13">
        <v>43259</v>
      </c>
      <c r="L167" s="13">
        <f t="shared" si="5"/>
        <v>43990</v>
      </c>
      <c r="M167" s="16" t="s">
        <v>140</v>
      </c>
      <c r="N167" s="16" t="s">
        <v>43</v>
      </c>
      <c r="O167" s="16" t="s">
        <v>26</v>
      </c>
      <c r="P167" s="16" t="s">
        <v>22</v>
      </c>
      <c r="Q167" s="17">
        <v>420</v>
      </c>
      <c r="R167" s="16">
        <v>46</v>
      </c>
      <c r="S167" s="42">
        <f>VENTAS[[#This Row],[Precio unitario]]*VENTAS[[#This Row],[Cantidad]]</f>
        <v>19320</v>
      </c>
      <c r="T167" s="33">
        <v>1893.3600000000001</v>
      </c>
    </row>
    <row r="168" spans="2:20">
      <c r="B168" s="31">
        <v>1185</v>
      </c>
      <c r="C168" s="13">
        <v>43257</v>
      </c>
      <c r="D168" s="13">
        <f t="shared" si="4"/>
        <v>43988</v>
      </c>
      <c r="E168" s="14">
        <v>6</v>
      </c>
      <c r="F168" s="15" t="s">
        <v>102</v>
      </c>
      <c r="G168" s="16" t="s">
        <v>46</v>
      </c>
      <c r="H168" s="16" t="s">
        <v>47</v>
      </c>
      <c r="I168" s="16" t="s">
        <v>48</v>
      </c>
      <c r="J168" s="16" t="s">
        <v>33</v>
      </c>
      <c r="K168" s="13">
        <v>43259</v>
      </c>
      <c r="L168" s="13">
        <f t="shared" si="5"/>
        <v>43990</v>
      </c>
      <c r="M168" s="16" t="s">
        <v>140</v>
      </c>
      <c r="N168" s="16" t="s">
        <v>43</v>
      </c>
      <c r="O168" s="16" t="s">
        <v>27</v>
      </c>
      <c r="P168" s="16" t="s">
        <v>22</v>
      </c>
      <c r="Q168" s="17">
        <v>742</v>
      </c>
      <c r="R168" s="16">
        <v>14</v>
      </c>
      <c r="S168" s="42">
        <f>VENTAS[[#This Row],[Precio unitario]]*VENTAS[[#This Row],[Cantidad]]</f>
        <v>10388</v>
      </c>
      <c r="T168" s="33">
        <v>1038.8</v>
      </c>
    </row>
    <row r="169" spans="2:20">
      <c r="B169" s="31">
        <v>1186</v>
      </c>
      <c r="C169" s="13">
        <v>43255</v>
      </c>
      <c r="D169" s="13">
        <f t="shared" si="4"/>
        <v>43986</v>
      </c>
      <c r="E169" s="14">
        <v>4</v>
      </c>
      <c r="F169" s="15" t="s">
        <v>103</v>
      </c>
      <c r="G169" s="16" t="s">
        <v>23</v>
      </c>
      <c r="H169" s="16" t="s">
        <v>23</v>
      </c>
      <c r="I169" s="16" t="s">
        <v>24</v>
      </c>
      <c r="J169" s="16" t="s">
        <v>141</v>
      </c>
      <c r="K169" s="13"/>
      <c r="L169" s="13">
        <f t="shared" si="5"/>
        <v>731</v>
      </c>
      <c r="M169" s="16"/>
      <c r="N169" s="16" t="s">
        <v>25</v>
      </c>
      <c r="O169" s="16" t="s">
        <v>78</v>
      </c>
      <c r="P169" s="16" t="s">
        <v>71</v>
      </c>
      <c r="Q169" s="17">
        <v>532</v>
      </c>
      <c r="R169" s="16">
        <v>85</v>
      </c>
      <c r="S169" s="42">
        <f>VENTAS[[#This Row],[Precio unitario]]*VENTAS[[#This Row],[Cantidad]]</f>
        <v>45220</v>
      </c>
      <c r="T169" s="33">
        <v>4476.78</v>
      </c>
    </row>
    <row r="170" spans="2:20">
      <c r="B170" s="31">
        <v>1187</v>
      </c>
      <c r="C170" s="13">
        <v>43254</v>
      </c>
      <c r="D170" s="13">
        <f t="shared" si="4"/>
        <v>43985</v>
      </c>
      <c r="E170" s="14">
        <v>3</v>
      </c>
      <c r="F170" s="15" t="s">
        <v>104</v>
      </c>
      <c r="G170" s="16" t="s">
        <v>41</v>
      </c>
      <c r="H170" s="16" t="s">
        <v>42</v>
      </c>
      <c r="I170" s="16" t="s">
        <v>18</v>
      </c>
      <c r="J170" s="16" t="s">
        <v>142</v>
      </c>
      <c r="K170" s="13"/>
      <c r="L170" s="13">
        <f t="shared" si="5"/>
        <v>731</v>
      </c>
      <c r="M170" s="16"/>
      <c r="N170" s="16" t="s">
        <v>25</v>
      </c>
      <c r="O170" s="16" t="s">
        <v>57</v>
      </c>
      <c r="P170" s="16" t="s">
        <v>20</v>
      </c>
      <c r="Q170" s="17">
        <v>41.86</v>
      </c>
      <c r="R170" s="16">
        <v>88</v>
      </c>
      <c r="S170" s="42">
        <f>VENTAS[[#This Row],[Precio unitario]]*VENTAS[[#This Row],[Cantidad]]</f>
        <v>3683.68</v>
      </c>
      <c r="T170" s="33">
        <v>357.31695999999999</v>
      </c>
    </row>
    <row r="171" spans="2:20">
      <c r="B171" s="31">
        <v>1188</v>
      </c>
      <c r="C171" s="13">
        <v>43282</v>
      </c>
      <c r="D171" s="13">
        <f t="shared" si="4"/>
        <v>44013</v>
      </c>
      <c r="E171" s="14">
        <v>1</v>
      </c>
      <c r="F171" s="15" t="s">
        <v>105</v>
      </c>
      <c r="G171" s="16" t="s">
        <v>64</v>
      </c>
      <c r="H171" s="16" t="s">
        <v>65</v>
      </c>
      <c r="I171" s="16" t="s">
        <v>32</v>
      </c>
      <c r="J171" s="16" t="s">
        <v>33</v>
      </c>
      <c r="K171" s="13"/>
      <c r="L171" s="13">
        <f t="shared" si="5"/>
        <v>731</v>
      </c>
      <c r="M171" s="16"/>
      <c r="N171" s="16" t="s">
        <v>25</v>
      </c>
      <c r="O171" s="16" t="s">
        <v>57</v>
      </c>
      <c r="P171" s="16" t="s">
        <v>20</v>
      </c>
      <c r="Q171" s="17">
        <v>41.86</v>
      </c>
      <c r="R171" s="16">
        <v>81</v>
      </c>
      <c r="S171" s="42">
        <f>VENTAS[[#This Row],[Precio unitario]]*VENTAS[[#This Row],[Cantidad]]</f>
        <v>3390.66</v>
      </c>
      <c r="T171" s="33">
        <v>335.67534000000006</v>
      </c>
    </row>
    <row r="172" spans="2:20">
      <c r="B172" s="31">
        <v>1189</v>
      </c>
      <c r="C172" s="13">
        <v>43309</v>
      </c>
      <c r="D172" s="13">
        <f t="shared" si="4"/>
        <v>44040</v>
      </c>
      <c r="E172" s="14">
        <v>28</v>
      </c>
      <c r="F172" s="15" t="s">
        <v>106</v>
      </c>
      <c r="G172" s="16" t="s">
        <v>51</v>
      </c>
      <c r="H172" s="16" t="s">
        <v>52</v>
      </c>
      <c r="I172" s="16" t="s">
        <v>53</v>
      </c>
      <c r="J172" s="16" t="s">
        <v>143</v>
      </c>
      <c r="K172" s="13">
        <v>43311</v>
      </c>
      <c r="L172" s="13">
        <f t="shared" si="5"/>
        <v>44042</v>
      </c>
      <c r="M172" s="16" t="s">
        <v>140</v>
      </c>
      <c r="N172" s="16" t="s">
        <v>25</v>
      </c>
      <c r="O172" s="16" t="s">
        <v>44</v>
      </c>
      <c r="P172" s="16" t="s">
        <v>45</v>
      </c>
      <c r="Q172" s="17">
        <v>135.1</v>
      </c>
      <c r="R172" s="16">
        <v>33</v>
      </c>
      <c r="S172" s="42">
        <f>VENTAS[[#This Row],[Precio unitario]]*VENTAS[[#This Row],[Cantidad]]</f>
        <v>4458.3</v>
      </c>
      <c r="T172" s="33">
        <v>423.5385</v>
      </c>
    </row>
    <row r="173" spans="2:20">
      <c r="B173" s="31">
        <v>1190</v>
      </c>
      <c r="C173" s="13">
        <v>43309</v>
      </c>
      <c r="D173" s="13">
        <f t="shared" si="4"/>
        <v>44040</v>
      </c>
      <c r="E173" s="14">
        <v>28</v>
      </c>
      <c r="F173" s="15" t="s">
        <v>107</v>
      </c>
      <c r="G173" s="16" t="s">
        <v>51</v>
      </c>
      <c r="H173" s="16" t="s">
        <v>52</v>
      </c>
      <c r="I173" s="16" t="s">
        <v>53</v>
      </c>
      <c r="J173" s="16" t="s">
        <v>143</v>
      </c>
      <c r="K173" s="13">
        <v>43311</v>
      </c>
      <c r="L173" s="13">
        <f t="shared" si="5"/>
        <v>44042</v>
      </c>
      <c r="M173" s="16" t="s">
        <v>140</v>
      </c>
      <c r="N173" s="16" t="s">
        <v>25</v>
      </c>
      <c r="O173" s="16" t="s">
        <v>66</v>
      </c>
      <c r="P173" s="16" t="s">
        <v>67</v>
      </c>
      <c r="Q173" s="17">
        <v>257.59999999999997</v>
      </c>
      <c r="R173" s="16">
        <v>47</v>
      </c>
      <c r="S173" s="42">
        <f>VENTAS[[#This Row],[Precio unitario]]*VENTAS[[#This Row],[Cantidad]]</f>
        <v>12107.199999999999</v>
      </c>
      <c r="T173" s="33">
        <v>1271.2560000000001</v>
      </c>
    </row>
    <row r="174" spans="2:20">
      <c r="B174" s="31">
        <v>1191</v>
      </c>
      <c r="C174" s="13">
        <v>43290</v>
      </c>
      <c r="D174" s="13">
        <f t="shared" si="4"/>
        <v>44021</v>
      </c>
      <c r="E174" s="14">
        <v>9</v>
      </c>
      <c r="F174" s="15" t="s">
        <v>108</v>
      </c>
      <c r="G174" s="16" t="s">
        <v>68</v>
      </c>
      <c r="H174" s="16" t="s">
        <v>37</v>
      </c>
      <c r="I174" s="16" t="s">
        <v>69</v>
      </c>
      <c r="J174" s="16" t="s">
        <v>142</v>
      </c>
      <c r="K174" s="13">
        <v>43292</v>
      </c>
      <c r="L174" s="13">
        <f t="shared" si="5"/>
        <v>44023</v>
      </c>
      <c r="M174" s="16" t="s">
        <v>138</v>
      </c>
      <c r="N174" s="16" t="s">
        <v>43</v>
      </c>
      <c r="O174" s="16" t="s">
        <v>70</v>
      </c>
      <c r="P174" s="16" t="s">
        <v>71</v>
      </c>
      <c r="Q174" s="17">
        <v>273</v>
      </c>
      <c r="R174" s="16">
        <v>61</v>
      </c>
      <c r="S174" s="42">
        <f>VENTAS[[#This Row],[Precio unitario]]*VENTAS[[#This Row],[Cantidad]]</f>
        <v>16653</v>
      </c>
      <c r="T174" s="33">
        <v>1731.9120000000003</v>
      </c>
    </row>
    <row r="175" spans="2:20">
      <c r="B175" s="31">
        <v>1192</v>
      </c>
      <c r="C175" s="13">
        <v>43290</v>
      </c>
      <c r="D175" s="13">
        <f t="shared" si="4"/>
        <v>44021</v>
      </c>
      <c r="E175" s="14">
        <v>9</v>
      </c>
      <c r="F175" s="15" t="s">
        <v>109</v>
      </c>
      <c r="G175" s="16" t="s">
        <v>68</v>
      </c>
      <c r="H175" s="16" t="s">
        <v>37</v>
      </c>
      <c r="I175" s="16" t="s">
        <v>69</v>
      </c>
      <c r="J175" s="16" t="s">
        <v>142</v>
      </c>
      <c r="K175" s="13">
        <v>43292</v>
      </c>
      <c r="L175" s="13">
        <f t="shared" si="5"/>
        <v>44023</v>
      </c>
      <c r="M175" s="16" t="s">
        <v>138</v>
      </c>
      <c r="N175" s="16" t="s">
        <v>43</v>
      </c>
      <c r="O175" s="16" t="s">
        <v>72</v>
      </c>
      <c r="P175" s="16" t="s">
        <v>73</v>
      </c>
      <c r="Q175" s="17">
        <v>487.19999999999993</v>
      </c>
      <c r="R175" s="16">
        <v>27</v>
      </c>
      <c r="S175" s="42">
        <f>VENTAS[[#This Row],[Precio unitario]]*VENTAS[[#This Row],[Cantidad]]</f>
        <v>13154.399999999998</v>
      </c>
      <c r="T175" s="33">
        <v>1341.7487999999998</v>
      </c>
    </row>
    <row r="176" spans="2:20">
      <c r="B176" s="31">
        <v>1193</v>
      </c>
      <c r="C176" s="13">
        <v>43287</v>
      </c>
      <c r="D176" s="13">
        <f t="shared" si="4"/>
        <v>44018</v>
      </c>
      <c r="E176" s="14">
        <v>6</v>
      </c>
      <c r="F176" s="15" t="s">
        <v>110</v>
      </c>
      <c r="G176" s="16" t="s">
        <v>46</v>
      </c>
      <c r="H176" s="16" t="s">
        <v>47</v>
      </c>
      <c r="I176" s="16" t="s">
        <v>48</v>
      </c>
      <c r="J176" s="16" t="s">
        <v>33</v>
      </c>
      <c r="K176" s="13">
        <v>43289</v>
      </c>
      <c r="L176" s="13">
        <f t="shared" si="5"/>
        <v>44020</v>
      </c>
      <c r="M176" s="16" t="s">
        <v>139</v>
      </c>
      <c r="N176" s="16" t="s">
        <v>25</v>
      </c>
      <c r="O176" s="16" t="s">
        <v>19</v>
      </c>
      <c r="P176" s="16" t="s">
        <v>20</v>
      </c>
      <c r="Q176" s="17">
        <v>196</v>
      </c>
      <c r="R176" s="16">
        <v>84</v>
      </c>
      <c r="S176" s="42">
        <f>VENTAS[[#This Row],[Precio unitario]]*VENTAS[[#This Row],[Cantidad]]</f>
        <v>16464</v>
      </c>
      <c r="T176" s="33">
        <v>1662.864</v>
      </c>
    </row>
    <row r="177" spans="2:20">
      <c r="B177" s="31">
        <v>1194</v>
      </c>
      <c r="C177" s="13">
        <v>43289</v>
      </c>
      <c r="D177" s="13">
        <f t="shared" si="4"/>
        <v>44020</v>
      </c>
      <c r="E177" s="14">
        <v>8</v>
      </c>
      <c r="F177" s="15" t="s">
        <v>111</v>
      </c>
      <c r="G177" s="16" t="s">
        <v>30</v>
      </c>
      <c r="H177" s="16" t="s">
        <v>31</v>
      </c>
      <c r="I177" s="16" t="s">
        <v>32</v>
      </c>
      <c r="J177" s="16" t="s">
        <v>33</v>
      </c>
      <c r="K177" s="13">
        <v>43291</v>
      </c>
      <c r="L177" s="13">
        <f t="shared" si="5"/>
        <v>44022</v>
      </c>
      <c r="M177" s="16" t="s">
        <v>139</v>
      </c>
      <c r="N177" s="16" t="s">
        <v>43</v>
      </c>
      <c r="O177" s="16" t="s">
        <v>49</v>
      </c>
      <c r="P177" s="16" t="s">
        <v>50</v>
      </c>
      <c r="Q177" s="17">
        <v>560</v>
      </c>
      <c r="R177" s="16">
        <v>91</v>
      </c>
      <c r="S177" s="42">
        <f>VENTAS[[#This Row],[Precio unitario]]*VENTAS[[#This Row],[Cantidad]]</f>
        <v>50960</v>
      </c>
      <c r="T177" s="33">
        <v>5045.04</v>
      </c>
    </row>
    <row r="178" spans="2:20">
      <c r="B178" s="31">
        <v>1195</v>
      </c>
      <c r="C178" s="13">
        <v>43289</v>
      </c>
      <c r="D178" s="13">
        <f t="shared" si="4"/>
        <v>44020</v>
      </c>
      <c r="E178" s="14">
        <v>8</v>
      </c>
      <c r="F178" s="15" t="s">
        <v>112</v>
      </c>
      <c r="G178" s="16" t="s">
        <v>30</v>
      </c>
      <c r="H178" s="16" t="s">
        <v>31</v>
      </c>
      <c r="I178" s="16" t="s">
        <v>32</v>
      </c>
      <c r="J178" s="16" t="s">
        <v>33</v>
      </c>
      <c r="K178" s="13">
        <v>43291</v>
      </c>
      <c r="L178" s="13">
        <f t="shared" si="5"/>
        <v>44022</v>
      </c>
      <c r="M178" s="16" t="s">
        <v>139</v>
      </c>
      <c r="N178" s="16" t="s">
        <v>43</v>
      </c>
      <c r="O178" s="16" t="s">
        <v>34</v>
      </c>
      <c r="P178" s="16" t="s">
        <v>35</v>
      </c>
      <c r="Q178" s="17">
        <v>128.79999999999998</v>
      </c>
      <c r="R178" s="16">
        <v>36</v>
      </c>
      <c r="S178" s="42">
        <f>VENTAS[[#This Row],[Precio unitario]]*VENTAS[[#This Row],[Cantidad]]</f>
        <v>4636.7999999999993</v>
      </c>
      <c r="T178" s="33">
        <v>482.22720000000004</v>
      </c>
    </row>
    <row r="179" spans="2:20">
      <c r="B179" s="31">
        <v>1196</v>
      </c>
      <c r="C179" s="13">
        <v>43306</v>
      </c>
      <c r="D179" s="13">
        <f t="shared" si="4"/>
        <v>44037</v>
      </c>
      <c r="E179" s="14">
        <v>25</v>
      </c>
      <c r="F179" s="15" t="s">
        <v>113</v>
      </c>
      <c r="G179" s="16" t="s">
        <v>54</v>
      </c>
      <c r="H179" s="16" t="s">
        <v>55</v>
      </c>
      <c r="I179" s="16" t="s">
        <v>56</v>
      </c>
      <c r="J179" s="16" t="s">
        <v>141</v>
      </c>
      <c r="K179" s="13">
        <v>43308</v>
      </c>
      <c r="L179" s="13">
        <f t="shared" si="5"/>
        <v>44039</v>
      </c>
      <c r="M179" s="16" t="s">
        <v>138</v>
      </c>
      <c r="N179" s="16" t="s">
        <v>43</v>
      </c>
      <c r="O179" s="16" t="s">
        <v>79</v>
      </c>
      <c r="P179" s="16" t="s">
        <v>35</v>
      </c>
      <c r="Q179" s="17">
        <v>140</v>
      </c>
      <c r="R179" s="16">
        <v>34</v>
      </c>
      <c r="S179" s="42">
        <f>VENTAS[[#This Row],[Precio unitario]]*VENTAS[[#This Row],[Cantidad]]</f>
        <v>4760</v>
      </c>
      <c r="T179" s="33">
        <v>480.76000000000005</v>
      </c>
    </row>
    <row r="180" spans="2:20">
      <c r="B180" s="31">
        <v>1197</v>
      </c>
      <c r="C180" s="13">
        <v>43307</v>
      </c>
      <c r="D180" s="13">
        <f t="shared" si="4"/>
        <v>44038</v>
      </c>
      <c r="E180" s="14">
        <v>26</v>
      </c>
      <c r="F180" s="15" t="s">
        <v>114</v>
      </c>
      <c r="G180" s="16" t="s">
        <v>63</v>
      </c>
      <c r="H180" s="16" t="s">
        <v>63</v>
      </c>
      <c r="I180" s="16" t="s">
        <v>53</v>
      </c>
      <c r="J180" s="16" t="s">
        <v>143</v>
      </c>
      <c r="K180" s="13">
        <v>43309</v>
      </c>
      <c r="L180" s="13">
        <f t="shared" si="5"/>
        <v>44040</v>
      </c>
      <c r="M180" s="16" t="s">
        <v>140</v>
      </c>
      <c r="N180" s="16" t="s">
        <v>25</v>
      </c>
      <c r="O180" s="16" t="s">
        <v>80</v>
      </c>
      <c r="P180" s="16" t="s">
        <v>81</v>
      </c>
      <c r="Q180" s="17">
        <v>298.90000000000003</v>
      </c>
      <c r="R180" s="16">
        <v>81</v>
      </c>
      <c r="S180" s="42">
        <f>VENTAS[[#This Row],[Precio unitario]]*VENTAS[[#This Row],[Cantidad]]</f>
        <v>24210.9</v>
      </c>
      <c r="T180" s="33">
        <v>2493.7227000000003</v>
      </c>
    </row>
    <row r="181" spans="2:20">
      <c r="B181" s="31">
        <v>1198</v>
      </c>
      <c r="C181" s="13">
        <v>43307</v>
      </c>
      <c r="D181" s="13">
        <f t="shared" si="4"/>
        <v>44038</v>
      </c>
      <c r="E181" s="14">
        <v>26</v>
      </c>
      <c r="F181" s="15" t="s">
        <v>115</v>
      </c>
      <c r="G181" s="16" t="s">
        <v>63</v>
      </c>
      <c r="H181" s="16" t="s">
        <v>63</v>
      </c>
      <c r="I181" s="16" t="s">
        <v>53</v>
      </c>
      <c r="J181" s="16" t="s">
        <v>143</v>
      </c>
      <c r="K181" s="13">
        <v>43309</v>
      </c>
      <c r="L181" s="13">
        <f t="shared" si="5"/>
        <v>44040</v>
      </c>
      <c r="M181" s="16" t="s">
        <v>140</v>
      </c>
      <c r="N181" s="16" t="s">
        <v>25</v>
      </c>
      <c r="O181" s="16" t="s">
        <v>44</v>
      </c>
      <c r="P181" s="16" t="s">
        <v>45</v>
      </c>
      <c r="Q181" s="17">
        <v>135.1</v>
      </c>
      <c r="R181" s="16">
        <v>25</v>
      </c>
      <c r="S181" s="42">
        <f>VENTAS[[#This Row],[Precio unitario]]*VENTAS[[#This Row],[Cantidad]]</f>
        <v>3377.5</v>
      </c>
      <c r="T181" s="33">
        <v>327.61750000000001</v>
      </c>
    </row>
    <row r="182" spans="2:20">
      <c r="B182" s="31">
        <v>1199</v>
      </c>
      <c r="C182" s="13">
        <v>43307</v>
      </c>
      <c r="D182" s="13">
        <f t="shared" si="4"/>
        <v>44038</v>
      </c>
      <c r="E182" s="14">
        <v>26</v>
      </c>
      <c r="F182" s="15" t="s">
        <v>116</v>
      </c>
      <c r="G182" s="16" t="s">
        <v>63</v>
      </c>
      <c r="H182" s="16" t="s">
        <v>63</v>
      </c>
      <c r="I182" s="16" t="s">
        <v>53</v>
      </c>
      <c r="J182" s="16" t="s">
        <v>143</v>
      </c>
      <c r="K182" s="13">
        <v>43309</v>
      </c>
      <c r="L182" s="13">
        <f t="shared" si="5"/>
        <v>44040</v>
      </c>
      <c r="M182" s="16" t="s">
        <v>140</v>
      </c>
      <c r="N182" s="16" t="s">
        <v>25</v>
      </c>
      <c r="O182" s="16" t="s">
        <v>66</v>
      </c>
      <c r="P182" s="16" t="s">
        <v>67</v>
      </c>
      <c r="Q182" s="17">
        <v>257.59999999999997</v>
      </c>
      <c r="R182" s="16">
        <v>12</v>
      </c>
      <c r="S182" s="42">
        <f>VENTAS[[#This Row],[Precio unitario]]*VENTAS[[#This Row],[Cantidad]]</f>
        <v>3091.2</v>
      </c>
      <c r="T182" s="33">
        <v>309.12</v>
      </c>
    </row>
    <row r="183" spans="2:20">
      <c r="B183" s="31">
        <v>1200</v>
      </c>
      <c r="C183" s="13">
        <v>43310</v>
      </c>
      <c r="D183" s="13">
        <f t="shared" si="4"/>
        <v>44041</v>
      </c>
      <c r="E183" s="14">
        <v>29</v>
      </c>
      <c r="F183" s="15" t="s">
        <v>117</v>
      </c>
      <c r="G183" s="16" t="s">
        <v>36</v>
      </c>
      <c r="H183" s="16" t="s">
        <v>37</v>
      </c>
      <c r="I183" s="16" t="s">
        <v>38</v>
      </c>
      <c r="J183" s="16" t="s">
        <v>142</v>
      </c>
      <c r="K183" s="13">
        <v>43312</v>
      </c>
      <c r="L183" s="13">
        <f t="shared" si="5"/>
        <v>44043</v>
      </c>
      <c r="M183" s="16" t="s">
        <v>139</v>
      </c>
      <c r="N183" s="16" t="s">
        <v>43</v>
      </c>
      <c r="O183" s="16" t="s">
        <v>19</v>
      </c>
      <c r="P183" s="16" t="s">
        <v>20</v>
      </c>
      <c r="Q183" s="17">
        <v>196</v>
      </c>
      <c r="R183" s="16">
        <v>23</v>
      </c>
      <c r="S183" s="42">
        <f>VENTAS[[#This Row],[Precio unitario]]*VENTAS[[#This Row],[Cantidad]]</f>
        <v>4508</v>
      </c>
      <c r="T183" s="33">
        <v>432.76800000000003</v>
      </c>
    </row>
    <row r="184" spans="2:20">
      <c r="B184" s="31">
        <v>1201</v>
      </c>
      <c r="C184" s="13">
        <v>43287</v>
      </c>
      <c r="D184" s="13">
        <f t="shared" si="4"/>
        <v>44018</v>
      </c>
      <c r="E184" s="14">
        <v>6</v>
      </c>
      <c r="F184" s="15" t="s">
        <v>118</v>
      </c>
      <c r="G184" s="16" t="s">
        <v>46</v>
      </c>
      <c r="H184" s="16" t="s">
        <v>47</v>
      </c>
      <c r="I184" s="16" t="s">
        <v>48</v>
      </c>
      <c r="J184" s="16" t="s">
        <v>33</v>
      </c>
      <c r="K184" s="13">
        <v>43289</v>
      </c>
      <c r="L184" s="13">
        <f t="shared" si="5"/>
        <v>44020</v>
      </c>
      <c r="M184" s="16" t="s">
        <v>140</v>
      </c>
      <c r="N184" s="16" t="s">
        <v>43</v>
      </c>
      <c r="O184" s="16" t="s">
        <v>39</v>
      </c>
      <c r="P184" s="16" t="s">
        <v>40</v>
      </c>
      <c r="Q184" s="17">
        <v>178.5</v>
      </c>
      <c r="R184" s="16">
        <v>76</v>
      </c>
      <c r="S184" s="42">
        <f>VENTAS[[#This Row],[Precio unitario]]*VENTAS[[#This Row],[Cantidad]]</f>
        <v>13566</v>
      </c>
      <c r="T184" s="33">
        <v>1370.1659999999999</v>
      </c>
    </row>
    <row r="185" spans="2:20">
      <c r="B185" s="31">
        <v>1203</v>
      </c>
      <c r="C185" s="13">
        <v>43285</v>
      </c>
      <c r="D185" s="13">
        <f t="shared" si="4"/>
        <v>44016</v>
      </c>
      <c r="E185" s="14">
        <v>4</v>
      </c>
      <c r="F185" s="15" t="s">
        <v>119</v>
      </c>
      <c r="G185" s="16" t="s">
        <v>23</v>
      </c>
      <c r="H185" s="16" t="s">
        <v>23</v>
      </c>
      <c r="I185" s="16" t="s">
        <v>24</v>
      </c>
      <c r="J185" s="16" t="s">
        <v>141</v>
      </c>
      <c r="K185" s="13">
        <v>43287</v>
      </c>
      <c r="L185" s="13">
        <f t="shared" si="5"/>
        <v>44018</v>
      </c>
      <c r="M185" s="16" t="s">
        <v>138</v>
      </c>
      <c r="N185" s="16" t="s">
        <v>25</v>
      </c>
      <c r="O185" s="16" t="s">
        <v>82</v>
      </c>
      <c r="P185" s="16" t="s">
        <v>60</v>
      </c>
      <c r="Q185" s="17">
        <v>1134</v>
      </c>
      <c r="R185" s="16">
        <v>55</v>
      </c>
      <c r="S185" s="42">
        <f>VENTAS[[#This Row],[Precio unitario]]*VENTAS[[#This Row],[Cantidad]]</f>
        <v>62370</v>
      </c>
      <c r="T185" s="33">
        <v>6237</v>
      </c>
    </row>
    <row r="186" spans="2:20">
      <c r="B186" s="31">
        <v>1204</v>
      </c>
      <c r="C186" s="13">
        <v>43285</v>
      </c>
      <c r="D186" s="13">
        <f t="shared" si="4"/>
        <v>44016</v>
      </c>
      <c r="E186" s="14">
        <v>4</v>
      </c>
      <c r="F186" s="15" t="s">
        <v>120</v>
      </c>
      <c r="G186" s="16" t="s">
        <v>23</v>
      </c>
      <c r="H186" s="16" t="s">
        <v>23</v>
      </c>
      <c r="I186" s="16" t="s">
        <v>24</v>
      </c>
      <c r="J186" s="16" t="s">
        <v>141</v>
      </c>
      <c r="K186" s="13">
        <v>43287</v>
      </c>
      <c r="L186" s="13">
        <f t="shared" si="5"/>
        <v>44018</v>
      </c>
      <c r="M186" s="16" t="s">
        <v>138</v>
      </c>
      <c r="N186" s="16" t="s">
        <v>25</v>
      </c>
      <c r="O186" s="16" t="s">
        <v>83</v>
      </c>
      <c r="P186" s="16" t="s">
        <v>84</v>
      </c>
      <c r="Q186" s="17">
        <v>98</v>
      </c>
      <c r="R186" s="16">
        <v>19</v>
      </c>
      <c r="S186" s="42">
        <f>VENTAS[[#This Row],[Precio unitario]]*VENTAS[[#This Row],[Cantidad]]</f>
        <v>1862</v>
      </c>
      <c r="T186" s="33">
        <v>180.614</v>
      </c>
    </row>
    <row r="187" spans="2:20">
      <c r="B187" s="31">
        <v>1206</v>
      </c>
      <c r="C187" s="13">
        <v>43289</v>
      </c>
      <c r="D187" s="13">
        <f t="shared" si="4"/>
        <v>44020</v>
      </c>
      <c r="E187" s="14">
        <v>8</v>
      </c>
      <c r="F187" s="15" t="s">
        <v>121</v>
      </c>
      <c r="G187" s="16" t="s">
        <v>30</v>
      </c>
      <c r="H187" s="16" t="s">
        <v>31</v>
      </c>
      <c r="I187" s="16" t="s">
        <v>32</v>
      </c>
      <c r="J187" s="16" t="s">
        <v>33</v>
      </c>
      <c r="K187" s="13">
        <v>43291</v>
      </c>
      <c r="L187" s="13">
        <f t="shared" si="5"/>
        <v>44022</v>
      </c>
      <c r="M187" s="16" t="s">
        <v>140</v>
      </c>
      <c r="N187" s="16" t="s">
        <v>25</v>
      </c>
      <c r="O187" s="16" t="s">
        <v>72</v>
      </c>
      <c r="P187" s="16" t="s">
        <v>73</v>
      </c>
      <c r="Q187" s="17">
        <v>487.19999999999993</v>
      </c>
      <c r="R187" s="16">
        <v>27</v>
      </c>
      <c r="S187" s="42">
        <f>VENTAS[[#This Row],[Precio unitario]]*VENTAS[[#This Row],[Cantidad]]</f>
        <v>13154.399999999998</v>
      </c>
      <c r="T187" s="33">
        <v>1249.6679999999999</v>
      </c>
    </row>
    <row r="188" spans="2:20">
      <c r="B188" s="31">
        <v>1209</v>
      </c>
      <c r="C188" s="13">
        <v>43284</v>
      </c>
      <c r="D188" s="13">
        <f t="shared" si="4"/>
        <v>44015</v>
      </c>
      <c r="E188" s="14">
        <v>3</v>
      </c>
      <c r="F188" s="15" t="s">
        <v>122</v>
      </c>
      <c r="G188" s="16" t="s">
        <v>41</v>
      </c>
      <c r="H188" s="16" t="s">
        <v>42</v>
      </c>
      <c r="I188" s="16" t="s">
        <v>18</v>
      </c>
      <c r="J188" s="16" t="s">
        <v>142</v>
      </c>
      <c r="K188" s="13">
        <v>43286</v>
      </c>
      <c r="L188" s="13">
        <f t="shared" si="5"/>
        <v>44017</v>
      </c>
      <c r="M188" s="16" t="s">
        <v>139</v>
      </c>
      <c r="N188" s="16" t="s">
        <v>43</v>
      </c>
      <c r="O188" s="16" t="s">
        <v>74</v>
      </c>
      <c r="P188" s="16" t="s">
        <v>62</v>
      </c>
      <c r="Q188" s="17">
        <v>140</v>
      </c>
      <c r="R188" s="16">
        <v>99</v>
      </c>
      <c r="S188" s="42">
        <f>VENTAS[[#This Row],[Precio unitario]]*VENTAS[[#This Row],[Cantidad]]</f>
        <v>13860</v>
      </c>
      <c r="T188" s="33">
        <v>1330.56</v>
      </c>
    </row>
    <row r="189" spans="2:20">
      <c r="B189" s="31">
        <v>1210</v>
      </c>
      <c r="C189" s="13">
        <v>43284</v>
      </c>
      <c r="D189" s="13">
        <f t="shared" si="4"/>
        <v>44015</v>
      </c>
      <c r="E189" s="14">
        <v>3</v>
      </c>
      <c r="F189" s="18" t="s">
        <v>88</v>
      </c>
      <c r="G189" s="16" t="s">
        <v>41</v>
      </c>
      <c r="H189" s="16" t="s">
        <v>42</v>
      </c>
      <c r="I189" s="16" t="s">
        <v>18</v>
      </c>
      <c r="J189" s="16" t="s">
        <v>142</v>
      </c>
      <c r="K189" s="13">
        <v>43286</v>
      </c>
      <c r="L189" s="13">
        <f t="shared" si="5"/>
        <v>44017</v>
      </c>
      <c r="M189" s="16" t="s">
        <v>139</v>
      </c>
      <c r="N189" s="16" t="s">
        <v>43</v>
      </c>
      <c r="O189" s="16" t="s">
        <v>49</v>
      </c>
      <c r="P189" s="16" t="s">
        <v>50</v>
      </c>
      <c r="Q189" s="17">
        <v>560</v>
      </c>
      <c r="R189" s="16">
        <v>10</v>
      </c>
      <c r="S189" s="42">
        <f>VENTAS[[#This Row],[Precio unitario]]*VENTAS[[#This Row],[Cantidad]]</f>
        <v>5600</v>
      </c>
      <c r="T189" s="33">
        <v>560</v>
      </c>
    </row>
    <row r="190" spans="2:20">
      <c r="B190" s="31">
        <v>1214</v>
      </c>
      <c r="C190" s="13">
        <v>43291</v>
      </c>
      <c r="D190" s="13">
        <f t="shared" si="4"/>
        <v>44022</v>
      </c>
      <c r="E190" s="14">
        <v>10</v>
      </c>
      <c r="F190" s="18" t="s">
        <v>85</v>
      </c>
      <c r="G190" s="16" t="s">
        <v>54</v>
      </c>
      <c r="H190" s="16" t="s">
        <v>55</v>
      </c>
      <c r="I190" s="16" t="s">
        <v>56</v>
      </c>
      <c r="J190" s="16" t="s">
        <v>141</v>
      </c>
      <c r="K190" s="13">
        <v>43293</v>
      </c>
      <c r="L190" s="13">
        <f t="shared" si="5"/>
        <v>44024</v>
      </c>
      <c r="M190" s="16" t="s">
        <v>139</v>
      </c>
      <c r="N190" s="16" t="s">
        <v>25</v>
      </c>
      <c r="O190" s="16" t="s">
        <v>75</v>
      </c>
      <c r="P190" s="16" t="s">
        <v>22</v>
      </c>
      <c r="Q190" s="17">
        <v>140</v>
      </c>
      <c r="R190" s="16">
        <v>80</v>
      </c>
      <c r="S190" s="42">
        <f>VENTAS[[#This Row],[Precio unitario]]*VENTAS[[#This Row],[Cantidad]]</f>
        <v>11200</v>
      </c>
      <c r="T190" s="33">
        <v>1086.3999999999999</v>
      </c>
    </row>
    <row r="191" spans="2:20">
      <c r="B191" s="31">
        <v>1216</v>
      </c>
      <c r="C191" s="13">
        <v>43291</v>
      </c>
      <c r="D191" s="13">
        <f t="shared" si="4"/>
        <v>44022</v>
      </c>
      <c r="E191" s="14">
        <v>10</v>
      </c>
      <c r="F191" s="18" t="s">
        <v>91</v>
      </c>
      <c r="G191" s="16" t="s">
        <v>54</v>
      </c>
      <c r="H191" s="16" t="s">
        <v>55</v>
      </c>
      <c r="I191" s="16" t="s">
        <v>56</v>
      </c>
      <c r="J191" s="16" t="s">
        <v>141</v>
      </c>
      <c r="K191" s="13"/>
      <c r="L191" s="13">
        <f t="shared" si="5"/>
        <v>731</v>
      </c>
      <c r="M191" s="16" t="s">
        <v>138</v>
      </c>
      <c r="N191" s="16" t="s">
        <v>25</v>
      </c>
      <c r="O191" s="16" t="s">
        <v>21</v>
      </c>
      <c r="P191" s="16" t="s">
        <v>22</v>
      </c>
      <c r="Q191" s="17">
        <v>49</v>
      </c>
      <c r="R191" s="16">
        <v>27</v>
      </c>
      <c r="S191" s="42">
        <f>VENTAS[[#This Row],[Precio unitario]]*VENTAS[[#This Row],[Cantidad]]</f>
        <v>1323</v>
      </c>
      <c r="T191" s="33">
        <v>127.00800000000001</v>
      </c>
    </row>
    <row r="192" spans="2:20">
      <c r="B192" s="31">
        <v>1217</v>
      </c>
      <c r="C192" s="13">
        <v>43292</v>
      </c>
      <c r="D192" s="13">
        <f t="shared" si="4"/>
        <v>44023</v>
      </c>
      <c r="E192" s="14">
        <v>11</v>
      </c>
      <c r="F192" s="18" t="s">
        <v>87</v>
      </c>
      <c r="G192" s="16" t="s">
        <v>63</v>
      </c>
      <c r="H192" s="16" t="s">
        <v>63</v>
      </c>
      <c r="I192" s="16" t="s">
        <v>53</v>
      </c>
      <c r="J192" s="16" t="s">
        <v>143</v>
      </c>
      <c r="K192" s="13"/>
      <c r="L192" s="13">
        <f t="shared" si="5"/>
        <v>731</v>
      </c>
      <c r="M192" s="16" t="s">
        <v>140</v>
      </c>
      <c r="N192" s="16" t="s">
        <v>25</v>
      </c>
      <c r="O192" s="16" t="s">
        <v>49</v>
      </c>
      <c r="P192" s="16" t="s">
        <v>50</v>
      </c>
      <c r="Q192" s="17">
        <v>560</v>
      </c>
      <c r="R192" s="16">
        <v>97</v>
      </c>
      <c r="S192" s="42">
        <f>VENTAS[[#This Row],[Precio unitario]]*VENTAS[[#This Row],[Cantidad]]</f>
        <v>54320</v>
      </c>
      <c r="T192" s="33">
        <v>5323.3600000000006</v>
      </c>
    </row>
    <row r="193" spans="2:20">
      <c r="B193" s="31">
        <v>1218</v>
      </c>
      <c r="C193" s="13">
        <v>43282</v>
      </c>
      <c r="D193" s="13">
        <f t="shared" si="4"/>
        <v>44013</v>
      </c>
      <c r="E193" s="14">
        <v>1</v>
      </c>
      <c r="F193" s="18" t="s">
        <v>86</v>
      </c>
      <c r="G193" s="16" t="s">
        <v>64</v>
      </c>
      <c r="H193" s="16" t="s">
        <v>65</v>
      </c>
      <c r="I193" s="16" t="s">
        <v>32</v>
      </c>
      <c r="J193" s="16" t="s">
        <v>33</v>
      </c>
      <c r="K193" s="13"/>
      <c r="L193" s="13">
        <f t="shared" si="5"/>
        <v>731</v>
      </c>
      <c r="M193" s="16" t="s">
        <v>140</v>
      </c>
      <c r="N193" s="16" t="s">
        <v>25</v>
      </c>
      <c r="O193" s="16" t="s">
        <v>66</v>
      </c>
      <c r="P193" s="16" t="s">
        <v>67</v>
      </c>
      <c r="Q193" s="17">
        <v>257.59999999999997</v>
      </c>
      <c r="R193" s="16">
        <v>42</v>
      </c>
      <c r="S193" s="42">
        <f>VENTAS[[#This Row],[Precio unitario]]*VENTAS[[#This Row],[Cantidad]]</f>
        <v>10819.199999999999</v>
      </c>
      <c r="T193" s="33">
        <v>1125.1967999999999</v>
      </c>
    </row>
    <row r="194" spans="2:20">
      <c r="B194" s="31">
        <v>1219</v>
      </c>
      <c r="C194" s="13">
        <v>43309</v>
      </c>
      <c r="D194" s="13">
        <f t="shared" si="4"/>
        <v>44040</v>
      </c>
      <c r="E194" s="14">
        <v>28</v>
      </c>
      <c r="F194" s="18" t="s">
        <v>123</v>
      </c>
      <c r="G194" s="16" t="s">
        <v>51</v>
      </c>
      <c r="H194" s="16" t="s">
        <v>52</v>
      </c>
      <c r="I194" s="16" t="s">
        <v>53</v>
      </c>
      <c r="J194" s="16" t="s">
        <v>143</v>
      </c>
      <c r="K194" s="13">
        <v>43311</v>
      </c>
      <c r="L194" s="13">
        <f t="shared" si="5"/>
        <v>44042</v>
      </c>
      <c r="M194" s="16" t="s">
        <v>140</v>
      </c>
      <c r="N194" s="16" t="s">
        <v>25</v>
      </c>
      <c r="O194" s="16" t="s">
        <v>29</v>
      </c>
      <c r="P194" s="16" t="s">
        <v>20</v>
      </c>
      <c r="Q194" s="17">
        <v>644</v>
      </c>
      <c r="R194" s="16">
        <v>24</v>
      </c>
      <c r="S194" s="42">
        <f>VENTAS[[#This Row],[Precio unitario]]*VENTAS[[#This Row],[Cantidad]]</f>
        <v>15456</v>
      </c>
      <c r="T194" s="33">
        <v>1483.7759999999998</v>
      </c>
    </row>
    <row r="195" spans="2:20">
      <c r="B195" s="31">
        <v>1220</v>
      </c>
      <c r="C195" s="13">
        <v>43290</v>
      </c>
      <c r="D195" s="13">
        <f t="shared" si="4"/>
        <v>44021</v>
      </c>
      <c r="E195" s="14">
        <v>9</v>
      </c>
      <c r="F195" s="18" t="s">
        <v>89</v>
      </c>
      <c r="G195" s="16" t="s">
        <v>68</v>
      </c>
      <c r="H195" s="16" t="s">
        <v>37</v>
      </c>
      <c r="I195" s="16" t="s">
        <v>69</v>
      </c>
      <c r="J195" s="16" t="s">
        <v>142</v>
      </c>
      <c r="K195" s="13">
        <v>43292</v>
      </c>
      <c r="L195" s="13">
        <f t="shared" si="5"/>
        <v>44023</v>
      </c>
      <c r="M195" s="16" t="s">
        <v>138</v>
      </c>
      <c r="N195" s="16" t="s">
        <v>43</v>
      </c>
      <c r="O195" s="16" t="s">
        <v>44</v>
      </c>
      <c r="P195" s="16" t="s">
        <v>45</v>
      </c>
      <c r="Q195" s="17">
        <v>135.1</v>
      </c>
      <c r="R195" s="16">
        <v>90</v>
      </c>
      <c r="S195" s="42">
        <f>VENTAS[[#This Row],[Precio unitario]]*VENTAS[[#This Row],[Cantidad]]</f>
        <v>12159</v>
      </c>
      <c r="T195" s="33">
        <v>1167.2640000000001</v>
      </c>
    </row>
    <row r="196" spans="2:20">
      <c r="B196" s="31">
        <v>1221</v>
      </c>
      <c r="C196" s="13">
        <v>43287</v>
      </c>
      <c r="D196" s="13">
        <f t="shared" si="4"/>
        <v>44018</v>
      </c>
      <c r="E196" s="14">
        <v>6</v>
      </c>
      <c r="F196" s="18" t="s">
        <v>124</v>
      </c>
      <c r="G196" s="16" t="s">
        <v>46</v>
      </c>
      <c r="H196" s="16" t="s">
        <v>47</v>
      </c>
      <c r="I196" s="16" t="s">
        <v>48</v>
      </c>
      <c r="J196" s="16" t="s">
        <v>33</v>
      </c>
      <c r="K196" s="13">
        <v>43289</v>
      </c>
      <c r="L196" s="13">
        <f t="shared" si="5"/>
        <v>44020</v>
      </c>
      <c r="M196" s="16" t="s">
        <v>139</v>
      </c>
      <c r="N196" s="16" t="s">
        <v>25</v>
      </c>
      <c r="O196" s="16" t="s">
        <v>39</v>
      </c>
      <c r="P196" s="16" t="s">
        <v>40</v>
      </c>
      <c r="Q196" s="17">
        <v>178.5</v>
      </c>
      <c r="R196" s="16">
        <v>28</v>
      </c>
      <c r="S196" s="42">
        <f>VENTAS[[#This Row],[Precio unitario]]*VENTAS[[#This Row],[Cantidad]]</f>
        <v>4998</v>
      </c>
      <c r="T196" s="33">
        <v>499.80000000000007</v>
      </c>
    </row>
    <row r="197" spans="2:20">
      <c r="B197" s="31">
        <v>1222</v>
      </c>
      <c r="C197" s="13">
        <v>43340</v>
      </c>
      <c r="D197" s="13">
        <f t="shared" si="4"/>
        <v>44071</v>
      </c>
      <c r="E197" s="14">
        <v>28</v>
      </c>
      <c r="F197" s="18" t="s">
        <v>92</v>
      </c>
      <c r="G197" s="16" t="s">
        <v>51</v>
      </c>
      <c r="H197" s="16" t="s">
        <v>52</v>
      </c>
      <c r="I197" s="16" t="s">
        <v>53</v>
      </c>
      <c r="J197" s="16" t="s">
        <v>143</v>
      </c>
      <c r="K197" s="13">
        <v>43342</v>
      </c>
      <c r="L197" s="13">
        <f t="shared" si="5"/>
        <v>44073</v>
      </c>
      <c r="M197" s="16" t="s">
        <v>140</v>
      </c>
      <c r="N197" s="16" t="s">
        <v>43</v>
      </c>
      <c r="O197" s="16" t="s">
        <v>29</v>
      </c>
      <c r="P197" s="16" t="s">
        <v>20</v>
      </c>
      <c r="Q197" s="17">
        <v>644</v>
      </c>
      <c r="R197" s="16">
        <v>28</v>
      </c>
      <c r="S197" s="42">
        <f>VENTAS[[#This Row],[Precio unitario]]*VENTAS[[#This Row],[Cantidad]]</f>
        <v>18032</v>
      </c>
      <c r="T197" s="33">
        <v>1875.3280000000004</v>
      </c>
    </row>
    <row r="198" spans="2:20">
      <c r="B198" s="31">
        <v>1223</v>
      </c>
      <c r="C198" s="13">
        <v>43320</v>
      </c>
      <c r="D198" s="13">
        <f t="shared" si="4"/>
        <v>44051</v>
      </c>
      <c r="E198" s="14">
        <v>8</v>
      </c>
      <c r="F198" s="18" t="s">
        <v>125</v>
      </c>
      <c r="G198" s="16" t="s">
        <v>30</v>
      </c>
      <c r="H198" s="16" t="s">
        <v>31</v>
      </c>
      <c r="I198" s="16" t="s">
        <v>32</v>
      </c>
      <c r="J198" s="16" t="s">
        <v>33</v>
      </c>
      <c r="K198" s="13">
        <v>43322</v>
      </c>
      <c r="L198" s="13">
        <f t="shared" si="5"/>
        <v>44053</v>
      </c>
      <c r="M198" s="16" t="s">
        <v>140</v>
      </c>
      <c r="N198" s="16" t="s">
        <v>43</v>
      </c>
      <c r="O198" s="16" t="s">
        <v>39</v>
      </c>
      <c r="P198" s="16" t="s">
        <v>40</v>
      </c>
      <c r="Q198" s="17">
        <v>178.5</v>
      </c>
      <c r="R198" s="16">
        <v>57</v>
      </c>
      <c r="S198" s="42">
        <f>VENTAS[[#This Row],[Precio unitario]]*VENTAS[[#This Row],[Cantidad]]</f>
        <v>10174.5</v>
      </c>
      <c r="T198" s="33">
        <v>976.75199999999995</v>
      </c>
    </row>
    <row r="199" spans="2:20">
      <c r="B199" s="31">
        <v>1224</v>
      </c>
      <c r="C199" s="13">
        <v>43322</v>
      </c>
      <c r="D199" s="13">
        <f t="shared" ref="D199:D262" si="6">EDATE(C199,24)</f>
        <v>44053</v>
      </c>
      <c r="E199" s="14">
        <v>10</v>
      </c>
      <c r="F199" s="15" t="s">
        <v>85</v>
      </c>
      <c r="G199" s="16" t="s">
        <v>54</v>
      </c>
      <c r="H199" s="16" t="s">
        <v>55</v>
      </c>
      <c r="I199" s="16" t="s">
        <v>56</v>
      </c>
      <c r="J199" s="16" t="s">
        <v>141</v>
      </c>
      <c r="K199" s="13">
        <v>43324</v>
      </c>
      <c r="L199" s="13">
        <f t="shared" ref="L199:L262" si="7">EDATE(K199,24)</f>
        <v>44055</v>
      </c>
      <c r="M199" s="16" t="s">
        <v>139</v>
      </c>
      <c r="N199" s="16" t="s">
        <v>25</v>
      </c>
      <c r="O199" s="16" t="s">
        <v>57</v>
      </c>
      <c r="P199" s="16" t="s">
        <v>20</v>
      </c>
      <c r="Q199" s="17">
        <v>41.86</v>
      </c>
      <c r="R199" s="16">
        <v>23</v>
      </c>
      <c r="S199" s="42">
        <f>VENTAS[[#This Row],[Precio unitario]]*VENTAS[[#This Row],[Cantidad]]</f>
        <v>962.78</v>
      </c>
      <c r="T199" s="33">
        <v>93.389660000000021</v>
      </c>
    </row>
    <row r="200" spans="2:20">
      <c r="B200" s="31">
        <v>1225</v>
      </c>
      <c r="C200" s="13">
        <v>43319</v>
      </c>
      <c r="D200" s="13">
        <f t="shared" si="6"/>
        <v>44050</v>
      </c>
      <c r="E200" s="14">
        <v>7</v>
      </c>
      <c r="F200" s="15" t="s">
        <v>86</v>
      </c>
      <c r="G200" s="16" t="s">
        <v>58</v>
      </c>
      <c r="H200" s="16" t="s">
        <v>58</v>
      </c>
      <c r="I200" s="16" t="s">
        <v>32</v>
      </c>
      <c r="J200" s="16" t="s">
        <v>33</v>
      </c>
      <c r="K200" s="13"/>
      <c r="L200" s="13">
        <f t="shared" si="7"/>
        <v>731</v>
      </c>
      <c r="M200" s="16"/>
      <c r="N200" s="16" t="s">
        <v>25</v>
      </c>
      <c r="O200" s="16" t="s">
        <v>29</v>
      </c>
      <c r="P200" s="16" t="s">
        <v>20</v>
      </c>
      <c r="Q200" s="17">
        <v>644</v>
      </c>
      <c r="R200" s="16">
        <v>86</v>
      </c>
      <c r="S200" s="42">
        <f>VENTAS[[#This Row],[Precio unitario]]*VENTAS[[#This Row],[Cantidad]]</f>
        <v>55384</v>
      </c>
      <c r="T200" s="33">
        <v>5593.7840000000006</v>
      </c>
    </row>
    <row r="201" spans="2:20">
      <c r="B201" s="31">
        <v>1226</v>
      </c>
      <c r="C201" s="13">
        <v>43322</v>
      </c>
      <c r="D201" s="13">
        <f t="shared" si="6"/>
        <v>44053</v>
      </c>
      <c r="E201" s="14">
        <v>10</v>
      </c>
      <c r="F201" s="15" t="s">
        <v>87</v>
      </c>
      <c r="G201" s="16" t="s">
        <v>54</v>
      </c>
      <c r="H201" s="16" t="s">
        <v>55</v>
      </c>
      <c r="I201" s="16" t="s">
        <v>56</v>
      </c>
      <c r="J201" s="16" t="s">
        <v>141</v>
      </c>
      <c r="K201" s="13">
        <v>43324</v>
      </c>
      <c r="L201" s="13">
        <f t="shared" si="7"/>
        <v>44055</v>
      </c>
      <c r="M201" s="16" t="s">
        <v>138</v>
      </c>
      <c r="N201" s="16" t="s">
        <v>25</v>
      </c>
      <c r="O201" s="16" t="s">
        <v>59</v>
      </c>
      <c r="P201" s="16" t="s">
        <v>60</v>
      </c>
      <c r="Q201" s="17">
        <v>350</v>
      </c>
      <c r="R201" s="16">
        <v>47</v>
      </c>
      <c r="S201" s="42">
        <f>VENTAS[[#This Row],[Precio unitario]]*VENTAS[[#This Row],[Cantidad]]</f>
        <v>16450</v>
      </c>
      <c r="T201" s="33">
        <v>1628.55</v>
      </c>
    </row>
    <row r="202" spans="2:20">
      <c r="B202" s="31">
        <v>1227</v>
      </c>
      <c r="C202" s="13">
        <v>43322</v>
      </c>
      <c r="D202" s="13">
        <f t="shared" si="6"/>
        <v>44053</v>
      </c>
      <c r="E202" s="14">
        <v>10</v>
      </c>
      <c r="F202" s="15" t="s">
        <v>88</v>
      </c>
      <c r="G202" s="16" t="s">
        <v>54</v>
      </c>
      <c r="H202" s="16" t="s">
        <v>55</v>
      </c>
      <c r="I202" s="16" t="s">
        <v>56</v>
      </c>
      <c r="J202" s="16" t="s">
        <v>141</v>
      </c>
      <c r="K202" s="13">
        <v>43324</v>
      </c>
      <c r="L202" s="13">
        <f t="shared" si="7"/>
        <v>44055</v>
      </c>
      <c r="M202" s="16" t="s">
        <v>138</v>
      </c>
      <c r="N202" s="16" t="s">
        <v>25</v>
      </c>
      <c r="O202" s="16" t="s">
        <v>61</v>
      </c>
      <c r="P202" s="16" t="s">
        <v>62</v>
      </c>
      <c r="Q202" s="17">
        <v>308</v>
      </c>
      <c r="R202" s="16">
        <v>97</v>
      </c>
      <c r="S202" s="42">
        <f>VENTAS[[#This Row],[Precio unitario]]*VENTAS[[#This Row],[Cantidad]]</f>
        <v>29876</v>
      </c>
      <c r="T202" s="33">
        <v>3107.1040000000003</v>
      </c>
    </row>
    <row r="203" spans="2:20">
      <c r="B203" s="31">
        <v>1228</v>
      </c>
      <c r="C203" s="13">
        <v>43322</v>
      </c>
      <c r="D203" s="13">
        <f t="shared" si="6"/>
        <v>44053</v>
      </c>
      <c r="E203" s="14">
        <v>10</v>
      </c>
      <c r="F203" s="15" t="s">
        <v>89</v>
      </c>
      <c r="G203" s="16" t="s">
        <v>54</v>
      </c>
      <c r="H203" s="16" t="s">
        <v>55</v>
      </c>
      <c r="I203" s="16" t="s">
        <v>56</v>
      </c>
      <c r="J203" s="16" t="s">
        <v>141</v>
      </c>
      <c r="K203" s="13">
        <v>43324</v>
      </c>
      <c r="L203" s="13">
        <f t="shared" si="7"/>
        <v>44055</v>
      </c>
      <c r="M203" s="16" t="s">
        <v>138</v>
      </c>
      <c r="N203" s="16" t="s">
        <v>25</v>
      </c>
      <c r="O203" s="16" t="s">
        <v>34</v>
      </c>
      <c r="P203" s="16" t="s">
        <v>35</v>
      </c>
      <c r="Q203" s="17">
        <v>128.79999999999998</v>
      </c>
      <c r="R203" s="16">
        <v>96</v>
      </c>
      <c r="S203" s="42">
        <f>VENTAS[[#This Row],[Precio unitario]]*VENTAS[[#This Row],[Cantidad]]</f>
        <v>12364.8</v>
      </c>
      <c r="T203" s="33">
        <v>1211.7503999999999</v>
      </c>
    </row>
    <row r="204" spans="2:20">
      <c r="B204" s="31">
        <v>1229</v>
      </c>
      <c r="C204" s="13">
        <v>43323</v>
      </c>
      <c r="D204" s="13">
        <f t="shared" si="6"/>
        <v>44054</v>
      </c>
      <c r="E204" s="14">
        <v>11</v>
      </c>
      <c r="F204" s="15" t="s">
        <v>90</v>
      </c>
      <c r="G204" s="16" t="s">
        <v>63</v>
      </c>
      <c r="H204" s="16" t="s">
        <v>63</v>
      </c>
      <c r="I204" s="16" t="s">
        <v>53</v>
      </c>
      <c r="J204" s="16" t="s">
        <v>143</v>
      </c>
      <c r="K204" s="13"/>
      <c r="L204" s="13">
        <f t="shared" si="7"/>
        <v>731</v>
      </c>
      <c r="M204" s="16" t="s">
        <v>140</v>
      </c>
      <c r="N204" s="16" t="s">
        <v>25</v>
      </c>
      <c r="O204" s="16" t="s">
        <v>21</v>
      </c>
      <c r="P204" s="16" t="s">
        <v>22</v>
      </c>
      <c r="Q204" s="17">
        <v>49</v>
      </c>
      <c r="R204" s="16">
        <v>31</v>
      </c>
      <c r="S204" s="42">
        <f>VENTAS[[#This Row],[Precio unitario]]*VENTAS[[#This Row],[Cantidad]]</f>
        <v>1519</v>
      </c>
      <c r="T204" s="33">
        <v>151.90000000000003</v>
      </c>
    </row>
    <row r="205" spans="2:20">
      <c r="B205" s="31">
        <v>1230</v>
      </c>
      <c r="C205" s="13">
        <v>43323</v>
      </c>
      <c r="D205" s="13">
        <f t="shared" si="6"/>
        <v>44054</v>
      </c>
      <c r="E205" s="14">
        <v>11</v>
      </c>
      <c r="F205" s="15" t="s">
        <v>91</v>
      </c>
      <c r="G205" s="16" t="s">
        <v>63</v>
      </c>
      <c r="H205" s="16" t="s">
        <v>63</v>
      </c>
      <c r="I205" s="16" t="s">
        <v>53</v>
      </c>
      <c r="J205" s="16" t="s">
        <v>143</v>
      </c>
      <c r="K205" s="13"/>
      <c r="L205" s="13">
        <f t="shared" si="7"/>
        <v>731</v>
      </c>
      <c r="M205" s="16" t="s">
        <v>140</v>
      </c>
      <c r="N205" s="16" t="s">
        <v>25</v>
      </c>
      <c r="O205" s="16" t="s">
        <v>57</v>
      </c>
      <c r="P205" s="16" t="s">
        <v>20</v>
      </c>
      <c r="Q205" s="17">
        <v>41.86</v>
      </c>
      <c r="R205" s="16">
        <v>52</v>
      </c>
      <c r="S205" s="42">
        <f>VENTAS[[#This Row],[Precio unitario]]*VENTAS[[#This Row],[Cantidad]]</f>
        <v>2176.7199999999998</v>
      </c>
      <c r="T205" s="33">
        <v>224.20216000000005</v>
      </c>
    </row>
    <row r="206" spans="2:20">
      <c r="B206" s="31">
        <v>1231</v>
      </c>
      <c r="C206" s="13">
        <v>43313</v>
      </c>
      <c r="D206" s="13">
        <f t="shared" si="6"/>
        <v>44044</v>
      </c>
      <c r="E206" s="14">
        <v>1</v>
      </c>
      <c r="F206" s="15" t="s">
        <v>92</v>
      </c>
      <c r="G206" s="16" t="s">
        <v>64</v>
      </c>
      <c r="H206" s="16" t="s">
        <v>65</v>
      </c>
      <c r="I206" s="16" t="s">
        <v>32</v>
      </c>
      <c r="J206" s="16" t="s">
        <v>33</v>
      </c>
      <c r="K206" s="13"/>
      <c r="L206" s="13">
        <f t="shared" si="7"/>
        <v>731</v>
      </c>
      <c r="M206" s="16"/>
      <c r="N206" s="16" t="s">
        <v>25</v>
      </c>
      <c r="O206" s="16" t="s">
        <v>28</v>
      </c>
      <c r="P206" s="16" t="s">
        <v>20</v>
      </c>
      <c r="Q206" s="17">
        <v>252</v>
      </c>
      <c r="R206" s="16">
        <v>91</v>
      </c>
      <c r="S206" s="42">
        <f>VENTAS[[#This Row],[Precio unitario]]*VENTAS[[#This Row],[Cantidad]]</f>
        <v>22932</v>
      </c>
      <c r="T206" s="33">
        <v>2224.404</v>
      </c>
    </row>
    <row r="207" spans="2:20">
      <c r="B207" s="31">
        <v>1232</v>
      </c>
      <c r="C207" s="13">
        <v>43313</v>
      </c>
      <c r="D207" s="13">
        <f t="shared" si="6"/>
        <v>44044</v>
      </c>
      <c r="E207" s="14">
        <v>1</v>
      </c>
      <c r="F207" s="15" t="s">
        <v>93</v>
      </c>
      <c r="G207" s="16" t="s">
        <v>64</v>
      </c>
      <c r="H207" s="16" t="s">
        <v>65</v>
      </c>
      <c r="I207" s="16" t="s">
        <v>32</v>
      </c>
      <c r="J207" s="16" t="s">
        <v>33</v>
      </c>
      <c r="K207" s="13"/>
      <c r="L207" s="13">
        <f t="shared" si="7"/>
        <v>731</v>
      </c>
      <c r="M207" s="16"/>
      <c r="N207" s="16" t="s">
        <v>25</v>
      </c>
      <c r="O207" s="16" t="s">
        <v>29</v>
      </c>
      <c r="P207" s="16" t="s">
        <v>20</v>
      </c>
      <c r="Q207" s="17">
        <v>644</v>
      </c>
      <c r="R207" s="16">
        <v>14</v>
      </c>
      <c r="S207" s="42">
        <f>VENTAS[[#This Row],[Precio unitario]]*VENTAS[[#This Row],[Cantidad]]</f>
        <v>9016</v>
      </c>
      <c r="T207" s="33">
        <v>892.58400000000006</v>
      </c>
    </row>
    <row r="208" spans="2:20">
      <c r="B208" s="31">
        <v>1233</v>
      </c>
      <c r="C208" s="13">
        <v>43313</v>
      </c>
      <c r="D208" s="13">
        <f t="shared" si="6"/>
        <v>44044</v>
      </c>
      <c r="E208" s="14">
        <v>1</v>
      </c>
      <c r="F208" s="15" t="s">
        <v>94</v>
      </c>
      <c r="G208" s="16" t="s">
        <v>64</v>
      </c>
      <c r="H208" s="16" t="s">
        <v>65</v>
      </c>
      <c r="I208" s="16" t="s">
        <v>32</v>
      </c>
      <c r="J208" s="16" t="s">
        <v>33</v>
      </c>
      <c r="K208" s="13"/>
      <c r="L208" s="13">
        <f t="shared" si="7"/>
        <v>731</v>
      </c>
      <c r="M208" s="16"/>
      <c r="N208" s="16" t="s">
        <v>25</v>
      </c>
      <c r="O208" s="16" t="s">
        <v>57</v>
      </c>
      <c r="P208" s="16" t="s">
        <v>20</v>
      </c>
      <c r="Q208" s="17">
        <v>41.86</v>
      </c>
      <c r="R208" s="16">
        <v>44</v>
      </c>
      <c r="S208" s="42">
        <f>VENTAS[[#This Row],[Precio unitario]]*VENTAS[[#This Row],[Cantidad]]</f>
        <v>1841.84</v>
      </c>
      <c r="T208" s="33">
        <v>186.02584000000002</v>
      </c>
    </row>
    <row r="209" spans="2:20">
      <c r="B209" s="31">
        <v>1234</v>
      </c>
      <c r="C209" s="13">
        <v>43340</v>
      </c>
      <c r="D209" s="13">
        <f t="shared" si="6"/>
        <v>44071</v>
      </c>
      <c r="E209" s="14">
        <v>28</v>
      </c>
      <c r="F209" s="15" t="s">
        <v>95</v>
      </c>
      <c r="G209" s="16" t="s">
        <v>51</v>
      </c>
      <c r="H209" s="16" t="s">
        <v>52</v>
      </c>
      <c r="I209" s="16" t="s">
        <v>53</v>
      </c>
      <c r="J209" s="16" t="s">
        <v>143</v>
      </c>
      <c r="K209" s="13">
        <v>43342</v>
      </c>
      <c r="L209" s="13">
        <f t="shared" si="7"/>
        <v>44073</v>
      </c>
      <c r="M209" s="16" t="s">
        <v>140</v>
      </c>
      <c r="N209" s="16" t="s">
        <v>25</v>
      </c>
      <c r="O209" s="16" t="s">
        <v>44</v>
      </c>
      <c r="P209" s="16" t="s">
        <v>45</v>
      </c>
      <c r="Q209" s="17">
        <v>135.1</v>
      </c>
      <c r="R209" s="16">
        <v>97</v>
      </c>
      <c r="S209" s="42">
        <f>VENTAS[[#This Row],[Precio unitario]]*VENTAS[[#This Row],[Cantidad]]</f>
        <v>13104.699999999999</v>
      </c>
      <c r="T209" s="33">
        <v>1336.6794000000002</v>
      </c>
    </row>
    <row r="210" spans="2:20">
      <c r="B210" s="31">
        <v>1235</v>
      </c>
      <c r="C210" s="13">
        <v>43340</v>
      </c>
      <c r="D210" s="13">
        <f t="shared" si="6"/>
        <v>44071</v>
      </c>
      <c r="E210" s="14">
        <v>28</v>
      </c>
      <c r="F210" s="15" t="s">
        <v>96</v>
      </c>
      <c r="G210" s="16" t="s">
        <v>51</v>
      </c>
      <c r="H210" s="16" t="s">
        <v>52</v>
      </c>
      <c r="I210" s="16" t="s">
        <v>53</v>
      </c>
      <c r="J210" s="16" t="s">
        <v>143</v>
      </c>
      <c r="K210" s="13">
        <v>43342</v>
      </c>
      <c r="L210" s="13">
        <f t="shared" si="7"/>
        <v>44073</v>
      </c>
      <c r="M210" s="16" t="s">
        <v>140</v>
      </c>
      <c r="N210" s="16" t="s">
        <v>25</v>
      </c>
      <c r="O210" s="16" t="s">
        <v>66</v>
      </c>
      <c r="P210" s="16" t="s">
        <v>67</v>
      </c>
      <c r="Q210" s="17">
        <v>257.59999999999997</v>
      </c>
      <c r="R210" s="16">
        <v>80</v>
      </c>
      <c r="S210" s="42">
        <f>VENTAS[[#This Row],[Precio unitario]]*VENTAS[[#This Row],[Cantidad]]</f>
        <v>20607.999999999996</v>
      </c>
      <c r="T210" s="33">
        <v>2102.0160000000005</v>
      </c>
    </row>
    <row r="211" spans="2:20">
      <c r="B211" s="31">
        <v>1236</v>
      </c>
      <c r="C211" s="13">
        <v>43321</v>
      </c>
      <c r="D211" s="13">
        <f t="shared" si="6"/>
        <v>44052</v>
      </c>
      <c r="E211" s="14">
        <v>9</v>
      </c>
      <c r="F211" s="15" t="s">
        <v>97</v>
      </c>
      <c r="G211" s="16" t="s">
        <v>68</v>
      </c>
      <c r="H211" s="16" t="s">
        <v>37</v>
      </c>
      <c r="I211" s="16" t="s">
        <v>69</v>
      </c>
      <c r="J211" s="16" t="s">
        <v>142</v>
      </c>
      <c r="K211" s="13">
        <v>43323</v>
      </c>
      <c r="L211" s="13">
        <f t="shared" si="7"/>
        <v>44054</v>
      </c>
      <c r="M211" s="16" t="s">
        <v>138</v>
      </c>
      <c r="N211" s="16" t="s">
        <v>43</v>
      </c>
      <c r="O211" s="16" t="s">
        <v>70</v>
      </c>
      <c r="P211" s="16" t="s">
        <v>71</v>
      </c>
      <c r="Q211" s="17">
        <v>273</v>
      </c>
      <c r="R211" s="16">
        <v>66</v>
      </c>
      <c r="S211" s="42">
        <f>VENTAS[[#This Row],[Precio unitario]]*VENTAS[[#This Row],[Cantidad]]</f>
        <v>18018</v>
      </c>
      <c r="T211" s="33">
        <v>1855.854</v>
      </c>
    </row>
    <row r="212" spans="2:20">
      <c r="B212" s="31">
        <v>1237</v>
      </c>
      <c r="C212" s="13">
        <v>43321</v>
      </c>
      <c r="D212" s="13">
        <f t="shared" si="6"/>
        <v>44052</v>
      </c>
      <c r="E212" s="14">
        <v>9</v>
      </c>
      <c r="F212" s="15" t="s">
        <v>98</v>
      </c>
      <c r="G212" s="16" t="s">
        <v>68</v>
      </c>
      <c r="H212" s="16" t="s">
        <v>37</v>
      </c>
      <c r="I212" s="16" t="s">
        <v>69</v>
      </c>
      <c r="J212" s="16" t="s">
        <v>142</v>
      </c>
      <c r="K212" s="13">
        <v>43323</v>
      </c>
      <c r="L212" s="13">
        <f t="shared" si="7"/>
        <v>44054</v>
      </c>
      <c r="M212" s="16" t="s">
        <v>138</v>
      </c>
      <c r="N212" s="16" t="s">
        <v>43</v>
      </c>
      <c r="O212" s="16" t="s">
        <v>72</v>
      </c>
      <c r="P212" s="16" t="s">
        <v>73</v>
      </c>
      <c r="Q212" s="17">
        <v>487.19999999999993</v>
      </c>
      <c r="R212" s="16">
        <v>32</v>
      </c>
      <c r="S212" s="42">
        <f>VENTAS[[#This Row],[Precio unitario]]*VENTAS[[#This Row],[Cantidad]]</f>
        <v>15590.399999999998</v>
      </c>
      <c r="T212" s="33">
        <v>1559.04</v>
      </c>
    </row>
    <row r="213" spans="2:20">
      <c r="B213" s="31">
        <v>1238</v>
      </c>
      <c r="C213" s="13">
        <v>43318</v>
      </c>
      <c r="D213" s="13">
        <f t="shared" si="6"/>
        <v>44049</v>
      </c>
      <c r="E213" s="14">
        <v>6</v>
      </c>
      <c r="F213" s="15" t="s">
        <v>99</v>
      </c>
      <c r="G213" s="16" t="s">
        <v>46</v>
      </c>
      <c r="H213" s="16" t="s">
        <v>47</v>
      </c>
      <c r="I213" s="16" t="s">
        <v>48</v>
      </c>
      <c r="J213" s="16" t="s">
        <v>33</v>
      </c>
      <c r="K213" s="13">
        <v>43320</v>
      </c>
      <c r="L213" s="13">
        <f t="shared" si="7"/>
        <v>44051</v>
      </c>
      <c r="M213" s="16" t="s">
        <v>139</v>
      </c>
      <c r="N213" s="16" t="s">
        <v>25</v>
      </c>
      <c r="O213" s="16" t="s">
        <v>19</v>
      </c>
      <c r="P213" s="16" t="s">
        <v>20</v>
      </c>
      <c r="Q213" s="17">
        <v>196</v>
      </c>
      <c r="R213" s="16">
        <v>52</v>
      </c>
      <c r="S213" s="42">
        <f>VENTAS[[#This Row],[Precio unitario]]*VENTAS[[#This Row],[Cantidad]]</f>
        <v>10192</v>
      </c>
      <c r="T213" s="33">
        <v>1019.1999999999999</v>
      </c>
    </row>
    <row r="214" spans="2:20">
      <c r="B214" s="31">
        <v>1239</v>
      </c>
      <c r="C214" s="13">
        <v>43320</v>
      </c>
      <c r="D214" s="13">
        <f t="shared" si="6"/>
        <v>44051</v>
      </c>
      <c r="E214" s="14">
        <v>8</v>
      </c>
      <c r="F214" s="15" t="s">
        <v>100</v>
      </c>
      <c r="G214" s="16" t="s">
        <v>30</v>
      </c>
      <c r="H214" s="16" t="s">
        <v>31</v>
      </c>
      <c r="I214" s="16" t="s">
        <v>32</v>
      </c>
      <c r="J214" s="16" t="s">
        <v>33</v>
      </c>
      <c r="K214" s="13">
        <v>43322</v>
      </c>
      <c r="L214" s="13">
        <f t="shared" si="7"/>
        <v>44053</v>
      </c>
      <c r="M214" s="16" t="s">
        <v>139</v>
      </c>
      <c r="N214" s="16" t="s">
        <v>43</v>
      </c>
      <c r="O214" s="16" t="s">
        <v>49</v>
      </c>
      <c r="P214" s="16" t="s">
        <v>50</v>
      </c>
      <c r="Q214" s="17">
        <v>560</v>
      </c>
      <c r="R214" s="16">
        <v>78</v>
      </c>
      <c r="S214" s="42">
        <f>VENTAS[[#This Row],[Precio unitario]]*VENTAS[[#This Row],[Cantidad]]</f>
        <v>43680</v>
      </c>
      <c r="T214" s="33">
        <v>4455.3600000000006</v>
      </c>
    </row>
    <row r="215" spans="2:20">
      <c r="B215" s="31">
        <v>1240</v>
      </c>
      <c r="C215" s="13">
        <v>43320</v>
      </c>
      <c r="D215" s="13">
        <f t="shared" si="6"/>
        <v>44051</v>
      </c>
      <c r="E215" s="14">
        <v>8</v>
      </c>
      <c r="F215" s="15" t="s">
        <v>101</v>
      </c>
      <c r="G215" s="16" t="s">
        <v>30</v>
      </c>
      <c r="H215" s="16" t="s">
        <v>31</v>
      </c>
      <c r="I215" s="16" t="s">
        <v>32</v>
      </c>
      <c r="J215" s="16" t="s">
        <v>33</v>
      </c>
      <c r="K215" s="13">
        <v>43322</v>
      </c>
      <c r="L215" s="13">
        <f t="shared" si="7"/>
        <v>44053</v>
      </c>
      <c r="M215" s="16" t="s">
        <v>139</v>
      </c>
      <c r="N215" s="16" t="s">
        <v>43</v>
      </c>
      <c r="O215" s="16" t="s">
        <v>34</v>
      </c>
      <c r="P215" s="16" t="s">
        <v>35</v>
      </c>
      <c r="Q215" s="17">
        <v>128.79999999999998</v>
      </c>
      <c r="R215" s="16">
        <v>54</v>
      </c>
      <c r="S215" s="42">
        <f>VENTAS[[#This Row],[Precio unitario]]*VENTAS[[#This Row],[Cantidad]]</f>
        <v>6955.1999999999989</v>
      </c>
      <c r="T215" s="33">
        <v>688.56479999999999</v>
      </c>
    </row>
    <row r="216" spans="2:20">
      <c r="B216" s="31">
        <v>1241</v>
      </c>
      <c r="C216" s="13">
        <v>43337</v>
      </c>
      <c r="D216" s="13">
        <f t="shared" si="6"/>
        <v>44068</v>
      </c>
      <c r="E216" s="14">
        <v>25</v>
      </c>
      <c r="F216" s="15" t="s">
        <v>102</v>
      </c>
      <c r="G216" s="16" t="s">
        <v>54</v>
      </c>
      <c r="H216" s="16" t="s">
        <v>55</v>
      </c>
      <c r="I216" s="16" t="s">
        <v>56</v>
      </c>
      <c r="J216" s="16" t="s">
        <v>141</v>
      </c>
      <c r="K216" s="13">
        <v>43339</v>
      </c>
      <c r="L216" s="13">
        <f t="shared" si="7"/>
        <v>44070</v>
      </c>
      <c r="M216" s="16" t="s">
        <v>138</v>
      </c>
      <c r="N216" s="16" t="s">
        <v>43</v>
      </c>
      <c r="O216" s="16" t="s">
        <v>79</v>
      </c>
      <c r="P216" s="16" t="s">
        <v>35</v>
      </c>
      <c r="Q216" s="17">
        <v>140</v>
      </c>
      <c r="R216" s="16">
        <v>55</v>
      </c>
      <c r="S216" s="42">
        <f>VENTAS[[#This Row],[Precio unitario]]*VENTAS[[#This Row],[Cantidad]]</f>
        <v>7700</v>
      </c>
      <c r="T216" s="33">
        <v>731.5</v>
      </c>
    </row>
    <row r="217" spans="2:20">
      <c r="B217" s="31">
        <v>1242</v>
      </c>
      <c r="C217" s="13">
        <v>43338</v>
      </c>
      <c r="D217" s="13">
        <f t="shared" si="6"/>
        <v>44069</v>
      </c>
      <c r="E217" s="14">
        <v>26</v>
      </c>
      <c r="F217" s="15" t="s">
        <v>103</v>
      </c>
      <c r="G217" s="16" t="s">
        <v>63</v>
      </c>
      <c r="H217" s="16" t="s">
        <v>63</v>
      </c>
      <c r="I217" s="16" t="s">
        <v>53</v>
      </c>
      <c r="J217" s="16" t="s">
        <v>143</v>
      </c>
      <c r="K217" s="13">
        <v>43340</v>
      </c>
      <c r="L217" s="13">
        <f t="shared" si="7"/>
        <v>44071</v>
      </c>
      <c r="M217" s="16" t="s">
        <v>140</v>
      </c>
      <c r="N217" s="16" t="s">
        <v>25</v>
      </c>
      <c r="O217" s="16" t="s">
        <v>80</v>
      </c>
      <c r="P217" s="16" t="s">
        <v>81</v>
      </c>
      <c r="Q217" s="17">
        <v>298.90000000000003</v>
      </c>
      <c r="R217" s="16">
        <v>60</v>
      </c>
      <c r="S217" s="42">
        <f>VENTAS[[#This Row],[Precio unitario]]*VENTAS[[#This Row],[Cantidad]]</f>
        <v>17934.000000000004</v>
      </c>
      <c r="T217" s="33">
        <v>1811.3340000000001</v>
      </c>
    </row>
    <row r="218" spans="2:20">
      <c r="B218" s="31">
        <v>1243</v>
      </c>
      <c r="C218" s="13">
        <v>43338</v>
      </c>
      <c r="D218" s="13">
        <f t="shared" si="6"/>
        <v>44069</v>
      </c>
      <c r="E218" s="14">
        <v>26</v>
      </c>
      <c r="F218" s="15" t="s">
        <v>104</v>
      </c>
      <c r="G218" s="16" t="s">
        <v>63</v>
      </c>
      <c r="H218" s="16" t="s">
        <v>63</v>
      </c>
      <c r="I218" s="16" t="s">
        <v>53</v>
      </c>
      <c r="J218" s="16" t="s">
        <v>143</v>
      </c>
      <c r="K218" s="13">
        <v>43340</v>
      </c>
      <c r="L218" s="13">
        <f t="shared" si="7"/>
        <v>44071</v>
      </c>
      <c r="M218" s="16" t="s">
        <v>140</v>
      </c>
      <c r="N218" s="16" t="s">
        <v>25</v>
      </c>
      <c r="O218" s="16" t="s">
        <v>44</v>
      </c>
      <c r="P218" s="16" t="s">
        <v>45</v>
      </c>
      <c r="Q218" s="17">
        <v>135.1</v>
      </c>
      <c r="R218" s="16">
        <v>19</v>
      </c>
      <c r="S218" s="42">
        <f>VENTAS[[#This Row],[Precio unitario]]*VENTAS[[#This Row],[Cantidad]]</f>
        <v>2566.9</v>
      </c>
      <c r="T218" s="33">
        <v>243.85550000000001</v>
      </c>
    </row>
    <row r="219" spans="2:20">
      <c r="B219" s="31">
        <v>1244</v>
      </c>
      <c r="C219" s="13">
        <v>43338</v>
      </c>
      <c r="D219" s="13">
        <f t="shared" si="6"/>
        <v>44069</v>
      </c>
      <c r="E219" s="14">
        <v>26</v>
      </c>
      <c r="F219" s="15" t="s">
        <v>105</v>
      </c>
      <c r="G219" s="16" t="s">
        <v>63</v>
      </c>
      <c r="H219" s="16" t="s">
        <v>63</v>
      </c>
      <c r="I219" s="16" t="s">
        <v>53</v>
      </c>
      <c r="J219" s="16" t="s">
        <v>143</v>
      </c>
      <c r="K219" s="13">
        <v>43340</v>
      </c>
      <c r="L219" s="13">
        <f t="shared" si="7"/>
        <v>44071</v>
      </c>
      <c r="M219" s="16" t="s">
        <v>140</v>
      </c>
      <c r="N219" s="16" t="s">
        <v>25</v>
      </c>
      <c r="O219" s="16" t="s">
        <v>66</v>
      </c>
      <c r="P219" s="16" t="s">
        <v>67</v>
      </c>
      <c r="Q219" s="17">
        <v>257.59999999999997</v>
      </c>
      <c r="R219" s="16">
        <v>66</v>
      </c>
      <c r="S219" s="42">
        <f>VENTAS[[#This Row],[Precio unitario]]*VENTAS[[#This Row],[Cantidad]]</f>
        <v>17001.599999999999</v>
      </c>
      <c r="T219" s="33">
        <v>1751.1648</v>
      </c>
    </row>
    <row r="220" spans="2:20">
      <c r="B220" s="31">
        <v>1245</v>
      </c>
      <c r="C220" s="13">
        <v>43341</v>
      </c>
      <c r="D220" s="13">
        <f t="shared" si="6"/>
        <v>44072</v>
      </c>
      <c r="E220" s="14">
        <v>29</v>
      </c>
      <c r="F220" s="15" t="s">
        <v>106</v>
      </c>
      <c r="G220" s="16" t="s">
        <v>36</v>
      </c>
      <c r="H220" s="16" t="s">
        <v>37</v>
      </c>
      <c r="I220" s="16" t="s">
        <v>38</v>
      </c>
      <c r="J220" s="16" t="s">
        <v>142</v>
      </c>
      <c r="K220" s="13">
        <v>43343</v>
      </c>
      <c r="L220" s="13">
        <f t="shared" si="7"/>
        <v>44074</v>
      </c>
      <c r="M220" s="16" t="s">
        <v>139</v>
      </c>
      <c r="N220" s="16" t="s">
        <v>43</v>
      </c>
      <c r="O220" s="16" t="s">
        <v>19</v>
      </c>
      <c r="P220" s="16" t="s">
        <v>20</v>
      </c>
      <c r="Q220" s="17">
        <v>196</v>
      </c>
      <c r="R220" s="16">
        <v>42</v>
      </c>
      <c r="S220" s="42">
        <f>VENTAS[[#This Row],[Precio unitario]]*VENTAS[[#This Row],[Cantidad]]</f>
        <v>8232</v>
      </c>
      <c r="T220" s="33">
        <v>831.43200000000002</v>
      </c>
    </row>
    <row r="221" spans="2:20">
      <c r="B221" s="31">
        <v>1246</v>
      </c>
      <c r="C221" s="13">
        <v>43318</v>
      </c>
      <c r="D221" s="13">
        <f t="shared" si="6"/>
        <v>44049</v>
      </c>
      <c r="E221" s="14">
        <v>6</v>
      </c>
      <c r="F221" s="15" t="s">
        <v>107</v>
      </c>
      <c r="G221" s="16" t="s">
        <v>46</v>
      </c>
      <c r="H221" s="16" t="s">
        <v>47</v>
      </c>
      <c r="I221" s="16" t="s">
        <v>48</v>
      </c>
      <c r="J221" s="16" t="s">
        <v>33</v>
      </c>
      <c r="K221" s="13">
        <v>43320</v>
      </c>
      <c r="L221" s="13">
        <f t="shared" si="7"/>
        <v>44051</v>
      </c>
      <c r="M221" s="16" t="s">
        <v>140</v>
      </c>
      <c r="N221" s="16" t="s">
        <v>43</v>
      </c>
      <c r="O221" s="16" t="s">
        <v>39</v>
      </c>
      <c r="P221" s="16" t="s">
        <v>40</v>
      </c>
      <c r="Q221" s="17">
        <v>178.5</v>
      </c>
      <c r="R221" s="16">
        <v>72</v>
      </c>
      <c r="S221" s="42">
        <f>VENTAS[[#This Row],[Precio unitario]]*VENTAS[[#This Row],[Cantidad]]</f>
        <v>12852</v>
      </c>
      <c r="T221" s="33">
        <v>1246.644</v>
      </c>
    </row>
    <row r="222" spans="2:20">
      <c r="B222" s="31">
        <v>1248</v>
      </c>
      <c r="C222" s="13">
        <v>43316</v>
      </c>
      <c r="D222" s="13">
        <f t="shared" si="6"/>
        <v>44047</v>
      </c>
      <c r="E222" s="14">
        <v>4</v>
      </c>
      <c r="F222" s="15" t="s">
        <v>108</v>
      </c>
      <c r="G222" s="16" t="s">
        <v>23</v>
      </c>
      <c r="H222" s="16" t="s">
        <v>23</v>
      </c>
      <c r="I222" s="16" t="s">
        <v>24</v>
      </c>
      <c r="J222" s="16" t="s">
        <v>141</v>
      </c>
      <c r="K222" s="13">
        <v>43318</v>
      </c>
      <c r="L222" s="13">
        <f t="shared" si="7"/>
        <v>44049</v>
      </c>
      <c r="M222" s="16" t="s">
        <v>138</v>
      </c>
      <c r="N222" s="16" t="s">
        <v>25</v>
      </c>
      <c r="O222" s="16" t="s">
        <v>82</v>
      </c>
      <c r="P222" s="16" t="s">
        <v>60</v>
      </c>
      <c r="Q222" s="17">
        <v>1134</v>
      </c>
      <c r="R222" s="16">
        <v>32</v>
      </c>
      <c r="S222" s="42">
        <f>VENTAS[[#This Row],[Precio unitario]]*VENTAS[[#This Row],[Cantidad]]</f>
        <v>36288</v>
      </c>
      <c r="T222" s="33">
        <v>3519.9359999999997</v>
      </c>
    </row>
    <row r="223" spans="2:20">
      <c r="B223" s="31">
        <v>1249</v>
      </c>
      <c r="C223" s="13">
        <v>43316</v>
      </c>
      <c r="D223" s="13">
        <f t="shared" si="6"/>
        <v>44047</v>
      </c>
      <c r="E223" s="14">
        <v>4</v>
      </c>
      <c r="F223" s="15" t="s">
        <v>109</v>
      </c>
      <c r="G223" s="16" t="s">
        <v>23</v>
      </c>
      <c r="H223" s="16" t="s">
        <v>23</v>
      </c>
      <c r="I223" s="16" t="s">
        <v>24</v>
      </c>
      <c r="J223" s="16" t="s">
        <v>141</v>
      </c>
      <c r="K223" s="13">
        <v>43318</v>
      </c>
      <c r="L223" s="13">
        <f t="shared" si="7"/>
        <v>44049</v>
      </c>
      <c r="M223" s="16" t="s">
        <v>138</v>
      </c>
      <c r="N223" s="16" t="s">
        <v>25</v>
      </c>
      <c r="O223" s="16" t="s">
        <v>83</v>
      </c>
      <c r="P223" s="16" t="s">
        <v>84</v>
      </c>
      <c r="Q223" s="17">
        <v>98</v>
      </c>
      <c r="R223" s="16">
        <v>76</v>
      </c>
      <c r="S223" s="42">
        <f>VENTAS[[#This Row],[Precio unitario]]*VENTAS[[#This Row],[Cantidad]]</f>
        <v>7448</v>
      </c>
      <c r="T223" s="33">
        <v>752.24800000000005</v>
      </c>
    </row>
    <row r="224" spans="2:20">
      <c r="B224" s="31">
        <v>1250</v>
      </c>
      <c r="C224" s="13">
        <v>43353</v>
      </c>
      <c r="D224" s="13">
        <f t="shared" si="6"/>
        <v>44084</v>
      </c>
      <c r="E224" s="14">
        <v>10</v>
      </c>
      <c r="F224" s="15" t="s">
        <v>110</v>
      </c>
      <c r="G224" s="16" t="s">
        <v>54</v>
      </c>
      <c r="H224" s="16" t="s">
        <v>55</v>
      </c>
      <c r="I224" s="16" t="s">
        <v>56</v>
      </c>
      <c r="J224" s="16" t="s">
        <v>141</v>
      </c>
      <c r="K224" s="13">
        <v>43355</v>
      </c>
      <c r="L224" s="13">
        <f t="shared" si="7"/>
        <v>44086</v>
      </c>
      <c r="M224" s="16" t="s">
        <v>138</v>
      </c>
      <c r="N224" s="16" t="s">
        <v>25</v>
      </c>
      <c r="O224" s="16" t="s">
        <v>34</v>
      </c>
      <c r="P224" s="16" t="s">
        <v>35</v>
      </c>
      <c r="Q224" s="17">
        <v>128.79999999999998</v>
      </c>
      <c r="R224" s="16">
        <v>83</v>
      </c>
      <c r="S224" s="42">
        <f>VENTAS[[#This Row],[Precio unitario]]*VENTAS[[#This Row],[Cantidad]]</f>
        <v>10690.399999999998</v>
      </c>
      <c r="T224" s="33">
        <v>1047.6591999999998</v>
      </c>
    </row>
    <row r="225" spans="2:20">
      <c r="B225" s="31">
        <v>1251</v>
      </c>
      <c r="C225" s="13">
        <v>43354</v>
      </c>
      <c r="D225" s="13">
        <f t="shared" si="6"/>
        <v>44085</v>
      </c>
      <c r="E225" s="14">
        <v>11</v>
      </c>
      <c r="F225" s="15" t="s">
        <v>111</v>
      </c>
      <c r="G225" s="16" t="s">
        <v>63</v>
      </c>
      <c r="H225" s="16" t="s">
        <v>63</v>
      </c>
      <c r="I225" s="16" t="s">
        <v>53</v>
      </c>
      <c r="J225" s="16" t="s">
        <v>143</v>
      </c>
      <c r="K225" s="13"/>
      <c r="L225" s="13">
        <f t="shared" si="7"/>
        <v>731</v>
      </c>
      <c r="M225" s="16" t="s">
        <v>140</v>
      </c>
      <c r="N225" s="16" t="s">
        <v>25</v>
      </c>
      <c r="O225" s="16" t="s">
        <v>21</v>
      </c>
      <c r="P225" s="16" t="s">
        <v>22</v>
      </c>
      <c r="Q225" s="17">
        <v>49</v>
      </c>
      <c r="R225" s="16">
        <v>91</v>
      </c>
      <c r="S225" s="42">
        <f>VENTAS[[#This Row],[Precio unitario]]*VENTAS[[#This Row],[Cantidad]]</f>
        <v>4459</v>
      </c>
      <c r="T225" s="33">
        <v>436.98200000000003</v>
      </c>
    </row>
    <row r="226" spans="2:20">
      <c r="B226" s="31">
        <v>1252</v>
      </c>
      <c r="C226" s="13">
        <v>43354</v>
      </c>
      <c r="D226" s="13">
        <f t="shared" si="6"/>
        <v>44085</v>
      </c>
      <c r="E226" s="14">
        <v>11</v>
      </c>
      <c r="F226" s="15" t="s">
        <v>112</v>
      </c>
      <c r="G226" s="16" t="s">
        <v>63</v>
      </c>
      <c r="H226" s="16" t="s">
        <v>63</v>
      </c>
      <c r="I226" s="16" t="s">
        <v>53</v>
      </c>
      <c r="J226" s="16" t="s">
        <v>143</v>
      </c>
      <c r="K226" s="13"/>
      <c r="L226" s="13">
        <f t="shared" si="7"/>
        <v>731</v>
      </c>
      <c r="M226" s="16" t="s">
        <v>140</v>
      </c>
      <c r="N226" s="16" t="s">
        <v>25</v>
      </c>
      <c r="O226" s="16" t="s">
        <v>57</v>
      </c>
      <c r="P226" s="16" t="s">
        <v>20</v>
      </c>
      <c r="Q226" s="17">
        <v>41.86</v>
      </c>
      <c r="R226" s="16">
        <v>64</v>
      </c>
      <c r="S226" s="42">
        <f>VENTAS[[#This Row],[Precio unitario]]*VENTAS[[#This Row],[Cantidad]]</f>
        <v>2679.04</v>
      </c>
      <c r="T226" s="33">
        <v>273.26208000000003</v>
      </c>
    </row>
    <row r="227" spans="2:20">
      <c r="B227" s="31">
        <v>1253</v>
      </c>
      <c r="C227" s="13">
        <v>43344</v>
      </c>
      <c r="D227" s="13">
        <f t="shared" si="6"/>
        <v>44075</v>
      </c>
      <c r="E227" s="14">
        <v>1</v>
      </c>
      <c r="F227" s="15" t="s">
        <v>113</v>
      </c>
      <c r="G227" s="16" t="s">
        <v>64</v>
      </c>
      <c r="H227" s="16" t="s">
        <v>65</v>
      </c>
      <c r="I227" s="16" t="s">
        <v>32</v>
      </c>
      <c r="J227" s="16" t="s">
        <v>33</v>
      </c>
      <c r="K227" s="13"/>
      <c r="L227" s="13">
        <f t="shared" si="7"/>
        <v>731</v>
      </c>
      <c r="M227" s="16"/>
      <c r="N227" s="16" t="s">
        <v>25</v>
      </c>
      <c r="O227" s="16" t="s">
        <v>28</v>
      </c>
      <c r="P227" s="16" t="s">
        <v>20</v>
      </c>
      <c r="Q227" s="17">
        <v>252</v>
      </c>
      <c r="R227" s="16">
        <v>58</v>
      </c>
      <c r="S227" s="42">
        <f>VENTAS[[#This Row],[Precio unitario]]*VENTAS[[#This Row],[Cantidad]]</f>
        <v>14616</v>
      </c>
      <c r="T227" s="33">
        <v>1446.9840000000002</v>
      </c>
    </row>
    <row r="228" spans="2:20">
      <c r="B228" s="31">
        <v>1254</v>
      </c>
      <c r="C228" s="13">
        <v>43344</v>
      </c>
      <c r="D228" s="13">
        <f t="shared" si="6"/>
        <v>44075</v>
      </c>
      <c r="E228" s="14">
        <v>1</v>
      </c>
      <c r="F228" s="15" t="s">
        <v>114</v>
      </c>
      <c r="G228" s="16" t="s">
        <v>64</v>
      </c>
      <c r="H228" s="16" t="s">
        <v>65</v>
      </c>
      <c r="I228" s="16" t="s">
        <v>32</v>
      </c>
      <c r="J228" s="16" t="s">
        <v>33</v>
      </c>
      <c r="K228" s="13"/>
      <c r="L228" s="13">
        <f t="shared" si="7"/>
        <v>731</v>
      </c>
      <c r="M228" s="16"/>
      <c r="N228" s="16" t="s">
        <v>25</v>
      </c>
      <c r="O228" s="16" t="s">
        <v>29</v>
      </c>
      <c r="P228" s="16" t="s">
        <v>20</v>
      </c>
      <c r="Q228" s="17">
        <v>644</v>
      </c>
      <c r="R228" s="16">
        <v>97</v>
      </c>
      <c r="S228" s="42">
        <f>VENTAS[[#This Row],[Precio unitario]]*VENTAS[[#This Row],[Cantidad]]</f>
        <v>62468</v>
      </c>
      <c r="T228" s="33">
        <v>6496.6720000000005</v>
      </c>
    </row>
    <row r="229" spans="2:20">
      <c r="B229" s="31">
        <v>1255</v>
      </c>
      <c r="C229" s="13">
        <v>43344</v>
      </c>
      <c r="D229" s="13">
        <f t="shared" si="6"/>
        <v>44075</v>
      </c>
      <c r="E229" s="14">
        <v>1</v>
      </c>
      <c r="F229" s="15" t="s">
        <v>115</v>
      </c>
      <c r="G229" s="16" t="s">
        <v>64</v>
      </c>
      <c r="H229" s="16" t="s">
        <v>65</v>
      </c>
      <c r="I229" s="16" t="s">
        <v>32</v>
      </c>
      <c r="J229" s="16" t="s">
        <v>33</v>
      </c>
      <c r="K229" s="13"/>
      <c r="L229" s="13">
        <f t="shared" si="7"/>
        <v>731</v>
      </c>
      <c r="M229" s="16"/>
      <c r="N229" s="16" t="s">
        <v>25</v>
      </c>
      <c r="O229" s="16" t="s">
        <v>57</v>
      </c>
      <c r="P229" s="16" t="s">
        <v>20</v>
      </c>
      <c r="Q229" s="17">
        <v>41.86</v>
      </c>
      <c r="R229" s="16">
        <v>14</v>
      </c>
      <c r="S229" s="42">
        <f>VENTAS[[#This Row],[Precio unitario]]*VENTAS[[#This Row],[Cantidad]]</f>
        <v>586.04</v>
      </c>
      <c r="T229" s="33">
        <v>60.948160000000001</v>
      </c>
    </row>
    <row r="230" spans="2:20">
      <c r="B230" s="31">
        <v>1256</v>
      </c>
      <c r="C230" s="13">
        <v>43371</v>
      </c>
      <c r="D230" s="13">
        <f t="shared" si="6"/>
        <v>44102</v>
      </c>
      <c r="E230" s="14">
        <v>28</v>
      </c>
      <c r="F230" s="15" t="s">
        <v>116</v>
      </c>
      <c r="G230" s="16" t="s">
        <v>51</v>
      </c>
      <c r="H230" s="16" t="s">
        <v>52</v>
      </c>
      <c r="I230" s="16" t="s">
        <v>53</v>
      </c>
      <c r="J230" s="16" t="s">
        <v>143</v>
      </c>
      <c r="K230" s="13">
        <v>43373</v>
      </c>
      <c r="L230" s="13">
        <f t="shared" si="7"/>
        <v>44104</v>
      </c>
      <c r="M230" s="16" t="s">
        <v>140</v>
      </c>
      <c r="N230" s="16" t="s">
        <v>25</v>
      </c>
      <c r="O230" s="16" t="s">
        <v>44</v>
      </c>
      <c r="P230" s="16" t="s">
        <v>45</v>
      </c>
      <c r="Q230" s="17">
        <v>135.1</v>
      </c>
      <c r="R230" s="16">
        <v>68</v>
      </c>
      <c r="S230" s="42">
        <f>VENTAS[[#This Row],[Precio unitario]]*VENTAS[[#This Row],[Cantidad]]</f>
        <v>9186.7999999999993</v>
      </c>
      <c r="T230" s="33">
        <v>900.30640000000017</v>
      </c>
    </row>
    <row r="231" spans="2:20">
      <c r="B231" s="31">
        <v>1257</v>
      </c>
      <c r="C231" s="13">
        <v>43371</v>
      </c>
      <c r="D231" s="13">
        <f t="shared" si="6"/>
        <v>44102</v>
      </c>
      <c r="E231" s="14">
        <v>28</v>
      </c>
      <c r="F231" s="15" t="s">
        <v>117</v>
      </c>
      <c r="G231" s="16" t="s">
        <v>51</v>
      </c>
      <c r="H231" s="16" t="s">
        <v>52</v>
      </c>
      <c r="I231" s="16" t="s">
        <v>53</v>
      </c>
      <c r="J231" s="16" t="s">
        <v>143</v>
      </c>
      <c r="K231" s="13">
        <v>43373</v>
      </c>
      <c r="L231" s="13">
        <f t="shared" si="7"/>
        <v>44104</v>
      </c>
      <c r="M231" s="16" t="s">
        <v>140</v>
      </c>
      <c r="N231" s="16" t="s">
        <v>25</v>
      </c>
      <c r="O231" s="16" t="s">
        <v>66</v>
      </c>
      <c r="P231" s="16" t="s">
        <v>67</v>
      </c>
      <c r="Q231" s="17">
        <v>257.59999999999997</v>
      </c>
      <c r="R231" s="16">
        <v>32</v>
      </c>
      <c r="S231" s="42">
        <f>VENTAS[[#This Row],[Precio unitario]]*VENTAS[[#This Row],[Cantidad]]</f>
        <v>8243.1999999999989</v>
      </c>
      <c r="T231" s="33">
        <v>824.31999999999994</v>
      </c>
    </row>
    <row r="232" spans="2:20">
      <c r="B232" s="31">
        <v>1258</v>
      </c>
      <c r="C232" s="13">
        <v>43352</v>
      </c>
      <c r="D232" s="13">
        <f t="shared" si="6"/>
        <v>44083</v>
      </c>
      <c r="E232" s="14">
        <v>9</v>
      </c>
      <c r="F232" s="15" t="s">
        <v>118</v>
      </c>
      <c r="G232" s="16" t="s">
        <v>68</v>
      </c>
      <c r="H232" s="16" t="s">
        <v>37</v>
      </c>
      <c r="I232" s="16" t="s">
        <v>69</v>
      </c>
      <c r="J232" s="16" t="s">
        <v>142</v>
      </c>
      <c r="K232" s="13">
        <v>43354</v>
      </c>
      <c r="L232" s="13">
        <f t="shared" si="7"/>
        <v>44085</v>
      </c>
      <c r="M232" s="16" t="s">
        <v>138</v>
      </c>
      <c r="N232" s="16" t="s">
        <v>43</v>
      </c>
      <c r="O232" s="16" t="s">
        <v>70</v>
      </c>
      <c r="P232" s="16" t="s">
        <v>71</v>
      </c>
      <c r="Q232" s="17">
        <v>273</v>
      </c>
      <c r="R232" s="16">
        <v>48</v>
      </c>
      <c r="S232" s="42">
        <f>VENTAS[[#This Row],[Precio unitario]]*VENTAS[[#This Row],[Cantidad]]</f>
        <v>13104</v>
      </c>
      <c r="T232" s="33">
        <v>1323.5040000000001</v>
      </c>
    </row>
    <row r="233" spans="2:20">
      <c r="B233" s="31">
        <v>1259</v>
      </c>
      <c r="C233" s="13">
        <v>43352</v>
      </c>
      <c r="D233" s="13">
        <f t="shared" si="6"/>
        <v>44083</v>
      </c>
      <c r="E233" s="14">
        <v>9</v>
      </c>
      <c r="F233" s="15" t="s">
        <v>119</v>
      </c>
      <c r="G233" s="16" t="s">
        <v>68</v>
      </c>
      <c r="H233" s="16" t="s">
        <v>37</v>
      </c>
      <c r="I233" s="16" t="s">
        <v>69</v>
      </c>
      <c r="J233" s="16" t="s">
        <v>142</v>
      </c>
      <c r="K233" s="13">
        <v>43354</v>
      </c>
      <c r="L233" s="13">
        <f t="shared" si="7"/>
        <v>44085</v>
      </c>
      <c r="M233" s="16" t="s">
        <v>138</v>
      </c>
      <c r="N233" s="16" t="s">
        <v>43</v>
      </c>
      <c r="O233" s="16" t="s">
        <v>72</v>
      </c>
      <c r="P233" s="16" t="s">
        <v>73</v>
      </c>
      <c r="Q233" s="17">
        <v>487.19999999999993</v>
      </c>
      <c r="R233" s="16">
        <v>57</v>
      </c>
      <c r="S233" s="42">
        <f>VENTAS[[#This Row],[Precio unitario]]*VENTAS[[#This Row],[Cantidad]]</f>
        <v>27770.399999999998</v>
      </c>
      <c r="T233" s="33">
        <v>2721.4992000000002</v>
      </c>
    </row>
    <row r="234" spans="2:20">
      <c r="B234" s="31">
        <v>1260</v>
      </c>
      <c r="C234" s="13">
        <v>43349</v>
      </c>
      <c r="D234" s="13">
        <f t="shared" si="6"/>
        <v>44080</v>
      </c>
      <c r="E234" s="14">
        <v>6</v>
      </c>
      <c r="F234" s="15" t="s">
        <v>120</v>
      </c>
      <c r="G234" s="16" t="s">
        <v>46</v>
      </c>
      <c r="H234" s="16" t="s">
        <v>47</v>
      </c>
      <c r="I234" s="16" t="s">
        <v>48</v>
      </c>
      <c r="J234" s="16" t="s">
        <v>33</v>
      </c>
      <c r="K234" s="13">
        <v>43351</v>
      </c>
      <c r="L234" s="13">
        <f t="shared" si="7"/>
        <v>44082</v>
      </c>
      <c r="M234" s="16" t="s">
        <v>139</v>
      </c>
      <c r="N234" s="16" t="s">
        <v>25</v>
      </c>
      <c r="O234" s="16" t="s">
        <v>19</v>
      </c>
      <c r="P234" s="16" t="s">
        <v>20</v>
      </c>
      <c r="Q234" s="17">
        <v>196</v>
      </c>
      <c r="R234" s="16">
        <v>67</v>
      </c>
      <c r="S234" s="42">
        <f>VENTAS[[#This Row],[Precio unitario]]*VENTAS[[#This Row],[Cantidad]]</f>
        <v>13132</v>
      </c>
      <c r="T234" s="33">
        <v>1378.8600000000001</v>
      </c>
    </row>
    <row r="235" spans="2:20">
      <c r="B235" s="31">
        <v>1261</v>
      </c>
      <c r="C235" s="13">
        <v>43351</v>
      </c>
      <c r="D235" s="13">
        <f t="shared" si="6"/>
        <v>44082</v>
      </c>
      <c r="E235" s="14">
        <v>8</v>
      </c>
      <c r="F235" s="15" t="s">
        <v>121</v>
      </c>
      <c r="G235" s="16" t="s">
        <v>30</v>
      </c>
      <c r="H235" s="16" t="s">
        <v>31</v>
      </c>
      <c r="I235" s="16" t="s">
        <v>32</v>
      </c>
      <c r="J235" s="16" t="s">
        <v>33</v>
      </c>
      <c r="K235" s="13">
        <v>43353</v>
      </c>
      <c r="L235" s="13">
        <f t="shared" si="7"/>
        <v>44084</v>
      </c>
      <c r="M235" s="16" t="s">
        <v>139</v>
      </c>
      <c r="N235" s="16" t="s">
        <v>43</v>
      </c>
      <c r="O235" s="16" t="s">
        <v>49</v>
      </c>
      <c r="P235" s="16" t="s">
        <v>50</v>
      </c>
      <c r="Q235" s="17">
        <v>560</v>
      </c>
      <c r="R235" s="16">
        <v>48</v>
      </c>
      <c r="S235" s="42">
        <f>VENTAS[[#This Row],[Precio unitario]]*VENTAS[[#This Row],[Cantidad]]</f>
        <v>26880</v>
      </c>
      <c r="T235" s="33">
        <v>2634.24</v>
      </c>
    </row>
    <row r="236" spans="2:20">
      <c r="B236" s="31">
        <v>1262</v>
      </c>
      <c r="C236" s="13">
        <v>43351</v>
      </c>
      <c r="D236" s="13">
        <f t="shared" si="6"/>
        <v>44082</v>
      </c>
      <c r="E236" s="14">
        <v>8</v>
      </c>
      <c r="F236" s="15" t="s">
        <v>122</v>
      </c>
      <c r="G236" s="16" t="s">
        <v>30</v>
      </c>
      <c r="H236" s="16" t="s">
        <v>31</v>
      </c>
      <c r="I236" s="16" t="s">
        <v>32</v>
      </c>
      <c r="J236" s="16" t="s">
        <v>33</v>
      </c>
      <c r="K236" s="13">
        <v>43353</v>
      </c>
      <c r="L236" s="13">
        <f t="shared" si="7"/>
        <v>44084</v>
      </c>
      <c r="M236" s="16" t="s">
        <v>139</v>
      </c>
      <c r="N236" s="16" t="s">
        <v>43</v>
      </c>
      <c r="O236" s="16" t="s">
        <v>34</v>
      </c>
      <c r="P236" s="16" t="s">
        <v>35</v>
      </c>
      <c r="Q236" s="17">
        <v>128.79999999999998</v>
      </c>
      <c r="R236" s="16">
        <v>77</v>
      </c>
      <c r="S236" s="42">
        <f>VENTAS[[#This Row],[Precio unitario]]*VENTAS[[#This Row],[Cantidad]]</f>
        <v>9917.5999999999985</v>
      </c>
      <c r="T236" s="33">
        <v>1011.5952</v>
      </c>
    </row>
    <row r="237" spans="2:20">
      <c r="B237" s="31">
        <v>1263</v>
      </c>
      <c r="C237" s="13">
        <v>43368</v>
      </c>
      <c r="D237" s="13">
        <f t="shared" si="6"/>
        <v>44099</v>
      </c>
      <c r="E237" s="14">
        <v>25</v>
      </c>
      <c r="F237" s="18" t="s">
        <v>88</v>
      </c>
      <c r="G237" s="16" t="s">
        <v>54</v>
      </c>
      <c r="H237" s="16" t="s">
        <v>55</v>
      </c>
      <c r="I237" s="16" t="s">
        <v>56</v>
      </c>
      <c r="J237" s="16" t="s">
        <v>141</v>
      </c>
      <c r="K237" s="13">
        <v>43370</v>
      </c>
      <c r="L237" s="13">
        <f t="shared" si="7"/>
        <v>44101</v>
      </c>
      <c r="M237" s="16" t="s">
        <v>138</v>
      </c>
      <c r="N237" s="16" t="s">
        <v>43</v>
      </c>
      <c r="O237" s="16" t="s">
        <v>79</v>
      </c>
      <c r="P237" s="16" t="s">
        <v>35</v>
      </c>
      <c r="Q237" s="17">
        <v>140</v>
      </c>
      <c r="R237" s="16">
        <v>94</v>
      </c>
      <c r="S237" s="42">
        <f>VENTAS[[#This Row],[Precio unitario]]*VENTAS[[#This Row],[Cantidad]]</f>
        <v>13160</v>
      </c>
      <c r="T237" s="33">
        <v>1368.64</v>
      </c>
    </row>
    <row r="238" spans="2:20">
      <c r="B238" s="31">
        <v>1264</v>
      </c>
      <c r="C238" s="13">
        <v>43369</v>
      </c>
      <c r="D238" s="13">
        <f t="shared" si="6"/>
        <v>44100</v>
      </c>
      <c r="E238" s="14">
        <v>26</v>
      </c>
      <c r="F238" s="18" t="s">
        <v>85</v>
      </c>
      <c r="G238" s="16" t="s">
        <v>63</v>
      </c>
      <c r="H238" s="16" t="s">
        <v>63</v>
      </c>
      <c r="I238" s="16" t="s">
        <v>53</v>
      </c>
      <c r="J238" s="16" t="s">
        <v>143</v>
      </c>
      <c r="K238" s="13">
        <v>43371</v>
      </c>
      <c r="L238" s="13">
        <f t="shared" si="7"/>
        <v>44102</v>
      </c>
      <c r="M238" s="16" t="s">
        <v>140</v>
      </c>
      <c r="N238" s="16" t="s">
        <v>25</v>
      </c>
      <c r="O238" s="16" t="s">
        <v>80</v>
      </c>
      <c r="P238" s="16" t="s">
        <v>81</v>
      </c>
      <c r="Q238" s="17">
        <v>298.90000000000003</v>
      </c>
      <c r="R238" s="16">
        <v>54</v>
      </c>
      <c r="S238" s="42">
        <f>VENTAS[[#This Row],[Precio unitario]]*VENTAS[[#This Row],[Cantidad]]</f>
        <v>16140.600000000002</v>
      </c>
      <c r="T238" s="33">
        <v>1694.7630000000004</v>
      </c>
    </row>
    <row r="239" spans="2:20">
      <c r="B239" s="31">
        <v>1265</v>
      </c>
      <c r="C239" s="13">
        <v>43369</v>
      </c>
      <c r="D239" s="13">
        <f t="shared" si="6"/>
        <v>44100</v>
      </c>
      <c r="E239" s="14">
        <v>26</v>
      </c>
      <c r="F239" s="18" t="s">
        <v>91</v>
      </c>
      <c r="G239" s="16" t="s">
        <v>63</v>
      </c>
      <c r="H239" s="16" t="s">
        <v>63</v>
      </c>
      <c r="I239" s="16" t="s">
        <v>53</v>
      </c>
      <c r="J239" s="16" t="s">
        <v>143</v>
      </c>
      <c r="K239" s="13">
        <v>43371</v>
      </c>
      <c r="L239" s="13">
        <f t="shared" si="7"/>
        <v>44102</v>
      </c>
      <c r="M239" s="16" t="s">
        <v>140</v>
      </c>
      <c r="N239" s="16" t="s">
        <v>25</v>
      </c>
      <c r="O239" s="16" t="s">
        <v>44</v>
      </c>
      <c r="P239" s="16" t="s">
        <v>45</v>
      </c>
      <c r="Q239" s="17">
        <v>135.1</v>
      </c>
      <c r="R239" s="16">
        <v>43</v>
      </c>
      <c r="S239" s="42">
        <f>VENTAS[[#This Row],[Precio unitario]]*VENTAS[[#This Row],[Cantidad]]</f>
        <v>5809.3</v>
      </c>
      <c r="T239" s="33">
        <v>563.50210000000004</v>
      </c>
    </row>
    <row r="240" spans="2:20">
      <c r="B240" s="31">
        <v>1266</v>
      </c>
      <c r="C240" s="13">
        <v>43369</v>
      </c>
      <c r="D240" s="13">
        <f t="shared" si="6"/>
        <v>44100</v>
      </c>
      <c r="E240" s="14">
        <v>26</v>
      </c>
      <c r="F240" s="18" t="s">
        <v>87</v>
      </c>
      <c r="G240" s="16" t="s">
        <v>63</v>
      </c>
      <c r="H240" s="16" t="s">
        <v>63</v>
      </c>
      <c r="I240" s="16" t="s">
        <v>53</v>
      </c>
      <c r="J240" s="16" t="s">
        <v>143</v>
      </c>
      <c r="K240" s="13">
        <v>43371</v>
      </c>
      <c r="L240" s="13">
        <f t="shared" si="7"/>
        <v>44102</v>
      </c>
      <c r="M240" s="16" t="s">
        <v>140</v>
      </c>
      <c r="N240" s="16" t="s">
        <v>25</v>
      </c>
      <c r="O240" s="16" t="s">
        <v>66</v>
      </c>
      <c r="P240" s="16" t="s">
        <v>67</v>
      </c>
      <c r="Q240" s="17">
        <v>257.59999999999997</v>
      </c>
      <c r="R240" s="16">
        <v>71</v>
      </c>
      <c r="S240" s="42">
        <f>VENTAS[[#This Row],[Precio unitario]]*VENTAS[[#This Row],[Cantidad]]</f>
        <v>18289.599999999999</v>
      </c>
      <c r="T240" s="33">
        <v>1883.8287999999998</v>
      </c>
    </row>
    <row r="241" spans="2:20">
      <c r="B241" s="31">
        <v>1267</v>
      </c>
      <c r="C241" s="13">
        <v>43372</v>
      </c>
      <c r="D241" s="13">
        <f t="shared" si="6"/>
        <v>44103</v>
      </c>
      <c r="E241" s="14">
        <v>29</v>
      </c>
      <c r="F241" s="18" t="s">
        <v>86</v>
      </c>
      <c r="G241" s="16" t="s">
        <v>36</v>
      </c>
      <c r="H241" s="16" t="s">
        <v>37</v>
      </c>
      <c r="I241" s="16" t="s">
        <v>38</v>
      </c>
      <c r="J241" s="16" t="s">
        <v>142</v>
      </c>
      <c r="K241" s="13">
        <v>43374</v>
      </c>
      <c r="L241" s="13">
        <f t="shared" si="7"/>
        <v>44105</v>
      </c>
      <c r="M241" s="16" t="s">
        <v>139</v>
      </c>
      <c r="N241" s="16" t="s">
        <v>43</v>
      </c>
      <c r="O241" s="16" t="s">
        <v>19</v>
      </c>
      <c r="P241" s="16" t="s">
        <v>20</v>
      </c>
      <c r="Q241" s="17">
        <v>196</v>
      </c>
      <c r="R241" s="16">
        <v>50</v>
      </c>
      <c r="S241" s="42">
        <f>VENTAS[[#This Row],[Precio unitario]]*VENTAS[[#This Row],[Cantidad]]</f>
        <v>9800</v>
      </c>
      <c r="T241" s="33">
        <v>940.80000000000007</v>
      </c>
    </row>
    <row r="242" spans="2:20">
      <c r="B242" s="31">
        <v>1268</v>
      </c>
      <c r="C242" s="13">
        <v>43349</v>
      </c>
      <c r="D242" s="13">
        <f t="shared" si="6"/>
        <v>44080</v>
      </c>
      <c r="E242" s="14">
        <v>6</v>
      </c>
      <c r="F242" s="18" t="s">
        <v>123</v>
      </c>
      <c r="G242" s="16" t="s">
        <v>46</v>
      </c>
      <c r="H242" s="16" t="s">
        <v>47</v>
      </c>
      <c r="I242" s="16" t="s">
        <v>48</v>
      </c>
      <c r="J242" s="16" t="s">
        <v>33</v>
      </c>
      <c r="K242" s="13">
        <v>43351</v>
      </c>
      <c r="L242" s="13">
        <f t="shared" si="7"/>
        <v>44082</v>
      </c>
      <c r="M242" s="16" t="s">
        <v>140</v>
      </c>
      <c r="N242" s="16" t="s">
        <v>43</v>
      </c>
      <c r="O242" s="16" t="s">
        <v>39</v>
      </c>
      <c r="P242" s="16" t="s">
        <v>40</v>
      </c>
      <c r="Q242" s="17">
        <v>178.5</v>
      </c>
      <c r="R242" s="16">
        <v>96</v>
      </c>
      <c r="S242" s="42">
        <f>VENTAS[[#This Row],[Precio unitario]]*VENTAS[[#This Row],[Cantidad]]</f>
        <v>17136</v>
      </c>
      <c r="T242" s="33">
        <v>1679.328</v>
      </c>
    </row>
    <row r="243" spans="2:20">
      <c r="B243" s="31">
        <v>1270</v>
      </c>
      <c r="C243" s="13">
        <v>43347</v>
      </c>
      <c r="D243" s="13">
        <f t="shared" si="6"/>
        <v>44078</v>
      </c>
      <c r="E243" s="14">
        <v>4</v>
      </c>
      <c r="F243" s="18" t="s">
        <v>89</v>
      </c>
      <c r="G243" s="16" t="s">
        <v>23</v>
      </c>
      <c r="H243" s="16" t="s">
        <v>23</v>
      </c>
      <c r="I243" s="16" t="s">
        <v>24</v>
      </c>
      <c r="J243" s="16" t="s">
        <v>141</v>
      </c>
      <c r="K243" s="13">
        <v>43349</v>
      </c>
      <c r="L243" s="13">
        <f t="shared" si="7"/>
        <v>44080</v>
      </c>
      <c r="M243" s="16" t="s">
        <v>138</v>
      </c>
      <c r="N243" s="16" t="s">
        <v>25</v>
      </c>
      <c r="O243" s="16" t="s">
        <v>82</v>
      </c>
      <c r="P243" s="16" t="s">
        <v>60</v>
      </c>
      <c r="Q243" s="17">
        <v>1134</v>
      </c>
      <c r="R243" s="16">
        <v>54</v>
      </c>
      <c r="S243" s="42">
        <f>VENTAS[[#This Row],[Precio unitario]]*VENTAS[[#This Row],[Cantidad]]</f>
        <v>61236</v>
      </c>
      <c r="T243" s="33">
        <v>6123.6</v>
      </c>
    </row>
    <row r="244" spans="2:20">
      <c r="B244" s="31">
        <v>1271</v>
      </c>
      <c r="C244" s="13">
        <v>43347</v>
      </c>
      <c r="D244" s="13">
        <f t="shared" si="6"/>
        <v>44078</v>
      </c>
      <c r="E244" s="14">
        <v>4</v>
      </c>
      <c r="F244" s="18" t="s">
        <v>124</v>
      </c>
      <c r="G244" s="16" t="s">
        <v>23</v>
      </c>
      <c r="H244" s="16" t="s">
        <v>23</v>
      </c>
      <c r="I244" s="16" t="s">
        <v>24</v>
      </c>
      <c r="J244" s="16" t="s">
        <v>141</v>
      </c>
      <c r="K244" s="13">
        <v>43349</v>
      </c>
      <c r="L244" s="13">
        <f t="shared" si="7"/>
        <v>44080</v>
      </c>
      <c r="M244" s="16" t="s">
        <v>138</v>
      </c>
      <c r="N244" s="16" t="s">
        <v>25</v>
      </c>
      <c r="O244" s="16" t="s">
        <v>83</v>
      </c>
      <c r="P244" s="16" t="s">
        <v>84</v>
      </c>
      <c r="Q244" s="17">
        <v>98</v>
      </c>
      <c r="R244" s="16">
        <v>39</v>
      </c>
      <c r="S244" s="42">
        <f>VENTAS[[#This Row],[Precio unitario]]*VENTAS[[#This Row],[Cantidad]]</f>
        <v>3822</v>
      </c>
      <c r="T244" s="33">
        <v>382.2</v>
      </c>
    </row>
    <row r="245" spans="2:20">
      <c r="B245" s="31">
        <v>1273</v>
      </c>
      <c r="C245" s="13">
        <v>43351</v>
      </c>
      <c r="D245" s="13">
        <f t="shared" si="6"/>
        <v>44082</v>
      </c>
      <c r="E245" s="14">
        <v>8</v>
      </c>
      <c r="F245" s="18" t="s">
        <v>92</v>
      </c>
      <c r="G245" s="16" t="s">
        <v>30</v>
      </c>
      <c r="H245" s="16" t="s">
        <v>31</v>
      </c>
      <c r="I245" s="16" t="s">
        <v>32</v>
      </c>
      <c r="J245" s="16" t="s">
        <v>33</v>
      </c>
      <c r="K245" s="13">
        <v>43353</v>
      </c>
      <c r="L245" s="13">
        <f t="shared" si="7"/>
        <v>44084</v>
      </c>
      <c r="M245" s="16" t="s">
        <v>140</v>
      </c>
      <c r="N245" s="16" t="s">
        <v>25</v>
      </c>
      <c r="O245" s="16" t="s">
        <v>72</v>
      </c>
      <c r="P245" s="16" t="s">
        <v>73</v>
      </c>
      <c r="Q245" s="17">
        <v>487.19999999999993</v>
      </c>
      <c r="R245" s="16">
        <v>63</v>
      </c>
      <c r="S245" s="42">
        <f>VENTAS[[#This Row],[Precio unitario]]*VENTAS[[#This Row],[Cantidad]]</f>
        <v>30693.599999999995</v>
      </c>
      <c r="T245" s="33">
        <v>3222.828</v>
      </c>
    </row>
    <row r="246" spans="2:20">
      <c r="B246" s="31">
        <v>1276</v>
      </c>
      <c r="C246" s="13">
        <v>43346</v>
      </c>
      <c r="D246" s="13">
        <f t="shared" si="6"/>
        <v>44077</v>
      </c>
      <c r="E246" s="14">
        <v>3</v>
      </c>
      <c r="F246" s="18" t="s">
        <v>125</v>
      </c>
      <c r="G246" s="16" t="s">
        <v>41</v>
      </c>
      <c r="H246" s="16" t="s">
        <v>42</v>
      </c>
      <c r="I246" s="16" t="s">
        <v>18</v>
      </c>
      <c r="J246" s="16" t="s">
        <v>142</v>
      </c>
      <c r="K246" s="13">
        <v>43348</v>
      </c>
      <c r="L246" s="13">
        <f t="shared" si="7"/>
        <v>44079</v>
      </c>
      <c r="M246" s="16" t="s">
        <v>139</v>
      </c>
      <c r="N246" s="16" t="s">
        <v>43</v>
      </c>
      <c r="O246" s="16" t="s">
        <v>74</v>
      </c>
      <c r="P246" s="16" t="s">
        <v>62</v>
      </c>
      <c r="Q246" s="17">
        <v>140</v>
      </c>
      <c r="R246" s="16">
        <v>71</v>
      </c>
      <c r="S246" s="42">
        <f>VENTAS[[#This Row],[Precio unitario]]*VENTAS[[#This Row],[Cantidad]]</f>
        <v>9940</v>
      </c>
      <c r="T246" s="33">
        <v>1023.8199999999999</v>
      </c>
    </row>
    <row r="247" spans="2:20">
      <c r="B247" s="31">
        <v>1277</v>
      </c>
      <c r="C247" s="13">
        <v>43346</v>
      </c>
      <c r="D247" s="13">
        <f t="shared" si="6"/>
        <v>44077</v>
      </c>
      <c r="E247" s="14">
        <v>3</v>
      </c>
      <c r="F247" s="15" t="s">
        <v>85</v>
      </c>
      <c r="G247" s="16" t="s">
        <v>41</v>
      </c>
      <c r="H247" s="16" t="s">
        <v>42</v>
      </c>
      <c r="I247" s="16" t="s">
        <v>18</v>
      </c>
      <c r="J247" s="16" t="s">
        <v>142</v>
      </c>
      <c r="K247" s="13">
        <v>43348</v>
      </c>
      <c r="L247" s="13">
        <f t="shared" si="7"/>
        <v>44079</v>
      </c>
      <c r="M247" s="16" t="s">
        <v>139</v>
      </c>
      <c r="N247" s="16" t="s">
        <v>43</v>
      </c>
      <c r="O247" s="16" t="s">
        <v>49</v>
      </c>
      <c r="P247" s="16" t="s">
        <v>50</v>
      </c>
      <c r="Q247" s="17">
        <v>560</v>
      </c>
      <c r="R247" s="16">
        <v>88</v>
      </c>
      <c r="S247" s="42">
        <f>VENTAS[[#This Row],[Precio unitario]]*VENTAS[[#This Row],[Cantidad]]</f>
        <v>49280</v>
      </c>
      <c r="T247" s="33">
        <v>5125.1200000000008</v>
      </c>
    </row>
    <row r="248" spans="2:20">
      <c r="B248" s="31">
        <v>1281</v>
      </c>
      <c r="C248" s="13">
        <v>43353</v>
      </c>
      <c r="D248" s="13">
        <f t="shared" si="6"/>
        <v>44084</v>
      </c>
      <c r="E248" s="14">
        <v>10</v>
      </c>
      <c r="F248" s="15" t="s">
        <v>86</v>
      </c>
      <c r="G248" s="16" t="s">
        <v>54</v>
      </c>
      <c r="H248" s="16" t="s">
        <v>55</v>
      </c>
      <c r="I248" s="16" t="s">
        <v>56</v>
      </c>
      <c r="J248" s="16" t="s">
        <v>141</v>
      </c>
      <c r="K248" s="13">
        <v>43355</v>
      </c>
      <c r="L248" s="13">
        <f t="shared" si="7"/>
        <v>44086</v>
      </c>
      <c r="M248" s="16" t="s">
        <v>139</v>
      </c>
      <c r="N248" s="16" t="s">
        <v>25</v>
      </c>
      <c r="O248" s="16" t="s">
        <v>75</v>
      </c>
      <c r="P248" s="16" t="s">
        <v>22</v>
      </c>
      <c r="Q248" s="17">
        <v>140</v>
      </c>
      <c r="R248" s="16">
        <v>59</v>
      </c>
      <c r="S248" s="42">
        <f>VENTAS[[#This Row],[Precio unitario]]*VENTAS[[#This Row],[Cantidad]]</f>
        <v>8260</v>
      </c>
      <c r="T248" s="33">
        <v>834.26</v>
      </c>
    </row>
    <row r="249" spans="2:20">
      <c r="B249" s="31">
        <v>1282</v>
      </c>
      <c r="C249" s="13">
        <v>43379</v>
      </c>
      <c r="D249" s="13">
        <f t="shared" si="6"/>
        <v>44110</v>
      </c>
      <c r="E249" s="14">
        <v>6</v>
      </c>
      <c r="F249" s="15" t="s">
        <v>87</v>
      </c>
      <c r="G249" s="16" t="s">
        <v>46</v>
      </c>
      <c r="H249" s="16" t="s">
        <v>47</v>
      </c>
      <c r="I249" s="16" t="s">
        <v>48</v>
      </c>
      <c r="J249" s="16" t="s">
        <v>33</v>
      </c>
      <c r="K249" s="13">
        <v>43381</v>
      </c>
      <c r="L249" s="13">
        <f t="shared" si="7"/>
        <v>44112</v>
      </c>
      <c r="M249" s="16" t="s">
        <v>139</v>
      </c>
      <c r="N249" s="16" t="s">
        <v>25</v>
      </c>
      <c r="O249" s="16" t="s">
        <v>49</v>
      </c>
      <c r="P249" s="16" t="s">
        <v>50</v>
      </c>
      <c r="Q249" s="17">
        <v>560</v>
      </c>
      <c r="R249" s="16">
        <v>94</v>
      </c>
      <c r="S249" s="42">
        <f>VENTAS[[#This Row],[Precio unitario]]*VENTAS[[#This Row],[Cantidad]]</f>
        <v>52640</v>
      </c>
      <c r="T249" s="33">
        <v>5264</v>
      </c>
    </row>
    <row r="250" spans="2:20">
      <c r="B250" s="31">
        <v>1283</v>
      </c>
      <c r="C250" s="13">
        <v>43401</v>
      </c>
      <c r="D250" s="13">
        <f t="shared" si="6"/>
        <v>44132</v>
      </c>
      <c r="E250" s="14">
        <v>28</v>
      </c>
      <c r="F250" s="15" t="s">
        <v>88</v>
      </c>
      <c r="G250" s="16" t="s">
        <v>51</v>
      </c>
      <c r="H250" s="16" t="s">
        <v>52</v>
      </c>
      <c r="I250" s="16" t="s">
        <v>53</v>
      </c>
      <c r="J250" s="16" t="s">
        <v>143</v>
      </c>
      <c r="K250" s="13">
        <v>43403</v>
      </c>
      <c r="L250" s="13">
        <f t="shared" si="7"/>
        <v>44134</v>
      </c>
      <c r="M250" s="16" t="s">
        <v>140</v>
      </c>
      <c r="N250" s="16" t="s">
        <v>43</v>
      </c>
      <c r="O250" s="16" t="s">
        <v>29</v>
      </c>
      <c r="P250" s="16" t="s">
        <v>20</v>
      </c>
      <c r="Q250" s="17">
        <v>644</v>
      </c>
      <c r="R250" s="16">
        <v>86</v>
      </c>
      <c r="S250" s="42">
        <f>VENTAS[[#This Row],[Precio unitario]]*VENTAS[[#This Row],[Cantidad]]</f>
        <v>55384</v>
      </c>
      <c r="T250" s="33">
        <v>5316.8640000000005</v>
      </c>
    </row>
    <row r="251" spans="2:20">
      <c r="B251" s="31">
        <v>1284</v>
      </c>
      <c r="C251" s="13">
        <v>43381</v>
      </c>
      <c r="D251" s="13">
        <f t="shared" si="6"/>
        <v>44112</v>
      </c>
      <c r="E251" s="14">
        <v>8</v>
      </c>
      <c r="F251" s="15" t="s">
        <v>89</v>
      </c>
      <c r="G251" s="16" t="s">
        <v>30</v>
      </c>
      <c r="H251" s="16" t="s">
        <v>31</v>
      </c>
      <c r="I251" s="16" t="s">
        <v>32</v>
      </c>
      <c r="J251" s="16" t="s">
        <v>33</v>
      </c>
      <c r="K251" s="13">
        <v>43383</v>
      </c>
      <c r="L251" s="13">
        <f t="shared" si="7"/>
        <v>44114</v>
      </c>
      <c r="M251" s="16" t="s">
        <v>140</v>
      </c>
      <c r="N251" s="16" t="s">
        <v>43</v>
      </c>
      <c r="O251" s="16" t="s">
        <v>39</v>
      </c>
      <c r="P251" s="16" t="s">
        <v>40</v>
      </c>
      <c r="Q251" s="17">
        <v>178.5</v>
      </c>
      <c r="R251" s="16">
        <v>61</v>
      </c>
      <c r="S251" s="42">
        <f>VENTAS[[#This Row],[Precio unitario]]*VENTAS[[#This Row],[Cantidad]]</f>
        <v>10888.5</v>
      </c>
      <c r="T251" s="33">
        <v>1099.7384999999999</v>
      </c>
    </row>
    <row r="252" spans="2:20">
      <c r="B252" s="31">
        <v>1285</v>
      </c>
      <c r="C252" s="13">
        <v>43383</v>
      </c>
      <c r="D252" s="13">
        <f t="shared" si="6"/>
        <v>44114</v>
      </c>
      <c r="E252" s="14">
        <v>10</v>
      </c>
      <c r="F252" s="15" t="s">
        <v>90</v>
      </c>
      <c r="G252" s="16" t="s">
        <v>54</v>
      </c>
      <c r="H252" s="16" t="s">
        <v>55</v>
      </c>
      <c r="I252" s="16" t="s">
        <v>56</v>
      </c>
      <c r="J252" s="16" t="s">
        <v>141</v>
      </c>
      <c r="K252" s="13">
        <v>43385</v>
      </c>
      <c r="L252" s="13">
        <f t="shared" si="7"/>
        <v>44116</v>
      </c>
      <c r="M252" s="16" t="s">
        <v>139</v>
      </c>
      <c r="N252" s="16" t="s">
        <v>25</v>
      </c>
      <c r="O252" s="16" t="s">
        <v>57</v>
      </c>
      <c r="P252" s="16" t="s">
        <v>20</v>
      </c>
      <c r="Q252" s="17">
        <v>41.86</v>
      </c>
      <c r="R252" s="16">
        <v>32</v>
      </c>
      <c r="S252" s="42">
        <f>VENTAS[[#This Row],[Precio unitario]]*VENTAS[[#This Row],[Cantidad]]</f>
        <v>1339.52</v>
      </c>
      <c r="T252" s="33">
        <v>136.63104000000001</v>
      </c>
    </row>
    <row r="253" spans="2:20">
      <c r="B253" s="31">
        <v>1286</v>
      </c>
      <c r="C253" s="13">
        <v>43380</v>
      </c>
      <c r="D253" s="13">
        <f t="shared" si="6"/>
        <v>44111</v>
      </c>
      <c r="E253" s="14">
        <v>7</v>
      </c>
      <c r="F253" s="15" t="s">
        <v>91</v>
      </c>
      <c r="G253" s="16" t="s">
        <v>58</v>
      </c>
      <c r="H253" s="16" t="s">
        <v>58</v>
      </c>
      <c r="I253" s="16" t="s">
        <v>32</v>
      </c>
      <c r="J253" s="16" t="s">
        <v>33</v>
      </c>
      <c r="K253" s="13"/>
      <c r="L253" s="13">
        <f t="shared" si="7"/>
        <v>731</v>
      </c>
      <c r="M253" s="16"/>
      <c r="N253" s="16" t="s">
        <v>25</v>
      </c>
      <c r="O253" s="16" t="s">
        <v>29</v>
      </c>
      <c r="P253" s="16" t="s">
        <v>20</v>
      </c>
      <c r="Q253" s="17">
        <v>644</v>
      </c>
      <c r="R253" s="16">
        <v>62</v>
      </c>
      <c r="S253" s="42">
        <f>VENTAS[[#This Row],[Precio unitario]]*VENTAS[[#This Row],[Cantidad]]</f>
        <v>39928</v>
      </c>
      <c r="T253" s="33">
        <v>4072.6559999999999</v>
      </c>
    </row>
    <row r="254" spans="2:20">
      <c r="B254" s="31">
        <v>1287</v>
      </c>
      <c r="C254" s="13">
        <v>43383</v>
      </c>
      <c r="D254" s="13">
        <f t="shared" si="6"/>
        <v>44114</v>
      </c>
      <c r="E254" s="14">
        <v>10</v>
      </c>
      <c r="F254" s="15" t="s">
        <v>92</v>
      </c>
      <c r="G254" s="16" t="s">
        <v>54</v>
      </c>
      <c r="H254" s="16" t="s">
        <v>55</v>
      </c>
      <c r="I254" s="16" t="s">
        <v>56</v>
      </c>
      <c r="J254" s="16" t="s">
        <v>141</v>
      </c>
      <c r="K254" s="13">
        <v>43385</v>
      </c>
      <c r="L254" s="13">
        <f t="shared" si="7"/>
        <v>44116</v>
      </c>
      <c r="M254" s="16" t="s">
        <v>138</v>
      </c>
      <c r="N254" s="16" t="s">
        <v>25</v>
      </c>
      <c r="O254" s="16" t="s">
        <v>59</v>
      </c>
      <c r="P254" s="16" t="s">
        <v>60</v>
      </c>
      <c r="Q254" s="17">
        <v>350</v>
      </c>
      <c r="R254" s="16">
        <v>60</v>
      </c>
      <c r="S254" s="42">
        <f>VENTAS[[#This Row],[Precio unitario]]*VENTAS[[#This Row],[Cantidad]]</f>
        <v>21000</v>
      </c>
      <c r="T254" s="33">
        <v>2163</v>
      </c>
    </row>
    <row r="255" spans="2:20">
      <c r="B255" s="31">
        <v>1288</v>
      </c>
      <c r="C255" s="13">
        <v>43383</v>
      </c>
      <c r="D255" s="13">
        <f t="shared" si="6"/>
        <v>44114</v>
      </c>
      <c r="E255" s="14">
        <v>10</v>
      </c>
      <c r="F255" s="15" t="s">
        <v>93</v>
      </c>
      <c r="G255" s="16" t="s">
        <v>54</v>
      </c>
      <c r="H255" s="16" t="s">
        <v>55</v>
      </c>
      <c r="I255" s="16" t="s">
        <v>56</v>
      </c>
      <c r="J255" s="16" t="s">
        <v>141</v>
      </c>
      <c r="K255" s="13">
        <v>43385</v>
      </c>
      <c r="L255" s="13">
        <f t="shared" si="7"/>
        <v>44116</v>
      </c>
      <c r="M255" s="16" t="s">
        <v>138</v>
      </c>
      <c r="N255" s="16" t="s">
        <v>25</v>
      </c>
      <c r="O255" s="16" t="s">
        <v>61</v>
      </c>
      <c r="P255" s="16" t="s">
        <v>62</v>
      </c>
      <c r="Q255" s="17">
        <v>308</v>
      </c>
      <c r="R255" s="16">
        <v>51</v>
      </c>
      <c r="S255" s="42">
        <f>VENTAS[[#This Row],[Precio unitario]]*VENTAS[[#This Row],[Cantidad]]</f>
        <v>15708</v>
      </c>
      <c r="T255" s="33">
        <v>1539.384</v>
      </c>
    </row>
    <row r="256" spans="2:20">
      <c r="B256" s="31">
        <v>1289</v>
      </c>
      <c r="C256" s="13">
        <v>43383</v>
      </c>
      <c r="D256" s="13">
        <f t="shared" si="6"/>
        <v>44114</v>
      </c>
      <c r="E256" s="14">
        <v>10</v>
      </c>
      <c r="F256" s="15" t="s">
        <v>94</v>
      </c>
      <c r="G256" s="16" t="s">
        <v>54</v>
      </c>
      <c r="H256" s="16" t="s">
        <v>55</v>
      </c>
      <c r="I256" s="16" t="s">
        <v>56</v>
      </c>
      <c r="J256" s="16" t="s">
        <v>141</v>
      </c>
      <c r="K256" s="13">
        <v>43385</v>
      </c>
      <c r="L256" s="13">
        <f t="shared" si="7"/>
        <v>44116</v>
      </c>
      <c r="M256" s="16" t="s">
        <v>138</v>
      </c>
      <c r="N256" s="16" t="s">
        <v>25</v>
      </c>
      <c r="O256" s="16" t="s">
        <v>34</v>
      </c>
      <c r="P256" s="16" t="s">
        <v>35</v>
      </c>
      <c r="Q256" s="17">
        <v>128.79999999999998</v>
      </c>
      <c r="R256" s="16">
        <v>49</v>
      </c>
      <c r="S256" s="42">
        <f>VENTAS[[#This Row],[Precio unitario]]*VENTAS[[#This Row],[Cantidad]]</f>
        <v>6311.1999999999989</v>
      </c>
      <c r="T256" s="33">
        <v>624.80880000000002</v>
      </c>
    </row>
    <row r="257" spans="2:20">
      <c r="B257" s="31">
        <v>1290</v>
      </c>
      <c r="C257" s="13">
        <v>43384</v>
      </c>
      <c r="D257" s="13">
        <f t="shared" si="6"/>
        <v>44115</v>
      </c>
      <c r="E257" s="14">
        <v>11</v>
      </c>
      <c r="F257" s="15" t="s">
        <v>95</v>
      </c>
      <c r="G257" s="16" t="s">
        <v>63</v>
      </c>
      <c r="H257" s="16" t="s">
        <v>63</v>
      </c>
      <c r="I257" s="16" t="s">
        <v>53</v>
      </c>
      <c r="J257" s="16" t="s">
        <v>143</v>
      </c>
      <c r="K257" s="13"/>
      <c r="L257" s="13">
        <f t="shared" si="7"/>
        <v>731</v>
      </c>
      <c r="M257" s="16" t="s">
        <v>140</v>
      </c>
      <c r="N257" s="16" t="s">
        <v>25</v>
      </c>
      <c r="O257" s="16" t="s">
        <v>21</v>
      </c>
      <c r="P257" s="16" t="s">
        <v>22</v>
      </c>
      <c r="Q257" s="17">
        <v>49</v>
      </c>
      <c r="R257" s="16">
        <v>20</v>
      </c>
      <c r="S257" s="42">
        <f>VENTAS[[#This Row],[Precio unitario]]*VENTAS[[#This Row],[Cantidad]]</f>
        <v>980</v>
      </c>
      <c r="T257" s="33">
        <v>97.02</v>
      </c>
    </row>
    <row r="258" spans="2:20">
      <c r="B258" s="31">
        <v>1291</v>
      </c>
      <c r="C258" s="13">
        <v>43384</v>
      </c>
      <c r="D258" s="13">
        <f t="shared" si="6"/>
        <v>44115</v>
      </c>
      <c r="E258" s="14">
        <v>11</v>
      </c>
      <c r="F258" s="15" t="s">
        <v>96</v>
      </c>
      <c r="G258" s="16" t="s">
        <v>63</v>
      </c>
      <c r="H258" s="16" t="s">
        <v>63</v>
      </c>
      <c r="I258" s="16" t="s">
        <v>53</v>
      </c>
      <c r="J258" s="16" t="s">
        <v>143</v>
      </c>
      <c r="K258" s="13"/>
      <c r="L258" s="13">
        <f t="shared" si="7"/>
        <v>731</v>
      </c>
      <c r="M258" s="16" t="s">
        <v>140</v>
      </c>
      <c r="N258" s="16" t="s">
        <v>25</v>
      </c>
      <c r="O258" s="16" t="s">
        <v>57</v>
      </c>
      <c r="P258" s="16" t="s">
        <v>20</v>
      </c>
      <c r="Q258" s="17">
        <v>41.86</v>
      </c>
      <c r="R258" s="16">
        <v>49</v>
      </c>
      <c r="S258" s="42">
        <f>VENTAS[[#This Row],[Precio unitario]]*VENTAS[[#This Row],[Cantidad]]</f>
        <v>2051.14</v>
      </c>
      <c r="T258" s="33">
        <v>205.11400000000003</v>
      </c>
    </row>
    <row r="259" spans="2:20">
      <c r="B259" s="31">
        <v>1292</v>
      </c>
      <c r="C259" s="13">
        <v>43374</v>
      </c>
      <c r="D259" s="13">
        <f t="shared" si="6"/>
        <v>44105</v>
      </c>
      <c r="E259" s="14">
        <v>1</v>
      </c>
      <c r="F259" s="15" t="s">
        <v>97</v>
      </c>
      <c r="G259" s="16" t="s">
        <v>64</v>
      </c>
      <c r="H259" s="16" t="s">
        <v>65</v>
      </c>
      <c r="I259" s="16" t="s">
        <v>32</v>
      </c>
      <c r="J259" s="16" t="s">
        <v>33</v>
      </c>
      <c r="K259" s="13"/>
      <c r="L259" s="13">
        <f t="shared" si="7"/>
        <v>731</v>
      </c>
      <c r="M259" s="16"/>
      <c r="N259" s="16" t="s">
        <v>25</v>
      </c>
      <c r="O259" s="16" t="s">
        <v>28</v>
      </c>
      <c r="P259" s="16" t="s">
        <v>20</v>
      </c>
      <c r="Q259" s="17">
        <v>252</v>
      </c>
      <c r="R259" s="16">
        <v>22</v>
      </c>
      <c r="S259" s="42">
        <f>VENTAS[[#This Row],[Precio unitario]]*VENTAS[[#This Row],[Cantidad]]</f>
        <v>5544</v>
      </c>
      <c r="T259" s="33">
        <v>532.22399999999993</v>
      </c>
    </row>
    <row r="260" spans="2:20">
      <c r="B260" s="31">
        <v>1293</v>
      </c>
      <c r="C260" s="13">
        <v>43374</v>
      </c>
      <c r="D260" s="13">
        <f t="shared" si="6"/>
        <v>44105</v>
      </c>
      <c r="E260" s="14">
        <v>1</v>
      </c>
      <c r="F260" s="15" t="s">
        <v>98</v>
      </c>
      <c r="G260" s="16" t="s">
        <v>64</v>
      </c>
      <c r="H260" s="16" t="s">
        <v>65</v>
      </c>
      <c r="I260" s="16" t="s">
        <v>32</v>
      </c>
      <c r="J260" s="16" t="s">
        <v>33</v>
      </c>
      <c r="K260" s="13"/>
      <c r="L260" s="13">
        <f t="shared" si="7"/>
        <v>731</v>
      </c>
      <c r="M260" s="16"/>
      <c r="N260" s="16" t="s">
        <v>25</v>
      </c>
      <c r="O260" s="16" t="s">
        <v>29</v>
      </c>
      <c r="P260" s="16" t="s">
        <v>20</v>
      </c>
      <c r="Q260" s="17">
        <v>644</v>
      </c>
      <c r="R260" s="16">
        <v>73</v>
      </c>
      <c r="S260" s="42">
        <f>VENTAS[[#This Row],[Precio unitario]]*VENTAS[[#This Row],[Cantidad]]</f>
        <v>47012</v>
      </c>
      <c r="T260" s="33">
        <v>4748.2120000000004</v>
      </c>
    </row>
    <row r="261" spans="2:20">
      <c r="B261" s="31">
        <v>1294</v>
      </c>
      <c r="C261" s="13">
        <v>43374</v>
      </c>
      <c r="D261" s="13">
        <f t="shared" si="6"/>
        <v>44105</v>
      </c>
      <c r="E261" s="14">
        <v>1</v>
      </c>
      <c r="F261" s="15" t="s">
        <v>99</v>
      </c>
      <c r="G261" s="16" t="s">
        <v>64</v>
      </c>
      <c r="H261" s="16" t="s">
        <v>65</v>
      </c>
      <c r="I261" s="16" t="s">
        <v>32</v>
      </c>
      <c r="J261" s="16" t="s">
        <v>33</v>
      </c>
      <c r="K261" s="13"/>
      <c r="L261" s="13">
        <f t="shared" si="7"/>
        <v>731</v>
      </c>
      <c r="M261" s="16"/>
      <c r="N261" s="16" t="s">
        <v>25</v>
      </c>
      <c r="O261" s="16" t="s">
        <v>57</v>
      </c>
      <c r="P261" s="16" t="s">
        <v>20</v>
      </c>
      <c r="Q261" s="17">
        <v>41.86</v>
      </c>
      <c r="R261" s="16">
        <v>85</v>
      </c>
      <c r="S261" s="42">
        <f>VENTAS[[#This Row],[Precio unitario]]*VENTAS[[#This Row],[Cantidad]]</f>
        <v>3558.1</v>
      </c>
      <c r="T261" s="33">
        <v>345.13570000000004</v>
      </c>
    </row>
    <row r="262" spans="2:20">
      <c r="B262" s="31">
        <v>1295</v>
      </c>
      <c r="C262" s="13">
        <v>43401</v>
      </c>
      <c r="D262" s="13">
        <f t="shared" si="6"/>
        <v>44132</v>
      </c>
      <c r="E262" s="14">
        <v>28</v>
      </c>
      <c r="F262" s="15" t="s">
        <v>100</v>
      </c>
      <c r="G262" s="16" t="s">
        <v>51</v>
      </c>
      <c r="H262" s="16" t="s">
        <v>52</v>
      </c>
      <c r="I262" s="16" t="s">
        <v>53</v>
      </c>
      <c r="J262" s="16" t="s">
        <v>143</v>
      </c>
      <c r="K262" s="13">
        <v>43403</v>
      </c>
      <c r="L262" s="13">
        <f t="shared" si="7"/>
        <v>44134</v>
      </c>
      <c r="M262" s="16" t="s">
        <v>140</v>
      </c>
      <c r="N262" s="16" t="s">
        <v>25</v>
      </c>
      <c r="O262" s="16" t="s">
        <v>44</v>
      </c>
      <c r="P262" s="16" t="s">
        <v>45</v>
      </c>
      <c r="Q262" s="17">
        <v>135.1</v>
      </c>
      <c r="R262" s="16">
        <v>44</v>
      </c>
      <c r="S262" s="42">
        <f>VENTAS[[#This Row],[Precio unitario]]*VENTAS[[#This Row],[Cantidad]]</f>
        <v>5944.4</v>
      </c>
      <c r="T262" s="33">
        <v>618.21760000000006</v>
      </c>
    </row>
    <row r="263" spans="2:20">
      <c r="B263" s="31">
        <v>1296</v>
      </c>
      <c r="C263" s="13">
        <v>43401</v>
      </c>
      <c r="D263" s="13">
        <f t="shared" ref="D263:D326" si="8">EDATE(C263,24)</f>
        <v>44132</v>
      </c>
      <c r="E263" s="14">
        <v>28</v>
      </c>
      <c r="F263" s="15" t="s">
        <v>101</v>
      </c>
      <c r="G263" s="16" t="s">
        <v>51</v>
      </c>
      <c r="H263" s="16" t="s">
        <v>52</v>
      </c>
      <c r="I263" s="16" t="s">
        <v>53</v>
      </c>
      <c r="J263" s="16" t="s">
        <v>143</v>
      </c>
      <c r="K263" s="13">
        <v>43403</v>
      </c>
      <c r="L263" s="13">
        <f t="shared" ref="L263:L326" si="9">EDATE(K263,24)</f>
        <v>44134</v>
      </c>
      <c r="M263" s="16" t="s">
        <v>140</v>
      </c>
      <c r="N263" s="16" t="s">
        <v>25</v>
      </c>
      <c r="O263" s="16" t="s">
        <v>66</v>
      </c>
      <c r="P263" s="16" t="s">
        <v>67</v>
      </c>
      <c r="Q263" s="17">
        <v>257.59999999999997</v>
      </c>
      <c r="R263" s="16">
        <v>24</v>
      </c>
      <c r="S263" s="42">
        <f>VENTAS[[#This Row],[Precio unitario]]*VENTAS[[#This Row],[Cantidad]]</f>
        <v>6182.4</v>
      </c>
      <c r="T263" s="33">
        <v>599.69279999999992</v>
      </c>
    </row>
    <row r="264" spans="2:20">
      <c r="B264" s="31">
        <v>1297</v>
      </c>
      <c r="C264" s="13">
        <v>43382</v>
      </c>
      <c r="D264" s="13">
        <f t="shared" si="8"/>
        <v>44113</v>
      </c>
      <c r="E264" s="14">
        <v>9</v>
      </c>
      <c r="F264" s="15" t="s">
        <v>102</v>
      </c>
      <c r="G264" s="16" t="s">
        <v>68</v>
      </c>
      <c r="H264" s="16" t="s">
        <v>37</v>
      </c>
      <c r="I264" s="16" t="s">
        <v>69</v>
      </c>
      <c r="J264" s="16" t="s">
        <v>142</v>
      </c>
      <c r="K264" s="13">
        <v>43384</v>
      </c>
      <c r="L264" s="13">
        <f t="shared" si="9"/>
        <v>44115</v>
      </c>
      <c r="M264" s="16" t="s">
        <v>138</v>
      </c>
      <c r="N264" s="16" t="s">
        <v>43</v>
      </c>
      <c r="O264" s="16" t="s">
        <v>70</v>
      </c>
      <c r="P264" s="16" t="s">
        <v>71</v>
      </c>
      <c r="Q264" s="17">
        <v>273</v>
      </c>
      <c r="R264" s="16">
        <v>64</v>
      </c>
      <c r="S264" s="42">
        <f>VENTAS[[#This Row],[Precio unitario]]*VENTAS[[#This Row],[Cantidad]]</f>
        <v>17472</v>
      </c>
      <c r="T264" s="33">
        <v>1677.3120000000001</v>
      </c>
    </row>
    <row r="265" spans="2:20">
      <c r="B265" s="31">
        <v>1298</v>
      </c>
      <c r="C265" s="13">
        <v>43382</v>
      </c>
      <c r="D265" s="13">
        <f t="shared" si="8"/>
        <v>44113</v>
      </c>
      <c r="E265" s="14">
        <v>9</v>
      </c>
      <c r="F265" s="15" t="s">
        <v>103</v>
      </c>
      <c r="G265" s="16" t="s">
        <v>68</v>
      </c>
      <c r="H265" s="16" t="s">
        <v>37</v>
      </c>
      <c r="I265" s="16" t="s">
        <v>69</v>
      </c>
      <c r="J265" s="16" t="s">
        <v>142</v>
      </c>
      <c r="K265" s="13">
        <v>43384</v>
      </c>
      <c r="L265" s="13">
        <f t="shared" si="9"/>
        <v>44115</v>
      </c>
      <c r="M265" s="16" t="s">
        <v>138</v>
      </c>
      <c r="N265" s="16" t="s">
        <v>43</v>
      </c>
      <c r="O265" s="16" t="s">
        <v>72</v>
      </c>
      <c r="P265" s="16" t="s">
        <v>73</v>
      </c>
      <c r="Q265" s="17">
        <v>487.19999999999993</v>
      </c>
      <c r="R265" s="16">
        <v>70</v>
      </c>
      <c r="S265" s="42">
        <f>VENTAS[[#This Row],[Precio unitario]]*VENTAS[[#This Row],[Cantidad]]</f>
        <v>34103.999999999993</v>
      </c>
      <c r="T265" s="33">
        <v>3444.5040000000004</v>
      </c>
    </row>
    <row r="266" spans="2:20">
      <c r="B266" s="31">
        <v>1299</v>
      </c>
      <c r="C266" s="13">
        <v>43379</v>
      </c>
      <c r="D266" s="13">
        <f t="shared" si="8"/>
        <v>44110</v>
      </c>
      <c r="E266" s="14">
        <v>6</v>
      </c>
      <c r="F266" s="15" t="s">
        <v>104</v>
      </c>
      <c r="G266" s="16" t="s">
        <v>46</v>
      </c>
      <c r="H266" s="16" t="s">
        <v>47</v>
      </c>
      <c r="I266" s="16" t="s">
        <v>48</v>
      </c>
      <c r="J266" s="16" t="s">
        <v>33</v>
      </c>
      <c r="K266" s="13">
        <v>43381</v>
      </c>
      <c r="L266" s="13">
        <f t="shared" si="9"/>
        <v>44112</v>
      </c>
      <c r="M266" s="16" t="s">
        <v>139</v>
      </c>
      <c r="N266" s="16" t="s">
        <v>25</v>
      </c>
      <c r="O266" s="16" t="s">
        <v>19</v>
      </c>
      <c r="P266" s="16" t="s">
        <v>20</v>
      </c>
      <c r="Q266" s="17">
        <v>196</v>
      </c>
      <c r="R266" s="16">
        <v>98</v>
      </c>
      <c r="S266" s="42">
        <f>VENTAS[[#This Row],[Precio unitario]]*VENTAS[[#This Row],[Cantidad]]</f>
        <v>19208</v>
      </c>
      <c r="T266" s="33">
        <v>1940.0080000000005</v>
      </c>
    </row>
    <row r="267" spans="2:20">
      <c r="B267" s="31">
        <v>1300</v>
      </c>
      <c r="C267" s="13">
        <v>43381</v>
      </c>
      <c r="D267" s="13">
        <f t="shared" si="8"/>
        <v>44112</v>
      </c>
      <c r="E267" s="14">
        <v>8</v>
      </c>
      <c r="F267" s="15" t="s">
        <v>105</v>
      </c>
      <c r="G267" s="16" t="s">
        <v>30</v>
      </c>
      <c r="H267" s="16" t="s">
        <v>31</v>
      </c>
      <c r="I267" s="16" t="s">
        <v>32</v>
      </c>
      <c r="J267" s="16" t="s">
        <v>33</v>
      </c>
      <c r="K267" s="13">
        <v>43383</v>
      </c>
      <c r="L267" s="13">
        <f t="shared" si="9"/>
        <v>44114</v>
      </c>
      <c r="M267" s="16" t="s">
        <v>139</v>
      </c>
      <c r="N267" s="16" t="s">
        <v>43</v>
      </c>
      <c r="O267" s="16" t="s">
        <v>49</v>
      </c>
      <c r="P267" s="16" t="s">
        <v>50</v>
      </c>
      <c r="Q267" s="17">
        <v>560</v>
      </c>
      <c r="R267" s="16">
        <v>48</v>
      </c>
      <c r="S267" s="42">
        <f>VENTAS[[#This Row],[Precio unitario]]*VENTAS[[#This Row],[Cantidad]]</f>
        <v>26880</v>
      </c>
      <c r="T267" s="33">
        <v>2634.24</v>
      </c>
    </row>
    <row r="268" spans="2:20">
      <c r="B268" s="31">
        <v>1301</v>
      </c>
      <c r="C268" s="13">
        <v>43381</v>
      </c>
      <c r="D268" s="13">
        <f t="shared" si="8"/>
        <v>44112</v>
      </c>
      <c r="E268" s="14">
        <v>8</v>
      </c>
      <c r="F268" s="15" t="s">
        <v>106</v>
      </c>
      <c r="G268" s="16" t="s">
        <v>30</v>
      </c>
      <c r="H268" s="16" t="s">
        <v>31</v>
      </c>
      <c r="I268" s="16" t="s">
        <v>32</v>
      </c>
      <c r="J268" s="16" t="s">
        <v>33</v>
      </c>
      <c r="K268" s="13">
        <v>43383</v>
      </c>
      <c r="L268" s="13">
        <f t="shared" si="9"/>
        <v>44114</v>
      </c>
      <c r="M268" s="16" t="s">
        <v>139</v>
      </c>
      <c r="N268" s="16" t="s">
        <v>43</v>
      </c>
      <c r="O268" s="16" t="s">
        <v>34</v>
      </c>
      <c r="P268" s="16" t="s">
        <v>35</v>
      </c>
      <c r="Q268" s="17">
        <v>128.79999999999998</v>
      </c>
      <c r="R268" s="16">
        <v>100</v>
      </c>
      <c r="S268" s="42">
        <f>VENTAS[[#This Row],[Precio unitario]]*VENTAS[[#This Row],[Cantidad]]</f>
        <v>12879.999999999998</v>
      </c>
      <c r="T268" s="33">
        <v>1275.1199999999999</v>
      </c>
    </row>
    <row r="269" spans="2:20">
      <c r="B269" s="31">
        <v>1302</v>
      </c>
      <c r="C269" s="13">
        <v>43398</v>
      </c>
      <c r="D269" s="13">
        <f t="shared" si="8"/>
        <v>44129</v>
      </c>
      <c r="E269" s="14">
        <v>25</v>
      </c>
      <c r="F269" s="15" t="s">
        <v>107</v>
      </c>
      <c r="G269" s="16" t="s">
        <v>54</v>
      </c>
      <c r="H269" s="16" t="s">
        <v>55</v>
      </c>
      <c r="I269" s="16" t="s">
        <v>56</v>
      </c>
      <c r="J269" s="16" t="s">
        <v>141</v>
      </c>
      <c r="K269" s="13">
        <v>43400</v>
      </c>
      <c r="L269" s="13">
        <f t="shared" si="9"/>
        <v>44131</v>
      </c>
      <c r="M269" s="16" t="s">
        <v>138</v>
      </c>
      <c r="N269" s="16" t="s">
        <v>43</v>
      </c>
      <c r="O269" s="16" t="s">
        <v>79</v>
      </c>
      <c r="P269" s="16" t="s">
        <v>35</v>
      </c>
      <c r="Q269" s="17">
        <v>140</v>
      </c>
      <c r="R269" s="16">
        <v>90</v>
      </c>
      <c r="S269" s="42">
        <f>VENTAS[[#This Row],[Precio unitario]]*VENTAS[[#This Row],[Cantidad]]</f>
        <v>12600</v>
      </c>
      <c r="T269" s="33">
        <v>1222.2</v>
      </c>
    </row>
    <row r="270" spans="2:20">
      <c r="B270" s="31">
        <v>1303</v>
      </c>
      <c r="C270" s="13">
        <v>43399</v>
      </c>
      <c r="D270" s="13">
        <f t="shared" si="8"/>
        <v>44130</v>
      </c>
      <c r="E270" s="14">
        <v>26</v>
      </c>
      <c r="F270" s="15" t="s">
        <v>108</v>
      </c>
      <c r="G270" s="16" t="s">
        <v>63</v>
      </c>
      <c r="H270" s="16" t="s">
        <v>63</v>
      </c>
      <c r="I270" s="16" t="s">
        <v>53</v>
      </c>
      <c r="J270" s="16" t="s">
        <v>143</v>
      </c>
      <c r="K270" s="13">
        <v>43401</v>
      </c>
      <c r="L270" s="13">
        <f t="shared" si="9"/>
        <v>44132</v>
      </c>
      <c r="M270" s="16" t="s">
        <v>140</v>
      </c>
      <c r="N270" s="16" t="s">
        <v>25</v>
      </c>
      <c r="O270" s="16" t="s">
        <v>80</v>
      </c>
      <c r="P270" s="16" t="s">
        <v>81</v>
      </c>
      <c r="Q270" s="17">
        <v>298.90000000000003</v>
      </c>
      <c r="R270" s="16">
        <v>49</v>
      </c>
      <c r="S270" s="42">
        <f>VENTAS[[#This Row],[Precio unitario]]*VENTAS[[#This Row],[Cantidad]]</f>
        <v>14646.100000000002</v>
      </c>
      <c r="T270" s="33">
        <v>1435.3178</v>
      </c>
    </row>
    <row r="271" spans="2:20">
      <c r="B271" s="31">
        <v>1304</v>
      </c>
      <c r="C271" s="13">
        <v>43399</v>
      </c>
      <c r="D271" s="13">
        <f t="shared" si="8"/>
        <v>44130</v>
      </c>
      <c r="E271" s="14">
        <v>26</v>
      </c>
      <c r="F271" s="15" t="s">
        <v>109</v>
      </c>
      <c r="G271" s="16" t="s">
        <v>63</v>
      </c>
      <c r="H271" s="16" t="s">
        <v>63</v>
      </c>
      <c r="I271" s="16" t="s">
        <v>53</v>
      </c>
      <c r="J271" s="16" t="s">
        <v>143</v>
      </c>
      <c r="K271" s="13">
        <v>43401</v>
      </c>
      <c r="L271" s="13">
        <f t="shared" si="9"/>
        <v>44132</v>
      </c>
      <c r="M271" s="16" t="s">
        <v>140</v>
      </c>
      <c r="N271" s="16" t="s">
        <v>25</v>
      </c>
      <c r="O271" s="16" t="s">
        <v>44</v>
      </c>
      <c r="P271" s="16" t="s">
        <v>45</v>
      </c>
      <c r="Q271" s="17">
        <v>135.1</v>
      </c>
      <c r="R271" s="16">
        <v>71</v>
      </c>
      <c r="S271" s="42">
        <f>VENTAS[[#This Row],[Precio unitario]]*VENTAS[[#This Row],[Cantidad]]</f>
        <v>9592.1</v>
      </c>
      <c r="T271" s="33">
        <v>920.84159999999997</v>
      </c>
    </row>
    <row r="272" spans="2:20">
      <c r="B272" s="31">
        <v>1305</v>
      </c>
      <c r="C272" s="13">
        <v>43399</v>
      </c>
      <c r="D272" s="13">
        <f t="shared" si="8"/>
        <v>44130</v>
      </c>
      <c r="E272" s="14">
        <v>26</v>
      </c>
      <c r="F272" s="15" t="s">
        <v>110</v>
      </c>
      <c r="G272" s="16" t="s">
        <v>63</v>
      </c>
      <c r="H272" s="16" t="s">
        <v>63</v>
      </c>
      <c r="I272" s="16" t="s">
        <v>53</v>
      </c>
      <c r="J272" s="16" t="s">
        <v>143</v>
      </c>
      <c r="K272" s="13">
        <v>43401</v>
      </c>
      <c r="L272" s="13">
        <f t="shared" si="9"/>
        <v>44132</v>
      </c>
      <c r="M272" s="16" t="s">
        <v>140</v>
      </c>
      <c r="N272" s="16" t="s">
        <v>25</v>
      </c>
      <c r="O272" s="16" t="s">
        <v>66</v>
      </c>
      <c r="P272" s="16" t="s">
        <v>67</v>
      </c>
      <c r="Q272" s="17">
        <v>257.59999999999997</v>
      </c>
      <c r="R272" s="16">
        <v>10</v>
      </c>
      <c r="S272" s="42">
        <f>VENTAS[[#This Row],[Precio unitario]]*VENTAS[[#This Row],[Cantidad]]</f>
        <v>2575.9999999999995</v>
      </c>
      <c r="T272" s="33">
        <v>267.90400000000005</v>
      </c>
    </row>
    <row r="273" spans="2:20">
      <c r="B273" s="31">
        <v>1306</v>
      </c>
      <c r="C273" s="13">
        <v>43402</v>
      </c>
      <c r="D273" s="13">
        <f t="shared" si="8"/>
        <v>44133</v>
      </c>
      <c r="E273" s="14">
        <v>29</v>
      </c>
      <c r="F273" s="15" t="s">
        <v>111</v>
      </c>
      <c r="G273" s="16" t="s">
        <v>36</v>
      </c>
      <c r="H273" s="16" t="s">
        <v>37</v>
      </c>
      <c r="I273" s="16" t="s">
        <v>38</v>
      </c>
      <c r="J273" s="16" t="s">
        <v>142</v>
      </c>
      <c r="K273" s="13">
        <v>43404</v>
      </c>
      <c r="L273" s="13">
        <f t="shared" si="9"/>
        <v>44135</v>
      </c>
      <c r="M273" s="16" t="s">
        <v>139</v>
      </c>
      <c r="N273" s="16" t="s">
        <v>43</v>
      </c>
      <c r="O273" s="16" t="s">
        <v>19</v>
      </c>
      <c r="P273" s="16" t="s">
        <v>20</v>
      </c>
      <c r="Q273" s="17">
        <v>196</v>
      </c>
      <c r="R273" s="16">
        <v>78</v>
      </c>
      <c r="S273" s="42">
        <f>VENTAS[[#This Row],[Precio unitario]]*VENTAS[[#This Row],[Cantidad]]</f>
        <v>15288</v>
      </c>
      <c r="T273" s="33">
        <v>1574.664</v>
      </c>
    </row>
    <row r="274" spans="2:20">
      <c r="B274" s="31">
        <v>1307</v>
      </c>
      <c r="C274" s="13">
        <v>43379</v>
      </c>
      <c r="D274" s="13">
        <f t="shared" si="8"/>
        <v>44110</v>
      </c>
      <c r="E274" s="14">
        <v>6</v>
      </c>
      <c r="F274" s="15" t="s">
        <v>112</v>
      </c>
      <c r="G274" s="16" t="s">
        <v>46</v>
      </c>
      <c r="H274" s="16" t="s">
        <v>47</v>
      </c>
      <c r="I274" s="16" t="s">
        <v>48</v>
      </c>
      <c r="J274" s="16" t="s">
        <v>33</v>
      </c>
      <c r="K274" s="13">
        <v>43381</v>
      </c>
      <c r="L274" s="13">
        <f t="shared" si="9"/>
        <v>44112</v>
      </c>
      <c r="M274" s="16" t="s">
        <v>140</v>
      </c>
      <c r="N274" s="16" t="s">
        <v>43</v>
      </c>
      <c r="O274" s="16" t="s">
        <v>39</v>
      </c>
      <c r="P274" s="16" t="s">
        <v>40</v>
      </c>
      <c r="Q274" s="17">
        <v>178.5</v>
      </c>
      <c r="R274" s="16">
        <v>44</v>
      </c>
      <c r="S274" s="42">
        <f>VENTAS[[#This Row],[Precio unitario]]*VENTAS[[#This Row],[Cantidad]]</f>
        <v>7854</v>
      </c>
      <c r="T274" s="33">
        <v>753.98400000000004</v>
      </c>
    </row>
    <row r="275" spans="2:20">
      <c r="B275" s="31">
        <v>1309</v>
      </c>
      <c r="C275" s="13">
        <v>43377</v>
      </c>
      <c r="D275" s="13">
        <f t="shared" si="8"/>
        <v>44108</v>
      </c>
      <c r="E275" s="14">
        <v>4</v>
      </c>
      <c r="F275" s="15" t="s">
        <v>113</v>
      </c>
      <c r="G275" s="16" t="s">
        <v>23</v>
      </c>
      <c r="H275" s="16" t="s">
        <v>23</v>
      </c>
      <c r="I275" s="16" t="s">
        <v>24</v>
      </c>
      <c r="J275" s="16" t="s">
        <v>141</v>
      </c>
      <c r="K275" s="13">
        <v>43379</v>
      </c>
      <c r="L275" s="13">
        <f t="shared" si="9"/>
        <v>44110</v>
      </c>
      <c r="M275" s="16" t="s">
        <v>138</v>
      </c>
      <c r="N275" s="16" t="s">
        <v>25</v>
      </c>
      <c r="O275" s="16" t="s">
        <v>82</v>
      </c>
      <c r="P275" s="16" t="s">
        <v>60</v>
      </c>
      <c r="Q275" s="17">
        <v>1134</v>
      </c>
      <c r="R275" s="16">
        <v>82</v>
      </c>
      <c r="S275" s="42">
        <f>VENTAS[[#This Row],[Precio unitario]]*VENTAS[[#This Row],[Cantidad]]</f>
        <v>92988</v>
      </c>
      <c r="T275" s="33">
        <v>9763.7400000000016</v>
      </c>
    </row>
    <row r="276" spans="2:20">
      <c r="B276" s="31">
        <v>1310</v>
      </c>
      <c r="C276" s="13">
        <v>43377</v>
      </c>
      <c r="D276" s="13">
        <f t="shared" si="8"/>
        <v>44108</v>
      </c>
      <c r="E276" s="14">
        <v>4</v>
      </c>
      <c r="F276" s="15" t="s">
        <v>114</v>
      </c>
      <c r="G276" s="16" t="s">
        <v>23</v>
      </c>
      <c r="H276" s="16" t="s">
        <v>23</v>
      </c>
      <c r="I276" s="16" t="s">
        <v>24</v>
      </c>
      <c r="J276" s="16" t="s">
        <v>141</v>
      </c>
      <c r="K276" s="13">
        <v>43379</v>
      </c>
      <c r="L276" s="13">
        <f t="shared" si="9"/>
        <v>44110</v>
      </c>
      <c r="M276" s="16" t="s">
        <v>138</v>
      </c>
      <c r="N276" s="16" t="s">
        <v>25</v>
      </c>
      <c r="O276" s="16" t="s">
        <v>83</v>
      </c>
      <c r="P276" s="16" t="s">
        <v>84</v>
      </c>
      <c r="Q276" s="17">
        <v>98</v>
      </c>
      <c r="R276" s="16">
        <v>29</v>
      </c>
      <c r="S276" s="42">
        <f>VENTAS[[#This Row],[Precio unitario]]*VENTAS[[#This Row],[Cantidad]]</f>
        <v>2842</v>
      </c>
      <c r="T276" s="33">
        <v>284.2</v>
      </c>
    </row>
    <row r="277" spans="2:20">
      <c r="B277" s="31">
        <v>1312</v>
      </c>
      <c r="C277" s="13">
        <v>43381</v>
      </c>
      <c r="D277" s="13">
        <f t="shared" si="8"/>
        <v>44112</v>
      </c>
      <c r="E277" s="14">
        <v>8</v>
      </c>
      <c r="F277" s="15" t="s">
        <v>115</v>
      </c>
      <c r="G277" s="16" t="s">
        <v>30</v>
      </c>
      <c r="H277" s="16" t="s">
        <v>31</v>
      </c>
      <c r="I277" s="16" t="s">
        <v>32</v>
      </c>
      <c r="J277" s="16" t="s">
        <v>33</v>
      </c>
      <c r="K277" s="13">
        <v>43383</v>
      </c>
      <c r="L277" s="13">
        <f t="shared" si="9"/>
        <v>44114</v>
      </c>
      <c r="M277" s="16" t="s">
        <v>140</v>
      </c>
      <c r="N277" s="16" t="s">
        <v>25</v>
      </c>
      <c r="O277" s="16" t="s">
        <v>72</v>
      </c>
      <c r="P277" s="16" t="s">
        <v>73</v>
      </c>
      <c r="Q277" s="17">
        <v>487.19999999999993</v>
      </c>
      <c r="R277" s="16">
        <v>93</v>
      </c>
      <c r="S277" s="42">
        <f>VENTAS[[#This Row],[Precio unitario]]*VENTAS[[#This Row],[Cantidad]]</f>
        <v>45309.599999999991</v>
      </c>
      <c r="T277" s="33">
        <v>4395.0311999999994</v>
      </c>
    </row>
    <row r="278" spans="2:20">
      <c r="B278" s="31">
        <v>1315</v>
      </c>
      <c r="C278" s="13">
        <v>43376</v>
      </c>
      <c r="D278" s="13">
        <f t="shared" si="8"/>
        <v>44107</v>
      </c>
      <c r="E278" s="14">
        <v>3</v>
      </c>
      <c r="F278" s="15" t="s">
        <v>116</v>
      </c>
      <c r="G278" s="16" t="s">
        <v>41</v>
      </c>
      <c r="H278" s="16" t="s">
        <v>42</v>
      </c>
      <c r="I278" s="16" t="s">
        <v>18</v>
      </c>
      <c r="J278" s="16" t="s">
        <v>142</v>
      </c>
      <c r="K278" s="13">
        <v>43378</v>
      </c>
      <c r="L278" s="13">
        <f t="shared" si="9"/>
        <v>44109</v>
      </c>
      <c r="M278" s="16" t="s">
        <v>139</v>
      </c>
      <c r="N278" s="16" t="s">
        <v>43</v>
      </c>
      <c r="O278" s="16" t="s">
        <v>74</v>
      </c>
      <c r="P278" s="16" t="s">
        <v>62</v>
      </c>
      <c r="Q278" s="17">
        <v>140</v>
      </c>
      <c r="R278" s="16">
        <v>11</v>
      </c>
      <c r="S278" s="42">
        <f>VENTAS[[#This Row],[Precio unitario]]*VENTAS[[#This Row],[Cantidad]]</f>
        <v>1540</v>
      </c>
      <c r="T278" s="33">
        <v>160.16000000000003</v>
      </c>
    </row>
    <row r="279" spans="2:20">
      <c r="B279" s="31">
        <v>1316</v>
      </c>
      <c r="C279" s="13">
        <v>43376</v>
      </c>
      <c r="D279" s="13">
        <f t="shared" si="8"/>
        <v>44107</v>
      </c>
      <c r="E279" s="14">
        <v>3</v>
      </c>
      <c r="F279" s="15" t="s">
        <v>117</v>
      </c>
      <c r="G279" s="16" t="s">
        <v>41</v>
      </c>
      <c r="H279" s="16" t="s">
        <v>42</v>
      </c>
      <c r="I279" s="16" t="s">
        <v>18</v>
      </c>
      <c r="J279" s="16" t="s">
        <v>142</v>
      </c>
      <c r="K279" s="13">
        <v>43378</v>
      </c>
      <c r="L279" s="13">
        <f t="shared" si="9"/>
        <v>44109</v>
      </c>
      <c r="M279" s="16" t="s">
        <v>139</v>
      </c>
      <c r="N279" s="16" t="s">
        <v>43</v>
      </c>
      <c r="O279" s="16" t="s">
        <v>49</v>
      </c>
      <c r="P279" s="16" t="s">
        <v>50</v>
      </c>
      <c r="Q279" s="17">
        <v>560</v>
      </c>
      <c r="R279" s="16">
        <v>91</v>
      </c>
      <c r="S279" s="42">
        <f>VENTAS[[#This Row],[Precio unitario]]*VENTAS[[#This Row],[Cantidad]]</f>
        <v>50960</v>
      </c>
      <c r="T279" s="33">
        <v>5096</v>
      </c>
    </row>
    <row r="280" spans="2:20">
      <c r="B280" s="31">
        <v>1320</v>
      </c>
      <c r="C280" s="13">
        <v>43383</v>
      </c>
      <c r="D280" s="13">
        <f t="shared" si="8"/>
        <v>44114</v>
      </c>
      <c r="E280" s="14">
        <v>10</v>
      </c>
      <c r="F280" s="15" t="s">
        <v>118</v>
      </c>
      <c r="G280" s="16" t="s">
        <v>54</v>
      </c>
      <c r="H280" s="16" t="s">
        <v>55</v>
      </c>
      <c r="I280" s="16" t="s">
        <v>56</v>
      </c>
      <c r="J280" s="16" t="s">
        <v>141</v>
      </c>
      <c r="K280" s="13">
        <v>43385</v>
      </c>
      <c r="L280" s="13">
        <f t="shared" si="9"/>
        <v>44116</v>
      </c>
      <c r="M280" s="16" t="s">
        <v>139</v>
      </c>
      <c r="N280" s="16" t="s">
        <v>25</v>
      </c>
      <c r="O280" s="16" t="s">
        <v>75</v>
      </c>
      <c r="P280" s="16" t="s">
        <v>22</v>
      </c>
      <c r="Q280" s="17">
        <v>140</v>
      </c>
      <c r="R280" s="16">
        <v>12</v>
      </c>
      <c r="S280" s="42">
        <f>VENTAS[[#This Row],[Precio unitario]]*VENTAS[[#This Row],[Cantidad]]</f>
        <v>1680</v>
      </c>
      <c r="T280" s="33">
        <v>173.04</v>
      </c>
    </row>
    <row r="281" spans="2:20">
      <c r="B281" s="31">
        <v>1322</v>
      </c>
      <c r="C281" s="13">
        <v>43383</v>
      </c>
      <c r="D281" s="13">
        <f t="shared" si="8"/>
        <v>44114</v>
      </c>
      <c r="E281" s="14">
        <v>10</v>
      </c>
      <c r="F281" s="15" t="s">
        <v>119</v>
      </c>
      <c r="G281" s="16" t="s">
        <v>54</v>
      </c>
      <c r="H281" s="16" t="s">
        <v>55</v>
      </c>
      <c r="I281" s="16" t="s">
        <v>56</v>
      </c>
      <c r="J281" s="16" t="s">
        <v>141</v>
      </c>
      <c r="K281" s="13"/>
      <c r="L281" s="13">
        <f t="shared" si="9"/>
        <v>731</v>
      </c>
      <c r="M281" s="16" t="s">
        <v>138</v>
      </c>
      <c r="N281" s="16" t="s">
        <v>25</v>
      </c>
      <c r="O281" s="16" t="s">
        <v>21</v>
      </c>
      <c r="P281" s="16" t="s">
        <v>22</v>
      </c>
      <c r="Q281" s="17">
        <v>49</v>
      </c>
      <c r="R281" s="16">
        <v>78</v>
      </c>
      <c r="S281" s="42">
        <f>VENTAS[[#This Row],[Precio unitario]]*VENTAS[[#This Row],[Cantidad]]</f>
        <v>3822</v>
      </c>
      <c r="T281" s="33">
        <v>382.2</v>
      </c>
    </row>
    <row r="282" spans="2:20">
      <c r="B282" s="31">
        <v>1323</v>
      </c>
      <c r="C282" s="13">
        <v>43384</v>
      </c>
      <c r="D282" s="13">
        <f t="shared" si="8"/>
        <v>44115</v>
      </c>
      <c r="E282" s="14">
        <v>11</v>
      </c>
      <c r="F282" s="15" t="s">
        <v>120</v>
      </c>
      <c r="G282" s="16" t="s">
        <v>63</v>
      </c>
      <c r="H282" s="16" t="s">
        <v>63</v>
      </c>
      <c r="I282" s="16" t="s">
        <v>53</v>
      </c>
      <c r="J282" s="16" t="s">
        <v>143</v>
      </c>
      <c r="K282" s="13"/>
      <c r="L282" s="13">
        <f t="shared" si="9"/>
        <v>731</v>
      </c>
      <c r="M282" s="16" t="s">
        <v>140</v>
      </c>
      <c r="N282" s="16" t="s">
        <v>25</v>
      </c>
      <c r="O282" s="16" t="s">
        <v>49</v>
      </c>
      <c r="P282" s="16" t="s">
        <v>50</v>
      </c>
      <c r="Q282" s="17">
        <v>560</v>
      </c>
      <c r="R282" s="16">
        <v>60</v>
      </c>
      <c r="S282" s="42">
        <f>VENTAS[[#This Row],[Precio unitario]]*VENTAS[[#This Row],[Cantidad]]</f>
        <v>33600</v>
      </c>
      <c r="T282" s="33">
        <v>3192</v>
      </c>
    </row>
    <row r="283" spans="2:20">
      <c r="B283" s="31">
        <v>1324</v>
      </c>
      <c r="C283" s="13">
        <v>43374</v>
      </c>
      <c r="D283" s="13">
        <f t="shared" si="8"/>
        <v>44105</v>
      </c>
      <c r="E283" s="14">
        <v>1</v>
      </c>
      <c r="F283" s="15" t="s">
        <v>121</v>
      </c>
      <c r="G283" s="16" t="s">
        <v>64</v>
      </c>
      <c r="H283" s="16" t="s">
        <v>65</v>
      </c>
      <c r="I283" s="16" t="s">
        <v>32</v>
      </c>
      <c r="J283" s="16" t="s">
        <v>33</v>
      </c>
      <c r="K283" s="13"/>
      <c r="L283" s="13">
        <f t="shared" si="9"/>
        <v>731</v>
      </c>
      <c r="M283" s="16" t="s">
        <v>140</v>
      </c>
      <c r="N283" s="16" t="s">
        <v>25</v>
      </c>
      <c r="O283" s="16" t="s">
        <v>66</v>
      </c>
      <c r="P283" s="16" t="s">
        <v>67</v>
      </c>
      <c r="Q283" s="17">
        <v>257.59999999999997</v>
      </c>
      <c r="R283" s="16">
        <v>23</v>
      </c>
      <c r="S283" s="42">
        <f>VENTAS[[#This Row],[Precio unitario]]*VENTAS[[#This Row],[Cantidad]]</f>
        <v>5924.7999999999993</v>
      </c>
      <c r="T283" s="33">
        <v>610.25440000000003</v>
      </c>
    </row>
    <row r="284" spans="2:20">
      <c r="B284" s="31">
        <v>1325</v>
      </c>
      <c r="C284" s="13">
        <v>43401</v>
      </c>
      <c r="D284" s="13">
        <f t="shared" si="8"/>
        <v>44132</v>
      </c>
      <c r="E284" s="14">
        <v>28</v>
      </c>
      <c r="F284" s="15" t="s">
        <v>122</v>
      </c>
      <c r="G284" s="16" t="s">
        <v>51</v>
      </c>
      <c r="H284" s="16" t="s">
        <v>52</v>
      </c>
      <c r="I284" s="16" t="s">
        <v>53</v>
      </c>
      <c r="J284" s="16" t="s">
        <v>143</v>
      </c>
      <c r="K284" s="13">
        <v>43403</v>
      </c>
      <c r="L284" s="13">
        <f t="shared" si="9"/>
        <v>44134</v>
      </c>
      <c r="M284" s="16" t="s">
        <v>140</v>
      </c>
      <c r="N284" s="16" t="s">
        <v>25</v>
      </c>
      <c r="O284" s="16" t="s">
        <v>29</v>
      </c>
      <c r="P284" s="16" t="s">
        <v>20</v>
      </c>
      <c r="Q284" s="17">
        <v>644</v>
      </c>
      <c r="R284" s="16">
        <v>34</v>
      </c>
      <c r="S284" s="42">
        <f>VENTAS[[#This Row],[Precio unitario]]*VENTAS[[#This Row],[Cantidad]]</f>
        <v>21896</v>
      </c>
      <c r="T284" s="33">
        <v>2211.4960000000001</v>
      </c>
    </row>
    <row r="285" spans="2:20">
      <c r="B285" s="31">
        <v>1326</v>
      </c>
      <c r="C285" s="13">
        <v>43382</v>
      </c>
      <c r="D285" s="13">
        <f t="shared" si="8"/>
        <v>44113</v>
      </c>
      <c r="E285" s="14">
        <v>9</v>
      </c>
      <c r="F285" s="18" t="s">
        <v>88</v>
      </c>
      <c r="G285" s="16" t="s">
        <v>68</v>
      </c>
      <c r="H285" s="16" t="s">
        <v>37</v>
      </c>
      <c r="I285" s="16" t="s">
        <v>69</v>
      </c>
      <c r="J285" s="16" t="s">
        <v>142</v>
      </c>
      <c r="K285" s="13">
        <v>43384</v>
      </c>
      <c r="L285" s="13">
        <f t="shared" si="9"/>
        <v>44115</v>
      </c>
      <c r="M285" s="16" t="s">
        <v>138</v>
      </c>
      <c r="N285" s="16" t="s">
        <v>43</v>
      </c>
      <c r="O285" s="16" t="s">
        <v>44</v>
      </c>
      <c r="P285" s="16" t="s">
        <v>45</v>
      </c>
      <c r="Q285" s="17">
        <v>135.1</v>
      </c>
      <c r="R285" s="16">
        <v>89</v>
      </c>
      <c r="S285" s="42">
        <f>VENTAS[[#This Row],[Precio unitario]]*VENTAS[[#This Row],[Cantidad]]</f>
        <v>12023.9</v>
      </c>
      <c r="T285" s="33">
        <v>1214.4139</v>
      </c>
    </row>
    <row r="286" spans="2:20">
      <c r="B286" s="31">
        <v>1327</v>
      </c>
      <c r="C286" s="13">
        <v>43379</v>
      </c>
      <c r="D286" s="13">
        <f t="shared" si="8"/>
        <v>44110</v>
      </c>
      <c r="E286" s="14">
        <v>6</v>
      </c>
      <c r="F286" s="18" t="s">
        <v>85</v>
      </c>
      <c r="G286" s="16" t="s">
        <v>46</v>
      </c>
      <c r="H286" s="16" t="s">
        <v>47</v>
      </c>
      <c r="I286" s="16" t="s">
        <v>48</v>
      </c>
      <c r="J286" s="16" t="s">
        <v>33</v>
      </c>
      <c r="K286" s="13">
        <v>43381</v>
      </c>
      <c r="L286" s="13">
        <f t="shared" si="9"/>
        <v>44112</v>
      </c>
      <c r="M286" s="16" t="s">
        <v>139</v>
      </c>
      <c r="N286" s="16" t="s">
        <v>25</v>
      </c>
      <c r="O286" s="16" t="s">
        <v>39</v>
      </c>
      <c r="P286" s="16" t="s">
        <v>40</v>
      </c>
      <c r="Q286" s="17">
        <v>178.5</v>
      </c>
      <c r="R286" s="16">
        <v>82</v>
      </c>
      <c r="S286" s="42">
        <f>VENTAS[[#This Row],[Precio unitario]]*VENTAS[[#This Row],[Cantidad]]</f>
        <v>14637</v>
      </c>
      <c r="T286" s="33">
        <v>1449.0630000000001</v>
      </c>
    </row>
    <row r="287" spans="2:20">
      <c r="B287" s="31">
        <v>1328</v>
      </c>
      <c r="C287" s="13">
        <v>43381</v>
      </c>
      <c r="D287" s="13">
        <f t="shared" si="8"/>
        <v>44112</v>
      </c>
      <c r="E287" s="14">
        <v>8</v>
      </c>
      <c r="F287" s="18" t="s">
        <v>91</v>
      </c>
      <c r="G287" s="16" t="s">
        <v>30</v>
      </c>
      <c r="H287" s="16" t="s">
        <v>31</v>
      </c>
      <c r="I287" s="16" t="s">
        <v>32</v>
      </c>
      <c r="J287" s="16" t="s">
        <v>33</v>
      </c>
      <c r="K287" s="13">
        <v>43383</v>
      </c>
      <c r="L287" s="13">
        <f t="shared" si="9"/>
        <v>44114</v>
      </c>
      <c r="M287" s="16" t="s">
        <v>139</v>
      </c>
      <c r="N287" s="16" t="s">
        <v>43</v>
      </c>
      <c r="O287" s="16" t="s">
        <v>39</v>
      </c>
      <c r="P287" s="16" t="s">
        <v>40</v>
      </c>
      <c r="Q287" s="17">
        <v>178.5</v>
      </c>
      <c r="R287" s="16">
        <v>43</v>
      </c>
      <c r="S287" s="42">
        <f>VENTAS[[#This Row],[Precio unitario]]*VENTAS[[#This Row],[Cantidad]]</f>
        <v>7675.5</v>
      </c>
      <c r="T287" s="33">
        <v>736.84799999999996</v>
      </c>
    </row>
    <row r="288" spans="2:20">
      <c r="B288" s="31">
        <v>1329</v>
      </c>
      <c r="C288" s="13">
        <v>43414</v>
      </c>
      <c r="D288" s="13">
        <f t="shared" si="8"/>
        <v>44145</v>
      </c>
      <c r="E288" s="14">
        <v>10</v>
      </c>
      <c r="F288" s="18" t="s">
        <v>87</v>
      </c>
      <c r="G288" s="16" t="s">
        <v>54</v>
      </c>
      <c r="H288" s="16" t="s">
        <v>55</v>
      </c>
      <c r="I288" s="16" t="s">
        <v>56</v>
      </c>
      <c r="J288" s="16" t="s">
        <v>141</v>
      </c>
      <c r="K288" s="13">
        <v>43416</v>
      </c>
      <c r="L288" s="13">
        <f t="shared" si="9"/>
        <v>44147</v>
      </c>
      <c r="M288" s="16" t="s">
        <v>138</v>
      </c>
      <c r="N288" s="16" t="s">
        <v>25</v>
      </c>
      <c r="O288" s="16" t="s">
        <v>61</v>
      </c>
      <c r="P288" s="16" t="s">
        <v>62</v>
      </c>
      <c r="Q288" s="17">
        <v>308</v>
      </c>
      <c r="R288" s="16">
        <v>96</v>
      </c>
      <c r="S288" s="42">
        <f>VENTAS[[#This Row],[Precio unitario]]*VENTAS[[#This Row],[Cantidad]]</f>
        <v>29568</v>
      </c>
      <c r="T288" s="33">
        <v>3104.6400000000003</v>
      </c>
    </row>
    <row r="289" spans="2:20">
      <c r="B289" s="31">
        <v>1330</v>
      </c>
      <c r="C289" s="13">
        <v>43414</v>
      </c>
      <c r="D289" s="13">
        <f t="shared" si="8"/>
        <v>44145</v>
      </c>
      <c r="E289" s="14">
        <v>10</v>
      </c>
      <c r="F289" s="18" t="s">
        <v>86</v>
      </c>
      <c r="G289" s="16" t="s">
        <v>54</v>
      </c>
      <c r="H289" s="16" t="s">
        <v>55</v>
      </c>
      <c r="I289" s="16" t="s">
        <v>56</v>
      </c>
      <c r="J289" s="16" t="s">
        <v>141</v>
      </c>
      <c r="K289" s="13">
        <v>43416</v>
      </c>
      <c r="L289" s="13">
        <f t="shared" si="9"/>
        <v>44147</v>
      </c>
      <c r="M289" s="16" t="s">
        <v>138</v>
      </c>
      <c r="N289" s="16" t="s">
        <v>25</v>
      </c>
      <c r="O289" s="16" t="s">
        <v>34</v>
      </c>
      <c r="P289" s="16" t="s">
        <v>35</v>
      </c>
      <c r="Q289" s="17">
        <v>128.79999999999998</v>
      </c>
      <c r="R289" s="16">
        <v>34</v>
      </c>
      <c r="S289" s="42">
        <f>VENTAS[[#This Row],[Precio unitario]]*VENTAS[[#This Row],[Cantidad]]</f>
        <v>4379.2</v>
      </c>
      <c r="T289" s="33">
        <v>437.91999999999996</v>
      </c>
    </row>
    <row r="290" spans="2:20">
      <c r="B290" s="31">
        <v>1331</v>
      </c>
      <c r="C290" s="13">
        <v>43415</v>
      </c>
      <c r="D290" s="13">
        <f t="shared" si="8"/>
        <v>44146</v>
      </c>
      <c r="E290" s="14">
        <v>11</v>
      </c>
      <c r="F290" s="18" t="s">
        <v>123</v>
      </c>
      <c r="G290" s="16" t="s">
        <v>63</v>
      </c>
      <c r="H290" s="16" t="s">
        <v>63</v>
      </c>
      <c r="I290" s="16" t="s">
        <v>53</v>
      </c>
      <c r="J290" s="16" t="s">
        <v>143</v>
      </c>
      <c r="K290" s="13"/>
      <c r="L290" s="13">
        <f t="shared" si="9"/>
        <v>731</v>
      </c>
      <c r="M290" s="16" t="s">
        <v>140</v>
      </c>
      <c r="N290" s="16" t="s">
        <v>25</v>
      </c>
      <c r="O290" s="16" t="s">
        <v>21</v>
      </c>
      <c r="P290" s="16" t="s">
        <v>22</v>
      </c>
      <c r="Q290" s="17">
        <v>49</v>
      </c>
      <c r="R290" s="16">
        <v>42</v>
      </c>
      <c r="S290" s="42">
        <f>VENTAS[[#This Row],[Precio unitario]]*VENTAS[[#This Row],[Cantidad]]</f>
        <v>2058</v>
      </c>
      <c r="T290" s="33">
        <v>211.97400000000002</v>
      </c>
    </row>
    <row r="291" spans="2:20">
      <c r="B291" s="31">
        <v>1332</v>
      </c>
      <c r="C291" s="13">
        <v>43415</v>
      </c>
      <c r="D291" s="13">
        <f t="shared" si="8"/>
        <v>44146</v>
      </c>
      <c r="E291" s="14">
        <v>11</v>
      </c>
      <c r="F291" s="18" t="s">
        <v>89</v>
      </c>
      <c r="G291" s="16" t="s">
        <v>63</v>
      </c>
      <c r="H291" s="16" t="s">
        <v>63</v>
      </c>
      <c r="I291" s="16" t="s">
        <v>53</v>
      </c>
      <c r="J291" s="16" t="s">
        <v>143</v>
      </c>
      <c r="K291" s="13"/>
      <c r="L291" s="13">
        <f t="shared" si="9"/>
        <v>731</v>
      </c>
      <c r="M291" s="16" t="s">
        <v>140</v>
      </c>
      <c r="N291" s="16" t="s">
        <v>25</v>
      </c>
      <c r="O291" s="16" t="s">
        <v>57</v>
      </c>
      <c r="P291" s="16" t="s">
        <v>20</v>
      </c>
      <c r="Q291" s="17">
        <v>41.86</v>
      </c>
      <c r="R291" s="16">
        <v>100</v>
      </c>
      <c r="S291" s="42">
        <f>VENTAS[[#This Row],[Precio unitario]]*VENTAS[[#This Row],[Cantidad]]</f>
        <v>4186</v>
      </c>
      <c r="T291" s="33">
        <v>426.97200000000004</v>
      </c>
    </row>
    <row r="292" spans="2:20">
      <c r="B292" s="31">
        <v>1333</v>
      </c>
      <c r="C292" s="13">
        <v>43405</v>
      </c>
      <c r="D292" s="13">
        <f t="shared" si="8"/>
        <v>44136</v>
      </c>
      <c r="E292" s="14">
        <v>1</v>
      </c>
      <c r="F292" s="18" t="s">
        <v>124</v>
      </c>
      <c r="G292" s="16" t="s">
        <v>64</v>
      </c>
      <c r="H292" s="16" t="s">
        <v>65</v>
      </c>
      <c r="I292" s="16" t="s">
        <v>32</v>
      </c>
      <c r="J292" s="16" t="s">
        <v>33</v>
      </c>
      <c r="K292" s="13"/>
      <c r="L292" s="13">
        <f t="shared" si="9"/>
        <v>731</v>
      </c>
      <c r="M292" s="16"/>
      <c r="N292" s="16" t="s">
        <v>25</v>
      </c>
      <c r="O292" s="16" t="s">
        <v>28</v>
      </c>
      <c r="P292" s="16" t="s">
        <v>20</v>
      </c>
      <c r="Q292" s="17">
        <v>252</v>
      </c>
      <c r="R292" s="16">
        <v>42</v>
      </c>
      <c r="S292" s="42">
        <f>VENTAS[[#This Row],[Precio unitario]]*VENTAS[[#This Row],[Cantidad]]</f>
        <v>10584</v>
      </c>
      <c r="T292" s="33">
        <v>1068.9840000000002</v>
      </c>
    </row>
    <row r="293" spans="2:20">
      <c r="B293" s="31">
        <v>1334</v>
      </c>
      <c r="C293" s="13">
        <v>43405</v>
      </c>
      <c r="D293" s="13">
        <f t="shared" si="8"/>
        <v>44136</v>
      </c>
      <c r="E293" s="14">
        <v>1</v>
      </c>
      <c r="F293" s="18" t="s">
        <v>92</v>
      </c>
      <c r="G293" s="16" t="s">
        <v>64</v>
      </c>
      <c r="H293" s="16" t="s">
        <v>65</v>
      </c>
      <c r="I293" s="16" t="s">
        <v>32</v>
      </c>
      <c r="J293" s="16" t="s">
        <v>33</v>
      </c>
      <c r="K293" s="13"/>
      <c r="L293" s="13">
        <f t="shared" si="9"/>
        <v>731</v>
      </c>
      <c r="M293" s="16"/>
      <c r="N293" s="16" t="s">
        <v>25</v>
      </c>
      <c r="O293" s="16" t="s">
        <v>29</v>
      </c>
      <c r="P293" s="16" t="s">
        <v>20</v>
      </c>
      <c r="Q293" s="17">
        <v>644</v>
      </c>
      <c r="R293" s="16">
        <v>16</v>
      </c>
      <c r="S293" s="42">
        <f>VENTAS[[#This Row],[Precio unitario]]*VENTAS[[#This Row],[Cantidad]]</f>
        <v>10304</v>
      </c>
      <c r="T293" s="33">
        <v>989.18400000000008</v>
      </c>
    </row>
    <row r="294" spans="2:20">
      <c r="B294" s="31">
        <v>1335</v>
      </c>
      <c r="C294" s="13">
        <v>43405</v>
      </c>
      <c r="D294" s="13">
        <f t="shared" si="8"/>
        <v>44136</v>
      </c>
      <c r="E294" s="14">
        <v>1</v>
      </c>
      <c r="F294" s="18" t="s">
        <v>125</v>
      </c>
      <c r="G294" s="16" t="s">
        <v>64</v>
      </c>
      <c r="H294" s="16" t="s">
        <v>65</v>
      </c>
      <c r="I294" s="16" t="s">
        <v>32</v>
      </c>
      <c r="J294" s="16" t="s">
        <v>33</v>
      </c>
      <c r="K294" s="13"/>
      <c r="L294" s="13">
        <f t="shared" si="9"/>
        <v>731</v>
      </c>
      <c r="M294" s="16"/>
      <c r="N294" s="16" t="s">
        <v>25</v>
      </c>
      <c r="O294" s="16" t="s">
        <v>57</v>
      </c>
      <c r="P294" s="16" t="s">
        <v>20</v>
      </c>
      <c r="Q294" s="17">
        <v>41.86</v>
      </c>
      <c r="R294" s="16">
        <v>22</v>
      </c>
      <c r="S294" s="42">
        <f>VENTAS[[#This Row],[Precio unitario]]*VENTAS[[#This Row],[Cantidad]]</f>
        <v>920.92</v>
      </c>
      <c r="T294" s="33">
        <v>89.329239999999999</v>
      </c>
    </row>
    <row r="295" spans="2:20">
      <c r="B295" s="31">
        <v>1336</v>
      </c>
      <c r="C295" s="13">
        <v>43432</v>
      </c>
      <c r="D295" s="13">
        <f t="shared" si="8"/>
        <v>44163</v>
      </c>
      <c r="E295" s="14">
        <v>28</v>
      </c>
      <c r="F295" s="15" t="s">
        <v>85</v>
      </c>
      <c r="G295" s="16" t="s">
        <v>51</v>
      </c>
      <c r="H295" s="16" t="s">
        <v>52</v>
      </c>
      <c r="I295" s="16" t="s">
        <v>53</v>
      </c>
      <c r="J295" s="16" t="s">
        <v>143</v>
      </c>
      <c r="K295" s="13">
        <v>43434</v>
      </c>
      <c r="L295" s="13">
        <f t="shared" si="9"/>
        <v>44165</v>
      </c>
      <c r="M295" s="16" t="s">
        <v>140</v>
      </c>
      <c r="N295" s="16" t="s">
        <v>25</v>
      </c>
      <c r="O295" s="16" t="s">
        <v>44</v>
      </c>
      <c r="P295" s="16" t="s">
        <v>45</v>
      </c>
      <c r="Q295" s="17">
        <v>135.1</v>
      </c>
      <c r="R295" s="16">
        <v>46</v>
      </c>
      <c r="S295" s="42">
        <f>VENTAS[[#This Row],[Precio unitario]]*VENTAS[[#This Row],[Cantidad]]</f>
        <v>6214.5999999999995</v>
      </c>
      <c r="T295" s="33">
        <v>640.10380000000009</v>
      </c>
    </row>
    <row r="296" spans="2:20">
      <c r="B296" s="31">
        <v>1337</v>
      </c>
      <c r="C296" s="13">
        <v>43432</v>
      </c>
      <c r="D296" s="13">
        <f t="shared" si="8"/>
        <v>44163</v>
      </c>
      <c r="E296" s="14">
        <v>28</v>
      </c>
      <c r="F296" s="15" t="s">
        <v>86</v>
      </c>
      <c r="G296" s="16" t="s">
        <v>51</v>
      </c>
      <c r="H296" s="16" t="s">
        <v>52</v>
      </c>
      <c r="I296" s="16" t="s">
        <v>53</v>
      </c>
      <c r="J296" s="16" t="s">
        <v>143</v>
      </c>
      <c r="K296" s="13">
        <v>43434</v>
      </c>
      <c r="L296" s="13">
        <f t="shared" si="9"/>
        <v>44165</v>
      </c>
      <c r="M296" s="16" t="s">
        <v>140</v>
      </c>
      <c r="N296" s="16" t="s">
        <v>25</v>
      </c>
      <c r="O296" s="16" t="s">
        <v>66</v>
      </c>
      <c r="P296" s="16" t="s">
        <v>67</v>
      </c>
      <c r="Q296" s="17">
        <v>257.59999999999997</v>
      </c>
      <c r="R296" s="16">
        <v>100</v>
      </c>
      <c r="S296" s="42">
        <f>VENTAS[[#This Row],[Precio unitario]]*VENTAS[[#This Row],[Cantidad]]</f>
        <v>25759.999999999996</v>
      </c>
      <c r="T296" s="33">
        <v>2576</v>
      </c>
    </row>
    <row r="297" spans="2:20">
      <c r="B297" s="31">
        <v>1338</v>
      </c>
      <c r="C297" s="13">
        <v>43413</v>
      </c>
      <c r="D297" s="13">
        <f t="shared" si="8"/>
        <v>44144</v>
      </c>
      <c r="E297" s="14">
        <v>9</v>
      </c>
      <c r="F297" s="15" t="s">
        <v>87</v>
      </c>
      <c r="G297" s="16" t="s">
        <v>68</v>
      </c>
      <c r="H297" s="16" t="s">
        <v>37</v>
      </c>
      <c r="I297" s="16" t="s">
        <v>69</v>
      </c>
      <c r="J297" s="16" t="s">
        <v>142</v>
      </c>
      <c r="K297" s="13">
        <v>43415</v>
      </c>
      <c r="L297" s="13">
        <f t="shared" si="9"/>
        <v>44146</v>
      </c>
      <c r="M297" s="16" t="s">
        <v>138</v>
      </c>
      <c r="N297" s="16" t="s">
        <v>43</v>
      </c>
      <c r="O297" s="16" t="s">
        <v>70</v>
      </c>
      <c r="P297" s="16" t="s">
        <v>71</v>
      </c>
      <c r="Q297" s="17">
        <v>273</v>
      </c>
      <c r="R297" s="16">
        <v>87</v>
      </c>
      <c r="S297" s="42">
        <f>VENTAS[[#This Row],[Precio unitario]]*VENTAS[[#This Row],[Cantidad]]</f>
        <v>23751</v>
      </c>
      <c r="T297" s="33">
        <v>2446.3530000000001</v>
      </c>
    </row>
    <row r="298" spans="2:20">
      <c r="B298" s="31">
        <v>1339</v>
      </c>
      <c r="C298" s="13">
        <v>43413</v>
      </c>
      <c r="D298" s="13">
        <f t="shared" si="8"/>
        <v>44144</v>
      </c>
      <c r="E298" s="14">
        <v>9</v>
      </c>
      <c r="F298" s="15" t="s">
        <v>88</v>
      </c>
      <c r="G298" s="16" t="s">
        <v>68</v>
      </c>
      <c r="H298" s="16" t="s">
        <v>37</v>
      </c>
      <c r="I298" s="16" t="s">
        <v>69</v>
      </c>
      <c r="J298" s="16" t="s">
        <v>142</v>
      </c>
      <c r="K298" s="13">
        <v>43415</v>
      </c>
      <c r="L298" s="13">
        <f t="shared" si="9"/>
        <v>44146</v>
      </c>
      <c r="M298" s="16" t="s">
        <v>138</v>
      </c>
      <c r="N298" s="16" t="s">
        <v>43</v>
      </c>
      <c r="O298" s="16" t="s">
        <v>72</v>
      </c>
      <c r="P298" s="16" t="s">
        <v>73</v>
      </c>
      <c r="Q298" s="17">
        <v>487.19999999999993</v>
      </c>
      <c r="R298" s="16">
        <v>58</v>
      </c>
      <c r="S298" s="42">
        <f>VENTAS[[#This Row],[Precio unitario]]*VENTAS[[#This Row],[Cantidad]]</f>
        <v>28257.599999999995</v>
      </c>
      <c r="T298" s="33">
        <v>2882.2752</v>
      </c>
    </row>
    <row r="299" spans="2:20">
      <c r="B299" s="31">
        <v>1340</v>
      </c>
      <c r="C299" s="13">
        <v>43410</v>
      </c>
      <c r="D299" s="13">
        <f t="shared" si="8"/>
        <v>44141</v>
      </c>
      <c r="E299" s="14">
        <v>6</v>
      </c>
      <c r="F299" s="15" t="s">
        <v>89</v>
      </c>
      <c r="G299" s="16" t="s">
        <v>46</v>
      </c>
      <c r="H299" s="16" t="s">
        <v>47</v>
      </c>
      <c r="I299" s="16" t="s">
        <v>48</v>
      </c>
      <c r="J299" s="16" t="s">
        <v>33</v>
      </c>
      <c r="K299" s="13">
        <v>43412</v>
      </c>
      <c r="L299" s="13">
        <f t="shared" si="9"/>
        <v>44143</v>
      </c>
      <c r="M299" s="16" t="s">
        <v>139</v>
      </c>
      <c r="N299" s="16" t="s">
        <v>25</v>
      </c>
      <c r="O299" s="16" t="s">
        <v>19</v>
      </c>
      <c r="P299" s="16" t="s">
        <v>20</v>
      </c>
      <c r="Q299" s="17">
        <v>196</v>
      </c>
      <c r="R299" s="16">
        <v>85</v>
      </c>
      <c r="S299" s="42">
        <f>VENTAS[[#This Row],[Precio unitario]]*VENTAS[[#This Row],[Cantidad]]</f>
        <v>16660</v>
      </c>
      <c r="T299" s="33">
        <v>1682.6599999999999</v>
      </c>
    </row>
    <row r="300" spans="2:20">
      <c r="B300" s="31">
        <v>1341</v>
      </c>
      <c r="C300" s="13">
        <v>43412</v>
      </c>
      <c r="D300" s="13">
        <f t="shared" si="8"/>
        <v>44143</v>
      </c>
      <c r="E300" s="14">
        <v>8</v>
      </c>
      <c r="F300" s="15" t="s">
        <v>90</v>
      </c>
      <c r="G300" s="16" t="s">
        <v>30</v>
      </c>
      <c r="H300" s="16" t="s">
        <v>31</v>
      </c>
      <c r="I300" s="16" t="s">
        <v>32</v>
      </c>
      <c r="J300" s="16" t="s">
        <v>33</v>
      </c>
      <c r="K300" s="13">
        <v>43414</v>
      </c>
      <c r="L300" s="13">
        <f t="shared" si="9"/>
        <v>44145</v>
      </c>
      <c r="M300" s="16" t="s">
        <v>139</v>
      </c>
      <c r="N300" s="16" t="s">
        <v>43</v>
      </c>
      <c r="O300" s="16" t="s">
        <v>49</v>
      </c>
      <c r="P300" s="16" t="s">
        <v>50</v>
      </c>
      <c r="Q300" s="17">
        <v>560</v>
      </c>
      <c r="R300" s="16">
        <v>28</v>
      </c>
      <c r="S300" s="42">
        <f>VENTAS[[#This Row],[Precio unitario]]*VENTAS[[#This Row],[Cantidad]]</f>
        <v>15680</v>
      </c>
      <c r="T300" s="33">
        <v>1552.32</v>
      </c>
    </row>
    <row r="301" spans="2:20">
      <c r="B301" s="31">
        <v>1342</v>
      </c>
      <c r="C301" s="13">
        <v>43412</v>
      </c>
      <c r="D301" s="13">
        <f t="shared" si="8"/>
        <v>44143</v>
      </c>
      <c r="E301" s="14">
        <v>8</v>
      </c>
      <c r="F301" s="15" t="s">
        <v>91</v>
      </c>
      <c r="G301" s="16" t="s">
        <v>30</v>
      </c>
      <c r="H301" s="16" t="s">
        <v>31</v>
      </c>
      <c r="I301" s="16" t="s">
        <v>32</v>
      </c>
      <c r="J301" s="16" t="s">
        <v>33</v>
      </c>
      <c r="K301" s="13">
        <v>43414</v>
      </c>
      <c r="L301" s="13">
        <f t="shared" si="9"/>
        <v>44145</v>
      </c>
      <c r="M301" s="16" t="s">
        <v>139</v>
      </c>
      <c r="N301" s="16" t="s">
        <v>43</v>
      </c>
      <c r="O301" s="16" t="s">
        <v>34</v>
      </c>
      <c r="P301" s="16" t="s">
        <v>35</v>
      </c>
      <c r="Q301" s="17">
        <v>128.79999999999998</v>
      </c>
      <c r="R301" s="16">
        <v>19</v>
      </c>
      <c r="S301" s="42">
        <f>VENTAS[[#This Row],[Precio unitario]]*VENTAS[[#This Row],[Cantidad]]</f>
        <v>2447.1999999999998</v>
      </c>
      <c r="T301" s="33">
        <v>239.82560000000001</v>
      </c>
    </row>
    <row r="302" spans="2:20">
      <c r="B302" s="31">
        <v>1343</v>
      </c>
      <c r="C302" s="13">
        <v>43429</v>
      </c>
      <c r="D302" s="13">
        <f t="shared" si="8"/>
        <v>44160</v>
      </c>
      <c r="E302" s="14">
        <v>25</v>
      </c>
      <c r="F302" s="15" t="s">
        <v>92</v>
      </c>
      <c r="G302" s="16" t="s">
        <v>54</v>
      </c>
      <c r="H302" s="16" t="s">
        <v>55</v>
      </c>
      <c r="I302" s="16" t="s">
        <v>56</v>
      </c>
      <c r="J302" s="16" t="s">
        <v>141</v>
      </c>
      <c r="K302" s="13">
        <v>43431</v>
      </c>
      <c r="L302" s="13">
        <f t="shared" si="9"/>
        <v>44162</v>
      </c>
      <c r="M302" s="16" t="s">
        <v>138</v>
      </c>
      <c r="N302" s="16" t="s">
        <v>43</v>
      </c>
      <c r="O302" s="16" t="s">
        <v>79</v>
      </c>
      <c r="P302" s="16" t="s">
        <v>35</v>
      </c>
      <c r="Q302" s="17">
        <v>140</v>
      </c>
      <c r="R302" s="16">
        <v>99</v>
      </c>
      <c r="S302" s="42">
        <f>VENTAS[[#This Row],[Precio unitario]]*VENTAS[[#This Row],[Cantidad]]</f>
        <v>13860</v>
      </c>
      <c r="T302" s="33">
        <v>1441.44</v>
      </c>
    </row>
    <row r="303" spans="2:20">
      <c r="B303" s="31">
        <v>1344</v>
      </c>
      <c r="C303" s="13">
        <v>43430</v>
      </c>
      <c r="D303" s="13">
        <f t="shared" si="8"/>
        <v>44161</v>
      </c>
      <c r="E303" s="14">
        <v>26</v>
      </c>
      <c r="F303" s="15" t="s">
        <v>93</v>
      </c>
      <c r="G303" s="16" t="s">
        <v>63</v>
      </c>
      <c r="H303" s="16" t="s">
        <v>63</v>
      </c>
      <c r="I303" s="16" t="s">
        <v>53</v>
      </c>
      <c r="J303" s="16" t="s">
        <v>143</v>
      </c>
      <c r="K303" s="13">
        <v>43432</v>
      </c>
      <c r="L303" s="13">
        <f t="shared" si="9"/>
        <v>44163</v>
      </c>
      <c r="M303" s="16" t="s">
        <v>140</v>
      </c>
      <c r="N303" s="16" t="s">
        <v>25</v>
      </c>
      <c r="O303" s="16" t="s">
        <v>80</v>
      </c>
      <c r="P303" s="16" t="s">
        <v>81</v>
      </c>
      <c r="Q303" s="17">
        <v>298.90000000000003</v>
      </c>
      <c r="R303" s="16">
        <v>69</v>
      </c>
      <c r="S303" s="42">
        <f>VENTAS[[#This Row],[Precio unitario]]*VENTAS[[#This Row],[Cantidad]]</f>
        <v>20624.100000000002</v>
      </c>
      <c r="T303" s="33">
        <v>2144.9064000000008</v>
      </c>
    </row>
    <row r="304" spans="2:20">
      <c r="B304" s="31">
        <v>1345</v>
      </c>
      <c r="C304" s="13">
        <v>43430</v>
      </c>
      <c r="D304" s="13">
        <f t="shared" si="8"/>
        <v>44161</v>
      </c>
      <c r="E304" s="14">
        <v>26</v>
      </c>
      <c r="F304" s="15" t="s">
        <v>94</v>
      </c>
      <c r="G304" s="16" t="s">
        <v>63</v>
      </c>
      <c r="H304" s="16" t="s">
        <v>63</v>
      </c>
      <c r="I304" s="16" t="s">
        <v>53</v>
      </c>
      <c r="J304" s="16" t="s">
        <v>143</v>
      </c>
      <c r="K304" s="13">
        <v>43432</v>
      </c>
      <c r="L304" s="13">
        <f t="shared" si="9"/>
        <v>44163</v>
      </c>
      <c r="M304" s="16" t="s">
        <v>140</v>
      </c>
      <c r="N304" s="16" t="s">
        <v>25</v>
      </c>
      <c r="O304" s="16" t="s">
        <v>44</v>
      </c>
      <c r="P304" s="16" t="s">
        <v>45</v>
      </c>
      <c r="Q304" s="17">
        <v>135.1</v>
      </c>
      <c r="R304" s="16">
        <v>37</v>
      </c>
      <c r="S304" s="42">
        <f>VENTAS[[#This Row],[Precio unitario]]*VENTAS[[#This Row],[Cantidad]]</f>
        <v>4998.7</v>
      </c>
      <c r="T304" s="33">
        <v>474.87650000000002</v>
      </c>
    </row>
    <row r="305" spans="2:20">
      <c r="B305" s="31">
        <v>1346</v>
      </c>
      <c r="C305" s="13">
        <v>43430</v>
      </c>
      <c r="D305" s="13">
        <f t="shared" si="8"/>
        <v>44161</v>
      </c>
      <c r="E305" s="14">
        <v>26</v>
      </c>
      <c r="F305" s="15" t="s">
        <v>95</v>
      </c>
      <c r="G305" s="16" t="s">
        <v>63</v>
      </c>
      <c r="H305" s="16" t="s">
        <v>63</v>
      </c>
      <c r="I305" s="16" t="s">
        <v>53</v>
      </c>
      <c r="J305" s="16" t="s">
        <v>143</v>
      </c>
      <c r="K305" s="13">
        <v>43432</v>
      </c>
      <c r="L305" s="13">
        <f t="shared" si="9"/>
        <v>44163</v>
      </c>
      <c r="M305" s="16" t="s">
        <v>140</v>
      </c>
      <c r="N305" s="16" t="s">
        <v>25</v>
      </c>
      <c r="O305" s="16" t="s">
        <v>66</v>
      </c>
      <c r="P305" s="16" t="s">
        <v>67</v>
      </c>
      <c r="Q305" s="17">
        <v>257.59999999999997</v>
      </c>
      <c r="R305" s="16">
        <v>64</v>
      </c>
      <c r="S305" s="42">
        <f>VENTAS[[#This Row],[Precio unitario]]*VENTAS[[#This Row],[Cantidad]]</f>
        <v>16486.399999999998</v>
      </c>
      <c r="T305" s="33">
        <v>1665.1263999999999</v>
      </c>
    </row>
    <row r="306" spans="2:20">
      <c r="B306" s="31">
        <v>1347</v>
      </c>
      <c r="C306" s="13">
        <v>43433</v>
      </c>
      <c r="D306" s="13">
        <f t="shared" si="8"/>
        <v>44164</v>
      </c>
      <c r="E306" s="14">
        <v>29</v>
      </c>
      <c r="F306" s="15" t="s">
        <v>96</v>
      </c>
      <c r="G306" s="16" t="s">
        <v>36</v>
      </c>
      <c r="H306" s="16" t="s">
        <v>37</v>
      </c>
      <c r="I306" s="16" t="s">
        <v>38</v>
      </c>
      <c r="J306" s="16" t="s">
        <v>142</v>
      </c>
      <c r="K306" s="13">
        <v>43435</v>
      </c>
      <c r="L306" s="13">
        <f t="shared" si="9"/>
        <v>44166</v>
      </c>
      <c r="M306" s="16" t="s">
        <v>139</v>
      </c>
      <c r="N306" s="16" t="s">
        <v>43</v>
      </c>
      <c r="O306" s="16" t="s">
        <v>19</v>
      </c>
      <c r="P306" s="16" t="s">
        <v>20</v>
      </c>
      <c r="Q306" s="17">
        <v>196</v>
      </c>
      <c r="R306" s="16">
        <v>38</v>
      </c>
      <c r="S306" s="42">
        <f>VENTAS[[#This Row],[Precio unitario]]*VENTAS[[#This Row],[Cantidad]]</f>
        <v>7448</v>
      </c>
      <c r="T306" s="33">
        <v>774.5920000000001</v>
      </c>
    </row>
    <row r="307" spans="2:20">
      <c r="B307" s="31">
        <v>1348</v>
      </c>
      <c r="C307" s="13">
        <v>43410</v>
      </c>
      <c r="D307" s="13">
        <f t="shared" si="8"/>
        <v>44141</v>
      </c>
      <c r="E307" s="14">
        <v>6</v>
      </c>
      <c r="F307" s="15" t="s">
        <v>97</v>
      </c>
      <c r="G307" s="16" t="s">
        <v>46</v>
      </c>
      <c r="H307" s="16" t="s">
        <v>47</v>
      </c>
      <c r="I307" s="16" t="s">
        <v>48</v>
      </c>
      <c r="J307" s="16" t="s">
        <v>33</v>
      </c>
      <c r="K307" s="13">
        <v>43412</v>
      </c>
      <c r="L307" s="13">
        <f t="shared" si="9"/>
        <v>44143</v>
      </c>
      <c r="M307" s="16" t="s">
        <v>140</v>
      </c>
      <c r="N307" s="16" t="s">
        <v>43</v>
      </c>
      <c r="O307" s="16" t="s">
        <v>39</v>
      </c>
      <c r="P307" s="16" t="s">
        <v>40</v>
      </c>
      <c r="Q307" s="17">
        <v>178.5</v>
      </c>
      <c r="R307" s="16">
        <v>15</v>
      </c>
      <c r="S307" s="42">
        <f>VENTAS[[#This Row],[Precio unitario]]*VENTAS[[#This Row],[Cantidad]]</f>
        <v>2677.5</v>
      </c>
      <c r="T307" s="33">
        <v>259.71749999999997</v>
      </c>
    </row>
    <row r="308" spans="2:20">
      <c r="B308" s="31">
        <v>1350</v>
      </c>
      <c r="C308" s="13">
        <v>43408</v>
      </c>
      <c r="D308" s="13">
        <f t="shared" si="8"/>
        <v>44139</v>
      </c>
      <c r="E308" s="14">
        <v>4</v>
      </c>
      <c r="F308" s="15" t="s">
        <v>98</v>
      </c>
      <c r="G308" s="16" t="s">
        <v>23</v>
      </c>
      <c r="H308" s="16" t="s">
        <v>23</v>
      </c>
      <c r="I308" s="16" t="s">
        <v>24</v>
      </c>
      <c r="J308" s="16" t="s">
        <v>141</v>
      </c>
      <c r="K308" s="13">
        <v>43410</v>
      </c>
      <c r="L308" s="13">
        <f t="shared" si="9"/>
        <v>44141</v>
      </c>
      <c r="M308" s="16" t="s">
        <v>138</v>
      </c>
      <c r="N308" s="16" t="s">
        <v>25</v>
      </c>
      <c r="O308" s="16" t="s">
        <v>82</v>
      </c>
      <c r="P308" s="16" t="s">
        <v>60</v>
      </c>
      <c r="Q308" s="17">
        <v>1134</v>
      </c>
      <c r="R308" s="16">
        <v>52</v>
      </c>
      <c r="S308" s="42">
        <f>VENTAS[[#This Row],[Precio unitario]]*VENTAS[[#This Row],[Cantidad]]</f>
        <v>58968</v>
      </c>
      <c r="T308" s="33">
        <v>5778.8640000000005</v>
      </c>
    </row>
    <row r="309" spans="2:20">
      <c r="B309" s="31">
        <v>1351</v>
      </c>
      <c r="C309" s="13">
        <v>43408</v>
      </c>
      <c r="D309" s="13">
        <f t="shared" si="8"/>
        <v>44139</v>
      </c>
      <c r="E309" s="14">
        <v>4</v>
      </c>
      <c r="F309" s="15" t="s">
        <v>99</v>
      </c>
      <c r="G309" s="16" t="s">
        <v>23</v>
      </c>
      <c r="H309" s="16" t="s">
        <v>23</v>
      </c>
      <c r="I309" s="16" t="s">
        <v>24</v>
      </c>
      <c r="J309" s="16" t="s">
        <v>141</v>
      </c>
      <c r="K309" s="13">
        <v>43410</v>
      </c>
      <c r="L309" s="13">
        <f t="shared" si="9"/>
        <v>44141</v>
      </c>
      <c r="M309" s="16" t="s">
        <v>138</v>
      </c>
      <c r="N309" s="16" t="s">
        <v>25</v>
      </c>
      <c r="O309" s="16" t="s">
        <v>83</v>
      </c>
      <c r="P309" s="16" t="s">
        <v>84</v>
      </c>
      <c r="Q309" s="17">
        <v>98</v>
      </c>
      <c r="R309" s="16">
        <v>37</v>
      </c>
      <c r="S309" s="42">
        <f>VENTAS[[#This Row],[Precio unitario]]*VENTAS[[#This Row],[Cantidad]]</f>
        <v>3626</v>
      </c>
      <c r="T309" s="33">
        <v>355.34800000000001</v>
      </c>
    </row>
    <row r="310" spans="2:20">
      <c r="B310" s="31">
        <v>1353</v>
      </c>
      <c r="C310" s="13">
        <v>43412</v>
      </c>
      <c r="D310" s="13">
        <f t="shared" si="8"/>
        <v>44143</v>
      </c>
      <c r="E310" s="14">
        <v>8</v>
      </c>
      <c r="F310" s="15" t="s">
        <v>100</v>
      </c>
      <c r="G310" s="16" t="s">
        <v>30</v>
      </c>
      <c r="H310" s="16" t="s">
        <v>31</v>
      </c>
      <c r="I310" s="16" t="s">
        <v>32</v>
      </c>
      <c r="J310" s="16" t="s">
        <v>33</v>
      </c>
      <c r="K310" s="13">
        <v>43414</v>
      </c>
      <c r="L310" s="13">
        <f t="shared" si="9"/>
        <v>44145</v>
      </c>
      <c r="M310" s="16" t="s">
        <v>140</v>
      </c>
      <c r="N310" s="16" t="s">
        <v>25</v>
      </c>
      <c r="O310" s="16" t="s">
        <v>72</v>
      </c>
      <c r="P310" s="16" t="s">
        <v>73</v>
      </c>
      <c r="Q310" s="17">
        <v>487.19999999999993</v>
      </c>
      <c r="R310" s="16">
        <v>24</v>
      </c>
      <c r="S310" s="42">
        <f>VENTAS[[#This Row],[Precio unitario]]*VENTAS[[#This Row],[Cantidad]]</f>
        <v>11692.8</v>
      </c>
      <c r="T310" s="33">
        <v>1122.5087999999998</v>
      </c>
    </row>
    <row r="311" spans="2:20">
      <c r="B311" s="31">
        <v>1356</v>
      </c>
      <c r="C311" s="13">
        <v>43407</v>
      </c>
      <c r="D311" s="13">
        <f t="shared" si="8"/>
        <v>44138</v>
      </c>
      <c r="E311" s="14">
        <v>3</v>
      </c>
      <c r="F311" s="15" t="s">
        <v>101</v>
      </c>
      <c r="G311" s="16" t="s">
        <v>41</v>
      </c>
      <c r="H311" s="16" t="s">
        <v>42</v>
      </c>
      <c r="I311" s="16" t="s">
        <v>18</v>
      </c>
      <c r="J311" s="16" t="s">
        <v>142</v>
      </c>
      <c r="K311" s="13">
        <v>43409</v>
      </c>
      <c r="L311" s="13">
        <f t="shared" si="9"/>
        <v>44140</v>
      </c>
      <c r="M311" s="16" t="s">
        <v>139</v>
      </c>
      <c r="N311" s="16" t="s">
        <v>43</v>
      </c>
      <c r="O311" s="16" t="s">
        <v>74</v>
      </c>
      <c r="P311" s="16" t="s">
        <v>62</v>
      </c>
      <c r="Q311" s="17">
        <v>140</v>
      </c>
      <c r="R311" s="16">
        <v>36</v>
      </c>
      <c r="S311" s="42">
        <f>VENTAS[[#This Row],[Precio unitario]]*VENTAS[[#This Row],[Cantidad]]</f>
        <v>5040</v>
      </c>
      <c r="T311" s="33">
        <v>519.12</v>
      </c>
    </row>
    <row r="312" spans="2:20">
      <c r="B312" s="31">
        <v>1357</v>
      </c>
      <c r="C312" s="13">
        <v>43407</v>
      </c>
      <c r="D312" s="13">
        <f t="shared" si="8"/>
        <v>44138</v>
      </c>
      <c r="E312" s="14">
        <v>3</v>
      </c>
      <c r="F312" s="15" t="s">
        <v>102</v>
      </c>
      <c r="G312" s="16" t="s">
        <v>41</v>
      </c>
      <c r="H312" s="16" t="s">
        <v>42</v>
      </c>
      <c r="I312" s="16" t="s">
        <v>18</v>
      </c>
      <c r="J312" s="16" t="s">
        <v>142</v>
      </c>
      <c r="K312" s="13">
        <v>43409</v>
      </c>
      <c r="L312" s="13">
        <f t="shared" si="9"/>
        <v>44140</v>
      </c>
      <c r="M312" s="16" t="s">
        <v>139</v>
      </c>
      <c r="N312" s="16" t="s">
        <v>43</v>
      </c>
      <c r="O312" s="16" t="s">
        <v>49</v>
      </c>
      <c r="P312" s="16" t="s">
        <v>50</v>
      </c>
      <c r="Q312" s="17">
        <v>560</v>
      </c>
      <c r="R312" s="16">
        <v>24</v>
      </c>
      <c r="S312" s="42">
        <f>VENTAS[[#This Row],[Precio unitario]]*VENTAS[[#This Row],[Cantidad]]</f>
        <v>13440</v>
      </c>
      <c r="T312" s="33">
        <v>1344</v>
      </c>
    </row>
    <row r="313" spans="2:20">
      <c r="B313" s="31">
        <v>1361</v>
      </c>
      <c r="C313" s="13">
        <v>43414</v>
      </c>
      <c r="D313" s="13">
        <f t="shared" si="8"/>
        <v>44145</v>
      </c>
      <c r="E313" s="14">
        <v>10</v>
      </c>
      <c r="F313" s="15" t="s">
        <v>103</v>
      </c>
      <c r="G313" s="16" t="s">
        <v>54</v>
      </c>
      <c r="H313" s="16" t="s">
        <v>55</v>
      </c>
      <c r="I313" s="16" t="s">
        <v>56</v>
      </c>
      <c r="J313" s="16" t="s">
        <v>141</v>
      </c>
      <c r="K313" s="13">
        <v>43416</v>
      </c>
      <c r="L313" s="13">
        <f t="shared" si="9"/>
        <v>44147</v>
      </c>
      <c r="M313" s="16" t="s">
        <v>139</v>
      </c>
      <c r="N313" s="16" t="s">
        <v>25</v>
      </c>
      <c r="O313" s="16" t="s">
        <v>75</v>
      </c>
      <c r="P313" s="16" t="s">
        <v>22</v>
      </c>
      <c r="Q313" s="17">
        <v>140</v>
      </c>
      <c r="R313" s="16">
        <v>20</v>
      </c>
      <c r="S313" s="42">
        <f>VENTAS[[#This Row],[Precio unitario]]*VENTAS[[#This Row],[Cantidad]]</f>
        <v>2800</v>
      </c>
      <c r="T313" s="33">
        <v>280</v>
      </c>
    </row>
    <row r="314" spans="2:20">
      <c r="B314" s="31">
        <v>1363</v>
      </c>
      <c r="C314" s="13">
        <v>43414</v>
      </c>
      <c r="D314" s="13">
        <f t="shared" si="8"/>
        <v>44145</v>
      </c>
      <c r="E314" s="14">
        <v>10</v>
      </c>
      <c r="F314" s="15" t="s">
        <v>104</v>
      </c>
      <c r="G314" s="16" t="s">
        <v>54</v>
      </c>
      <c r="H314" s="16" t="s">
        <v>55</v>
      </c>
      <c r="I314" s="16" t="s">
        <v>56</v>
      </c>
      <c r="J314" s="16" t="s">
        <v>141</v>
      </c>
      <c r="K314" s="13"/>
      <c r="L314" s="13">
        <f t="shared" si="9"/>
        <v>731</v>
      </c>
      <c r="M314" s="16" t="s">
        <v>138</v>
      </c>
      <c r="N314" s="16" t="s">
        <v>25</v>
      </c>
      <c r="O314" s="16" t="s">
        <v>21</v>
      </c>
      <c r="P314" s="16" t="s">
        <v>22</v>
      </c>
      <c r="Q314" s="17">
        <v>49</v>
      </c>
      <c r="R314" s="16">
        <v>11</v>
      </c>
      <c r="S314" s="42">
        <f>VENTAS[[#This Row],[Precio unitario]]*VENTAS[[#This Row],[Cantidad]]</f>
        <v>539</v>
      </c>
      <c r="T314" s="33">
        <v>52.283000000000001</v>
      </c>
    </row>
    <row r="315" spans="2:20">
      <c r="B315" s="31">
        <v>1364</v>
      </c>
      <c r="C315" s="13">
        <v>43415</v>
      </c>
      <c r="D315" s="13">
        <f t="shared" si="8"/>
        <v>44146</v>
      </c>
      <c r="E315" s="14">
        <v>11</v>
      </c>
      <c r="F315" s="15" t="s">
        <v>105</v>
      </c>
      <c r="G315" s="16" t="s">
        <v>63</v>
      </c>
      <c r="H315" s="16" t="s">
        <v>63</v>
      </c>
      <c r="I315" s="16" t="s">
        <v>53</v>
      </c>
      <c r="J315" s="16" t="s">
        <v>143</v>
      </c>
      <c r="K315" s="13"/>
      <c r="L315" s="13">
        <f t="shared" si="9"/>
        <v>731</v>
      </c>
      <c r="M315" s="16" t="s">
        <v>140</v>
      </c>
      <c r="N315" s="16" t="s">
        <v>25</v>
      </c>
      <c r="O315" s="16" t="s">
        <v>49</v>
      </c>
      <c r="P315" s="16" t="s">
        <v>50</v>
      </c>
      <c r="Q315" s="17">
        <v>560</v>
      </c>
      <c r="R315" s="16">
        <v>78</v>
      </c>
      <c r="S315" s="42">
        <f>VENTAS[[#This Row],[Precio unitario]]*VENTAS[[#This Row],[Cantidad]]</f>
        <v>43680</v>
      </c>
      <c r="T315" s="33">
        <v>4193.28</v>
      </c>
    </row>
    <row r="316" spans="2:20">
      <c r="B316" s="31">
        <v>1365</v>
      </c>
      <c r="C316" s="13">
        <v>43405</v>
      </c>
      <c r="D316" s="13">
        <f t="shared" si="8"/>
        <v>44136</v>
      </c>
      <c r="E316" s="14">
        <v>1</v>
      </c>
      <c r="F316" s="15" t="s">
        <v>106</v>
      </c>
      <c r="G316" s="16" t="s">
        <v>64</v>
      </c>
      <c r="H316" s="16" t="s">
        <v>65</v>
      </c>
      <c r="I316" s="16" t="s">
        <v>32</v>
      </c>
      <c r="J316" s="16" t="s">
        <v>33</v>
      </c>
      <c r="K316" s="13"/>
      <c r="L316" s="13">
        <f t="shared" si="9"/>
        <v>731</v>
      </c>
      <c r="M316" s="16" t="s">
        <v>140</v>
      </c>
      <c r="N316" s="16" t="s">
        <v>25</v>
      </c>
      <c r="O316" s="16" t="s">
        <v>66</v>
      </c>
      <c r="P316" s="16" t="s">
        <v>67</v>
      </c>
      <c r="Q316" s="17">
        <v>257.59999999999997</v>
      </c>
      <c r="R316" s="16">
        <v>76</v>
      </c>
      <c r="S316" s="42">
        <f>VENTAS[[#This Row],[Precio unitario]]*VENTAS[[#This Row],[Cantidad]]</f>
        <v>19577.599999999999</v>
      </c>
      <c r="T316" s="33">
        <v>2016.4928</v>
      </c>
    </row>
    <row r="317" spans="2:20">
      <c r="B317" s="31">
        <v>1366</v>
      </c>
      <c r="C317" s="13">
        <v>43432</v>
      </c>
      <c r="D317" s="13">
        <f t="shared" si="8"/>
        <v>44163</v>
      </c>
      <c r="E317" s="14">
        <v>28</v>
      </c>
      <c r="F317" s="15" t="s">
        <v>107</v>
      </c>
      <c r="G317" s="16" t="s">
        <v>51</v>
      </c>
      <c r="H317" s="16" t="s">
        <v>52</v>
      </c>
      <c r="I317" s="16" t="s">
        <v>53</v>
      </c>
      <c r="J317" s="16" t="s">
        <v>143</v>
      </c>
      <c r="K317" s="13">
        <v>43434</v>
      </c>
      <c r="L317" s="13">
        <f t="shared" si="9"/>
        <v>44165</v>
      </c>
      <c r="M317" s="16" t="s">
        <v>140</v>
      </c>
      <c r="N317" s="16" t="s">
        <v>25</v>
      </c>
      <c r="O317" s="16" t="s">
        <v>29</v>
      </c>
      <c r="P317" s="16" t="s">
        <v>20</v>
      </c>
      <c r="Q317" s="17">
        <v>644</v>
      </c>
      <c r="R317" s="16">
        <v>57</v>
      </c>
      <c r="S317" s="42">
        <f>VENTAS[[#This Row],[Precio unitario]]*VENTAS[[#This Row],[Cantidad]]</f>
        <v>36708</v>
      </c>
      <c r="T317" s="33">
        <v>3817.6319999999996</v>
      </c>
    </row>
    <row r="318" spans="2:20">
      <c r="B318" s="31">
        <v>1367</v>
      </c>
      <c r="C318" s="13">
        <v>43413</v>
      </c>
      <c r="D318" s="13">
        <f t="shared" si="8"/>
        <v>44144</v>
      </c>
      <c r="E318" s="14">
        <v>9</v>
      </c>
      <c r="F318" s="15" t="s">
        <v>108</v>
      </c>
      <c r="G318" s="16" t="s">
        <v>68</v>
      </c>
      <c r="H318" s="16" t="s">
        <v>37</v>
      </c>
      <c r="I318" s="16" t="s">
        <v>69</v>
      </c>
      <c r="J318" s="16" t="s">
        <v>142</v>
      </c>
      <c r="K318" s="13">
        <v>43415</v>
      </c>
      <c r="L318" s="13">
        <f t="shared" si="9"/>
        <v>44146</v>
      </c>
      <c r="M318" s="16" t="s">
        <v>138</v>
      </c>
      <c r="N318" s="16" t="s">
        <v>43</v>
      </c>
      <c r="O318" s="16" t="s">
        <v>44</v>
      </c>
      <c r="P318" s="16" t="s">
        <v>45</v>
      </c>
      <c r="Q318" s="17">
        <v>135.1</v>
      </c>
      <c r="R318" s="16">
        <v>14</v>
      </c>
      <c r="S318" s="42">
        <f>VENTAS[[#This Row],[Precio unitario]]*VENTAS[[#This Row],[Cantidad]]</f>
        <v>1891.3999999999999</v>
      </c>
      <c r="T318" s="33">
        <v>181.5744</v>
      </c>
    </row>
    <row r="319" spans="2:20">
      <c r="B319" s="31">
        <v>1368</v>
      </c>
      <c r="C319" s="13">
        <v>43461</v>
      </c>
      <c r="D319" s="13">
        <f t="shared" si="8"/>
        <v>44192</v>
      </c>
      <c r="E319" s="14">
        <v>27</v>
      </c>
      <c r="F319" s="15" t="s">
        <v>109</v>
      </c>
      <c r="G319" s="16" t="s">
        <v>16</v>
      </c>
      <c r="H319" s="16" t="s">
        <v>17</v>
      </c>
      <c r="I319" s="16" t="s">
        <v>18</v>
      </c>
      <c r="J319" s="16" t="s">
        <v>142</v>
      </c>
      <c r="K319" s="13">
        <v>43463</v>
      </c>
      <c r="L319" s="13">
        <f t="shared" si="9"/>
        <v>44194</v>
      </c>
      <c r="M319" s="16" t="s">
        <v>139</v>
      </c>
      <c r="N319" s="16" t="s">
        <v>43</v>
      </c>
      <c r="O319" s="16" t="s">
        <v>19</v>
      </c>
      <c r="P319" s="16" t="s">
        <v>20</v>
      </c>
      <c r="Q319" s="17">
        <v>196</v>
      </c>
      <c r="R319" s="16">
        <v>14</v>
      </c>
      <c r="S319" s="42">
        <f>VENTAS[[#This Row],[Precio unitario]]*VENTAS[[#This Row],[Cantidad]]</f>
        <v>2744</v>
      </c>
      <c r="T319" s="33">
        <v>277.14400000000006</v>
      </c>
    </row>
    <row r="320" spans="2:20">
      <c r="B320" s="31">
        <v>1369</v>
      </c>
      <c r="C320" s="13">
        <v>43461</v>
      </c>
      <c r="D320" s="13">
        <f t="shared" si="8"/>
        <v>44192</v>
      </c>
      <c r="E320" s="14">
        <v>27</v>
      </c>
      <c r="F320" s="15" t="s">
        <v>110</v>
      </c>
      <c r="G320" s="16" t="s">
        <v>16</v>
      </c>
      <c r="H320" s="16" t="s">
        <v>17</v>
      </c>
      <c r="I320" s="16" t="s">
        <v>18</v>
      </c>
      <c r="J320" s="16" t="s">
        <v>142</v>
      </c>
      <c r="K320" s="13">
        <v>43463</v>
      </c>
      <c r="L320" s="13">
        <f t="shared" si="9"/>
        <v>44194</v>
      </c>
      <c r="M320" s="16" t="s">
        <v>139</v>
      </c>
      <c r="N320" s="16" t="s">
        <v>43</v>
      </c>
      <c r="O320" s="16" t="s">
        <v>21</v>
      </c>
      <c r="P320" s="16" t="s">
        <v>22</v>
      </c>
      <c r="Q320" s="17">
        <v>49</v>
      </c>
      <c r="R320" s="16">
        <v>70</v>
      </c>
      <c r="S320" s="42">
        <f>VENTAS[[#This Row],[Precio unitario]]*VENTAS[[#This Row],[Cantidad]]</f>
        <v>3430</v>
      </c>
      <c r="T320" s="33">
        <v>353.28999999999996</v>
      </c>
    </row>
    <row r="321" spans="2:20">
      <c r="B321" s="31">
        <v>1370</v>
      </c>
      <c r="C321" s="13">
        <v>43438</v>
      </c>
      <c r="D321" s="13">
        <f t="shared" si="8"/>
        <v>44169</v>
      </c>
      <c r="E321" s="14">
        <v>4</v>
      </c>
      <c r="F321" s="15" t="s">
        <v>111</v>
      </c>
      <c r="G321" s="16" t="s">
        <v>23</v>
      </c>
      <c r="H321" s="16" t="s">
        <v>23</v>
      </c>
      <c r="I321" s="16" t="s">
        <v>24</v>
      </c>
      <c r="J321" s="16" t="s">
        <v>141</v>
      </c>
      <c r="K321" s="13">
        <v>43440</v>
      </c>
      <c r="L321" s="13">
        <f t="shared" si="9"/>
        <v>44171</v>
      </c>
      <c r="M321" s="16" t="s">
        <v>138</v>
      </c>
      <c r="N321" s="16" t="s">
        <v>25</v>
      </c>
      <c r="O321" s="16" t="s">
        <v>26</v>
      </c>
      <c r="P321" s="16" t="s">
        <v>22</v>
      </c>
      <c r="Q321" s="17">
        <v>420</v>
      </c>
      <c r="R321" s="16">
        <v>100</v>
      </c>
      <c r="S321" s="42">
        <f>VENTAS[[#This Row],[Precio unitario]]*VENTAS[[#This Row],[Cantidad]]</f>
        <v>42000</v>
      </c>
      <c r="T321" s="33">
        <v>4074</v>
      </c>
    </row>
    <row r="322" spans="2:20">
      <c r="B322" s="31">
        <v>1371</v>
      </c>
      <c r="C322" s="13">
        <v>43438</v>
      </c>
      <c r="D322" s="13">
        <f t="shared" si="8"/>
        <v>44169</v>
      </c>
      <c r="E322" s="14">
        <v>4</v>
      </c>
      <c r="F322" s="15" t="s">
        <v>112</v>
      </c>
      <c r="G322" s="16" t="s">
        <v>23</v>
      </c>
      <c r="H322" s="16" t="s">
        <v>23</v>
      </c>
      <c r="I322" s="16" t="s">
        <v>24</v>
      </c>
      <c r="J322" s="16" t="s">
        <v>141</v>
      </c>
      <c r="K322" s="13">
        <v>43440</v>
      </c>
      <c r="L322" s="13">
        <f t="shared" si="9"/>
        <v>44171</v>
      </c>
      <c r="M322" s="16" t="s">
        <v>138</v>
      </c>
      <c r="N322" s="16" t="s">
        <v>25</v>
      </c>
      <c r="O322" s="16" t="s">
        <v>27</v>
      </c>
      <c r="P322" s="16" t="s">
        <v>22</v>
      </c>
      <c r="Q322" s="17">
        <v>742</v>
      </c>
      <c r="R322" s="16">
        <v>27</v>
      </c>
      <c r="S322" s="42">
        <f>VENTAS[[#This Row],[Precio unitario]]*VENTAS[[#This Row],[Cantidad]]</f>
        <v>20034</v>
      </c>
      <c r="T322" s="33">
        <v>2003.3999999999999</v>
      </c>
    </row>
    <row r="323" spans="2:20">
      <c r="B323" s="31">
        <v>1372</v>
      </c>
      <c r="C323" s="13">
        <v>43438</v>
      </c>
      <c r="D323" s="13">
        <f t="shared" si="8"/>
        <v>44169</v>
      </c>
      <c r="E323" s="14">
        <v>4</v>
      </c>
      <c r="F323" s="15" t="s">
        <v>113</v>
      </c>
      <c r="G323" s="16" t="s">
        <v>23</v>
      </c>
      <c r="H323" s="16" t="s">
        <v>23</v>
      </c>
      <c r="I323" s="16" t="s">
        <v>24</v>
      </c>
      <c r="J323" s="16" t="s">
        <v>141</v>
      </c>
      <c r="K323" s="13">
        <v>43440</v>
      </c>
      <c r="L323" s="13">
        <f t="shared" si="9"/>
        <v>44171</v>
      </c>
      <c r="M323" s="16" t="s">
        <v>138</v>
      </c>
      <c r="N323" s="16" t="s">
        <v>25</v>
      </c>
      <c r="O323" s="16" t="s">
        <v>21</v>
      </c>
      <c r="P323" s="16" t="s">
        <v>22</v>
      </c>
      <c r="Q323" s="17">
        <v>49</v>
      </c>
      <c r="R323" s="16">
        <v>70</v>
      </c>
      <c r="S323" s="42">
        <f>VENTAS[[#This Row],[Precio unitario]]*VENTAS[[#This Row],[Cantidad]]</f>
        <v>3430</v>
      </c>
      <c r="T323" s="33">
        <v>336.14</v>
      </c>
    </row>
    <row r="324" spans="2:20">
      <c r="B324" s="31">
        <v>1373</v>
      </c>
      <c r="C324" s="13">
        <v>43446</v>
      </c>
      <c r="D324" s="13">
        <f t="shared" si="8"/>
        <v>44177</v>
      </c>
      <c r="E324" s="14">
        <v>12</v>
      </c>
      <c r="F324" s="15" t="s">
        <v>114</v>
      </c>
      <c r="G324" s="16" t="s">
        <v>16</v>
      </c>
      <c r="H324" s="16" t="s">
        <v>17</v>
      </c>
      <c r="I324" s="16" t="s">
        <v>18</v>
      </c>
      <c r="J324" s="16" t="s">
        <v>142</v>
      </c>
      <c r="K324" s="13">
        <v>43448</v>
      </c>
      <c r="L324" s="13">
        <f t="shared" si="9"/>
        <v>44179</v>
      </c>
      <c r="M324" s="16" t="s">
        <v>139</v>
      </c>
      <c r="N324" s="16" t="s">
        <v>25</v>
      </c>
      <c r="O324" s="16" t="s">
        <v>28</v>
      </c>
      <c r="P324" s="16" t="s">
        <v>20</v>
      </c>
      <c r="Q324" s="17">
        <v>252</v>
      </c>
      <c r="R324" s="16">
        <v>57</v>
      </c>
      <c r="S324" s="42">
        <f>VENTAS[[#This Row],[Precio unitario]]*VENTAS[[#This Row],[Cantidad]]</f>
        <v>14364</v>
      </c>
      <c r="T324" s="33">
        <v>1436.4</v>
      </c>
    </row>
    <row r="325" spans="2:20">
      <c r="B325" s="31">
        <v>1374</v>
      </c>
      <c r="C325" s="13">
        <v>43446</v>
      </c>
      <c r="D325" s="13">
        <f t="shared" si="8"/>
        <v>44177</v>
      </c>
      <c r="E325" s="14">
        <v>12</v>
      </c>
      <c r="F325" s="15" t="s">
        <v>115</v>
      </c>
      <c r="G325" s="16" t="s">
        <v>16</v>
      </c>
      <c r="H325" s="16" t="s">
        <v>17</v>
      </c>
      <c r="I325" s="16" t="s">
        <v>18</v>
      </c>
      <c r="J325" s="16" t="s">
        <v>142</v>
      </c>
      <c r="K325" s="13">
        <v>43448</v>
      </c>
      <c r="L325" s="13">
        <f t="shared" si="9"/>
        <v>44179</v>
      </c>
      <c r="M325" s="16" t="s">
        <v>139</v>
      </c>
      <c r="N325" s="16" t="s">
        <v>25</v>
      </c>
      <c r="O325" s="16" t="s">
        <v>29</v>
      </c>
      <c r="P325" s="16" t="s">
        <v>20</v>
      </c>
      <c r="Q325" s="17">
        <v>644</v>
      </c>
      <c r="R325" s="16">
        <v>83</v>
      </c>
      <c r="S325" s="42">
        <f>VENTAS[[#This Row],[Precio unitario]]*VENTAS[[#This Row],[Cantidad]]</f>
        <v>53452</v>
      </c>
      <c r="T325" s="33">
        <v>5238.2960000000003</v>
      </c>
    </row>
    <row r="326" spans="2:20">
      <c r="B326" s="31">
        <v>1375</v>
      </c>
      <c r="C326" s="13">
        <v>43442</v>
      </c>
      <c r="D326" s="13">
        <f t="shared" si="8"/>
        <v>44173</v>
      </c>
      <c r="E326" s="14">
        <v>8</v>
      </c>
      <c r="F326" s="15" t="s">
        <v>116</v>
      </c>
      <c r="G326" s="16" t="s">
        <v>30</v>
      </c>
      <c r="H326" s="16" t="s">
        <v>31</v>
      </c>
      <c r="I326" s="16" t="s">
        <v>32</v>
      </c>
      <c r="J326" s="16" t="s">
        <v>33</v>
      </c>
      <c r="K326" s="13">
        <v>43444</v>
      </c>
      <c r="L326" s="13">
        <f t="shared" si="9"/>
        <v>44175</v>
      </c>
      <c r="M326" s="16" t="s">
        <v>140</v>
      </c>
      <c r="N326" s="16" t="s">
        <v>25</v>
      </c>
      <c r="O326" s="16" t="s">
        <v>34</v>
      </c>
      <c r="P326" s="16" t="s">
        <v>35</v>
      </c>
      <c r="Q326" s="17">
        <v>128.79999999999998</v>
      </c>
      <c r="R326" s="16">
        <v>76</v>
      </c>
      <c r="S326" s="42">
        <f>VENTAS[[#This Row],[Precio unitario]]*VENTAS[[#This Row],[Cantidad]]</f>
        <v>9788.7999999999993</v>
      </c>
      <c r="T326" s="33">
        <v>939.72479999999996</v>
      </c>
    </row>
    <row r="327" spans="2:20">
      <c r="B327" s="31">
        <v>1376</v>
      </c>
      <c r="C327" s="13">
        <v>43438</v>
      </c>
      <c r="D327" s="13">
        <f t="shared" ref="D327:D377" si="10">EDATE(C327,24)</f>
        <v>44169</v>
      </c>
      <c r="E327" s="14">
        <v>4</v>
      </c>
      <c r="F327" s="15" t="s">
        <v>117</v>
      </c>
      <c r="G327" s="16" t="s">
        <v>23</v>
      </c>
      <c r="H327" s="16" t="s">
        <v>23</v>
      </c>
      <c r="I327" s="16" t="s">
        <v>24</v>
      </c>
      <c r="J327" s="16" t="s">
        <v>141</v>
      </c>
      <c r="K327" s="13">
        <v>43440</v>
      </c>
      <c r="L327" s="13">
        <f t="shared" ref="L327:L377" si="11">EDATE(K327,24)</f>
        <v>44171</v>
      </c>
      <c r="M327" s="16" t="s">
        <v>140</v>
      </c>
      <c r="N327" s="16" t="s">
        <v>43</v>
      </c>
      <c r="O327" s="16" t="s">
        <v>34</v>
      </c>
      <c r="P327" s="16" t="s">
        <v>35</v>
      </c>
      <c r="Q327" s="17">
        <v>128.79999999999998</v>
      </c>
      <c r="R327" s="16">
        <v>80</v>
      </c>
      <c r="S327" s="42">
        <f>VENTAS[[#This Row],[Precio unitario]]*VENTAS[[#This Row],[Cantidad]]</f>
        <v>10303.999999999998</v>
      </c>
      <c r="T327" s="33">
        <v>1020.096</v>
      </c>
    </row>
    <row r="328" spans="2:20">
      <c r="B328" s="31">
        <v>1377</v>
      </c>
      <c r="C328" s="13">
        <v>43463</v>
      </c>
      <c r="D328" s="13">
        <f t="shared" si="10"/>
        <v>44194</v>
      </c>
      <c r="E328" s="14">
        <v>29</v>
      </c>
      <c r="F328" s="15" t="s">
        <v>118</v>
      </c>
      <c r="G328" s="16" t="s">
        <v>36</v>
      </c>
      <c r="H328" s="16" t="s">
        <v>37</v>
      </c>
      <c r="I328" s="16" t="s">
        <v>38</v>
      </c>
      <c r="J328" s="16" t="s">
        <v>142</v>
      </c>
      <c r="K328" s="13">
        <v>43465</v>
      </c>
      <c r="L328" s="13">
        <f t="shared" si="11"/>
        <v>44196</v>
      </c>
      <c r="M328" s="16" t="s">
        <v>139</v>
      </c>
      <c r="N328" s="16" t="s">
        <v>43</v>
      </c>
      <c r="O328" s="16" t="s">
        <v>39</v>
      </c>
      <c r="P328" s="16" t="s">
        <v>40</v>
      </c>
      <c r="Q328" s="17">
        <v>178.5</v>
      </c>
      <c r="R328" s="16">
        <v>47</v>
      </c>
      <c r="S328" s="42">
        <f>VENTAS[[#This Row],[Precio unitario]]*VENTAS[[#This Row],[Cantidad]]</f>
        <v>8389.5</v>
      </c>
      <c r="T328" s="33">
        <v>830.56050000000005</v>
      </c>
    </row>
    <row r="329" spans="2:20">
      <c r="B329" s="31">
        <v>1378</v>
      </c>
      <c r="C329" s="13">
        <v>43437</v>
      </c>
      <c r="D329" s="13">
        <f t="shared" si="10"/>
        <v>44168</v>
      </c>
      <c r="E329" s="14">
        <v>3</v>
      </c>
      <c r="F329" s="15" t="s">
        <v>119</v>
      </c>
      <c r="G329" s="16" t="s">
        <v>41</v>
      </c>
      <c r="H329" s="16" t="s">
        <v>42</v>
      </c>
      <c r="I329" s="16" t="s">
        <v>18</v>
      </c>
      <c r="J329" s="16" t="s">
        <v>142</v>
      </c>
      <c r="K329" s="13">
        <v>43439</v>
      </c>
      <c r="L329" s="13">
        <f t="shared" si="11"/>
        <v>44170</v>
      </c>
      <c r="M329" s="16" t="s">
        <v>139</v>
      </c>
      <c r="N329" s="16" t="s">
        <v>43</v>
      </c>
      <c r="O329" s="16" t="s">
        <v>44</v>
      </c>
      <c r="P329" s="16" t="s">
        <v>45</v>
      </c>
      <c r="Q329" s="17">
        <v>135.1</v>
      </c>
      <c r="R329" s="16">
        <v>96</v>
      </c>
      <c r="S329" s="42">
        <f>VENTAS[[#This Row],[Precio unitario]]*VENTAS[[#This Row],[Cantidad]]</f>
        <v>12969.599999999999</v>
      </c>
      <c r="T329" s="33">
        <v>1322.8992000000003</v>
      </c>
    </row>
    <row r="330" spans="2:20">
      <c r="B330" s="31">
        <v>1379</v>
      </c>
      <c r="C330" s="13">
        <v>43440</v>
      </c>
      <c r="D330" s="13">
        <f t="shared" si="10"/>
        <v>44171</v>
      </c>
      <c r="E330" s="14">
        <v>6</v>
      </c>
      <c r="F330" s="15" t="s">
        <v>120</v>
      </c>
      <c r="G330" s="16" t="s">
        <v>46</v>
      </c>
      <c r="H330" s="16" t="s">
        <v>47</v>
      </c>
      <c r="I330" s="16" t="s">
        <v>48</v>
      </c>
      <c r="J330" s="16" t="s">
        <v>33</v>
      </c>
      <c r="K330" s="13">
        <v>43442</v>
      </c>
      <c r="L330" s="13">
        <f t="shared" si="11"/>
        <v>44173</v>
      </c>
      <c r="M330" s="16" t="s">
        <v>139</v>
      </c>
      <c r="N330" s="16" t="s">
        <v>25</v>
      </c>
      <c r="O330" s="16" t="s">
        <v>49</v>
      </c>
      <c r="P330" s="16" t="s">
        <v>50</v>
      </c>
      <c r="Q330" s="17">
        <v>560</v>
      </c>
      <c r="R330" s="16">
        <v>32</v>
      </c>
      <c r="S330" s="42">
        <f>VENTAS[[#This Row],[Precio unitario]]*VENTAS[[#This Row],[Cantidad]]</f>
        <v>17920</v>
      </c>
      <c r="T330" s="33">
        <v>1881.6000000000001</v>
      </c>
    </row>
    <row r="331" spans="2:20">
      <c r="B331" s="31">
        <v>1380</v>
      </c>
      <c r="C331" s="13">
        <v>43462</v>
      </c>
      <c r="D331" s="13">
        <f t="shared" si="10"/>
        <v>44193</v>
      </c>
      <c r="E331" s="14">
        <v>28</v>
      </c>
      <c r="F331" s="15" t="s">
        <v>121</v>
      </c>
      <c r="G331" s="16" t="s">
        <v>51</v>
      </c>
      <c r="H331" s="16" t="s">
        <v>52</v>
      </c>
      <c r="I331" s="16" t="s">
        <v>53</v>
      </c>
      <c r="J331" s="16" t="s">
        <v>143</v>
      </c>
      <c r="K331" s="13">
        <v>43464</v>
      </c>
      <c r="L331" s="13">
        <f t="shared" si="11"/>
        <v>44195</v>
      </c>
      <c r="M331" s="16" t="s">
        <v>140</v>
      </c>
      <c r="N331" s="16" t="s">
        <v>43</v>
      </c>
      <c r="O331" s="16" t="s">
        <v>29</v>
      </c>
      <c r="P331" s="16" t="s">
        <v>20</v>
      </c>
      <c r="Q331" s="17">
        <v>644</v>
      </c>
      <c r="R331" s="16">
        <v>16</v>
      </c>
      <c r="S331" s="42">
        <f>VENTAS[[#This Row],[Precio unitario]]*VENTAS[[#This Row],[Cantidad]]</f>
        <v>10304</v>
      </c>
      <c r="T331" s="33">
        <v>1030.4000000000001</v>
      </c>
    </row>
    <row r="332" spans="2:20">
      <c r="B332" s="31">
        <v>1381</v>
      </c>
      <c r="C332" s="13">
        <v>43442</v>
      </c>
      <c r="D332" s="13">
        <f t="shared" si="10"/>
        <v>44173</v>
      </c>
      <c r="E332" s="14">
        <v>8</v>
      </c>
      <c r="F332" s="15" t="s">
        <v>122</v>
      </c>
      <c r="G332" s="16" t="s">
        <v>30</v>
      </c>
      <c r="H332" s="16" t="s">
        <v>31</v>
      </c>
      <c r="I332" s="16" t="s">
        <v>32</v>
      </c>
      <c r="J332" s="16" t="s">
        <v>33</v>
      </c>
      <c r="K332" s="13">
        <v>43444</v>
      </c>
      <c r="L332" s="13">
        <f t="shared" si="11"/>
        <v>44175</v>
      </c>
      <c r="M332" s="16" t="s">
        <v>140</v>
      </c>
      <c r="N332" s="16" t="s">
        <v>43</v>
      </c>
      <c r="O332" s="16" t="s">
        <v>39</v>
      </c>
      <c r="P332" s="16" t="s">
        <v>40</v>
      </c>
      <c r="Q332" s="17">
        <v>178.5</v>
      </c>
      <c r="R332" s="16">
        <v>41</v>
      </c>
      <c r="S332" s="42">
        <f>VENTAS[[#This Row],[Precio unitario]]*VENTAS[[#This Row],[Cantidad]]</f>
        <v>7318.5</v>
      </c>
      <c r="T332" s="33">
        <v>717.21299999999997</v>
      </c>
    </row>
    <row r="333" spans="2:20">
      <c r="B333" s="31">
        <v>1382</v>
      </c>
      <c r="C333" s="13">
        <v>43444</v>
      </c>
      <c r="D333" s="13">
        <f t="shared" si="10"/>
        <v>44175</v>
      </c>
      <c r="E333" s="14">
        <v>10</v>
      </c>
      <c r="F333" s="18" t="s">
        <v>88</v>
      </c>
      <c r="G333" s="16" t="s">
        <v>54</v>
      </c>
      <c r="H333" s="16" t="s">
        <v>55</v>
      </c>
      <c r="I333" s="16" t="s">
        <v>56</v>
      </c>
      <c r="J333" s="16" t="s">
        <v>141</v>
      </c>
      <c r="K333" s="13">
        <v>43446</v>
      </c>
      <c r="L333" s="13">
        <f t="shared" si="11"/>
        <v>44177</v>
      </c>
      <c r="M333" s="16" t="s">
        <v>139</v>
      </c>
      <c r="N333" s="16" t="s">
        <v>25</v>
      </c>
      <c r="O333" s="16" t="s">
        <v>57</v>
      </c>
      <c r="P333" s="16" t="s">
        <v>20</v>
      </c>
      <c r="Q333" s="17">
        <v>41.86</v>
      </c>
      <c r="R333" s="16">
        <v>41</v>
      </c>
      <c r="S333" s="42">
        <f>VENTAS[[#This Row],[Precio unitario]]*VENTAS[[#This Row],[Cantidad]]</f>
        <v>1716.26</v>
      </c>
      <c r="T333" s="33">
        <v>180.20730000000003</v>
      </c>
    </row>
    <row r="334" spans="2:20">
      <c r="B334" s="31">
        <v>1383</v>
      </c>
      <c r="C334" s="13">
        <v>43441</v>
      </c>
      <c r="D334" s="13">
        <f t="shared" si="10"/>
        <v>44172</v>
      </c>
      <c r="E334" s="14">
        <v>7</v>
      </c>
      <c r="F334" s="18" t="s">
        <v>85</v>
      </c>
      <c r="G334" s="16" t="s">
        <v>58</v>
      </c>
      <c r="H334" s="16" t="s">
        <v>58</v>
      </c>
      <c r="I334" s="16" t="s">
        <v>32</v>
      </c>
      <c r="J334" s="16" t="s">
        <v>33</v>
      </c>
      <c r="K334" s="13">
        <v>43447</v>
      </c>
      <c r="L334" s="13">
        <f t="shared" si="11"/>
        <v>44178</v>
      </c>
      <c r="M334" s="16" t="s">
        <v>139</v>
      </c>
      <c r="N334" s="16" t="s">
        <v>43</v>
      </c>
      <c r="O334" s="16" t="s">
        <v>29</v>
      </c>
      <c r="P334" s="16" t="s">
        <v>20</v>
      </c>
      <c r="Q334" s="17">
        <v>644</v>
      </c>
      <c r="R334" s="16">
        <v>41</v>
      </c>
      <c r="S334" s="42">
        <f>VENTAS[[#This Row],[Precio unitario]]*VENTAS[[#This Row],[Cantidad]]</f>
        <v>26404</v>
      </c>
      <c r="T334" s="33">
        <v>2719.6120000000005</v>
      </c>
    </row>
    <row r="335" spans="2:20">
      <c r="B335" s="31">
        <v>1384</v>
      </c>
      <c r="C335" s="13">
        <v>43444</v>
      </c>
      <c r="D335" s="13">
        <f t="shared" si="10"/>
        <v>44175</v>
      </c>
      <c r="E335" s="14">
        <v>10</v>
      </c>
      <c r="F335" s="18" t="s">
        <v>91</v>
      </c>
      <c r="G335" s="16" t="s">
        <v>54</v>
      </c>
      <c r="H335" s="16" t="s">
        <v>55</v>
      </c>
      <c r="I335" s="16" t="s">
        <v>56</v>
      </c>
      <c r="J335" s="16" t="s">
        <v>141</v>
      </c>
      <c r="K335" s="13">
        <v>43446</v>
      </c>
      <c r="L335" s="13">
        <f t="shared" si="11"/>
        <v>44177</v>
      </c>
      <c r="M335" s="16" t="s">
        <v>138</v>
      </c>
      <c r="N335" s="16" t="s">
        <v>43</v>
      </c>
      <c r="O335" s="16" t="s">
        <v>59</v>
      </c>
      <c r="P335" s="16" t="s">
        <v>60</v>
      </c>
      <c r="Q335" s="17">
        <v>350</v>
      </c>
      <c r="R335" s="16">
        <v>94</v>
      </c>
      <c r="S335" s="42">
        <f>VENTAS[[#This Row],[Precio unitario]]*VENTAS[[#This Row],[Cantidad]]</f>
        <v>32900</v>
      </c>
      <c r="T335" s="33">
        <v>3290</v>
      </c>
    </row>
    <row r="336" spans="2:20">
      <c r="B336" s="31">
        <v>1385</v>
      </c>
      <c r="C336" s="13">
        <v>43444</v>
      </c>
      <c r="D336" s="13">
        <f t="shared" si="10"/>
        <v>44175</v>
      </c>
      <c r="E336" s="14">
        <v>10</v>
      </c>
      <c r="F336" s="18" t="s">
        <v>87</v>
      </c>
      <c r="G336" s="16" t="s">
        <v>54</v>
      </c>
      <c r="H336" s="16" t="s">
        <v>55</v>
      </c>
      <c r="I336" s="16" t="s">
        <v>56</v>
      </c>
      <c r="J336" s="16" t="s">
        <v>141</v>
      </c>
      <c r="K336" s="13">
        <v>43446</v>
      </c>
      <c r="L336" s="13">
        <f t="shared" si="11"/>
        <v>44177</v>
      </c>
      <c r="M336" s="16" t="s">
        <v>138</v>
      </c>
      <c r="N336" s="16" t="s">
        <v>43</v>
      </c>
      <c r="O336" s="16" t="s">
        <v>61</v>
      </c>
      <c r="P336" s="16" t="s">
        <v>62</v>
      </c>
      <c r="Q336" s="17">
        <v>308</v>
      </c>
      <c r="R336" s="16">
        <v>20</v>
      </c>
      <c r="S336" s="42">
        <f>VENTAS[[#This Row],[Precio unitario]]*VENTAS[[#This Row],[Cantidad]]</f>
        <v>6160</v>
      </c>
      <c r="T336" s="33">
        <v>646.80000000000007</v>
      </c>
    </row>
    <row r="337" spans="2:20">
      <c r="B337" s="31">
        <v>1386</v>
      </c>
      <c r="C337" s="13">
        <v>43444</v>
      </c>
      <c r="D337" s="13">
        <f t="shared" si="10"/>
        <v>44175</v>
      </c>
      <c r="E337" s="14">
        <v>10</v>
      </c>
      <c r="F337" s="18" t="s">
        <v>86</v>
      </c>
      <c r="G337" s="16" t="s">
        <v>54</v>
      </c>
      <c r="H337" s="16" t="s">
        <v>55</v>
      </c>
      <c r="I337" s="16" t="s">
        <v>56</v>
      </c>
      <c r="J337" s="16" t="s">
        <v>141</v>
      </c>
      <c r="K337" s="13">
        <v>43446</v>
      </c>
      <c r="L337" s="13">
        <f t="shared" si="11"/>
        <v>44177</v>
      </c>
      <c r="M337" s="16" t="s">
        <v>138</v>
      </c>
      <c r="N337" s="16" t="s">
        <v>43</v>
      </c>
      <c r="O337" s="16" t="s">
        <v>34</v>
      </c>
      <c r="P337" s="16" t="s">
        <v>35</v>
      </c>
      <c r="Q337" s="17">
        <v>128.79999999999998</v>
      </c>
      <c r="R337" s="16">
        <v>13</v>
      </c>
      <c r="S337" s="42">
        <f>VENTAS[[#This Row],[Precio unitario]]*VENTAS[[#This Row],[Cantidad]]</f>
        <v>1674.3999999999999</v>
      </c>
      <c r="T337" s="33">
        <v>174.13760000000002</v>
      </c>
    </row>
    <row r="338" spans="2:20">
      <c r="B338" s="31">
        <v>1387</v>
      </c>
      <c r="C338" s="13">
        <v>43445</v>
      </c>
      <c r="D338" s="13">
        <f t="shared" si="10"/>
        <v>44176</v>
      </c>
      <c r="E338" s="14">
        <v>11</v>
      </c>
      <c r="F338" s="18" t="s">
        <v>123</v>
      </c>
      <c r="G338" s="16" t="s">
        <v>63</v>
      </c>
      <c r="H338" s="16" t="s">
        <v>63</v>
      </c>
      <c r="I338" s="16" t="s">
        <v>53</v>
      </c>
      <c r="J338" s="16" t="s">
        <v>143</v>
      </c>
      <c r="K338" s="13">
        <v>43440</v>
      </c>
      <c r="L338" s="13">
        <f t="shared" si="11"/>
        <v>44171</v>
      </c>
      <c r="M338" s="16" t="s">
        <v>140</v>
      </c>
      <c r="N338" s="16" t="s">
        <v>43</v>
      </c>
      <c r="O338" s="16" t="s">
        <v>21</v>
      </c>
      <c r="P338" s="16" t="s">
        <v>22</v>
      </c>
      <c r="Q338" s="17">
        <v>49</v>
      </c>
      <c r="R338" s="16">
        <v>74</v>
      </c>
      <c r="S338" s="42">
        <f>VENTAS[[#This Row],[Precio unitario]]*VENTAS[[#This Row],[Cantidad]]</f>
        <v>3626</v>
      </c>
      <c r="T338" s="33">
        <v>377.10400000000004</v>
      </c>
    </row>
    <row r="339" spans="2:20">
      <c r="B339" s="31">
        <v>1388</v>
      </c>
      <c r="C339" s="13">
        <v>43445</v>
      </c>
      <c r="D339" s="13">
        <f t="shared" si="10"/>
        <v>44176</v>
      </c>
      <c r="E339" s="14">
        <v>11</v>
      </c>
      <c r="F339" s="18" t="s">
        <v>89</v>
      </c>
      <c r="G339" s="16" t="s">
        <v>63</v>
      </c>
      <c r="H339" s="16" t="s">
        <v>63</v>
      </c>
      <c r="I339" s="16" t="s">
        <v>53</v>
      </c>
      <c r="J339" s="16" t="s">
        <v>143</v>
      </c>
      <c r="K339" s="13">
        <v>43465</v>
      </c>
      <c r="L339" s="13">
        <f t="shared" si="11"/>
        <v>44196</v>
      </c>
      <c r="M339" s="16" t="s">
        <v>140</v>
      </c>
      <c r="N339" s="16" t="s">
        <v>43</v>
      </c>
      <c r="O339" s="16" t="s">
        <v>57</v>
      </c>
      <c r="P339" s="16" t="s">
        <v>20</v>
      </c>
      <c r="Q339" s="17">
        <v>41.86</v>
      </c>
      <c r="R339" s="16">
        <v>53</v>
      </c>
      <c r="S339" s="42">
        <f>VENTAS[[#This Row],[Precio unitario]]*VENTAS[[#This Row],[Cantidad]]</f>
        <v>2218.58</v>
      </c>
      <c r="T339" s="33">
        <v>224.07658000000004</v>
      </c>
    </row>
    <row r="340" spans="2:20">
      <c r="B340" s="31">
        <v>1389</v>
      </c>
      <c r="C340" s="13">
        <v>43435</v>
      </c>
      <c r="D340" s="13">
        <f t="shared" si="10"/>
        <v>44166</v>
      </c>
      <c r="E340" s="14">
        <v>1</v>
      </c>
      <c r="F340" s="18" t="s">
        <v>124</v>
      </c>
      <c r="G340" s="16" t="s">
        <v>64</v>
      </c>
      <c r="H340" s="16" t="s">
        <v>65</v>
      </c>
      <c r="I340" s="16" t="s">
        <v>32</v>
      </c>
      <c r="J340" s="16" t="s">
        <v>33</v>
      </c>
      <c r="K340" s="13">
        <v>43439</v>
      </c>
      <c r="L340" s="13">
        <f t="shared" si="11"/>
        <v>44170</v>
      </c>
      <c r="M340" s="16" t="s">
        <v>139</v>
      </c>
      <c r="N340" s="16" t="s">
        <v>43</v>
      </c>
      <c r="O340" s="16" t="s">
        <v>28</v>
      </c>
      <c r="P340" s="16" t="s">
        <v>20</v>
      </c>
      <c r="Q340" s="17">
        <v>252</v>
      </c>
      <c r="R340" s="16">
        <v>99</v>
      </c>
      <c r="S340" s="42">
        <f>VENTAS[[#This Row],[Precio unitario]]*VENTAS[[#This Row],[Cantidad]]</f>
        <v>24948</v>
      </c>
      <c r="T340" s="33">
        <v>2444.9040000000005</v>
      </c>
    </row>
    <row r="341" spans="2:20">
      <c r="B341" s="31">
        <v>1390</v>
      </c>
      <c r="C341" s="13">
        <v>43435</v>
      </c>
      <c r="D341" s="13">
        <f t="shared" si="10"/>
        <v>44166</v>
      </c>
      <c r="E341" s="14">
        <v>1</v>
      </c>
      <c r="F341" s="18" t="s">
        <v>92</v>
      </c>
      <c r="G341" s="16" t="s">
        <v>64</v>
      </c>
      <c r="H341" s="16" t="s">
        <v>65</v>
      </c>
      <c r="I341" s="16" t="s">
        <v>32</v>
      </c>
      <c r="J341" s="16" t="s">
        <v>33</v>
      </c>
      <c r="K341" s="13">
        <v>43440</v>
      </c>
      <c r="L341" s="13">
        <f t="shared" si="11"/>
        <v>44171</v>
      </c>
      <c r="M341" s="16" t="s">
        <v>139</v>
      </c>
      <c r="N341" s="16" t="s">
        <v>43</v>
      </c>
      <c r="O341" s="16" t="s">
        <v>29</v>
      </c>
      <c r="P341" s="16" t="s">
        <v>20</v>
      </c>
      <c r="Q341" s="17">
        <v>644</v>
      </c>
      <c r="R341" s="16">
        <v>89</v>
      </c>
      <c r="S341" s="42">
        <f>VENTAS[[#This Row],[Precio unitario]]*VENTAS[[#This Row],[Cantidad]]</f>
        <v>57316</v>
      </c>
      <c r="T341" s="33">
        <v>5445.02</v>
      </c>
    </row>
    <row r="342" spans="2:20">
      <c r="B342" s="31">
        <v>1391</v>
      </c>
      <c r="C342" s="13">
        <v>43435</v>
      </c>
      <c r="D342" s="13">
        <f t="shared" si="10"/>
        <v>44166</v>
      </c>
      <c r="E342" s="14">
        <v>1</v>
      </c>
      <c r="F342" s="18" t="s">
        <v>125</v>
      </c>
      <c r="G342" s="16" t="s">
        <v>64</v>
      </c>
      <c r="H342" s="16" t="s">
        <v>65</v>
      </c>
      <c r="I342" s="16" t="s">
        <v>32</v>
      </c>
      <c r="J342" s="16" t="s">
        <v>33</v>
      </c>
      <c r="K342" s="13">
        <v>43441</v>
      </c>
      <c r="L342" s="13">
        <f t="shared" si="11"/>
        <v>44172</v>
      </c>
      <c r="M342" s="16" t="s">
        <v>139</v>
      </c>
      <c r="N342" s="16" t="s">
        <v>43</v>
      </c>
      <c r="O342" s="16" t="s">
        <v>57</v>
      </c>
      <c r="P342" s="16" t="s">
        <v>20</v>
      </c>
      <c r="Q342" s="17">
        <v>41.86</v>
      </c>
      <c r="R342" s="16">
        <v>64</v>
      </c>
      <c r="S342" s="42">
        <f>VENTAS[[#This Row],[Precio unitario]]*VENTAS[[#This Row],[Cantidad]]</f>
        <v>2679.04</v>
      </c>
      <c r="T342" s="33">
        <v>273.26208000000003</v>
      </c>
    </row>
    <row r="343" spans="2:20">
      <c r="B343" s="31">
        <v>1392</v>
      </c>
      <c r="C343" s="13">
        <v>43462</v>
      </c>
      <c r="D343" s="13">
        <f t="shared" si="10"/>
        <v>44193</v>
      </c>
      <c r="E343" s="14">
        <v>28</v>
      </c>
      <c r="F343" s="15" t="s">
        <v>100</v>
      </c>
      <c r="G343" s="16" t="s">
        <v>51</v>
      </c>
      <c r="H343" s="16" t="s">
        <v>52</v>
      </c>
      <c r="I343" s="16" t="s">
        <v>53</v>
      </c>
      <c r="J343" s="16" t="s">
        <v>143</v>
      </c>
      <c r="K343" s="13">
        <v>43464</v>
      </c>
      <c r="L343" s="13">
        <f t="shared" si="11"/>
        <v>44195</v>
      </c>
      <c r="M343" s="16" t="s">
        <v>140</v>
      </c>
      <c r="N343" s="16" t="s">
        <v>25</v>
      </c>
      <c r="O343" s="16" t="s">
        <v>44</v>
      </c>
      <c r="P343" s="16" t="s">
        <v>45</v>
      </c>
      <c r="Q343" s="17">
        <v>135.1</v>
      </c>
      <c r="R343" s="16">
        <v>98</v>
      </c>
      <c r="S343" s="42">
        <f>VENTAS[[#This Row],[Precio unitario]]*VENTAS[[#This Row],[Cantidad]]</f>
        <v>13239.8</v>
      </c>
      <c r="T343" s="33">
        <v>1350.4596000000001</v>
      </c>
    </row>
    <row r="344" spans="2:20">
      <c r="B344" s="31">
        <v>1393</v>
      </c>
      <c r="C344" s="13">
        <v>43462</v>
      </c>
      <c r="D344" s="13">
        <f t="shared" si="10"/>
        <v>44193</v>
      </c>
      <c r="E344" s="14">
        <v>28</v>
      </c>
      <c r="F344" s="15" t="s">
        <v>101</v>
      </c>
      <c r="G344" s="16" t="s">
        <v>51</v>
      </c>
      <c r="H344" s="16" t="s">
        <v>52</v>
      </c>
      <c r="I344" s="16" t="s">
        <v>53</v>
      </c>
      <c r="J344" s="16" t="s">
        <v>143</v>
      </c>
      <c r="K344" s="13">
        <v>43464</v>
      </c>
      <c r="L344" s="13">
        <f t="shared" si="11"/>
        <v>44195</v>
      </c>
      <c r="M344" s="16" t="s">
        <v>140</v>
      </c>
      <c r="N344" s="16" t="s">
        <v>25</v>
      </c>
      <c r="O344" s="16" t="s">
        <v>66</v>
      </c>
      <c r="P344" s="16" t="s">
        <v>67</v>
      </c>
      <c r="Q344" s="17">
        <v>257.59999999999997</v>
      </c>
      <c r="R344" s="16">
        <v>86</v>
      </c>
      <c r="S344" s="42">
        <f>VENTAS[[#This Row],[Precio unitario]]*VENTAS[[#This Row],[Cantidad]]</f>
        <v>22153.599999999999</v>
      </c>
      <c r="T344" s="33">
        <v>2171.0527999999999</v>
      </c>
    </row>
    <row r="345" spans="2:20">
      <c r="B345" s="31">
        <v>1394</v>
      </c>
      <c r="C345" s="13">
        <v>43443</v>
      </c>
      <c r="D345" s="13">
        <f t="shared" si="10"/>
        <v>44174</v>
      </c>
      <c r="E345" s="14">
        <v>9</v>
      </c>
      <c r="F345" s="15" t="s">
        <v>102</v>
      </c>
      <c r="G345" s="16" t="s">
        <v>68</v>
      </c>
      <c r="H345" s="16" t="s">
        <v>37</v>
      </c>
      <c r="I345" s="16" t="s">
        <v>69</v>
      </c>
      <c r="J345" s="16" t="s">
        <v>142</v>
      </c>
      <c r="K345" s="13">
        <v>43445</v>
      </c>
      <c r="L345" s="13">
        <f t="shared" si="11"/>
        <v>44176</v>
      </c>
      <c r="M345" s="16" t="s">
        <v>138</v>
      </c>
      <c r="N345" s="16" t="s">
        <v>43</v>
      </c>
      <c r="O345" s="16" t="s">
        <v>70</v>
      </c>
      <c r="P345" s="16" t="s">
        <v>71</v>
      </c>
      <c r="Q345" s="17">
        <v>273</v>
      </c>
      <c r="R345" s="16">
        <v>20</v>
      </c>
      <c r="S345" s="42">
        <f>VENTAS[[#This Row],[Precio unitario]]*VENTAS[[#This Row],[Cantidad]]</f>
        <v>5460</v>
      </c>
      <c r="T345" s="33">
        <v>573.30000000000007</v>
      </c>
    </row>
    <row r="346" spans="2:20">
      <c r="B346" s="31">
        <v>1395</v>
      </c>
      <c r="C346" s="13">
        <v>43443</v>
      </c>
      <c r="D346" s="13">
        <f t="shared" si="10"/>
        <v>44174</v>
      </c>
      <c r="E346" s="14">
        <v>9</v>
      </c>
      <c r="F346" s="15" t="s">
        <v>103</v>
      </c>
      <c r="G346" s="16" t="s">
        <v>68</v>
      </c>
      <c r="H346" s="16" t="s">
        <v>37</v>
      </c>
      <c r="I346" s="16" t="s">
        <v>69</v>
      </c>
      <c r="J346" s="16" t="s">
        <v>142</v>
      </c>
      <c r="K346" s="13">
        <v>43445</v>
      </c>
      <c r="L346" s="13">
        <f t="shared" si="11"/>
        <v>44176</v>
      </c>
      <c r="M346" s="16" t="s">
        <v>138</v>
      </c>
      <c r="N346" s="16" t="s">
        <v>43</v>
      </c>
      <c r="O346" s="16" t="s">
        <v>72</v>
      </c>
      <c r="P346" s="16" t="s">
        <v>73</v>
      </c>
      <c r="Q346" s="17">
        <v>487.19999999999993</v>
      </c>
      <c r="R346" s="16">
        <v>69</v>
      </c>
      <c r="S346" s="42">
        <f>VENTAS[[#This Row],[Precio unitario]]*VENTAS[[#This Row],[Cantidad]]</f>
        <v>33616.799999999996</v>
      </c>
      <c r="T346" s="33">
        <v>3361.6800000000003</v>
      </c>
    </row>
    <row r="347" spans="2:20">
      <c r="B347" s="31">
        <v>1396</v>
      </c>
      <c r="C347" s="13">
        <v>43440</v>
      </c>
      <c r="D347" s="13">
        <f t="shared" si="10"/>
        <v>44171</v>
      </c>
      <c r="E347" s="14">
        <v>6</v>
      </c>
      <c r="F347" s="15" t="s">
        <v>104</v>
      </c>
      <c r="G347" s="16" t="s">
        <v>46</v>
      </c>
      <c r="H347" s="16" t="s">
        <v>47</v>
      </c>
      <c r="I347" s="16" t="s">
        <v>48</v>
      </c>
      <c r="J347" s="16" t="s">
        <v>33</v>
      </c>
      <c r="K347" s="13">
        <v>43442</v>
      </c>
      <c r="L347" s="13">
        <f t="shared" si="11"/>
        <v>44173</v>
      </c>
      <c r="M347" s="16" t="s">
        <v>139</v>
      </c>
      <c r="N347" s="16" t="s">
        <v>25</v>
      </c>
      <c r="O347" s="16" t="s">
        <v>19</v>
      </c>
      <c r="P347" s="16" t="s">
        <v>20</v>
      </c>
      <c r="Q347" s="17">
        <v>196</v>
      </c>
      <c r="R347" s="16">
        <v>68</v>
      </c>
      <c r="S347" s="42">
        <f>VENTAS[[#This Row],[Precio unitario]]*VENTAS[[#This Row],[Cantidad]]</f>
        <v>13328</v>
      </c>
      <c r="T347" s="33">
        <v>1279.4879999999998</v>
      </c>
    </row>
    <row r="348" spans="2:20">
      <c r="B348" s="31">
        <v>1397</v>
      </c>
      <c r="C348" s="13">
        <v>43442</v>
      </c>
      <c r="D348" s="13">
        <f t="shared" si="10"/>
        <v>44173</v>
      </c>
      <c r="E348" s="14">
        <v>8</v>
      </c>
      <c r="F348" s="15" t="s">
        <v>105</v>
      </c>
      <c r="G348" s="16" t="s">
        <v>30</v>
      </c>
      <c r="H348" s="16" t="s">
        <v>31</v>
      </c>
      <c r="I348" s="16" t="s">
        <v>32</v>
      </c>
      <c r="J348" s="16" t="s">
        <v>33</v>
      </c>
      <c r="K348" s="13">
        <v>43444</v>
      </c>
      <c r="L348" s="13">
        <f t="shared" si="11"/>
        <v>44175</v>
      </c>
      <c r="M348" s="16" t="s">
        <v>139</v>
      </c>
      <c r="N348" s="16" t="s">
        <v>43</v>
      </c>
      <c r="O348" s="16" t="s">
        <v>49</v>
      </c>
      <c r="P348" s="16" t="s">
        <v>50</v>
      </c>
      <c r="Q348" s="17">
        <v>560</v>
      </c>
      <c r="R348" s="16">
        <v>52</v>
      </c>
      <c r="S348" s="42">
        <f>VENTAS[[#This Row],[Precio unitario]]*VENTAS[[#This Row],[Cantidad]]</f>
        <v>29120</v>
      </c>
      <c r="T348" s="33">
        <v>2853.76</v>
      </c>
    </row>
    <row r="349" spans="2:20">
      <c r="B349" s="31">
        <v>1398</v>
      </c>
      <c r="C349" s="13">
        <v>43442</v>
      </c>
      <c r="D349" s="13">
        <f t="shared" si="10"/>
        <v>44173</v>
      </c>
      <c r="E349" s="14">
        <v>8</v>
      </c>
      <c r="F349" s="15" t="s">
        <v>106</v>
      </c>
      <c r="G349" s="16" t="s">
        <v>30</v>
      </c>
      <c r="H349" s="16" t="s">
        <v>31</v>
      </c>
      <c r="I349" s="16" t="s">
        <v>32</v>
      </c>
      <c r="J349" s="16" t="s">
        <v>33</v>
      </c>
      <c r="K349" s="13">
        <v>43444</v>
      </c>
      <c r="L349" s="13">
        <f t="shared" si="11"/>
        <v>44175</v>
      </c>
      <c r="M349" s="16" t="s">
        <v>139</v>
      </c>
      <c r="N349" s="16" t="s">
        <v>43</v>
      </c>
      <c r="O349" s="16" t="s">
        <v>34</v>
      </c>
      <c r="P349" s="16" t="s">
        <v>35</v>
      </c>
      <c r="Q349" s="17">
        <v>128.79999999999998</v>
      </c>
      <c r="R349" s="16">
        <v>40</v>
      </c>
      <c r="S349" s="42">
        <f>VENTAS[[#This Row],[Precio unitario]]*VENTAS[[#This Row],[Cantidad]]</f>
        <v>5151.9999999999991</v>
      </c>
      <c r="T349" s="33">
        <v>540.96000000000015</v>
      </c>
    </row>
    <row r="350" spans="2:20">
      <c r="B350" s="31">
        <v>1399</v>
      </c>
      <c r="C350" s="13">
        <v>43459</v>
      </c>
      <c r="D350" s="13">
        <f t="shared" si="10"/>
        <v>44190</v>
      </c>
      <c r="E350" s="14">
        <v>25</v>
      </c>
      <c r="F350" s="15" t="s">
        <v>107</v>
      </c>
      <c r="G350" s="16" t="s">
        <v>54</v>
      </c>
      <c r="H350" s="16" t="s">
        <v>55</v>
      </c>
      <c r="I350" s="16" t="s">
        <v>56</v>
      </c>
      <c r="J350" s="16" t="s">
        <v>141</v>
      </c>
      <c r="K350" s="13">
        <v>43461</v>
      </c>
      <c r="L350" s="13">
        <f t="shared" si="11"/>
        <v>44192</v>
      </c>
      <c r="M350" s="16" t="s">
        <v>138</v>
      </c>
      <c r="N350" s="16" t="s">
        <v>43</v>
      </c>
      <c r="O350" s="16" t="s">
        <v>79</v>
      </c>
      <c r="P350" s="16" t="s">
        <v>35</v>
      </c>
      <c r="Q350" s="17">
        <v>140</v>
      </c>
      <c r="R350" s="16">
        <v>100</v>
      </c>
      <c r="S350" s="42">
        <f>VENTAS[[#This Row],[Precio unitario]]*VENTAS[[#This Row],[Cantidad]]</f>
        <v>14000</v>
      </c>
      <c r="T350" s="33">
        <v>1372</v>
      </c>
    </row>
    <row r="351" spans="2:20">
      <c r="B351" s="31">
        <v>1400</v>
      </c>
      <c r="C351" s="13">
        <v>43460</v>
      </c>
      <c r="D351" s="13">
        <f t="shared" si="10"/>
        <v>44191</v>
      </c>
      <c r="E351" s="14">
        <v>26</v>
      </c>
      <c r="F351" s="15" t="s">
        <v>108</v>
      </c>
      <c r="G351" s="16" t="s">
        <v>63</v>
      </c>
      <c r="H351" s="16" t="s">
        <v>63</v>
      </c>
      <c r="I351" s="16" t="s">
        <v>53</v>
      </c>
      <c r="J351" s="16" t="s">
        <v>143</v>
      </c>
      <c r="K351" s="13">
        <v>43462</v>
      </c>
      <c r="L351" s="13">
        <f t="shared" si="11"/>
        <v>44193</v>
      </c>
      <c r="M351" s="16" t="s">
        <v>140</v>
      </c>
      <c r="N351" s="16" t="s">
        <v>25</v>
      </c>
      <c r="O351" s="16" t="s">
        <v>80</v>
      </c>
      <c r="P351" s="16" t="s">
        <v>81</v>
      </c>
      <c r="Q351" s="17">
        <v>298.90000000000003</v>
      </c>
      <c r="R351" s="16">
        <v>88</v>
      </c>
      <c r="S351" s="42">
        <f>VENTAS[[#This Row],[Precio unitario]]*VENTAS[[#This Row],[Cantidad]]</f>
        <v>26303.200000000004</v>
      </c>
      <c r="T351" s="33">
        <v>2577.7136000000005</v>
      </c>
    </row>
    <row r="352" spans="2:20">
      <c r="B352" s="31">
        <v>1401</v>
      </c>
      <c r="C352" s="13">
        <v>43460</v>
      </c>
      <c r="D352" s="13">
        <f t="shared" si="10"/>
        <v>44191</v>
      </c>
      <c r="E352" s="14">
        <v>26</v>
      </c>
      <c r="F352" s="15" t="s">
        <v>109</v>
      </c>
      <c r="G352" s="16" t="s">
        <v>63</v>
      </c>
      <c r="H352" s="16" t="s">
        <v>63</v>
      </c>
      <c r="I352" s="16" t="s">
        <v>53</v>
      </c>
      <c r="J352" s="16" t="s">
        <v>143</v>
      </c>
      <c r="K352" s="13">
        <v>43462</v>
      </c>
      <c r="L352" s="13">
        <f t="shared" si="11"/>
        <v>44193</v>
      </c>
      <c r="M352" s="16" t="s">
        <v>140</v>
      </c>
      <c r="N352" s="16" t="s">
        <v>25</v>
      </c>
      <c r="O352" s="16" t="s">
        <v>44</v>
      </c>
      <c r="P352" s="16" t="s">
        <v>45</v>
      </c>
      <c r="Q352" s="17">
        <v>135.1</v>
      </c>
      <c r="R352" s="16">
        <v>46</v>
      </c>
      <c r="S352" s="42">
        <f>VENTAS[[#This Row],[Precio unitario]]*VENTAS[[#This Row],[Cantidad]]</f>
        <v>6214.5999999999995</v>
      </c>
      <c r="T352" s="33">
        <v>596.60160000000008</v>
      </c>
    </row>
    <row r="353" spans="2:20">
      <c r="B353" s="31">
        <v>1402</v>
      </c>
      <c r="C353" s="13">
        <v>43460</v>
      </c>
      <c r="D353" s="13">
        <f t="shared" si="10"/>
        <v>44191</v>
      </c>
      <c r="E353" s="14">
        <v>26</v>
      </c>
      <c r="F353" s="15" t="s">
        <v>110</v>
      </c>
      <c r="G353" s="16" t="s">
        <v>63</v>
      </c>
      <c r="H353" s="16" t="s">
        <v>63</v>
      </c>
      <c r="I353" s="16" t="s">
        <v>53</v>
      </c>
      <c r="J353" s="16" t="s">
        <v>143</v>
      </c>
      <c r="K353" s="13">
        <v>43462</v>
      </c>
      <c r="L353" s="13">
        <f t="shared" si="11"/>
        <v>44193</v>
      </c>
      <c r="M353" s="16" t="s">
        <v>140</v>
      </c>
      <c r="N353" s="16" t="s">
        <v>25</v>
      </c>
      <c r="O353" s="16" t="s">
        <v>66</v>
      </c>
      <c r="P353" s="16" t="s">
        <v>67</v>
      </c>
      <c r="Q353" s="17">
        <v>257.59999999999997</v>
      </c>
      <c r="R353" s="16">
        <v>93</v>
      </c>
      <c r="S353" s="42">
        <f>VENTAS[[#This Row],[Precio unitario]]*VENTAS[[#This Row],[Cantidad]]</f>
        <v>23956.799999999996</v>
      </c>
      <c r="T353" s="33">
        <v>2347.7664</v>
      </c>
    </row>
    <row r="354" spans="2:20">
      <c r="B354" s="31">
        <v>1403</v>
      </c>
      <c r="C354" s="13">
        <v>43463</v>
      </c>
      <c r="D354" s="13">
        <f t="shared" si="10"/>
        <v>44194</v>
      </c>
      <c r="E354" s="14">
        <v>29</v>
      </c>
      <c r="F354" s="15" t="s">
        <v>111</v>
      </c>
      <c r="G354" s="16" t="s">
        <v>36</v>
      </c>
      <c r="H354" s="16" t="s">
        <v>37</v>
      </c>
      <c r="I354" s="16" t="s">
        <v>38</v>
      </c>
      <c r="J354" s="16" t="s">
        <v>142</v>
      </c>
      <c r="K354" s="13">
        <v>43465</v>
      </c>
      <c r="L354" s="13">
        <f t="shared" si="11"/>
        <v>44196</v>
      </c>
      <c r="M354" s="16" t="s">
        <v>139</v>
      </c>
      <c r="N354" s="16" t="s">
        <v>43</v>
      </c>
      <c r="O354" s="16" t="s">
        <v>19</v>
      </c>
      <c r="P354" s="16" t="s">
        <v>20</v>
      </c>
      <c r="Q354" s="17">
        <v>196</v>
      </c>
      <c r="R354" s="16">
        <v>96</v>
      </c>
      <c r="S354" s="42">
        <f>VENTAS[[#This Row],[Precio unitario]]*VENTAS[[#This Row],[Cantidad]]</f>
        <v>18816</v>
      </c>
      <c r="T354" s="33">
        <v>1975.68</v>
      </c>
    </row>
    <row r="355" spans="2:20">
      <c r="B355" s="31">
        <v>1404</v>
      </c>
      <c r="C355" s="13">
        <v>43440</v>
      </c>
      <c r="D355" s="13">
        <f t="shared" si="10"/>
        <v>44171</v>
      </c>
      <c r="E355" s="14">
        <v>6</v>
      </c>
      <c r="F355" s="15" t="s">
        <v>112</v>
      </c>
      <c r="G355" s="16" t="s">
        <v>46</v>
      </c>
      <c r="H355" s="16" t="s">
        <v>47</v>
      </c>
      <c r="I355" s="16" t="s">
        <v>48</v>
      </c>
      <c r="J355" s="16" t="s">
        <v>33</v>
      </c>
      <c r="K355" s="13">
        <v>43442</v>
      </c>
      <c r="L355" s="13">
        <f t="shared" si="11"/>
        <v>44173</v>
      </c>
      <c r="M355" s="16" t="s">
        <v>140</v>
      </c>
      <c r="N355" s="16" t="s">
        <v>43</v>
      </c>
      <c r="O355" s="16" t="s">
        <v>39</v>
      </c>
      <c r="P355" s="16" t="s">
        <v>40</v>
      </c>
      <c r="Q355" s="17">
        <v>178.5</v>
      </c>
      <c r="R355" s="16">
        <v>12</v>
      </c>
      <c r="S355" s="42">
        <f>VENTAS[[#This Row],[Precio unitario]]*VENTAS[[#This Row],[Cantidad]]</f>
        <v>2142</v>
      </c>
      <c r="T355" s="33">
        <v>224.91000000000003</v>
      </c>
    </row>
    <row r="356" spans="2:20">
      <c r="B356" s="31">
        <v>1406</v>
      </c>
      <c r="C356" s="13">
        <v>43438</v>
      </c>
      <c r="D356" s="13">
        <f t="shared" si="10"/>
        <v>44169</v>
      </c>
      <c r="E356" s="14">
        <v>4</v>
      </c>
      <c r="F356" s="15" t="s">
        <v>113</v>
      </c>
      <c r="G356" s="16" t="s">
        <v>23</v>
      </c>
      <c r="H356" s="16" t="s">
        <v>23</v>
      </c>
      <c r="I356" s="16" t="s">
        <v>24</v>
      </c>
      <c r="J356" s="16" t="s">
        <v>141</v>
      </c>
      <c r="K356" s="13">
        <v>43440</v>
      </c>
      <c r="L356" s="13">
        <f t="shared" si="11"/>
        <v>44171</v>
      </c>
      <c r="M356" s="16" t="s">
        <v>138</v>
      </c>
      <c r="N356" s="16" t="s">
        <v>25</v>
      </c>
      <c r="O356" s="16" t="s">
        <v>82</v>
      </c>
      <c r="P356" s="16" t="s">
        <v>60</v>
      </c>
      <c r="Q356" s="17">
        <v>1134</v>
      </c>
      <c r="R356" s="16">
        <v>38</v>
      </c>
      <c r="S356" s="42">
        <f>VENTAS[[#This Row],[Precio unitario]]*VENTAS[[#This Row],[Cantidad]]</f>
        <v>43092</v>
      </c>
      <c r="T356" s="33">
        <v>4093.7400000000002</v>
      </c>
    </row>
    <row r="357" spans="2:20">
      <c r="B357" s="31">
        <v>1407</v>
      </c>
      <c r="C357" s="13">
        <v>43438</v>
      </c>
      <c r="D357" s="13">
        <f t="shared" si="10"/>
        <v>44169</v>
      </c>
      <c r="E357" s="14">
        <v>4</v>
      </c>
      <c r="F357" s="15" t="s">
        <v>114</v>
      </c>
      <c r="G357" s="16" t="s">
        <v>23</v>
      </c>
      <c r="H357" s="16" t="s">
        <v>23</v>
      </c>
      <c r="I357" s="16" t="s">
        <v>24</v>
      </c>
      <c r="J357" s="16" t="s">
        <v>141</v>
      </c>
      <c r="K357" s="13">
        <v>43440</v>
      </c>
      <c r="L357" s="13">
        <f t="shared" si="11"/>
        <v>44171</v>
      </c>
      <c r="M357" s="16" t="s">
        <v>138</v>
      </c>
      <c r="N357" s="16" t="s">
        <v>25</v>
      </c>
      <c r="O357" s="16" t="s">
        <v>83</v>
      </c>
      <c r="P357" s="16" t="s">
        <v>84</v>
      </c>
      <c r="Q357" s="17">
        <v>98</v>
      </c>
      <c r="R357" s="16">
        <v>42</v>
      </c>
      <c r="S357" s="42">
        <f>VENTAS[[#This Row],[Precio unitario]]*VENTAS[[#This Row],[Cantidad]]</f>
        <v>4116</v>
      </c>
      <c r="T357" s="33">
        <v>407.48400000000004</v>
      </c>
    </row>
    <row r="358" spans="2:20">
      <c r="B358" s="31">
        <v>1409</v>
      </c>
      <c r="C358" s="13">
        <v>43442</v>
      </c>
      <c r="D358" s="13">
        <f t="shared" si="10"/>
        <v>44173</v>
      </c>
      <c r="E358" s="14">
        <v>8</v>
      </c>
      <c r="F358" s="15" t="s">
        <v>115</v>
      </c>
      <c r="G358" s="16" t="s">
        <v>30</v>
      </c>
      <c r="H358" s="16" t="s">
        <v>31</v>
      </c>
      <c r="I358" s="16" t="s">
        <v>32</v>
      </c>
      <c r="J358" s="16" t="s">
        <v>33</v>
      </c>
      <c r="K358" s="13">
        <v>43444</v>
      </c>
      <c r="L358" s="13">
        <f t="shared" si="11"/>
        <v>44175</v>
      </c>
      <c r="M358" s="16" t="s">
        <v>140</v>
      </c>
      <c r="N358" s="16" t="s">
        <v>25</v>
      </c>
      <c r="O358" s="16" t="s">
        <v>72</v>
      </c>
      <c r="P358" s="16" t="s">
        <v>73</v>
      </c>
      <c r="Q358" s="17">
        <v>487.19999999999993</v>
      </c>
      <c r="R358" s="16">
        <v>100</v>
      </c>
      <c r="S358" s="42">
        <f>VENTAS[[#This Row],[Precio unitario]]*VENTAS[[#This Row],[Cantidad]]</f>
        <v>48719.999999999993</v>
      </c>
      <c r="T358" s="33">
        <v>4823.28</v>
      </c>
    </row>
    <row r="359" spans="2:20">
      <c r="B359" s="31">
        <v>1412</v>
      </c>
      <c r="C359" s="13">
        <v>43437</v>
      </c>
      <c r="D359" s="13">
        <f t="shared" si="10"/>
        <v>44168</v>
      </c>
      <c r="E359" s="14">
        <v>3</v>
      </c>
      <c r="F359" s="15" t="s">
        <v>116</v>
      </c>
      <c r="G359" s="16" t="s">
        <v>41</v>
      </c>
      <c r="H359" s="16" t="s">
        <v>42</v>
      </c>
      <c r="I359" s="16" t="s">
        <v>18</v>
      </c>
      <c r="J359" s="16" t="s">
        <v>142</v>
      </c>
      <c r="K359" s="13">
        <v>43439</v>
      </c>
      <c r="L359" s="13">
        <f t="shared" si="11"/>
        <v>44170</v>
      </c>
      <c r="M359" s="16" t="s">
        <v>139</v>
      </c>
      <c r="N359" s="16" t="s">
        <v>43</v>
      </c>
      <c r="O359" s="16" t="s">
        <v>74</v>
      </c>
      <c r="P359" s="16" t="s">
        <v>62</v>
      </c>
      <c r="Q359" s="17">
        <v>140</v>
      </c>
      <c r="R359" s="16">
        <v>89</v>
      </c>
      <c r="S359" s="42">
        <f>VENTAS[[#This Row],[Precio unitario]]*VENTAS[[#This Row],[Cantidad]]</f>
        <v>12460</v>
      </c>
      <c r="T359" s="33">
        <v>1221.08</v>
      </c>
    </row>
    <row r="360" spans="2:20">
      <c r="B360" s="31">
        <v>1413</v>
      </c>
      <c r="C360" s="13">
        <v>43437</v>
      </c>
      <c r="D360" s="13">
        <f t="shared" si="10"/>
        <v>44168</v>
      </c>
      <c r="E360" s="14">
        <v>3</v>
      </c>
      <c r="F360" s="15" t="s">
        <v>117</v>
      </c>
      <c r="G360" s="16" t="s">
        <v>41</v>
      </c>
      <c r="H360" s="16" t="s">
        <v>42</v>
      </c>
      <c r="I360" s="16" t="s">
        <v>18</v>
      </c>
      <c r="J360" s="16" t="s">
        <v>142</v>
      </c>
      <c r="K360" s="13">
        <v>43439</v>
      </c>
      <c r="L360" s="13">
        <f t="shared" si="11"/>
        <v>44170</v>
      </c>
      <c r="M360" s="16" t="s">
        <v>139</v>
      </c>
      <c r="N360" s="16" t="s">
        <v>43</v>
      </c>
      <c r="O360" s="16" t="s">
        <v>49</v>
      </c>
      <c r="P360" s="16" t="s">
        <v>50</v>
      </c>
      <c r="Q360" s="17">
        <v>560</v>
      </c>
      <c r="R360" s="16">
        <v>12</v>
      </c>
      <c r="S360" s="42">
        <f>VENTAS[[#This Row],[Precio unitario]]*VENTAS[[#This Row],[Cantidad]]</f>
        <v>6720</v>
      </c>
      <c r="T360" s="33">
        <v>651.84</v>
      </c>
    </row>
    <row r="361" spans="2:20">
      <c r="B361" s="31">
        <v>1417</v>
      </c>
      <c r="C361" s="13">
        <v>43444</v>
      </c>
      <c r="D361" s="13">
        <f t="shared" si="10"/>
        <v>44175</v>
      </c>
      <c r="E361" s="14">
        <v>10</v>
      </c>
      <c r="F361" s="15" t="s">
        <v>118</v>
      </c>
      <c r="G361" s="16" t="s">
        <v>54</v>
      </c>
      <c r="H361" s="16" t="s">
        <v>55</v>
      </c>
      <c r="I361" s="16" t="s">
        <v>56</v>
      </c>
      <c r="J361" s="16" t="s">
        <v>141</v>
      </c>
      <c r="K361" s="13">
        <v>43446</v>
      </c>
      <c r="L361" s="13">
        <f t="shared" si="11"/>
        <v>44177</v>
      </c>
      <c r="M361" s="16" t="s">
        <v>139</v>
      </c>
      <c r="N361" s="16" t="s">
        <v>25</v>
      </c>
      <c r="O361" s="16" t="s">
        <v>75</v>
      </c>
      <c r="P361" s="16" t="s">
        <v>22</v>
      </c>
      <c r="Q361" s="17">
        <v>140</v>
      </c>
      <c r="R361" s="16">
        <v>97</v>
      </c>
      <c r="S361" s="42">
        <f>VENTAS[[#This Row],[Precio unitario]]*VENTAS[[#This Row],[Cantidad]]</f>
        <v>13580</v>
      </c>
      <c r="T361" s="33">
        <v>1412.3200000000002</v>
      </c>
    </row>
    <row r="362" spans="2:20">
      <c r="B362" s="31">
        <v>1419</v>
      </c>
      <c r="C362" s="13">
        <v>43444</v>
      </c>
      <c r="D362" s="13">
        <f t="shared" si="10"/>
        <v>44175</v>
      </c>
      <c r="E362" s="14">
        <v>10</v>
      </c>
      <c r="F362" s="15" t="s">
        <v>119</v>
      </c>
      <c r="G362" s="16" t="s">
        <v>54</v>
      </c>
      <c r="H362" s="16" t="s">
        <v>55</v>
      </c>
      <c r="I362" s="16" t="s">
        <v>56</v>
      </c>
      <c r="J362" s="16" t="s">
        <v>141</v>
      </c>
      <c r="K362" s="13">
        <v>43447</v>
      </c>
      <c r="L362" s="13">
        <f t="shared" si="11"/>
        <v>44178</v>
      </c>
      <c r="M362" s="16" t="s">
        <v>138</v>
      </c>
      <c r="N362" s="16" t="s">
        <v>25</v>
      </c>
      <c r="O362" s="16" t="s">
        <v>21</v>
      </c>
      <c r="P362" s="16" t="s">
        <v>22</v>
      </c>
      <c r="Q362" s="17">
        <v>49</v>
      </c>
      <c r="R362" s="16">
        <v>53</v>
      </c>
      <c r="S362" s="42">
        <f>VENTAS[[#This Row],[Precio unitario]]*VENTAS[[#This Row],[Cantidad]]</f>
        <v>2597</v>
      </c>
      <c r="T362" s="33">
        <v>246.71499999999997</v>
      </c>
    </row>
    <row r="363" spans="2:20">
      <c r="B363" s="31">
        <v>1420</v>
      </c>
      <c r="C363" s="13">
        <v>43445</v>
      </c>
      <c r="D363" s="13">
        <f t="shared" si="10"/>
        <v>44176</v>
      </c>
      <c r="E363" s="14">
        <v>11</v>
      </c>
      <c r="F363" s="15" t="s">
        <v>120</v>
      </c>
      <c r="G363" s="16" t="s">
        <v>63</v>
      </c>
      <c r="H363" s="16" t="s">
        <v>63</v>
      </c>
      <c r="I363" s="16" t="s">
        <v>53</v>
      </c>
      <c r="J363" s="16" t="s">
        <v>143</v>
      </c>
      <c r="K363" s="13">
        <v>43448</v>
      </c>
      <c r="L363" s="13">
        <f t="shared" si="11"/>
        <v>44179</v>
      </c>
      <c r="M363" s="16" t="s">
        <v>140</v>
      </c>
      <c r="N363" s="16" t="s">
        <v>25</v>
      </c>
      <c r="O363" s="16" t="s">
        <v>49</v>
      </c>
      <c r="P363" s="16" t="s">
        <v>50</v>
      </c>
      <c r="Q363" s="17">
        <v>560</v>
      </c>
      <c r="R363" s="16">
        <v>61</v>
      </c>
      <c r="S363" s="42">
        <f>VENTAS[[#This Row],[Precio unitario]]*VENTAS[[#This Row],[Cantidad]]</f>
        <v>34160</v>
      </c>
      <c r="T363" s="33">
        <v>3484.3199999999997</v>
      </c>
    </row>
    <row r="364" spans="2:20">
      <c r="B364" s="31">
        <v>1421</v>
      </c>
      <c r="C364" s="13">
        <v>43435</v>
      </c>
      <c r="D364" s="13">
        <f t="shared" si="10"/>
        <v>44166</v>
      </c>
      <c r="E364" s="14">
        <v>1</v>
      </c>
      <c r="F364" s="15" t="s">
        <v>121</v>
      </c>
      <c r="G364" s="16" t="s">
        <v>64</v>
      </c>
      <c r="H364" s="16" t="s">
        <v>65</v>
      </c>
      <c r="I364" s="16" t="s">
        <v>32</v>
      </c>
      <c r="J364" s="16" t="s">
        <v>33</v>
      </c>
      <c r="K364" s="13">
        <v>43449</v>
      </c>
      <c r="L364" s="13">
        <f t="shared" si="11"/>
        <v>44180</v>
      </c>
      <c r="M364" s="16" t="s">
        <v>140</v>
      </c>
      <c r="N364" s="16" t="s">
        <v>25</v>
      </c>
      <c r="O364" s="16" t="s">
        <v>66</v>
      </c>
      <c r="P364" s="16" t="s">
        <v>67</v>
      </c>
      <c r="Q364" s="17">
        <v>257.59999999999997</v>
      </c>
      <c r="R364" s="16">
        <v>45</v>
      </c>
      <c r="S364" s="42">
        <f>VENTAS[[#This Row],[Precio unitario]]*VENTAS[[#This Row],[Cantidad]]</f>
        <v>11591.999999999998</v>
      </c>
      <c r="T364" s="33">
        <v>1136.0159999999998</v>
      </c>
    </row>
    <row r="365" spans="2:20">
      <c r="B365" s="31">
        <v>1422</v>
      </c>
      <c r="C365" s="13">
        <v>43462</v>
      </c>
      <c r="D365" s="13">
        <f t="shared" si="10"/>
        <v>44193</v>
      </c>
      <c r="E365" s="14">
        <v>28</v>
      </c>
      <c r="F365" s="15" t="s">
        <v>122</v>
      </c>
      <c r="G365" s="16" t="s">
        <v>51</v>
      </c>
      <c r="H365" s="16" t="s">
        <v>52</v>
      </c>
      <c r="I365" s="16" t="s">
        <v>53</v>
      </c>
      <c r="J365" s="16" t="s">
        <v>143</v>
      </c>
      <c r="K365" s="13">
        <v>43464</v>
      </c>
      <c r="L365" s="13">
        <f t="shared" si="11"/>
        <v>44195</v>
      </c>
      <c r="M365" s="16" t="s">
        <v>140</v>
      </c>
      <c r="N365" s="16" t="s">
        <v>25</v>
      </c>
      <c r="O365" s="16" t="s">
        <v>29</v>
      </c>
      <c r="P365" s="16" t="s">
        <v>20</v>
      </c>
      <c r="Q365" s="17">
        <v>644</v>
      </c>
      <c r="R365" s="16">
        <v>43</v>
      </c>
      <c r="S365" s="42">
        <f>VENTAS[[#This Row],[Precio unitario]]*VENTAS[[#This Row],[Cantidad]]</f>
        <v>27692</v>
      </c>
      <c r="T365" s="33">
        <v>2769.2000000000003</v>
      </c>
    </row>
    <row r="366" spans="2:20">
      <c r="B366" s="31">
        <v>1423</v>
      </c>
      <c r="C366" s="13">
        <v>43443</v>
      </c>
      <c r="D366" s="13">
        <f t="shared" si="10"/>
        <v>44174</v>
      </c>
      <c r="E366" s="14">
        <v>9</v>
      </c>
      <c r="F366" s="18" t="s">
        <v>88</v>
      </c>
      <c r="G366" s="16" t="s">
        <v>68</v>
      </c>
      <c r="H366" s="16" t="s">
        <v>37</v>
      </c>
      <c r="I366" s="16" t="s">
        <v>69</v>
      </c>
      <c r="J366" s="16" t="s">
        <v>142</v>
      </c>
      <c r="K366" s="13">
        <v>43445</v>
      </c>
      <c r="L366" s="13">
        <f t="shared" si="11"/>
        <v>44176</v>
      </c>
      <c r="M366" s="16" t="s">
        <v>138</v>
      </c>
      <c r="N366" s="16" t="s">
        <v>43</v>
      </c>
      <c r="O366" s="16" t="s">
        <v>44</v>
      </c>
      <c r="P366" s="16" t="s">
        <v>45</v>
      </c>
      <c r="Q366" s="17">
        <v>135.1</v>
      </c>
      <c r="R366" s="16">
        <v>18</v>
      </c>
      <c r="S366" s="42">
        <f>VENTAS[[#This Row],[Precio unitario]]*VENTAS[[#This Row],[Cantidad]]</f>
        <v>2431.7999999999997</v>
      </c>
      <c r="T366" s="33">
        <v>231.02100000000002</v>
      </c>
    </row>
    <row r="367" spans="2:20">
      <c r="B367" s="31">
        <v>1424</v>
      </c>
      <c r="C367" s="13">
        <v>43440</v>
      </c>
      <c r="D367" s="13">
        <f t="shared" si="10"/>
        <v>44171</v>
      </c>
      <c r="E367" s="14">
        <v>6</v>
      </c>
      <c r="F367" s="18" t="s">
        <v>85</v>
      </c>
      <c r="G367" s="16" t="s">
        <v>46</v>
      </c>
      <c r="H367" s="16" t="s">
        <v>47</v>
      </c>
      <c r="I367" s="16" t="s">
        <v>48</v>
      </c>
      <c r="J367" s="16" t="s">
        <v>33</v>
      </c>
      <c r="K367" s="13">
        <v>43442</v>
      </c>
      <c r="L367" s="13">
        <f t="shared" si="11"/>
        <v>44173</v>
      </c>
      <c r="M367" s="16" t="s">
        <v>139</v>
      </c>
      <c r="N367" s="16" t="s">
        <v>25</v>
      </c>
      <c r="O367" s="16" t="s">
        <v>39</v>
      </c>
      <c r="P367" s="16" t="s">
        <v>40</v>
      </c>
      <c r="Q367" s="17">
        <v>178.5</v>
      </c>
      <c r="R367" s="16">
        <v>41</v>
      </c>
      <c r="S367" s="42">
        <f>VENTAS[[#This Row],[Precio unitario]]*VENTAS[[#This Row],[Cantidad]]</f>
        <v>7318.5</v>
      </c>
      <c r="T367" s="33">
        <v>709.89450000000011</v>
      </c>
    </row>
    <row r="368" spans="2:20">
      <c r="B368" s="31">
        <v>1425</v>
      </c>
      <c r="C368" s="13">
        <v>43442</v>
      </c>
      <c r="D368" s="13">
        <f t="shared" si="10"/>
        <v>44173</v>
      </c>
      <c r="E368" s="14">
        <v>8</v>
      </c>
      <c r="F368" s="18" t="s">
        <v>91</v>
      </c>
      <c r="G368" s="16" t="s">
        <v>30</v>
      </c>
      <c r="H368" s="16" t="s">
        <v>31</v>
      </c>
      <c r="I368" s="16" t="s">
        <v>32</v>
      </c>
      <c r="J368" s="16" t="s">
        <v>33</v>
      </c>
      <c r="K368" s="13">
        <v>43444</v>
      </c>
      <c r="L368" s="13">
        <f t="shared" si="11"/>
        <v>44175</v>
      </c>
      <c r="M368" s="16" t="s">
        <v>139</v>
      </c>
      <c r="N368" s="16" t="s">
        <v>43</v>
      </c>
      <c r="O368" s="16" t="s">
        <v>39</v>
      </c>
      <c r="P368" s="16" t="s">
        <v>40</v>
      </c>
      <c r="Q368" s="17">
        <v>178.5</v>
      </c>
      <c r="R368" s="16">
        <v>19</v>
      </c>
      <c r="S368" s="42">
        <f>VENTAS[[#This Row],[Precio unitario]]*VENTAS[[#This Row],[Cantidad]]</f>
        <v>3391.5</v>
      </c>
      <c r="T368" s="33">
        <v>335.75850000000003</v>
      </c>
    </row>
    <row r="369" spans="2:20">
      <c r="B369" s="31">
        <v>1426</v>
      </c>
      <c r="C369" s="13">
        <v>43459</v>
      </c>
      <c r="D369" s="13">
        <f t="shared" si="10"/>
        <v>44190</v>
      </c>
      <c r="E369" s="14">
        <v>25</v>
      </c>
      <c r="F369" s="18" t="s">
        <v>87</v>
      </c>
      <c r="G369" s="16" t="s">
        <v>54</v>
      </c>
      <c r="H369" s="16" t="s">
        <v>55</v>
      </c>
      <c r="I369" s="16" t="s">
        <v>56</v>
      </c>
      <c r="J369" s="16" t="s">
        <v>141</v>
      </c>
      <c r="K369" s="13">
        <v>43461</v>
      </c>
      <c r="L369" s="13">
        <f t="shared" si="11"/>
        <v>44192</v>
      </c>
      <c r="M369" s="16" t="s">
        <v>138</v>
      </c>
      <c r="N369" s="16" t="s">
        <v>43</v>
      </c>
      <c r="O369" s="16" t="s">
        <v>61</v>
      </c>
      <c r="P369" s="16" t="s">
        <v>62</v>
      </c>
      <c r="Q369" s="17">
        <v>308</v>
      </c>
      <c r="R369" s="16">
        <v>65</v>
      </c>
      <c r="S369" s="42">
        <f>VENTAS[[#This Row],[Precio unitario]]*VENTAS[[#This Row],[Cantidad]]</f>
        <v>20020</v>
      </c>
      <c r="T369" s="33">
        <v>1941.94</v>
      </c>
    </row>
    <row r="370" spans="2:20">
      <c r="B370" s="31">
        <v>1427</v>
      </c>
      <c r="C370" s="13">
        <v>43460</v>
      </c>
      <c r="D370" s="13">
        <f t="shared" si="10"/>
        <v>44191</v>
      </c>
      <c r="E370" s="14">
        <v>26</v>
      </c>
      <c r="F370" s="18" t="s">
        <v>86</v>
      </c>
      <c r="G370" s="16" t="s">
        <v>63</v>
      </c>
      <c r="H370" s="16" t="s">
        <v>63</v>
      </c>
      <c r="I370" s="16" t="s">
        <v>53</v>
      </c>
      <c r="J370" s="16" t="s">
        <v>143</v>
      </c>
      <c r="K370" s="13">
        <v>43462</v>
      </c>
      <c r="L370" s="13">
        <f t="shared" si="11"/>
        <v>44193</v>
      </c>
      <c r="M370" s="16" t="s">
        <v>140</v>
      </c>
      <c r="N370" s="16" t="s">
        <v>25</v>
      </c>
      <c r="O370" s="16" t="s">
        <v>59</v>
      </c>
      <c r="P370" s="16" t="s">
        <v>60</v>
      </c>
      <c r="Q370" s="17">
        <v>350</v>
      </c>
      <c r="R370" s="16">
        <v>13</v>
      </c>
      <c r="S370" s="42">
        <f>VENTAS[[#This Row],[Precio unitario]]*VENTAS[[#This Row],[Cantidad]]</f>
        <v>4550</v>
      </c>
      <c r="T370" s="33">
        <v>450.44999999999993</v>
      </c>
    </row>
    <row r="371" spans="2:20">
      <c r="B371" s="31">
        <v>1428</v>
      </c>
      <c r="C371" s="13">
        <v>43463</v>
      </c>
      <c r="D371" s="13">
        <f t="shared" si="10"/>
        <v>44194</v>
      </c>
      <c r="E371" s="14">
        <v>29</v>
      </c>
      <c r="F371" s="18" t="s">
        <v>123</v>
      </c>
      <c r="G371" s="16" t="s">
        <v>36</v>
      </c>
      <c r="H371" s="16" t="s">
        <v>37</v>
      </c>
      <c r="I371" s="16" t="s">
        <v>38</v>
      </c>
      <c r="J371" s="16" t="s">
        <v>142</v>
      </c>
      <c r="K371" s="13">
        <v>43465</v>
      </c>
      <c r="L371" s="13">
        <f t="shared" si="11"/>
        <v>44196</v>
      </c>
      <c r="M371" s="16" t="s">
        <v>139</v>
      </c>
      <c r="N371" s="16" t="s">
        <v>43</v>
      </c>
      <c r="O371" s="16" t="s">
        <v>76</v>
      </c>
      <c r="P371" s="16" t="s">
        <v>77</v>
      </c>
      <c r="Q371" s="17">
        <v>546</v>
      </c>
      <c r="R371" s="16">
        <v>54</v>
      </c>
      <c r="S371" s="42">
        <f>VENTAS[[#This Row],[Precio unitario]]*VENTAS[[#This Row],[Cantidad]]</f>
        <v>29484</v>
      </c>
      <c r="T371" s="33">
        <v>3007.3680000000004</v>
      </c>
    </row>
    <row r="372" spans="2:20">
      <c r="B372" s="31">
        <v>1429</v>
      </c>
      <c r="C372" s="13">
        <v>43440</v>
      </c>
      <c r="D372" s="13">
        <f t="shared" si="10"/>
        <v>44171</v>
      </c>
      <c r="E372" s="14">
        <v>6</v>
      </c>
      <c r="F372" s="18" t="s">
        <v>89</v>
      </c>
      <c r="G372" s="16" t="s">
        <v>46</v>
      </c>
      <c r="H372" s="16" t="s">
        <v>47</v>
      </c>
      <c r="I372" s="16" t="s">
        <v>48</v>
      </c>
      <c r="J372" s="16" t="s">
        <v>33</v>
      </c>
      <c r="K372" s="13">
        <v>43442</v>
      </c>
      <c r="L372" s="13">
        <f t="shared" si="11"/>
        <v>44173</v>
      </c>
      <c r="M372" s="16" t="s">
        <v>140</v>
      </c>
      <c r="N372" s="16" t="s">
        <v>43</v>
      </c>
      <c r="O372" s="16" t="s">
        <v>26</v>
      </c>
      <c r="P372" s="16" t="s">
        <v>22</v>
      </c>
      <c r="Q372" s="17">
        <v>420</v>
      </c>
      <c r="R372" s="16">
        <v>33</v>
      </c>
      <c r="S372" s="42">
        <f>VENTAS[[#This Row],[Precio unitario]]*VENTAS[[#This Row],[Cantidad]]</f>
        <v>13860</v>
      </c>
      <c r="T372" s="33">
        <v>1330.56</v>
      </c>
    </row>
    <row r="373" spans="2:20">
      <c r="B373" s="31">
        <v>1430</v>
      </c>
      <c r="C373" s="13">
        <v>43440</v>
      </c>
      <c r="D373" s="13">
        <f t="shared" si="10"/>
        <v>44171</v>
      </c>
      <c r="E373" s="14">
        <v>6</v>
      </c>
      <c r="F373" s="18" t="s">
        <v>124</v>
      </c>
      <c r="G373" s="16" t="s">
        <v>46</v>
      </c>
      <c r="H373" s="16" t="s">
        <v>47</v>
      </c>
      <c r="I373" s="16" t="s">
        <v>48</v>
      </c>
      <c r="J373" s="16" t="s">
        <v>33</v>
      </c>
      <c r="K373" s="13">
        <v>43442</v>
      </c>
      <c r="L373" s="13">
        <f t="shared" si="11"/>
        <v>44173</v>
      </c>
      <c r="M373" s="16" t="s">
        <v>140</v>
      </c>
      <c r="N373" s="16" t="s">
        <v>43</v>
      </c>
      <c r="O373" s="16" t="s">
        <v>27</v>
      </c>
      <c r="P373" s="16" t="s">
        <v>22</v>
      </c>
      <c r="Q373" s="17">
        <v>742</v>
      </c>
      <c r="R373" s="16">
        <v>34</v>
      </c>
      <c r="S373" s="42">
        <f>VENTAS[[#This Row],[Precio unitario]]*VENTAS[[#This Row],[Cantidad]]</f>
        <v>25228</v>
      </c>
      <c r="T373" s="33">
        <v>2598.4840000000004</v>
      </c>
    </row>
    <row r="374" spans="2:20">
      <c r="B374" s="31">
        <v>1431</v>
      </c>
      <c r="C374" s="13">
        <v>43438</v>
      </c>
      <c r="D374" s="13">
        <f t="shared" si="10"/>
        <v>44169</v>
      </c>
      <c r="E374" s="14">
        <v>4</v>
      </c>
      <c r="F374" s="18" t="s">
        <v>92</v>
      </c>
      <c r="G374" s="16" t="s">
        <v>23</v>
      </c>
      <c r="H374" s="16" t="s">
        <v>23</v>
      </c>
      <c r="I374" s="16" t="s">
        <v>24</v>
      </c>
      <c r="J374" s="16" t="s">
        <v>141</v>
      </c>
      <c r="K374" s="13">
        <v>43443</v>
      </c>
      <c r="L374" s="13">
        <f t="shared" si="11"/>
        <v>44174</v>
      </c>
      <c r="M374" s="16" t="s">
        <v>140</v>
      </c>
      <c r="N374" s="16" t="s">
        <v>43</v>
      </c>
      <c r="O374" s="16" t="s">
        <v>78</v>
      </c>
      <c r="P374" s="16" t="s">
        <v>71</v>
      </c>
      <c r="Q374" s="17">
        <v>532</v>
      </c>
      <c r="R374" s="16">
        <v>59</v>
      </c>
      <c r="S374" s="42">
        <f>VENTAS[[#This Row],[Precio unitario]]*VENTAS[[#This Row],[Cantidad]]</f>
        <v>31388</v>
      </c>
      <c r="T374" s="33">
        <v>3170.1880000000001</v>
      </c>
    </row>
    <row r="375" spans="2:20" ht="15" thickBot="1">
      <c r="B375" s="32">
        <v>1432</v>
      </c>
      <c r="C375" s="19">
        <v>43437</v>
      </c>
      <c r="D375" s="19">
        <f t="shared" si="10"/>
        <v>44168</v>
      </c>
      <c r="E375" s="20">
        <v>3</v>
      </c>
      <c r="F375" s="21" t="s">
        <v>125</v>
      </c>
      <c r="G375" s="22" t="s">
        <v>41</v>
      </c>
      <c r="H375" s="22" t="s">
        <v>42</v>
      </c>
      <c r="I375" s="22" t="s">
        <v>18</v>
      </c>
      <c r="J375" s="16" t="s">
        <v>142</v>
      </c>
      <c r="K375" s="19">
        <v>43444</v>
      </c>
      <c r="L375" s="19">
        <f t="shared" si="11"/>
        <v>44175</v>
      </c>
      <c r="M375" s="22" t="s">
        <v>140</v>
      </c>
      <c r="N375" s="22" t="s">
        <v>43</v>
      </c>
      <c r="O375" s="22" t="s">
        <v>57</v>
      </c>
      <c r="P375" s="22" t="s">
        <v>20</v>
      </c>
      <c r="Q375" s="23">
        <v>41.86</v>
      </c>
      <c r="R375" s="22">
        <v>24</v>
      </c>
      <c r="S375" s="43">
        <f>VENTAS[[#This Row],[Precio unitario]]*VENTAS[[#This Row],[Cantidad]]</f>
        <v>1004.64</v>
      </c>
      <c r="T375" s="34">
        <v>99.459360000000004</v>
      </c>
    </row>
    <row r="376" spans="2:20" ht="15" thickBot="1">
      <c r="B376" s="48">
        <v>1433</v>
      </c>
      <c r="C376" s="49"/>
      <c r="D376" s="19">
        <f t="shared" si="10"/>
        <v>731</v>
      </c>
      <c r="E376" s="50">
        <v>19</v>
      </c>
      <c r="F376" s="51" t="s">
        <v>170</v>
      </c>
      <c r="G376" s="52" t="s">
        <v>171</v>
      </c>
      <c r="H376" s="52" t="s">
        <v>37</v>
      </c>
      <c r="I376" s="52" t="s">
        <v>172</v>
      </c>
      <c r="J376" s="52" t="s">
        <v>142</v>
      </c>
      <c r="K376" s="49"/>
      <c r="L376" s="19">
        <f t="shared" si="11"/>
        <v>731</v>
      </c>
      <c r="M376" s="22" t="s">
        <v>173</v>
      </c>
      <c r="N376" s="22" t="s">
        <v>43</v>
      </c>
      <c r="O376" s="52" t="s">
        <v>26</v>
      </c>
      <c r="P376" s="52" t="s">
        <v>174</v>
      </c>
      <c r="Q376" s="53">
        <v>55</v>
      </c>
      <c r="R376" s="52">
        <v>40</v>
      </c>
      <c r="S376" s="54">
        <f>VENTAS[[#This Row],[Precio unitario]]*VENTAS[[#This Row],[Cantidad]]</f>
        <v>2200</v>
      </c>
      <c r="T376" s="55">
        <v>30</v>
      </c>
    </row>
    <row r="377" spans="2:20" ht="15" thickBot="1">
      <c r="B377" s="56">
        <v>1434</v>
      </c>
      <c r="C377" s="57"/>
      <c r="D377" s="58">
        <f t="shared" si="10"/>
        <v>731</v>
      </c>
      <c r="E377" s="59">
        <v>4</v>
      </c>
      <c r="F377" s="60" t="s">
        <v>170</v>
      </c>
      <c r="G377" s="61" t="s">
        <v>171</v>
      </c>
      <c r="H377" s="61" t="s">
        <v>37</v>
      </c>
      <c r="I377" s="61" t="s">
        <v>172</v>
      </c>
      <c r="J377" s="61" t="s">
        <v>142</v>
      </c>
      <c r="K377" s="57"/>
      <c r="L377" s="58">
        <f t="shared" si="11"/>
        <v>731</v>
      </c>
      <c r="M377" s="62" t="s">
        <v>175</v>
      </c>
      <c r="N377" s="63" t="s">
        <v>25</v>
      </c>
      <c r="O377" s="61" t="s">
        <v>57</v>
      </c>
      <c r="P377" s="61" t="s">
        <v>176</v>
      </c>
      <c r="Q377" s="64">
        <v>85</v>
      </c>
      <c r="R377" s="61">
        <v>34</v>
      </c>
      <c r="S377" s="65">
        <f>VENTAS[[#This Row],[Precio unitario]]*VENTAS[[#This Row],[Cantidad]]</f>
        <v>2890</v>
      </c>
      <c r="T377" s="66">
        <v>34</v>
      </c>
    </row>
    <row r="383" spans="2:20">
      <c r="D383" t="s">
        <v>177</v>
      </c>
    </row>
  </sheetData>
  <mergeCells count="1">
    <mergeCell ref="G1:L1"/>
  </mergeCells>
  <phoneticPr fontId="18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37B00-C792-4512-8834-069FA3D2E80C}">
  <sheetPr codeName="Hoja3">
    <tabColor theme="1"/>
  </sheetPr>
  <dimension ref="A1:L84"/>
  <sheetViews>
    <sheetView showGridLines="0" zoomScale="70" zoomScaleNormal="70" workbookViewId="0">
      <selection activeCell="T24" sqref="T24"/>
    </sheetView>
  </sheetViews>
  <sheetFormatPr baseColWidth="10" defaultRowHeight="14.5"/>
  <cols>
    <col min="1" max="1" width="16.54296875" bestFit="1" customWidth="1"/>
    <col min="2" max="2" width="18.26953125" bestFit="1" customWidth="1"/>
    <col min="3" max="3" width="18.54296875" bestFit="1" customWidth="1"/>
    <col min="4" max="4" width="25" customWidth="1"/>
    <col min="5" max="5" width="23" customWidth="1"/>
    <col min="6" max="6" width="20.36328125" bestFit="1" customWidth="1"/>
  </cols>
  <sheetData>
    <row r="1" spans="1:12" s="11" customFormat="1" ht="26.4" customHeight="1">
      <c r="B1" s="10"/>
      <c r="D1" s="71" t="s">
        <v>133</v>
      </c>
      <c r="E1" s="71"/>
      <c r="F1" s="71"/>
      <c r="G1" s="71"/>
      <c r="H1" s="12"/>
      <c r="I1" s="12"/>
      <c r="J1" s="12"/>
      <c r="K1" s="12"/>
      <c r="L1" s="12"/>
    </row>
    <row r="2" spans="1:12" s="25" customFormat="1" ht="18.649999999999999" customHeight="1">
      <c r="C2" s="26"/>
      <c r="D2" s="72" t="s">
        <v>134</v>
      </c>
      <c r="E2" s="72"/>
      <c r="F2" s="72"/>
      <c r="G2" s="27"/>
      <c r="H2" s="27"/>
      <c r="I2" s="27"/>
      <c r="J2" s="27"/>
    </row>
    <row r="3" spans="1:12">
      <c r="A3" s="70" t="s">
        <v>144</v>
      </c>
      <c r="B3" s="70"/>
      <c r="C3" s="70"/>
      <c r="D3" s="70"/>
    </row>
    <row r="4" spans="1:12">
      <c r="A4" s="44" t="s">
        <v>153</v>
      </c>
      <c r="B4" t="s">
        <v>167</v>
      </c>
    </row>
    <row r="5" spans="1:12">
      <c r="A5" s="8" t="s">
        <v>155</v>
      </c>
      <c r="B5" s="45">
        <v>460709.76000000007</v>
      </c>
    </row>
    <row r="6" spans="1:12">
      <c r="A6" s="8" t="s">
        <v>156</v>
      </c>
      <c r="B6" s="45">
        <v>329777</v>
      </c>
    </row>
    <row r="7" spans="1:12">
      <c r="A7" s="8" t="s">
        <v>157</v>
      </c>
      <c r="B7" s="45">
        <v>431936.39999999997</v>
      </c>
    </row>
    <row r="8" spans="1:12">
      <c r="A8" s="8" t="s">
        <v>158</v>
      </c>
      <c r="B8" s="45">
        <v>290805.06</v>
      </c>
    </row>
    <row r="9" spans="1:12">
      <c r="A9" s="8" t="s">
        <v>159</v>
      </c>
      <c r="B9" s="45">
        <v>480298.70000000007</v>
      </c>
    </row>
    <row r="10" spans="1:12">
      <c r="A10" s="8" t="s">
        <v>160</v>
      </c>
      <c r="B10" s="45">
        <v>778422.54</v>
      </c>
    </row>
    <row r="11" spans="1:12">
      <c r="A11" s="8" t="s">
        <v>161</v>
      </c>
      <c r="B11" s="45">
        <v>382459.56</v>
      </c>
    </row>
    <row r="12" spans="1:12">
      <c r="A12" s="8" t="s">
        <v>162</v>
      </c>
      <c r="B12" s="45">
        <v>418900.44</v>
      </c>
    </row>
    <row r="13" spans="1:12">
      <c r="A13" s="8" t="s">
        <v>163</v>
      </c>
      <c r="B13" s="45">
        <v>447299.57999999996</v>
      </c>
    </row>
    <row r="14" spans="1:12">
      <c r="A14" s="8" t="s">
        <v>164</v>
      </c>
      <c r="B14" s="45">
        <v>742470.26</v>
      </c>
    </row>
    <row r="15" spans="1:12">
      <c r="A15" s="8" t="s">
        <v>165</v>
      </c>
      <c r="B15" s="45">
        <v>444828.02</v>
      </c>
    </row>
    <row r="16" spans="1:12">
      <c r="A16" s="8" t="s">
        <v>166</v>
      </c>
      <c r="B16" s="45">
        <v>932998.92</v>
      </c>
    </row>
    <row r="17" spans="1:4">
      <c r="A17" s="8" t="s">
        <v>154</v>
      </c>
      <c r="B17" s="45">
        <v>6140906.2400000002</v>
      </c>
    </row>
    <row r="20" spans="1:4">
      <c r="A20" s="70" t="s">
        <v>145</v>
      </c>
      <c r="B20" s="70"/>
      <c r="C20" s="70"/>
      <c r="D20" s="70"/>
    </row>
    <row r="22" spans="1:4">
      <c r="A22" s="44" t="s">
        <v>153</v>
      </c>
      <c r="B22" t="s">
        <v>167</v>
      </c>
    </row>
    <row r="23" spans="1:4">
      <c r="A23" s="8" t="s">
        <v>32</v>
      </c>
      <c r="B23" s="45">
        <v>1476192.7600000002</v>
      </c>
    </row>
    <row r="24" spans="1:4">
      <c r="A24" s="8" t="s">
        <v>53</v>
      </c>
      <c r="B24" s="45">
        <v>1330676.6200000001</v>
      </c>
    </row>
    <row r="25" spans="1:4">
      <c r="A25" s="8" t="s">
        <v>24</v>
      </c>
      <c r="B25" s="45">
        <v>940527</v>
      </c>
    </row>
    <row r="26" spans="1:4">
      <c r="A26" s="8" t="s">
        <v>18</v>
      </c>
      <c r="B26" s="45">
        <v>593192.32000000007</v>
      </c>
    </row>
    <row r="27" spans="1:4">
      <c r="A27" s="8" t="s">
        <v>56</v>
      </c>
      <c r="B27" s="45">
        <v>575330.14</v>
      </c>
    </row>
    <row r="28" spans="1:4">
      <c r="A28" s="8" t="s">
        <v>154</v>
      </c>
      <c r="B28" s="45">
        <v>4915918.84</v>
      </c>
    </row>
    <row r="36" spans="1:2">
      <c r="A36" s="30" t="s">
        <v>146</v>
      </c>
    </row>
    <row r="38" spans="1:2">
      <c r="A38" s="44" t="s">
        <v>153</v>
      </c>
      <c r="B38" t="s">
        <v>167</v>
      </c>
    </row>
    <row r="39" spans="1:2">
      <c r="A39" s="8" t="s">
        <v>20</v>
      </c>
      <c r="B39" s="45">
        <v>1548079.5399999998</v>
      </c>
    </row>
    <row r="40" spans="1:2">
      <c r="A40" s="8" t="s">
        <v>50</v>
      </c>
      <c r="B40" s="45">
        <v>966000</v>
      </c>
    </row>
    <row r="41" spans="1:2">
      <c r="A41" s="8" t="s">
        <v>60</v>
      </c>
      <c r="B41" s="45">
        <v>721574</v>
      </c>
    </row>
    <row r="42" spans="1:2">
      <c r="A42" s="8" t="s">
        <v>73</v>
      </c>
      <c r="B42" s="45">
        <v>463814.39999999985</v>
      </c>
    </row>
    <row r="43" spans="1:2">
      <c r="A43" s="8" t="s">
        <v>22</v>
      </c>
      <c r="B43" s="45">
        <v>391993</v>
      </c>
    </row>
    <row r="44" spans="1:2">
      <c r="A44" s="8" t="s">
        <v>67</v>
      </c>
      <c r="B44" s="45">
        <v>356518.39999999997</v>
      </c>
    </row>
    <row r="45" spans="1:2">
      <c r="A45" s="8" t="s">
        <v>62</v>
      </c>
      <c r="B45" s="45">
        <v>283892</v>
      </c>
    </row>
    <row r="46" spans="1:2">
      <c r="A46" s="8" t="s">
        <v>71</v>
      </c>
      <c r="B46" s="45">
        <v>282471</v>
      </c>
    </row>
    <row r="47" spans="1:2">
      <c r="A47" s="8" t="s">
        <v>35</v>
      </c>
      <c r="B47" s="45">
        <v>266750.40000000002</v>
      </c>
    </row>
    <row r="48" spans="1:2">
      <c r="A48" s="8" t="s">
        <v>40</v>
      </c>
      <c r="B48" s="45">
        <v>249721.5</v>
      </c>
    </row>
    <row r="49" spans="1:4">
      <c r="A49" s="8" t="s">
        <v>45</v>
      </c>
      <c r="B49" s="45">
        <v>235614.39999999997</v>
      </c>
    </row>
    <row r="50" spans="1:4">
      <c r="A50" s="8" t="s">
        <v>81</v>
      </c>
      <c r="B50" s="45">
        <v>186513.60000000003</v>
      </c>
    </row>
    <row r="51" spans="1:4">
      <c r="A51" s="8" t="s">
        <v>77</v>
      </c>
      <c r="B51" s="45">
        <v>97188</v>
      </c>
    </row>
    <row r="52" spans="1:4">
      <c r="A52" s="8" t="s">
        <v>15</v>
      </c>
      <c r="B52" s="45">
        <v>50400</v>
      </c>
    </row>
    <row r="53" spans="1:4">
      <c r="A53" s="8" t="s">
        <v>84</v>
      </c>
      <c r="B53" s="45">
        <v>40376</v>
      </c>
    </row>
    <row r="54" spans="1:4">
      <c r="A54" s="8" t="s">
        <v>154</v>
      </c>
      <c r="B54" s="45">
        <v>6140906.2400000002</v>
      </c>
    </row>
    <row r="55" spans="1:4">
      <c r="A55" s="70" t="s">
        <v>147</v>
      </c>
      <c r="B55" s="70"/>
      <c r="C55" s="70"/>
      <c r="D55" s="70"/>
    </row>
    <row r="57" spans="1:4">
      <c r="A57" s="44" t="s">
        <v>153</v>
      </c>
      <c r="B57" t="s">
        <v>168</v>
      </c>
    </row>
    <row r="58" spans="1:4">
      <c r="A58" s="8" t="s">
        <v>142</v>
      </c>
      <c r="B58" s="46">
        <v>0.2117783579924572</v>
      </c>
    </row>
    <row r="59" spans="1:4">
      <c r="A59" s="8" t="s">
        <v>33</v>
      </c>
      <c r="B59" s="46">
        <v>0.30388743835219029</v>
      </c>
    </row>
    <row r="60" spans="1:4">
      <c r="A60" s="8" t="s">
        <v>143</v>
      </c>
      <c r="B60" s="46">
        <v>0.24098249685717049</v>
      </c>
    </row>
    <row r="61" spans="1:4">
      <c r="A61" s="8" t="s">
        <v>141</v>
      </c>
      <c r="B61" s="46">
        <v>0.24335170679818199</v>
      </c>
    </row>
    <row r="62" spans="1:4">
      <c r="A62" s="8" t="s">
        <v>154</v>
      </c>
      <c r="B62" s="46">
        <v>1</v>
      </c>
    </row>
    <row r="67" spans="1:2">
      <c r="A67" s="30" t="s">
        <v>149</v>
      </c>
    </row>
    <row r="71" spans="1:2">
      <c r="A71" s="44" t="s">
        <v>153</v>
      </c>
      <c r="B71" t="s">
        <v>168</v>
      </c>
    </row>
    <row r="72" spans="1:2">
      <c r="A72" s="8" t="s">
        <v>43</v>
      </c>
      <c r="B72" s="46">
        <v>0.40774586597040907</v>
      </c>
    </row>
    <row r="73" spans="1:2">
      <c r="A73" s="8" t="s">
        <v>25</v>
      </c>
      <c r="B73" s="46">
        <v>0.59225413402959093</v>
      </c>
    </row>
    <row r="74" spans="1:2">
      <c r="A74" s="8" t="s">
        <v>154</v>
      </c>
      <c r="B74" s="46">
        <v>1</v>
      </c>
    </row>
    <row r="81" spans="1:4">
      <c r="A81" s="70" t="s">
        <v>148</v>
      </c>
      <c r="B81" s="70"/>
      <c r="C81" s="70"/>
      <c r="D81" s="70"/>
    </row>
    <row r="83" spans="1:4">
      <c r="A83" t="s">
        <v>167</v>
      </c>
    </row>
    <row r="84" spans="1:4">
      <c r="A84" s="45">
        <v>6140906.2399999974</v>
      </c>
      <c r="B84" s="47">
        <f>GETPIVOTDATA("Venta Total",$A$83)</f>
        <v>6140906.2399999974</v>
      </c>
    </row>
  </sheetData>
  <mergeCells count="6">
    <mergeCell ref="A81:D81"/>
    <mergeCell ref="D1:G1"/>
    <mergeCell ref="D2:F2"/>
    <mergeCell ref="A3:D3"/>
    <mergeCell ref="A20:D20"/>
    <mergeCell ref="A55:D55"/>
  </mergeCells>
  <pageMargins left="0.7" right="0.7" top="0.75" bottom="0.75" header="0.3" footer="0.3"/>
  <pageSetup paperSize="9" orientation="portrait" r:id="rId7"/>
  <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CAD27-6420-4867-9D17-AF93277022C0}">
  <sheetPr codeName="Hoja5"/>
  <dimension ref="F1:M1"/>
  <sheetViews>
    <sheetView showGridLines="0" tabSelected="1" zoomScale="87" zoomScaleNormal="70" workbookViewId="0">
      <selection activeCell="R28" sqref="R28"/>
    </sheetView>
  </sheetViews>
  <sheetFormatPr baseColWidth="10" defaultRowHeight="14.5"/>
  <sheetData>
    <row r="1" spans="6:13" ht="23.5">
      <c r="F1" s="73" t="s">
        <v>169</v>
      </c>
      <c r="G1" s="73"/>
      <c r="H1" s="73"/>
      <c r="I1" s="73"/>
      <c r="J1" s="73"/>
      <c r="K1" s="73"/>
      <c r="L1" s="73"/>
      <c r="M1" s="73"/>
    </row>
  </sheetData>
  <mergeCells count="1">
    <mergeCell ref="F1:M1"/>
  </mergeCells>
  <pageMargins left="0.7" right="0.7" top="0.75" bottom="0.75" header="0.3" footer="0.3"/>
  <drawing r:id="rId1"/>
  <picture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Principal</vt:lpstr>
      <vt:lpstr>Requerimientos</vt:lpstr>
      <vt:lpstr>Base de Datos</vt:lpstr>
      <vt:lpstr>Tablas Dinámicas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Giancarlos</dc:creator>
  <cp:lastModifiedBy>Eric salinas</cp:lastModifiedBy>
  <dcterms:created xsi:type="dcterms:W3CDTF">2020-05-17T05:57:55Z</dcterms:created>
  <dcterms:modified xsi:type="dcterms:W3CDTF">2025-08-18T20:41:06Z</dcterms:modified>
</cp:coreProperties>
</file>