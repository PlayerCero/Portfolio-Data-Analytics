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hidePivotFieldList="1"/>
  <mc:AlternateContent xmlns:mc="http://schemas.openxmlformats.org/markup-compatibility/2006">
    <mc:Choice Requires="x15">
      <x15ac:absPath xmlns:x15ac="http://schemas.microsoft.com/office/spreadsheetml/2010/11/ac" url="https://udepoffice365ms-my.sharepoint.com/personal/eric_salinas_alum_udep_edu_pe/Documents/"/>
    </mc:Choice>
  </mc:AlternateContent>
  <xr:revisionPtr revIDLastSave="0" documentId="8_{CB5349B8-2618-471E-990E-147F03E10255}" xr6:coauthVersionLast="47" xr6:coauthVersionMax="47" xr10:uidLastSave="{00000000-0000-0000-0000-000000000000}"/>
  <bookViews>
    <workbookView xWindow="-120" yWindow="-120" windowWidth="29040" windowHeight="15720" firstSheet="3" activeTab="3" xr2:uid="{89C336CF-414D-43A0-B305-C62CF7CFB6DC}"/>
  </bookViews>
  <sheets>
    <sheet name="PRUEBA_HISTÓRICO" sheetId="21" r:id="rId1"/>
    <sheet name="PROYECCIÓN_PREVISIÓN_EDITAR" sheetId="19" r:id="rId2"/>
    <sheet name="DEMANDA_PREVISIÓN" sheetId="3" r:id="rId3"/>
    <sheet name="EOQ_PREVISIÓN" sheetId="14" r:id="rId4"/>
    <sheet name="ROP_PREVISIÓN" sheetId="16" r:id="rId5"/>
    <sheet name="TRANSPORTE_PREVISIÓN" sheetId="15" r:id="rId6"/>
    <sheet name="CAPACIDAD_PREVISIÓN" sheetId="12" r:id="rId7"/>
    <sheet name="PROYECCIÓN_PREVISIÓN_EDITAR (O)" sheetId="22" r:id="rId8"/>
    <sheet name="PROYECCIÓN_CONTINUA_BORRADOR" sheetId="17" r:id="rId9"/>
    <sheet name="BITÁCORA" sheetId="18" r:id="rId10"/>
  </sheets>
  <calcPr calcId="191028"/>
  <pivotCaches>
    <pivotCache cacheId="779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4" l="1"/>
  <c r="H7" i="12"/>
  <c r="G7" i="12"/>
  <c r="H6" i="12"/>
  <c r="P16" i="22"/>
  <c r="O16" i="22"/>
  <c r="O11" i="22"/>
  <c r="N11" i="22"/>
  <c r="N12" i="22"/>
  <c r="N13" i="22"/>
  <c r="N14" i="22"/>
  <c r="N15" i="22"/>
  <c r="N16" i="22"/>
  <c r="N17" i="22"/>
  <c r="N18" i="22"/>
  <c r="N19" i="22"/>
  <c r="N20" i="22"/>
  <c r="E5" i="12"/>
  <c r="D7" i="12"/>
  <c r="D5" i="12"/>
  <c r="D20" i="16"/>
  <c r="P411" i="17"/>
  <c r="O411" i="17"/>
  <c r="J12" i="12"/>
  <c r="J11" i="12"/>
  <c r="J10" i="12"/>
  <c r="K18" i="12"/>
  <c r="H8" i="12"/>
  <c r="G6" i="12"/>
  <c r="H5" i="12"/>
  <c r="F5" i="12"/>
  <c r="R76" i="3"/>
  <c r="R74" i="3"/>
  <c r="K59" i="3"/>
  <c r="K52" i="3"/>
  <c r="E735" i="16"/>
  <c r="E25" i="14"/>
  <c r="O46" i="3"/>
  <c r="O45" i="3"/>
  <c r="C8" i="14"/>
  <c r="C18" i="14" s="1"/>
  <c r="N23" i="17"/>
  <c r="N13" i="17"/>
  <c r="P734" i="19"/>
  <c r="O734" i="19"/>
  <c r="W715" i="19"/>
  <c r="P737" i="19"/>
  <c r="S734" i="19"/>
  <c r="Q734" i="19"/>
  <c r="U696" i="19"/>
  <c r="V737" i="19"/>
  <c r="U578" i="19"/>
  <c r="U579" i="19" s="1"/>
  <c r="U580" i="19" s="1"/>
  <c r="AB504" i="19"/>
  <c r="U641" i="19"/>
  <c r="U642" i="19" s="1"/>
  <c r="U643" i="19" s="1"/>
  <c r="U644" i="19" s="1"/>
  <c r="U645" i="19" s="1"/>
  <c r="U646" i="19" s="1"/>
  <c r="U647" i="19" s="1"/>
  <c r="U648" i="19" s="1"/>
  <c r="U649" i="19" s="1"/>
  <c r="U650" i="19" s="1"/>
  <c r="U651" i="19" s="1"/>
  <c r="U652" i="19" s="1"/>
  <c r="U653" i="19" s="1"/>
  <c r="U654" i="19" s="1"/>
  <c r="U655" i="19" s="1"/>
  <c r="U656" i="19" s="1"/>
  <c r="U657" i="19" s="1"/>
  <c r="U658" i="19" s="1"/>
  <c r="U659" i="19" s="1"/>
  <c r="U660" i="19" s="1"/>
  <c r="U661" i="19" s="1"/>
  <c r="U662" i="19" s="1"/>
  <c r="U663" i="19" s="1"/>
  <c r="U664" i="19" s="1"/>
  <c r="U665" i="19" s="1"/>
  <c r="U666" i="19" s="1"/>
  <c r="U667" i="19" s="1"/>
  <c r="U668" i="19" s="1"/>
  <c r="U669" i="19" s="1"/>
  <c r="U670" i="19" s="1"/>
  <c r="U671" i="19" s="1"/>
  <c r="U672" i="19" s="1"/>
  <c r="U673" i="19" s="1"/>
  <c r="U674" i="19" s="1"/>
  <c r="U675" i="19" s="1"/>
  <c r="U676" i="19" s="1"/>
  <c r="U678" i="19" s="1"/>
  <c r="U679" i="19" s="1"/>
  <c r="U680" i="19" s="1"/>
  <c r="U681" i="19" s="1"/>
  <c r="U682" i="19" s="1"/>
  <c r="U684" i="19" s="1"/>
  <c r="U685" i="19" s="1"/>
  <c r="U633" i="19"/>
  <c r="U634" i="19" s="1"/>
  <c r="U635" i="19" s="1"/>
  <c r="U636" i="19" s="1"/>
  <c r="U637" i="19" s="1"/>
  <c r="U625" i="19"/>
  <c r="U626" i="19" s="1"/>
  <c r="U627" i="19" s="1"/>
  <c r="U628" i="19" s="1"/>
  <c r="U629" i="19" s="1"/>
  <c r="U617" i="19"/>
  <c r="U618" i="19" s="1"/>
  <c r="U619" i="19" s="1"/>
  <c r="U620" i="19" s="1"/>
  <c r="U621" i="19" s="1"/>
  <c r="U622" i="19" s="1"/>
  <c r="U623" i="19" s="1"/>
  <c r="U609" i="19"/>
  <c r="U610" i="19" s="1"/>
  <c r="U611" i="19" s="1"/>
  <c r="U612" i="19" s="1"/>
  <c r="U613" i="19" s="1"/>
  <c r="U601" i="19"/>
  <c r="U602" i="19" s="1"/>
  <c r="U603" i="19" s="1"/>
  <c r="U604" i="19" s="1"/>
  <c r="U605" i="19" s="1"/>
  <c r="U593" i="19"/>
  <c r="U594" i="19" s="1"/>
  <c r="U595" i="19" s="1"/>
  <c r="U596" i="19" s="1"/>
  <c r="U597" i="19" s="1"/>
  <c r="U585" i="19"/>
  <c r="U586" i="19" s="1"/>
  <c r="U587" i="19" s="1"/>
  <c r="U588" i="19" s="1"/>
  <c r="U589" i="19" s="1"/>
  <c r="U569" i="19"/>
  <c r="U570" i="19" s="1"/>
  <c r="U571" i="19" s="1"/>
  <c r="U572" i="19" s="1"/>
  <c r="U486" i="19"/>
  <c r="U487" i="19" s="1"/>
  <c r="U488" i="19" s="1"/>
  <c r="U489" i="19" s="1"/>
  <c r="U490" i="19" s="1"/>
  <c r="U491" i="19" s="1"/>
  <c r="U492" i="19" s="1"/>
  <c r="U493" i="19" s="1"/>
  <c r="U494" i="19" s="1"/>
  <c r="U495" i="19" s="1"/>
  <c r="U496" i="19" s="1"/>
  <c r="U497" i="19" s="1"/>
  <c r="U498" i="19" s="1"/>
  <c r="U499" i="19" s="1"/>
  <c r="U500" i="19" s="1"/>
  <c r="U501" i="19" s="1"/>
  <c r="U502" i="19" s="1"/>
  <c r="U503" i="19" s="1"/>
  <c r="U504" i="19" s="1"/>
  <c r="U505" i="19" s="1"/>
  <c r="U506" i="19" s="1"/>
  <c r="U507" i="19" s="1"/>
  <c r="U508" i="19" s="1"/>
  <c r="U509" i="19" s="1"/>
  <c r="U510" i="19" s="1"/>
  <c r="U511" i="19" s="1"/>
  <c r="U512" i="19" s="1"/>
  <c r="U513" i="19" s="1"/>
  <c r="U514" i="19" s="1"/>
  <c r="U515" i="19" s="1"/>
  <c r="U516" i="19" s="1"/>
  <c r="U517" i="19" s="1"/>
  <c r="U518" i="19" s="1"/>
  <c r="U519" i="19" s="1"/>
  <c r="U520" i="19" s="1"/>
  <c r="U521" i="19" s="1"/>
  <c r="U522" i="19" s="1"/>
  <c r="U523" i="19" s="1"/>
  <c r="U524" i="19" s="1"/>
  <c r="U525" i="19" s="1"/>
  <c r="U526" i="19" s="1"/>
  <c r="U527" i="19" s="1"/>
  <c r="U528" i="19" s="1"/>
  <c r="U529" i="19" s="1"/>
  <c r="U530" i="19" s="1"/>
  <c r="U531" i="19" s="1"/>
  <c r="U532" i="19" s="1"/>
  <c r="U533" i="19" s="1"/>
  <c r="U534" i="19" s="1"/>
  <c r="U535" i="19" s="1"/>
  <c r="U536" i="19" s="1"/>
  <c r="U537" i="19" s="1"/>
  <c r="U538" i="19" s="1"/>
  <c r="U539" i="19" s="1"/>
  <c r="U540" i="19" s="1"/>
  <c r="U541" i="19" s="1"/>
  <c r="U542" i="19" s="1"/>
  <c r="U543" i="19" s="1"/>
  <c r="U544" i="19" s="1"/>
  <c r="U545" i="19" s="1"/>
  <c r="U546" i="19" s="1"/>
  <c r="U547" i="19" s="1"/>
  <c r="U548" i="19" s="1"/>
  <c r="U549" i="19" s="1"/>
  <c r="U550" i="19" s="1"/>
  <c r="U551" i="19" s="1"/>
  <c r="U552" i="19" s="1"/>
  <c r="U553" i="19" s="1"/>
  <c r="U554" i="19" s="1"/>
  <c r="U555" i="19" s="1"/>
  <c r="U556" i="19" s="1"/>
  <c r="U557" i="19" s="1"/>
  <c r="U558" i="19" s="1"/>
  <c r="U559" i="19" s="1"/>
  <c r="U560" i="19" s="1"/>
  <c r="U561" i="19" s="1"/>
  <c r="U562" i="19" s="1"/>
  <c r="U563" i="19" s="1"/>
  <c r="U564" i="19" s="1"/>
  <c r="U565" i="19" s="1"/>
  <c r="U566" i="19" s="1"/>
  <c r="F735" i="22"/>
  <c r="F734" i="22"/>
  <c r="F733" i="22"/>
  <c r="F732" i="22"/>
  <c r="F731" i="22"/>
  <c r="F730" i="22"/>
  <c r="F729" i="22"/>
  <c r="F728" i="22"/>
  <c r="F727" i="22"/>
  <c r="F726" i="22"/>
  <c r="F725" i="22"/>
  <c r="F724" i="22"/>
  <c r="F723" i="22"/>
  <c r="F722" i="22"/>
  <c r="F721" i="22"/>
  <c r="F720" i="22"/>
  <c r="F719" i="22"/>
  <c r="F718" i="22"/>
  <c r="F717" i="22"/>
  <c r="F716" i="22"/>
  <c r="F715" i="22"/>
  <c r="F714" i="22"/>
  <c r="F713" i="22"/>
  <c r="F712" i="22"/>
  <c r="F711" i="22"/>
  <c r="F710" i="22"/>
  <c r="F709" i="22"/>
  <c r="F708" i="22"/>
  <c r="F707" i="22"/>
  <c r="F706" i="22"/>
  <c r="F705" i="22"/>
  <c r="F704" i="22"/>
  <c r="F703" i="22"/>
  <c r="F702" i="22"/>
  <c r="F701" i="22"/>
  <c r="F700" i="22"/>
  <c r="F699" i="22"/>
  <c r="F698" i="22"/>
  <c r="F697" i="22"/>
  <c r="F696" i="22"/>
  <c r="F695" i="22"/>
  <c r="F694" i="22"/>
  <c r="F693" i="22"/>
  <c r="F692" i="22"/>
  <c r="F691" i="22"/>
  <c r="F690" i="22"/>
  <c r="F689" i="22"/>
  <c r="F688" i="22"/>
  <c r="F687" i="22"/>
  <c r="F686" i="22"/>
  <c r="F685" i="22"/>
  <c r="F684" i="22"/>
  <c r="F683" i="22"/>
  <c r="F682" i="22"/>
  <c r="F681" i="22"/>
  <c r="F680" i="22"/>
  <c r="F679" i="22"/>
  <c r="F678" i="22"/>
  <c r="F677" i="22"/>
  <c r="F676" i="22"/>
  <c r="F675" i="22"/>
  <c r="F674" i="22"/>
  <c r="F673" i="22"/>
  <c r="F672" i="22"/>
  <c r="F671" i="22"/>
  <c r="F670" i="22"/>
  <c r="F669" i="22"/>
  <c r="F668" i="22"/>
  <c r="F667" i="22"/>
  <c r="F666" i="22"/>
  <c r="F665" i="22"/>
  <c r="F664" i="22"/>
  <c r="F663" i="22"/>
  <c r="F662" i="22"/>
  <c r="F661" i="22"/>
  <c r="F660" i="22"/>
  <c r="F659" i="22"/>
  <c r="F658" i="22"/>
  <c r="F657" i="22"/>
  <c r="F656" i="22"/>
  <c r="F655" i="22"/>
  <c r="F654" i="22"/>
  <c r="F653" i="22"/>
  <c r="F652" i="22"/>
  <c r="F651" i="22"/>
  <c r="F650" i="22"/>
  <c r="F649" i="22"/>
  <c r="F648" i="22"/>
  <c r="F647" i="22"/>
  <c r="F646" i="22"/>
  <c r="F645" i="22"/>
  <c r="F644" i="22"/>
  <c r="F643" i="22"/>
  <c r="F642" i="22"/>
  <c r="F641" i="22"/>
  <c r="F640" i="22"/>
  <c r="F639" i="22"/>
  <c r="F638" i="22"/>
  <c r="F637" i="22"/>
  <c r="F636" i="22"/>
  <c r="F635" i="22"/>
  <c r="F634" i="22"/>
  <c r="F633" i="22"/>
  <c r="F632" i="22"/>
  <c r="F631" i="22"/>
  <c r="F630" i="22"/>
  <c r="F629" i="22"/>
  <c r="F628" i="22"/>
  <c r="F627" i="22"/>
  <c r="F626" i="22"/>
  <c r="F625" i="22"/>
  <c r="F624" i="22"/>
  <c r="F623" i="22"/>
  <c r="F622" i="22"/>
  <c r="F621" i="22"/>
  <c r="F620" i="22"/>
  <c r="F619" i="22"/>
  <c r="F618" i="22"/>
  <c r="F617" i="22"/>
  <c r="F616" i="22"/>
  <c r="F615" i="22"/>
  <c r="F614" i="22"/>
  <c r="F613" i="22"/>
  <c r="F612" i="22"/>
  <c r="F611" i="22"/>
  <c r="F610" i="22"/>
  <c r="F609" i="22"/>
  <c r="F608" i="22"/>
  <c r="F607" i="22"/>
  <c r="F606" i="22"/>
  <c r="F605" i="22"/>
  <c r="F604" i="22"/>
  <c r="F603" i="22"/>
  <c r="F602" i="22"/>
  <c r="F601" i="22"/>
  <c r="F600" i="22"/>
  <c r="F599" i="22"/>
  <c r="F598" i="22"/>
  <c r="F597" i="22"/>
  <c r="F596" i="22"/>
  <c r="F595" i="22"/>
  <c r="F594" i="22"/>
  <c r="F593" i="22"/>
  <c r="F592" i="22"/>
  <c r="F591" i="22"/>
  <c r="F590" i="22"/>
  <c r="F589" i="22"/>
  <c r="F588" i="22"/>
  <c r="F587" i="22"/>
  <c r="F586" i="22"/>
  <c r="F585" i="22"/>
  <c r="F584" i="22"/>
  <c r="F583" i="22"/>
  <c r="F582" i="22"/>
  <c r="F581" i="22"/>
  <c r="F580" i="22"/>
  <c r="F579" i="22"/>
  <c r="F578" i="22"/>
  <c r="F577" i="22"/>
  <c r="F576" i="22"/>
  <c r="F575" i="22"/>
  <c r="F574" i="22"/>
  <c r="F573" i="22"/>
  <c r="F572" i="22"/>
  <c r="F571" i="22"/>
  <c r="F570" i="22"/>
  <c r="F569" i="22"/>
  <c r="F568" i="22"/>
  <c r="F567" i="22"/>
  <c r="F566" i="22"/>
  <c r="F565" i="22"/>
  <c r="F564" i="22"/>
  <c r="F563" i="22"/>
  <c r="F562" i="22"/>
  <c r="F561" i="22"/>
  <c r="F560" i="22"/>
  <c r="F559" i="22"/>
  <c r="F558" i="22"/>
  <c r="F557" i="22"/>
  <c r="F556" i="22"/>
  <c r="F555" i="22"/>
  <c r="F554" i="22"/>
  <c r="F553" i="22"/>
  <c r="F552" i="22"/>
  <c r="F551" i="22"/>
  <c r="F550" i="22"/>
  <c r="F549" i="22"/>
  <c r="F548" i="22"/>
  <c r="F547" i="22"/>
  <c r="F546" i="22"/>
  <c r="F545" i="22"/>
  <c r="F544" i="22"/>
  <c r="F543" i="22"/>
  <c r="F542" i="22"/>
  <c r="F541" i="22"/>
  <c r="F540" i="22"/>
  <c r="F539" i="22"/>
  <c r="F538" i="22"/>
  <c r="F537" i="22"/>
  <c r="F536" i="22"/>
  <c r="F535" i="22"/>
  <c r="F534" i="22"/>
  <c r="F533" i="22"/>
  <c r="F532" i="22"/>
  <c r="F531" i="22"/>
  <c r="F530" i="22"/>
  <c r="F529" i="22"/>
  <c r="F528" i="22"/>
  <c r="F527" i="22"/>
  <c r="F526" i="22"/>
  <c r="F525" i="22"/>
  <c r="F524" i="22"/>
  <c r="F523" i="22"/>
  <c r="F522" i="22"/>
  <c r="F521" i="22"/>
  <c r="F520" i="22"/>
  <c r="F519" i="22"/>
  <c r="F518" i="22"/>
  <c r="F517" i="22"/>
  <c r="F516" i="22"/>
  <c r="F515" i="22"/>
  <c r="F514" i="22"/>
  <c r="F513" i="22"/>
  <c r="F512" i="22"/>
  <c r="F511" i="22"/>
  <c r="F510" i="22"/>
  <c r="F509" i="22"/>
  <c r="F508" i="22"/>
  <c r="F507" i="22"/>
  <c r="F506" i="22"/>
  <c r="F505" i="22"/>
  <c r="F504" i="22"/>
  <c r="F503" i="22"/>
  <c r="F502" i="22"/>
  <c r="F501" i="22"/>
  <c r="F500" i="22"/>
  <c r="F499" i="22"/>
  <c r="F498" i="22"/>
  <c r="F497" i="22"/>
  <c r="F496" i="22"/>
  <c r="F495" i="22"/>
  <c r="F494" i="22"/>
  <c r="F493" i="22"/>
  <c r="F492" i="22"/>
  <c r="F491" i="22"/>
  <c r="F490" i="22"/>
  <c r="F489" i="22"/>
  <c r="F488" i="22"/>
  <c r="F487" i="22"/>
  <c r="F486" i="22"/>
  <c r="F485" i="22"/>
  <c r="F484" i="22"/>
  <c r="F483" i="22"/>
  <c r="F482" i="22"/>
  <c r="F481" i="22"/>
  <c r="F480" i="22"/>
  <c r="F479" i="22"/>
  <c r="F478" i="22"/>
  <c r="F477" i="22"/>
  <c r="F476" i="22"/>
  <c r="F475" i="22"/>
  <c r="F474" i="22"/>
  <c r="F473" i="22"/>
  <c r="F472" i="22"/>
  <c r="F471" i="22"/>
  <c r="F470" i="22"/>
  <c r="F469" i="22"/>
  <c r="F468" i="22"/>
  <c r="F467" i="22"/>
  <c r="F466" i="22"/>
  <c r="F465" i="22"/>
  <c r="F464" i="22"/>
  <c r="F463" i="22"/>
  <c r="F462" i="22"/>
  <c r="F461" i="22"/>
  <c r="F460" i="22"/>
  <c r="F459" i="22"/>
  <c r="F458" i="22"/>
  <c r="F457" i="22"/>
  <c r="F456" i="22"/>
  <c r="F455" i="22"/>
  <c r="F454" i="22"/>
  <c r="F453" i="22"/>
  <c r="F452" i="22"/>
  <c r="F451" i="22"/>
  <c r="F450" i="22"/>
  <c r="F449" i="22"/>
  <c r="F448" i="22"/>
  <c r="F447" i="22"/>
  <c r="F446" i="22"/>
  <c r="F445" i="22"/>
  <c r="F444" i="22"/>
  <c r="F443" i="22"/>
  <c r="F442" i="22"/>
  <c r="F441" i="22"/>
  <c r="F440" i="22"/>
  <c r="F439" i="22"/>
  <c r="F438" i="22"/>
  <c r="F437" i="22"/>
  <c r="F436" i="22"/>
  <c r="F435" i="22"/>
  <c r="F434" i="22"/>
  <c r="F433" i="22"/>
  <c r="F432" i="22"/>
  <c r="F431" i="22"/>
  <c r="F430" i="22"/>
  <c r="F429" i="22"/>
  <c r="F428" i="22"/>
  <c r="F427" i="22"/>
  <c r="F426" i="22"/>
  <c r="F425" i="22"/>
  <c r="F424" i="22"/>
  <c r="F423" i="22"/>
  <c r="F422" i="22"/>
  <c r="F421" i="22"/>
  <c r="F420" i="22"/>
  <c r="F419" i="22"/>
  <c r="F418" i="22"/>
  <c r="F417" i="22"/>
  <c r="F416" i="22"/>
  <c r="F415" i="22"/>
  <c r="F414" i="22"/>
  <c r="F413" i="22"/>
  <c r="F412" i="22"/>
  <c r="F411" i="22"/>
  <c r="F410" i="22"/>
  <c r="F409" i="22"/>
  <c r="F408" i="22"/>
  <c r="F407" i="22"/>
  <c r="F406" i="22"/>
  <c r="F405" i="22"/>
  <c r="F404" i="22"/>
  <c r="F403" i="22"/>
  <c r="F402" i="22"/>
  <c r="F401" i="22"/>
  <c r="F400" i="22"/>
  <c r="F399" i="22"/>
  <c r="F398" i="22"/>
  <c r="F397" i="22"/>
  <c r="F396" i="22"/>
  <c r="F395" i="22"/>
  <c r="F394" i="22"/>
  <c r="F393" i="22"/>
  <c r="F392" i="22"/>
  <c r="F391" i="22"/>
  <c r="F390" i="22"/>
  <c r="F389" i="22"/>
  <c r="F388" i="22"/>
  <c r="F387" i="22"/>
  <c r="F386" i="22"/>
  <c r="F385" i="22"/>
  <c r="F384" i="22"/>
  <c r="F383" i="22"/>
  <c r="F382" i="22"/>
  <c r="F381" i="22"/>
  <c r="F380" i="22"/>
  <c r="F379" i="22"/>
  <c r="F378" i="22"/>
  <c r="F377" i="22"/>
  <c r="F376" i="22"/>
  <c r="F375" i="22"/>
  <c r="F374" i="22"/>
  <c r="F373" i="22"/>
  <c r="F372" i="22"/>
  <c r="F371" i="22"/>
  <c r="F370" i="22"/>
  <c r="F369" i="22"/>
  <c r="F368" i="22"/>
  <c r="F367" i="22"/>
  <c r="F366" i="22"/>
  <c r="F365" i="22"/>
  <c r="F364" i="22"/>
  <c r="F363" i="22"/>
  <c r="F362" i="22"/>
  <c r="F361" i="22"/>
  <c r="F360" i="22"/>
  <c r="F359" i="22"/>
  <c r="F358" i="22"/>
  <c r="F357" i="22"/>
  <c r="F356" i="22"/>
  <c r="F355" i="22"/>
  <c r="F354" i="22"/>
  <c r="F353" i="22"/>
  <c r="F352" i="22"/>
  <c r="F351" i="22"/>
  <c r="F350" i="22"/>
  <c r="F349" i="22"/>
  <c r="F348" i="22"/>
  <c r="F347" i="22"/>
  <c r="F346" i="22"/>
  <c r="F345" i="22"/>
  <c r="F344" i="22"/>
  <c r="F343" i="22"/>
  <c r="F342" i="22"/>
  <c r="F341" i="22"/>
  <c r="F340" i="22"/>
  <c r="F339" i="22"/>
  <c r="F338" i="22"/>
  <c r="F337" i="22"/>
  <c r="F336" i="22"/>
  <c r="F335" i="22"/>
  <c r="F334" i="22"/>
  <c r="F333" i="22"/>
  <c r="F332" i="22"/>
  <c r="F331" i="22"/>
  <c r="F330" i="22"/>
  <c r="F329" i="22"/>
  <c r="F328" i="22"/>
  <c r="F327" i="22"/>
  <c r="F326" i="22"/>
  <c r="F325" i="22"/>
  <c r="F324" i="22"/>
  <c r="F323" i="22"/>
  <c r="F322" i="22"/>
  <c r="F321" i="22"/>
  <c r="F320" i="22"/>
  <c r="F319" i="22"/>
  <c r="F318" i="22"/>
  <c r="F317" i="22"/>
  <c r="F316" i="22"/>
  <c r="F315" i="22"/>
  <c r="F314" i="22"/>
  <c r="F313" i="22"/>
  <c r="F312" i="22"/>
  <c r="F311" i="22"/>
  <c r="F310" i="22"/>
  <c r="F309" i="22"/>
  <c r="F308" i="22"/>
  <c r="F307" i="22"/>
  <c r="F306" i="22"/>
  <c r="F305" i="22"/>
  <c r="F304" i="22"/>
  <c r="F303" i="22"/>
  <c r="F302" i="22"/>
  <c r="F301" i="22"/>
  <c r="F300" i="22"/>
  <c r="F299" i="22"/>
  <c r="F298" i="22"/>
  <c r="F297" i="22"/>
  <c r="F296" i="22"/>
  <c r="F295" i="22"/>
  <c r="F294" i="22"/>
  <c r="F293" i="22"/>
  <c r="F292" i="22"/>
  <c r="F291" i="22"/>
  <c r="F290" i="22"/>
  <c r="F289" i="22"/>
  <c r="F288" i="22"/>
  <c r="F287" i="22"/>
  <c r="F286" i="22"/>
  <c r="F285" i="22"/>
  <c r="F284" i="22"/>
  <c r="F283" i="22"/>
  <c r="F282" i="22"/>
  <c r="F281" i="22"/>
  <c r="F280" i="22"/>
  <c r="F279" i="22"/>
  <c r="F278" i="22"/>
  <c r="F277" i="22"/>
  <c r="F276" i="22"/>
  <c r="F275" i="22"/>
  <c r="F274" i="22"/>
  <c r="F273" i="22"/>
  <c r="F272" i="22"/>
  <c r="F271" i="22"/>
  <c r="F270" i="22"/>
  <c r="F269" i="22"/>
  <c r="F268" i="22"/>
  <c r="F267" i="22"/>
  <c r="F266" i="22"/>
  <c r="F265" i="22"/>
  <c r="F264" i="22"/>
  <c r="F263" i="22"/>
  <c r="F262" i="22"/>
  <c r="F261" i="22"/>
  <c r="F260" i="22"/>
  <c r="F259" i="22"/>
  <c r="F258" i="22"/>
  <c r="F257" i="22"/>
  <c r="F256" i="22"/>
  <c r="F255" i="22"/>
  <c r="F254" i="22"/>
  <c r="F253" i="22"/>
  <c r="F252" i="22"/>
  <c r="F251" i="22"/>
  <c r="F250" i="22"/>
  <c r="F249" i="22"/>
  <c r="F248" i="22"/>
  <c r="F247" i="22"/>
  <c r="F246" i="22"/>
  <c r="F245" i="22"/>
  <c r="F244" i="22"/>
  <c r="F243" i="22"/>
  <c r="F242" i="22"/>
  <c r="F241" i="22"/>
  <c r="F240" i="22"/>
  <c r="F239" i="22"/>
  <c r="F238" i="22"/>
  <c r="F237" i="22"/>
  <c r="F236" i="22"/>
  <c r="F235" i="22"/>
  <c r="F234" i="22"/>
  <c r="F233" i="22"/>
  <c r="F232" i="22"/>
  <c r="F231" i="22"/>
  <c r="F230" i="22"/>
  <c r="F229" i="22"/>
  <c r="F228" i="22"/>
  <c r="F227" i="22"/>
  <c r="F226" i="22"/>
  <c r="F225" i="22"/>
  <c r="F224" i="22"/>
  <c r="F223" i="22"/>
  <c r="F222" i="22"/>
  <c r="F221" i="22"/>
  <c r="F220" i="22"/>
  <c r="F219" i="22"/>
  <c r="F218" i="22"/>
  <c r="F217" i="22"/>
  <c r="F216" i="22"/>
  <c r="F215" i="22"/>
  <c r="F214" i="22"/>
  <c r="F213" i="22"/>
  <c r="F212" i="22"/>
  <c r="F211" i="22"/>
  <c r="F210" i="22"/>
  <c r="F209" i="22"/>
  <c r="F208" i="22"/>
  <c r="F207" i="22"/>
  <c r="F206" i="22"/>
  <c r="F205" i="22"/>
  <c r="F204" i="22"/>
  <c r="F203" i="22"/>
  <c r="F202" i="22"/>
  <c r="F201" i="22"/>
  <c r="F200" i="22"/>
  <c r="F199" i="22"/>
  <c r="F198" i="22"/>
  <c r="F197" i="22"/>
  <c r="F196" i="22"/>
  <c r="F195" i="22"/>
  <c r="F194" i="22"/>
  <c r="F193" i="22"/>
  <c r="F192" i="22"/>
  <c r="F191" i="22"/>
  <c r="F190" i="22"/>
  <c r="F189" i="22"/>
  <c r="F188" i="22"/>
  <c r="F187" i="22"/>
  <c r="F186" i="22"/>
  <c r="F185" i="22"/>
  <c r="F184" i="22"/>
  <c r="F183" i="22"/>
  <c r="F182" i="22"/>
  <c r="F181" i="22"/>
  <c r="F180" i="22"/>
  <c r="F179" i="22"/>
  <c r="F178" i="22"/>
  <c r="F177" i="22"/>
  <c r="F176" i="22"/>
  <c r="F175" i="22"/>
  <c r="F174" i="22"/>
  <c r="F173" i="22"/>
  <c r="F172" i="22"/>
  <c r="F171" i="22"/>
  <c r="F170" i="22"/>
  <c r="F169" i="22"/>
  <c r="F168" i="22"/>
  <c r="F167" i="22"/>
  <c r="F166" i="22"/>
  <c r="F165" i="22"/>
  <c r="F164" i="22"/>
  <c r="F163" i="22"/>
  <c r="F162" i="22"/>
  <c r="F161" i="22"/>
  <c r="F160" i="22"/>
  <c r="F159" i="22"/>
  <c r="F158" i="22"/>
  <c r="F157" i="22"/>
  <c r="F156" i="22"/>
  <c r="F155" i="22"/>
  <c r="F154" i="22"/>
  <c r="F153" i="22"/>
  <c r="F152" i="22"/>
  <c r="F151" i="22"/>
  <c r="F150" i="22"/>
  <c r="F149" i="22"/>
  <c r="F148" i="22"/>
  <c r="F147" i="22"/>
  <c r="F146" i="22"/>
  <c r="F145" i="22"/>
  <c r="F144" i="22"/>
  <c r="F143" i="22"/>
  <c r="F142" i="22"/>
  <c r="F141" i="22"/>
  <c r="F140" i="22"/>
  <c r="F139" i="22"/>
  <c r="F138" i="22"/>
  <c r="F137" i="22"/>
  <c r="F136" i="22"/>
  <c r="F135" i="22"/>
  <c r="F134" i="22"/>
  <c r="F133" i="22"/>
  <c r="F132" i="22"/>
  <c r="F131" i="22"/>
  <c r="F130" i="22"/>
  <c r="F129" i="22"/>
  <c r="F128" i="22"/>
  <c r="F127" i="22"/>
  <c r="F126" i="22"/>
  <c r="F125" i="22"/>
  <c r="F124" i="22"/>
  <c r="F123" i="22"/>
  <c r="F122" i="22"/>
  <c r="F121" i="22"/>
  <c r="F120" i="22"/>
  <c r="F119" i="22"/>
  <c r="F118" i="22"/>
  <c r="F117" i="22"/>
  <c r="F116" i="22"/>
  <c r="H115" i="22"/>
  <c r="H116" i="22" s="1"/>
  <c r="F115" i="22"/>
  <c r="F114" i="22"/>
  <c r="F113" i="22"/>
  <c r="F112" i="22"/>
  <c r="F111" i="22"/>
  <c r="F110" i="22"/>
  <c r="F109" i="22"/>
  <c r="H108" i="22"/>
  <c r="H109" i="22" s="1"/>
  <c r="F108" i="22"/>
  <c r="F107" i="22"/>
  <c r="F106" i="22"/>
  <c r="F105" i="22"/>
  <c r="F104" i="22"/>
  <c r="F103" i="22"/>
  <c r="F102" i="22"/>
  <c r="F101" i="22"/>
  <c r="F100" i="22"/>
  <c r="F99" i="22"/>
  <c r="F98" i="22"/>
  <c r="H98" i="22" s="1"/>
  <c r="H99" i="22" s="1"/>
  <c r="H100" i="22" s="1"/>
  <c r="H97" i="22"/>
  <c r="F97" i="22"/>
  <c r="F96" i="22"/>
  <c r="F95" i="22"/>
  <c r="F94" i="22"/>
  <c r="F93" i="22"/>
  <c r="F92" i="22"/>
  <c r="F91" i="22"/>
  <c r="F90" i="22"/>
  <c r="F89" i="22"/>
  <c r="F88" i="22"/>
  <c r="H88" i="22" s="1"/>
  <c r="F87" i="22"/>
  <c r="F86" i="22"/>
  <c r="F85" i="22"/>
  <c r="F84" i="22"/>
  <c r="F83" i="22"/>
  <c r="F82" i="22"/>
  <c r="F81" i="22"/>
  <c r="F80" i="22"/>
  <c r="F79" i="22"/>
  <c r="F78" i="22"/>
  <c r="H78" i="22" s="1"/>
  <c r="F77" i="22"/>
  <c r="F76" i="22"/>
  <c r="F75" i="22"/>
  <c r="F74" i="22"/>
  <c r="F73" i="22"/>
  <c r="F72" i="22"/>
  <c r="F71" i="22"/>
  <c r="F70" i="22"/>
  <c r="F69" i="22"/>
  <c r="F68" i="22"/>
  <c r="H68" i="22" s="1"/>
  <c r="H69" i="22" s="1"/>
  <c r="H70" i="22" s="1"/>
  <c r="F67" i="22"/>
  <c r="F66" i="22"/>
  <c r="F65" i="22"/>
  <c r="F64" i="22"/>
  <c r="F63" i="22"/>
  <c r="F62" i="22"/>
  <c r="F61" i="22"/>
  <c r="F60" i="22"/>
  <c r="F59" i="22"/>
  <c r="F58" i="22"/>
  <c r="H58" i="22" s="1"/>
  <c r="F57" i="22"/>
  <c r="F56" i="22"/>
  <c r="F55" i="22"/>
  <c r="F54" i="22"/>
  <c r="F53" i="22"/>
  <c r="F52" i="22"/>
  <c r="F51" i="22"/>
  <c r="F50" i="22"/>
  <c r="F49" i="22"/>
  <c r="F48" i="22"/>
  <c r="H48" i="22" s="1"/>
  <c r="H49" i="22" s="1"/>
  <c r="F47" i="22"/>
  <c r="F46" i="22"/>
  <c r="F45" i="22"/>
  <c r="F44" i="22"/>
  <c r="F43" i="22"/>
  <c r="F42" i="22"/>
  <c r="F41" i="22"/>
  <c r="F40" i="22"/>
  <c r="F39" i="22"/>
  <c r="F38" i="22"/>
  <c r="H38" i="22" s="1"/>
  <c r="F37" i="22"/>
  <c r="F36" i="22"/>
  <c r="F35" i="22"/>
  <c r="F34" i="22"/>
  <c r="F33" i="22"/>
  <c r="F32" i="22"/>
  <c r="F31" i="22"/>
  <c r="F30" i="22"/>
  <c r="F29" i="22"/>
  <c r="F28" i="22"/>
  <c r="H28" i="22" s="1"/>
  <c r="F27" i="22"/>
  <c r="F26" i="22"/>
  <c r="F25" i="22"/>
  <c r="F24" i="22"/>
  <c r="F23" i="22"/>
  <c r="F22" i="22"/>
  <c r="F21" i="22"/>
  <c r="F20" i="22"/>
  <c r="F19" i="22"/>
  <c r="F18" i="22"/>
  <c r="H18" i="22" s="1"/>
  <c r="F17" i="22"/>
  <c r="F16" i="22"/>
  <c r="F15" i="22"/>
  <c r="F14" i="22"/>
  <c r="F13" i="22"/>
  <c r="F12" i="22"/>
  <c r="F11" i="22"/>
  <c r="H10" i="22"/>
  <c r="F10" i="22"/>
  <c r="F9" i="22"/>
  <c r="F8" i="22"/>
  <c r="F7" i="22"/>
  <c r="F6" i="22"/>
  <c r="F5" i="22"/>
  <c r="F2" i="19"/>
  <c r="E7" i="16"/>
  <c r="E8" i="16"/>
  <c r="E9" i="16"/>
  <c r="E10" i="16"/>
  <c r="E11" i="16"/>
  <c r="E12" i="16"/>
  <c r="E13" i="16"/>
  <c r="E6" i="16"/>
  <c r="J8" i="14"/>
  <c r="I8" i="14"/>
  <c r="H8" i="14"/>
  <c r="G8" i="14"/>
  <c r="G11" i="14" s="1"/>
  <c r="F8" i="14"/>
  <c r="E8" i="14"/>
  <c r="E11" i="14" s="1"/>
  <c r="E19" i="14" s="1"/>
  <c r="D8" i="14"/>
  <c r="D11" i="14" s="1"/>
  <c r="O60" i="3"/>
  <c r="O59" i="3"/>
  <c r="O58" i="3"/>
  <c r="O57" i="3"/>
  <c r="O56" i="3"/>
  <c r="O55" i="3"/>
  <c r="O54" i="3"/>
  <c r="O53" i="3"/>
  <c r="O52" i="3"/>
  <c r="O51" i="3"/>
  <c r="O50" i="3"/>
  <c r="O49" i="3"/>
  <c r="O48" i="3"/>
  <c r="O47" i="3"/>
  <c r="I731" i="21"/>
  <c r="I732" i="21" s="1"/>
  <c r="I733" i="21" s="1"/>
  <c r="I723" i="21"/>
  <c r="I724" i="21" s="1"/>
  <c r="I715" i="21"/>
  <c r="I716" i="21" s="1"/>
  <c r="I707" i="21"/>
  <c r="I708" i="21" s="1"/>
  <c r="I709" i="21" s="1"/>
  <c r="I699" i="21"/>
  <c r="I700" i="21" s="1"/>
  <c r="I701" i="21" s="1"/>
  <c r="I691" i="21"/>
  <c r="I692" i="21" s="1"/>
  <c r="I693" i="21" s="1"/>
  <c r="I683" i="21"/>
  <c r="I684" i="21" s="1"/>
  <c r="I685" i="21" s="1"/>
  <c r="I675" i="21"/>
  <c r="I676" i="21" s="1"/>
  <c r="I677" i="21" s="1"/>
  <c r="I667" i="21"/>
  <c r="I668" i="21" s="1"/>
  <c r="I669" i="21" s="1"/>
  <c r="I659" i="21"/>
  <c r="I660" i="21" s="1"/>
  <c r="I661" i="21" s="1"/>
  <c r="I651" i="21"/>
  <c r="I652" i="21" s="1"/>
  <c r="I653" i="21" s="1"/>
  <c r="I643" i="21"/>
  <c r="I644" i="21" s="1"/>
  <c r="I635" i="21"/>
  <c r="I636" i="21" s="1"/>
  <c r="I637" i="21" s="1"/>
  <c r="I627" i="21"/>
  <c r="I628" i="21" s="1"/>
  <c r="I629" i="21" s="1"/>
  <c r="I619" i="21"/>
  <c r="I620" i="21" s="1"/>
  <c r="I621" i="21" s="1"/>
  <c r="I611" i="21"/>
  <c r="I612" i="21" s="1"/>
  <c r="I613" i="21" s="1"/>
  <c r="I603" i="21"/>
  <c r="I604" i="21" s="1"/>
  <c r="I605" i="21" s="1"/>
  <c r="I595" i="21"/>
  <c r="I596" i="21" s="1"/>
  <c r="I597" i="21" s="1"/>
  <c r="I587" i="21"/>
  <c r="I588" i="21" s="1"/>
  <c r="I579" i="21"/>
  <c r="I580" i="21" s="1"/>
  <c r="I581" i="21" s="1"/>
  <c r="I571" i="21"/>
  <c r="I572" i="21" s="1"/>
  <c r="I573" i="21" s="1"/>
  <c r="I563" i="21"/>
  <c r="I564" i="21" s="1"/>
  <c r="I555" i="21"/>
  <c r="I556" i="21" s="1"/>
  <c r="I557" i="21" s="1"/>
  <c r="I547" i="21"/>
  <c r="I548" i="21" s="1"/>
  <c r="I539" i="21"/>
  <c r="I540" i="21" s="1"/>
  <c r="I531" i="21"/>
  <c r="I532" i="21" s="1"/>
  <c r="I523" i="21"/>
  <c r="I524" i="21" s="1"/>
  <c r="I515" i="21"/>
  <c r="I516" i="21" s="1"/>
  <c r="I507" i="21"/>
  <c r="I508" i="21" s="1"/>
  <c r="I499" i="21"/>
  <c r="I500" i="21" s="1"/>
  <c r="I491" i="21"/>
  <c r="I492" i="21" s="1"/>
  <c r="I483" i="21"/>
  <c r="I484" i="21" s="1"/>
  <c r="I475" i="21"/>
  <c r="I476" i="21" s="1"/>
  <c r="I467" i="21"/>
  <c r="I468" i="21" s="1"/>
  <c r="I459" i="21"/>
  <c r="I460" i="21" s="1"/>
  <c r="I451" i="21"/>
  <c r="I452" i="21" s="1"/>
  <c r="I443" i="21"/>
  <c r="I435" i="21"/>
  <c r="I436" i="21" s="1"/>
  <c r="I427" i="21"/>
  <c r="I428" i="21" s="1"/>
  <c r="I419" i="21"/>
  <c r="I420" i="21" s="1"/>
  <c r="I411" i="21"/>
  <c r="I412" i="21" s="1"/>
  <c r="I403" i="21"/>
  <c r="I404" i="21" s="1"/>
  <c r="I395" i="21"/>
  <c r="I396" i="21" s="1"/>
  <c r="I387" i="21"/>
  <c r="I388" i="21" s="1"/>
  <c r="I389" i="21" s="1"/>
  <c r="I379" i="21"/>
  <c r="I380" i="21" s="1"/>
  <c r="I381" i="21" s="1"/>
  <c r="I371" i="21"/>
  <c r="I372" i="21" s="1"/>
  <c r="I363" i="21"/>
  <c r="I364" i="21" s="1"/>
  <c r="I365" i="21" s="1"/>
  <c r="I355" i="21"/>
  <c r="I356" i="21" s="1"/>
  <c r="I347" i="21"/>
  <c r="I348" i="21" s="1"/>
  <c r="I339" i="21"/>
  <c r="I340" i="21" s="1"/>
  <c r="I341" i="21" s="1"/>
  <c r="I331" i="21"/>
  <c r="I332" i="21" s="1"/>
  <c r="I323" i="21"/>
  <c r="I324" i="21" s="1"/>
  <c r="I315" i="21"/>
  <c r="I316" i="21" s="1"/>
  <c r="I317" i="21" s="1"/>
  <c r="I307" i="21"/>
  <c r="I308" i="21" s="1"/>
  <c r="I309" i="21" s="1"/>
  <c r="I299" i="21"/>
  <c r="I300" i="21" s="1"/>
  <c r="I301" i="21" s="1"/>
  <c r="I291" i="21"/>
  <c r="I292" i="21" s="1"/>
  <c r="I293" i="21" s="1"/>
  <c r="I283" i="21"/>
  <c r="I284" i="21" s="1"/>
  <c r="I285" i="21" s="1"/>
  <c r="I275" i="21"/>
  <c r="I276" i="21" s="1"/>
  <c r="I277" i="21" s="1"/>
  <c r="I267" i="21"/>
  <c r="I268" i="21" s="1"/>
  <c r="I269" i="21" s="1"/>
  <c r="I259" i="21"/>
  <c r="I260" i="21" s="1"/>
  <c r="I261" i="21" s="1"/>
  <c r="I251" i="21"/>
  <c r="I252" i="21" s="1"/>
  <c r="I253" i="21" s="1"/>
  <c r="I243" i="21"/>
  <c r="I244" i="21" s="1"/>
  <c r="I235" i="21"/>
  <c r="I236" i="21" s="1"/>
  <c r="I227" i="21"/>
  <c r="I228" i="21" s="1"/>
  <c r="I229" i="21" s="1"/>
  <c r="I219" i="21"/>
  <c r="I220" i="21" s="1"/>
  <c r="I211" i="21"/>
  <c r="I212" i="21" s="1"/>
  <c r="I213" i="21" s="1"/>
  <c r="I203" i="21"/>
  <c r="I204" i="21" s="1"/>
  <c r="I195" i="21"/>
  <c r="I196" i="21" s="1"/>
  <c r="I197" i="21" s="1"/>
  <c r="I187" i="21"/>
  <c r="I188" i="21" s="1"/>
  <c r="I189" i="21" s="1"/>
  <c r="I179" i="21"/>
  <c r="I180" i="21" s="1"/>
  <c r="I171" i="21"/>
  <c r="I172" i="21" s="1"/>
  <c r="I163" i="21"/>
  <c r="I164" i="21" s="1"/>
  <c r="I165" i="21" s="1"/>
  <c r="I155" i="21"/>
  <c r="I156" i="21" s="1"/>
  <c r="I147" i="21"/>
  <c r="I148" i="21" s="1"/>
  <c r="I139" i="21"/>
  <c r="I140" i="21" s="1"/>
  <c r="I131" i="21"/>
  <c r="I132" i="21" s="1"/>
  <c r="I123" i="21"/>
  <c r="I124" i="21" s="1"/>
  <c r="I115" i="21"/>
  <c r="I116" i="21" s="1"/>
  <c r="I107" i="21"/>
  <c r="I108" i="21" s="1"/>
  <c r="I99" i="21"/>
  <c r="I100" i="21" s="1"/>
  <c r="I91" i="21"/>
  <c r="I92" i="21" s="1"/>
  <c r="I83" i="21"/>
  <c r="I84" i="21" s="1"/>
  <c r="I75" i="21"/>
  <c r="I76" i="21" s="1"/>
  <c r="I67" i="21"/>
  <c r="I68" i="21" s="1"/>
  <c r="I59" i="21"/>
  <c r="I60" i="21" s="1"/>
  <c r="I51" i="21"/>
  <c r="I52" i="21" s="1"/>
  <c r="I43" i="21"/>
  <c r="I44" i="21" s="1"/>
  <c r="I35" i="21"/>
  <c r="I36" i="21" s="1"/>
  <c r="I27" i="21"/>
  <c r="I28" i="21" s="1"/>
  <c r="I19" i="21"/>
  <c r="I20" i="21" s="1"/>
  <c r="M671" i="21"/>
  <c r="M686" i="21"/>
  <c r="M701" i="21"/>
  <c r="M716" i="21"/>
  <c r="M731" i="21"/>
  <c r="M611" i="21"/>
  <c r="M626" i="21"/>
  <c r="M641" i="21"/>
  <c r="M656" i="21"/>
  <c r="M551" i="21"/>
  <c r="M566" i="21"/>
  <c r="M581" i="21"/>
  <c r="M596" i="21"/>
  <c r="M491" i="21"/>
  <c r="M506" i="21"/>
  <c r="M521" i="21"/>
  <c r="M536" i="21"/>
  <c r="M431" i="21"/>
  <c r="M446" i="21"/>
  <c r="M461" i="21"/>
  <c r="M476" i="21"/>
  <c r="M371" i="21"/>
  <c r="M386" i="21"/>
  <c r="M401" i="21"/>
  <c r="M416" i="21"/>
  <c r="M311" i="21"/>
  <c r="M326" i="21"/>
  <c r="M341" i="21"/>
  <c r="M356" i="21"/>
  <c r="M251" i="21"/>
  <c r="M266" i="21"/>
  <c r="M281" i="21"/>
  <c r="M296" i="21"/>
  <c r="M191" i="21"/>
  <c r="M206" i="21"/>
  <c r="M221" i="21"/>
  <c r="M236" i="21"/>
  <c r="M131" i="21"/>
  <c r="M146" i="21"/>
  <c r="M161" i="21"/>
  <c r="M176" i="21"/>
  <c r="M71" i="21"/>
  <c r="M86" i="21"/>
  <c r="M101" i="21"/>
  <c r="M116" i="21"/>
  <c r="M41" i="21"/>
  <c r="M56" i="21"/>
  <c r="M26" i="21"/>
  <c r="M11" i="21"/>
  <c r="J13" i="12"/>
  <c r="N15" i="17"/>
  <c r="F732" i="19"/>
  <c r="F731" i="19"/>
  <c r="F730" i="19"/>
  <c r="F729" i="19"/>
  <c r="F728" i="19"/>
  <c r="F727" i="19"/>
  <c r="F726" i="19"/>
  <c r="F725" i="19"/>
  <c r="F724" i="19"/>
  <c r="F723" i="19"/>
  <c r="F722" i="19"/>
  <c r="F721" i="19"/>
  <c r="F720" i="19"/>
  <c r="F719" i="19"/>
  <c r="F718" i="19"/>
  <c r="F717" i="19"/>
  <c r="F716" i="19"/>
  <c r="F715" i="19"/>
  <c r="F714" i="19"/>
  <c r="F713" i="19"/>
  <c r="F712" i="19"/>
  <c r="F711" i="19"/>
  <c r="F710" i="19"/>
  <c r="F709" i="19"/>
  <c r="F708" i="19"/>
  <c r="F707" i="19"/>
  <c r="F706" i="19"/>
  <c r="F705" i="19"/>
  <c r="F704" i="19"/>
  <c r="F703" i="19"/>
  <c r="F702" i="19"/>
  <c r="F701" i="19"/>
  <c r="F700" i="19"/>
  <c r="F699" i="19"/>
  <c r="F698" i="19"/>
  <c r="F697" i="19"/>
  <c r="F696" i="19"/>
  <c r="F695" i="19"/>
  <c r="F694" i="19"/>
  <c r="F693" i="19"/>
  <c r="F692" i="19"/>
  <c r="F691" i="19"/>
  <c r="F690" i="19"/>
  <c r="F689" i="19"/>
  <c r="F688" i="19"/>
  <c r="F687" i="19"/>
  <c r="F686" i="19"/>
  <c r="F685" i="19"/>
  <c r="F684" i="19"/>
  <c r="F683" i="19"/>
  <c r="F682" i="19"/>
  <c r="F681" i="19"/>
  <c r="F680" i="19"/>
  <c r="F679" i="19"/>
  <c r="F678" i="19"/>
  <c r="F677" i="19"/>
  <c r="F676" i="19"/>
  <c r="F675" i="19"/>
  <c r="F674" i="19"/>
  <c r="F673" i="19"/>
  <c r="F672" i="19"/>
  <c r="F671" i="19"/>
  <c r="F670" i="19"/>
  <c r="F669" i="19"/>
  <c r="F668" i="19"/>
  <c r="F667" i="19"/>
  <c r="F666" i="19"/>
  <c r="F665" i="19"/>
  <c r="F664" i="19"/>
  <c r="F663" i="19"/>
  <c r="F662" i="19"/>
  <c r="F661" i="19"/>
  <c r="F660" i="19"/>
  <c r="F659" i="19"/>
  <c r="F658" i="19"/>
  <c r="F657" i="19"/>
  <c r="F656" i="19"/>
  <c r="F655" i="19"/>
  <c r="F654" i="19"/>
  <c r="F653" i="19"/>
  <c r="F652" i="19"/>
  <c r="F651" i="19"/>
  <c r="F650" i="19"/>
  <c r="F649" i="19"/>
  <c r="F648" i="19"/>
  <c r="F647" i="19"/>
  <c r="F646" i="19"/>
  <c r="F645" i="19"/>
  <c r="F644" i="19"/>
  <c r="F643" i="19"/>
  <c r="F642" i="19"/>
  <c r="F641" i="19"/>
  <c r="F640" i="19"/>
  <c r="F639" i="19"/>
  <c r="F638" i="19"/>
  <c r="F637" i="19"/>
  <c r="F636" i="19"/>
  <c r="F635" i="19"/>
  <c r="F634" i="19"/>
  <c r="F633" i="19"/>
  <c r="F632" i="19"/>
  <c r="F631" i="19"/>
  <c r="F630" i="19"/>
  <c r="F629" i="19"/>
  <c r="F628" i="19"/>
  <c r="F627" i="19"/>
  <c r="F626" i="19"/>
  <c r="F625" i="19"/>
  <c r="F624" i="19"/>
  <c r="F623" i="19"/>
  <c r="F622" i="19"/>
  <c r="F621" i="19"/>
  <c r="F620" i="19"/>
  <c r="F619" i="19"/>
  <c r="F618" i="19"/>
  <c r="F617" i="19"/>
  <c r="F616" i="19"/>
  <c r="F615" i="19"/>
  <c r="F614" i="19"/>
  <c r="F613" i="19"/>
  <c r="F612" i="19"/>
  <c r="F611" i="19"/>
  <c r="F610" i="19"/>
  <c r="F609" i="19"/>
  <c r="F608" i="19"/>
  <c r="F607" i="19"/>
  <c r="F606" i="19"/>
  <c r="F605" i="19"/>
  <c r="F604" i="19"/>
  <c r="F603" i="19"/>
  <c r="F602" i="19"/>
  <c r="F601" i="19"/>
  <c r="F600" i="19"/>
  <c r="F599" i="19"/>
  <c r="F598" i="19"/>
  <c r="F597" i="19"/>
  <c r="F596" i="19"/>
  <c r="F595" i="19"/>
  <c r="F594" i="19"/>
  <c r="F593" i="19"/>
  <c r="F592" i="19"/>
  <c r="F591" i="19"/>
  <c r="F590" i="19"/>
  <c r="F589" i="19"/>
  <c r="F588" i="19"/>
  <c r="F587" i="19"/>
  <c r="F586" i="19"/>
  <c r="F585" i="19"/>
  <c r="F584" i="19"/>
  <c r="F583" i="19"/>
  <c r="F582" i="19"/>
  <c r="F581" i="19"/>
  <c r="F580" i="19"/>
  <c r="F579" i="19"/>
  <c r="F578" i="19"/>
  <c r="F577" i="19"/>
  <c r="F576" i="19"/>
  <c r="F575" i="19"/>
  <c r="F574" i="19"/>
  <c r="F573" i="19"/>
  <c r="F572" i="19"/>
  <c r="F571" i="19"/>
  <c r="F570" i="19"/>
  <c r="F569" i="19"/>
  <c r="F568" i="19"/>
  <c r="F567" i="19"/>
  <c r="F566" i="19"/>
  <c r="F565" i="19"/>
  <c r="F564" i="19"/>
  <c r="F563" i="19"/>
  <c r="F562" i="19"/>
  <c r="F561" i="19"/>
  <c r="F560" i="19"/>
  <c r="F559" i="19"/>
  <c r="F558" i="19"/>
  <c r="F557" i="19"/>
  <c r="F556" i="19"/>
  <c r="F555" i="19"/>
  <c r="F554" i="19"/>
  <c r="F553" i="19"/>
  <c r="F552" i="19"/>
  <c r="F551" i="19"/>
  <c r="F550" i="19"/>
  <c r="F549" i="19"/>
  <c r="F548" i="19"/>
  <c r="F547" i="19"/>
  <c r="F546" i="19"/>
  <c r="F545" i="19"/>
  <c r="F544" i="19"/>
  <c r="F543" i="19"/>
  <c r="F542" i="19"/>
  <c r="F541" i="19"/>
  <c r="F540" i="19"/>
  <c r="F539" i="19"/>
  <c r="F538" i="19"/>
  <c r="F537" i="19"/>
  <c r="F536" i="19"/>
  <c r="F535" i="19"/>
  <c r="F534" i="19"/>
  <c r="F533" i="19"/>
  <c r="F532" i="19"/>
  <c r="F531" i="19"/>
  <c r="F530" i="19"/>
  <c r="F529" i="19"/>
  <c r="F528" i="19"/>
  <c r="F527" i="19"/>
  <c r="F526" i="19"/>
  <c r="F525" i="19"/>
  <c r="F524" i="19"/>
  <c r="F523" i="19"/>
  <c r="F522" i="19"/>
  <c r="F521" i="19"/>
  <c r="F520" i="19"/>
  <c r="F519" i="19"/>
  <c r="F518" i="19"/>
  <c r="F517" i="19"/>
  <c r="F516" i="19"/>
  <c r="F515" i="19"/>
  <c r="F514" i="19"/>
  <c r="F513" i="19"/>
  <c r="F512" i="19"/>
  <c r="F511" i="19"/>
  <c r="F510" i="19"/>
  <c r="F509" i="19"/>
  <c r="F508" i="19"/>
  <c r="F507" i="19"/>
  <c r="F506" i="19"/>
  <c r="F505" i="19"/>
  <c r="F504" i="19"/>
  <c r="F503" i="19"/>
  <c r="F502" i="19"/>
  <c r="F501" i="19"/>
  <c r="F500" i="19"/>
  <c r="F499" i="19"/>
  <c r="F498" i="19"/>
  <c r="F497" i="19"/>
  <c r="F496" i="19"/>
  <c r="F495" i="19"/>
  <c r="F494" i="19"/>
  <c r="F493" i="19"/>
  <c r="F492" i="19"/>
  <c r="F491" i="19"/>
  <c r="F490" i="19"/>
  <c r="F489" i="19"/>
  <c r="F488" i="19"/>
  <c r="F487" i="19"/>
  <c r="F486" i="19"/>
  <c r="F485" i="19"/>
  <c r="F484" i="19"/>
  <c r="F483" i="19"/>
  <c r="F482" i="19"/>
  <c r="F481" i="19"/>
  <c r="F480" i="19"/>
  <c r="F479" i="19"/>
  <c r="F478" i="19"/>
  <c r="F477" i="19"/>
  <c r="F476" i="19"/>
  <c r="F475" i="19"/>
  <c r="F474" i="19"/>
  <c r="F473" i="19"/>
  <c r="F472" i="19"/>
  <c r="F471" i="19"/>
  <c r="F470" i="19"/>
  <c r="F469" i="19"/>
  <c r="F468" i="19"/>
  <c r="F467" i="19"/>
  <c r="F466" i="19"/>
  <c r="F465" i="19"/>
  <c r="F464" i="19"/>
  <c r="F463" i="19"/>
  <c r="F462" i="19"/>
  <c r="F461" i="19"/>
  <c r="F460" i="19"/>
  <c r="F459" i="19"/>
  <c r="F458" i="19"/>
  <c r="F457" i="19"/>
  <c r="F456" i="19"/>
  <c r="F455" i="19"/>
  <c r="F454" i="19"/>
  <c r="F453" i="19"/>
  <c r="F452" i="19"/>
  <c r="F451" i="19"/>
  <c r="F450" i="19"/>
  <c r="F449" i="19"/>
  <c r="F448" i="19"/>
  <c r="F447" i="19"/>
  <c r="F446" i="19"/>
  <c r="F445" i="19"/>
  <c r="F444" i="19"/>
  <c r="F443" i="19"/>
  <c r="F442" i="19"/>
  <c r="F441" i="19"/>
  <c r="F440" i="19"/>
  <c r="F439" i="19"/>
  <c r="F438" i="19"/>
  <c r="F437" i="19"/>
  <c r="F436" i="19"/>
  <c r="F435" i="19"/>
  <c r="F434" i="19"/>
  <c r="F433" i="19"/>
  <c r="F432" i="19"/>
  <c r="F431" i="19"/>
  <c r="F430" i="19"/>
  <c r="F429" i="19"/>
  <c r="F428" i="19"/>
  <c r="F427" i="19"/>
  <c r="F426" i="19"/>
  <c r="F425" i="19"/>
  <c r="F424" i="19"/>
  <c r="F423" i="19"/>
  <c r="F422" i="19"/>
  <c r="F421" i="19"/>
  <c r="F420" i="19"/>
  <c r="F419" i="19"/>
  <c r="F418" i="19"/>
  <c r="F417" i="19"/>
  <c r="F416" i="19"/>
  <c r="F415" i="19"/>
  <c r="F414" i="19"/>
  <c r="F413" i="19"/>
  <c r="F412" i="19"/>
  <c r="F411" i="19"/>
  <c r="F410" i="19"/>
  <c r="F409" i="19"/>
  <c r="F408" i="19"/>
  <c r="F407" i="19"/>
  <c r="F406" i="19"/>
  <c r="F405"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H112" i="19"/>
  <c r="F112" i="19"/>
  <c r="F111" i="19"/>
  <c r="F110" i="19"/>
  <c r="F109" i="19"/>
  <c r="F108" i="19"/>
  <c r="F107" i="19"/>
  <c r="F106" i="19"/>
  <c r="F105" i="19"/>
  <c r="H105" i="19" s="1"/>
  <c r="F104" i="19"/>
  <c r="F103" i="19"/>
  <c r="F102" i="19"/>
  <c r="F101" i="19"/>
  <c r="F100" i="19"/>
  <c r="F99" i="19"/>
  <c r="F98" i="19"/>
  <c r="F97" i="19"/>
  <c r="F96" i="19"/>
  <c r="F95" i="19"/>
  <c r="H94" i="19"/>
  <c r="F94" i="19"/>
  <c r="F93" i="19"/>
  <c r="F92" i="19"/>
  <c r="F91" i="19"/>
  <c r="F90" i="19"/>
  <c r="F89" i="19"/>
  <c r="F88" i="19"/>
  <c r="F87" i="19"/>
  <c r="F86" i="19"/>
  <c r="F85" i="19"/>
  <c r="H85" i="19" s="1"/>
  <c r="F84" i="19"/>
  <c r="F83" i="19"/>
  <c r="F82" i="19"/>
  <c r="F81" i="19"/>
  <c r="F80" i="19"/>
  <c r="F79" i="19"/>
  <c r="F78" i="19"/>
  <c r="F77" i="19"/>
  <c r="F76" i="19"/>
  <c r="F75" i="19"/>
  <c r="H75" i="19" s="1"/>
  <c r="F74" i="19"/>
  <c r="F73" i="19"/>
  <c r="F72" i="19"/>
  <c r="F71" i="19"/>
  <c r="F70" i="19"/>
  <c r="F69" i="19"/>
  <c r="F68" i="19"/>
  <c r="F67" i="19"/>
  <c r="F66" i="19"/>
  <c r="F65" i="19"/>
  <c r="H65" i="19" s="1"/>
  <c r="F64" i="19"/>
  <c r="F63" i="19"/>
  <c r="F62" i="19"/>
  <c r="F61" i="19"/>
  <c r="F60" i="19"/>
  <c r="F59" i="19"/>
  <c r="F58" i="19"/>
  <c r="F57" i="19"/>
  <c r="F56" i="19"/>
  <c r="F55" i="19"/>
  <c r="H55" i="19" s="1"/>
  <c r="F54" i="19"/>
  <c r="F53" i="19"/>
  <c r="F52" i="19"/>
  <c r="F51" i="19"/>
  <c r="F50" i="19"/>
  <c r="F49" i="19"/>
  <c r="F48" i="19"/>
  <c r="F47" i="19"/>
  <c r="F46" i="19"/>
  <c r="F45" i="19"/>
  <c r="H45" i="19" s="1"/>
  <c r="F44" i="19"/>
  <c r="F43" i="19"/>
  <c r="F42" i="19"/>
  <c r="F41" i="19"/>
  <c r="F40" i="19"/>
  <c r="F39" i="19"/>
  <c r="F38" i="19"/>
  <c r="F37" i="19"/>
  <c r="F36" i="19"/>
  <c r="F35" i="19"/>
  <c r="H35" i="19" s="1"/>
  <c r="F34" i="19"/>
  <c r="F33" i="19"/>
  <c r="F32" i="19"/>
  <c r="F31" i="19"/>
  <c r="F30" i="19"/>
  <c r="F29" i="19"/>
  <c r="F28" i="19"/>
  <c r="F27" i="19"/>
  <c r="F26" i="19"/>
  <c r="F25" i="19"/>
  <c r="H25" i="19" s="1"/>
  <c r="F24" i="19"/>
  <c r="F23" i="19"/>
  <c r="F22" i="19"/>
  <c r="F21" i="19"/>
  <c r="F20" i="19"/>
  <c r="F19" i="19"/>
  <c r="F18" i="19"/>
  <c r="F17" i="19"/>
  <c r="F16" i="19"/>
  <c r="F15" i="19"/>
  <c r="H15" i="19" s="1"/>
  <c r="F14" i="19"/>
  <c r="F13" i="19"/>
  <c r="F12" i="19"/>
  <c r="F11" i="19"/>
  <c r="F10" i="19"/>
  <c r="F9" i="19"/>
  <c r="F8" i="19"/>
  <c r="F7" i="19"/>
  <c r="H7" i="19" s="1"/>
  <c r="F6" i="19"/>
  <c r="F5" i="19"/>
  <c r="F4" i="19"/>
  <c r="F3" i="19"/>
  <c r="D17" i="15"/>
  <c r="E7" i="17"/>
  <c r="E8" i="17"/>
  <c r="E9" i="17"/>
  <c r="E10" i="17"/>
  <c r="G10" i="17" s="1"/>
  <c r="E11" i="17"/>
  <c r="E12" i="17"/>
  <c r="E13" i="17"/>
  <c r="E14" i="17"/>
  <c r="E15" i="17"/>
  <c r="E16" i="17"/>
  <c r="E17" i="17"/>
  <c r="E18" i="17"/>
  <c r="G18" i="17" s="1"/>
  <c r="E19" i="17"/>
  <c r="E20" i="17"/>
  <c r="E21" i="17"/>
  <c r="E22" i="17"/>
  <c r="E23" i="17"/>
  <c r="E24" i="17"/>
  <c r="E25" i="17"/>
  <c r="E26" i="17"/>
  <c r="E27" i="17"/>
  <c r="E28" i="17"/>
  <c r="G28" i="17" s="1"/>
  <c r="E29" i="17"/>
  <c r="E30" i="17"/>
  <c r="E31" i="17"/>
  <c r="E32" i="17"/>
  <c r="E33" i="17"/>
  <c r="E34" i="17"/>
  <c r="E35" i="17"/>
  <c r="E36" i="17"/>
  <c r="E37" i="17"/>
  <c r="E38" i="17"/>
  <c r="G38" i="17" s="1"/>
  <c r="E39" i="17"/>
  <c r="E40" i="17"/>
  <c r="E41" i="17"/>
  <c r="E42" i="17"/>
  <c r="E43" i="17"/>
  <c r="E44" i="17"/>
  <c r="E45" i="17"/>
  <c r="E46" i="17"/>
  <c r="E47" i="17"/>
  <c r="E48" i="17"/>
  <c r="G48" i="17" s="1"/>
  <c r="E49" i="17"/>
  <c r="E50" i="17"/>
  <c r="E51" i="17"/>
  <c r="E52" i="17"/>
  <c r="E53" i="17"/>
  <c r="E54" i="17"/>
  <c r="E55" i="17"/>
  <c r="E56" i="17"/>
  <c r="E57" i="17"/>
  <c r="E58" i="17"/>
  <c r="G58" i="17" s="1"/>
  <c r="E59" i="17"/>
  <c r="E60" i="17"/>
  <c r="E61" i="17"/>
  <c r="E62" i="17"/>
  <c r="E63" i="17"/>
  <c r="E64" i="17"/>
  <c r="E65" i="17"/>
  <c r="E66" i="17"/>
  <c r="E67" i="17"/>
  <c r="E68" i="17"/>
  <c r="E69" i="17"/>
  <c r="E70" i="17"/>
  <c r="E71" i="17"/>
  <c r="E72" i="17"/>
  <c r="E73" i="17"/>
  <c r="E74" i="17"/>
  <c r="E75" i="17"/>
  <c r="E76" i="17"/>
  <c r="E77" i="17"/>
  <c r="E78" i="17"/>
  <c r="G78" i="17" s="1"/>
  <c r="E79" i="17"/>
  <c r="E80" i="17"/>
  <c r="E81" i="17"/>
  <c r="E82" i="17"/>
  <c r="E83" i="17"/>
  <c r="E84" i="17"/>
  <c r="E85" i="17"/>
  <c r="E86" i="17"/>
  <c r="E87" i="17"/>
  <c r="E88" i="17"/>
  <c r="G88" i="17" s="1"/>
  <c r="E89" i="17"/>
  <c r="E90" i="17"/>
  <c r="E91" i="17"/>
  <c r="E92" i="17"/>
  <c r="E93" i="17"/>
  <c r="E94" i="17"/>
  <c r="E95" i="17"/>
  <c r="E96" i="17"/>
  <c r="E97" i="17"/>
  <c r="E98" i="17"/>
  <c r="E99" i="17"/>
  <c r="E100" i="17"/>
  <c r="E101" i="17"/>
  <c r="E102" i="17"/>
  <c r="E103" i="17"/>
  <c r="E104" i="17"/>
  <c r="E105" i="17"/>
  <c r="E106" i="17"/>
  <c r="E107" i="17"/>
  <c r="E108" i="17"/>
  <c r="G108" i="17" s="1"/>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51" i="17"/>
  <c r="E252" i="17"/>
  <c r="E253" i="17"/>
  <c r="E254" i="17"/>
  <c r="E255" i="17"/>
  <c r="E256" i="17"/>
  <c r="E257" i="17"/>
  <c r="E258" i="17"/>
  <c r="E259" i="17"/>
  <c r="E260" i="17"/>
  <c r="E261" i="17"/>
  <c r="E262" i="17"/>
  <c r="E263" i="17"/>
  <c r="E264" i="17"/>
  <c r="E265" i="17"/>
  <c r="E266" i="17"/>
  <c r="E267" i="17"/>
  <c r="E268" i="17"/>
  <c r="E269" i="17"/>
  <c r="E270" i="17"/>
  <c r="E271" i="17"/>
  <c r="E272" i="17"/>
  <c r="E273" i="17"/>
  <c r="E274" i="17"/>
  <c r="E275" i="17"/>
  <c r="E276" i="17"/>
  <c r="E277" i="17"/>
  <c r="E278" i="17"/>
  <c r="E279" i="17"/>
  <c r="E280" i="17"/>
  <c r="E281" i="17"/>
  <c r="E282" i="17"/>
  <c r="E283" i="17"/>
  <c r="E284" i="17"/>
  <c r="E285" i="17"/>
  <c r="E286" i="17"/>
  <c r="E287" i="17"/>
  <c r="E288" i="17"/>
  <c r="E289" i="17"/>
  <c r="E290" i="17"/>
  <c r="E291" i="17"/>
  <c r="E292" i="17"/>
  <c r="E293" i="17"/>
  <c r="E294" i="17"/>
  <c r="E295" i="17"/>
  <c r="E296" i="17"/>
  <c r="E297" i="17"/>
  <c r="E298" i="17"/>
  <c r="E299" i="17"/>
  <c r="E300" i="17"/>
  <c r="E301" i="17"/>
  <c r="E302" i="17"/>
  <c r="E303" i="17"/>
  <c r="E304" i="17"/>
  <c r="E305" i="17"/>
  <c r="E306" i="17"/>
  <c r="E307" i="17"/>
  <c r="E308" i="17"/>
  <c r="E309" i="17"/>
  <c r="E310" i="17"/>
  <c r="E311" i="17"/>
  <c r="E312" i="17"/>
  <c r="E313" i="17"/>
  <c r="E314" i="17"/>
  <c r="E315" i="17"/>
  <c r="E316" i="17"/>
  <c r="E317" i="17"/>
  <c r="E318" i="17"/>
  <c r="E319" i="17"/>
  <c r="E320" i="17"/>
  <c r="E321" i="17"/>
  <c r="E322" i="17"/>
  <c r="E323" i="17"/>
  <c r="E324" i="17"/>
  <c r="E325" i="17"/>
  <c r="E326" i="17"/>
  <c r="E327" i="17"/>
  <c r="E328" i="17"/>
  <c r="E329" i="17"/>
  <c r="E330" i="17"/>
  <c r="E331" i="17"/>
  <c r="E332" i="17"/>
  <c r="E333" i="17"/>
  <c r="E334" i="17"/>
  <c r="E335" i="17"/>
  <c r="E336" i="17"/>
  <c r="E337" i="17"/>
  <c r="E338" i="17"/>
  <c r="E339" i="17"/>
  <c r="E340" i="17"/>
  <c r="E341" i="17"/>
  <c r="E342" i="17"/>
  <c r="E343" i="17"/>
  <c r="E344" i="17"/>
  <c r="E345" i="17"/>
  <c r="E346" i="17"/>
  <c r="E347" i="17"/>
  <c r="E348" i="17"/>
  <c r="E349" i="17"/>
  <c r="E350" i="17"/>
  <c r="E351" i="17"/>
  <c r="E352" i="17"/>
  <c r="E353" i="17"/>
  <c r="E354" i="17"/>
  <c r="E355" i="17"/>
  <c r="E356" i="17"/>
  <c r="E357" i="17"/>
  <c r="E358" i="17"/>
  <c r="E359" i="17"/>
  <c r="E360" i="17"/>
  <c r="E361" i="17"/>
  <c r="E362" i="17"/>
  <c r="E363" i="17"/>
  <c r="E364" i="17"/>
  <c r="E365" i="17"/>
  <c r="E366" i="17"/>
  <c r="E367" i="17"/>
  <c r="E368" i="17"/>
  <c r="E369" i="17"/>
  <c r="E370" i="17"/>
  <c r="E371" i="17"/>
  <c r="E372" i="17"/>
  <c r="E373" i="17"/>
  <c r="E374" i="17"/>
  <c r="E375" i="17"/>
  <c r="E376" i="17"/>
  <c r="E377" i="17"/>
  <c r="E378" i="17"/>
  <c r="E379" i="17"/>
  <c r="E380" i="17"/>
  <c r="E381" i="17"/>
  <c r="E382" i="17"/>
  <c r="E383" i="17"/>
  <c r="E384" i="17"/>
  <c r="E385" i="17"/>
  <c r="E386" i="17"/>
  <c r="E387" i="17"/>
  <c r="E388" i="17"/>
  <c r="E389" i="17"/>
  <c r="E390" i="17"/>
  <c r="E391" i="17"/>
  <c r="E392" i="17"/>
  <c r="E393" i="17"/>
  <c r="E394" i="17"/>
  <c r="E395" i="17"/>
  <c r="E396" i="17"/>
  <c r="E397" i="17"/>
  <c r="E398" i="17"/>
  <c r="E399" i="17"/>
  <c r="E400" i="17"/>
  <c r="E401" i="17"/>
  <c r="E402" i="17"/>
  <c r="E403" i="17"/>
  <c r="E404" i="17"/>
  <c r="E405" i="17"/>
  <c r="E406" i="17"/>
  <c r="E407" i="17"/>
  <c r="E408" i="17"/>
  <c r="E409" i="17"/>
  <c r="E410" i="17"/>
  <c r="E411" i="17"/>
  <c r="E412" i="17"/>
  <c r="E413" i="17"/>
  <c r="E414" i="17"/>
  <c r="E415" i="17"/>
  <c r="E416" i="17"/>
  <c r="E417" i="17"/>
  <c r="E418" i="17"/>
  <c r="E419" i="17"/>
  <c r="E420" i="17"/>
  <c r="E421" i="17"/>
  <c r="E422" i="17"/>
  <c r="E423" i="17"/>
  <c r="E424" i="17"/>
  <c r="E425" i="17"/>
  <c r="E426" i="17"/>
  <c r="E427" i="17"/>
  <c r="E428" i="17"/>
  <c r="E429" i="17"/>
  <c r="E430" i="17"/>
  <c r="E431" i="17"/>
  <c r="E432" i="17"/>
  <c r="E433" i="17"/>
  <c r="E434" i="17"/>
  <c r="E435" i="17"/>
  <c r="E436" i="17"/>
  <c r="E437" i="17"/>
  <c r="E438" i="17"/>
  <c r="E439" i="17"/>
  <c r="E440" i="17"/>
  <c r="E441" i="17"/>
  <c r="E442" i="17"/>
  <c r="E443" i="17"/>
  <c r="E444" i="17"/>
  <c r="E445" i="17"/>
  <c r="E446" i="17"/>
  <c r="E447" i="17"/>
  <c r="E448" i="17"/>
  <c r="E449" i="17"/>
  <c r="E450" i="17"/>
  <c r="E451" i="17"/>
  <c r="E452" i="17"/>
  <c r="E453" i="17"/>
  <c r="E454" i="17"/>
  <c r="E455" i="17"/>
  <c r="E456" i="17"/>
  <c r="E457" i="17"/>
  <c r="E458" i="17"/>
  <c r="E459" i="17"/>
  <c r="E460" i="17"/>
  <c r="E461" i="17"/>
  <c r="E462" i="17"/>
  <c r="E463" i="17"/>
  <c r="E464" i="17"/>
  <c r="E465" i="17"/>
  <c r="E466" i="17"/>
  <c r="E467" i="17"/>
  <c r="E468" i="17"/>
  <c r="E469" i="17"/>
  <c r="E470" i="17"/>
  <c r="E471" i="17"/>
  <c r="E472" i="17"/>
  <c r="E473" i="17"/>
  <c r="E474" i="17"/>
  <c r="E475" i="17"/>
  <c r="E476" i="17"/>
  <c r="E477" i="17"/>
  <c r="E478" i="17"/>
  <c r="E479" i="17"/>
  <c r="E480" i="17"/>
  <c r="E481" i="17"/>
  <c r="E482" i="17"/>
  <c r="E483" i="17"/>
  <c r="E484" i="17"/>
  <c r="E485" i="17"/>
  <c r="E486" i="17"/>
  <c r="E487" i="17"/>
  <c r="E488" i="17"/>
  <c r="E489" i="17"/>
  <c r="E490" i="17"/>
  <c r="E491" i="17"/>
  <c r="E492" i="17"/>
  <c r="E493" i="17"/>
  <c r="E494" i="17"/>
  <c r="E495" i="17"/>
  <c r="E496" i="17"/>
  <c r="E497" i="17"/>
  <c r="E498" i="17"/>
  <c r="E499" i="17"/>
  <c r="E500" i="17"/>
  <c r="E501" i="17"/>
  <c r="E502" i="17"/>
  <c r="E503" i="17"/>
  <c r="E504" i="17"/>
  <c r="E505" i="17"/>
  <c r="E506" i="17"/>
  <c r="E507" i="17"/>
  <c r="E508" i="17"/>
  <c r="E509" i="17"/>
  <c r="E510" i="17"/>
  <c r="E511" i="17"/>
  <c r="E512" i="17"/>
  <c r="E513" i="17"/>
  <c r="E514" i="17"/>
  <c r="E515" i="17"/>
  <c r="E516" i="17"/>
  <c r="E517" i="17"/>
  <c r="E518" i="17"/>
  <c r="E519" i="17"/>
  <c r="E520" i="17"/>
  <c r="E521" i="17"/>
  <c r="E522" i="17"/>
  <c r="E523" i="17"/>
  <c r="E524" i="17"/>
  <c r="E525" i="17"/>
  <c r="E526" i="17"/>
  <c r="E527" i="17"/>
  <c r="E528" i="17"/>
  <c r="E529" i="17"/>
  <c r="E530" i="17"/>
  <c r="E531" i="17"/>
  <c r="E532" i="17"/>
  <c r="E533" i="17"/>
  <c r="E534" i="17"/>
  <c r="E535" i="17"/>
  <c r="E536" i="17"/>
  <c r="E537" i="17"/>
  <c r="E538" i="17"/>
  <c r="E539" i="17"/>
  <c r="E540" i="17"/>
  <c r="E541" i="17"/>
  <c r="E542" i="17"/>
  <c r="E543" i="17"/>
  <c r="E544" i="17"/>
  <c r="E545" i="17"/>
  <c r="E546" i="17"/>
  <c r="E547" i="17"/>
  <c r="E548" i="17"/>
  <c r="E549" i="17"/>
  <c r="E550" i="17"/>
  <c r="E551" i="17"/>
  <c r="E552" i="17"/>
  <c r="E553" i="17"/>
  <c r="E554" i="17"/>
  <c r="E555" i="17"/>
  <c r="E556" i="17"/>
  <c r="E557" i="17"/>
  <c r="E558" i="17"/>
  <c r="E559" i="17"/>
  <c r="E560" i="17"/>
  <c r="E561" i="17"/>
  <c r="E562" i="17"/>
  <c r="E563" i="17"/>
  <c r="E564" i="17"/>
  <c r="E565" i="17"/>
  <c r="E566" i="17"/>
  <c r="E567" i="17"/>
  <c r="E568" i="17"/>
  <c r="E569" i="17"/>
  <c r="E570" i="17"/>
  <c r="E571" i="17"/>
  <c r="E572" i="17"/>
  <c r="E573" i="17"/>
  <c r="E574" i="17"/>
  <c r="E575" i="17"/>
  <c r="E576" i="17"/>
  <c r="E577" i="17"/>
  <c r="E578" i="17"/>
  <c r="E579" i="17"/>
  <c r="E580" i="17"/>
  <c r="E581" i="17"/>
  <c r="E582" i="17"/>
  <c r="E583" i="17"/>
  <c r="E584" i="17"/>
  <c r="E585" i="17"/>
  <c r="E586" i="17"/>
  <c r="E587" i="17"/>
  <c r="E588" i="17"/>
  <c r="E589" i="17"/>
  <c r="E590" i="17"/>
  <c r="E591" i="17"/>
  <c r="E592" i="17"/>
  <c r="E593" i="17"/>
  <c r="E594" i="17"/>
  <c r="E595" i="17"/>
  <c r="E596" i="17"/>
  <c r="E597" i="17"/>
  <c r="E598" i="17"/>
  <c r="E599" i="17"/>
  <c r="E600" i="17"/>
  <c r="E601" i="17"/>
  <c r="E602" i="17"/>
  <c r="E603" i="17"/>
  <c r="E604" i="17"/>
  <c r="E605" i="17"/>
  <c r="E606" i="17"/>
  <c r="E607" i="17"/>
  <c r="E608" i="17"/>
  <c r="E609" i="17"/>
  <c r="E610" i="17"/>
  <c r="E611" i="17"/>
  <c r="E612" i="17"/>
  <c r="E613" i="17"/>
  <c r="E614" i="17"/>
  <c r="E615" i="17"/>
  <c r="E616" i="17"/>
  <c r="E617" i="17"/>
  <c r="E618" i="17"/>
  <c r="E619" i="17"/>
  <c r="E620" i="17"/>
  <c r="E621" i="17"/>
  <c r="E622" i="17"/>
  <c r="E623" i="17"/>
  <c r="E624" i="17"/>
  <c r="E625" i="17"/>
  <c r="E626" i="17"/>
  <c r="E627" i="17"/>
  <c r="E628" i="17"/>
  <c r="E629" i="17"/>
  <c r="E630" i="17"/>
  <c r="E631" i="17"/>
  <c r="E632" i="17"/>
  <c r="E633" i="17"/>
  <c r="E634" i="17"/>
  <c r="E635" i="17"/>
  <c r="E636" i="17"/>
  <c r="E637" i="17"/>
  <c r="E638" i="17"/>
  <c r="E639" i="17"/>
  <c r="E640" i="17"/>
  <c r="E641" i="17"/>
  <c r="E642" i="17"/>
  <c r="E643" i="17"/>
  <c r="E644" i="17"/>
  <c r="E645" i="17"/>
  <c r="E646" i="17"/>
  <c r="E647" i="17"/>
  <c r="E648" i="17"/>
  <c r="E649" i="17"/>
  <c r="E650" i="17"/>
  <c r="E651" i="17"/>
  <c r="E652" i="17"/>
  <c r="E653" i="17"/>
  <c r="E654" i="17"/>
  <c r="E655" i="17"/>
  <c r="E656" i="17"/>
  <c r="E657" i="17"/>
  <c r="E658" i="17"/>
  <c r="E659" i="17"/>
  <c r="E660" i="17"/>
  <c r="E661" i="17"/>
  <c r="E662" i="17"/>
  <c r="E663" i="17"/>
  <c r="E664" i="17"/>
  <c r="E665" i="17"/>
  <c r="E666" i="17"/>
  <c r="E667" i="17"/>
  <c r="E668" i="17"/>
  <c r="E669" i="17"/>
  <c r="E670" i="17"/>
  <c r="E671" i="17"/>
  <c r="E672" i="17"/>
  <c r="E673" i="17"/>
  <c r="E674" i="17"/>
  <c r="E675" i="17"/>
  <c r="E676" i="17"/>
  <c r="E677" i="17"/>
  <c r="E678" i="17"/>
  <c r="E679" i="17"/>
  <c r="E680" i="17"/>
  <c r="E681" i="17"/>
  <c r="E682" i="17"/>
  <c r="E683" i="17"/>
  <c r="E684" i="17"/>
  <c r="E685" i="17"/>
  <c r="E686" i="17"/>
  <c r="E687" i="17"/>
  <c r="E688" i="17"/>
  <c r="E689" i="17"/>
  <c r="E690" i="17"/>
  <c r="E691" i="17"/>
  <c r="E692" i="17"/>
  <c r="E693" i="17"/>
  <c r="E694" i="17"/>
  <c r="E695" i="17"/>
  <c r="E696" i="17"/>
  <c r="E697" i="17"/>
  <c r="E698" i="17"/>
  <c r="E699" i="17"/>
  <c r="E700" i="17"/>
  <c r="E701" i="17"/>
  <c r="E702" i="17"/>
  <c r="E703" i="17"/>
  <c r="E704" i="17"/>
  <c r="E705" i="17"/>
  <c r="E706" i="17"/>
  <c r="E707" i="17"/>
  <c r="E708" i="17"/>
  <c r="E709" i="17"/>
  <c r="E710" i="17"/>
  <c r="E711" i="17"/>
  <c r="E712" i="17"/>
  <c r="E713" i="17"/>
  <c r="E714" i="17"/>
  <c r="E715" i="17"/>
  <c r="E716" i="17"/>
  <c r="E717" i="17"/>
  <c r="E718" i="17"/>
  <c r="E719" i="17"/>
  <c r="E720" i="17"/>
  <c r="E721" i="17"/>
  <c r="E722" i="17"/>
  <c r="E723" i="17"/>
  <c r="E724" i="17"/>
  <c r="E725" i="17"/>
  <c r="E726" i="17"/>
  <c r="E727" i="17"/>
  <c r="E728" i="17"/>
  <c r="E729" i="17"/>
  <c r="E730" i="17"/>
  <c r="E731" i="17"/>
  <c r="E732" i="17"/>
  <c r="E733" i="17"/>
  <c r="E734" i="17"/>
  <c r="E735" i="17"/>
  <c r="E5" i="17"/>
  <c r="E6" i="17"/>
  <c r="N6" i="12"/>
  <c r="M6" i="12"/>
  <c r="L17" i="12"/>
  <c r="L10" i="12"/>
  <c r="L11" i="12"/>
  <c r="L12" i="12"/>
  <c r="L13" i="12"/>
  <c r="L14" i="12"/>
  <c r="L15" i="12"/>
  <c r="L16" i="12"/>
  <c r="L9" i="12"/>
  <c r="L7" i="12"/>
  <c r="L8" i="12"/>
  <c r="L6" i="12"/>
  <c r="U75" i="3"/>
  <c r="R5" i="17"/>
  <c r="G115" i="17"/>
  <c r="G97" i="17"/>
  <c r="G68" i="17"/>
  <c r="H13" i="16"/>
  <c r="H12" i="16"/>
  <c r="H11" i="16"/>
  <c r="H10" i="16"/>
  <c r="H9" i="16"/>
  <c r="H8" i="16"/>
  <c r="H7" i="16"/>
  <c r="H6" i="16"/>
  <c r="F27" i="14"/>
  <c r="F28" i="14"/>
  <c r="F29" i="14"/>
  <c r="F30" i="14"/>
  <c r="F31" i="14"/>
  <c r="F32" i="14"/>
  <c r="F33" i="14"/>
  <c r="F34" i="14"/>
  <c r="F35" i="14"/>
  <c r="F36" i="14"/>
  <c r="F37" i="14"/>
  <c r="F38" i="14"/>
  <c r="F39" i="14"/>
  <c r="F40" i="14"/>
  <c r="F41" i="14"/>
  <c r="F42" i="14"/>
  <c r="F43" i="14"/>
  <c r="F44" i="14"/>
  <c r="F26" i="14"/>
  <c r="E26" i="14"/>
  <c r="E27" i="14"/>
  <c r="E28" i="14"/>
  <c r="E29" i="14"/>
  <c r="E30" i="14"/>
  <c r="E31" i="14"/>
  <c r="E32" i="14"/>
  <c r="E33" i="14"/>
  <c r="E34" i="14"/>
  <c r="E35" i="14"/>
  <c r="E36" i="14"/>
  <c r="E37" i="14"/>
  <c r="E38" i="14"/>
  <c r="E39" i="14"/>
  <c r="E40" i="14"/>
  <c r="E41" i="14"/>
  <c r="E42" i="14"/>
  <c r="E43" i="14"/>
  <c r="E44" i="14"/>
  <c r="D44" i="14"/>
  <c r="D26" i="14"/>
  <c r="D27" i="14"/>
  <c r="D28" i="14"/>
  <c r="D29" i="14"/>
  <c r="D30" i="14"/>
  <c r="D31" i="14"/>
  <c r="D32" i="14"/>
  <c r="D33" i="14"/>
  <c r="D34" i="14"/>
  <c r="D35" i="14"/>
  <c r="D36" i="14"/>
  <c r="D37" i="14"/>
  <c r="D38" i="14"/>
  <c r="D39" i="14"/>
  <c r="D40" i="14"/>
  <c r="D41" i="14"/>
  <c r="D42" i="14"/>
  <c r="D43" i="14"/>
  <c r="D25" i="14"/>
  <c r="H59" i="22" l="1"/>
  <c r="H60" i="22" s="1"/>
  <c r="H61" i="22" s="1"/>
  <c r="G19" i="17"/>
  <c r="H50" i="22"/>
  <c r="H110" i="22"/>
  <c r="H111" i="22" s="1"/>
  <c r="H117" i="22"/>
  <c r="H118" i="22" s="1"/>
  <c r="H119" i="22" s="1"/>
  <c r="H120" i="22" s="1"/>
  <c r="H121" i="22" s="1"/>
  <c r="H122" i="22" s="1"/>
  <c r="H123" i="22" s="1"/>
  <c r="H124" i="22" s="1"/>
  <c r="H125" i="22" s="1"/>
  <c r="H126" i="22" s="1"/>
  <c r="H127" i="22" s="1"/>
  <c r="H128" i="22" s="1"/>
  <c r="H129" i="22" s="1"/>
  <c r="H130" i="22" s="1"/>
  <c r="H131" i="22" s="1"/>
  <c r="H132" i="22" s="1"/>
  <c r="H133" i="22" s="1"/>
  <c r="H134" i="22" s="1"/>
  <c r="H135" i="22" s="1"/>
  <c r="H136" i="22" s="1"/>
  <c r="H137" i="22" s="1"/>
  <c r="H138" i="22" s="1"/>
  <c r="H139" i="22" s="1"/>
  <c r="H140" i="22" s="1"/>
  <c r="H141" i="22" s="1"/>
  <c r="H142" i="22" s="1"/>
  <c r="H143" i="22" s="1"/>
  <c r="H144" i="22" s="1"/>
  <c r="H145" i="22" s="1"/>
  <c r="H146" i="22" s="1"/>
  <c r="H147" i="22" s="1"/>
  <c r="H148" i="22" s="1"/>
  <c r="H149" i="22" s="1"/>
  <c r="H150" i="22" s="1"/>
  <c r="H151" i="22" s="1"/>
  <c r="H152" i="22" s="1"/>
  <c r="H153" i="22" s="1"/>
  <c r="H154" i="22" s="1"/>
  <c r="H155" i="22" s="1"/>
  <c r="H156" i="22" s="1"/>
  <c r="H157" i="22" s="1"/>
  <c r="H158" i="22" s="1"/>
  <c r="H159" i="22" s="1"/>
  <c r="H160" i="22" s="1"/>
  <c r="H161" i="22" s="1"/>
  <c r="H162" i="22" s="1"/>
  <c r="H163" i="22" s="1"/>
  <c r="H164" i="22" s="1"/>
  <c r="H165" i="22" s="1"/>
  <c r="H166" i="22" s="1"/>
  <c r="H167" i="22" s="1"/>
  <c r="H168" i="22" s="1"/>
  <c r="H169" i="22" s="1"/>
  <c r="H170" i="22" s="1"/>
  <c r="H171" i="22" s="1"/>
  <c r="H172" i="22" s="1"/>
  <c r="H173" i="22" s="1"/>
  <c r="H174" i="22" s="1"/>
  <c r="H175" i="22" s="1"/>
  <c r="H176" i="22" s="1"/>
  <c r="H177" i="22" s="1"/>
  <c r="H178" i="22" s="1"/>
  <c r="H179" i="22" s="1"/>
  <c r="H180" i="22" s="1"/>
  <c r="H181" i="22" s="1"/>
  <c r="H182" i="22" s="1"/>
  <c r="H183" i="22" s="1"/>
  <c r="H184" i="22" s="1"/>
  <c r="H185" i="22" s="1"/>
  <c r="H186" i="22" s="1"/>
  <c r="H187" i="22" s="1"/>
  <c r="H188" i="22" s="1"/>
  <c r="H189" i="22" s="1"/>
  <c r="H190" i="22" s="1"/>
  <c r="H191" i="22" s="1"/>
  <c r="H192" i="22" s="1"/>
  <c r="H193" i="22" s="1"/>
  <c r="H194" i="22" s="1"/>
  <c r="H195" i="22" s="1"/>
  <c r="H196" i="22" s="1"/>
  <c r="H197" i="22" s="1"/>
  <c r="H198" i="22" s="1"/>
  <c r="H199" i="22" s="1"/>
  <c r="H200" i="22" s="1"/>
  <c r="H201" i="22" s="1"/>
  <c r="H202" i="22" s="1"/>
  <c r="H203" i="22" s="1"/>
  <c r="H204" i="22" s="1"/>
  <c r="H205" i="22" s="1"/>
  <c r="H206" i="22" s="1"/>
  <c r="H207" i="22" s="1"/>
  <c r="H208" i="22" s="1"/>
  <c r="H209" i="22" s="1"/>
  <c r="H210" i="22" s="1"/>
  <c r="H211" i="22" s="1"/>
  <c r="H212" i="22" s="1"/>
  <c r="H213" i="22" s="1"/>
  <c r="H214" i="22" s="1"/>
  <c r="H215" i="22" s="1"/>
  <c r="H216" i="22" s="1"/>
  <c r="H217" i="22" s="1"/>
  <c r="H218" i="22" s="1"/>
  <c r="H219" i="22" s="1"/>
  <c r="H220" i="22" s="1"/>
  <c r="H221" i="22" s="1"/>
  <c r="H222" i="22" s="1"/>
  <c r="H223" i="22" s="1"/>
  <c r="H224" i="22" s="1"/>
  <c r="H225" i="22" s="1"/>
  <c r="H226" i="22" s="1"/>
  <c r="H227" i="22" s="1"/>
  <c r="H228" i="22" s="1"/>
  <c r="H229" i="22" s="1"/>
  <c r="H230" i="22" s="1"/>
  <c r="H231" i="22" s="1"/>
  <c r="H232" i="22" s="1"/>
  <c r="H233" i="22" s="1"/>
  <c r="H234" i="22" s="1"/>
  <c r="H235" i="22" s="1"/>
  <c r="H236" i="22" s="1"/>
  <c r="H237" i="22" s="1"/>
  <c r="H238" i="22" s="1"/>
  <c r="H239" i="22" s="1"/>
  <c r="H240" i="22" s="1"/>
  <c r="H241" i="22" s="1"/>
  <c r="H242" i="22" s="1"/>
  <c r="H243" i="22" s="1"/>
  <c r="H244" i="22" s="1"/>
  <c r="H245" i="22" s="1"/>
  <c r="H246" i="22" s="1"/>
  <c r="H247" i="22" s="1"/>
  <c r="H248" i="22" s="1"/>
  <c r="H249" i="22" s="1"/>
  <c r="H250" i="22" s="1"/>
  <c r="H251" i="22" s="1"/>
  <c r="H252" i="22" s="1"/>
  <c r="H253" i="22" s="1"/>
  <c r="H254" i="22" s="1"/>
  <c r="H255" i="22" s="1"/>
  <c r="H256" i="22" s="1"/>
  <c r="H257" i="22" s="1"/>
  <c r="H258" i="22" s="1"/>
  <c r="H259" i="22" s="1"/>
  <c r="H260" i="22" s="1"/>
  <c r="H261" i="22" s="1"/>
  <c r="H262" i="22" s="1"/>
  <c r="H263" i="22" s="1"/>
  <c r="H264" i="22" s="1"/>
  <c r="H265" i="22" s="1"/>
  <c r="H266" i="22" s="1"/>
  <c r="H267" i="22" s="1"/>
  <c r="H268" i="22" s="1"/>
  <c r="H269" i="22" s="1"/>
  <c r="H270" i="22" s="1"/>
  <c r="H271" i="22" s="1"/>
  <c r="H272" i="22" s="1"/>
  <c r="H273" i="22" s="1"/>
  <c r="H274" i="22" s="1"/>
  <c r="H275" i="22" s="1"/>
  <c r="H276" i="22" s="1"/>
  <c r="H277" i="22" s="1"/>
  <c r="H278" i="22" s="1"/>
  <c r="H279" i="22" s="1"/>
  <c r="H280" i="22" s="1"/>
  <c r="H281" i="22" s="1"/>
  <c r="H282" i="22" s="1"/>
  <c r="H283" i="22" s="1"/>
  <c r="H284" i="22" s="1"/>
  <c r="H285" i="22" s="1"/>
  <c r="H286" i="22" s="1"/>
  <c r="H287" i="22" s="1"/>
  <c r="H288" i="22" s="1"/>
  <c r="H289" i="22" s="1"/>
  <c r="H290" i="22" s="1"/>
  <c r="H291" i="22" s="1"/>
  <c r="H292" i="22" s="1"/>
  <c r="H293" i="22" s="1"/>
  <c r="H294" i="22" s="1"/>
  <c r="H295" i="22" s="1"/>
  <c r="H296" i="22" s="1"/>
  <c r="H297" i="22" s="1"/>
  <c r="H298" i="22" s="1"/>
  <c r="H299" i="22" s="1"/>
  <c r="H300" i="22" s="1"/>
  <c r="H301" i="22" s="1"/>
  <c r="H302" i="22" s="1"/>
  <c r="H303" i="22" s="1"/>
  <c r="H304" i="22" s="1"/>
  <c r="H305" i="22" s="1"/>
  <c r="H306" i="22" s="1"/>
  <c r="H307" i="22" s="1"/>
  <c r="H308" i="22" s="1"/>
  <c r="H309" i="22" s="1"/>
  <c r="H310" i="22" s="1"/>
  <c r="H311" i="22" s="1"/>
  <c r="H312" i="22" s="1"/>
  <c r="H313" i="22" s="1"/>
  <c r="H314" i="22" s="1"/>
  <c r="H315" i="22" s="1"/>
  <c r="H316" i="22" s="1"/>
  <c r="H317" i="22" s="1"/>
  <c r="H318" i="22" s="1"/>
  <c r="H319" i="22" s="1"/>
  <c r="H320" i="22" s="1"/>
  <c r="H321" i="22" s="1"/>
  <c r="H322" i="22" s="1"/>
  <c r="H323" i="22" s="1"/>
  <c r="H324" i="22" s="1"/>
  <c r="H325" i="22" s="1"/>
  <c r="H326" i="22" s="1"/>
  <c r="H327" i="22" s="1"/>
  <c r="H328" i="22" s="1"/>
  <c r="H329" i="22" s="1"/>
  <c r="H330" i="22" s="1"/>
  <c r="H331" i="22" s="1"/>
  <c r="H332" i="22" s="1"/>
  <c r="H333" i="22" s="1"/>
  <c r="H334" i="22" s="1"/>
  <c r="H335" i="22" s="1"/>
  <c r="H336" i="22" s="1"/>
  <c r="H337" i="22" s="1"/>
  <c r="H338" i="22" s="1"/>
  <c r="H339" i="22" s="1"/>
  <c r="H340" i="22" s="1"/>
  <c r="H341" i="22" s="1"/>
  <c r="H342" i="22" s="1"/>
  <c r="H343" i="22" s="1"/>
  <c r="H344" i="22" s="1"/>
  <c r="H345" i="22" s="1"/>
  <c r="H346" i="22" s="1"/>
  <c r="H347" i="22" s="1"/>
  <c r="H348" i="22" s="1"/>
  <c r="H349" i="22" s="1"/>
  <c r="H350" i="22" s="1"/>
  <c r="H351" i="22" s="1"/>
  <c r="H352" i="22" s="1"/>
  <c r="H353" i="22" s="1"/>
  <c r="H354" i="22" s="1"/>
  <c r="H355" i="22" s="1"/>
  <c r="H356" i="22" s="1"/>
  <c r="H357" i="22" s="1"/>
  <c r="H358" i="22" s="1"/>
  <c r="H359" i="22" s="1"/>
  <c r="H360" i="22" s="1"/>
  <c r="H361" i="22" s="1"/>
  <c r="H362" i="22" s="1"/>
  <c r="H363" i="22" s="1"/>
  <c r="H364" i="22" s="1"/>
  <c r="H365" i="22" s="1"/>
  <c r="H366" i="22" s="1"/>
  <c r="H367" i="22" s="1"/>
  <c r="H368" i="22" s="1"/>
  <c r="H369" i="22" s="1"/>
  <c r="H370" i="22" s="1"/>
  <c r="H371" i="22" s="1"/>
  <c r="H372" i="22" s="1"/>
  <c r="H373" i="22" s="1"/>
  <c r="H374" i="22" s="1"/>
  <c r="H375" i="22" s="1"/>
  <c r="H376" i="22" s="1"/>
  <c r="H377" i="22" s="1"/>
  <c r="H378" i="22" s="1"/>
  <c r="H379" i="22" s="1"/>
  <c r="H380" i="22" s="1"/>
  <c r="H381" i="22" s="1"/>
  <c r="H382" i="22" s="1"/>
  <c r="H383" i="22" s="1"/>
  <c r="H384" i="22" s="1"/>
  <c r="H385" i="22" s="1"/>
  <c r="H386" i="22" s="1"/>
  <c r="H387" i="22" s="1"/>
  <c r="H388" i="22" s="1"/>
  <c r="H389" i="22" s="1"/>
  <c r="H390" i="22" s="1"/>
  <c r="H391" i="22" s="1"/>
  <c r="H392" i="22" s="1"/>
  <c r="H393" i="22" s="1"/>
  <c r="H394" i="22" s="1"/>
  <c r="H395" i="22" s="1"/>
  <c r="H396" i="22" s="1"/>
  <c r="H397" i="22" s="1"/>
  <c r="H398" i="22" s="1"/>
  <c r="H399" i="22" s="1"/>
  <c r="H400" i="22" s="1"/>
  <c r="H401" i="22" s="1"/>
  <c r="H402" i="22" s="1"/>
  <c r="H403" i="22" s="1"/>
  <c r="H404" i="22" s="1"/>
  <c r="H405" i="22" s="1"/>
  <c r="H406" i="22" s="1"/>
  <c r="H407" i="22" s="1"/>
  <c r="H408" i="22" s="1"/>
  <c r="H409" i="22" s="1"/>
  <c r="H410" i="22" s="1"/>
  <c r="H411" i="22" s="1"/>
  <c r="H412" i="22" s="1"/>
  <c r="H413" i="22" s="1"/>
  <c r="H414" i="22" s="1"/>
  <c r="H415" i="22" s="1"/>
  <c r="H416" i="22" s="1"/>
  <c r="H417" i="22" s="1"/>
  <c r="H418" i="22" s="1"/>
  <c r="H419" i="22" s="1"/>
  <c r="H420" i="22" s="1"/>
  <c r="H421" i="22" s="1"/>
  <c r="H422" i="22" s="1"/>
  <c r="H423" i="22" s="1"/>
  <c r="H424" i="22" s="1"/>
  <c r="H425" i="22" s="1"/>
  <c r="H426" i="22" s="1"/>
  <c r="H427" i="22" s="1"/>
  <c r="H428" i="22" s="1"/>
  <c r="H429" i="22" s="1"/>
  <c r="H430" i="22" s="1"/>
  <c r="H431" i="22" s="1"/>
  <c r="H432" i="22" s="1"/>
  <c r="H433" i="22" s="1"/>
  <c r="H434" i="22" s="1"/>
  <c r="H435" i="22" s="1"/>
  <c r="H436" i="22" s="1"/>
  <c r="H437" i="22" s="1"/>
  <c r="H438" i="22" s="1"/>
  <c r="H439" i="22" s="1"/>
  <c r="H440" i="22" s="1"/>
  <c r="H441" i="22" s="1"/>
  <c r="H442" i="22" s="1"/>
  <c r="H443" i="22" s="1"/>
  <c r="H444" i="22" s="1"/>
  <c r="H445" i="22" s="1"/>
  <c r="H446" i="22" s="1"/>
  <c r="H447" i="22" s="1"/>
  <c r="H448" i="22" s="1"/>
  <c r="H449" i="22" s="1"/>
  <c r="H450" i="22" s="1"/>
  <c r="H451" i="22" s="1"/>
  <c r="H452" i="22" s="1"/>
  <c r="H453" i="22" s="1"/>
  <c r="H454" i="22" s="1"/>
  <c r="H455" i="22" s="1"/>
  <c r="H456" i="22" s="1"/>
  <c r="H457" i="22" s="1"/>
  <c r="H458" i="22" s="1"/>
  <c r="H459" i="22" s="1"/>
  <c r="H460" i="22" s="1"/>
  <c r="H461" i="22" s="1"/>
  <c r="H462" i="22" s="1"/>
  <c r="H463" i="22" s="1"/>
  <c r="H464" i="22" s="1"/>
  <c r="H465" i="22" s="1"/>
  <c r="H466" i="22" s="1"/>
  <c r="H467" i="22" s="1"/>
  <c r="H468" i="22" s="1"/>
  <c r="H469" i="22" s="1"/>
  <c r="H470" i="22" s="1"/>
  <c r="H471" i="22" s="1"/>
  <c r="H472" i="22" s="1"/>
  <c r="H473" i="22" s="1"/>
  <c r="H474" i="22" s="1"/>
  <c r="H475" i="22" s="1"/>
  <c r="H476" i="22" s="1"/>
  <c r="H477" i="22" s="1"/>
  <c r="H478" i="22" s="1"/>
  <c r="H479" i="22" s="1"/>
  <c r="H480" i="22" s="1"/>
  <c r="H481" i="22" s="1"/>
  <c r="H482" i="22" s="1"/>
  <c r="H483" i="22" s="1"/>
  <c r="H484" i="22" s="1"/>
  <c r="H485" i="22" s="1"/>
  <c r="H486" i="22" s="1"/>
  <c r="H487" i="22" s="1"/>
  <c r="H488" i="22" s="1"/>
  <c r="H489" i="22" s="1"/>
  <c r="H490" i="22" s="1"/>
  <c r="H491" i="22" s="1"/>
  <c r="H492" i="22" s="1"/>
  <c r="H493" i="22" s="1"/>
  <c r="H494" i="22" s="1"/>
  <c r="H495" i="22" s="1"/>
  <c r="H496" i="22" s="1"/>
  <c r="H497" i="22" s="1"/>
  <c r="H498" i="22" s="1"/>
  <c r="H499" i="22" s="1"/>
  <c r="H500" i="22" s="1"/>
  <c r="H501" i="22" s="1"/>
  <c r="H502" i="22" s="1"/>
  <c r="H503" i="22" s="1"/>
  <c r="H504" i="22" s="1"/>
  <c r="H505" i="22" s="1"/>
  <c r="H506" i="22" s="1"/>
  <c r="H507" i="22" s="1"/>
  <c r="H508" i="22" s="1"/>
  <c r="H509" i="22" s="1"/>
  <c r="H510" i="22" s="1"/>
  <c r="H511" i="22" s="1"/>
  <c r="H512" i="22" s="1"/>
  <c r="H513" i="22" s="1"/>
  <c r="H514" i="22" s="1"/>
  <c r="H515" i="22" s="1"/>
  <c r="H516" i="22" s="1"/>
  <c r="H517" i="22" s="1"/>
  <c r="H518" i="22" s="1"/>
  <c r="H519" i="22" s="1"/>
  <c r="H520" i="22" s="1"/>
  <c r="H521" i="22" s="1"/>
  <c r="H522" i="22" s="1"/>
  <c r="H523" i="22" s="1"/>
  <c r="H524" i="22" s="1"/>
  <c r="H525" i="22" s="1"/>
  <c r="H526" i="22" s="1"/>
  <c r="H527" i="22" s="1"/>
  <c r="H528" i="22" s="1"/>
  <c r="H529" i="22" s="1"/>
  <c r="H530" i="22" s="1"/>
  <c r="H531" i="22" s="1"/>
  <c r="H532" i="22" s="1"/>
  <c r="H533" i="22" s="1"/>
  <c r="H534" i="22" s="1"/>
  <c r="H535" i="22" s="1"/>
  <c r="H536" i="22" s="1"/>
  <c r="H537" i="22" s="1"/>
  <c r="H538" i="22" s="1"/>
  <c r="H539" i="22" s="1"/>
  <c r="H540" i="22" s="1"/>
  <c r="H541" i="22" s="1"/>
  <c r="H542" i="22" s="1"/>
  <c r="H543" i="22" s="1"/>
  <c r="H544" i="22" s="1"/>
  <c r="H545" i="22" s="1"/>
  <c r="H546" i="22" s="1"/>
  <c r="H547" i="22" s="1"/>
  <c r="H548" i="22" s="1"/>
  <c r="H549" i="22" s="1"/>
  <c r="H550" i="22" s="1"/>
  <c r="H551" i="22" s="1"/>
  <c r="H552" i="22" s="1"/>
  <c r="H553" i="22" s="1"/>
  <c r="H554" i="22" s="1"/>
  <c r="H555" i="22" s="1"/>
  <c r="H556" i="22" s="1"/>
  <c r="H557" i="22" s="1"/>
  <c r="H558" i="22" s="1"/>
  <c r="H559" i="22" s="1"/>
  <c r="H560" i="22" s="1"/>
  <c r="H561" i="22" s="1"/>
  <c r="H562" i="22" s="1"/>
  <c r="H563" i="22" s="1"/>
  <c r="H564" i="22" s="1"/>
  <c r="H565" i="22" s="1"/>
  <c r="H566" i="22" s="1"/>
  <c r="H567" i="22" s="1"/>
  <c r="H568" i="22" s="1"/>
  <c r="H569" i="22" s="1"/>
  <c r="H570" i="22" s="1"/>
  <c r="H571" i="22" s="1"/>
  <c r="H572" i="22" s="1"/>
  <c r="H573" i="22" s="1"/>
  <c r="H574" i="22" s="1"/>
  <c r="H575" i="22" s="1"/>
  <c r="H576" i="22" s="1"/>
  <c r="H577" i="22" s="1"/>
  <c r="H578" i="22" s="1"/>
  <c r="H579" i="22" s="1"/>
  <c r="H580" i="22" s="1"/>
  <c r="H581" i="22" s="1"/>
  <c r="H582" i="22" s="1"/>
  <c r="H583" i="22" s="1"/>
  <c r="H584" i="22" s="1"/>
  <c r="H585" i="22" s="1"/>
  <c r="H586" i="22" s="1"/>
  <c r="H587" i="22" s="1"/>
  <c r="H588" i="22" s="1"/>
  <c r="H589" i="22" s="1"/>
  <c r="H590" i="22" s="1"/>
  <c r="H591" i="22" s="1"/>
  <c r="H592" i="22" s="1"/>
  <c r="H593" i="22" s="1"/>
  <c r="H594" i="22" s="1"/>
  <c r="H595" i="22" s="1"/>
  <c r="H596" i="22" s="1"/>
  <c r="H597" i="22" s="1"/>
  <c r="H598" i="22" s="1"/>
  <c r="H599" i="22" s="1"/>
  <c r="H600" i="22" s="1"/>
  <c r="H601" i="22" s="1"/>
  <c r="H602" i="22" s="1"/>
  <c r="H603" i="22" s="1"/>
  <c r="H604" i="22" s="1"/>
  <c r="H605" i="22" s="1"/>
  <c r="H606" i="22" s="1"/>
  <c r="H607" i="22" s="1"/>
  <c r="H608" i="22" s="1"/>
  <c r="H609" i="22" s="1"/>
  <c r="H610" i="22" s="1"/>
  <c r="H611" i="22" s="1"/>
  <c r="H612" i="22" s="1"/>
  <c r="H613" i="22" s="1"/>
  <c r="H614" i="22" s="1"/>
  <c r="H615" i="22" s="1"/>
  <c r="H616" i="22" s="1"/>
  <c r="H617" i="22" s="1"/>
  <c r="H618" i="22" s="1"/>
  <c r="H619" i="22" s="1"/>
  <c r="H620" i="22" s="1"/>
  <c r="H621" i="22" s="1"/>
  <c r="H622" i="22" s="1"/>
  <c r="H623" i="22" s="1"/>
  <c r="H624" i="22" s="1"/>
  <c r="H625" i="22" s="1"/>
  <c r="H626" i="22" s="1"/>
  <c r="H627" i="22" s="1"/>
  <c r="H628" i="22" s="1"/>
  <c r="H629" i="22" s="1"/>
  <c r="H630" i="22" s="1"/>
  <c r="H631" i="22" s="1"/>
  <c r="H632" i="22" s="1"/>
  <c r="H633" i="22" s="1"/>
  <c r="H634" i="22" s="1"/>
  <c r="H635" i="22" s="1"/>
  <c r="H636" i="22" s="1"/>
  <c r="H637" i="22" s="1"/>
  <c r="H638" i="22" s="1"/>
  <c r="H639" i="22" s="1"/>
  <c r="H640" i="22" s="1"/>
  <c r="H641" i="22" s="1"/>
  <c r="H642" i="22" s="1"/>
  <c r="H643" i="22" s="1"/>
  <c r="H644" i="22" s="1"/>
  <c r="H645" i="22" s="1"/>
  <c r="H646" i="22" s="1"/>
  <c r="H647" i="22" s="1"/>
  <c r="H648" i="22" s="1"/>
  <c r="H649" i="22" s="1"/>
  <c r="H650" i="22" s="1"/>
  <c r="H651" i="22" s="1"/>
  <c r="H652" i="22" s="1"/>
  <c r="H653" i="22" s="1"/>
  <c r="H654" i="22" s="1"/>
  <c r="H655" i="22" s="1"/>
  <c r="H656" i="22" s="1"/>
  <c r="H657" i="22" s="1"/>
  <c r="H658" i="22" s="1"/>
  <c r="H659" i="22" s="1"/>
  <c r="H660" i="22" s="1"/>
  <c r="H661" i="22" s="1"/>
  <c r="H662" i="22" s="1"/>
  <c r="H663" i="22" s="1"/>
  <c r="H664" i="22" s="1"/>
  <c r="H665" i="22" s="1"/>
  <c r="H666" i="22" s="1"/>
  <c r="H667" i="22" s="1"/>
  <c r="H668" i="22" s="1"/>
  <c r="H669" i="22" s="1"/>
  <c r="H670" i="22" s="1"/>
  <c r="H671" i="22" s="1"/>
  <c r="H672" i="22" s="1"/>
  <c r="H673" i="22" s="1"/>
  <c r="H674" i="22" s="1"/>
  <c r="H675" i="22" s="1"/>
  <c r="H676" i="22" s="1"/>
  <c r="H677" i="22" s="1"/>
  <c r="H678" i="22" s="1"/>
  <c r="H679" i="22" s="1"/>
  <c r="H680" i="22" s="1"/>
  <c r="H681" i="22" s="1"/>
  <c r="H682" i="22" s="1"/>
  <c r="H683" i="22" s="1"/>
  <c r="H684" i="22" s="1"/>
  <c r="H685" i="22" s="1"/>
  <c r="H686" i="22" s="1"/>
  <c r="H687" i="22" s="1"/>
  <c r="H688" i="22" s="1"/>
  <c r="H689" i="22" s="1"/>
  <c r="H690" i="22" s="1"/>
  <c r="H691" i="22" s="1"/>
  <c r="H692" i="22" s="1"/>
  <c r="H693" i="22" s="1"/>
  <c r="H694" i="22" s="1"/>
  <c r="H695" i="22" s="1"/>
  <c r="H696" i="22" s="1"/>
  <c r="H697" i="22" s="1"/>
  <c r="H698" i="22" s="1"/>
  <c r="H699" i="22" s="1"/>
  <c r="H700" i="22" s="1"/>
  <c r="H701" i="22" s="1"/>
  <c r="H702" i="22" s="1"/>
  <c r="H703" i="22" s="1"/>
  <c r="H704" i="22" s="1"/>
  <c r="H705" i="22" s="1"/>
  <c r="H706" i="22" s="1"/>
  <c r="H707" i="22" s="1"/>
  <c r="H708" i="22" s="1"/>
  <c r="H709" i="22" s="1"/>
  <c r="H710" i="22" s="1"/>
  <c r="H711" i="22" s="1"/>
  <c r="H712" i="22" s="1"/>
  <c r="H713" i="22" s="1"/>
  <c r="H714" i="22" s="1"/>
  <c r="H715" i="22" s="1"/>
  <c r="H716" i="22" s="1"/>
  <c r="H717" i="22" s="1"/>
  <c r="H718" i="22" s="1"/>
  <c r="H719" i="22" s="1"/>
  <c r="H720" i="22" s="1"/>
  <c r="H721" i="22" s="1"/>
  <c r="H722" i="22" s="1"/>
  <c r="H723" i="22" s="1"/>
  <c r="H724" i="22" s="1"/>
  <c r="H725" i="22" s="1"/>
  <c r="H726" i="22" s="1"/>
  <c r="H727" i="22" s="1"/>
  <c r="H728" i="22" s="1"/>
  <c r="H729" i="22" s="1"/>
  <c r="H730" i="22" s="1"/>
  <c r="H731" i="22" s="1"/>
  <c r="H732" i="22" s="1"/>
  <c r="H733" i="22" s="1"/>
  <c r="H734" i="22" s="1"/>
  <c r="H735" i="22" s="1"/>
  <c r="H89" i="22"/>
  <c r="H90" i="22" s="1"/>
  <c r="H91" i="22" s="1"/>
  <c r="H29" i="22"/>
  <c r="H30" i="22" s="1"/>
  <c r="H31" i="22" s="1"/>
  <c r="H51" i="22"/>
  <c r="H11" i="22"/>
  <c r="H12" i="22" s="1"/>
  <c r="H19" i="22"/>
  <c r="H20" i="22" s="1"/>
  <c r="C19" i="14"/>
  <c r="H71" i="22"/>
  <c r="H101" i="22"/>
  <c r="H102" i="22" s="1"/>
  <c r="H39" i="22"/>
  <c r="H40" i="22" s="1"/>
  <c r="H41" i="22" s="1"/>
  <c r="H42" i="22" s="1"/>
  <c r="H79" i="22"/>
  <c r="H80" i="22" s="1"/>
  <c r="H81" i="22" s="1"/>
  <c r="U686" i="19"/>
  <c r="U687" i="19" s="1"/>
  <c r="U688" i="19" s="1"/>
  <c r="U689" i="19" s="1"/>
  <c r="U690" i="19" s="1"/>
  <c r="U691" i="19" s="1"/>
  <c r="U692" i="19" s="1"/>
  <c r="U693" i="19" s="1"/>
  <c r="U694" i="19" s="1"/>
  <c r="H106" i="19"/>
  <c r="H107" i="19" s="1"/>
  <c r="H108" i="19" s="1"/>
  <c r="G69" i="17"/>
  <c r="G70" i="17" s="1"/>
  <c r="G71" i="17" s="1"/>
  <c r="G116" i="17"/>
  <c r="G117" i="17" s="1"/>
  <c r="G118" i="17" s="1"/>
  <c r="G119" i="17" s="1"/>
  <c r="G120" i="17" s="1"/>
  <c r="G121" i="17" s="1"/>
  <c r="G122" i="17" s="1"/>
  <c r="G123" i="17" s="1"/>
  <c r="G124" i="17" s="1"/>
  <c r="G125" i="17" s="1"/>
  <c r="G126" i="17" s="1"/>
  <c r="G127" i="17" s="1"/>
  <c r="G128" i="17" s="1"/>
  <c r="G129" i="17" s="1"/>
  <c r="G130" i="17" s="1"/>
  <c r="G131" i="17" s="1"/>
  <c r="G132" i="17" s="1"/>
  <c r="G133" i="17" s="1"/>
  <c r="G134" i="17" s="1"/>
  <c r="G135" i="17" s="1"/>
  <c r="G136" i="17" s="1"/>
  <c r="G137" i="17" s="1"/>
  <c r="G138" i="17" s="1"/>
  <c r="G139" i="17" s="1"/>
  <c r="G140" i="17" s="1"/>
  <c r="G141" i="17" s="1"/>
  <c r="G142" i="17" s="1"/>
  <c r="G143" i="17" s="1"/>
  <c r="G144" i="17" s="1"/>
  <c r="G145" i="17" s="1"/>
  <c r="G146" i="17" s="1"/>
  <c r="G147" i="17" s="1"/>
  <c r="G148" i="17" s="1"/>
  <c r="G149" i="17" s="1"/>
  <c r="G150" i="17" s="1"/>
  <c r="G151" i="17" s="1"/>
  <c r="G152" i="17" s="1"/>
  <c r="G153" i="17" s="1"/>
  <c r="G154" i="17" s="1"/>
  <c r="G155" i="17" s="1"/>
  <c r="G156" i="17" s="1"/>
  <c r="G157" i="17" s="1"/>
  <c r="G158" i="17" s="1"/>
  <c r="G159" i="17" s="1"/>
  <c r="G160" i="17" s="1"/>
  <c r="G161" i="17" s="1"/>
  <c r="G162" i="17" s="1"/>
  <c r="G163" i="17" s="1"/>
  <c r="G164" i="17" s="1"/>
  <c r="G165" i="17" s="1"/>
  <c r="G166" i="17" s="1"/>
  <c r="G167" i="17" s="1"/>
  <c r="G168" i="17" s="1"/>
  <c r="G169" i="17" s="1"/>
  <c r="G170" i="17" s="1"/>
  <c r="G171" i="17" s="1"/>
  <c r="G172" i="17" s="1"/>
  <c r="G173" i="17" s="1"/>
  <c r="G174" i="17" s="1"/>
  <c r="G175" i="17" s="1"/>
  <c r="G176" i="17" s="1"/>
  <c r="G177" i="17" s="1"/>
  <c r="G178" i="17" s="1"/>
  <c r="G179" i="17" s="1"/>
  <c r="G180" i="17" s="1"/>
  <c r="G181" i="17" s="1"/>
  <c r="G182" i="17" s="1"/>
  <c r="G183" i="17" s="1"/>
  <c r="G184" i="17" s="1"/>
  <c r="G185" i="17" s="1"/>
  <c r="G186" i="17" s="1"/>
  <c r="G187" i="17" s="1"/>
  <c r="G188" i="17" s="1"/>
  <c r="G189" i="17" s="1"/>
  <c r="G190" i="17" s="1"/>
  <c r="G191" i="17" s="1"/>
  <c r="G192" i="17" s="1"/>
  <c r="G193" i="17" s="1"/>
  <c r="G194" i="17" s="1"/>
  <c r="G195" i="17" s="1"/>
  <c r="G196" i="17" s="1"/>
  <c r="G197" i="17" s="1"/>
  <c r="G198" i="17" s="1"/>
  <c r="G199" i="17" s="1"/>
  <c r="G200" i="17" s="1"/>
  <c r="G201" i="17" s="1"/>
  <c r="G202" i="17" s="1"/>
  <c r="G203" i="17" s="1"/>
  <c r="G204" i="17" s="1"/>
  <c r="G205" i="17" s="1"/>
  <c r="G206" i="17" s="1"/>
  <c r="G207" i="17" s="1"/>
  <c r="G208" i="17" s="1"/>
  <c r="G209" i="17" s="1"/>
  <c r="G210" i="17" s="1"/>
  <c r="G211" i="17" s="1"/>
  <c r="G212" i="17" s="1"/>
  <c r="G213" i="17" s="1"/>
  <c r="G214" i="17" s="1"/>
  <c r="G215" i="17" s="1"/>
  <c r="G216" i="17" s="1"/>
  <c r="G217" i="17" s="1"/>
  <c r="G218" i="17" s="1"/>
  <c r="G219" i="17" s="1"/>
  <c r="G220" i="17" s="1"/>
  <c r="G221" i="17" s="1"/>
  <c r="G222" i="17" s="1"/>
  <c r="G223" i="17" s="1"/>
  <c r="G224" i="17" s="1"/>
  <c r="G225" i="17" s="1"/>
  <c r="G226" i="17" s="1"/>
  <c r="G227" i="17" s="1"/>
  <c r="G228" i="17" s="1"/>
  <c r="G229" i="17" s="1"/>
  <c r="G230" i="17" s="1"/>
  <c r="G231" i="17" s="1"/>
  <c r="G232" i="17" s="1"/>
  <c r="G233" i="17" s="1"/>
  <c r="G234" i="17" s="1"/>
  <c r="G235" i="17" s="1"/>
  <c r="G236" i="17" s="1"/>
  <c r="G237" i="17" s="1"/>
  <c r="G238" i="17" s="1"/>
  <c r="G239" i="17" s="1"/>
  <c r="G240" i="17" s="1"/>
  <c r="G241" i="17" s="1"/>
  <c r="G242" i="17" s="1"/>
  <c r="G243" i="17" s="1"/>
  <c r="G244" i="17" s="1"/>
  <c r="G245" i="17" s="1"/>
  <c r="G246" i="17" s="1"/>
  <c r="G247" i="17" s="1"/>
  <c r="G248" i="17" s="1"/>
  <c r="G249" i="17" s="1"/>
  <c r="G250" i="17" s="1"/>
  <c r="G251" i="17" s="1"/>
  <c r="G252" i="17" s="1"/>
  <c r="G253" i="17" s="1"/>
  <c r="G254" i="17" s="1"/>
  <c r="G255" i="17" s="1"/>
  <c r="G256" i="17" s="1"/>
  <c r="G257" i="17" s="1"/>
  <c r="G258" i="17" s="1"/>
  <c r="G259" i="17" s="1"/>
  <c r="G260" i="17" s="1"/>
  <c r="G261" i="17" s="1"/>
  <c r="G262" i="17" s="1"/>
  <c r="G263" i="17" s="1"/>
  <c r="G264" i="17" s="1"/>
  <c r="G265" i="17" s="1"/>
  <c r="G266" i="17" s="1"/>
  <c r="G267" i="17" s="1"/>
  <c r="G268" i="17" s="1"/>
  <c r="G269" i="17" s="1"/>
  <c r="G270" i="17" s="1"/>
  <c r="G271" i="17" s="1"/>
  <c r="G272" i="17" s="1"/>
  <c r="G273" i="17" s="1"/>
  <c r="G274" i="17" s="1"/>
  <c r="G275" i="17" s="1"/>
  <c r="G276" i="17" s="1"/>
  <c r="G277" i="17" s="1"/>
  <c r="G278" i="17" s="1"/>
  <c r="G279" i="17" s="1"/>
  <c r="G280" i="17" s="1"/>
  <c r="G281" i="17" s="1"/>
  <c r="G282" i="17" s="1"/>
  <c r="G283" i="17" s="1"/>
  <c r="G284" i="17" s="1"/>
  <c r="G285" i="17" s="1"/>
  <c r="G286" i="17" s="1"/>
  <c r="G287" i="17" s="1"/>
  <c r="G288" i="17" s="1"/>
  <c r="G289" i="17" s="1"/>
  <c r="G290" i="17" s="1"/>
  <c r="G291" i="17" s="1"/>
  <c r="G292" i="17" s="1"/>
  <c r="G293" i="17" s="1"/>
  <c r="G294" i="17" s="1"/>
  <c r="G295" i="17" s="1"/>
  <c r="G296" i="17" s="1"/>
  <c r="G297" i="17" s="1"/>
  <c r="G298" i="17" s="1"/>
  <c r="G299" i="17" s="1"/>
  <c r="G300" i="17" s="1"/>
  <c r="G301" i="17" s="1"/>
  <c r="G302" i="17" s="1"/>
  <c r="G303" i="17" s="1"/>
  <c r="G304" i="17" s="1"/>
  <c r="G305" i="17" s="1"/>
  <c r="G306" i="17" s="1"/>
  <c r="G307" i="17" s="1"/>
  <c r="G308" i="17" s="1"/>
  <c r="G309" i="17" s="1"/>
  <c r="G310" i="17" s="1"/>
  <c r="G311" i="17" s="1"/>
  <c r="G312" i="17" s="1"/>
  <c r="G313" i="17" s="1"/>
  <c r="G314" i="17" s="1"/>
  <c r="G315" i="17" s="1"/>
  <c r="G316" i="17" s="1"/>
  <c r="G317" i="17" s="1"/>
  <c r="G318" i="17" s="1"/>
  <c r="G319" i="17" s="1"/>
  <c r="G320" i="17" s="1"/>
  <c r="G321" i="17" s="1"/>
  <c r="G322" i="17" s="1"/>
  <c r="G323" i="17" s="1"/>
  <c r="G324" i="17" s="1"/>
  <c r="G325" i="17" s="1"/>
  <c r="G326" i="17" s="1"/>
  <c r="G327" i="17" s="1"/>
  <c r="G328" i="17" s="1"/>
  <c r="G329" i="17" s="1"/>
  <c r="G330" i="17" s="1"/>
  <c r="G331" i="17" s="1"/>
  <c r="G332" i="17" s="1"/>
  <c r="G333" i="17" s="1"/>
  <c r="G334" i="17" s="1"/>
  <c r="G335" i="17" s="1"/>
  <c r="G336" i="17" s="1"/>
  <c r="G337" i="17" s="1"/>
  <c r="G338" i="17" s="1"/>
  <c r="G339" i="17" s="1"/>
  <c r="G340" i="17" s="1"/>
  <c r="G341" i="17" s="1"/>
  <c r="G342" i="17" s="1"/>
  <c r="G343" i="17" s="1"/>
  <c r="G344" i="17" s="1"/>
  <c r="G345" i="17" s="1"/>
  <c r="G346" i="17" s="1"/>
  <c r="G347" i="17" s="1"/>
  <c r="G348" i="17" s="1"/>
  <c r="G349" i="17" s="1"/>
  <c r="G350" i="17" s="1"/>
  <c r="G351" i="17" s="1"/>
  <c r="G352" i="17" s="1"/>
  <c r="G353" i="17" s="1"/>
  <c r="G354" i="17" s="1"/>
  <c r="G355" i="17" s="1"/>
  <c r="G356" i="17" s="1"/>
  <c r="G357" i="17" s="1"/>
  <c r="G358" i="17" s="1"/>
  <c r="G359" i="17" s="1"/>
  <c r="G360" i="17" s="1"/>
  <c r="G361" i="17" s="1"/>
  <c r="G362" i="17" s="1"/>
  <c r="G363" i="17" s="1"/>
  <c r="G364" i="17" s="1"/>
  <c r="G365" i="17" s="1"/>
  <c r="G366" i="17" s="1"/>
  <c r="G367" i="17" s="1"/>
  <c r="G368" i="17" s="1"/>
  <c r="G369" i="17" s="1"/>
  <c r="G370" i="17" s="1"/>
  <c r="G371" i="17" s="1"/>
  <c r="G372" i="17" s="1"/>
  <c r="G373" i="17" s="1"/>
  <c r="G374" i="17" s="1"/>
  <c r="G375" i="17" s="1"/>
  <c r="G376" i="17" s="1"/>
  <c r="G377" i="17" s="1"/>
  <c r="G378" i="17" s="1"/>
  <c r="G379" i="17" s="1"/>
  <c r="G380" i="17" s="1"/>
  <c r="G381" i="17" s="1"/>
  <c r="G382" i="17" s="1"/>
  <c r="G383" i="17" s="1"/>
  <c r="G384" i="17" s="1"/>
  <c r="G385" i="17" s="1"/>
  <c r="G386" i="17" s="1"/>
  <c r="G387" i="17" s="1"/>
  <c r="G388" i="17" s="1"/>
  <c r="G389" i="17" s="1"/>
  <c r="G390" i="17" s="1"/>
  <c r="G391" i="17" s="1"/>
  <c r="G392" i="17" s="1"/>
  <c r="G393" i="17" s="1"/>
  <c r="G394" i="17" s="1"/>
  <c r="G395" i="17" s="1"/>
  <c r="G396" i="17" s="1"/>
  <c r="G397" i="17" s="1"/>
  <c r="G398" i="17" s="1"/>
  <c r="G399" i="17" s="1"/>
  <c r="G400" i="17" s="1"/>
  <c r="G401" i="17" s="1"/>
  <c r="G402" i="17" s="1"/>
  <c r="G403" i="17" s="1"/>
  <c r="G404" i="17" s="1"/>
  <c r="G405" i="17" s="1"/>
  <c r="G406" i="17" s="1"/>
  <c r="G407" i="17" s="1"/>
  <c r="G408" i="17" s="1"/>
  <c r="G409" i="17" s="1"/>
  <c r="G410" i="17" s="1"/>
  <c r="G411" i="17" s="1"/>
  <c r="G412" i="17" s="1"/>
  <c r="G413" i="17" s="1"/>
  <c r="G414" i="17" s="1"/>
  <c r="G415" i="17" s="1"/>
  <c r="G416" i="17" s="1"/>
  <c r="G417" i="17" s="1"/>
  <c r="G418" i="17" s="1"/>
  <c r="G419" i="17" s="1"/>
  <c r="G420" i="17" s="1"/>
  <c r="G421" i="17" s="1"/>
  <c r="G422" i="17" s="1"/>
  <c r="G423" i="17" s="1"/>
  <c r="G424" i="17" s="1"/>
  <c r="G425" i="17" s="1"/>
  <c r="G426" i="17" s="1"/>
  <c r="G427" i="17" s="1"/>
  <c r="G428" i="17" s="1"/>
  <c r="G429" i="17" s="1"/>
  <c r="G430" i="17" s="1"/>
  <c r="G431" i="17" s="1"/>
  <c r="G432" i="17" s="1"/>
  <c r="G433" i="17" s="1"/>
  <c r="G434" i="17" s="1"/>
  <c r="G435" i="17" s="1"/>
  <c r="G436" i="17" s="1"/>
  <c r="G437" i="17" s="1"/>
  <c r="G438" i="17" s="1"/>
  <c r="G439" i="17" s="1"/>
  <c r="G440" i="17" s="1"/>
  <c r="G441" i="17" s="1"/>
  <c r="G442" i="17" s="1"/>
  <c r="G443" i="17" s="1"/>
  <c r="G444" i="17" s="1"/>
  <c r="G445" i="17" s="1"/>
  <c r="G446" i="17" s="1"/>
  <c r="G447" i="17" s="1"/>
  <c r="G448" i="17" s="1"/>
  <c r="G449" i="17" s="1"/>
  <c r="G450" i="17" s="1"/>
  <c r="G451" i="17" s="1"/>
  <c r="G452" i="17" s="1"/>
  <c r="G453" i="17" s="1"/>
  <c r="G454" i="17" s="1"/>
  <c r="G455" i="17" s="1"/>
  <c r="G456" i="17" s="1"/>
  <c r="G457" i="17" s="1"/>
  <c r="G458" i="17" s="1"/>
  <c r="G459" i="17" s="1"/>
  <c r="G460" i="17" s="1"/>
  <c r="G461" i="17" s="1"/>
  <c r="G462" i="17" s="1"/>
  <c r="G463" i="17" s="1"/>
  <c r="G464" i="17" s="1"/>
  <c r="G465" i="17" s="1"/>
  <c r="G466" i="17" s="1"/>
  <c r="G467" i="17" s="1"/>
  <c r="G468" i="17" s="1"/>
  <c r="G469" i="17" s="1"/>
  <c r="G470" i="17" s="1"/>
  <c r="G471" i="17" s="1"/>
  <c r="G472" i="17" s="1"/>
  <c r="G473" i="17" s="1"/>
  <c r="G474" i="17" s="1"/>
  <c r="G475" i="17" s="1"/>
  <c r="G476" i="17" s="1"/>
  <c r="G477" i="17" s="1"/>
  <c r="G478" i="17" s="1"/>
  <c r="G479" i="17" s="1"/>
  <c r="G480" i="17" s="1"/>
  <c r="G481" i="17" s="1"/>
  <c r="G482" i="17" s="1"/>
  <c r="G483" i="17" s="1"/>
  <c r="G484" i="17" s="1"/>
  <c r="G485" i="17" s="1"/>
  <c r="G486" i="17" s="1"/>
  <c r="G487" i="17" s="1"/>
  <c r="G488" i="17" s="1"/>
  <c r="G489" i="17" s="1"/>
  <c r="G490" i="17" s="1"/>
  <c r="G491" i="17" s="1"/>
  <c r="G492" i="17" s="1"/>
  <c r="G493" i="17" s="1"/>
  <c r="G494" i="17" s="1"/>
  <c r="G495" i="17" s="1"/>
  <c r="G496" i="17" s="1"/>
  <c r="G497" i="17" s="1"/>
  <c r="G498" i="17" s="1"/>
  <c r="G499" i="17" s="1"/>
  <c r="G500" i="17" s="1"/>
  <c r="G501" i="17" s="1"/>
  <c r="G502" i="17" s="1"/>
  <c r="G503" i="17" s="1"/>
  <c r="G504" i="17" s="1"/>
  <c r="G505" i="17" s="1"/>
  <c r="G506" i="17" s="1"/>
  <c r="G507" i="17" s="1"/>
  <c r="G508" i="17" s="1"/>
  <c r="G509" i="17" s="1"/>
  <c r="G510" i="17" s="1"/>
  <c r="G511" i="17" s="1"/>
  <c r="G512" i="17" s="1"/>
  <c r="G513" i="17" s="1"/>
  <c r="G514" i="17" s="1"/>
  <c r="G515" i="17" s="1"/>
  <c r="G516" i="17" s="1"/>
  <c r="G517" i="17" s="1"/>
  <c r="G518" i="17" s="1"/>
  <c r="G519" i="17" s="1"/>
  <c r="G520" i="17" s="1"/>
  <c r="G521" i="17" s="1"/>
  <c r="G522" i="17" s="1"/>
  <c r="G523" i="17" s="1"/>
  <c r="G524" i="17" s="1"/>
  <c r="G525" i="17" s="1"/>
  <c r="G526" i="17" s="1"/>
  <c r="G527" i="17" s="1"/>
  <c r="G528" i="17" s="1"/>
  <c r="G529" i="17" s="1"/>
  <c r="G530" i="17" s="1"/>
  <c r="G531" i="17" s="1"/>
  <c r="G532" i="17" s="1"/>
  <c r="G533" i="17" s="1"/>
  <c r="G534" i="17" s="1"/>
  <c r="G535" i="17" s="1"/>
  <c r="G536" i="17" s="1"/>
  <c r="G537" i="17" s="1"/>
  <c r="G538" i="17" s="1"/>
  <c r="G539" i="17" s="1"/>
  <c r="G540" i="17" s="1"/>
  <c r="G541" i="17" s="1"/>
  <c r="G542" i="17" s="1"/>
  <c r="G543" i="17" s="1"/>
  <c r="G544" i="17" s="1"/>
  <c r="G545" i="17" s="1"/>
  <c r="G546" i="17" s="1"/>
  <c r="G547" i="17" s="1"/>
  <c r="G548" i="17" s="1"/>
  <c r="G549" i="17" s="1"/>
  <c r="G550" i="17" s="1"/>
  <c r="G551" i="17" s="1"/>
  <c r="G552" i="17" s="1"/>
  <c r="G553" i="17" s="1"/>
  <c r="G554" i="17" s="1"/>
  <c r="G555" i="17" s="1"/>
  <c r="G556" i="17" s="1"/>
  <c r="G557" i="17" s="1"/>
  <c r="G558" i="17" s="1"/>
  <c r="G559" i="17" s="1"/>
  <c r="G560" i="17" s="1"/>
  <c r="G561" i="17" s="1"/>
  <c r="G562" i="17" s="1"/>
  <c r="G563" i="17" s="1"/>
  <c r="G564" i="17" s="1"/>
  <c r="G565" i="17" s="1"/>
  <c r="G566" i="17" s="1"/>
  <c r="G567" i="17" s="1"/>
  <c r="G568" i="17" s="1"/>
  <c r="G569" i="17" s="1"/>
  <c r="G570" i="17" s="1"/>
  <c r="G571" i="17" s="1"/>
  <c r="G572" i="17" s="1"/>
  <c r="G573" i="17" s="1"/>
  <c r="G574" i="17" s="1"/>
  <c r="G575" i="17" s="1"/>
  <c r="G576" i="17" s="1"/>
  <c r="G577" i="17" s="1"/>
  <c r="G578" i="17" s="1"/>
  <c r="G579" i="17" s="1"/>
  <c r="G580" i="17" s="1"/>
  <c r="G581" i="17" s="1"/>
  <c r="G582" i="17" s="1"/>
  <c r="G583" i="17" s="1"/>
  <c r="G584" i="17" s="1"/>
  <c r="G585" i="17" s="1"/>
  <c r="G586" i="17" s="1"/>
  <c r="G587" i="17" s="1"/>
  <c r="G588" i="17" s="1"/>
  <c r="G589" i="17" s="1"/>
  <c r="G590" i="17" s="1"/>
  <c r="G591" i="17" s="1"/>
  <c r="G592" i="17" s="1"/>
  <c r="G593" i="17" s="1"/>
  <c r="G594" i="17" s="1"/>
  <c r="G595" i="17" s="1"/>
  <c r="G596" i="17" s="1"/>
  <c r="G597" i="17" s="1"/>
  <c r="G598" i="17" s="1"/>
  <c r="G599" i="17" s="1"/>
  <c r="G600" i="17" s="1"/>
  <c r="G601" i="17" s="1"/>
  <c r="G602" i="17" s="1"/>
  <c r="G603" i="17" s="1"/>
  <c r="G604" i="17" s="1"/>
  <c r="G605" i="17" s="1"/>
  <c r="G606" i="17" s="1"/>
  <c r="G607" i="17" s="1"/>
  <c r="G608" i="17" s="1"/>
  <c r="G609" i="17" s="1"/>
  <c r="G610" i="17" s="1"/>
  <c r="G611" i="17" s="1"/>
  <c r="G612" i="17" s="1"/>
  <c r="G613" i="17" s="1"/>
  <c r="G614" i="17" s="1"/>
  <c r="G615" i="17" s="1"/>
  <c r="G616" i="17" s="1"/>
  <c r="G617" i="17" s="1"/>
  <c r="G618" i="17" s="1"/>
  <c r="G619" i="17" s="1"/>
  <c r="G620" i="17" s="1"/>
  <c r="G621" i="17" s="1"/>
  <c r="G622" i="17" s="1"/>
  <c r="G623" i="17" s="1"/>
  <c r="G624" i="17" s="1"/>
  <c r="G625" i="17" s="1"/>
  <c r="G626" i="17" s="1"/>
  <c r="G627" i="17" s="1"/>
  <c r="G628" i="17" s="1"/>
  <c r="G629" i="17" s="1"/>
  <c r="G630" i="17" s="1"/>
  <c r="G631" i="17" s="1"/>
  <c r="G632" i="17" s="1"/>
  <c r="G633" i="17" s="1"/>
  <c r="G634" i="17" s="1"/>
  <c r="G635" i="17" s="1"/>
  <c r="G636" i="17" s="1"/>
  <c r="G637" i="17" s="1"/>
  <c r="G638" i="17" s="1"/>
  <c r="G639" i="17" s="1"/>
  <c r="G640" i="17" s="1"/>
  <c r="G641" i="17" s="1"/>
  <c r="G642" i="17" s="1"/>
  <c r="G643" i="17" s="1"/>
  <c r="G644" i="17" s="1"/>
  <c r="G645" i="17" s="1"/>
  <c r="G646" i="17" s="1"/>
  <c r="G647" i="17" s="1"/>
  <c r="G648" i="17" s="1"/>
  <c r="G649" i="17" s="1"/>
  <c r="G650" i="17" s="1"/>
  <c r="G651" i="17" s="1"/>
  <c r="G652" i="17" s="1"/>
  <c r="G653" i="17" s="1"/>
  <c r="G654" i="17" s="1"/>
  <c r="G655" i="17" s="1"/>
  <c r="G656" i="17" s="1"/>
  <c r="G657" i="17" s="1"/>
  <c r="G658" i="17" s="1"/>
  <c r="G659" i="17" s="1"/>
  <c r="G660" i="17" s="1"/>
  <c r="G661" i="17" s="1"/>
  <c r="G662" i="17" s="1"/>
  <c r="G663" i="17" s="1"/>
  <c r="G664" i="17" s="1"/>
  <c r="G665" i="17" s="1"/>
  <c r="G666" i="17" s="1"/>
  <c r="G667" i="17" s="1"/>
  <c r="G668" i="17" s="1"/>
  <c r="G669" i="17" s="1"/>
  <c r="G670" i="17" s="1"/>
  <c r="G671" i="17" s="1"/>
  <c r="G672" i="17" s="1"/>
  <c r="G673" i="17" s="1"/>
  <c r="G674" i="17" s="1"/>
  <c r="G675" i="17" s="1"/>
  <c r="G676" i="17" s="1"/>
  <c r="G677" i="17" s="1"/>
  <c r="G678" i="17" s="1"/>
  <c r="G679" i="17" s="1"/>
  <c r="G680" i="17" s="1"/>
  <c r="G681" i="17" s="1"/>
  <c r="G682" i="17" s="1"/>
  <c r="G683" i="17" s="1"/>
  <c r="G684" i="17" s="1"/>
  <c r="G685" i="17" s="1"/>
  <c r="G686" i="17" s="1"/>
  <c r="G687" i="17" s="1"/>
  <c r="G688" i="17" s="1"/>
  <c r="G689" i="17" s="1"/>
  <c r="G690" i="17" s="1"/>
  <c r="G691" i="17" s="1"/>
  <c r="G692" i="17" s="1"/>
  <c r="G693" i="17" s="1"/>
  <c r="G694" i="17" s="1"/>
  <c r="G695" i="17" s="1"/>
  <c r="G696" i="17" s="1"/>
  <c r="G697" i="17" s="1"/>
  <c r="G698" i="17" s="1"/>
  <c r="G699" i="17" s="1"/>
  <c r="G700" i="17" s="1"/>
  <c r="G701" i="17" s="1"/>
  <c r="G702" i="17" s="1"/>
  <c r="G703" i="17" s="1"/>
  <c r="G704" i="17" s="1"/>
  <c r="G705" i="17" s="1"/>
  <c r="G706" i="17" s="1"/>
  <c r="G707" i="17" s="1"/>
  <c r="G708" i="17" s="1"/>
  <c r="G709" i="17" s="1"/>
  <c r="G710" i="17" s="1"/>
  <c r="G711" i="17" s="1"/>
  <c r="G712" i="17" s="1"/>
  <c r="G713" i="17" s="1"/>
  <c r="G714" i="17" s="1"/>
  <c r="G715" i="17" s="1"/>
  <c r="G716" i="17" s="1"/>
  <c r="G717" i="17" s="1"/>
  <c r="G718" i="17" s="1"/>
  <c r="G719" i="17" s="1"/>
  <c r="G720" i="17" s="1"/>
  <c r="G721" i="17" s="1"/>
  <c r="G722" i="17" s="1"/>
  <c r="G723" i="17" s="1"/>
  <c r="G724" i="17" s="1"/>
  <c r="G725" i="17" s="1"/>
  <c r="G726" i="17" s="1"/>
  <c r="G727" i="17" s="1"/>
  <c r="G728" i="17" s="1"/>
  <c r="G729" i="17" s="1"/>
  <c r="G730" i="17" s="1"/>
  <c r="G731" i="17" s="1"/>
  <c r="G732" i="17" s="1"/>
  <c r="G733" i="17" s="1"/>
  <c r="G734" i="17" s="1"/>
  <c r="G735" i="17" s="1"/>
  <c r="H26" i="19"/>
  <c r="H27" i="19" s="1"/>
  <c r="H28" i="19" s="1"/>
  <c r="H86" i="19"/>
  <c r="H87" i="19" s="1"/>
  <c r="H88" i="19" s="1"/>
  <c r="G89" i="17"/>
  <c r="G90" i="17" s="1"/>
  <c r="G91" i="17" s="1"/>
  <c r="H113" i="19"/>
  <c r="H114" i="19" s="1"/>
  <c r="H115" i="19" s="1"/>
  <c r="H116" i="19" s="1"/>
  <c r="H117" i="19" s="1"/>
  <c r="H118" i="19" s="1"/>
  <c r="H119" i="19" s="1"/>
  <c r="H36" i="19"/>
  <c r="H37" i="19" s="1"/>
  <c r="H38" i="19" s="1"/>
  <c r="H39" i="19" s="1"/>
  <c r="H76" i="19"/>
  <c r="H77" i="19" s="1"/>
  <c r="H78" i="19" s="1"/>
  <c r="H8" i="19"/>
  <c r="H9" i="19" s="1"/>
  <c r="H56" i="19"/>
  <c r="H57" i="19" s="1"/>
  <c r="H58" i="19" s="1"/>
  <c r="H95" i="19"/>
  <c r="H96" i="19" s="1"/>
  <c r="H97" i="19" s="1"/>
  <c r="H98" i="19" s="1"/>
  <c r="H99" i="19" s="1"/>
  <c r="G29" i="17"/>
  <c r="G30" i="17" s="1"/>
  <c r="G31" i="17" s="1"/>
  <c r="G109" i="17"/>
  <c r="G110" i="17" s="1"/>
  <c r="G111" i="17" s="1"/>
  <c r="G49" i="17"/>
  <c r="G50" i="17" s="1"/>
  <c r="G51" i="17" s="1"/>
  <c r="G98" i="17"/>
  <c r="G99" i="17" s="1"/>
  <c r="G100" i="17" s="1"/>
  <c r="G101" i="17" s="1"/>
  <c r="G102" i="17" s="1"/>
  <c r="H16" i="19"/>
  <c r="H17" i="19" s="1"/>
  <c r="H46" i="19"/>
  <c r="H47" i="19" s="1"/>
  <c r="H48" i="19" s="1"/>
  <c r="H66" i="19"/>
  <c r="H67" i="19" s="1"/>
  <c r="H68" i="19" s="1"/>
  <c r="G39" i="17"/>
  <c r="G40" i="17" s="1"/>
  <c r="G41" i="17" s="1"/>
  <c r="G42" i="17" s="1"/>
  <c r="G79" i="17"/>
  <c r="G80" i="17" s="1"/>
  <c r="G81" i="17" s="1"/>
  <c r="G11" i="17"/>
  <c r="G12" i="17" s="1"/>
  <c r="G20" i="17"/>
  <c r="G59" i="17"/>
  <c r="G60" i="17" s="1"/>
  <c r="G61" i="17" s="1"/>
  <c r="E20" i="16"/>
  <c r="I7" i="16"/>
  <c r="F20" i="16"/>
  <c r="I8" i="16"/>
  <c r="G20" i="16"/>
  <c r="I9" i="16"/>
  <c r="H20" i="16"/>
  <c r="I10" i="16"/>
  <c r="I20" i="16"/>
  <c r="I11" i="16"/>
  <c r="J20" i="16"/>
  <c r="I12" i="16"/>
  <c r="K20" i="16"/>
  <c r="I13" i="16"/>
  <c r="I6" i="16"/>
  <c r="H9" i="12"/>
  <c r="H11" i="12"/>
  <c r="G8" i="12"/>
  <c r="G9" i="12"/>
  <c r="G10" i="12"/>
  <c r="H10" i="12" s="1"/>
  <c r="G11" i="12"/>
  <c r="G12" i="12"/>
  <c r="H12" i="12" s="1"/>
  <c r="G13" i="12"/>
  <c r="H13" i="12" s="1"/>
  <c r="F6" i="12"/>
  <c r="F7" i="12"/>
  <c r="F8" i="12"/>
  <c r="F9" i="12"/>
  <c r="F10" i="12"/>
  <c r="F11" i="12"/>
  <c r="F12" i="12"/>
  <c r="F13" i="12"/>
  <c r="E735" i="3"/>
  <c r="U697" i="19" l="1"/>
  <c r="U698" i="19" s="1"/>
  <c r="U699" i="19" s="1"/>
  <c r="U700" i="19" s="1"/>
  <c r="U701" i="19" s="1"/>
  <c r="U702" i="19" s="1"/>
  <c r="H120" i="19"/>
  <c r="H121" i="19" s="1"/>
  <c r="H122" i="19" s="1"/>
  <c r="H123" i="19" s="1"/>
  <c r="H124" i="19" s="1"/>
  <c r="H125" i="19" s="1"/>
  <c r="H126" i="19" s="1"/>
  <c r="H127" i="19" s="1"/>
  <c r="D18" i="14"/>
  <c r="D19" i="14"/>
  <c r="E18" i="14"/>
  <c r="F18" i="14"/>
  <c r="F11" i="14"/>
  <c r="F19" i="14" s="1"/>
  <c r="G18" i="14"/>
  <c r="G19" i="14"/>
  <c r="H18" i="14"/>
  <c r="H11" i="14"/>
  <c r="H19" i="14" s="1"/>
  <c r="I18" i="14"/>
  <c r="I11" i="14"/>
  <c r="I19" i="14" s="1"/>
  <c r="J18" i="14"/>
  <c r="J11" i="14"/>
  <c r="J19" i="14" s="1"/>
  <c r="D10" i="12"/>
  <c r="D11" i="12"/>
  <c r="D12" i="12"/>
  <c r="D13" i="12"/>
  <c r="D6" i="12"/>
  <c r="D8" i="12"/>
  <c r="D9" i="12"/>
  <c r="E760" i="3"/>
  <c r="E824" i="3"/>
  <c r="E888" i="3"/>
  <c r="E952" i="3"/>
  <c r="E1016" i="3"/>
  <c r="E1080" i="3"/>
  <c r="E1144" i="3"/>
  <c r="E770" i="3"/>
  <c r="E834" i="3"/>
  <c r="E898" i="3"/>
  <c r="E962" i="3"/>
  <c r="E1026" i="3"/>
  <c r="E1090" i="3"/>
  <c r="E1154" i="3"/>
  <c r="E1218" i="3"/>
  <c r="E1282" i="3"/>
  <c r="E1346" i="3"/>
  <c r="E1410" i="3"/>
  <c r="E1283" i="3"/>
  <c r="E1411" i="3"/>
  <c r="E763" i="3"/>
  <c r="E827" i="3"/>
  <c r="E891" i="3"/>
  <c r="E955" i="3"/>
  <c r="E1019" i="3"/>
  <c r="E1083" i="3"/>
  <c r="E1147" i="3"/>
  <c r="E1211" i="3"/>
  <c r="E1291" i="3"/>
  <c r="E1419" i="3"/>
  <c r="E780" i="3"/>
  <c r="E844" i="3"/>
  <c r="E908" i="3"/>
  <c r="E972" i="3"/>
  <c r="E1036" i="3"/>
  <c r="E1100" i="3"/>
  <c r="E742" i="3"/>
  <c r="E806" i="3"/>
  <c r="E870" i="3"/>
  <c r="E934" i="3"/>
  <c r="E998" i="3"/>
  <c r="E1062" i="3"/>
  <c r="E1126" i="3"/>
  <c r="E1190" i="3"/>
  <c r="E1254" i="3"/>
  <c r="E1318" i="3"/>
  <c r="E1382" i="3"/>
  <c r="E1446" i="3"/>
  <c r="E783" i="3"/>
  <c r="E847" i="3"/>
  <c r="E911" i="3"/>
  <c r="E975" i="3"/>
  <c r="E769" i="3"/>
  <c r="E1025" i="3"/>
  <c r="E1185" i="3"/>
  <c r="E1313" i="3"/>
  <c r="E901" i="3"/>
  <c r="E1113" i="3"/>
  <c r="E1239" i="3"/>
  <c r="E1341" i="3"/>
  <c r="E1444" i="3"/>
  <c r="E1329" i="3"/>
  <c r="E809" i="3"/>
  <c r="E1053" i="3"/>
  <c r="E1228" i="3"/>
  <c r="E1457" i="3"/>
  <c r="E973" i="3"/>
  <c r="E1161" i="3"/>
  <c r="E1268" i="3"/>
  <c r="E1369" i="3"/>
  <c r="E1397" i="3"/>
  <c r="E981" i="3"/>
  <c r="E1296" i="3"/>
  <c r="E1325" i="3"/>
  <c r="E753" i="3"/>
  <c r="E1009" i="3"/>
  <c r="E1180" i="3"/>
  <c r="E1281" i="3"/>
  <c r="E1384" i="3"/>
  <c r="E1103" i="3"/>
  <c r="E1309" i="3"/>
  <c r="E1337" i="3"/>
  <c r="E793" i="3"/>
  <c r="E1041" i="3"/>
  <c r="E1196" i="3"/>
  <c r="E1297" i="3"/>
  <c r="E1400" i="3"/>
  <c r="E829" i="3"/>
  <c r="E1065" i="3"/>
  <c r="E1209" i="3"/>
  <c r="E1389" i="3"/>
  <c r="E768" i="3"/>
  <c r="E832" i="3"/>
  <c r="E896" i="3"/>
  <c r="E960" i="3"/>
  <c r="E1024" i="3"/>
  <c r="E1088" i="3"/>
  <c r="E1152" i="3"/>
  <c r="E778" i="3"/>
  <c r="E842" i="3"/>
  <c r="E906" i="3"/>
  <c r="E970" i="3"/>
  <c r="E1034" i="3"/>
  <c r="E1098" i="3"/>
  <c r="E1162" i="3"/>
  <c r="E1226" i="3"/>
  <c r="E1290" i="3"/>
  <c r="E1354" i="3"/>
  <c r="E1418" i="3"/>
  <c r="E1299" i="3"/>
  <c r="E1427" i="3"/>
  <c r="E771" i="3"/>
  <c r="E835" i="3"/>
  <c r="E899" i="3"/>
  <c r="E963" i="3"/>
  <c r="E1027" i="3"/>
  <c r="E1091" i="3"/>
  <c r="E1155" i="3"/>
  <c r="E1219" i="3"/>
  <c r="E1307" i="3"/>
  <c r="E1443" i="3"/>
  <c r="E788" i="3"/>
  <c r="E852" i="3"/>
  <c r="E916" i="3"/>
  <c r="E980" i="3"/>
  <c r="E1044" i="3"/>
  <c r="E1108" i="3"/>
  <c r="E792" i="3"/>
  <c r="E856" i="3"/>
  <c r="E920" i="3"/>
  <c r="E984" i="3"/>
  <c r="E1048" i="3"/>
  <c r="E1112" i="3"/>
  <c r="E738" i="3"/>
  <c r="E802" i="3"/>
  <c r="E866" i="3"/>
  <c r="E930" i="3"/>
  <c r="E994" i="3"/>
  <c r="E1058" i="3"/>
  <c r="E1122" i="3"/>
  <c r="E1186" i="3"/>
  <c r="E1250" i="3"/>
  <c r="E1314" i="3"/>
  <c r="E1378" i="3"/>
  <c r="E1442" i="3"/>
  <c r="E1347" i="3"/>
  <c r="E1148" i="3"/>
  <c r="E795" i="3"/>
  <c r="E859" i="3"/>
  <c r="E923" i="3"/>
  <c r="E987" i="3"/>
  <c r="E1051" i="3"/>
  <c r="E1115" i="3"/>
  <c r="E1179" i="3"/>
  <c r="E1243" i="3"/>
  <c r="E1355" i="3"/>
  <c r="E748" i="3"/>
  <c r="E812" i="3"/>
  <c r="E876" i="3"/>
  <c r="E940" i="3"/>
  <c r="E1004" i="3"/>
  <c r="E1068" i="3"/>
  <c r="E1132" i="3"/>
  <c r="E774" i="3"/>
  <c r="E838" i="3"/>
  <c r="E902" i="3"/>
  <c r="E966" i="3"/>
  <c r="E1030" i="3"/>
  <c r="E1094" i="3"/>
  <c r="E1158" i="3"/>
  <c r="E1222" i="3"/>
  <c r="E1286" i="3"/>
  <c r="E1350" i="3"/>
  <c r="E1414" i="3"/>
  <c r="E751" i="3"/>
  <c r="E815" i="3"/>
  <c r="E879" i="3"/>
  <c r="E943" i="3"/>
  <c r="E1007" i="3"/>
  <c r="E897" i="3"/>
  <c r="E1111" i="3"/>
  <c r="E1237" i="3"/>
  <c r="E773" i="3"/>
  <c r="E1029" i="3"/>
  <c r="E1188" i="3"/>
  <c r="E1289" i="3"/>
  <c r="E1392" i="3"/>
  <c r="E1240" i="3"/>
  <c r="E1420" i="3"/>
  <c r="E937" i="3"/>
  <c r="E1137" i="3"/>
  <c r="E1343" i="3"/>
  <c r="E845" i="3"/>
  <c r="E1077" i="3"/>
  <c r="E1216" i="3"/>
  <c r="E1319" i="3"/>
  <c r="E1421" i="3"/>
  <c r="E821" i="3"/>
  <c r="E1181" i="3"/>
  <c r="E1399" i="3"/>
  <c r="E1301" i="3"/>
  <c r="E881" i="3"/>
  <c r="E1101" i="3"/>
  <c r="E1231" i="3"/>
  <c r="E1333" i="3"/>
  <c r="E789" i="3"/>
  <c r="E1220" i="3"/>
  <c r="E1412" i="3"/>
  <c r="E1327" i="3"/>
  <c r="E921" i="3"/>
  <c r="E1127" i="3"/>
  <c r="E1247" i="3"/>
  <c r="E1349" i="3"/>
  <c r="E1452" i="3"/>
  <c r="E957" i="3"/>
  <c r="E1151" i="3"/>
  <c r="E1261" i="3"/>
  <c r="E1391" i="3"/>
  <c r="E736" i="3"/>
  <c r="E800" i="3"/>
  <c r="E864" i="3"/>
  <c r="E928" i="3"/>
  <c r="E992" i="3"/>
  <c r="E1056" i="3"/>
  <c r="E1120" i="3"/>
  <c r="E746" i="3"/>
  <c r="E810" i="3"/>
  <c r="E874" i="3"/>
  <c r="E938" i="3"/>
  <c r="E1002" i="3"/>
  <c r="E1066" i="3"/>
  <c r="E1130" i="3"/>
  <c r="E1194" i="3"/>
  <c r="E1258" i="3"/>
  <c r="E1322" i="3"/>
  <c r="E1386" i="3"/>
  <c r="E1450" i="3"/>
  <c r="E1363" i="3"/>
  <c r="E739" i="3"/>
  <c r="E803" i="3"/>
  <c r="E1172" i="3"/>
  <c r="E1284" i="3"/>
  <c r="E1008" i="3"/>
  <c r="E1338" i="3"/>
  <c r="E752" i="3"/>
  <c r="E776" i="3"/>
  <c r="E784" i="3"/>
  <c r="E912" i="3"/>
  <c r="E1040" i="3"/>
  <c r="E1168" i="3"/>
  <c r="E858" i="3"/>
  <c r="E986" i="3"/>
  <c r="E1114" i="3"/>
  <c r="E1242" i="3"/>
  <c r="E1370" i="3"/>
  <c r="E1331" i="3"/>
  <c r="E787" i="3"/>
  <c r="E907" i="3"/>
  <c r="E1003" i="3"/>
  <c r="E1107" i="3"/>
  <c r="E1203" i="3"/>
  <c r="E1371" i="3"/>
  <c r="E796" i="3"/>
  <c r="E892" i="3"/>
  <c r="E996" i="3"/>
  <c r="E1092" i="3"/>
  <c r="E766" i="3"/>
  <c r="E854" i="3"/>
  <c r="E942" i="3"/>
  <c r="E1022" i="3"/>
  <c r="E1110" i="3"/>
  <c r="E1198" i="3"/>
  <c r="E1278" i="3"/>
  <c r="E1366" i="3"/>
  <c r="E1454" i="3"/>
  <c r="E807" i="3"/>
  <c r="E895" i="3"/>
  <c r="E983" i="3"/>
  <c r="E865" i="3"/>
  <c r="E1153" i="3"/>
  <c r="E1365" i="3"/>
  <c r="E997" i="3"/>
  <c r="E1213" i="3"/>
  <c r="E1353" i="3"/>
  <c r="E1215" i="3"/>
  <c r="E745" i="3"/>
  <c r="E1073" i="3"/>
  <c r="E1317" i="3"/>
  <c r="E909" i="3"/>
  <c r="E1177" i="3"/>
  <c r="E1305" i="3"/>
  <c r="E1447" i="3"/>
  <c r="E1039" i="3"/>
  <c r="E1373" i="3"/>
  <c r="E1404" i="3"/>
  <c r="E1037" i="3"/>
  <c r="E1217" i="3"/>
  <c r="E1359" i="3"/>
  <c r="E1145" i="3"/>
  <c r="E1385" i="3"/>
  <c r="E1429" i="3"/>
  <c r="E1063" i="3"/>
  <c r="E1233" i="3"/>
  <c r="E1375" i="3"/>
  <c r="E861" i="3"/>
  <c r="E1129" i="3"/>
  <c r="E1312" i="3"/>
  <c r="E808" i="3"/>
  <c r="E936" i="3"/>
  <c r="E1064" i="3"/>
  <c r="E754" i="3"/>
  <c r="E882" i="3"/>
  <c r="E1010" i="3"/>
  <c r="E1138" i="3"/>
  <c r="E1266" i="3"/>
  <c r="E1394" i="3"/>
  <c r="E1379" i="3"/>
  <c r="E811" i="3"/>
  <c r="E915" i="3"/>
  <c r="E1011" i="3"/>
  <c r="E1123" i="3"/>
  <c r="E1227" i="3"/>
  <c r="E1387" i="3"/>
  <c r="E804" i="3"/>
  <c r="E900" i="3"/>
  <c r="E1012" i="3"/>
  <c r="E1116" i="3"/>
  <c r="E862" i="3"/>
  <c r="E950" i="3"/>
  <c r="E1038" i="3"/>
  <c r="E1118" i="3"/>
  <c r="E1206" i="3"/>
  <c r="E1294" i="3"/>
  <c r="E1374" i="3"/>
  <c r="E1462" i="3"/>
  <c r="E823" i="3"/>
  <c r="E903" i="3"/>
  <c r="E991" i="3"/>
  <c r="E929" i="3"/>
  <c r="E1173" i="3"/>
  <c r="E1416" i="3"/>
  <c r="E1049" i="3"/>
  <c r="E1225" i="3"/>
  <c r="E1367" i="3"/>
  <c r="E1265" i="3"/>
  <c r="E777" i="3"/>
  <c r="E1095" i="3"/>
  <c r="E1381" i="3"/>
  <c r="E941" i="3"/>
  <c r="E1191" i="3"/>
  <c r="E1332" i="3"/>
  <c r="E1460" i="3"/>
  <c r="E1081" i="3"/>
  <c r="E1424" i="3"/>
  <c r="E1441" i="3"/>
  <c r="E1057" i="3"/>
  <c r="E1244" i="3"/>
  <c r="E1372" i="3"/>
  <c r="E1165" i="3"/>
  <c r="E1437" i="3"/>
  <c r="E761" i="3"/>
  <c r="E1085" i="3"/>
  <c r="E1388" i="3"/>
  <c r="E893" i="3"/>
  <c r="E1169" i="3"/>
  <c r="E1351" i="3"/>
  <c r="E816" i="3"/>
  <c r="E1072" i="3"/>
  <c r="E890" i="3"/>
  <c r="E1018" i="3"/>
  <c r="E1146" i="3"/>
  <c r="E1274" i="3"/>
  <c r="E1402" i="3"/>
  <c r="E1395" i="3"/>
  <c r="E819" i="3"/>
  <c r="E782" i="3"/>
  <c r="E1260" i="3"/>
  <c r="E762" i="3"/>
  <c r="E931" i="3"/>
  <c r="E944" i="3"/>
  <c r="E840" i="3"/>
  <c r="E848" i="3"/>
  <c r="E976" i="3"/>
  <c r="E1104" i="3"/>
  <c r="E794" i="3"/>
  <c r="E922" i="3"/>
  <c r="E1050" i="3"/>
  <c r="E1178" i="3"/>
  <c r="E1306" i="3"/>
  <c r="E1434" i="3"/>
  <c r="E1451" i="3"/>
  <c r="E851" i="3"/>
  <c r="E947" i="3"/>
  <c r="E1059" i="3"/>
  <c r="E1163" i="3"/>
  <c r="E1267" i="3"/>
  <c r="E740" i="3"/>
  <c r="E836" i="3"/>
  <c r="E948" i="3"/>
  <c r="E1052" i="3"/>
  <c r="E1156" i="3"/>
  <c r="E814" i="3"/>
  <c r="E894" i="3"/>
  <c r="E982" i="3"/>
  <c r="E1070" i="3"/>
  <c r="E1150" i="3"/>
  <c r="E1238" i="3"/>
  <c r="E1326" i="3"/>
  <c r="E1406" i="3"/>
  <c r="E767" i="3"/>
  <c r="E855" i="3"/>
  <c r="E935" i="3"/>
  <c r="E1023" i="3"/>
  <c r="E1047" i="3"/>
  <c r="E1224" i="3"/>
  <c r="E837" i="3"/>
  <c r="E1135" i="3"/>
  <c r="E1277" i="3"/>
  <c r="E1417" i="3"/>
  <c r="E1356" i="3"/>
  <c r="E905" i="3"/>
  <c r="E1189" i="3"/>
  <c r="E749" i="3"/>
  <c r="E1055" i="3"/>
  <c r="E1241" i="3"/>
  <c r="E1383" i="3"/>
  <c r="E757" i="3"/>
  <c r="E1232" i="3"/>
  <c r="E1364" i="3"/>
  <c r="E849" i="3"/>
  <c r="E1143" i="3"/>
  <c r="E1295" i="3"/>
  <c r="E1461" i="3"/>
  <c r="E1271" i="3"/>
  <c r="E1376" i="3"/>
  <c r="E889" i="3"/>
  <c r="E1167" i="3"/>
  <c r="E1311" i="3"/>
  <c r="E1439" i="3"/>
  <c r="E1021" i="3"/>
  <c r="E1223" i="3"/>
  <c r="E1340" i="3"/>
  <c r="E744" i="3"/>
  <c r="E872" i="3"/>
  <c r="E1000" i="3"/>
  <c r="E1128" i="3"/>
  <c r="E818" i="3"/>
  <c r="E946" i="3"/>
  <c r="E1074" i="3"/>
  <c r="E1202" i="3"/>
  <c r="E1330" i="3"/>
  <c r="E1458" i="3"/>
  <c r="E747" i="3"/>
  <c r="E867" i="3"/>
  <c r="E971" i="3"/>
  <c r="E1067" i="3"/>
  <c r="E1171" i="3"/>
  <c r="E1275" i="3"/>
  <c r="E756" i="3"/>
  <c r="E860" i="3"/>
  <c r="E956" i="3"/>
  <c r="E1060" i="3"/>
  <c r="E822" i="3"/>
  <c r="E910" i="3"/>
  <c r="E990" i="3"/>
  <c r="E1078" i="3"/>
  <c r="E1166" i="3"/>
  <c r="E1246" i="3"/>
  <c r="E1334" i="3"/>
  <c r="E1422" i="3"/>
  <c r="E775" i="3"/>
  <c r="E863" i="3"/>
  <c r="E951" i="3"/>
  <c r="E737" i="3"/>
  <c r="E1069" i="3"/>
  <c r="E1249" i="3"/>
  <c r="E869" i="3"/>
  <c r="E1157" i="3"/>
  <c r="E1303" i="3"/>
  <c r="E1431" i="3"/>
  <c r="E1368" i="3"/>
  <c r="E969" i="3"/>
  <c r="E1201" i="3"/>
  <c r="E781" i="3"/>
  <c r="E1097" i="3"/>
  <c r="E1255" i="3"/>
  <c r="E1396" i="3"/>
  <c r="E853" i="3"/>
  <c r="E1257" i="3"/>
  <c r="E1401" i="3"/>
  <c r="E913" i="3"/>
  <c r="E1164" i="3"/>
  <c r="E1308" i="3"/>
  <c r="E949" i="3"/>
  <c r="E1428" i="3"/>
  <c r="E953" i="3"/>
  <c r="E1183" i="3"/>
  <c r="E1324" i="3"/>
  <c r="E1464" i="3"/>
  <c r="E1045" i="3"/>
  <c r="E1236" i="3"/>
  <c r="E1455" i="3"/>
  <c r="E880" i="3"/>
  <c r="E1136" i="3"/>
  <c r="E826" i="3"/>
  <c r="E954" i="3"/>
  <c r="E1082" i="3"/>
  <c r="E1210" i="3"/>
  <c r="E1096" i="3"/>
  <c r="E1170" i="3"/>
  <c r="E755" i="3"/>
  <c r="E1035" i="3"/>
  <c r="E1235" i="3"/>
  <c r="E820" i="3"/>
  <c r="E1020" i="3"/>
  <c r="E790" i="3"/>
  <c r="E958" i="3"/>
  <c r="E1134" i="3"/>
  <c r="E1302" i="3"/>
  <c r="E743" i="3"/>
  <c r="E919" i="3"/>
  <c r="E961" i="3"/>
  <c r="E741" i="3"/>
  <c r="E1252" i="3"/>
  <c r="E1279" i="3"/>
  <c r="E1117" i="3"/>
  <c r="E1005" i="3"/>
  <c r="E1344" i="3"/>
  <c r="E1125" i="3"/>
  <c r="E785" i="3"/>
  <c r="E1256" i="3"/>
  <c r="E1193" i="3"/>
  <c r="E825" i="3"/>
  <c r="E1272" i="3"/>
  <c r="E925" i="3"/>
  <c r="E1415" i="3"/>
  <c r="E1160" i="3"/>
  <c r="E1234" i="3"/>
  <c r="E779" i="3"/>
  <c r="E1043" i="3"/>
  <c r="E1259" i="3"/>
  <c r="E828" i="3"/>
  <c r="E1028" i="3"/>
  <c r="E798" i="3"/>
  <c r="E974" i="3"/>
  <c r="E1142" i="3"/>
  <c r="E1310" i="3"/>
  <c r="E759" i="3"/>
  <c r="E927" i="3"/>
  <c r="E993" i="3"/>
  <c r="E805" i="3"/>
  <c r="E1264" i="3"/>
  <c r="E1304" i="3"/>
  <c r="E1176" i="3"/>
  <c r="E1033" i="3"/>
  <c r="E1357" i="3"/>
  <c r="E1207" i="3"/>
  <c r="E817" i="3"/>
  <c r="E1269" i="3"/>
  <c r="E1245" i="3"/>
  <c r="E857" i="3"/>
  <c r="E1285" i="3"/>
  <c r="E989" i="3"/>
  <c r="E1288" i="3"/>
  <c r="E786" i="3"/>
  <c r="E1298" i="3"/>
  <c r="E843" i="3"/>
  <c r="E1075" i="3"/>
  <c r="E1323" i="3"/>
  <c r="E868" i="3"/>
  <c r="E1076" i="3"/>
  <c r="E830" i="3"/>
  <c r="E1006" i="3"/>
  <c r="E1174" i="3"/>
  <c r="E1342" i="3"/>
  <c r="E791" i="3"/>
  <c r="E959" i="3"/>
  <c r="E1089" i="3"/>
  <c r="E933" i="3"/>
  <c r="E1316" i="3"/>
  <c r="E1393" i="3"/>
  <c r="E1253" i="3"/>
  <c r="E1119" i="3"/>
  <c r="E1408" i="3"/>
  <c r="E1321" i="3"/>
  <c r="E945" i="3"/>
  <c r="E1320" i="3"/>
  <c r="E1335" i="3"/>
  <c r="E985" i="3"/>
  <c r="E1336" i="3"/>
  <c r="E1087" i="3"/>
  <c r="E850" i="3"/>
  <c r="E1362" i="3"/>
  <c r="E875" i="3"/>
  <c r="E1099" i="3"/>
  <c r="E1339" i="3"/>
  <c r="E884" i="3"/>
  <c r="E1084" i="3"/>
  <c r="E846" i="3"/>
  <c r="E1014" i="3"/>
  <c r="E1182" i="3"/>
  <c r="E1358" i="3"/>
  <c r="E799" i="3"/>
  <c r="E967" i="3"/>
  <c r="E1133" i="3"/>
  <c r="E965" i="3"/>
  <c r="E1328" i="3"/>
  <c r="E1445" i="3"/>
  <c r="E1292" i="3"/>
  <c r="E1141" i="3"/>
  <c r="E1433" i="3"/>
  <c r="E1348" i="3"/>
  <c r="E977" i="3"/>
  <c r="E914" i="3"/>
  <c r="E1426" i="3"/>
  <c r="E883" i="3"/>
  <c r="E1131" i="3"/>
  <c r="E1403" i="3"/>
  <c r="E924" i="3"/>
  <c r="E1124" i="3"/>
  <c r="E878" i="3"/>
  <c r="E1046" i="3"/>
  <c r="E1214" i="3"/>
  <c r="E1390" i="3"/>
  <c r="E831" i="3"/>
  <c r="E999" i="3"/>
  <c r="E1199" i="3"/>
  <c r="E1071" i="3"/>
  <c r="E1380" i="3"/>
  <c r="E841" i="3"/>
  <c r="E1407" i="3"/>
  <c r="E1204" i="3"/>
  <c r="E1423" i="3"/>
  <c r="E1449" i="3"/>
  <c r="E1079" i="3"/>
  <c r="E1409" i="3"/>
  <c r="E1463" i="3"/>
  <c r="E1105" i="3"/>
  <c r="E1413" i="3"/>
  <c r="E1184" i="3"/>
  <c r="E904" i="3"/>
  <c r="E978" i="3"/>
  <c r="E1251" i="3"/>
  <c r="E939" i="3"/>
  <c r="E1139" i="3"/>
  <c r="E1459" i="3"/>
  <c r="E932" i="3"/>
  <c r="E1140" i="3"/>
  <c r="E886" i="3"/>
  <c r="E1054" i="3"/>
  <c r="E1230" i="3"/>
  <c r="E1398" i="3"/>
  <c r="E839" i="3"/>
  <c r="E1015" i="3"/>
  <c r="E1212" i="3"/>
  <c r="E1093" i="3"/>
  <c r="E1405" i="3"/>
  <c r="E873" i="3"/>
  <c r="E1432" i="3"/>
  <c r="E1229" i="3"/>
  <c r="E1448" i="3"/>
  <c r="E1273" i="3"/>
  <c r="E1121" i="3"/>
  <c r="E1436" i="3"/>
  <c r="E1287" i="3"/>
  <c r="E1149" i="3"/>
  <c r="E1425" i="3"/>
  <c r="E1197" i="3"/>
  <c r="E968" i="3"/>
  <c r="E1042" i="3"/>
  <c r="E1315" i="3"/>
  <c r="E979" i="3"/>
  <c r="E1187" i="3"/>
  <c r="E764" i="3"/>
  <c r="E964" i="3"/>
  <c r="E750" i="3"/>
  <c r="E918" i="3"/>
  <c r="E1086" i="3"/>
  <c r="E1262" i="3"/>
  <c r="E1430" i="3"/>
  <c r="E871" i="3"/>
  <c r="E801" i="3"/>
  <c r="E1263" i="3"/>
  <c r="E1175" i="3"/>
  <c r="E1456" i="3"/>
  <c r="E1001" i="3"/>
  <c r="E813" i="3"/>
  <c r="E1280" i="3"/>
  <c r="E885" i="3"/>
  <c r="E1440" i="3"/>
  <c r="E1192" i="3"/>
  <c r="E1013" i="3"/>
  <c r="E1453" i="3"/>
  <c r="E1208" i="3"/>
  <c r="E765" i="3"/>
  <c r="E1248" i="3"/>
  <c r="E1032" i="3"/>
  <c r="E1106" i="3"/>
  <c r="E1435" i="3"/>
  <c r="E995" i="3"/>
  <c r="E1195" i="3"/>
  <c r="E772" i="3"/>
  <c r="E988" i="3"/>
  <c r="E758" i="3"/>
  <c r="E926" i="3"/>
  <c r="E1102" i="3"/>
  <c r="E1270" i="3"/>
  <c r="E1438" i="3"/>
  <c r="E887" i="3"/>
  <c r="E833" i="3"/>
  <c r="E1276" i="3"/>
  <c r="E1200" i="3"/>
  <c r="E1159" i="3"/>
  <c r="E1031" i="3"/>
  <c r="E877" i="3"/>
  <c r="E1293" i="3"/>
  <c r="E917" i="3"/>
  <c r="E1352" i="3"/>
  <c r="E1205" i="3"/>
  <c r="E1061" i="3"/>
  <c r="E1377" i="3"/>
  <c r="E1221" i="3"/>
  <c r="E797" i="3"/>
  <c r="E1300" i="3"/>
  <c r="E1345" i="3"/>
  <c r="E1360" i="3"/>
  <c r="E1017" i="3"/>
  <c r="E1361" i="3"/>
  <c r="E1109" i="3"/>
  <c r="U703" i="19" l="1"/>
  <c r="U704" i="19" s="1"/>
  <c r="U705" i="19" s="1"/>
  <c r="U706" i="19" s="1"/>
  <c r="U707" i="19" s="1"/>
  <c r="U708" i="19" s="1"/>
  <c r="U709" i="19" s="1"/>
  <c r="U710" i="19" s="1"/>
  <c r="U711" i="19" s="1"/>
  <c r="U712" i="19" s="1"/>
  <c r="U713" i="19" s="1"/>
  <c r="U714" i="19" s="1"/>
  <c r="U715" i="19" s="1"/>
  <c r="U716" i="19" s="1"/>
  <c r="U717" i="19" s="1"/>
  <c r="U718" i="19" s="1"/>
  <c r="U719" i="19" s="1"/>
  <c r="U720" i="19" s="1"/>
  <c r="U721" i="19" s="1"/>
  <c r="U722" i="19" s="1"/>
  <c r="U723" i="19" s="1"/>
  <c r="U724" i="19" s="1"/>
  <c r="U725" i="19" s="1"/>
  <c r="U726" i="19" s="1"/>
  <c r="U727" i="19" s="1"/>
  <c r="U728" i="19" s="1"/>
  <c r="U729" i="19" s="1"/>
  <c r="U730" i="19" s="1"/>
  <c r="U731" i="19" s="1"/>
  <c r="U732" i="19" s="1"/>
  <c r="H128" i="19"/>
  <c r="H129" i="19" s="1"/>
  <c r="H130" i="19" s="1"/>
  <c r="H131" i="19" s="1"/>
  <c r="H132" i="19" s="1"/>
  <c r="H133" i="19" s="1"/>
  <c r="H134" i="19" s="1"/>
  <c r="H135" i="19" s="1"/>
  <c r="H136" i="19" l="1"/>
  <c r="H137" i="19" s="1"/>
  <c r="H138" i="19" s="1"/>
  <c r="H139" i="19" s="1"/>
  <c r="H140" i="19" s="1"/>
  <c r="H141" i="19" s="1"/>
  <c r="H142" i="19" s="1"/>
  <c r="H143" i="19" s="1"/>
  <c r="H144" i="19" s="1"/>
  <c r="H145" i="19" s="1"/>
  <c r="H146" i="19" s="1"/>
  <c r="H147" i="19" s="1"/>
  <c r="H148" i="19" s="1"/>
  <c r="H149" i="19" s="1"/>
  <c r="H150" i="19" s="1"/>
  <c r="H151" i="19" s="1"/>
  <c r="H152" i="19" s="1"/>
  <c r="H153" i="19" s="1"/>
  <c r="H154" i="19" s="1"/>
  <c r="H155" i="19" s="1"/>
  <c r="H156" i="19" s="1"/>
  <c r="H157" i="19" s="1"/>
  <c r="H158" i="19" s="1"/>
  <c r="H159" i="19" s="1"/>
  <c r="H160" i="19" s="1"/>
  <c r="H161" i="19" s="1"/>
  <c r="H162" i="19" s="1"/>
  <c r="H163" i="19" s="1"/>
  <c r="H164" i="19" s="1"/>
  <c r="H165" i="19" s="1"/>
  <c r="H166" i="19" s="1"/>
  <c r="H167" i="19" s="1"/>
  <c r="H168" i="19" s="1"/>
  <c r="H169" i="19" s="1"/>
  <c r="H170" i="19" s="1"/>
  <c r="H171" i="19" s="1"/>
  <c r="H172" i="19" s="1"/>
  <c r="H173" i="19" s="1"/>
  <c r="H174" i="19" s="1"/>
  <c r="H175" i="19" s="1"/>
  <c r="H176" i="19" s="1"/>
  <c r="H177" i="19" s="1"/>
  <c r="H178" i="19" s="1"/>
  <c r="H179" i="19" s="1"/>
  <c r="H180" i="19" s="1"/>
  <c r="H181" i="19" s="1"/>
  <c r="H182" i="19" s="1"/>
  <c r="H183" i="19" s="1"/>
  <c r="H184" i="19" s="1"/>
  <c r="H185" i="19" s="1"/>
  <c r="H186" i="19" s="1"/>
  <c r="H187" i="19" s="1"/>
  <c r="H188" i="19" s="1"/>
  <c r="H189" i="19" s="1"/>
  <c r="H190" i="19" s="1"/>
  <c r="H191" i="19" s="1"/>
  <c r="H192" i="19" s="1"/>
  <c r="B5" i="12"/>
  <c r="H193" i="19" l="1"/>
  <c r="H194" i="19" s="1"/>
  <c r="H195" i="19" s="1"/>
  <c r="H196" i="19" s="1"/>
  <c r="H197" i="19" s="1"/>
  <c r="H198" i="19" s="1"/>
  <c r="H199" i="19" s="1"/>
  <c r="H200" i="19" l="1"/>
  <c r="H201" i="19" s="1"/>
  <c r="H202" i="19" s="1"/>
  <c r="H203" i="19" s="1"/>
  <c r="H204" i="19" s="1"/>
  <c r="H205" i="19" s="1"/>
  <c r="H206" i="19" s="1"/>
  <c r="H207" i="19" s="1"/>
  <c r="H208" i="19" s="1"/>
  <c r="H209" i="19" s="1"/>
  <c r="H210" i="19" s="1"/>
  <c r="H211" i="19" s="1"/>
  <c r="H212" i="19" s="1"/>
  <c r="H213" i="19" s="1"/>
  <c r="H214" i="19" s="1"/>
  <c r="H215" i="19" s="1"/>
  <c r="H216" i="19" s="1"/>
  <c r="H217" i="19" l="1"/>
  <c r="H218" i="19" s="1"/>
  <c r="H219" i="19" s="1"/>
  <c r="H220" i="19" s="1"/>
  <c r="H221" i="19" s="1"/>
  <c r="H222" i="19" s="1"/>
  <c r="H223" i="19" s="1"/>
  <c r="H224" i="19" s="1"/>
  <c r="H225" i="19" l="1"/>
  <c r="H226" i="19" s="1"/>
  <c r="H227" i="19" s="1"/>
  <c r="H228" i="19" s="1"/>
  <c r="H229" i="19" s="1"/>
  <c r="H230" i="19" s="1"/>
  <c r="H231" i="19" s="1"/>
  <c r="H232" i="19" s="1"/>
  <c r="H233" i="19" l="1"/>
  <c r="H234" i="19" s="1"/>
  <c r="H235" i="19" s="1"/>
  <c r="H236" i="19" s="1"/>
  <c r="H237" i="19" s="1"/>
  <c r="H238" i="19" s="1"/>
  <c r="H239" i="19" s="1"/>
  <c r="H240" i="19" l="1"/>
  <c r="H241" i="19" s="1"/>
  <c r="H242" i="19" s="1"/>
  <c r="H243" i="19" s="1"/>
  <c r="H244" i="19" s="1"/>
  <c r="H245" i="19" s="1"/>
  <c r="H246" i="19" s="1"/>
  <c r="H247" i="19" s="1"/>
  <c r="H248" i="19" l="1"/>
  <c r="H249" i="19" s="1"/>
  <c r="H250" i="19" s="1"/>
  <c r="H251" i="19" s="1"/>
  <c r="H252" i="19" s="1"/>
  <c r="H253" i="19" s="1"/>
  <c r="H254" i="19" s="1"/>
  <c r="H255" i="19" s="1"/>
  <c r="H256" i="19" l="1"/>
  <c r="H257" i="19" s="1"/>
  <c r="H258" i="19" s="1"/>
  <c r="H259" i="19" s="1"/>
  <c r="H260" i="19" s="1"/>
  <c r="H261" i="19" s="1"/>
  <c r="H262" i="19" s="1"/>
  <c r="H263" i="19" s="1"/>
  <c r="H264" i="19" l="1"/>
  <c r="H265" i="19" s="1"/>
  <c r="H266" i="19" s="1"/>
  <c r="H267" i="19" s="1"/>
  <c r="H268" i="19" s="1"/>
  <c r="H269" i="19" s="1"/>
  <c r="H270" i="19" s="1"/>
  <c r="H271" i="19" s="1"/>
  <c r="H272" i="19" s="1"/>
  <c r="H273" i="19" s="1"/>
  <c r="H274" i="19" s="1"/>
  <c r="H275" i="19" s="1"/>
  <c r="H276" i="19" s="1"/>
  <c r="H277" i="19" s="1"/>
  <c r="H278" i="19" s="1"/>
  <c r="H279" i="19" s="1"/>
  <c r="H280" i="19" s="1"/>
  <c r="H281" i="19" s="1"/>
  <c r="H282" i="19" s="1"/>
  <c r="H283" i="19" s="1"/>
  <c r="H284" i="19" s="1"/>
  <c r="H285" i="19" s="1"/>
  <c r="H286" i="19" s="1"/>
  <c r="H287" i="19" s="1"/>
  <c r="H288" i="19" s="1"/>
  <c r="H289" i="19" s="1"/>
  <c r="H290" i="19" s="1"/>
  <c r="H291" i="19" s="1"/>
  <c r="H292" i="19" s="1"/>
  <c r="H293" i="19" s="1"/>
  <c r="H294" i="19" s="1"/>
  <c r="H295" i="19" s="1"/>
  <c r="H296" i="19" l="1"/>
  <c r="H297" i="19" s="1"/>
  <c r="H298" i="19" s="1"/>
  <c r="H299" i="19" s="1"/>
  <c r="H300" i="19" s="1"/>
  <c r="H301" i="19" s="1"/>
  <c r="H302" i="19" s="1"/>
  <c r="H303" i="19" s="1"/>
  <c r="H304" i="19" s="1"/>
  <c r="H305" i="19" s="1"/>
  <c r="H306" i="19" s="1"/>
  <c r="H307" i="19" s="1"/>
  <c r="H308" i="19" s="1"/>
  <c r="H309" i="19" s="1"/>
  <c r="H310" i="19" s="1"/>
  <c r="H311" i="19" s="1"/>
  <c r="H312" i="19" l="1"/>
  <c r="H313" i="19" s="1"/>
  <c r="H314" i="19" s="1"/>
  <c r="H315" i="19" s="1"/>
  <c r="H316" i="19" s="1"/>
  <c r="H317" i="19" s="1"/>
  <c r="H318" i="19" s="1"/>
  <c r="H319" i="19" s="1"/>
  <c r="H320" i="19" l="1"/>
  <c r="H321" i="19" s="1"/>
  <c r="H322" i="19" s="1"/>
  <c r="H323" i="19" s="1"/>
  <c r="H324" i="19" s="1"/>
  <c r="H325" i="19" s="1"/>
  <c r="H326" i="19" s="1"/>
  <c r="H327" i="19" s="1"/>
  <c r="H328" i="19" l="1"/>
  <c r="H329" i="19" s="1"/>
  <c r="H330" i="19" s="1"/>
  <c r="H331" i="19" s="1"/>
  <c r="H332" i="19" s="1"/>
  <c r="H333" i="19" s="1"/>
  <c r="H334" i="19" s="1"/>
  <c r="H335" i="19" s="1"/>
  <c r="H336" i="19" l="1"/>
  <c r="H337" i="19" s="1"/>
  <c r="H338" i="19" s="1"/>
  <c r="H339" i="19" s="1"/>
  <c r="H340" i="19" s="1"/>
  <c r="H341" i="19" s="1"/>
  <c r="H342" i="19" s="1"/>
  <c r="H343" i="19" s="1"/>
  <c r="H344" i="19" l="1"/>
  <c r="H345" i="19" s="1"/>
  <c r="H346" i="19" s="1"/>
  <c r="H347" i="19" s="1"/>
  <c r="H348" i="19" s="1"/>
  <c r="H349" i="19" s="1"/>
  <c r="H350" i="19" s="1"/>
  <c r="H351" i="19" s="1"/>
  <c r="H352" i="19" l="1"/>
  <c r="H353" i="19" s="1"/>
  <c r="H354" i="19" s="1"/>
  <c r="H355" i="19" s="1"/>
  <c r="H356" i="19" s="1"/>
  <c r="H357" i="19" s="1"/>
  <c r="H358" i="19" s="1"/>
  <c r="H359" i="19" s="1"/>
  <c r="H360" i="19" l="1"/>
  <c r="H361" i="19" s="1"/>
  <c r="H362" i="19" s="1"/>
  <c r="H363" i="19" s="1"/>
  <c r="H364" i="19" s="1"/>
  <c r="H365" i="19" s="1"/>
  <c r="H366" i="19" s="1"/>
  <c r="H367" i="19" s="1"/>
  <c r="H368" i="19" s="1"/>
  <c r="H369" i="19" s="1"/>
  <c r="H370" i="19" s="1"/>
  <c r="H371" i="19" s="1"/>
  <c r="H372" i="19" s="1"/>
  <c r="H373" i="19" s="1"/>
  <c r="H374" i="19" s="1"/>
  <c r="H375" i="19" s="1"/>
  <c r="H376" i="19" s="1"/>
  <c r="H377" i="19" s="1"/>
  <c r="H378" i="19" s="1"/>
  <c r="H379" i="19" s="1"/>
  <c r="H380" i="19" s="1"/>
  <c r="H381" i="19" s="1"/>
  <c r="H382" i="19" s="1"/>
  <c r="H383" i="19" s="1"/>
  <c r="H384" i="19" s="1"/>
  <c r="H385" i="19" s="1"/>
  <c r="H386" i="19" s="1"/>
  <c r="H387" i="19" s="1"/>
  <c r="H388" i="19" s="1"/>
  <c r="H389" i="19" s="1"/>
  <c r="H390" i="19" s="1"/>
  <c r="H391" i="19" s="1"/>
  <c r="H392" i="19" s="1"/>
  <c r="H393" i="19" s="1"/>
  <c r="H394" i="19" s="1"/>
  <c r="H395" i="19" s="1"/>
  <c r="H396" i="19" s="1"/>
  <c r="H397" i="19" s="1"/>
  <c r="H398" i="19" s="1"/>
  <c r="H399" i="19" s="1"/>
  <c r="H400" i="19" s="1"/>
  <c r="H401" i="19" s="1"/>
  <c r="H402" i="19" s="1"/>
  <c r="H403" i="19" s="1"/>
  <c r="H404" i="19" s="1"/>
  <c r="H405" i="19" s="1"/>
  <c r="H406" i="19" s="1"/>
  <c r="H407" i="19" s="1"/>
  <c r="H408" i="19" s="1"/>
  <c r="H409" i="19" s="1"/>
  <c r="H410" i="19" s="1"/>
  <c r="H411" i="19" s="1"/>
  <c r="H412" i="19" s="1"/>
  <c r="H413" i="19" s="1"/>
  <c r="H414" i="19" s="1"/>
  <c r="H415" i="19" s="1"/>
  <c r="H416" i="19" s="1"/>
  <c r="H417" i="19" s="1"/>
  <c r="H418" i="19" s="1"/>
  <c r="H419" i="19" s="1"/>
  <c r="H420" i="19" s="1"/>
  <c r="H421" i="19" s="1"/>
  <c r="H422" i="19" s="1"/>
  <c r="H423" i="19" s="1"/>
  <c r="H424" i="19" s="1"/>
  <c r="H425" i="19" s="1"/>
  <c r="H426" i="19" s="1"/>
  <c r="H427" i="19" s="1"/>
  <c r="H428" i="19" s="1"/>
  <c r="H429" i="19" s="1"/>
  <c r="H430" i="19" s="1"/>
  <c r="H431" i="19" s="1"/>
  <c r="H432" i="19" s="1"/>
  <c r="H433" i="19" s="1"/>
  <c r="H434" i="19" s="1"/>
  <c r="H435" i="19" s="1"/>
  <c r="H436" i="19" s="1"/>
  <c r="H437" i="19" s="1"/>
  <c r="H438" i="19" s="1"/>
  <c r="H439" i="19" s="1"/>
  <c r="H440" i="19" s="1"/>
  <c r="H441" i="19" s="1"/>
  <c r="H442" i="19" s="1"/>
  <c r="H443" i="19" s="1"/>
  <c r="H444" i="19" s="1"/>
  <c r="H445" i="19" s="1"/>
  <c r="H446" i="19" s="1"/>
  <c r="H447" i="19" s="1"/>
  <c r="H448" i="19" s="1"/>
  <c r="H449" i="19" s="1"/>
  <c r="H450" i="19" s="1"/>
  <c r="H451" i="19" s="1"/>
  <c r="H452" i="19" s="1"/>
  <c r="H453" i="19" s="1"/>
  <c r="H454" i="19" s="1"/>
  <c r="H455" i="19" s="1"/>
  <c r="H456" i="19" s="1"/>
  <c r="H457" i="19" s="1"/>
  <c r="H458" i="19" s="1"/>
  <c r="H459" i="19" s="1"/>
  <c r="H460" i="19" s="1"/>
  <c r="H461" i="19" s="1"/>
  <c r="H462" i="19" s="1"/>
  <c r="H463" i="19" s="1"/>
  <c r="H464" i="19" s="1"/>
  <c r="H465" i="19" s="1"/>
  <c r="H466" i="19" s="1"/>
  <c r="H467" i="19" s="1"/>
  <c r="H468" i="19" s="1"/>
  <c r="H469" i="19" s="1"/>
  <c r="H470" i="19" s="1"/>
  <c r="H471" i="19" s="1"/>
  <c r="H472" i="19" s="1"/>
  <c r="H473" i="19" s="1"/>
  <c r="H474" i="19" s="1"/>
  <c r="H475" i="19" s="1"/>
  <c r="H476" i="19" s="1"/>
  <c r="H477" i="19" s="1"/>
  <c r="H478" i="19" s="1"/>
  <c r="H479" i="19" s="1"/>
  <c r="H480" i="19" s="1"/>
  <c r="H481" i="19" s="1"/>
  <c r="H482" i="19" s="1"/>
  <c r="H483" i="19" s="1"/>
  <c r="H484" i="19" s="1"/>
  <c r="H485" i="19" s="1"/>
  <c r="H486" i="19" s="1"/>
  <c r="H487" i="19" s="1"/>
  <c r="H488" i="19" s="1"/>
  <c r="H489" i="19" s="1"/>
  <c r="H490" i="19" s="1"/>
  <c r="H491" i="19" s="1"/>
  <c r="H492" i="19" s="1"/>
  <c r="H493" i="19" s="1"/>
  <c r="H494" i="19" s="1"/>
  <c r="H495" i="19" s="1"/>
  <c r="H496" i="19" s="1"/>
  <c r="H497" i="19" s="1"/>
  <c r="H498" i="19" s="1"/>
  <c r="H499" i="19" s="1"/>
  <c r="H500" i="19" s="1"/>
  <c r="H501" i="19" s="1"/>
  <c r="H502" i="19" s="1"/>
  <c r="H503" i="19" s="1"/>
  <c r="H504" i="19" s="1"/>
  <c r="H505" i="19" s="1"/>
  <c r="H506" i="19" s="1"/>
  <c r="H507" i="19" s="1"/>
  <c r="H508" i="19" s="1"/>
  <c r="H509" i="19" s="1"/>
  <c r="H510" i="19" s="1"/>
  <c r="H511" i="19" s="1"/>
  <c r="H512" i="19" s="1"/>
  <c r="H513" i="19" s="1"/>
  <c r="H514" i="19" s="1"/>
  <c r="H515" i="19" s="1"/>
  <c r="H516" i="19" s="1"/>
  <c r="H517" i="19" s="1"/>
  <c r="H518" i="19" s="1"/>
  <c r="H519" i="19" s="1"/>
  <c r="H520" i="19" s="1"/>
  <c r="H521" i="19" s="1"/>
  <c r="H522" i="19" s="1"/>
  <c r="H523" i="19" s="1"/>
  <c r="H524" i="19" s="1"/>
  <c r="H525" i="19" s="1"/>
  <c r="H526" i="19" s="1"/>
  <c r="H527" i="19" s="1"/>
  <c r="H528" i="19" s="1"/>
  <c r="H529" i="19" s="1"/>
  <c r="H530" i="19" s="1"/>
  <c r="H531" i="19" s="1"/>
  <c r="H532" i="19" s="1"/>
  <c r="H533" i="19" s="1"/>
  <c r="H534" i="19" s="1"/>
  <c r="H535" i="19" s="1"/>
  <c r="H536" i="19" s="1"/>
  <c r="H537" i="19" s="1"/>
  <c r="H538" i="19" s="1"/>
  <c r="H539" i="19" s="1"/>
  <c r="H540" i="19" s="1"/>
  <c r="H541" i="19" s="1"/>
  <c r="H542" i="19" s="1"/>
  <c r="H543" i="19" s="1"/>
  <c r="H544" i="19" s="1"/>
  <c r="H545" i="19" s="1"/>
  <c r="H546" i="19" s="1"/>
  <c r="H547" i="19" s="1"/>
  <c r="H548" i="19" s="1"/>
  <c r="H549" i="19" s="1"/>
  <c r="H550" i="19" s="1"/>
  <c r="H551" i="19" s="1"/>
  <c r="H552" i="19" s="1"/>
  <c r="H553" i="19" s="1"/>
  <c r="H554" i="19" s="1"/>
  <c r="H555" i="19" s="1"/>
  <c r="H556" i="19" s="1"/>
  <c r="H557" i="19" s="1"/>
  <c r="H558" i="19" s="1"/>
  <c r="H559" i="19" s="1"/>
  <c r="H560" i="19" s="1"/>
  <c r="H561" i="19" s="1"/>
  <c r="H562" i="19" s="1"/>
  <c r="H563" i="19" s="1"/>
  <c r="H564" i="19" s="1"/>
  <c r="H565" i="19" s="1"/>
  <c r="H566" i="19" s="1"/>
  <c r="H567" i="19" s="1"/>
  <c r="H568" i="19" s="1"/>
  <c r="H569" i="19" s="1"/>
  <c r="H570" i="19" s="1"/>
  <c r="H571" i="19" s="1"/>
  <c r="H572" i="19" s="1"/>
  <c r="H573" i="19" s="1"/>
  <c r="H574" i="19" s="1"/>
  <c r="H575" i="19" s="1"/>
  <c r="H576" i="19" s="1"/>
  <c r="H577" i="19" s="1"/>
  <c r="H578" i="19" s="1"/>
  <c r="H579" i="19" s="1"/>
  <c r="H580" i="19" s="1"/>
  <c r="H581" i="19" s="1"/>
  <c r="H582" i="19" s="1"/>
  <c r="H583" i="19" s="1"/>
  <c r="H584" i="19" s="1"/>
  <c r="H585" i="19" s="1"/>
  <c r="H586" i="19" s="1"/>
  <c r="H587" i="19" s="1"/>
  <c r="H588" i="19" s="1"/>
  <c r="H589" i="19" s="1"/>
  <c r="H590" i="19" s="1"/>
  <c r="H591" i="19" s="1"/>
  <c r="H592" i="19" s="1"/>
  <c r="H593" i="19" s="1"/>
  <c r="H594" i="19" s="1"/>
  <c r="H595" i="19" s="1"/>
  <c r="H596" i="19" s="1"/>
  <c r="H597" i="19" s="1"/>
  <c r="H598" i="19" s="1"/>
  <c r="H599" i="19" s="1"/>
  <c r="H600" i="19" s="1"/>
  <c r="H601" i="19" s="1"/>
  <c r="H602" i="19" s="1"/>
  <c r="H603" i="19" s="1"/>
  <c r="H604" i="19" s="1"/>
  <c r="H605" i="19" s="1"/>
  <c r="H606" i="19" s="1"/>
  <c r="H607" i="19" s="1"/>
  <c r="H608" i="19" s="1"/>
  <c r="H609" i="19" s="1"/>
  <c r="H610" i="19" s="1"/>
  <c r="H611" i="19" s="1"/>
  <c r="H612" i="19" s="1"/>
  <c r="H613" i="19" s="1"/>
  <c r="H614" i="19" s="1"/>
  <c r="H615" i="19" s="1"/>
  <c r="H616" i="19" s="1"/>
  <c r="H617" i="19" s="1"/>
  <c r="H618" i="19" s="1"/>
  <c r="H619" i="19" s="1"/>
  <c r="H620" i="19" s="1"/>
  <c r="H621" i="19" s="1"/>
  <c r="H622" i="19" s="1"/>
  <c r="H623" i="19" s="1"/>
  <c r="H624" i="19" s="1"/>
  <c r="H625" i="19" s="1"/>
  <c r="H626" i="19" s="1"/>
  <c r="H627" i="19" s="1"/>
  <c r="H628" i="19" s="1"/>
  <c r="H629" i="19" s="1"/>
  <c r="H630" i="19" s="1"/>
  <c r="H631" i="19" s="1"/>
  <c r="H632" i="19" s="1"/>
  <c r="H633" i="19" s="1"/>
  <c r="H634" i="19" s="1"/>
  <c r="H635" i="19" s="1"/>
  <c r="H636" i="19" s="1"/>
  <c r="H637" i="19" s="1"/>
  <c r="H638" i="19" s="1"/>
  <c r="H639" i="19" s="1"/>
  <c r="H640" i="19" s="1"/>
  <c r="H641" i="19" s="1"/>
  <c r="H642" i="19" s="1"/>
  <c r="H643" i="19" s="1"/>
  <c r="H644" i="19" s="1"/>
  <c r="H645" i="19" s="1"/>
  <c r="H646" i="19" s="1"/>
  <c r="H647" i="19" s="1"/>
  <c r="H648" i="19" s="1"/>
  <c r="H649" i="19" s="1"/>
  <c r="H650" i="19" s="1"/>
  <c r="H651" i="19" s="1"/>
  <c r="H652" i="19" s="1"/>
  <c r="H653" i="19" s="1"/>
  <c r="H654" i="19" s="1"/>
  <c r="H655" i="19" s="1"/>
  <c r="H656" i="19" s="1"/>
  <c r="H657" i="19" s="1"/>
  <c r="H658" i="19" s="1"/>
  <c r="H659" i="19" s="1"/>
  <c r="H660" i="19" s="1"/>
  <c r="H661" i="19" s="1"/>
  <c r="H662" i="19" s="1"/>
  <c r="H663" i="19" s="1"/>
  <c r="H664" i="19" s="1"/>
  <c r="H665" i="19" s="1"/>
  <c r="H666" i="19" s="1"/>
  <c r="H667" i="19" s="1"/>
  <c r="H668" i="19" s="1"/>
  <c r="H669" i="19" s="1"/>
  <c r="H670" i="19" s="1"/>
  <c r="H671" i="19" s="1"/>
  <c r="H672" i="19" s="1"/>
  <c r="H673" i="19" s="1"/>
  <c r="H674" i="19" s="1"/>
  <c r="H675" i="19" s="1"/>
  <c r="H676" i="19" s="1"/>
  <c r="H677" i="19" s="1"/>
  <c r="H678" i="19" s="1"/>
  <c r="H679" i="19" s="1"/>
  <c r="H680" i="19" s="1"/>
  <c r="H681" i="19" s="1"/>
  <c r="H682" i="19" s="1"/>
  <c r="H683" i="19" s="1"/>
  <c r="H684" i="19" s="1"/>
  <c r="H685" i="19" s="1"/>
  <c r="H686" i="19" s="1"/>
  <c r="H687" i="19" s="1"/>
  <c r="H688" i="19" s="1"/>
  <c r="H689" i="19" s="1"/>
  <c r="H690" i="19" s="1"/>
  <c r="H691" i="19" s="1"/>
  <c r="H692" i="19" s="1"/>
  <c r="H693" i="19" s="1"/>
  <c r="H694" i="19" s="1"/>
  <c r="H695" i="19" s="1"/>
  <c r="H696" i="19" s="1"/>
  <c r="H697" i="19" s="1"/>
  <c r="H698" i="19" s="1"/>
  <c r="H699" i="19" s="1"/>
  <c r="H700" i="19" s="1"/>
  <c r="H701" i="19" s="1"/>
  <c r="H702" i="19" s="1"/>
  <c r="H703" i="19" s="1"/>
  <c r="H704" i="19" s="1"/>
  <c r="H705" i="19" s="1"/>
  <c r="H706" i="19" s="1"/>
  <c r="H707" i="19" s="1"/>
  <c r="H708" i="19" s="1"/>
  <c r="H709" i="19" s="1"/>
  <c r="H710" i="19" s="1"/>
  <c r="H711" i="19" s="1"/>
  <c r="H712" i="19" s="1"/>
  <c r="H713" i="19" s="1"/>
  <c r="H714" i="19" s="1"/>
  <c r="H715" i="19" s="1"/>
  <c r="H716" i="19" s="1"/>
  <c r="H717" i="19" s="1"/>
  <c r="H718" i="19" s="1"/>
  <c r="H719" i="19" s="1"/>
  <c r="H720" i="19" s="1"/>
  <c r="H721" i="19" s="1"/>
  <c r="H722" i="19" s="1"/>
  <c r="H723" i="19" s="1"/>
  <c r="H724" i="19" s="1"/>
  <c r="H725" i="19" s="1"/>
  <c r="H726" i="19" s="1"/>
  <c r="H727" i="19" s="1"/>
  <c r="H728" i="19" s="1"/>
  <c r="H729" i="19" s="1"/>
  <c r="H730" i="19" s="1"/>
  <c r="H731" i="19" s="1"/>
  <c r="H732"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Reynaldo</author>
  </authors>
  <commentList>
    <comment ref="E2" authorId="0" shapeId="0" xr:uid="{ADB88200-B150-4BA0-B542-832BC80BBE28}">
      <text>
        <r>
          <rPr>
            <b/>
            <sz val="9"/>
            <color indexed="81"/>
            <rFont val="Tahoma"/>
            <family val="2"/>
          </rPr>
          <t>Reynaldo:</t>
        </r>
        <r>
          <rPr>
            <sz val="9"/>
            <color indexed="81"/>
            <rFont val="Tahoma"/>
            <family val="2"/>
          </rPr>
          <t xml:space="preserve">
Se aumenta la capacidad a 50, si es que el dinero lo permite.</t>
        </r>
      </text>
    </comment>
    <comment ref="E92" authorId="0" shapeId="0" xr:uid="{C2C1EA80-25E6-4F45-9EDF-CC7C2522695E}">
      <text>
        <r>
          <rPr>
            <b/>
            <sz val="9"/>
            <color indexed="81"/>
            <rFont val="Tahoma"/>
            <family val="2"/>
          </rPr>
          <t xml:space="preserve">Reynaldo:
</t>
        </r>
        <r>
          <rPr>
            <sz val="9"/>
            <color indexed="81"/>
            <rFont val="Tahoma"/>
            <family val="2"/>
          </rPr>
          <t>Pasan los 90 días, se logró el aumento a 50 de capacidad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Reynaldo</author>
  </authors>
  <commentList>
    <comment ref="E5" authorId="0" shapeId="0" xr:uid="{79E07C4F-A544-43BA-BCB3-C4D688FA9D59}">
      <text>
        <r>
          <rPr>
            <b/>
            <sz val="9"/>
            <color indexed="81"/>
            <rFont val="Tahoma"/>
            <family val="2"/>
          </rPr>
          <t>Reynaldo:</t>
        </r>
        <r>
          <rPr>
            <sz val="9"/>
            <color indexed="81"/>
            <rFont val="Tahoma"/>
            <family val="2"/>
          </rPr>
          <t xml:space="preserve">
Se aumenta la capacidad a 50, si es que el dinero lo permite.</t>
        </r>
      </text>
    </comment>
    <comment ref="E95" authorId="0" shapeId="0" xr:uid="{3AFB2986-7501-44C8-BFD2-78654C3F0B90}">
      <text>
        <r>
          <rPr>
            <b/>
            <sz val="9"/>
            <color indexed="81"/>
            <rFont val="Tahoma"/>
            <family val="2"/>
          </rPr>
          <t xml:space="preserve">Reynaldo:
</t>
        </r>
        <r>
          <rPr>
            <sz val="9"/>
            <color indexed="81"/>
            <rFont val="Tahoma"/>
            <family val="2"/>
          </rPr>
          <t>Pasan los 90 días, se logró el aumento a 50 de capacidad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Reynaldo</author>
  </authors>
  <commentList>
    <comment ref="D5" authorId="0" shapeId="0" xr:uid="{A90715AC-E7A3-4591-8F44-3203CAA407A2}">
      <text>
        <r>
          <rPr>
            <b/>
            <sz val="9"/>
            <color indexed="81"/>
            <rFont val="Tahoma"/>
            <family val="2"/>
          </rPr>
          <t>Reynaldo:</t>
        </r>
        <r>
          <rPr>
            <sz val="9"/>
            <color indexed="81"/>
            <rFont val="Tahoma"/>
            <family val="2"/>
          </rPr>
          <t xml:space="preserve">
Se aumenta la capacidad a 50, si es que el dinero lo permite.</t>
        </r>
      </text>
    </comment>
    <comment ref="D95" authorId="0" shapeId="0" xr:uid="{08D11790-7F77-4C8E-A877-380B173B0B78}">
      <text>
        <r>
          <rPr>
            <b/>
            <sz val="9"/>
            <color indexed="81"/>
            <rFont val="Tahoma"/>
            <family val="2"/>
          </rPr>
          <t xml:space="preserve">Reynaldo:
</t>
        </r>
        <r>
          <rPr>
            <sz val="9"/>
            <color indexed="81"/>
            <rFont val="Tahoma"/>
            <family val="2"/>
          </rPr>
          <t>Pasan los 90 días, se logró el aumento a 50 de capacidad</t>
        </r>
      </text>
    </comment>
  </commentList>
</comments>
</file>

<file path=xl/sharedStrings.xml><?xml version="1.0" encoding="utf-8"?>
<sst xmlns="http://schemas.openxmlformats.org/spreadsheetml/2006/main" count="426" uniqueCount="172">
  <si>
    <t>AÑO</t>
  </si>
  <si>
    <t>TRIMESTRE</t>
  </si>
  <si>
    <t>MES</t>
  </si>
  <si>
    <t>DIA</t>
  </si>
  <si>
    <t>DEMANDA</t>
  </si>
  <si>
    <t>DEMANDA PERDIDA</t>
  </si>
  <si>
    <t>ALMACEN</t>
  </si>
  <si>
    <t>CAMION</t>
  </si>
  <si>
    <t>EN PROCESO</t>
  </si>
  <si>
    <t>CAPACIDAD</t>
  </si>
  <si>
    <t>ROP</t>
  </si>
  <si>
    <t>INICIO</t>
  </si>
  <si>
    <t>-</t>
  </si>
  <si>
    <t>I</t>
  </si>
  <si>
    <t>Enero</t>
  </si>
  <si>
    <t>Ingresos</t>
  </si>
  <si>
    <t>Precio por bidón</t>
  </si>
  <si>
    <t>Ingreso por unidad vendida</t>
  </si>
  <si>
    <t>Costos de Pedido</t>
  </si>
  <si>
    <t>Costo por pedido (S)</t>
  </si>
  <si>
    <t>Costo fijo por cada lote de producción activado</t>
  </si>
  <si>
    <t>Costo unitario producción</t>
  </si>
  <si>
    <t>Costo variable por cada bidón producido</t>
  </si>
  <si>
    <t>Costos de Inventario</t>
  </si>
  <si>
    <t>Costo inventario anual (H)</t>
  </si>
  <si>
    <t>Costo de mantener un bidón en almacén por un año</t>
  </si>
  <si>
    <t>Costos de Envío</t>
  </si>
  <si>
    <t>Costo envío por camión</t>
  </si>
  <si>
    <t>Costo fijo para envíos de hasta 200 bidones</t>
  </si>
  <si>
    <t>Costo envío por correo</t>
  </si>
  <si>
    <t>Costo por bidón para envíos individuales</t>
  </si>
  <si>
    <t>Tiempos de Entrega</t>
  </si>
  <si>
    <t>Lead Time camión (LTc)</t>
  </si>
  <si>
    <t>Días que tarda en llegar un pedido por camión</t>
  </si>
  <si>
    <t>Lead Time correo (LTm)</t>
  </si>
  <si>
    <t>Días que tarda en llegar un pedido por correo</t>
  </si>
  <si>
    <t>Operaciones</t>
  </si>
  <si>
    <t>Capacidad actual fábrica</t>
  </si>
  <si>
    <t>Máximo de bidones que se pueden producir por día</t>
  </si>
  <si>
    <t>Financieros</t>
  </si>
  <si>
    <t>Interés efectivo diario</t>
  </si>
  <si>
    <t>Tasa de interés diaria que genera el efectivo disponible</t>
  </si>
  <si>
    <t>Febrero</t>
  </si>
  <si>
    <t>Marzo</t>
  </si>
  <si>
    <t>II</t>
  </si>
  <si>
    <t>Abril</t>
  </si>
  <si>
    <t>Mayo</t>
  </si>
  <si>
    <t>Junio</t>
  </si>
  <si>
    <t>III</t>
  </si>
  <si>
    <t>Julio</t>
  </si>
  <si>
    <t>Agosto</t>
  </si>
  <si>
    <t>Setiembre</t>
  </si>
  <si>
    <t>IV</t>
  </si>
  <si>
    <t>Octubre</t>
  </si>
  <si>
    <t>Noviembre</t>
  </si>
  <si>
    <t>Diciembre</t>
  </si>
  <si>
    <t>HORA</t>
  </si>
  <si>
    <t>DÍA</t>
  </si>
  <si>
    <t>CONTROLAR</t>
  </si>
  <si>
    <t>GRÁFICO DE LA DEMANDA</t>
  </si>
  <si>
    <t>FECHA</t>
  </si>
  <si>
    <t>HISTÓRICO</t>
  </si>
  <si>
    <t>PREVISIÓN</t>
  </si>
  <si>
    <t>Etiquetas de fila</t>
  </si>
  <si>
    <t>Suma de HISTÓRICO</t>
  </si>
  <si>
    <t>Suma de PREVISIÓN</t>
  </si>
  <si>
    <t>2025</t>
  </si>
  <si>
    <t>Ene</t>
  </si>
  <si>
    <t>Feb</t>
  </si>
  <si>
    <t>Mar</t>
  </si>
  <si>
    <t>Abr</t>
  </si>
  <si>
    <t>May</t>
  </si>
  <si>
    <t>Jun</t>
  </si>
  <si>
    <t>Jul</t>
  </si>
  <si>
    <t>Ago</t>
  </si>
  <si>
    <t>Set</t>
  </si>
  <si>
    <t>Oct</t>
  </si>
  <si>
    <t>Nov</t>
  </si>
  <si>
    <t>Dic</t>
  </si>
  <si>
    <t>2026</t>
  </si>
  <si>
    <t>80-</t>
  </si>
  <si>
    <t>2027</t>
  </si>
  <si>
    <t xml:space="preserve">MESES </t>
  </si>
  <si>
    <t>ACTUAL</t>
  </si>
  <si>
    <t>MINUTOS</t>
  </si>
  <si>
    <t>APROX</t>
  </si>
  <si>
    <t>CAMBIAR LOS PUNTOS DE REORDEN</t>
  </si>
  <si>
    <t>PARA LLEGAR AL INVENTARIO DESEADO</t>
  </si>
  <si>
    <t>14 MINUTOS PARA PASARLO A DÍAS</t>
  </si>
  <si>
    <t>2028</t>
  </si>
  <si>
    <t>Total general</t>
  </si>
  <si>
    <t>ANÁLISIS DE CANTIDAD ECONÓMICA DE PEDIDO</t>
  </si>
  <si>
    <t>COSTO UNITARIO</t>
  </si>
  <si>
    <t>COSTO DE PREPARACIÓN</t>
  </si>
  <si>
    <t>COSTO DE MANTENIMIENTO</t>
  </si>
  <si>
    <t>EOQ</t>
  </si>
  <si>
    <t>DEMANDA (Bidones)</t>
  </si>
  <si>
    <t>EOQ (Bidones)</t>
  </si>
  <si>
    <t>CANTIDAD</t>
  </si>
  <si>
    <t>COSTO POR LOTE</t>
  </si>
  <si>
    <t>PENDIENTE</t>
  </si>
  <si>
    <t>m</t>
  </si>
  <si>
    <t>LT</t>
  </si>
  <si>
    <t>K</t>
  </si>
  <si>
    <t>s</t>
  </si>
  <si>
    <t>AÑO 3</t>
  </si>
  <si>
    <t>AÑO 4</t>
  </si>
  <si>
    <t>ROP (Bidones)</t>
  </si>
  <si>
    <t>ROP Redondeo</t>
  </si>
  <si>
    <t>ANÁLISIS DE TRANSPORTE</t>
  </si>
  <si>
    <t>TRANSPORTE</t>
  </si>
  <si>
    <t>COSTO</t>
  </si>
  <si>
    <t>BIDONES</t>
  </si>
  <si>
    <t>TIEMPO DE ENVÍO (Días)</t>
  </si>
  <si>
    <t>Camión</t>
  </si>
  <si>
    <t xml:space="preserve">$15.000,00 </t>
  </si>
  <si>
    <t>Correo</t>
  </si>
  <si>
    <t xml:space="preserve"> $150,00 </t>
  </si>
  <si>
    <t>ANÁLISIS DE CAPACIDAD</t>
  </si>
  <si>
    <t>DEMANDA ANUAL (Bidones)</t>
  </si>
  <si>
    <t>CAPACIDAD (Bidones/Día)</t>
  </si>
  <si>
    <t>PRODUCCIÓN ANUAL (Bidones)</t>
  </si>
  <si>
    <t>DEMANDA EN LOS TRIMESTRES I - II (SEMESTRE) (Bidones)</t>
  </si>
  <si>
    <t>PRODUCCIÓN CADA 2 TRIMESTRES (Bidones)</t>
  </si>
  <si>
    <t>COSTO POR AUMENTAR CAPACIDAD</t>
  </si>
  <si>
    <t>SALDO FINAL</t>
  </si>
  <si>
    <t>e</t>
  </si>
  <si>
    <t>Revisae inventario</t>
  </si>
  <si>
    <t>10000 LOTE</t>
  </si>
  <si>
    <t>50 CAPACIDAD</t>
  </si>
  <si>
    <t>f</t>
  </si>
  <si>
    <t>9DIAS</t>
  </si>
  <si>
    <t>costo de produccion</t>
  </si>
  <si>
    <t>en 1 año(promedio)</t>
  </si>
  <si>
    <t>PRODUCCIÓN CONTINUA</t>
  </si>
  <si>
    <t>TEMPORADA BAJA - LOTES GRANDES</t>
  </si>
  <si>
    <t>PRODUCCIÓN POR LOTES</t>
  </si>
  <si>
    <t>CAMBIAR</t>
  </si>
  <si>
    <t>**EDITAR</t>
  </si>
  <si>
    <t>lote</t>
  </si>
  <si>
    <t>Si quiero que este en constante proceso, el ROE debe ser alto</t>
  </si>
  <si>
    <t>capacidad</t>
  </si>
  <si>
    <t>T1</t>
  </si>
  <si>
    <t>Punto de reorden ALTO</t>
  </si>
  <si>
    <t>T2</t>
  </si>
  <si>
    <t>T3</t>
  </si>
  <si>
    <t>días</t>
  </si>
  <si>
    <t>T4</t>
  </si>
  <si>
    <t>T5</t>
  </si>
  <si>
    <t>Punto de reorden BAJO</t>
  </si>
  <si>
    <t>T6</t>
  </si>
  <si>
    <t>T7</t>
  </si>
  <si>
    <t>Punto de reorden MEDIO</t>
  </si>
  <si>
    <t>T8</t>
  </si>
  <si>
    <t>Alto producción continua</t>
  </si>
  <si>
    <t>Bajo para tener días de producción</t>
  </si>
  <si>
    <t>CAMBIAR LA CANTIDAD DE PRODUCCIÓN - TEMPORADA BAJA</t>
  </si>
  <si>
    <t>Tener almenos algo de inventario (Se logra teniendo un punto de reorden alto)</t>
  </si>
  <si>
    <t>14 minutos</t>
  </si>
  <si>
    <t>CAMION O CORREO</t>
  </si>
  <si>
    <t>FABRICA</t>
  </si>
  <si>
    <t>CAMIÓN</t>
  </si>
  <si>
    <t>INVENTARIO</t>
  </si>
  <si>
    <t>CLIENTE</t>
  </si>
  <si>
    <t>Día donde la capacidad aumente</t>
  </si>
  <si>
    <t>N°</t>
  </si>
  <si>
    <t>DÍA (REAL)</t>
  </si>
  <si>
    <t>ENCARGADO</t>
  </si>
  <si>
    <t>TRIMESTRE (SIMULACIÓN)</t>
  </si>
  <si>
    <t>DÍA (SIMULACIÓN)</t>
  </si>
  <si>
    <t>PARÁMETRO</t>
  </si>
  <si>
    <t>NUEVO 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</si>
</sst>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S/&quot;\ * #,##0.00_-;\-&quot;S/&quot;\ * #,##0.00_-;_-&quot;S/&quot;\ * &quot;-&quot;??_-;_-@_-"/>
    <numFmt numFmtId="165" formatCode="0.0000"/>
    <numFmt numFmtId="166" formatCode="[$-F400]h:mm:ss\ AM/PM"/>
  </numFmts>
  <fonts count="18">
    <font>
      <sz val="11"/>
      <color theme="1"/>
      <name val="Aptos Narrow"/>
      <family val="2"/>
      <scheme val="minor"/>
    </font>
    <font>
      <sz val="11"/>
      <color theme="1"/>
      <name val="Times New Roman"/>
      <family val="1"/>
    </font>
    <font>
      <b/>
      <sz val="11"/>
      <color theme="1"/>
      <name val="Times New Roman"/>
      <family val="1"/>
    </font>
    <font>
      <sz val="11"/>
      <color rgb="FF000000"/>
      <name val="Times New Roman"/>
      <family val="1"/>
    </font>
    <font>
      <sz val="12"/>
      <color rgb="FF000000"/>
      <name val="Times New Roman"/>
      <family val="1"/>
    </font>
    <font>
      <b/>
      <sz val="11"/>
      <color rgb="FF000000"/>
      <name val="Times New Roman"/>
      <family val="1"/>
    </font>
    <font>
      <b/>
      <sz val="12"/>
      <color rgb="FF000000"/>
      <name val="Times New Roman"/>
      <family val="1"/>
    </font>
    <font>
      <b/>
      <sz val="11"/>
      <color rgb="FF000000"/>
      <name val="Symbol"/>
      <family val="1"/>
      <charset val="2"/>
    </font>
    <font>
      <sz val="8"/>
      <name val="Aptos Narrow"/>
      <family val="2"/>
      <scheme val="minor"/>
    </font>
    <font>
      <sz val="11"/>
      <color rgb="FFFF0000"/>
      <name val="Times New Roman"/>
      <family val="1"/>
    </font>
    <font>
      <b/>
      <sz val="11"/>
      <color rgb="FFFF0000"/>
      <name val="Times New Roman"/>
      <family val="1"/>
    </font>
    <font>
      <sz val="12"/>
      <color rgb="FFFF0000"/>
      <name val="Times New Roman"/>
      <family val="1"/>
    </font>
    <font>
      <b/>
      <sz val="12"/>
      <color rgb="FFFF0000"/>
      <name val="Times New Roman"/>
      <family val="1"/>
    </font>
    <font>
      <sz val="9"/>
      <color indexed="81"/>
      <name val="Tahoma"/>
      <family val="2"/>
    </font>
    <font>
      <b/>
      <sz val="9"/>
      <color indexed="81"/>
      <name val="Tahoma"/>
      <family val="2"/>
    </font>
    <font>
      <b/>
      <sz val="11"/>
      <color rgb="FFC00000"/>
      <name val="Times New Roman"/>
      <family val="1"/>
    </font>
    <font>
      <b/>
      <sz val="11"/>
      <color theme="0"/>
      <name val="Times New Roman"/>
      <family val="1"/>
    </font>
    <font>
      <sz val="11"/>
      <color theme="0"/>
      <name val="Times New Roman"/>
      <family val="1"/>
    </font>
  </fonts>
  <fills count="25">
    <fill>
      <patternFill patternType="none"/>
    </fill>
    <fill>
      <patternFill patternType="gray125"/>
    </fill>
    <fill>
      <patternFill patternType="solid">
        <fgColor theme="9" tint="0.79998168889431442"/>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1"/>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C00000"/>
        <bgColor indexed="64"/>
      </patternFill>
    </fill>
    <fill>
      <patternFill patternType="solid">
        <fgColor rgb="FFFF00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diagonal/>
    </border>
  </borders>
  <cellStyleXfs count="1">
    <xf numFmtId="0" fontId="0" fillId="0" borderId="0"/>
  </cellStyleXfs>
  <cellXfs count="216">
    <xf numFmtId="0" fontId="0" fillId="0" borderId="0" xfId="0"/>
    <xf numFmtId="0" fontId="1" fillId="0" borderId="0" xfId="0" applyFont="1"/>
    <xf numFmtId="0" fontId="1" fillId="0" borderId="1" xfId="0" applyFont="1" applyBorder="1" applyAlignment="1">
      <alignment horizontal="center" vertical="center" wrapText="1"/>
    </xf>
    <xf numFmtId="0" fontId="1" fillId="0" borderId="1" xfId="0" applyFont="1" applyBorder="1"/>
    <xf numFmtId="0" fontId="1" fillId="0" borderId="1" xfId="0" applyFont="1" applyBorder="1" applyAlignment="1">
      <alignment horizontal="center" vertical="center"/>
    </xf>
    <xf numFmtId="14" fontId="1" fillId="0" borderId="1"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xf numFmtId="0" fontId="1" fillId="0" borderId="0" xfId="0" pivotButton="1" applyFont="1"/>
    <xf numFmtId="0" fontId="1" fillId="0" borderId="0" xfId="0" applyFont="1" applyAlignment="1">
      <alignment horizontal="left"/>
    </xf>
    <xf numFmtId="0" fontId="1" fillId="0" borderId="0" xfId="0" applyFont="1" applyAlignment="1">
      <alignment horizontal="left" indent="1"/>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0" xfId="0" applyFont="1" applyAlignment="1">
      <alignment horizontal="center" vertical="center"/>
    </xf>
    <xf numFmtId="0" fontId="2" fillId="3" borderId="1" xfId="0" applyFont="1" applyFill="1" applyBorder="1" applyAlignment="1">
      <alignment horizontal="center" vertical="center"/>
    </xf>
    <xf numFmtId="0" fontId="1" fillId="4" borderId="1" xfId="0" applyFont="1" applyFill="1" applyBorder="1" applyAlignment="1">
      <alignment horizontal="center" vertical="center"/>
    </xf>
    <xf numFmtId="164" fontId="1" fillId="0" borderId="1" xfId="0" applyNumberFormat="1" applyFont="1" applyBorder="1" applyAlignment="1">
      <alignment horizontal="center" vertical="center"/>
    </xf>
    <xf numFmtId="164" fontId="1" fillId="0" borderId="1" xfId="0" applyNumberFormat="1" applyFont="1" applyBorder="1"/>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4" fillId="0" borderId="1" xfId="0" applyFont="1" applyBorder="1" applyAlignment="1">
      <alignment horizontal="center" vertical="center"/>
    </xf>
    <xf numFmtId="0" fontId="2" fillId="4" borderId="1" xfId="0" applyFont="1" applyFill="1" applyBorder="1" applyAlignment="1">
      <alignment horizontal="center" vertical="center" wrapText="1"/>
    </xf>
    <xf numFmtId="0" fontId="3" fillId="0" borderId="0" xfId="0" applyFont="1" applyAlignment="1">
      <alignment horizontal="center" vertical="center"/>
    </xf>
    <xf numFmtId="0" fontId="3" fillId="4" borderId="1" xfId="0" applyFont="1" applyFill="1" applyBorder="1" applyAlignment="1">
      <alignment horizontal="center" vertical="center"/>
    </xf>
    <xf numFmtId="165" fontId="3" fillId="0" borderId="1" xfId="0" applyNumberFormat="1" applyFont="1" applyBorder="1" applyAlignment="1">
      <alignment horizontal="center" vertical="center"/>
    </xf>
    <xf numFmtId="0" fontId="3" fillId="2" borderId="1" xfId="0" applyFont="1" applyFill="1" applyBorder="1" applyAlignment="1">
      <alignment horizontal="center" vertical="center"/>
    </xf>
    <xf numFmtId="164" fontId="3" fillId="2" borderId="1" xfId="0" applyNumberFormat="1" applyFont="1" applyFill="1" applyBorder="1" applyAlignment="1">
      <alignment horizontal="center" vertical="center"/>
    </xf>
    <xf numFmtId="165" fontId="3" fillId="2" borderId="1" xfId="0" applyNumberFormat="1" applyFont="1" applyFill="1" applyBorder="1" applyAlignment="1">
      <alignment horizontal="center" vertical="center"/>
    </xf>
    <xf numFmtId="0" fontId="4" fillId="0" borderId="5" xfId="0" applyFont="1" applyBorder="1" applyAlignment="1">
      <alignment horizontal="center" vertical="center"/>
    </xf>
    <xf numFmtId="0" fontId="4" fillId="0" borderId="12" xfId="0" applyFont="1" applyBorder="1" applyAlignment="1">
      <alignment horizontal="center" vertical="center"/>
    </xf>
    <xf numFmtId="0" fontId="6" fillId="2" borderId="10" xfId="0" applyFont="1" applyFill="1" applyBorder="1" applyAlignment="1">
      <alignment horizontal="center" vertical="center"/>
    </xf>
    <xf numFmtId="0" fontId="6" fillId="5" borderId="10" xfId="0" applyFont="1" applyFill="1" applyBorder="1" applyAlignment="1">
      <alignment horizontal="center" vertical="center"/>
    </xf>
    <xf numFmtId="0" fontId="4" fillId="6" borderId="1" xfId="0" applyFont="1" applyFill="1" applyBorder="1" applyAlignment="1">
      <alignment horizontal="center" vertical="center"/>
    </xf>
    <xf numFmtId="0" fontId="3" fillId="6" borderId="1" xfId="0" applyFont="1" applyFill="1" applyBorder="1" applyAlignment="1">
      <alignment horizontal="center" vertical="center"/>
    </xf>
    <xf numFmtId="3" fontId="1" fillId="0" borderId="1" xfId="0" applyNumberFormat="1" applyFont="1" applyBorder="1" applyAlignment="1">
      <alignment horizontal="center" vertical="center"/>
    </xf>
    <xf numFmtId="0" fontId="1" fillId="0" borderId="0" xfId="0" applyFont="1" applyAlignment="1">
      <alignment horizontal="center" vertical="center" wrapText="1"/>
    </xf>
    <xf numFmtId="0" fontId="7" fillId="4" borderId="1" xfId="0" applyFont="1" applyFill="1" applyBorder="1" applyAlignment="1">
      <alignment horizontal="center" vertical="center"/>
    </xf>
    <xf numFmtId="0" fontId="9" fillId="0" borderId="0" xfId="0" applyFont="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1" fillId="7" borderId="0" xfId="0" applyFont="1" applyFill="1" applyAlignment="1">
      <alignment horizontal="center" vertical="center"/>
    </xf>
    <xf numFmtId="0" fontId="6" fillId="7" borderId="10"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0" xfId="0" applyFont="1" applyFill="1" applyAlignment="1">
      <alignment horizontal="center" vertical="center"/>
    </xf>
    <xf numFmtId="16" fontId="1" fillId="0" borderId="0" xfId="0" applyNumberFormat="1" applyFont="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12" fillId="6" borderId="5" xfId="0" applyFont="1" applyFill="1" applyBorder="1" applyAlignment="1">
      <alignment horizontal="center"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14" borderId="1" xfId="0" applyFont="1" applyFill="1" applyBorder="1" applyAlignment="1">
      <alignment horizontal="center" vertical="center"/>
    </xf>
    <xf numFmtId="0" fontId="11" fillId="0" borderId="1" xfId="0" applyFont="1" applyBorder="1" applyAlignment="1">
      <alignment horizontal="center" vertical="center"/>
    </xf>
    <xf numFmtId="0" fontId="6" fillId="8" borderId="1" xfId="0" applyFont="1" applyFill="1" applyBorder="1" applyAlignment="1">
      <alignment horizontal="center" vertical="center"/>
    </xf>
    <xf numFmtId="0" fontId="6" fillId="10" borderId="1" xfId="0" applyFont="1" applyFill="1" applyBorder="1" applyAlignment="1">
      <alignment horizontal="center" vertical="center"/>
    </xf>
    <xf numFmtId="0" fontId="6" fillId="0" borderId="5" xfId="0" applyFont="1" applyBorder="1" applyAlignment="1">
      <alignment horizontal="center" vertical="center"/>
    </xf>
    <xf numFmtId="0" fontId="6" fillId="0" borderId="1" xfId="0" applyFont="1" applyBorder="1" applyAlignment="1">
      <alignment horizontal="center" vertical="center"/>
    </xf>
    <xf numFmtId="0" fontId="12" fillId="0" borderId="1" xfId="0" applyFont="1" applyBorder="1" applyAlignment="1">
      <alignment horizontal="center" vertical="center"/>
    </xf>
    <xf numFmtId="0" fontId="4" fillId="15" borderId="1" xfId="0" applyFont="1" applyFill="1" applyBorder="1" applyAlignment="1">
      <alignment horizontal="center" vertical="center"/>
    </xf>
    <xf numFmtId="0" fontId="12" fillId="6" borderId="1" xfId="0" applyFont="1" applyFill="1" applyBorder="1" applyAlignment="1">
      <alignment horizontal="center" vertical="center"/>
    </xf>
    <xf numFmtId="0" fontId="4" fillId="16" borderId="1" xfId="0" applyFont="1" applyFill="1" applyBorder="1" applyAlignment="1">
      <alignment horizontal="center" vertical="center"/>
    </xf>
    <xf numFmtId="0" fontId="2" fillId="16" borderId="0" xfId="0" applyFont="1" applyFill="1" applyAlignment="1">
      <alignment horizontal="center" vertical="center"/>
    </xf>
    <xf numFmtId="0" fontId="4" fillId="17" borderId="1" xfId="0" applyFont="1" applyFill="1" applyBorder="1" applyAlignment="1">
      <alignment horizontal="center" vertical="center"/>
    </xf>
    <xf numFmtId="0" fontId="2" fillId="6" borderId="1" xfId="0" applyFont="1" applyFill="1" applyBorder="1" applyAlignment="1">
      <alignment horizontal="center" vertical="center"/>
    </xf>
    <xf numFmtId="0" fontId="6" fillId="18" borderId="10" xfId="0" applyFont="1" applyFill="1" applyBorder="1" applyAlignment="1">
      <alignment horizontal="center" vertical="center"/>
    </xf>
    <xf numFmtId="0" fontId="6" fillId="18" borderId="1" xfId="0" applyFont="1" applyFill="1" applyBorder="1" applyAlignment="1">
      <alignment horizontal="center" vertical="center"/>
    </xf>
    <xf numFmtId="0" fontId="6" fillId="19" borderId="10" xfId="0" applyFont="1" applyFill="1" applyBorder="1" applyAlignment="1">
      <alignment horizontal="center" vertical="center"/>
    </xf>
    <xf numFmtId="0" fontId="1" fillId="5" borderId="0" xfId="0" applyFont="1" applyFill="1" applyAlignment="1">
      <alignment horizontal="center" vertical="center"/>
    </xf>
    <xf numFmtId="0" fontId="1" fillId="5" borderId="1" xfId="0" applyFont="1" applyFill="1" applyBorder="1" applyAlignment="1">
      <alignment horizontal="center" vertical="center"/>
    </xf>
    <xf numFmtId="164" fontId="3" fillId="5"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0" fontId="1" fillId="20" borderId="1" xfId="0" applyFont="1" applyFill="1" applyBorder="1" applyAlignment="1">
      <alignment horizontal="center" vertical="center"/>
    </xf>
    <xf numFmtId="164" fontId="3" fillId="20" borderId="1" xfId="0" applyNumberFormat="1" applyFont="1" applyFill="1" applyBorder="1" applyAlignment="1">
      <alignment horizontal="center" vertical="center"/>
    </xf>
    <xf numFmtId="0" fontId="3" fillId="20" borderId="1" xfId="0" applyFont="1" applyFill="1" applyBorder="1" applyAlignment="1">
      <alignment horizontal="center" vertical="center"/>
    </xf>
    <xf numFmtId="0" fontId="12" fillId="2" borderId="1" xfId="0" applyFont="1" applyFill="1" applyBorder="1" applyAlignment="1">
      <alignment horizontal="center" vertical="center"/>
    </xf>
    <xf numFmtId="0" fontId="1" fillId="18" borderId="0" xfId="0" applyFont="1" applyFill="1" applyAlignment="1">
      <alignment horizontal="center" vertical="center"/>
    </xf>
    <xf numFmtId="0" fontId="4" fillId="18" borderId="1" xfId="0" applyFont="1" applyFill="1" applyBorder="1" applyAlignment="1">
      <alignment horizontal="center" vertical="center"/>
    </xf>
    <xf numFmtId="0" fontId="1" fillId="6" borderId="1" xfId="0" applyFont="1" applyFill="1" applyBorder="1" applyAlignment="1">
      <alignment horizontal="center" vertical="center"/>
    </xf>
    <xf numFmtId="164" fontId="1" fillId="6" borderId="1" xfId="0" applyNumberFormat="1" applyFont="1" applyFill="1" applyBorder="1" applyAlignment="1">
      <alignment horizontal="center" vertical="center"/>
    </xf>
    <xf numFmtId="164" fontId="15" fillId="6" borderId="1" xfId="0" applyNumberFormat="1" applyFont="1" applyFill="1" applyBorder="1"/>
    <xf numFmtId="164" fontId="1" fillId="6" borderId="1" xfId="0" applyNumberFormat="1" applyFont="1" applyFill="1" applyBorder="1"/>
    <xf numFmtId="0" fontId="5" fillId="6" borderId="1" xfId="0" applyFont="1" applyFill="1" applyBorder="1" applyAlignment="1">
      <alignment horizontal="center" vertical="center" wrapText="1"/>
    </xf>
    <xf numFmtId="0" fontId="3" fillId="0" borderId="2" xfId="0" applyFont="1" applyBorder="1" applyAlignment="1">
      <alignment horizontal="center" vertical="center"/>
    </xf>
    <xf numFmtId="0" fontId="2" fillId="18"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7" borderId="10" xfId="0" applyFont="1" applyFill="1" applyBorder="1" applyAlignment="1">
      <alignment horizontal="center" vertical="center"/>
    </xf>
    <xf numFmtId="0" fontId="5" fillId="2" borderId="15" xfId="0" applyFont="1" applyFill="1" applyBorder="1" applyAlignment="1">
      <alignment horizontal="center" vertical="center"/>
    </xf>
    <xf numFmtId="0" fontId="5" fillId="5" borderId="10" xfId="0" applyFont="1" applyFill="1" applyBorder="1" applyAlignment="1">
      <alignment horizontal="center" vertical="center"/>
    </xf>
    <xf numFmtId="0" fontId="5" fillId="22" borderId="1" xfId="0" applyFont="1" applyFill="1" applyBorder="1" applyAlignment="1">
      <alignment horizontal="center" vertical="center"/>
    </xf>
    <xf numFmtId="0" fontId="5" fillId="7" borderId="11" xfId="0" applyFont="1" applyFill="1" applyBorder="1" applyAlignment="1">
      <alignment horizontal="center" vertical="center"/>
    </xf>
    <xf numFmtId="0" fontId="5" fillId="8" borderId="1" xfId="0" applyFont="1" applyFill="1" applyBorder="1" applyAlignment="1">
      <alignment horizontal="center" vertical="center"/>
    </xf>
    <xf numFmtId="0" fontId="5" fillId="20"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5" fillId="6" borderId="1" xfId="0" applyFont="1" applyFill="1" applyBorder="1" applyAlignment="1">
      <alignment horizontal="center" vertical="center"/>
    </xf>
    <xf numFmtId="0" fontId="5" fillId="7" borderId="16" xfId="0" applyFont="1" applyFill="1" applyBorder="1" applyAlignment="1">
      <alignment horizontal="center" vertical="center"/>
    </xf>
    <xf numFmtId="0" fontId="5" fillId="7" borderId="14" xfId="0" applyFont="1" applyFill="1" applyBorder="1" applyAlignment="1">
      <alignment horizontal="center" vertical="center"/>
    </xf>
    <xf numFmtId="0" fontId="3" fillId="7" borderId="6" xfId="0" applyFont="1" applyFill="1" applyBorder="1" applyAlignment="1">
      <alignment horizontal="center" vertical="center"/>
    </xf>
    <xf numFmtId="0" fontId="3" fillId="7" borderId="3" xfId="0" applyFont="1" applyFill="1" applyBorder="1" applyAlignment="1">
      <alignment horizontal="center" vertical="center"/>
    </xf>
    <xf numFmtId="0" fontId="5" fillId="19" borderId="17" xfId="0" applyFont="1" applyFill="1" applyBorder="1" applyAlignment="1">
      <alignment horizontal="center" vertical="center"/>
    </xf>
    <xf numFmtId="0" fontId="10" fillId="0" borderId="2" xfId="0" applyFont="1" applyBorder="1" applyAlignment="1">
      <alignment horizontal="center" vertical="center"/>
    </xf>
    <xf numFmtId="0" fontId="5" fillId="8" borderId="2" xfId="0" applyFont="1" applyFill="1" applyBorder="1" applyAlignment="1">
      <alignment horizontal="center" vertical="center"/>
    </xf>
    <xf numFmtId="0" fontId="10" fillId="6" borderId="2" xfId="0" applyFont="1" applyFill="1" applyBorder="1" applyAlignment="1">
      <alignment horizontal="center" vertical="center"/>
    </xf>
    <xf numFmtId="0" fontId="2" fillId="9"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1" fillId="6" borderId="0" xfId="0" applyFont="1" applyFill="1"/>
    <xf numFmtId="0" fontId="2" fillId="3" borderId="1" xfId="0" applyFont="1" applyFill="1" applyBorder="1" applyAlignment="1">
      <alignment vertical="center"/>
    </xf>
    <xf numFmtId="0" fontId="6" fillId="5" borderId="1" xfId="0" applyFont="1" applyFill="1" applyBorder="1" applyAlignment="1">
      <alignment horizontal="center" vertical="center"/>
    </xf>
    <xf numFmtId="0" fontId="10" fillId="18" borderId="1" xfId="0" applyFont="1" applyFill="1" applyBorder="1" applyAlignment="1">
      <alignment vertical="center"/>
    </xf>
    <xf numFmtId="0" fontId="5" fillId="19" borderId="10" xfId="0" applyFont="1" applyFill="1" applyBorder="1" applyAlignment="1">
      <alignment horizontal="center" vertical="center"/>
    </xf>
    <xf numFmtId="0" fontId="5" fillId="2" borderId="10" xfId="0" applyFont="1" applyFill="1" applyBorder="1" applyAlignment="1">
      <alignment horizontal="center" vertical="center"/>
    </xf>
    <xf numFmtId="0" fontId="5" fillId="18" borderId="1" xfId="0" applyFont="1" applyFill="1" applyBorder="1" applyAlignment="1">
      <alignment horizontal="center" vertical="center"/>
    </xf>
    <xf numFmtId="0" fontId="5" fillId="0" borderId="5" xfId="0" applyFont="1" applyBorder="1" applyAlignment="1">
      <alignment horizontal="center" vertical="center"/>
    </xf>
    <xf numFmtId="0" fontId="10" fillId="6" borderId="1" xfId="0" applyFont="1" applyFill="1" applyBorder="1" applyAlignment="1">
      <alignment horizontal="center" vertical="center"/>
    </xf>
    <xf numFmtId="0" fontId="3" fillId="7" borderId="5" xfId="0" applyFont="1" applyFill="1" applyBorder="1" applyAlignment="1">
      <alignment horizontal="center" vertical="center"/>
    </xf>
    <xf numFmtId="0" fontId="5" fillId="10" borderId="1" xfId="0" applyFont="1" applyFill="1" applyBorder="1" applyAlignment="1">
      <alignment horizontal="center" vertical="center"/>
    </xf>
    <xf numFmtId="0" fontId="3" fillId="9" borderId="1" xfId="0" applyFont="1" applyFill="1" applyBorder="1" applyAlignment="1">
      <alignment horizontal="center" vertical="center"/>
    </xf>
    <xf numFmtId="0" fontId="10" fillId="0" borderId="1" xfId="0" applyFont="1" applyBorder="1" applyAlignment="1">
      <alignment horizontal="center" vertical="center"/>
    </xf>
    <xf numFmtId="0" fontId="3" fillId="12" borderId="1" xfId="0" applyFont="1" applyFill="1" applyBorder="1" applyAlignment="1">
      <alignment horizontal="center" vertical="center"/>
    </xf>
    <xf numFmtId="0" fontId="3" fillId="13" borderId="1" xfId="0" applyFont="1" applyFill="1" applyBorder="1" applyAlignment="1">
      <alignment horizontal="center" vertical="center"/>
    </xf>
    <xf numFmtId="0" fontId="9" fillId="0" borderId="1" xfId="0" applyFont="1" applyBorder="1" applyAlignment="1">
      <alignment horizontal="center" vertical="center"/>
    </xf>
    <xf numFmtId="0" fontId="3" fillId="14"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15" borderId="1" xfId="0" applyFont="1" applyFill="1" applyBorder="1" applyAlignment="1">
      <alignment horizontal="center" vertical="center"/>
    </xf>
    <xf numFmtId="0" fontId="3" fillId="11" borderId="1" xfId="0" applyFont="1" applyFill="1" applyBorder="1" applyAlignment="1">
      <alignment horizontal="center" vertical="center"/>
    </xf>
    <xf numFmtId="0" fontId="10" fillId="6" borderId="5" xfId="0" applyFont="1" applyFill="1" applyBorder="1" applyAlignment="1">
      <alignment horizontal="center" vertical="center"/>
    </xf>
    <xf numFmtId="0" fontId="3" fillId="0" borderId="5" xfId="0" applyFont="1" applyBorder="1" applyAlignment="1">
      <alignment horizontal="center" vertical="center"/>
    </xf>
    <xf numFmtId="0" fontId="3" fillId="16" borderId="1" xfId="0" applyFont="1" applyFill="1" applyBorder="1" applyAlignment="1">
      <alignment horizontal="center" vertical="center"/>
    </xf>
    <xf numFmtId="0" fontId="3" fillId="17" borderId="1" xfId="0" applyFont="1" applyFill="1" applyBorder="1" applyAlignment="1">
      <alignment horizontal="center" vertical="center"/>
    </xf>
    <xf numFmtId="0" fontId="3" fillId="0" borderId="12" xfId="0" applyFont="1" applyBorder="1" applyAlignment="1">
      <alignment horizontal="center" vertical="center"/>
    </xf>
    <xf numFmtId="0" fontId="2" fillId="22" borderId="1" xfId="0" applyFont="1" applyFill="1" applyBorder="1" applyAlignment="1">
      <alignment horizontal="center" vertical="center"/>
    </xf>
    <xf numFmtId="166" fontId="1" fillId="0" borderId="1" xfId="0" applyNumberFormat="1" applyFont="1" applyBorder="1" applyAlignment="1">
      <alignment horizontal="center" vertical="center"/>
    </xf>
    <xf numFmtId="0" fontId="1" fillId="18" borderId="1" xfId="0" applyFont="1" applyFill="1" applyBorder="1" applyAlignment="1">
      <alignment horizontal="center" vertical="center"/>
    </xf>
    <xf numFmtId="0" fontId="1" fillId="7" borderId="1" xfId="0" applyFont="1" applyFill="1" applyBorder="1" applyAlignment="1">
      <alignment horizontal="center" vertical="center"/>
    </xf>
    <xf numFmtId="0" fontId="16" fillId="23" borderId="1" xfId="0" applyFont="1" applyFill="1" applyBorder="1" applyAlignment="1">
      <alignment horizontal="center" vertical="center"/>
    </xf>
    <xf numFmtId="0" fontId="5" fillId="16" borderId="1" xfId="0" applyFont="1" applyFill="1" applyBorder="1" applyAlignment="1">
      <alignment horizontal="center" vertical="center"/>
    </xf>
    <xf numFmtId="166" fontId="2" fillId="21" borderId="1" xfId="0" applyNumberFormat="1" applyFont="1" applyFill="1" applyBorder="1" applyAlignment="1">
      <alignment horizontal="center" vertical="center"/>
    </xf>
    <xf numFmtId="0" fontId="3" fillId="12" borderId="3" xfId="0" applyFont="1" applyFill="1" applyBorder="1" applyAlignment="1">
      <alignment horizontal="center" vertical="center"/>
    </xf>
    <xf numFmtId="0" fontId="3" fillId="7" borderId="2" xfId="0" applyFont="1" applyFill="1" applyBorder="1" applyAlignment="1">
      <alignment horizontal="center" vertical="center"/>
    </xf>
    <xf numFmtId="0" fontId="10" fillId="6"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5" fillId="19" borderId="15" xfId="0" applyFont="1" applyFill="1" applyBorder="1" applyAlignment="1">
      <alignment horizontal="center" vertical="center"/>
    </xf>
    <xf numFmtId="0" fontId="5" fillId="5" borderId="15" xfId="0" applyFont="1" applyFill="1" applyBorder="1" applyAlignment="1">
      <alignment horizontal="center" vertical="center"/>
    </xf>
    <xf numFmtId="0" fontId="9"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16" fillId="7" borderId="1" xfId="0" applyFont="1" applyFill="1" applyBorder="1" applyAlignment="1">
      <alignment horizontal="center" vertical="center"/>
    </xf>
    <xf numFmtId="0" fontId="1" fillId="6" borderId="0" xfId="0" applyFont="1" applyFill="1" applyAlignment="1">
      <alignment horizontal="center" vertical="center"/>
    </xf>
    <xf numFmtId="166" fontId="1" fillId="7" borderId="1" xfId="0" applyNumberFormat="1" applyFont="1" applyFill="1" applyBorder="1" applyAlignment="1">
      <alignment horizontal="center" vertical="center"/>
    </xf>
    <xf numFmtId="0" fontId="3" fillId="17" borderId="3" xfId="0" applyFont="1" applyFill="1" applyBorder="1" applyAlignment="1">
      <alignment horizontal="center" vertical="center"/>
    </xf>
    <xf numFmtId="166" fontId="1" fillId="7" borderId="2" xfId="0" applyNumberFormat="1" applyFont="1" applyFill="1" applyBorder="1" applyAlignment="1">
      <alignment horizontal="center" vertical="center"/>
    </xf>
    <xf numFmtId="166" fontId="17" fillId="0" borderId="0" xfId="0" applyNumberFormat="1" applyFont="1" applyAlignment="1">
      <alignment horizontal="center" vertical="center"/>
    </xf>
    <xf numFmtId="0" fontId="15" fillId="6" borderId="1" xfId="0" applyFont="1" applyFill="1" applyBorder="1" applyAlignment="1">
      <alignment horizontal="center" vertical="center"/>
    </xf>
    <xf numFmtId="0" fontId="3" fillId="24" borderId="1" xfId="0" applyFont="1" applyFill="1" applyBorder="1" applyAlignment="1">
      <alignment horizontal="center" vertical="center"/>
    </xf>
    <xf numFmtId="0" fontId="5" fillId="0" borderId="0" xfId="0" applyFont="1" applyAlignment="1">
      <alignment horizontal="center" vertical="center"/>
    </xf>
    <xf numFmtId="0" fontId="10" fillId="0" borderId="0" xfId="0" applyFont="1" applyAlignment="1">
      <alignment vertical="center"/>
    </xf>
    <xf numFmtId="0" fontId="2" fillId="6" borderId="0" xfId="0" applyFont="1" applyFill="1"/>
    <xf numFmtId="0" fontId="2" fillId="6" borderId="0" xfId="0" applyFont="1" applyFill="1" applyAlignment="1">
      <alignment horizontal="center" vertical="center"/>
    </xf>
    <xf numFmtId="164" fontId="1" fillId="0" borderId="0" xfId="0" applyNumberFormat="1" applyFont="1"/>
    <xf numFmtId="164" fontId="2" fillId="6" borderId="1" xfId="0" applyNumberFormat="1" applyFont="1" applyFill="1" applyBorder="1"/>
    <xf numFmtId="0" fontId="10" fillId="0" borderId="0" xfId="0" applyFont="1" applyAlignment="1">
      <alignment horizontal="center" vertical="center"/>
    </xf>
    <xf numFmtId="0" fontId="2" fillId="21" borderId="1" xfId="0" applyFont="1" applyFill="1" applyBorder="1" applyAlignment="1">
      <alignment horizontal="center" vertical="center"/>
    </xf>
    <xf numFmtId="14" fontId="1" fillId="0" borderId="8" xfId="0" applyNumberFormat="1" applyFont="1" applyBorder="1" applyAlignment="1">
      <alignment horizontal="center" vertical="center" wrapText="1"/>
    </xf>
    <xf numFmtId="14" fontId="1" fillId="0" borderId="11" xfId="0" applyNumberFormat="1" applyFont="1" applyBorder="1" applyAlignment="1">
      <alignment horizontal="center" vertical="center" wrapText="1"/>
    </xf>
    <xf numFmtId="14" fontId="1" fillId="0" borderId="5" xfId="0" applyNumberFormat="1" applyFont="1" applyBorder="1" applyAlignment="1">
      <alignment horizontal="center" vertical="center" wrapText="1"/>
    </xf>
    <xf numFmtId="0" fontId="1" fillId="0" borderId="1" xfId="0" applyFont="1" applyBorder="1" applyAlignment="1">
      <alignment horizontal="center" vertical="center"/>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8" xfId="0" applyFont="1" applyBorder="1" applyAlignment="1">
      <alignment horizontal="center" vertical="center"/>
    </xf>
    <xf numFmtId="0" fontId="1" fillId="0" borderId="11"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14" fontId="1" fillId="6" borderId="8" xfId="0" applyNumberFormat="1" applyFont="1" applyFill="1" applyBorder="1" applyAlignment="1">
      <alignment horizontal="center" vertical="center" wrapText="1"/>
    </xf>
    <xf numFmtId="14" fontId="1" fillId="6" borderId="11" xfId="0" applyNumberFormat="1" applyFont="1" applyFill="1" applyBorder="1" applyAlignment="1">
      <alignment horizontal="center" vertical="center" wrapText="1"/>
    </xf>
    <xf numFmtId="14" fontId="1" fillId="6" borderId="5" xfId="0" applyNumberFormat="1" applyFont="1" applyFill="1" applyBorder="1" applyAlignment="1">
      <alignment horizontal="center" vertical="center" wrapText="1"/>
    </xf>
    <xf numFmtId="0" fontId="10" fillId="6" borderId="0" xfId="0" applyFont="1" applyFill="1" applyAlignment="1">
      <alignment horizontal="center" vertical="center"/>
    </xf>
    <xf numFmtId="0" fontId="1" fillId="2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2" borderId="0" xfId="0" applyFont="1" applyFill="1" applyAlignment="1">
      <alignment horizont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13" xfId="0" applyFont="1" applyBorder="1" applyAlignment="1">
      <alignment horizontal="center" vertical="center"/>
    </xf>
    <xf numFmtId="0" fontId="3" fillId="0" borderId="2" xfId="0" applyFont="1" applyBorder="1" applyAlignment="1">
      <alignment horizontal="center" vertical="center"/>
    </xf>
    <xf numFmtId="0" fontId="3" fillId="0" borderId="8"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5" xfId="0" applyFont="1" applyBorder="1" applyAlignment="1">
      <alignment horizontal="center" vertical="center" wrapText="1"/>
    </xf>
    <xf numFmtId="164" fontId="3" fillId="5"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0" fontId="1" fillId="5" borderId="1" xfId="0" applyFont="1" applyFill="1" applyBorder="1" applyAlignment="1">
      <alignment horizontal="center" vertical="center"/>
    </xf>
    <xf numFmtId="0" fontId="2" fillId="2" borderId="0" xfId="0" applyFont="1" applyFill="1" applyAlignment="1">
      <alignment horizontal="center" vertical="center"/>
    </xf>
    <xf numFmtId="0" fontId="1" fillId="6" borderId="1" xfId="0" applyFont="1" applyFill="1" applyBorder="1" applyAlignment="1">
      <alignment horizontal="center" vertical="center"/>
    </xf>
    <xf numFmtId="0" fontId="10" fillId="18" borderId="8" xfId="0" applyFont="1" applyFill="1" applyBorder="1" applyAlignment="1">
      <alignment horizontal="center" vertical="center"/>
    </xf>
    <xf numFmtId="0" fontId="10" fillId="18" borderId="11" xfId="0" applyFont="1" applyFill="1" applyBorder="1" applyAlignment="1">
      <alignment horizontal="center" vertical="center"/>
    </xf>
    <xf numFmtId="0" fontId="10" fillId="18" borderId="5" xfId="0" applyFont="1" applyFill="1" applyBorder="1" applyAlignment="1">
      <alignment horizontal="center" vertical="center"/>
    </xf>
    <xf numFmtId="0" fontId="1" fillId="18" borderId="8" xfId="0" applyFont="1" applyFill="1" applyBorder="1" applyAlignment="1">
      <alignment horizontal="center" vertical="center"/>
    </xf>
    <xf numFmtId="0" fontId="1" fillId="18" borderId="11" xfId="0" applyFont="1" applyFill="1" applyBorder="1" applyAlignment="1">
      <alignment horizontal="center" vertical="center"/>
    </xf>
    <xf numFmtId="0" fontId="1" fillId="18" borderId="5" xfId="0" applyFont="1" applyFill="1" applyBorder="1" applyAlignment="1">
      <alignment horizontal="center" vertical="center"/>
    </xf>
    <xf numFmtId="0" fontId="4" fillId="6" borderId="1" xfId="0" applyFont="1" applyFill="1" applyBorder="1" applyAlignment="1">
      <alignment horizontal="center" vertical="center"/>
    </xf>
    <xf numFmtId="0" fontId="4" fillId="0" borderId="1" xfId="0" applyFont="1" applyBorder="1" applyAlignment="1">
      <alignment horizontal="center" vertical="center"/>
    </xf>
    <xf numFmtId="14" fontId="1" fillId="0" borderId="1" xfId="0" applyNumberFormat="1" applyFont="1" applyBorder="1" applyAlignment="1">
      <alignment horizontal="center" vertical="center"/>
    </xf>
    <xf numFmtId="0" fontId="2" fillId="0" borderId="1" xfId="0" applyFont="1" applyBorder="1" applyAlignment="1">
      <alignment horizontal="center" vertical="center"/>
    </xf>
    <xf numFmtId="14" fontId="1" fillId="0" borderId="8" xfId="0" applyNumberFormat="1" applyFont="1" applyBorder="1" applyAlignment="1">
      <alignment horizontal="center" vertical="center"/>
    </xf>
    <xf numFmtId="14" fontId="1" fillId="0" borderId="11" xfId="0" applyNumberFormat="1" applyFont="1" applyBorder="1" applyAlignment="1">
      <alignment horizontal="center" vertical="center"/>
    </xf>
    <xf numFmtId="14" fontId="1" fillId="0" borderId="5" xfId="0" applyNumberFormat="1" applyFont="1" applyBorder="1" applyAlignment="1">
      <alignment horizontal="center" vertical="center"/>
    </xf>
    <xf numFmtId="4" fontId="1" fillId="0" borderId="1" xfId="0" applyNumberFormat="1" applyFont="1" applyBorder="1" applyAlignment="1">
      <alignment horizontal="center" vertical="center"/>
    </xf>
    <xf numFmtId="3" fontId="1" fillId="0" borderId="1" xfId="0" applyNumberFormat="1" applyFont="1" applyBorder="1" applyAlignment="1">
      <alignment horizontal="center" vertical="center"/>
    </xf>
  </cellXfs>
  <cellStyles count="1">
    <cellStyle name="Normal" xfId="0" builtinId="0"/>
  </cellStyles>
  <dxfs count="20">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numFmt numFmtId="167" formatCode="d/mm/yyyy"/>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dxf>
    <dxf>
      <font>
        <b/>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b val="0"/>
      </font>
    </dxf>
    <dxf>
      <font>
        <b val="0"/>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DEMANDA_PREVISIÓN!$D$4</c:f>
              <c:strCache>
                <c:ptCount val="1"/>
                <c:pt idx="0">
                  <c:v>HISTÓRICO</c:v>
                </c:pt>
              </c:strCache>
            </c:strRef>
          </c:tx>
          <c:spPr>
            <a:ln w="28575" cap="rnd">
              <a:solidFill>
                <a:schemeClr val="accent3"/>
              </a:solidFill>
              <a:round/>
            </a:ln>
            <a:effectLst/>
          </c:spPr>
          <c:marker>
            <c:symbol val="none"/>
          </c:marker>
          <c:cat>
            <c:numRef>
              <c:f>DEMANDA_PREVISIÓN!$B$5:$B$1464</c:f>
              <c:numCache>
                <c:formatCode>General</c:formatCode>
                <c:ptCount val="14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pt idx="1152">
                  <c:v>1153</c:v>
                </c:pt>
                <c:pt idx="1153">
                  <c:v>1154</c:v>
                </c:pt>
                <c:pt idx="1154">
                  <c:v>1155</c:v>
                </c:pt>
                <c:pt idx="1155">
                  <c:v>1156</c:v>
                </c:pt>
                <c:pt idx="1156">
                  <c:v>1157</c:v>
                </c:pt>
                <c:pt idx="1157">
                  <c:v>1158</c:v>
                </c:pt>
                <c:pt idx="1158">
                  <c:v>1159</c:v>
                </c:pt>
                <c:pt idx="1159">
                  <c:v>1160</c:v>
                </c:pt>
                <c:pt idx="1160">
                  <c:v>1161</c:v>
                </c:pt>
                <c:pt idx="1161">
                  <c:v>1162</c:v>
                </c:pt>
                <c:pt idx="1162">
                  <c:v>1163</c:v>
                </c:pt>
                <c:pt idx="1163">
                  <c:v>1164</c:v>
                </c:pt>
                <c:pt idx="1164">
                  <c:v>1165</c:v>
                </c:pt>
                <c:pt idx="1165">
                  <c:v>1166</c:v>
                </c:pt>
                <c:pt idx="1166">
                  <c:v>1167</c:v>
                </c:pt>
                <c:pt idx="1167">
                  <c:v>1168</c:v>
                </c:pt>
                <c:pt idx="1168">
                  <c:v>1169</c:v>
                </c:pt>
                <c:pt idx="1169">
                  <c:v>1170</c:v>
                </c:pt>
                <c:pt idx="1170">
                  <c:v>1171</c:v>
                </c:pt>
                <c:pt idx="1171">
                  <c:v>1172</c:v>
                </c:pt>
                <c:pt idx="1172">
                  <c:v>1173</c:v>
                </c:pt>
                <c:pt idx="1173">
                  <c:v>1174</c:v>
                </c:pt>
                <c:pt idx="1174">
                  <c:v>1175</c:v>
                </c:pt>
                <c:pt idx="1175">
                  <c:v>1176</c:v>
                </c:pt>
                <c:pt idx="1176">
                  <c:v>1177</c:v>
                </c:pt>
                <c:pt idx="1177">
                  <c:v>1178</c:v>
                </c:pt>
                <c:pt idx="1178">
                  <c:v>1179</c:v>
                </c:pt>
                <c:pt idx="1179">
                  <c:v>1180</c:v>
                </c:pt>
                <c:pt idx="1180">
                  <c:v>1181</c:v>
                </c:pt>
                <c:pt idx="1181">
                  <c:v>1182</c:v>
                </c:pt>
                <c:pt idx="1182">
                  <c:v>1183</c:v>
                </c:pt>
                <c:pt idx="1183">
                  <c:v>1184</c:v>
                </c:pt>
                <c:pt idx="1184">
                  <c:v>1185</c:v>
                </c:pt>
                <c:pt idx="1185">
                  <c:v>1186</c:v>
                </c:pt>
                <c:pt idx="1186">
                  <c:v>1187</c:v>
                </c:pt>
                <c:pt idx="1187">
                  <c:v>1188</c:v>
                </c:pt>
                <c:pt idx="1188">
                  <c:v>1189</c:v>
                </c:pt>
                <c:pt idx="1189">
                  <c:v>1190</c:v>
                </c:pt>
                <c:pt idx="1190">
                  <c:v>1191</c:v>
                </c:pt>
                <c:pt idx="1191">
                  <c:v>1192</c:v>
                </c:pt>
                <c:pt idx="1192">
                  <c:v>1193</c:v>
                </c:pt>
                <c:pt idx="1193">
                  <c:v>1194</c:v>
                </c:pt>
                <c:pt idx="1194">
                  <c:v>1195</c:v>
                </c:pt>
                <c:pt idx="1195">
                  <c:v>1196</c:v>
                </c:pt>
                <c:pt idx="1196">
                  <c:v>1197</c:v>
                </c:pt>
                <c:pt idx="1197">
                  <c:v>1198</c:v>
                </c:pt>
                <c:pt idx="1198">
                  <c:v>1199</c:v>
                </c:pt>
                <c:pt idx="1199">
                  <c:v>1200</c:v>
                </c:pt>
                <c:pt idx="1200">
                  <c:v>1201</c:v>
                </c:pt>
                <c:pt idx="1201">
                  <c:v>1202</c:v>
                </c:pt>
                <c:pt idx="1202">
                  <c:v>1203</c:v>
                </c:pt>
                <c:pt idx="1203">
                  <c:v>1204</c:v>
                </c:pt>
                <c:pt idx="1204">
                  <c:v>1205</c:v>
                </c:pt>
                <c:pt idx="1205">
                  <c:v>1206</c:v>
                </c:pt>
                <c:pt idx="1206">
                  <c:v>1207</c:v>
                </c:pt>
                <c:pt idx="1207">
                  <c:v>1208</c:v>
                </c:pt>
                <c:pt idx="1208">
                  <c:v>1209</c:v>
                </c:pt>
                <c:pt idx="1209">
                  <c:v>1210</c:v>
                </c:pt>
                <c:pt idx="1210">
                  <c:v>1211</c:v>
                </c:pt>
                <c:pt idx="1211">
                  <c:v>1212</c:v>
                </c:pt>
                <c:pt idx="1212">
                  <c:v>1213</c:v>
                </c:pt>
                <c:pt idx="1213">
                  <c:v>1214</c:v>
                </c:pt>
                <c:pt idx="1214">
                  <c:v>1215</c:v>
                </c:pt>
                <c:pt idx="1215">
                  <c:v>1216</c:v>
                </c:pt>
                <c:pt idx="1216">
                  <c:v>1217</c:v>
                </c:pt>
                <c:pt idx="1217">
                  <c:v>1218</c:v>
                </c:pt>
                <c:pt idx="1218">
                  <c:v>1219</c:v>
                </c:pt>
                <c:pt idx="1219">
                  <c:v>1220</c:v>
                </c:pt>
                <c:pt idx="1220">
                  <c:v>1221</c:v>
                </c:pt>
                <c:pt idx="1221">
                  <c:v>1222</c:v>
                </c:pt>
                <c:pt idx="1222">
                  <c:v>1223</c:v>
                </c:pt>
                <c:pt idx="1223">
                  <c:v>1224</c:v>
                </c:pt>
                <c:pt idx="1224">
                  <c:v>1225</c:v>
                </c:pt>
                <c:pt idx="1225">
                  <c:v>1226</c:v>
                </c:pt>
                <c:pt idx="1226">
                  <c:v>1227</c:v>
                </c:pt>
                <c:pt idx="1227">
                  <c:v>1228</c:v>
                </c:pt>
                <c:pt idx="1228">
                  <c:v>1229</c:v>
                </c:pt>
                <c:pt idx="1229">
                  <c:v>1230</c:v>
                </c:pt>
                <c:pt idx="1230">
                  <c:v>1231</c:v>
                </c:pt>
                <c:pt idx="1231">
                  <c:v>1232</c:v>
                </c:pt>
                <c:pt idx="1232">
                  <c:v>1233</c:v>
                </c:pt>
                <c:pt idx="1233">
                  <c:v>1234</c:v>
                </c:pt>
                <c:pt idx="1234">
                  <c:v>1235</c:v>
                </c:pt>
                <c:pt idx="1235">
                  <c:v>1236</c:v>
                </c:pt>
                <c:pt idx="1236">
                  <c:v>1237</c:v>
                </c:pt>
                <c:pt idx="1237">
                  <c:v>1238</c:v>
                </c:pt>
                <c:pt idx="1238">
                  <c:v>1239</c:v>
                </c:pt>
                <c:pt idx="1239">
                  <c:v>1240</c:v>
                </c:pt>
                <c:pt idx="1240">
                  <c:v>1241</c:v>
                </c:pt>
                <c:pt idx="1241">
                  <c:v>1242</c:v>
                </c:pt>
                <c:pt idx="1242">
                  <c:v>1243</c:v>
                </c:pt>
                <c:pt idx="1243">
                  <c:v>1244</c:v>
                </c:pt>
                <c:pt idx="1244">
                  <c:v>1245</c:v>
                </c:pt>
                <c:pt idx="1245">
                  <c:v>1246</c:v>
                </c:pt>
                <c:pt idx="1246">
                  <c:v>1247</c:v>
                </c:pt>
                <c:pt idx="1247">
                  <c:v>1248</c:v>
                </c:pt>
                <c:pt idx="1248">
                  <c:v>1249</c:v>
                </c:pt>
                <c:pt idx="1249">
                  <c:v>1250</c:v>
                </c:pt>
                <c:pt idx="1250">
                  <c:v>1251</c:v>
                </c:pt>
                <c:pt idx="1251">
                  <c:v>1252</c:v>
                </c:pt>
                <c:pt idx="1252">
                  <c:v>1253</c:v>
                </c:pt>
                <c:pt idx="1253">
                  <c:v>1254</c:v>
                </c:pt>
                <c:pt idx="1254">
                  <c:v>1255</c:v>
                </c:pt>
                <c:pt idx="1255">
                  <c:v>1256</c:v>
                </c:pt>
                <c:pt idx="1256">
                  <c:v>1257</c:v>
                </c:pt>
                <c:pt idx="1257">
                  <c:v>1258</c:v>
                </c:pt>
                <c:pt idx="1258">
                  <c:v>1259</c:v>
                </c:pt>
                <c:pt idx="1259">
                  <c:v>1260</c:v>
                </c:pt>
                <c:pt idx="1260">
                  <c:v>1261</c:v>
                </c:pt>
                <c:pt idx="1261">
                  <c:v>1262</c:v>
                </c:pt>
                <c:pt idx="1262">
                  <c:v>1263</c:v>
                </c:pt>
                <c:pt idx="1263">
                  <c:v>1264</c:v>
                </c:pt>
                <c:pt idx="1264">
                  <c:v>1265</c:v>
                </c:pt>
                <c:pt idx="1265">
                  <c:v>1266</c:v>
                </c:pt>
                <c:pt idx="1266">
                  <c:v>1267</c:v>
                </c:pt>
                <c:pt idx="1267">
                  <c:v>1268</c:v>
                </c:pt>
                <c:pt idx="1268">
                  <c:v>1269</c:v>
                </c:pt>
                <c:pt idx="1269">
                  <c:v>1270</c:v>
                </c:pt>
                <c:pt idx="1270">
                  <c:v>1271</c:v>
                </c:pt>
                <c:pt idx="1271">
                  <c:v>1272</c:v>
                </c:pt>
                <c:pt idx="1272">
                  <c:v>1273</c:v>
                </c:pt>
                <c:pt idx="1273">
                  <c:v>1274</c:v>
                </c:pt>
                <c:pt idx="1274">
                  <c:v>1275</c:v>
                </c:pt>
                <c:pt idx="1275">
                  <c:v>1276</c:v>
                </c:pt>
                <c:pt idx="1276">
                  <c:v>1277</c:v>
                </c:pt>
                <c:pt idx="1277">
                  <c:v>1278</c:v>
                </c:pt>
                <c:pt idx="1278">
                  <c:v>1279</c:v>
                </c:pt>
                <c:pt idx="1279">
                  <c:v>1280</c:v>
                </c:pt>
                <c:pt idx="1280">
                  <c:v>1281</c:v>
                </c:pt>
                <c:pt idx="1281">
                  <c:v>1282</c:v>
                </c:pt>
                <c:pt idx="1282">
                  <c:v>1283</c:v>
                </c:pt>
                <c:pt idx="1283">
                  <c:v>1284</c:v>
                </c:pt>
                <c:pt idx="1284">
                  <c:v>1285</c:v>
                </c:pt>
                <c:pt idx="1285">
                  <c:v>1286</c:v>
                </c:pt>
                <c:pt idx="1286">
                  <c:v>1287</c:v>
                </c:pt>
                <c:pt idx="1287">
                  <c:v>1288</c:v>
                </c:pt>
                <c:pt idx="1288">
                  <c:v>1289</c:v>
                </c:pt>
                <c:pt idx="1289">
                  <c:v>1290</c:v>
                </c:pt>
                <c:pt idx="1290">
                  <c:v>1291</c:v>
                </c:pt>
                <c:pt idx="1291">
                  <c:v>1292</c:v>
                </c:pt>
                <c:pt idx="1292">
                  <c:v>1293</c:v>
                </c:pt>
                <c:pt idx="1293">
                  <c:v>1294</c:v>
                </c:pt>
                <c:pt idx="1294">
                  <c:v>1295</c:v>
                </c:pt>
                <c:pt idx="1295">
                  <c:v>1296</c:v>
                </c:pt>
                <c:pt idx="1296">
                  <c:v>1297</c:v>
                </c:pt>
                <c:pt idx="1297">
                  <c:v>1298</c:v>
                </c:pt>
                <c:pt idx="1298">
                  <c:v>1299</c:v>
                </c:pt>
                <c:pt idx="1299">
                  <c:v>1300</c:v>
                </c:pt>
                <c:pt idx="1300">
                  <c:v>1301</c:v>
                </c:pt>
                <c:pt idx="1301">
                  <c:v>1302</c:v>
                </c:pt>
                <c:pt idx="1302">
                  <c:v>1303</c:v>
                </c:pt>
                <c:pt idx="1303">
                  <c:v>1304</c:v>
                </c:pt>
                <c:pt idx="1304">
                  <c:v>1305</c:v>
                </c:pt>
                <c:pt idx="1305">
                  <c:v>1306</c:v>
                </c:pt>
                <c:pt idx="1306">
                  <c:v>1307</c:v>
                </c:pt>
                <c:pt idx="1307">
                  <c:v>1308</c:v>
                </c:pt>
                <c:pt idx="1308">
                  <c:v>1309</c:v>
                </c:pt>
                <c:pt idx="1309">
                  <c:v>1310</c:v>
                </c:pt>
                <c:pt idx="1310">
                  <c:v>1311</c:v>
                </c:pt>
                <c:pt idx="1311">
                  <c:v>1312</c:v>
                </c:pt>
                <c:pt idx="1312">
                  <c:v>1313</c:v>
                </c:pt>
                <c:pt idx="1313">
                  <c:v>1314</c:v>
                </c:pt>
                <c:pt idx="1314">
                  <c:v>1315</c:v>
                </c:pt>
                <c:pt idx="1315">
                  <c:v>1316</c:v>
                </c:pt>
                <c:pt idx="1316">
                  <c:v>1317</c:v>
                </c:pt>
                <c:pt idx="1317">
                  <c:v>1318</c:v>
                </c:pt>
                <c:pt idx="1318">
                  <c:v>1319</c:v>
                </c:pt>
                <c:pt idx="1319">
                  <c:v>1320</c:v>
                </c:pt>
                <c:pt idx="1320">
                  <c:v>1321</c:v>
                </c:pt>
                <c:pt idx="1321">
                  <c:v>1322</c:v>
                </c:pt>
                <c:pt idx="1322">
                  <c:v>1323</c:v>
                </c:pt>
                <c:pt idx="1323">
                  <c:v>1324</c:v>
                </c:pt>
                <c:pt idx="1324">
                  <c:v>1325</c:v>
                </c:pt>
                <c:pt idx="1325">
                  <c:v>1326</c:v>
                </c:pt>
                <c:pt idx="1326">
                  <c:v>1327</c:v>
                </c:pt>
                <c:pt idx="1327">
                  <c:v>1328</c:v>
                </c:pt>
                <c:pt idx="1328">
                  <c:v>1329</c:v>
                </c:pt>
                <c:pt idx="1329">
                  <c:v>1330</c:v>
                </c:pt>
                <c:pt idx="1330">
                  <c:v>1331</c:v>
                </c:pt>
                <c:pt idx="1331">
                  <c:v>1332</c:v>
                </c:pt>
                <c:pt idx="1332">
                  <c:v>1333</c:v>
                </c:pt>
                <c:pt idx="1333">
                  <c:v>1334</c:v>
                </c:pt>
                <c:pt idx="1334">
                  <c:v>1335</c:v>
                </c:pt>
                <c:pt idx="1335">
                  <c:v>1336</c:v>
                </c:pt>
                <c:pt idx="1336">
                  <c:v>1337</c:v>
                </c:pt>
                <c:pt idx="1337">
                  <c:v>1338</c:v>
                </c:pt>
                <c:pt idx="1338">
                  <c:v>1339</c:v>
                </c:pt>
                <c:pt idx="1339">
                  <c:v>1340</c:v>
                </c:pt>
                <c:pt idx="1340">
                  <c:v>1341</c:v>
                </c:pt>
                <c:pt idx="1341">
                  <c:v>1342</c:v>
                </c:pt>
                <c:pt idx="1342">
                  <c:v>1343</c:v>
                </c:pt>
                <c:pt idx="1343">
                  <c:v>1344</c:v>
                </c:pt>
                <c:pt idx="1344">
                  <c:v>1345</c:v>
                </c:pt>
                <c:pt idx="1345">
                  <c:v>1346</c:v>
                </c:pt>
                <c:pt idx="1346">
                  <c:v>1347</c:v>
                </c:pt>
                <c:pt idx="1347">
                  <c:v>1348</c:v>
                </c:pt>
                <c:pt idx="1348">
                  <c:v>1349</c:v>
                </c:pt>
                <c:pt idx="1349">
                  <c:v>1350</c:v>
                </c:pt>
                <c:pt idx="1350">
                  <c:v>1351</c:v>
                </c:pt>
                <c:pt idx="1351">
                  <c:v>1352</c:v>
                </c:pt>
                <c:pt idx="1352">
                  <c:v>1353</c:v>
                </c:pt>
                <c:pt idx="1353">
                  <c:v>1354</c:v>
                </c:pt>
                <c:pt idx="1354">
                  <c:v>1355</c:v>
                </c:pt>
                <c:pt idx="1355">
                  <c:v>1356</c:v>
                </c:pt>
                <c:pt idx="1356">
                  <c:v>1357</c:v>
                </c:pt>
                <c:pt idx="1357">
                  <c:v>1358</c:v>
                </c:pt>
                <c:pt idx="1358">
                  <c:v>1359</c:v>
                </c:pt>
                <c:pt idx="1359">
                  <c:v>1360</c:v>
                </c:pt>
                <c:pt idx="1360">
                  <c:v>1361</c:v>
                </c:pt>
                <c:pt idx="1361">
                  <c:v>1362</c:v>
                </c:pt>
                <c:pt idx="1362">
                  <c:v>1363</c:v>
                </c:pt>
                <c:pt idx="1363">
                  <c:v>1364</c:v>
                </c:pt>
                <c:pt idx="1364">
                  <c:v>1365</c:v>
                </c:pt>
                <c:pt idx="1365">
                  <c:v>1366</c:v>
                </c:pt>
                <c:pt idx="1366">
                  <c:v>1367</c:v>
                </c:pt>
                <c:pt idx="1367">
                  <c:v>1368</c:v>
                </c:pt>
                <c:pt idx="1368">
                  <c:v>1369</c:v>
                </c:pt>
                <c:pt idx="1369">
                  <c:v>1370</c:v>
                </c:pt>
                <c:pt idx="1370">
                  <c:v>1371</c:v>
                </c:pt>
                <c:pt idx="1371">
                  <c:v>1372</c:v>
                </c:pt>
                <c:pt idx="1372">
                  <c:v>1373</c:v>
                </c:pt>
                <c:pt idx="1373">
                  <c:v>1374</c:v>
                </c:pt>
                <c:pt idx="1374">
                  <c:v>1375</c:v>
                </c:pt>
                <c:pt idx="1375">
                  <c:v>1376</c:v>
                </c:pt>
                <c:pt idx="1376">
                  <c:v>1377</c:v>
                </c:pt>
                <c:pt idx="1377">
                  <c:v>1378</c:v>
                </c:pt>
                <c:pt idx="1378">
                  <c:v>1379</c:v>
                </c:pt>
                <c:pt idx="1379">
                  <c:v>1380</c:v>
                </c:pt>
                <c:pt idx="1380">
                  <c:v>1381</c:v>
                </c:pt>
                <c:pt idx="1381">
                  <c:v>1382</c:v>
                </c:pt>
                <c:pt idx="1382">
                  <c:v>1383</c:v>
                </c:pt>
                <c:pt idx="1383">
                  <c:v>1384</c:v>
                </c:pt>
                <c:pt idx="1384">
                  <c:v>1385</c:v>
                </c:pt>
                <c:pt idx="1385">
                  <c:v>1386</c:v>
                </c:pt>
                <c:pt idx="1386">
                  <c:v>1387</c:v>
                </c:pt>
                <c:pt idx="1387">
                  <c:v>1388</c:v>
                </c:pt>
                <c:pt idx="1388">
                  <c:v>1389</c:v>
                </c:pt>
                <c:pt idx="1389">
                  <c:v>1390</c:v>
                </c:pt>
                <c:pt idx="1390">
                  <c:v>1391</c:v>
                </c:pt>
                <c:pt idx="1391">
                  <c:v>1392</c:v>
                </c:pt>
                <c:pt idx="1392">
                  <c:v>1393</c:v>
                </c:pt>
                <c:pt idx="1393">
                  <c:v>1394</c:v>
                </c:pt>
                <c:pt idx="1394">
                  <c:v>1395</c:v>
                </c:pt>
                <c:pt idx="1395">
                  <c:v>1396</c:v>
                </c:pt>
                <c:pt idx="1396">
                  <c:v>1397</c:v>
                </c:pt>
                <c:pt idx="1397">
                  <c:v>1398</c:v>
                </c:pt>
                <c:pt idx="1398">
                  <c:v>1399</c:v>
                </c:pt>
                <c:pt idx="1399">
                  <c:v>1400</c:v>
                </c:pt>
                <c:pt idx="1400">
                  <c:v>1401</c:v>
                </c:pt>
                <c:pt idx="1401">
                  <c:v>1402</c:v>
                </c:pt>
                <c:pt idx="1402">
                  <c:v>1403</c:v>
                </c:pt>
                <c:pt idx="1403">
                  <c:v>1404</c:v>
                </c:pt>
                <c:pt idx="1404">
                  <c:v>1405</c:v>
                </c:pt>
                <c:pt idx="1405">
                  <c:v>1406</c:v>
                </c:pt>
                <c:pt idx="1406">
                  <c:v>1407</c:v>
                </c:pt>
                <c:pt idx="1407">
                  <c:v>1408</c:v>
                </c:pt>
                <c:pt idx="1408">
                  <c:v>1409</c:v>
                </c:pt>
                <c:pt idx="1409">
                  <c:v>1410</c:v>
                </c:pt>
                <c:pt idx="1410">
                  <c:v>1411</c:v>
                </c:pt>
                <c:pt idx="1411">
                  <c:v>1412</c:v>
                </c:pt>
                <c:pt idx="1412">
                  <c:v>1413</c:v>
                </c:pt>
                <c:pt idx="1413">
                  <c:v>1414</c:v>
                </c:pt>
                <c:pt idx="1414">
                  <c:v>1415</c:v>
                </c:pt>
                <c:pt idx="1415">
                  <c:v>1416</c:v>
                </c:pt>
                <c:pt idx="1416">
                  <c:v>1417</c:v>
                </c:pt>
                <c:pt idx="1417">
                  <c:v>1418</c:v>
                </c:pt>
                <c:pt idx="1418">
                  <c:v>1419</c:v>
                </c:pt>
                <c:pt idx="1419">
                  <c:v>1420</c:v>
                </c:pt>
                <c:pt idx="1420">
                  <c:v>1421</c:v>
                </c:pt>
                <c:pt idx="1421">
                  <c:v>1422</c:v>
                </c:pt>
                <c:pt idx="1422">
                  <c:v>1423</c:v>
                </c:pt>
                <c:pt idx="1423">
                  <c:v>1424</c:v>
                </c:pt>
                <c:pt idx="1424">
                  <c:v>1425</c:v>
                </c:pt>
                <c:pt idx="1425">
                  <c:v>1426</c:v>
                </c:pt>
                <c:pt idx="1426">
                  <c:v>1427</c:v>
                </c:pt>
                <c:pt idx="1427">
                  <c:v>1428</c:v>
                </c:pt>
                <c:pt idx="1428">
                  <c:v>1429</c:v>
                </c:pt>
                <c:pt idx="1429">
                  <c:v>1430</c:v>
                </c:pt>
                <c:pt idx="1430">
                  <c:v>1431</c:v>
                </c:pt>
                <c:pt idx="1431">
                  <c:v>1432</c:v>
                </c:pt>
                <c:pt idx="1432">
                  <c:v>1433</c:v>
                </c:pt>
                <c:pt idx="1433">
                  <c:v>1434</c:v>
                </c:pt>
                <c:pt idx="1434">
                  <c:v>1435</c:v>
                </c:pt>
                <c:pt idx="1435">
                  <c:v>1436</c:v>
                </c:pt>
                <c:pt idx="1436">
                  <c:v>1437</c:v>
                </c:pt>
                <c:pt idx="1437">
                  <c:v>1438</c:v>
                </c:pt>
                <c:pt idx="1438">
                  <c:v>1439</c:v>
                </c:pt>
                <c:pt idx="1439">
                  <c:v>1440</c:v>
                </c:pt>
                <c:pt idx="1440">
                  <c:v>1441</c:v>
                </c:pt>
                <c:pt idx="1441">
                  <c:v>1442</c:v>
                </c:pt>
                <c:pt idx="1442">
                  <c:v>1443</c:v>
                </c:pt>
                <c:pt idx="1443">
                  <c:v>1444</c:v>
                </c:pt>
                <c:pt idx="1444">
                  <c:v>1445</c:v>
                </c:pt>
                <c:pt idx="1445">
                  <c:v>1446</c:v>
                </c:pt>
                <c:pt idx="1446">
                  <c:v>1447</c:v>
                </c:pt>
                <c:pt idx="1447">
                  <c:v>1448</c:v>
                </c:pt>
                <c:pt idx="1448">
                  <c:v>1449</c:v>
                </c:pt>
                <c:pt idx="1449">
                  <c:v>1450</c:v>
                </c:pt>
                <c:pt idx="1450">
                  <c:v>1451</c:v>
                </c:pt>
                <c:pt idx="1451">
                  <c:v>1452</c:v>
                </c:pt>
                <c:pt idx="1452">
                  <c:v>1453</c:v>
                </c:pt>
                <c:pt idx="1453">
                  <c:v>1454</c:v>
                </c:pt>
                <c:pt idx="1454">
                  <c:v>1455</c:v>
                </c:pt>
                <c:pt idx="1455">
                  <c:v>1456</c:v>
                </c:pt>
                <c:pt idx="1456">
                  <c:v>1457</c:v>
                </c:pt>
                <c:pt idx="1457">
                  <c:v>1458</c:v>
                </c:pt>
                <c:pt idx="1458">
                  <c:v>1459</c:v>
                </c:pt>
                <c:pt idx="1459">
                  <c:v>1460</c:v>
                </c:pt>
              </c:numCache>
            </c:numRef>
          </c:cat>
          <c:val>
            <c:numRef>
              <c:f>DEMANDA_PREVISIÓN!$D$5:$D$1464</c:f>
              <c:numCache>
                <c:formatCode>General</c:formatCode>
                <c:ptCount val="1460"/>
                <c:pt idx="0">
                  <c:v>12</c:v>
                </c:pt>
                <c:pt idx="1">
                  <c:v>40</c:v>
                </c:pt>
                <c:pt idx="2">
                  <c:v>45</c:v>
                </c:pt>
                <c:pt idx="3">
                  <c:v>34</c:v>
                </c:pt>
                <c:pt idx="4">
                  <c:v>37</c:v>
                </c:pt>
                <c:pt idx="5">
                  <c:v>45</c:v>
                </c:pt>
                <c:pt idx="6">
                  <c:v>38</c:v>
                </c:pt>
                <c:pt idx="7">
                  <c:v>32</c:v>
                </c:pt>
                <c:pt idx="8">
                  <c:v>33</c:v>
                </c:pt>
                <c:pt idx="9">
                  <c:v>40</c:v>
                </c:pt>
                <c:pt idx="10">
                  <c:v>36</c:v>
                </c:pt>
                <c:pt idx="11">
                  <c:v>44</c:v>
                </c:pt>
                <c:pt idx="12">
                  <c:v>35</c:v>
                </c:pt>
                <c:pt idx="13">
                  <c:v>44</c:v>
                </c:pt>
                <c:pt idx="14">
                  <c:v>48</c:v>
                </c:pt>
                <c:pt idx="15">
                  <c:v>51</c:v>
                </c:pt>
                <c:pt idx="16">
                  <c:v>37</c:v>
                </c:pt>
                <c:pt idx="17">
                  <c:v>34</c:v>
                </c:pt>
                <c:pt idx="18">
                  <c:v>44</c:v>
                </c:pt>
                <c:pt idx="19">
                  <c:v>32</c:v>
                </c:pt>
                <c:pt idx="20">
                  <c:v>45</c:v>
                </c:pt>
                <c:pt idx="21">
                  <c:v>53</c:v>
                </c:pt>
                <c:pt idx="22">
                  <c:v>48</c:v>
                </c:pt>
                <c:pt idx="23">
                  <c:v>28</c:v>
                </c:pt>
                <c:pt idx="24">
                  <c:v>45</c:v>
                </c:pt>
                <c:pt idx="25">
                  <c:v>36</c:v>
                </c:pt>
                <c:pt idx="26">
                  <c:v>32</c:v>
                </c:pt>
                <c:pt idx="27">
                  <c:v>50</c:v>
                </c:pt>
                <c:pt idx="28">
                  <c:v>26</c:v>
                </c:pt>
                <c:pt idx="29">
                  <c:v>43</c:v>
                </c:pt>
                <c:pt idx="30">
                  <c:v>54</c:v>
                </c:pt>
                <c:pt idx="31">
                  <c:v>45</c:v>
                </c:pt>
                <c:pt idx="32">
                  <c:v>39</c:v>
                </c:pt>
                <c:pt idx="33">
                  <c:v>39</c:v>
                </c:pt>
                <c:pt idx="34">
                  <c:v>51</c:v>
                </c:pt>
                <c:pt idx="35">
                  <c:v>49</c:v>
                </c:pt>
                <c:pt idx="36">
                  <c:v>35</c:v>
                </c:pt>
                <c:pt idx="37">
                  <c:v>45</c:v>
                </c:pt>
                <c:pt idx="38">
                  <c:v>45</c:v>
                </c:pt>
                <c:pt idx="39">
                  <c:v>40</c:v>
                </c:pt>
                <c:pt idx="40">
                  <c:v>37</c:v>
                </c:pt>
                <c:pt idx="41">
                  <c:v>52</c:v>
                </c:pt>
                <c:pt idx="42">
                  <c:v>43</c:v>
                </c:pt>
                <c:pt idx="43">
                  <c:v>42</c:v>
                </c:pt>
                <c:pt idx="44">
                  <c:v>52</c:v>
                </c:pt>
                <c:pt idx="45">
                  <c:v>41</c:v>
                </c:pt>
                <c:pt idx="46">
                  <c:v>43</c:v>
                </c:pt>
                <c:pt idx="47">
                  <c:v>45</c:v>
                </c:pt>
                <c:pt idx="48">
                  <c:v>30</c:v>
                </c:pt>
                <c:pt idx="49">
                  <c:v>40</c:v>
                </c:pt>
                <c:pt idx="50">
                  <c:v>35</c:v>
                </c:pt>
                <c:pt idx="51">
                  <c:v>53</c:v>
                </c:pt>
                <c:pt idx="52">
                  <c:v>44</c:v>
                </c:pt>
                <c:pt idx="53">
                  <c:v>40</c:v>
                </c:pt>
                <c:pt idx="54">
                  <c:v>48</c:v>
                </c:pt>
                <c:pt idx="55">
                  <c:v>46</c:v>
                </c:pt>
                <c:pt idx="56">
                  <c:v>41</c:v>
                </c:pt>
                <c:pt idx="57">
                  <c:v>48</c:v>
                </c:pt>
                <c:pt idx="58">
                  <c:v>51</c:v>
                </c:pt>
                <c:pt idx="59">
                  <c:v>47</c:v>
                </c:pt>
                <c:pt idx="60">
                  <c:v>45</c:v>
                </c:pt>
                <c:pt idx="61">
                  <c:v>34</c:v>
                </c:pt>
                <c:pt idx="62">
                  <c:v>37</c:v>
                </c:pt>
                <c:pt idx="63">
                  <c:v>34</c:v>
                </c:pt>
                <c:pt idx="64">
                  <c:v>49</c:v>
                </c:pt>
                <c:pt idx="65">
                  <c:v>39</c:v>
                </c:pt>
                <c:pt idx="66">
                  <c:v>61</c:v>
                </c:pt>
                <c:pt idx="67">
                  <c:v>55</c:v>
                </c:pt>
                <c:pt idx="68">
                  <c:v>53</c:v>
                </c:pt>
                <c:pt idx="69">
                  <c:v>30</c:v>
                </c:pt>
                <c:pt idx="70">
                  <c:v>50</c:v>
                </c:pt>
                <c:pt idx="71">
                  <c:v>44</c:v>
                </c:pt>
                <c:pt idx="72">
                  <c:v>40</c:v>
                </c:pt>
                <c:pt idx="73">
                  <c:v>44</c:v>
                </c:pt>
                <c:pt idx="74">
                  <c:v>51</c:v>
                </c:pt>
                <c:pt idx="75">
                  <c:v>46</c:v>
                </c:pt>
                <c:pt idx="76">
                  <c:v>41</c:v>
                </c:pt>
                <c:pt idx="77">
                  <c:v>43</c:v>
                </c:pt>
                <c:pt idx="78">
                  <c:v>59</c:v>
                </c:pt>
                <c:pt idx="79">
                  <c:v>45</c:v>
                </c:pt>
                <c:pt idx="80">
                  <c:v>33</c:v>
                </c:pt>
                <c:pt idx="81">
                  <c:v>42</c:v>
                </c:pt>
                <c:pt idx="82">
                  <c:v>40</c:v>
                </c:pt>
                <c:pt idx="83">
                  <c:v>47</c:v>
                </c:pt>
                <c:pt idx="84">
                  <c:v>53</c:v>
                </c:pt>
                <c:pt idx="85">
                  <c:v>44</c:v>
                </c:pt>
                <c:pt idx="86">
                  <c:v>42</c:v>
                </c:pt>
                <c:pt idx="87">
                  <c:v>38</c:v>
                </c:pt>
                <c:pt idx="88">
                  <c:v>51</c:v>
                </c:pt>
                <c:pt idx="89">
                  <c:v>44</c:v>
                </c:pt>
                <c:pt idx="90">
                  <c:v>32</c:v>
                </c:pt>
                <c:pt idx="91">
                  <c:v>34</c:v>
                </c:pt>
                <c:pt idx="92">
                  <c:v>50</c:v>
                </c:pt>
                <c:pt idx="93">
                  <c:v>47</c:v>
                </c:pt>
                <c:pt idx="94">
                  <c:v>43</c:v>
                </c:pt>
                <c:pt idx="95">
                  <c:v>37</c:v>
                </c:pt>
                <c:pt idx="96">
                  <c:v>41</c:v>
                </c:pt>
                <c:pt idx="97">
                  <c:v>36</c:v>
                </c:pt>
                <c:pt idx="98">
                  <c:v>52</c:v>
                </c:pt>
                <c:pt idx="99">
                  <c:v>53</c:v>
                </c:pt>
                <c:pt idx="100">
                  <c:v>43</c:v>
                </c:pt>
                <c:pt idx="101">
                  <c:v>30</c:v>
                </c:pt>
                <c:pt idx="102">
                  <c:v>47</c:v>
                </c:pt>
                <c:pt idx="103">
                  <c:v>43</c:v>
                </c:pt>
                <c:pt idx="104">
                  <c:v>49</c:v>
                </c:pt>
                <c:pt idx="105">
                  <c:v>45</c:v>
                </c:pt>
                <c:pt idx="106">
                  <c:v>43</c:v>
                </c:pt>
                <c:pt idx="107">
                  <c:v>38</c:v>
                </c:pt>
                <c:pt idx="108">
                  <c:v>48</c:v>
                </c:pt>
                <c:pt idx="109">
                  <c:v>39</c:v>
                </c:pt>
                <c:pt idx="110">
                  <c:v>56</c:v>
                </c:pt>
                <c:pt idx="111">
                  <c:v>47</c:v>
                </c:pt>
                <c:pt idx="112">
                  <c:v>54</c:v>
                </c:pt>
                <c:pt idx="113">
                  <c:v>50</c:v>
                </c:pt>
                <c:pt idx="114">
                  <c:v>49</c:v>
                </c:pt>
                <c:pt idx="115">
                  <c:v>31</c:v>
                </c:pt>
                <c:pt idx="116">
                  <c:v>54</c:v>
                </c:pt>
                <c:pt idx="117">
                  <c:v>44</c:v>
                </c:pt>
                <c:pt idx="118">
                  <c:v>44</c:v>
                </c:pt>
                <c:pt idx="119">
                  <c:v>39</c:v>
                </c:pt>
                <c:pt idx="120">
                  <c:v>43</c:v>
                </c:pt>
                <c:pt idx="121">
                  <c:v>43</c:v>
                </c:pt>
                <c:pt idx="122">
                  <c:v>33</c:v>
                </c:pt>
                <c:pt idx="123">
                  <c:v>55</c:v>
                </c:pt>
                <c:pt idx="124">
                  <c:v>42</c:v>
                </c:pt>
                <c:pt idx="125">
                  <c:v>35</c:v>
                </c:pt>
                <c:pt idx="126">
                  <c:v>59</c:v>
                </c:pt>
                <c:pt idx="127">
                  <c:v>33</c:v>
                </c:pt>
                <c:pt idx="128">
                  <c:v>41</c:v>
                </c:pt>
                <c:pt idx="129">
                  <c:v>53</c:v>
                </c:pt>
                <c:pt idx="130">
                  <c:v>45</c:v>
                </c:pt>
                <c:pt idx="131">
                  <c:v>43</c:v>
                </c:pt>
                <c:pt idx="132">
                  <c:v>35</c:v>
                </c:pt>
                <c:pt idx="133">
                  <c:v>39</c:v>
                </c:pt>
                <c:pt idx="134">
                  <c:v>43</c:v>
                </c:pt>
                <c:pt idx="135">
                  <c:v>40</c:v>
                </c:pt>
                <c:pt idx="136">
                  <c:v>38</c:v>
                </c:pt>
                <c:pt idx="137">
                  <c:v>50</c:v>
                </c:pt>
                <c:pt idx="138">
                  <c:v>51</c:v>
                </c:pt>
                <c:pt idx="139">
                  <c:v>46</c:v>
                </c:pt>
                <c:pt idx="140">
                  <c:v>45</c:v>
                </c:pt>
                <c:pt idx="141">
                  <c:v>45</c:v>
                </c:pt>
                <c:pt idx="142">
                  <c:v>38</c:v>
                </c:pt>
                <c:pt idx="143">
                  <c:v>36</c:v>
                </c:pt>
                <c:pt idx="144">
                  <c:v>62</c:v>
                </c:pt>
                <c:pt idx="145">
                  <c:v>49</c:v>
                </c:pt>
                <c:pt idx="146">
                  <c:v>28</c:v>
                </c:pt>
                <c:pt idx="147">
                  <c:v>50</c:v>
                </c:pt>
                <c:pt idx="148">
                  <c:v>45</c:v>
                </c:pt>
                <c:pt idx="149">
                  <c:v>46</c:v>
                </c:pt>
                <c:pt idx="150">
                  <c:v>42</c:v>
                </c:pt>
                <c:pt idx="151">
                  <c:v>27</c:v>
                </c:pt>
                <c:pt idx="152">
                  <c:v>35</c:v>
                </c:pt>
                <c:pt idx="153">
                  <c:v>42</c:v>
                </c:pt>
                <c:pt idx="154">
                  <c:v>35</c:v>
                </c:pt>
                <c:pt idx="155">
                  <c:v>36</c:v>
                </c:pt>
                <c:pt idx="156">
                  <c:v>45</c:v>
                </c:pt>
                <c:pt idx="157">
                  <c:v>45</c:v>
                </c:pt>
                <c:pt idx="158">
                  <c:v>44</c:v>
                </c:pt>
                <c:pt idx="159">
                  <c:v>18</c:v>
                </c:pt>
                <c:pt idx="160">
                  <c:v>34</c:v>
                </c:pt>
                <c:pt idx="161">
                  <c:v>40</c:v>
                </c:pt>
                <c:pt idx="162">
                  <c:v>38</c:v>
                </c:pt>
                <c:pt idx="163">
                  <c:v>32</c:v>
                </c:pt>
                <c:pt idx="164">
                  <c:v>44</c:v>
                </c:pt>
                <c:pt idx="165">
                  <c:v>54</c:v>
                </c:pt>
                <c:pt idx="166">
                  <c:v>33</c:v>
                </c:pt>
                <c:pt idx="167">
                  <c:v>44</c:v>
                </c:pt>
                <c:pt idx="168">
                  <c:v>47</c:v>
                </c:pt>
                <c:pt idx="169">
                  <c:v>30</c:v>
                </c:pt>
                <c:pt idx="170">
                  <c:v>25</c:v>
                </c:pt>
                <c:pt idx="171">
                  <c:v>39</c:v>
                </c:pt>
                <c:pt idx="172">
                  <c:v>34</c:v>
                </c:pt>
                <c:pt idx="173">
                  <c:v>35</c:v>
                </c:pt>
                <c:pt idx="174">
                  <c:v>37</c:v>
                </c:pt>
                <c:pt idx="175">
                  <c:v>41</c:v>
                </c:pt>
                <c:pt idx="176">
                  <c:v>44</c:v>
                </c:pt>
                <c:pt idx="177">
                  <c:v>34</c:v>
                </c:pt>
                <c:pt idx="178">
                  <c:v>48</c:v>
                </c:pt>
                <c:pt idx="179">
                  <c:v>40</c:v>
                </c:pt>
                <c:pt idx="180">
                  <c:v>50</c:v>
                </c:pt>
                <c:pt idx="181">
                  <c:v>38</c:v>
                </c:pt>
                <c:pt idx="182">
                  <c:v>34</c:v>
                </c:pt>
                <c:pt idx="183">
                  <c:v>41</c:v>
                </c:pt>
                <c:pt idx="184">
                  <c:v>35</c:v>
                </c:pt>
                <c:pt idx="185">
                  <c:v>32</c:v>
                </c:pt>
                <c:pt idx="186">
                  <c:v>36</c:v>
                </c:pt>
                <c:pt idx="187">
                  <c:v>42</c:v>
                </c:pt>
                <c:pt idx="188">
                  <c:v>48</c:v>
                </c:pt>
                <c:pt idx="189">
                  <c:v>40</c:v>
                </c:pt>
                <c:pt idx="190">
                  <c:v>31</c:v>
                </c:pt>
                <c:pt idx="191">
                  <c:v>35</c:v>
                </c:pt>
                <c:pt idx="192">
                  <c:v>32</c:v>
                </c:pt>
                <c:pt idx="193">
                  <c:v>44</c:v>
                </c:pt>
                <c:pt idx="194">
                  <c:v>28</c:v>
                </c:pt>
                <c:pt idx="195">
                  <c:v>49</c:v>
                </c:pt>
                <c:pt idx="196">
                  <c:v>47</c:v>
                </c:pt>
                <c:pt idx="197">
                  <c:v>31</c:v>
                </c:pt>
                <c:pt idx="198">
                  <c:v>27</c:v>
                </c:pt>
                <c:pt idx="199">
                  <c:v>41</c:v>
                </c:pt>
                <c:pt idx="200">
                  <c:v>54</c:v>
                </c:pt>
                <c:pt idx="201">
                  <c:v>44</c:v>
                </c:pt>
                <c:pt idx="202">
                  <c:v>32</c:v>
                </c:pt>
                <c:pt idx="203">
                  <c:v>55</c:v>
                </c:pt>
                <c:pt idx="204">
                  <c:v>44</c:v>
                </c:pt>
                <c:pt idx="205">
                  <c:v>33</c:v>
                </c:pt>
                <c:pt idx="206">
                  <c:v>24</c:v>
                </c:pt>
                <c:pt idx="207">
                  <c:v>52</c:v>
                </c:pt>
                <c:pt idx="208">
                  <c:v>31</c:v>
                </c:pt>
                <c:pt idx="209">
                  <c:v>14</c:v>
                </c:pt>
                <c:pt idx="210">
                  <c:v>44</c:v>
                </c:pt>
                <c:pt idx="211">
                  <c:v>35</c:v>
                </c:pt>
                <c:pt idx="212">
                  <c:v>30</c:v>
                </c:pt>
                <c:pt idx="213">
                  <c:v>57</c:v>
                </c:pt>
                <c:pt idx="214">
                  <c:v>26</c:v>
                </c:pt>
                <c:pt idx="215">
                  <c:v>41</c:v>
                </c:pt>
                <c:pt idx="216">
                  <c:v>34</c:v>
                </c:pt>
                <c:pt idx="217">
                  <c:v>39</c:v>
                </c:pt>
                <c:pt idx="218">
                  <c:v>45</c:v>
                </c:pt>
                <c:pt idx="219">
                  <c:v>35</c:v>
                </c:pt>
                <c:pt idx="220">
                  <c:v>31</c:v>
                </c:pt>
                <c:pt idx="221">
                  <c:v>34</c:v>
                </c:pt>
                <c:pt idx="222">
                  <c:v>22</c:v>
                </c:pt>
                <c:pt idx="223">
                  <c:v>37</c:v>
                </c:pt>
                <c:pt idx="224">
                  <c:v>34</c:v>
                </c:pt>
                <c:pt idx="225">
                  <c:v>52</c:v>
                </c:pt>
                <c:pt idx="226">
                  <c:v>39</c:v>
                </c:pt>
                <c:pt idx="227">
                  <c:v>29</c:v>
                </c:pt>
                <c:pt idx="228">
                  <c:v>32</c:v>
                </c:pt>
                <c:pt idx="229">
                  <c:v>42</c:v>
                </c:pt>
                <c:pt idx="230">
                  <c:v>40</c:v>
                </c:pt>
                <c:pt idx="231">
                  <c:v>33</c:v>
                </c:pt>
                <c:pt idx="232">
                  <c:v>41</c:v>
                </c:pt>
                <c:pt idx="233">
                  <c:v>37</c:v>
                </c:pt>
                <c:pt idx="234">
                  <c:v>34</c:v>
                </c:pt>
                <c:pt idx="235">
                  <c:v>44</c:v>
                </c:pt>
                <c:pt idx="236">
                  <c:v>32</c:v>
                </c:pt>
                <c:pt idx="237">
                  <c:v>39</c:v>
                </c:pt>
                <c:pt idx="238">
                  <c:v>37</c:v>
                </c:pt>
                <c:pt idx="239">
                  <c:v>36</c:v>
                </c:pt>
                <c:pt idx="240">
                  <c:v>39</c:v>
                </c:pt>
                <c:pt idx="241">
                  <c:v>41</c:v>
                </c:pt>
                <c:pt idx="242">
                  <c:v>38</c:v>
                </c:pt>
                <c:pt idx="243">
                  <c:v>22</c:v>
                </c:pt>
                <c:pt idx="244">
                  <c:v>39</c:v>
                </c:pt>
                <c:pt idx="245">
                  <c:v>21</c:v>
                </c:pt>
                <c:pt idx="246">
                  <c:v>35</c:v>
                </c:pt>
                <c:pt idx="247">
                  <c:v>32</c:v>
                </c:pt>
                <c:pt idx="248">
                  <c:v>37</c:v>
                </c:pt>
                <c:pt idx="249">
                  <c:v>35</c:v>
                </c:pt>
                <c:pt idx="250">
                  <c:v>34</c:v>
                </c:pt>
                <c:pt idx="251">
                  <c:v>39</c:v>
                </c:pt>
                <c:pt idx="252">
                  <c:v>10</c:v>
                </c:pt>
                <c:pt idx="253">
                  <c:v>38</c:v>
                </c:pt>
                <c:pt idx="254">
                  <c:v>24</c:v>
                </c:pt>
                <c:pt idx="255">
                  <c:v>37</c:v>
                </c:pt>
                <c:pt idx="256">
                  <c:v>34</c:v>
                </c:pt>
                <c:pt idx="257">
                  <c:v>47</c:v>
                </c:pt>
                <c:pt idx="258">
                  <c:v>18</c:v>
                </c:pt>
                <c:pt idx="259">
                  <c:v>35</c:v>
                </c:pt>
                <c:pt idx="260">
                  <c:v>30</c:v>
                </c:pt>
                <c:pt idx="261">
                  <c:v>36</c:v>
                </c:pt>
                <c:pt idx="262">
                  <c:v>30</c:v>
                </c:pt>
                <c:pt idx="263">
                  <c:v>29</c:v>
                </c:pt>
                <c:pt idx="264">
                  <c:v>33</c:v>
                </c:pt>
                <c:pt idx="265">
                  <c:v>37</c:v>
                </c:pt>
                <c:pt idx="266">
                  <c:v>39</c:v>
                </c:pt>
                <c:pt idx="267">
                  <c:v>32</c:v>
                </c:pt>
                <c:pt idx="268">
                  <c:v>34</c:v>
                </c:pt>
                <c:pt idx="269">
                  <c:v>21</c:v>
                </c:pt>
                <c:pt idx="270">
                  <c:v>32</c:v>
                </c:pt>
                <c:pt idx="271">
                  <c:v>35</c:v>
                </c:pt>
                <c:pt idx="272">
                  <c:v>42</c:v>
                </c:pt>
                <c:pt idx="273">
                  <c:v>40</c:v>
                </c:pt>
                <c:pt idx="274">
                  <c:v>34</c:v>
                </c:pt>
                <c:pt idx="275">
                  <c:v>37</c:v>
                </c:pt>
                <c:pt idx="276">
                  <c:v>27</c:v>
                </c:pt>
                <c:pt idx="277">
                  <c:v>20</c:v>
                </c:pt>
                <c:pt idx="278">
                  <c:v>26</c:v>
                </c:pt>
                <c:pt idx="279">
                  <c:v>25</c:v>
                </c:pt>
                <c:pt idx="280">
                  <c:v>41</c:v>
                </c:pt>
                <c:pt idx="281">
                  <c:v>38</c:v>
                </c:pt>
                <c:pt idx="282">
                  <c:v>48</c:v>
                </c:pt>
                <c:pt idx="283">
                  <c:v>34</c:v>
                </c:pt>
                <c:pt idx="284">
                  <c:v>24</c:v>
                </c:pt>
                <c:pt idx="285">
                  <c:v>43</c:v>
                </c:pt>
                <c:pt idx="286">
                  <c:v>35</c:v>
                </c:pt>
                <c:pt idx="287">
                  <c:v>24</c:v>
                </c:pt>
                <c:pt idx="288">
                  <c:v>34</c:v>
                </c:pt>
                <c:pt idx="289">
                  <c:v>37</c:v>
                </c:pt>
                <c:pt idx="290">
                  <c:v>24</c:v>
                </c:pt>
                <c:pt idx="291">
                  <c:v>42</c:v>
                </c:pt>
                <c:pt idx="292">
                  <c:v>49</c:v>
                </c:pt>
                <c:pt idx="293">
                  <c:v>29</c:v>
                </c:pt>
                <c:pt idx="294">
                  <c:v>33</c:v>
                </c:pt>
                <c:pt idx="295">
                  <c:v>40</c:v>
                </c:pt>
                <c:pt idx="296">
                  <c:v>33</c:v>
                </c:pt>
                <c:pt idx="297">
                  <c:v>43</c:v>
                </c:pt>
                <c:pt idx="298">
                  <c:v>41</c:v>
                </c:pt>
                <c:pt idx="299">
                  <c:v>40</c:v>
                </c:pt>
                <c:pt idx="300">
                  <c:v>29</c:v>
                </c:pt>
                <c:pt idx="301">
                  <c:v>47</c:v>
                </c:pt>
                <c:pt idx="302">
                  <c:v>41</c:v>
                </c:pt>
                <c:pt idx="303">
                  <c:v>26</c:v>
                </c:pt>
                <c:pt idx="304">
                  <c:v>14</c:v>
                </c:pt>
                <c:pt idx="305">
                  <c:v>37</c:v>
                </c:pt>
                <c:pt idx="306">
                  <c:v>47</c:v>
                </c:pt>
                <c:pt idx="307">
                  <c:v>32</c:v>
                </c:pt>
                <c:pt idx="308">
                  <c:v>34</c:v>
                </c:pt>
                <c:pt idx="309">
                  <c:v>28</c:v>
                </c:pt>
                <c:pt idx="310">
                  <c:v>29</c:v>
                </c:pt>
                <c:pt idx="311">
                  <c:v>38</c:v>
                </c:pt>
                <c:pt idx="312">
                  <c:v>30</c:v>
                </c:pt>
                <c:pt idx="313">
                  <c:v>36</c:v>
                </c:pt>
                <c:pt idx="314">
                  <c:v>36</c:v>
                </c:pt>
                <c:pt idx="315">
                  <c:v>34</c:v>
                </c:pt>
                <c:pt idx="316">
                  <c:v>42</c:v>
                </c:pt>
                <c:pt idx="317">
                  <c:v>49</c:v>
                </c:pt>
                <c:pt idx="318">
                  <c:v>40</c:v>
                </c:pt>
                <c:pt idx="319">
                  <c:v>38</c:v>
                </c:pt>
                <c:pt idx="320">
                  <c:v>39</c:v>
                </c:pt>
                <c:pt idx="321">
                  <c:v>36</c:v>
                </c:pt>
                <c:pt idx="322">
                  <c:v>32</c:v>
                </c:pt>
                <c:pt idx="323">
                  <c:v>43</c:v>
                </c:pt>
                <c:pt idx="324">
                  <c:v>34</c:v>
                </c:pt>
                <c:pt idx="325">
                  <c:v>40</c:v>
                </c:pt>
                <c:pt idx="326">
                  <c:v>38</c:v>
                </c:pt>
                <c:pt idx="327">
                  <c:v>42</c:v>
                </c:pt>
                <c:pt idx="328">
                  <c:v>42</c:v>
                </c:pt>
                <c:pt idx="329">
                  <c:v>41</c:v>
                </c:pt>
                <c:pt idx="330">
                  <c:v>21</c:v>
                </c:pt>
                <c:pt idx="331">
                  <c:v>38</c:v>
                </c:pt>
                <c:pt idx="332">
                  <c:v>42</c:v>
                </c:pt>
                <c:pt idx="333">
                  <c:v>36</c:v>
                </c:pt>
                <c:pt idx="334">
                  <c:v>39</c:v>
                </c:pt>
                <c:pt idx="335">
                  <c:v>38</c:v>
                </c:pt>
                <c:pt idx="336">
                  <c:v>33</c:v>
                </c:pt>
                <c:pt idx="337">
                  <c:v>47</c:v>
                </c:pt>
                <c:pt idx="338">
                  <c:v>52</c:v>
                </c:pt>
                <c:pt idx="339">
                  <c:v>31</c:v>
                </c:pt>
                <c:pt idx="340">
                  <c:v>29</c:v>
                </c:pt>
                <c:pt idx="341">
                  <c:v>30</c:v>
                </c:pt>
                <c:pt idx="342">
                  <c:v>40</c:v>
                </c:pt>
                <c:pt idx="343">
                  <c:v>43</c:v>
                </c:pt>
                <c:pt idx="344">
                  <c:v>38</c:v>
                </c:pt>
                <c:pt idx="345">
                  <c:v>32</c:v>
                </c:pt>
                <c:pt idx="346">
                  <c:v>39</c:v>
                </c:pt>
                <c:pt idx="347">
                  <c:v>51</c:v>
                </c:pt>
                <c:pt idx="348">
                  <c:v>35</c:v>
                </c:pt>
                <c:pt idx="349">
                  <c:v>42</c:v>
                </c:pt>
                <c:pt idx="350">
                  <c:v>43</c:v>
                </c:pt>
                <c:pt idx="351">
                  <c:v>49</c:v>
                </c:pt>
                <c:pt idx="352">
                  <c:v>26</c:v>
                </c:pt>
                <c:pt idx="353">
                  <c:v>39</c:v>
                </c:pt>
                <c:pt idx="354">
                  <c:v>31</c:v>
                </c:pt>
                <c:pt idx="355">
                  <c:v>34</c:v>
                </c:pt>
                <c:pt idx="356">
                  <c:v>33</c:v>
                </c:pt>
                <c:pt idx="357">
                  <c:v>33</c:v>
                </c:pt>
                <c:pt idx="358">
                  <c:v>39</c:v>
                </c:pt>
                <c:pt idx="359">
                  <c:v>29</c:v>
                </c:pt>
                <c:pt idx="360">
                  <c:v>42</c:v>
                </c:pt>
                <c:pt idx="361">
                  <c:v>35</c:v>
                </c:pt>
                <c:pt idx="362">
                  <c:v>39</c:v>
                </c:pt>
                <c:pt idx="363">
                  <c:v>34</c:v>
                </c:pt>
                <c:pt idx="364">
                  <c:v>29</c:v>
                </c:pt>
                <c:pt idx="365">
                  <c:v>45</c:v>
                </c:pt>
                <c:pt idx="366">
                  <c:v>35</c:v>
                </c:pt>
                <c:pt idx="367">
                  <c:v>36</c:v>
                </c:pt>
                <c:pt idx="368">
                  <c:v>56</c:v>
                </c:pt>
                <c:pt idx="369">
                  <c:v>38</c:v>
                </c:pt>
                <c:pt idx="370">
                  <c:v>44</c:v>
                </c:pt>
                <c:pt idx="371">
                  <c:v>30</c:v>
                </c:pt>
                <c:pt idx="372">
                  <c:v>49</c:v>
                </c:pt>
                <c:pt idx="373">
                  <c:v>37</c:v>
                </c:pt>
                <c:pt idx="374">
                  <c:v>33</c:v>
                </c:pt>
                <c:pt idx="375">
                  <c:v>37</c:v>
                </c:pt>
                <c:pt idx="376">
                  <c:v>29</c:v>
                </c:pt>
                <c:pt idx="377">
                  <c:v>50</c:v>
                </c:pt>
                <c:pt idx="378">
                  <c:v>48</c:v>
                </c:pt>
                <c:pt idx="379">
                  <c:v>32</c:v>
                </c:pt>
                <c:pt idx="380">
                  <c:v>40</c:v>
                </c:pt>
                <c:pt idx="381">
                  <c:v>43</c:v>
                </c:pt>
                <c:pt idx="382">
                  <c:v>28</c:v>
                </c:pt>
                <c:pt idx="383">
                  <c:v>43</c:v>
                </c:pt>
                <c:pt idx="384">
                  <c:v>34</c:v>
                </c:pt>
                <c:pt idx="385">
                  <c:v>50</c:v>
                </c:pt>
                <c:pt idx="386">
                  <c:v>27</c:v>
                </c:pt>
                <c:pt idx="387">
                  <c:v>50</c:v>
                </c:pt>
                <c:pt idx="388">
                  <c:v>57</c:v>
                </c:pt>
                <c:pt idx="389">
                  <c:v>38</c:v>
                </c:pt>
                <c:pt idx="390">
                  <c:v>31</c:v>
                </c:pt>
                <c:pt idx="391">
                  <c:v>45</c:v>
                </c:pt>
                <c:pt idx="392">
                  <c:v>44</c:v>
                </c:pt>
                <c:pt idx="393">
                  <c:v>37</c:v>
                </c:pt>
                <c:pt idx="394">
                  <c:v>33</c:v>
                </c:pt>
                <c:pt idx="395">
                  <c:v>49</c:v>
                </c:pt>
                <c:pt idx="396">
                  <c:v>42</c:v>
                </c:pt>
                <c:pt idx="397">
                  <c:v>42</c:v>
                </c:pt>
                <c:pt idx="398">
                  <c:v>49</c:v>
                </c:pt>
                <c:pt idx="399">
                  <c:v>28</c:v>
                </c:pt>
                <c:pt idx="400">
                  <c:v>38</c:v>
                </c:pt>
                <c:pt idx="401">
                  <c:v>42</c:v>
                </c:pt>
                <c:pt idx="402">
                  <c:v>41</c:v>
                </c:pt>
                <c:pt idx="403">
                  <c:v>51</c:v>
                </c:pt>
                <c:pt idx="404">
                  <c:v>40</c:v>
                </c:pt>
                <c:pt idx="405">
                  <c:v>45</c:v>
                </c:pt>
                <c:pt idx="406">
                  <c:v>42</c:v>
                </c:pt>
                <c:pt idx="407">
                  <c:v>51</c:v>
                </c:pt>
                <c:pt idx="408">
                  <c:v>47</c:v>
                </c:pt>
                <c:pt idx="409">
                  <c:v>54</c:v>
                </c:pt>
                <c:pt idx="410">
                  <c:v>25</c:v>
                </c:pt>
                <c:pt idx="411">
                  <c:v>39</c:v>
                </c:pt>
                <c:pt idx="412">
                  <c:v>41</c:v>
                </c:pt>
                <c:pt idx="413">
                  <c:v>42</c:v>
                </c:pt>
                <c:pt idx="414">
                  <c:v>41</c:v>
                </c:pt>
                <c:pt idx="415">
                  <c:v>38</c:v>
                </c:pt>
                <c:pt idx="416">
                  <c:v>44</c:v>
                </c:pt>
                <c:pt idx="417">
                  <c:v>38</c:v>
                </c:pt>
                <c:pt idx="418">
                  <c:v>37</c:v>
                </c:pt>
                <c:pt idx="419">
                  <c:v>53</c:v>
                </c:pt>
                <c:pt idx="420">
                  <c:v>46</c:v>
                </c:pt>
                <c:pt idx="421">
                  <c:v>36</c:v>
                </c:pt>
                <c:pt idx="422">
                  <c:v>40</c:v>
                </c:pt>
                <c:pt idx="423">
                  <c:v>42</c:v>
                </c:pt>
                <c:pt idx="424">
                  <c:v>39</c:v>
                </c:pt>
                <c:pt idx="425">
                  <c:v>38</c:v>
                </c:pt>
                <c:pt idx="426">
                  <c:v>38</c:v>
                </c:pt>
                <c:pt idx="427">
                  <c:v>42</c:v>
                </c:pt>
                <c:pt idx="428">
                  <c:v>42</c:v>
                </c:pt>
                <c:pt idx="429">
                  <c:v>45</c:v>
                </c:pt>
                <c:pt idx="430">
                  <c:v>34</c:v>
                </c:pt>
                <c:pt idx="431">
                  <c:v>51</c:v>
                </c:pt>
                <c:pt idx="432">
                  <c:v>34</c:v>
                </c:pt>
                <c:pt idx="433">
                  <c:v>36</c:v>
                </c:pt>
                <c:pt idx="434">
                  <c:v>54</c:v>
                </c:pt>
                <c:pt idx="435">
                  <c:v>41</c:v>
                </c:pt>
                <c:pt idx="436">
                  <c:v>42</c:v>
                </c:pt>
                <c:pt idx="437">
                  <c:v>45</c:v>
                </c:pt>
                <c:pt idx="438">
                  <c:v>51</c:v>
                </c:pt>
                <c:pt idx="439">
                  <c:v>57</c:v>
                </c:pt>
                <c:pt idx="440">
                  <c:v>52</c:v>
                </c:pt>
                <c:pt idx="441">
                  <c:v>45</c:v>
                </c:pt>
                <c:pt idx="442">
                  <c:v>41</c:v>
                </c:pt>
                <c:pt idx="443">
                  <c:v>34</c:v>
                </c:pt>
                <c:pt idx="444">
                  <c:v>46</c:v>
                </c:pt>
                <c:pt idx="445">
                  <c:v>42</c:v>
                </c:pt>
                <c:pt idx="446">
                  <c:v>56</c:v>
                </c:pt>
                <c:pt idx="447">
                  <c:v>49</c:v>
                </c:pt>
                <c:pt idx="448">
                  <c:v>43</c:v>
                </c:pt>
                <c:pt idx="449">
                  <c:v>58</c:v>
                </c:pt>
                <c:pt idx="450">
                  <c:v>46</c:v>
                </c:pt>
                <c:pt idx="451">
                  <c:v>51</c:v>
                </c:pt>
                <c:pt idx="452">
                  <c:v>44</c:v>
                </c:pt>
                <c:pt idx="453">
                  <c:v>46</c:v>
                </c:pt>
                <c:pt idx="454">
                  <c:v>45</c:v>
                </c:pt>
                <c:pt idx="455">
                  <c:v>45</c:v>
                </c:pt>
                <c:pt idx="456">
                  <c:v>53</c:v>
                </c:pt>
                <c:pt idx="457">
                  <c:v>41</c:v>
                </c:pt>
                <c:pt idx="458">
                  <c:v>25</c:v>
                </c:pt>
                <c:pt idx="459">
                  <c:v>31</c:v>
                </c:pt>
                <c:pt idx="460">
                  <c:v>37</c:v>
                </c:pt>
                <c:pt idx="461">
                  <c:v>55</c:v>
                </c:pt>
                <c:pt idx="462">
                  <c:v>47</c:v>
                </c:pt>
                <c:pt idx="463">
                  <c:v>38</c:v>
                </c:pt>
                <c:pt idx="464">
                  <c:v>46</c:v>
                </c:pt>
                <c:pt idx="465">
                  <c:v>29</c:v>
                </c:pt>
                <c:pt idx="466">
                  <c:v>50</c:v>
                </c:pt>
                <c:pt idx="467">
                  <c:v>43</c:v>
                </c:pt>
                <c:pt idx="468">
                  <c:v>49</c:v>
                </c:pt>
                <c:pt idx="469">
                  <c:v>51</c:v>
                </c:pt>
                <c:pt idx="470">
                  <c:v>51</c:v>
                </c:pt>
                <c:pt idx="471">
                  <c:v>42</c:v>
                </c:pt>
                <c:pt idx="472">
                  <c:v>37</c:v>
                </c:pt>
                <c:pt idx="473">
                  <c:v>46</c:v>
                </c:pt>
                <c:pt idx="474">
                  <c:v>41</c:v>
                </c:pt>
                <c:pt idx="475">
                  <c:v>36</c:v>
                </c:pt>
                <c:pt idx="476">
                  <c:v>47</c:v>
                </c:pt>
                <c:pt idx="477">
                  <c:v>40</c:v>
                </c:pt>
                <c:pt idx="478">
                  <c:v>56</c:v>
                </c:pt>
                <c:pt idx="479">
                  <c:v>42</c:v>
                </c:pt>
                <c:pt idx="480">
                  <c:v>38</c:v>
                </c:pt>
                <c:pt idx="481">
                  <c:v>57</c:v>
                </c:pt>
                <c:pt idx="482">
                  <c:v>51</c:v>
                </c:pt>
                <c:pt idx="483">
                  <c:v>56</c:v>
                </c:pt>
                <c:pt idx="484">
                  <c:v>51</c:v>
                </c:pt>
                <c:pt idx="485">
                  <c:v>51</c:v>
                </c:pt>
                <c:pt idx="486">
                  <c:v>42</c:v>
                </c:pt>
                <c:pt idx="487">
                  <c:v>48</c:v>
                </c:pt>
                <c:pt idx="488">
                  <c:v>37</c:v>
                </c:pt>
                <c:pt idx="489">
                  <c:v>44</c:v>
                </c:pt>
                <c:pt idx="490">
                  <c:v>45</c:v>
                </c:pt>
                <c:pt idx="491">
                  <c:v>42</c:v>
                </c:pt>
                <c:pt idx="492">
                  <c:v>37</c:v>
                </c:pt>
                <c:pt idx="493">
                  <c:v>43</c:v>
                </c:pt>
                <c:pt idx="494">
                  <c:v>40</c:v>
                </c:pt>
                <c:pt idx="495">
                  <c:v>38</c:v>
                </c:pt>
                <c:pt idx="496">
                  <c:v>54</c:v>
                </c:pt>
                <c:pt idx="497">
                  <c:v>33</c:v>
                </c:pt>
                <c:pt idx="498">
                  <c:v>40</c:v>
                </c:pt>
                <c:pt idx="499">
                  <c:v>54</c:v>
                </c:pt>
                <c:pt idx="500">
                  <c:v>42</c:v>
                </c:pt>
                <c:pt idx="501">
                  <c:v>46</c:v>
                </c:pt>
                <c:pt idx="502">
                  <c:v>36</c:v>
                </c:pt>
                <c:pt idx="503">
                  <c:v>40</c:v>
                </c:pt>
                <c:pt idx="504">
                  <c:v>46</c:v>
                </c:pt>
                <c:pt idx="505">
                  <c:v>47</c:v>
                </c:pt>
                <c:pt idx="506">
                  <c:v>46</c:v>
                </c:pt>
                <c:pt idx="507">
                  <c:v>51</c:v>
                </c:pt>
                <c:pt idx="508">
                  <c:v>50</c:v>
                </c:pt>
                <c:pt idx="509">
                  <c:v>45</c:v>
                </c:pt>
                <c:pt idx="510">
                  <c:v>45</c:v>
                </c:pt>
                <c:pt idx="511">
                  <c:v>38</c:v>
                </c:pt>
                <c:pt idx="512">
                  <c:v>30</c:v>
                </c:pt>
                <c:pt idx="513">
                  <c:v>41</c:v>
                </c:pt>
                <c:pt idx="514">
                  <c:v>37</c:v>
                </c:pt>
                <c:pt idx="515">
                  <c:v>34</c:v>
                </c:pt>
                <c:pt idx="516">
                  <c:v>39</c:v>
                </c:pt>
                <c:pt idx="517">
                  <c:v>32</c:v>
                </c:pt>
                <c:pt idx="518">
                  <c:v>37</c:v>
                </c:pt>
                <c:pt idx="519">
                  <c:v>40</c:v>
                </c:pt>
                <c:pt idx="520">
                  <c:v>49</c:v>
                </c:pt>
                <c:pt idx="521">
                  <c:v>32</c:v>
                </c:pt>
                <c:pt idx="522">
                  <c:v>32</c:v>
                </c:pt>
                <c:pt idx="523">
                  <c:v>51</c:v>
                </c:pt>
                <c:pt idx="524">
                  <c:v>42</c:v>
                </c:pt>
                <c:pt idx="525">
                  <c:v>50</c:v>
                </c:pt>
                <c:pt idx="526">
                  <c:v>44</c:v>
                </c:pt>
                <c:pt idx="527">
                  <c:v>42</c:v>
                </c:pt>
                <c:pt idx="528">
                  <c:v>30</c:v>
                </c:pt>
                <c:pt idx="529">
                  <c:v>40</c:v>
                </c:pt>
                <c:pt idx="530">
                  <c:v>35</c:v>
                </c:pt>
                <c:pt idx="531">
                  <c:v>39</c:v>
                </c:pt>
                <c:pt idx="532">
                  <c:v>50</c:v>
                </c:pt>
                <c:pt idx="533">
                  <c:v>31</c:v>
                </c:pt>
                <c:pt idx="534">
                  <c:v>51</c:v>
                </c:pt>
                <c:pt idx="535">
                  <c:v>54</c:v>
                </c:pt>
                <c:pt idx="536">
                  <c:v>47</c:v>
                </c:pt>
                <c:pt idx="537">
                  <c:v>42</c:v>
                </c:pt>
                <c:pt idx="538">
                  <c:v>38</c:v>
                </c:pt>
                <c:pt idx="539">
                  <c:v>50</c:v>
                </c:pt>
                <c:pt idx="540">
                  <c:v>42</c:v>
                </c:pt>
                <c:pt idx="541">
                  <c:v>42</c:v>
                </c:pt>
                <c:pt idx="542">
                  <c:v>36</c:v>
                </c:pt>
                <c:pt idx="543">
                  <c:v>37</c:v>
                </c:pt>
                <c:pt idx="544">
                  <c:v>40</c:v>
                </c:pt>
                <c:pt idx="545">
                  <c:v>41</c:v>
                </c:pt>
                <c:pt idx="546">
                  <c:v>38</c:v>
                </c:pt>
                <c:pt idx="547">
                  <c:v>34</c:v>
                </c:pt>
                <c:pt idx="548">
                  <c:v>52</c:v>
                </c:pt>
                <c:pt idx="549">
                  <c:v>38</c:v>
                </c:pt>
                <c:pt idx="550">
                  <c:v>36</c:v>
                </c:pt>
                <c:pt idx="551">
                  <c:v>33</c:v>
                </c:pt>
                <c:pt idx="552">
                  <c:v>35</c:v>
                </c:pt>
                <c:pt idx="553">
                  <c:v>30</c:v>
                </c:pt>
                <c:pt idx="554">
                  <c:v>33</c:v>
                </c:pt>
                <c:pt idx="555">
                  <c:v>49</c:v>
                </c:pt>
                <c:pt idx="556">
                  <c:v>45</c:v>
                </c:pt>
                <c:pt idx="557">
                  <c:v>38</c:v>
                </c:pt>
                <c:pt idx="558">
                  <c:v>38</c:v>
                </c:pt>
                <c:pt idx="559">
                  <c:v>30</c:v>
                </c:pt>
                <c:pt idx="560">
                  <c:v>51</c:v>
                </c:pt>
                <c:pt idx="561">
                  <c:v>34</c:v>
                </c:pt>
                <c:pt idx="562">
                  <c:v>37</c:v>
                </c:pt>
                <c:pt idx="563">
                  <c:v>28</c:v>
                </c:pt>
                <c:pt idx="564">
                  <c:v>38</c:v>
                </c:pt>
                <c:pt idx="565">
                  <c:v>40</c:v>
                </c:pt>
                <c:pt idx="566">
                  <c:v>40</c:v>
                </c:pt>
                <c:pt idx="567">
                  <c:v>33</c:v>
                </c:pt>
                <c:pt idx="568">
                  <c:v>34</c:v>
                </c:pt>
                <c:pt idx="569">
                  <c:v>44</c:v>
                </c:pt>
                <c:pt idx="570">
                  <c:v>40</c:v>
                </c:pt>
                <c:pt idx="571">
                  <c:v>34</c:v>
                </c:pt>
                <c:pt idx="572">
                  <c:v>30</c:v>
                </c:pt>
                <c:pt idx="573">
                  <c:v>30</c:v>
                </c:pt>
                <c:pt idx="574">
                  <c:v>34</c:v>
                </c:pt>
                <c:pt idx="575">
                  <c:v>36</c:v>
                </c:pt>
                <c:pt idx="576">
                  <c:v>32</c:v>
                </c:pt>
                <c:pt idx="577">
                  <c:v>30</c:v>
                </c:pt>
                <c:pt idx="578">
                  <c:v>29</c:v>
                </c:pt>
                <c:pt idx="579">
                  <c:v>28</c:v>
                </c:pt>
                <c:pt idx="580">
                  <c:v>37</c:v>
                </c:pt>
                <c:pt idx="581">
                  <c:v>43</c:v>
                </c:pt>
                <c:pt idx="582">
                  <c:v>39</c:v>
                </c:pt>
                <c:pt idx="583">
                  <c:v>41</c:v>
                </c:pt>
                <c:pt idx="584">
                  <c:v>36</c:v>
                </c:pt>
                <c:pt idx="585">
                  <c:v>34</c:v>
                </c:pt>
                <c:pt idx="586">
                  <c:v>24</c:v>
                </c:pt>
                <c:pt idx="587">
                  <c:v>39</c:v>
                </c:pt>
                <c:pt idx="588">
                  <c:v>31</c:v>
                </c:pt>
                <c:pt idx="589">
                  <c:v>31</c:v>
                </c:pt>
                <c:pt idx="590">
                  <c:v>49</c:v>
                </c:pt>
                <c:pt idx="591">
                  <c:v>35</c:v>
                </c:pt>
                <c:pt idx="592">
                  <c:v>34</c:v>
                </c:pt>
                <c:pt idx="593">
                  <c:v>28</c:v>
                </c:pt>
                <c:pt idx="594">
                  <c:v>36</c:v>
                </c:pt>
                <c:pt idx="595">
                  <c:v>41</c:v>
                </c:pt>
                <c:pt idx="596">
                  <c:v>35</c:v>
                </c:pt>
                <c:pt idx="597">
                  <c:v>29</c:v>
                </c:pt>
                <c:pt idx="598">
                  <c:v>30</c:v>
                </c:pt>
                <c:pt idx="599">
                  <c:v>31</c:v>
                </c:pt>
                <c:pt idx="600">
                  <c:v>36</c:v>
                </c:pt>
                <c:pt idx="601">
                  <c:v>32</c:v>
                </c:pt>
                <c:pt idx="602">
                  <c:v>30</c:v>
                </c:pt>
                <c:pt idx="603">
                  <c:v>23</c:v>
                </c:pt>
                <c:pt idx="604">
                  <c:v>36</c:v>
                </c:pt>
                <c:pt idx="605">
                  <c:v>23</c:v>
                </c:pt>
                <c:pt idx="606">
                  <c:v>35</c:v>
                </c:pt>
                <c:pt idx="607">
                  <c:v>41</c:v>
                </c:pt>
                <c:pt idx="608">
                  <c:v>29</c:v>
                </c:pt>
                <c:pt idx="609">
                  <c:v>29</c:v>
                </c:pt>
                <c:pt idx="610">
                  <c:v>25</c:v>
                </c:pt>
                <c:pt idx="611">
                  <c:v>24</c:v>
                </c:pt>
                <c:pt idx="612">
                  <c:v>27</c:v>
                </c:pt>
                <c:pt idx="613">
                  <c:v>30</c:v>
                </c:pt>
                <c:pt idx="614">
                  <c:v>24</c:v>
                </c:pt>
                <c:pt idx="615">
                  <c:v>36</c:v>
                </c:pt>
                <c:pt idx="616">
                  <c:v>38</c:v>
                </c:pt>
                <c:pt idx="617">
                  <c:v>28</c:v>
                </c:pt>
                <c:pt idx="618">
                  <c:v>33</c:v>
                </c:pt>
                <c:pt idx="619">
                  <c:v>34</c:v>
                </c:pt>
                <c:pt idx="620">
                  <c:v>16</c:v>
                </c:pt>
                <c:pt idx="621">
                  <c:v>31</c:v>
                </c:pt>
                <c:pt idx="622">
                  <c:v>31</c:v>
                </c:pt>
                <c:pt idx="623">
                  <c:v>29</c:v>
                </c:pt>
                <c:pt idx="624">
                  <c:v>43</c:v>
                </c:pt>
                <c:pt idx="625">
                  <c:v>32</c:v>
                </c:pt>
                <c:pt idx="626">
                  <c:v>29</c:v>
                </c:pt>
                <c:pt idx="627">
                  <c:v>35</c:v>
                </c:pt>
                <c:pt idx="628">
                  <c:v>34</c:v>
                </c:pt>
                <c:pt idx="629">
                  <c:v>48</c:v>
                </c:pt>
                <c:pt idx="630">
                  <c:v>38</c:v>
                </c:pt>
                <c:pt idx="631">
                  <c:v>22</c:v>
                </c:pt>
                <c:pt idx="632">
                  <c:v>34</c:v>
                </c:pt>
                <c:pt idx="633">
                  <c:v>24</c:v>
                </c:pt>
                <c:pt idx="634">
                  <c:v>29</c:v>
                </c:pt>
                <c:pt idx="635">
                  <c:v>28</c:v>
                </c:pt>
                <c:pt idx="636">
                  <c:v>30</c:v>
                </c:pt>
                <c:pt idx="637">
                  <c:v>31</c:v>
                </c:pt>
                <c:pt idx="638">
                  <c:v>44</c:v>
                </c:pt>
                <c:pt idx="639">
                  <c:v>37</c:v>
                </c:pt>
                <c:pt idx="640">
                  <c:v>46</c:v>
                </c:pt>
                <c:pt idx="641">
                  <c:v>25</c:v>
                </c:pt>
                <c:pt idx="642">
                  <c:v>36</c:v>
                </c:pt>
                <c:pt idx="643">
                  <c:v>37</c:v>
                </c:pt>
                <c:pt idx="644">
                  <c:v>33</c:v>
                </c:pt>
                <c:pt idx="645">
                  <c:v>34</c:v>
                </c:pt>
                <c:pt idx="646">
                  <c:v>23</c:v>
                </c:pt>
                <c:pt idx="647">
                  <c:v>32</c:v>
                </c:pt>
                <c:pt idx="648">
                  <c:v>33</c:v>
                </c:pt>
                <c:pt idx="649">
                  <c:v>38</c:v>
                </c:pt>
                <c:pt idx="650">
                  <c:v>36</c:v>
                </c:pt>
                <c:pt idx="651">
                  <c:v>25</c:v>
                </c:pt>
                <c:pt idx="652">
                  <c:v>21</c:v>
                </c:pt>
                <c:pt idx="653">
                  <c:v>46</c:v>
                </c:pt>
                <c:pt idx="654">
                  <c:v>25</c:v>
                </c:pt>
                <c:pt idx="655">
                  <c:v>44</c:v>
                </c:pt>
                <c:pt idx="656">
                  <c:v>30</c:v>
                </c:pt>
                <c:pt idx="657">
                  <c:v>35</c:v>
                </c:pt>
                <c:pt idx="658">
                  <c:v>23</c:v>
                </c:pt>
                <c:pt idx="659">
                  <c:v>36</c:v>
                </c:pt>
                <c:pt idx="660">
                  <c:v>32</c:v>
                </c:pt>
                <c:pt idx="661">
                  <c:v>45</c:v>
                </c:pt>
                <c:pt idx="662">
                  <c:v>33</c:v>
                </c:pt>
                <c:pt idx="663">
                  <c:v>33</c:v>
                </c:pt>
                <c:pt idx="664">
                  <c:v>27</c:v>
                </c:pt>
                <c:pt idx="665">
                  <c:v>35</c:v>
                </c:pt>
                <c:pt idx="666">
                  <c:v>23</c:v>
                </c:pt>
                <c:pt idx="667">
                  <c:v>27</c:v>
                </c:pt>
                <c:pt idx="668">
                  <c:v>34</c:v>
                </c:pt>
                <c:pt idx="669">
                  <c:v>35</c:v>
                </c:pt>
                <c:pt idx="670">
                  <c:v>37</c:v>
                </c:pt>
                <c:pt idx="671">
                  <c:v>26</c:v>
                </c:pt>
                <c:pt idx="672">
                  <c:v>38</c:v>
                </c:pt>
                <c:pt idx="673">
                  <c:v>44</c:v>
                </c:pt>
                <c:pt idx="674">
                  <c:v>21</c:v>
                </c:pt>
                <c:pt idx="675">
                  <c:v>29</c:v>
                </c:pt>
                <c:pt idx="676">
                  <c:v>48</c:v>
                </c:pt>
                <c:pt idx="677">
                  <c:v>31</c:v>
                </c:pt>
                <c:pt idx="678">
                  <c:v>41</c:v>
                </c:pt>
                <c:pt idx="679">
                  <c:v>43</c:v>
                </c:pt>
                <c:pt idx="680">
                  <c:v>32</c:v>
                </c:pt>
                <c:pt idx="681">
                  <c:v>38</c:v>
                </c:pt>
                <c:pt idx="682">
                  <c:v>49</c:v>
                </c:pt>
                <c:pt idx="683">
                  <c:v>43</c:v>
                </c:pt>
                <c:pt idx="684">
                  <c:v>30</c:v>
                </c:pt>
                <c:pt idx="685">
                  <c:v>33</c:v>
                </c:pt>
                <c:pt idx="686">
                  <c:v>39</c:v>
                </c:pt>
                <c:pt idx="687">
                  <c:v>29</c:v>
                </c:pt>
                <c:pt idx="688">
                  <c:v>35</c:v>
                </c:pt>
                <c:pt idx="689">
                  <c:v>31</c:v>
                </c:pt>
                <c:pt idx="690">
                  <c:v>36</c:v>
                </c:pt>
                <c:pt idx="691">
                  <c:v>40</c:v>
                </c:pt>
                <c:pt idx="692">
                  <c:v>44</c:v>
                </c:pt>
                <c:pt idx="693">
                  <c:v>30</c:v>
                </c:pt>
                <c:pt idx="694">
                  <c:v>33</c:v>
                </c:pt>
                <c:pt idx="695">
                  <c:v>47</c:v>
                </c:pt>
                <c:pt idx="696">
                  <c:v>24</c:v>
                </c:pt>
                <c:pt idx="697">
                  <c:v>35</c:v>
                </c:pt>
                <c:pt idx="698">
                  <c:v>43</c:v>
                </c:pt>
                <c:pt idx="699">
                  <c:v>34</c:v>
                </c:pt>
                <c:pt idx="700">
                  <c:v>26</c:v>
                </c:pt>
                <c:pt idx="701">
                  <c:v>32</c:v>
                </c:pt>
                <c:pt idx="702">
                  <c:v>35</c:v>
                </c:pt>
                <c:pt idx="703">
                  <c:v>40</c:v>
                </c:pt>
                <c:pt idx="704">
                  <c:v>34</c:v>
                </c:pt>
                <c:pt idx="705">
                  <c:v>38</c:v>
                </c:pt>
                <c:pt idx="706">
                  <c:v>37</c:v>
                </c:pt>
                <c:pt idx="707">
                  <c:v>37</c:v>
                </c:pt>
                <c:pt idx="708">
                  <c:v>37</c:v>
                </c:pt>
                <c:pt idx="709">
                  <c:v>42</c:v>
                </c:pt>
                <c:pt idx="710">
                  <c:v>49</c:v>
                </c:pt>
                <c:pt idx="711">
                  <c:v>38</c:v>
                </c:pt>
                <c:pt idx="712">
                  <c:v>38</c:v>
                </c:pt>
                <c:pt idx="713">
                  <c:v>46</c:v>
                </c:pt>
                <c:pt idx="714">
                  <c:v>31</c:v>
                </c:pt>
                <c:pt idx="715">
                  <c:v>38</c:v>
                </c:pt>
                <c:pt idx="716">
                  <c:v>31</c:v>
                </c:pt>
                <c:pt idx="717">
                  <c:v>38</c:v>
                </c:pt>
                <c:pt idx="718">
                  <c:v>34</c:v>
                </c:pt>
                <c:pt idx="719">
                  <c:v>41</c:v>
                </c:pt>
                <c:pt idx="720">
                  <c:v>37</c:v>
                </c:pt>
                <c:pt idx="721">
                  <c:v>29</c:v>
                </c:pt>
                <c:pt idx="722">
                  <c:v>31</c:v>
                </c:pt>
                <c:pt idx="723">
                  <c:v>36</c:v>
                </c:pt>
                <c:pt idx="724">
                  <c:v>44</c:v>
                </c:pt>
                <c:pt idx="725">
                  <c:v>31</c:v>
                </c:pt>
                <c:pt idx="726">
                  <c:v>30</c:v>
                </c:pt>
                <c:pt idx="727">
                  <c:v>30</c:v>
                </c:pt>
                <c:pt idx="728">
                  <c:v>42</c:v>
                </c:pt>
                <c:pt idx="729">
                  <c:v>24</c:v>
                </c:pt>
              </c:numCache>
            </c:numRef>
          </c:val>
          <c:smooth val="0"/>
          <c:extLst>
            <c:ext xmlns:c16="http://schemas.microsoft.com/office/drawing/2014/chart" uri="{C3380CC4-5D6E-409C-BE32-E72D297353CC}">
              <c16:uniqueId val="{00000000-B49F-45D3-940A-8EF220E2BBA8}"/>
            </c:ext>
          </c:extLst>
        </c:ser>
        <c:ser>
          <c:idx val="1"/>
          <c:order val="1"/>
          <c:tx>
            <c:strRef>
              <c:f>DEMANDA_PREVISIÓN!$E$4</c:f>
              <c:strCache>
                <c:ptCount val="1"/>
                <c:pt idx="0">
                  <c:v>PREVISIÓN</c:v>
                </c:pt>
              </c:strCache>
            </c:strRef>
          </c:tx>
          <c:spPr>
            <a:ln w="28575" cap="rnd">
              <a:solidFill>
                <a:srgbClr val="C00000"/>
              </a:solidFill>
              <a:round/>
            </a:ln>
            <a:effectLst/>
          </c:spPr>
          <c:marker>
            <c:symbol val="none"/>
          </c:marker>
          <c:cat>
            <c:numRef>
              <c:f>DEMANDA_PREVISIÓN!$B$5:$B$1464</c:f>
              <c:numCache>
                <c:formatCode>General</c:formatCode>
                <c:ptCount val="14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pt idx="1152">
                  <c:v>1153</c:v>
                </c:pt>
                <c:pt idx="1153">
                  <c:v>1154</c:v>
                </c:pt>
                <c:pt idx="1154">
                  <c:v>1155</c:v>
                </c:pt>
                <c:pt idx="1155">
                  <c:v>1156</c:v>
                </c:pt>
                <c:pt idx="1156">
                  <c:v>1157</c:v>
                </c:pt>
                <c:pt idx="1157">
                  <c:v>1158</c:v>
                </c:pt>
                <c:pt idx="1158">
                  <c:v>1159</c:v>
                </c:pt>
                <c:pt idx="1159">
                  <c:v>1160</c:v>
                </c:pt>
                <c:pt idx="1160">
                  <c:v>1161</c:v>
                </c:pt>
                <c:pt idx="1161">
                  <c:v>1162</c:v>
                </c:pt>
                <c:pt idx="1162">
                  <c:v>1163</c:v>
                </c:pt>
                <c:pt idx="1163">
                  <c:v>1164</c:v>
                </c:pt>
                <c:pt idx="1164">
                  <c:v>1165</c:v>
                </c:pt>
                <c:pt idx="1165">
                  <c:v>1166</c:v>
                </c:pt>
                <c:pt idx="1166">
                  <c:v>1167</c:v>
                </c:pt>
                <c:pt idx="1167">
                  <c:v>1168</c:v>
                </c:pt>
                <c:pt idx="1168">
                  <c:v>1169</c:v>
                </c:pt>
                <c:pt idx="1169">
                  <c:v>1170</c:v>
                </c:pt>
                <c:pt idx="1170">
                  <c:v>1171</c:v>
                </c:pt>
                <c:pt idx="1171">
                  <c:v>1172</c:v>
                </c:pt>
                <c:pt idx="1172">
                  <c:v>1173</c:v>
                </c:pt>
                <c:pt idx="1173">
                  <c:v>1174</c:v>
                </c:pt>
                <c:pt idx="1174">
                  <c:v>1175</c:v>
                </c:pt>
                <c:pt idx="1175">
                  <c:v>1176</c:v>
                </c:pt>
                <c:pt idx="1176">
                  <c:v>1177</c:v>
                </c:pt>
                <c:pt idx="1177">
                  <c:v>1178</c:v>
                </c:pt>
                <c:pt idx="1178">
                  <c:v>1179</c:v>
                </c:pt>
                <c:pt idx="1179">
                  <c:v>1180</c:v>
                </c:pt>
                <c:pt idx="1180">
                  <c:v>1181</c:v>
                </c:pt>
                <c:pt idx="1181">
                  <c:v>1182</c:v>
                </c:pt>
                <c:pt idx="1182">
                  <c:v>1183</c:v>
                </c:pt>
                <c:pt idx="1183">
                  <c:v>1184</c:v>
                </c:pt>
                <c:pt idx="1184">
                  <c:v>1185</c:v>
                </c:pt>
                <c:pt idx="1185">
                  <c:v>1186</c:v>
                </c:pt>
                <c:pt idx="1186">
                  <c:v>1187</c:v>
                </c:pt>
                <c:pt idx="1187">
                  <c:v>1188</c:v>
                </c:pt>
                <c:pt idx="1188">
                  <c:v>1189</c:v>
                </c:pt>
                <c:pt idx="1189">
                  <c:v>1190</c:v>
                </c:pt>
                <c:pt idx="1190">
                  <c:v>1191</c:v>
                </c:pt>
                <c:pt idx="1191">
                  <c:v>1192</c:v>
                </c:pt>
                <c:pt idx="1192">
                  <c:v>1193</c:v>
                </c:pt>
                <c:pt idx="1193">
                  <c:v>1194</c:v>
                </c:pt>
                <c:pt idx="1194">
                  <c:v>1195</c:v>
                </c:pt>
                <c:pt idx="1195">
                  <c:v>1196</c:v>
                </c:pt>
                <c:pt idx="1196">
                  <c:v>1197</c:v>
                </c:pt>
                <c:pt idx="1197">
                  <c:v>1198</c:v>
                </c:pt>
                <c:pt idx="1198">
                  <c:v>1199</c:v>
                </c:pt>
                <c:pt idx="1199">
                  <c:v>1200</c:v>
                </c:pt>
                <c:pt idx="1200">
                  <c:v>1201</c:v>
                </c:pt>
                <c:pt idx="1201">
                  <c:v>1202</c:v>
                </c:pt>
                <c:pt idx="1202">
                  <c:v>1203</c:v>
                </c:pt>
                <c:pt idx="1203">
                  <c:v>1204</c:v>
                </c:pt>
                <c:pt idx="1204">
                  <c:v>1205</c:v>
                </c:pt>
                <c:pt idx="1205">
                  <c:v>1206</c:v>
                </c:pt>
                <c:pt idx="1206">
                  <c:v>1207</c:v>
                </c:pt>
                <c:pt idx="1207">
                  <c:v>1208</c:v>
                </c:pt>
                <c:pt idx="1208">
                  <c:v>1209</c:v>
                </c:pt>
                <c:pt idx="1209">
                  <c:v>1210</c:v>
                </c:pt>
                <c:pt idx="1210">
                  <c:v>1211</c:v>
                </c:pt>
                <c:pt idx="1211">
                  <c:v>1212</c:v>
                </c:pt>
                <c:pt idx="1212">
                  <c:v>1213</c:v>
                </c:pt>
                <c:pt idx="1213">
                  <c:v>1214</c:v>
                </c:pt>
                <c:pt idx="1214">
                  <c:v>1215</c:v>
                </c:pt>
                <c:pt idx="1215">
                  <c:v>1216</c:v>
                </c:pt>
                <c:pt idx="1216">
                  <c:v>1217</c:v>
                </c:pt>
                <c:pt idx="1217">
                  <c:v>1218</c:v>
                </c:pt>
                <c:pt idx="1218">
                  <c:v>1219</c:v>
                </c:pt>
                <c:pt idx="1219">
                  <c:v>1220</c:v>
                </c:pt>
                <c:pt idx="1220">
                  <c:v>1221</c:v>
                </c:pt>
                <c:pt idx="1221">
                  <c:v>1222</c:v>
                </c:pt>
                <c:pt idx="1222">
                  <c:v>1223</c:v>
                </c:pt>
                <c:pt idx="1223">
                  <c:v>1224</c:v>
                </c:pt>
                <c:pt idx="1224">
                  <c:v>1225</c:v>
                </c:pt>
                <c:pt idx="1225">
                  <c:v>1226</c:v>
                </c:pt>
                <c:pt idx="1226">
                  <c:v>1227</c:v>
                </c:pt>
                <c:pt idx="1227">
                  <c:v>1228</c:v>
                </c:pt>
                <c:pt idx="1228">
                  <c:v>1229</c:v>
                </c:pt>
                <c:pt idx="1229">
                  <c:v>1230</c:v>
                </c:pt>
                <c:pt idx="1230">
                  <c:v>1231</c:v>
                </c:pt>
                <c:pt idx="1231">
                  <c:v>1232</c:v>
                </c:pt>
                <c:pt idx="1232">
                  <c:v>1233</c:v>
                </c:pt>
                <c:pt idx="1233">
                  <c:v>1234</c:v>
                </c:pt>
                <c:pt idx="1234">
                  <c:v>1235</c:v>
                </c:pt>
                <c:pt idx="1235">
                  <c:v>1236</c:v>
                </c:pt>
                <c:pt idx="1236">
                  <c:v>1237</c:v>
                </c:pt>
                <c:pt idx="1237">
                  <c:v>1238</c:v>
                </c:pt>
                <c:pt idx="1238">
                  <c:v>1239</c:v>
                </c:pt>
                <c:pt idx="1239">
                  <c:v>1240</c:v>
                </c:pt>
                <c:pt idx="1240">
                  <c:v>1241</c:v>
                </c:pt>
                <c:pt idx="1241">
                  <c:v>1242</c:v>
                </c:pt>
                <c:pt idx="1242">
                  <c:v>1243</c:v>
                </c:pt>
                <c:pt idx="1243">
                  <c:v>1244</c:v>
                </c:pt>
                <c:pt idx="1244">
                  <c:v>1245</c:v>
                </c:pt>
                <c:pt idx="1245">
                  <c:v>1246</c:v>
                </c:pt>
                <c:pt idx="1246">
                  <c:v>1247</c:v>
                </c:pt>
                <c:pt idx="1247">
                  <c:v>1248</c:v>
                </c:pt>
                <c:pt idx="1248">
                  <c:v>1249</c:v>
                </c:pt>
                <c:pt idx="1249">
                  <c:v>1250</c:v>
                </c:pt>
                <c:pt idx="1250">
                  <c:v>1251</c:v>
                </c:pt>
                <c:pt idx="1251">
                  <c:v>1252</c:v>
                </c:pt>
                <c:pt idx="1252">
                  <c:v>1253</c:v>
                </c:pt>
                <c:pt idx="1253">
                  <c:v>1254</c:v>
                </c:pt>
                <c:pt idx="1254">
                  <c:v>1255</c:v>
                </c:pt>
                <c:pt idx="1255">
                  <c:v>1256</c:v>
                </c:pt>
                <c:pt idx="1256">
                  <c:v>1257</c:v>
                </c:pt>
                <c:pt idx="1257">
                  <c:v>1258</c:v>
                </c:pt>
                <c:pt idx="1258">
                  <c:v>1259</c:v>
                </c:pt>
                <c:pt idx="1259">
                  <c:v>1260</c:v>
                </c:pt>
                <c:pt idx="1260">
                  <c:v>1261</c:v>
                </c:pt>
                <c:pt idx="1261">
                  <c:v>1262</c:v>
                </c:pt>
                <c:pt idx="1262">
                  <c:v>1263</c:v>
                </c:pt>
                <c:pt idx="1263">
                  <c:v>1264</c:v>
                </c:pt>
                <c:pt idx="1264">
                  <c:v>1265</c:v>
                </c:pt>
                <c:pt idx="1265">
                  <c:v>1266</c:v>
                </c:pt>
                <c:pt idx="1266">
                  <c:v>1267</c:v>
                </c:pt>
                <c:pt idx="1267">
                  <c:v>1268</c:v>
                </c:pt>
                <c:pt idx="1268">
                  <c:v>1269</c:v>
                </c:pt>
                <c:pt idx="1269">
                  <c:v>1270</c:v>
                </c:pt>
                <c:pt idx="1270">
                  <c:v>1271</c:v>
                </c:pt>
                <c:pt idx="1271">
                  <c:v>1272</c:v>
                </c:pt>
                <c:pt idx="1272">
                  <c:v>1273</c:v>
                </c:pt>
                <c:pt idx="1273">
                  <c:v>1274</c:v>
                </c:pt>
                <c:pt idx="1274">
                  <c:v>1275</c:v>
                </c:pt>
                <c:pt idx="1275">
                  <c:v>1276</c:v>
                </c:pt>
                <c:pt idx="1276">
                  <c:v>1277</c:v>
                </c:pt>
                <c:pt idx="1277">
                  <c:v>1278</c:v>
                </c:pt>
                <c:pt idx="1278">
                  <c:v>1279</c:v>
                </c:pt>
                <c:pt idx="1279">
                  <c:v>1280</c:v>
                </c:pt>
                <c:pt idx="1280">
                  <c:v>1281</c:v>
                </c:pt>
                <c:pt idx="1281">
                  <c:v>1282</c:v>
                </c:pt>
                <c:pt idx="1282">
                  <c:v>1283</c:v>
                </c:pt>
                <c:pt idx="1283">
                  <c:v>1284</c:v>
                </c:pt>
                <c:pt idx="1284">
                  <c:v>1285</c:v>
                </c:pt>
                <c:pt idx="1285">
                  <c:v>1286</c:v>
                </c:pt>
                <c:pt idx="1286">
                  <c:v>1287</c:v>
                </c:pt>
                <c:pt idx="1287">
                  <c:v>1288</c:v>
                </c:pt>
                <c:pt idx="1288">
                  <c:v>1289</c:v>
                </c:pt>
                <c:pt idx="1289">
                  <c:v>1290</c:v>
                </c:pt>
                <c:pt idx="1290">
                  <c:v>1291</c:v>
                </c:pt>
                <c:pt idx="1291">
                  <c:v>1292</c:v>
                </c:pt>
                <c:pt idx="1292">
                  <c:v>1293</c:v>
                </c:pt>
                <c:pt idx="1293">
                  <c:v>1294</c:v>
                </c:pt>
                <c:pt idx="1294">
                  <c:v>1295</c:v>
                </c:pt>
                <c:pt idx="1295">
                  <c:v>1296</c:v>
                </c:pt>
                <c:pt idx="1296">
                  <c:v>1297</c:v>
                </c:pt>
                <c:pt idx="1297">
                  <c:v>1298</c:v>
                </c:pt>
                <c:pt idx="1298">
                  <c:v>1299</c:v>
                </c:pt>
                <c:pt idx="1299">
                  <c:v>1300</c:v>
                </c:pt>
                <c:pt idx="1300">
                  <c:v>1301</c:v>
                </c:pt>
                <c:pt idx="1301">
                  <c:v>1302</c:v>
                </c:pt>
                <c:pt idx="1302">
                  <c:v>1303</c:v>
                </c:pt>
                <c:pt idx="1303">
                  <c:v>1304</c:v>
                </c:pt>
                <c:pt idx="1304">
                  <c:v>1305</c:v>
                </c:pt>
                <c:pt idx="1305">
                  <c:v>1306</c:v>
                </c:pt>
                <c:pt idx="1306">
                  <c:v>1307</c:v>
                </c:pt>
                <c:pt idx="1307">
                  <c:v>1308</c:v>
                </c:pt>
                <c:pt idx="1308">
                  <c:v>1309</c:v>
                </c:pt>
                <c:pt idx="1309">
                  <c:v>1310</c:v>
                </c:pt>
                <c:pt idx="1310">
                  <c:v>1311</c:v>
                </c:pt>
                <c:pt idx="1311">
                  <c:v>1312</c:v>
                </c:pt>
                <c:pt idx="1312">
                  <c:v>1313</c:v>
                </c:pt>
                <c:pt idx="1313">
                  <c:v>1314</c:v>
                </c:pt>
                <c:pt idx="1314">
                  <c:v>1315</c:v>
                </c:pt>
                <c:pt idx="1315">
                  <c:v>1316</c:v>
                </c:pt>
                <c:pt idx="1316">
                  <c:v>1317</c:v>
                </c:pt>
                <c:pt idx="1317">
                  <c:v>1318</c:v>
                </c:pt>
                <c:pt idx="1318">
                  <c:v>1319</c:v>
                </c:pt>
                <c:pt idx="1319">
                  <c:v>1320</c:v>
                </c:pt>
                <c:pt idx="1320">
                  <c:v>1321</c:v>
                </c:pt>
                <c:pt idx="1321">
                  <c:v>1322</c:v>
                </c:pt>
                <c:pt idx="1322">
                  <c:v>1323</c:v>
                </c:pt>
                <c:pt idx="1323">
                  <c:v>1324</c:v>
                </c:pt>
                <c:pt idx="1324">
                  <c:v>1325</c:v>
                </c:pt>
                <c:pt idx="1325">
                  <c:v>1326</c:v>
                </c:pt>
                <c:pt idx="1326">
                  <c:v>1327</c:v>
                </c:pt>
                <c:pt idx="1327">
                  <c:v>1328</c:v>
                </c:pt>
                <c:pt idx="1328">
                  <c:v>1329</c:v>
                </c:pt>
                <c:pt idx="1329">
                  <c:v>1330</c:v>
                </c:pt>
                <c:pt idx="1330">
                  <c:v>1331</c:v>
                </c:pt>
                <c:pt idx="1331">
                  <c:v>1332</c:v>
                </c:pt>
                <c:pt idx="1332">
                  <c:v>1333</c:v>
                </c:pt>
                <c:pt idx="1333">
                  <c:v>1334</c:v>
                </c:pt>
                <c:pt idx="1334">
                  <c:v>1335</c:v>
                </c:pt>
                <c:pt idx="1335">
                  <c:v>1336</c:v>
                </c:pt>
                <c:pt idx="1336">
                  <c:v>1337</c:v>
                </c:pt>
                <c:pt idx="1337">
                  <c:v>1338</c:v>
                </c:pt>
                <c:pt idx="1338">
                  <c:v>1339</c:v>
                </c:pt>
                <c:pt idx="1339">
                  <c:v>1340</c:v>
                </c:pt>
                <c:pt idx="1340">
                  <c:v>1341</c:v>
                </c:pt>
                <c:pt idx="1341">
                  <c:v>1342</c:v>
                </c:pt>
                <c:pt idx="1342">
                  <c:v>1343</c:v>
                </c:pt>
                <c:pt idx="1343">
                  <c:v>1344</c:v>
                </c:pt>
                <c:pt idx="1344">
                  <c:v>1345</c:v>
                </c:pt>
                <c:pt idx="1345">
                  <c:v>1346</c:v>
                </c:pt>
                <c:pt idx="1346">
                  <c:v>1347</c:v>
                </c:pt>
                <c:pt idx="1347">
                  <c:v>1348</c:v>
                </c:pt>
                <c:pt idx="1348">
                  <c:v>1349</c:v>
                </c:pt>
                <c:pt idx="1349">
                  <c:v>1350</c:v>
                </c:pt>
                <c:pt idx="1350">
                  <c:v>1351</c:v>
                </c:pt>
                <c:pt idx="1351">
                  <c:v>1352</c:v>
                </c:pt>
                <c:pt idx="1352">
                  <c:v>1353</c:v>
                </c:pt>
                <c:pt idx="1353">
                  <c:v>1354</c:v>
                </c:pt>
                <c:pt idx="1354">
                  <c:v>1355</c:v>
                </c:pt>
                <c:pt idx="1355">
                  <c:v>1356</c:v>
                </c:pt>
                <c:pt idx="1356">
                  <c:v>1357</c:v>
                </c:pt>
                <c:pt idx="1357">
                  <c:v>1358</c:v>
                </c:pt>
                <c:pt idx="1358">
                  <c:v>1359</c:v>
                </c:pt>
                <c:pt idx="1359">
                  <c:v>1360</c:v>
                </c:pt>
                <c:pt idx="1360">
                  <c:v>1361</c:v>
                </c:pt>
                <c:pt idx="1361">
                  <c:v>1362</c:v>
                </c:pt>
                <c:pt idx="1362">
                  <c:v>1363</c:v>
                </c:pt>
                <c:pt idx="1363">
                  <c:v>1364</c:v>
                </c:pt>
                <c:pt idx="1364">
                  <c:v>1365</c:v>
                </c:pt>
                <c:pt idx="1365">
                  <c:v>1366</c:v>
                </c:pt>
                <c:pt idx="1366">
                  <c:v>1367</c:v>
                </c:pt>
                <c:pt idx="1367">
                  <c:v>1368</c:v>
                </c:pt>
                <c:pt idx="1368">
                  <c:v>1369</c:v>
                </c:pt>
                <c:pt idx="1369">
                  <c:v>1370</c:v>
                </c:pt>
                <c:pt idx="1370">
                  <c:v>1371</c:v>
                </c:pt>
                <c:pt idx="1371">
                  <c:v>1372</c:v>
                </c:pt>
                <c:pt idx="1372">
                  <c:v>1373</c:v>
                </c:pt>
                <c:pt idx="1373">
                  <c:v>1374</c:v>
                </c:pt>
                <c:pt idx="1374">
                  <c:v>1375</c:v>
                </c:pt>
                <c:pt idx="1375">
                  <c:v>1376</c:v>
                </c:pt>
                <c:pt idx="1376">
                  <c:v>1377</c:v>
                </c:pt>
                <c:pt idx="1377">
                  <c:v>1378</c:v>
                </c:pt>
                <c:pt idx="1378">
                  <c:v>1379</c:v>
                </c:pt>
                <c:pt idx="1379">
                  <c:v>1380</c:v>
                </c:pt>
                <c:pt idx="1380">
                  <c:v>1381</c:v>
                </c:pt>
                <c:pt idx="1381">
                  <c:v>1382</c:v>
                </c:pt>
                <c:pt idx="1382">
                  <c:v>1383</c:v>
                </c:pt>
                <c:pt idx="1383">
                  <c:v>1384</c:v>
                </c:pt>
                <c:pt idx="1384">
                  <c:v>1385</c:v>
                </c:pt>
                <c:pt idx="1385">
                  <c:v>1386</c:v>
                </c:pt>
                <c:pt idx="1386">
                  <c:v>1387</c:v>
                </c:pt>
                <c:pt idx="1387">
                  <c:v>1388</c:v>
                </c:pt>
                <c:pt idx="1388">
                  <c:v>1389</c:v>
                </c:pt>
                <c:pt idx="1389">
                  <c:v>1390</c:v>
                </c:pt>
                <c:pt idx="1390">
                  <c:v>1391</c:v>
                </c:pt>
                <c:pt idx="1391">
                  <c:v>1392</c:v>
                </c:pt>
                <c:pt idx="1392">
                  <c:v>1393</c:v>
                </c:pt>
                <c:pt idx="1393">
                  <c:v>1394</c:v>
                </c:pt>
                <c:pt idx="1394">
                  <c:v>1395</c:v>
                </c:pt>
                <c:pt idx="1395">
                  <c:v>1396</c:v>
                </c:pt>
                <c:pt idx="1396">
                  <c:v>1397</c:v>
                </c:pt>
                <c:pt idx="1397">
                  <c:v>1398</c:v>
                </c:pt>
                <c:pt idx="1398">
                  <c:v>1399</c:v>
                </c:pt>
                <c:pt idx="1399">
                  <c:v>1400</c:v>
                </c:pt>
                <c:pt idx="1400">
                  <c:v>1401</c:v>
                </c:pt>
                <c:pt idx="1401">
                  <c:v>1402</c:v>
                </c:pt>
                <c:pt idx="1402">
                  <c:v>1403</c:v>
                </c:pt>
                <c:pt idx="1403">
                  <c:v>1404</c:v>
                </c:pt>
                <c:pt idx="1404">
                  <c:v>1405</c:v>
                </c:pt>
                <c:pt idx="1405">
                  <c:v>1406</c:v>
                </c:pt>
                <c:pt idx="1406">
                  <c:v>1407</c:v>
                </c:pt>
                <c:pt idx="1407">
                  <c:v>1408</c:v>
                </c:pt>
                <c:pt idx="1408">
                  <c:v>1409</c:v>
                </c:pt>
                <c:pt idx="1409">
                  <c:v>1410</c:v>
                </c:pt>
                <c:pt idx="1410">
                  <c:v>1411</c:v>
                </c:pt>
                <c:pt idx="1411">
                  <c:v>1412</c:v>
                </c:pt>
                <c:pt idx="1412">
                  <c:v>1413</c:v>
                </c:pt>
                <c:pt idx="1413">
                  <c:v>1414</c:v>
                </c:pt>
                <c:pt idx="1414">
                  <c:v>1415</c:v>
                </c:pt>
                <c:pt idx="1415">
                  <c:v>1416</c:v>
                </c:pt>
                <c:pt idx="1416">
                  <c:v>1417</c:v>
                </c:pt>
                <c:pt idx="1417">
                  <c:v>1418</c:v>
                </c:pt>
                <c:pt idx="1418">
                  <c:v>1419</c:v>
                </c:pt>
                <c:pt idx="1419">
                  <c:v>1420</c:v>
                </c:pt>
                <c:pt idx="1420">
                  <c:v>1421</c:v>
                </c:pt>
                <c:pt idx="1421">
                  <c:v>1422</c:v>
                </c:pt>
                <c:pt idx="1422">
                  <c:v>1423</c:v>
                </c:pt>
                <c:pt idx="1423">
                  <c:v>1424</c:v>
                </c:pt>
                <c:pt idx="1424">
                  <c:v>1425</c:v>
                </c:pt>
                <c:pt idx="1425">
                  <c:v>1426</c:v>
                </c:pt>
                <c:pt idx="1426">
                  <c:v>1427</c:v>
                </c:pt>
                <c:pt idx="1427">
                  <c:v>1428</c:v>
                </c:pt>
                <c:pt idx="1428">
                  <c:v>1429</c:v>
                </c:pt>
                <c:pt idx="1429">
                  <c:v>1430</c:v>
                </c:pt>
                <c:pt idx="1430">
                  <c:v>1431</c:v>
                </c:pt>
                <c:pt idx="1431">
                  <c:v>1432</c:v>
                </c:pt>
                <c:pt idx="1432">
                  <c:v>1433</c:v>
                </c:pt>
                <c:pt idx="1433">
                  <c:v>1434</c:v>
                </c:pt>
                <c:pt idx="1434">
                  <c:v>1435</c:v>
                </c:pt>
                <c:pt idx="1435">
                  <c:v>1436</c:v>
                </c:pt>
                <c:pt idx="1436">
                  <c:v>1437</c:v>
                </c:pt>
                <c:pt idx="1437">
                  <c:v>1438</c:v>
                </c:pt>
                <c:pt idx="1438">
                  <c:v>1439</c:v>
                </c:pt>
                <c:pt idx="1439">
                  <c:v>1440</c:v>
                </c:pt>
                <c:pt idx="1440">
                  <c:v>1441</c:v>
                </c:pt>
                <c:pt idx="1441">
                  <c:v>1442</c:v>
                </c:pt>
                <c:pt idx="1442">
                  <c:v>1443</c:v>
                </c:pt>
                <c:pt idx="1443">
                  <c:v>1444</c:v>
                </c:pt>
                <c:pt idx="1444">
                  <c:v>1445</c:v>
                </c:pt>
                <c:pt idx="1445">
                  <c:v>1446</c:v>
                </c:pt>
                <c:pt idx="1446">
                  <c:v>1447</c:v>
                </c:pt>
                <c:pt idx="1447">
                  <c:v>1448</c:v>
                </c:pt>
                <c:pt idx="1448">
                  <c:v>1449</c:v>
                </c:pt>
                <c:pt idx="1449">
                  <c:v>1450</c:v>
                </c:pt>
                <c:pt idx="1450">
                  <c:v>1451</c:v>
                </c:pt>
                <c:pt idx="1451">
                  <c:v>1452</c:v>
                </c:pt>
                <c:pt idx="1452">
                  <c:v>1453</c:v>
                </c:pt>
                <c:pt idx="1453">
                  <c:v>1454</c:v>
                </c:pt>
                <c:pt idx="1454">
                  <c:v>1455</c:v>
                </c:pt>
                <c:pt idx="1455">
                  <c:v>1456</c:v>
                </c:pt>
                <c:pt idx="1456">
                  <c:v>1457</c:v>
                </c:pt>
                <c:pt idx="1457">
                  <c:v>1458</c:v>
                </c:pt>
                <c:pt idx="1458">
                  <c:v>1459</c:v>
                </c:pt>
                <c:pt idx="1459">
                  <c:v>1460</c:v>
                </c:pt>
              </c:numCache>
            </c:numRef>
          </c:cat>
          <c:val>
            <c:numRef>
              <c:f>DEMANDA_PREVISIÓN!$E$5:$E$1464</c:f>
              <c:numCache>
                <c:formatCode>General</c:formatCode>
                <c:ptCount val="1460"/>
                <c:pt idx="730">
                  <c:v>44</c:v>
                </c:pt>
                <c:pt idx="731">
                  <c:v>41</c:v>
                </c:pt>
                <c:pt idx="732">
                  <c:v>41</c:v>
                </c:pt>
                <c:pt idx="733">
                  <c:v>54</c:v>
                </c:pt>
                <c:pt idx="734">
                  <c:v>40</c:v>
                </c:pt>
                <c:pt idx="735">
                  <c:v>46</c:v>
                </c:pt>
                <c:pt idx="736">
                  <c:v>33</c:v>
                </c:pt>
                <c:pt idx="737">
                  <c:v>46</c:v>
                </c:pt>
                <c:pt idx="738">
                  <c:v>37</c:v>
                </c:pt>
                <c:pt idx="739">
                  <c:v>35</c:v>
                </c:pt>
                <c:pt idx="740">
                  <c:v>37</c:v>
                </c:pt>
                <c:pt idx="741">
                  <c:v>31</c:v>
                </c:pt>
                <c:pt idx="742">
                  <c:v>46</c:v>
                </c:pt>
                <c:pt idx="743">
                  <c:v>47</c:v>
                </c:pt>
                <c:pt idx="744">
                  <c:v>34</c:v>
                </c:pt>
                <c:pt idx="745">
                  <c:v>41</c:v>
                </c:pt>
                <c:pt idx="746">
                  <c:v>40</c:v>
                </c:pt>
                <c:pt idx="747">
                  <c:v>28</c:v>
                </c:pt>
                <c:pt idx="748">
                  <c:v>42</c:v>
                </c:pt>
                <c:pt idx="749">
                  <c:v>32</c:v>
                </c:pt>
                <c:pt idx="750">
                  <c:v>48</c:v>
                </c:pt>
                <c:pt idx="751">
                  <c:v>31</c:v>
                </c:pt>
                <c:pt idx="752">
                  <c:v>48</c:v>
                </c:pt>
                <c:pt idx="753">
                  <c:v>50</c:v>
                </c:pt>
                <c:pt idx="754">
                  <c:v>38</c:v>
                </c:pt>
                <c:pt idx="755">
                  <c:v>31</c:v>
                </c:pt>
                <c:pt idx="756">
                  <c:v>41</c:v>
                </c:pt>
                <c:pt idx="757">
                  <c:v>44</c:v>
                </c:pt>
                <c:pt idx="758">
                  <c:v>34</c:v>
                </c:pt>
                <c:pt idx="759">
                  <c:v>34</c:v>
                </c:pt>
                <c:pt idx="760">
                  <c:v>49</c:v>
                </c:pt>
                <c:pt idx="761">
                  <c:v>41</c:v>
                </c:pt>
                <c:pt idx="762">
                  <c:v>40</c:v>
                </c:pt>
                <c:pt idx="763">
                  <c:v>46</c:v>
                </c:pt>
                <c:pt idx="764">
                  <c:v>31</c:v>
                </c:pt>
                <c:pt idx="765">
                  <c:v>38</c:v>
                </c:pt>
                <c:pt idx="766">
                  <c:v>39</c:v>
                </c:pt>
                <c:pt idx="767">
                  <c:v>40</c:v>
                </c:pt>
                <c:pt idx="768">
                  <c:v>48</c:v>
                </c:pt>
                <c:pt idx="769">
                  <c:v>39</c:v>
                </c:pt>
                <c:pt idx="770">
                  <c:v>42</c:v>
                </c:pt>
                <c:pt idx="771">
                  <c:v>43</c:v>
                </c:pt>
                <c:pt idx="772">
                  <c:v>48</c:v>
                </c:pt>
                <c:pt idx="773">
                  <c:v>45</c:v>
                </c:pt>
                <c:pt idx="774">
                  <c:v>53</c:v>
                </c:pt>
                <c:pt idx="775">
                  <c:v>27</c:v>
                </c:pt>
                <c:pt idx="776">
                  <c:v>38</c:v>
                </c:pt>
                <c:pt idx="777">
                  <c:v>40</c:v>
                </c:pt>
                <c:pt idx="778">
                  <c:v>38</c:v>
                </c:pt>
                <c:pt idx="779">
                  <c:v>40</c:v>
                </c:pt>
                <c:pt idx="780">
                  <c:v>36</c:v>
                </c:pt>
                <c:pt idx="781">
                  <c:v>45</c:v>
                </c:pt>
                <c:pt idx="782">
                  <c:v>38</c:v>
                </c:pt>
                <c:pt idx="783">
                  <c:v>36</c:v>
                </c:pt>
                <c:pt idx="784">
                  <c:v>51</c:v>
                </c:pt>
                <c:pt idx="785">
                  <c:v>45</c:v>
                </c:pt>
                <c:pt idx="786">
                  <c:v>36</c:v>
                </c:pt>
                <c:pt idx="787">
                  <c:v>40</c:v>
                </c:pt>
                <c:pt idx="788">
                  <c:v>42</c:v>
                </c:pt>
                <c:pt idx="789">
                  <c:v>39</c:v>
                </c:pt>
                <c:pt idx="790">
                  <c:v>37</c:v>
                </c:pt>
                <c:pt idx="791">
                  <c:v>35</c:v>
                </c:pt>
                <c:pt idx="792">
                  <c:v>39</c:v>
                </c:pt>
                <c:pt idx="793">
                  <c:v>39</c:v>
                </c:pt>
                <c:pt idx="794">
                  <c:v>45</c:v>
                </c:pt>
                <c:pt idx="795">
                  <c:v>34</c:v>
                </c:pt>
                <c:pt idx="796">
                  <c:v>51</c:v>
                </c:pt>
                <c:pt idx="797">
                  <c:v>36</c:v>
                </c:pt>
                <c:pt idx="798">
                  <c:v>37</c:v>
                </c:pt>
                <c:pt idx="799">
                  <c:v>47</c:v>
                </c:pt>
                <c:pt idx="800">
                  <c:v>41</c:v>
                </c:pt>
                <c:pt idx="801">
                  <c:v>41</c:v>
                </c:pt>
                <c:pt idx="802">
                  <c:v>42</c:v>
                </c:pt>
                <c:pt idx="803">
                  <c:v>48</c:v>
                </c:pt>
                <c:pt idx="804">
                  <c:v>55</c:v>
                </c:pt>
                <c:pt idx="805">
                  <c:v>50</c:v>
                </c:pt>
                <c:pt idx="806">
                  <c:v>44</c:v>
                </c:pt>
                <c:pt idx="807">
                  <c:v>41</c:v>
                </c:pt>
                <c:pt idx="808">
                  <c:v>38</c:v>
                </c:pt>
                <c:pt idx="809">
                  <c:v>44</c:v>
                </c:pt>
                <c:pt idx="810">
                  <c:v>39</c:v>
                </c:pt>
                <c:pt idx="811">
                  <c:v>52</c:v>
                </c:pt>
                <c:pt idx="812">
                  <c:v>47</c:v>
                </c:pt>
                <c:pt idx="813">
                  <c:v>43</c:v>
                </c:pt>
                <c:pt idx="814">
                  <c:v>56</c:v>
                </c:pt>
                <c:pt idx="815">
                  <c:v>45</c:v>
                </c:pt>
                <c:pt idx="816">
                  <c:v>49</c:v>
                </c:pt>
                <c:pt idx="817">
                  <c:v>43</c:v>
                </c:pt>
                <c:pt idx="818">
                  <c:v>47</c:v>
                </c:pt>
                <c:pt idx="819">
                  <c:v>44</c:v>
                </c:pt>
                <c:pt idx="820">
                  <c:v>42</c:v>
                </c:pt>
                <c:pt idx="821">
                  <c:v>49</c:v>
                </c:pt>
                <c:pt idx="822">
                  <c:v>43</c:v>
                </c:pt>
                <c:pt idx="823">
                  <c:v>29</c:v>
                </c:pt>
                <c:pt idx="824">
                  <c:v>32</c:v>
                </c:pt>
                <c:pt idx="825">
                  <c:v>36</c:v>
                </c:pt>
                <c:pt idx="826">
                  <c:v>51</c:v>
                </c:pt>
                <c:pt idx="827">
                  <c:v>44</c:v>
                </c:pt>
                <c:pt idx="828">
                  <c:v>40</c:v>
                </c:pt>
                <c:pt idx="829">
                  <c:v>46</c:v>
                </c:pt>
                <c:pt idx="830">
                  <c:v>30</c:v>
                </c:pt>
                <c:pt idx="831">
                  <c:v>45</c:v>
                </c:pt>
                <c:pt idx="832">
                  <c:v>43</c:v>
                </c:pt>
                <c:pt idx="833">
                  <c:v>47</c:v>
                </c:pt>
                <c:pt idx="834">
                  <c:v>50</c:v>
                </c:pt>
                <c:pt idx="835">
                  <c:v>49</c:v>
                </c:pt>
                <c:pt idx="836">
                  <c:v>42</c:v>
                </c:pt>
                <c:pt idx="837">
                  <c:v>37</c:v>
                </c:pt>
                <c:pt idx="838">
                  <c:v>46</c:v>
                </c:pt>
                <c:pt idx="839">
                  <c:v>40</c:v>
                </c:pt>
                <c:pt idx="840">
                  <c:v>39</c:v>
                </c:pt>
                <c:pt idx="841">
                  <c:v>46</c:v>
                </c:pt>
                <c:pt idx="842">
                  <c:v>41</c:v>
                </c:pt>
                <c:pt idx="843">
                  <c:v>53</c:v>
                </c:pt>
                <c:pt idx="844">
                  <c:v>42</c:v>
                </c:pt>
                <c:pt idx="845">
                  <c:v>35</c:v>
                </c:pt>
                <c:pt idx="846">
                  <c:v>55</c:v>
                </c:pt>
                <c:pt idx="847">
                  <c:v>49</c:v>
                </c:pt>
                <c:pt idx="848">
                  <c:v>53</c:v>
                </c:pt>
                <c:pt idx="849">
                  <c:v>48</c:v>
                </c:pt>
                <c:pt idx="850">
                  <c:v>49</c:v>
                </c:pt>
                <c:pt idx="851">
                  <c:v>42</c:v>
                </c:pt>
                <c:pt idx="852">
                  <c:v>45</c:v>
                </c:pt>
                <c:pt idx="853">
                  <c:v>41</c:v>
                </c:pt>
                <c:pt idx="854">
                  <c:v>43</c:v>
                </c:pt>
                <c:pt idx="855">
                  <c:v>43</c:v>
                </c:pt>
                <c:pt idx="856">
                  <c:v>45</c:v>
                </c:pt>
                <c:pt idx="857">
                  <c:v>35</c:v>
                </c:pt>
                <c:pt idx="858">
                  <c:v>42</c:v>
                </c:pt>
                <c:pt idx="859">
                  <c:v>42</c:v>
                </c:pt>
                <c:pt idx="860">
                  <c:v>38</c:v>
                </c:pt>
                <c:pt idx="861">
                  <c:v>51</c:v>
                </c:pt>
                <c:pt idx="862">
                  <c:v>32</c:v>
                </c:pt>
                <c:pt idx="863">
                  <c:v>39</c:v>
                </c:pt>
                <c:pt idx="864">
                  <c:v>51</c:v>
                </c:pt>
                <c:pt idx="865">
                  <c:v>41</c:v>
                </c:pt>
                <c:pt idx="866">
                  <c:v>44</c:v>
                </c:pt>
                <c:pt idx="867">
                  <c:v>38</c:v>
                </c:pt>
                <c:pt idx="868">
                  <c:v>41</c:v>
                </c:pt>
                <c:pt idx="869">
                  <c:v>45</c:v>
                </c:pt>
                <c:pt idx="870">
                  <c:v>46</c:v>
                </c:pt>
                <c:pt idx="871">
                  <c:v>45</c:v>
                </c:pt>
                <c:pt idx="872">
                  <c:v>48</c:v>
                </c:pt>
                <c:pt idx="873">
                  <c:v>47</c:v>
                </c:pt>
                <c:pt idx="874">
                  <c:v>48</c:v>
                </c:pt>
                <c:pt idx="875">
                  <c:v>45</c:v>
                </c:pt>
                <c:pt idx="876">
                  <c:v>35</c:v>
                </c:pt>
                <c:pt idx="877">
                  <c:v>33</c:v>
                </c:pt>
                <c:pt idx="878">
                  <c:v>41</c:v>
                </c:pt>
                <c:pt idx="879">
                  <c:v>37</c:v>
                </c:pt>
                <c:pt idx="880">
                  <c:v>34</c:v>
                </c:pt>
                <c:pt idx="881">
                  <c:v>35</c:v>
                </c:pt>
                <c:pt idx="882">
                  <c:v>31</c:v>
                </c:pt>
                <c:pt idx="883">
                  <c:v>37</c:v>
                </c:pt>
                <c:pt idx="884">
                  <c:v>38</c:v>
                </c:pt>
                <c:pt idx="885">
                  <c:v>46</c:v>
                </c:pt>
                <c:pt idx="886">
                  <c:v>34</c:v>
                </c:pt>
                <c:pt idx="887">
                  <c:v>34</c:v>
                </c:pt>
                <c:pt idx="888">
                  <c:v>48</c:v>
                </c:pt>
                <c:pt idx="889">
                  <c:v>37</c:v>
                </c:pt>
                <c:pt idx="890">
                  <c:v>47</c:v>
                </c:pt>
                <c:pt idx="891">
                  <c:v>44</c:v>
                </c:pt>
                <c:pt idx="892">
                  <c:v>42</c:v>
                </c:pt>
                <c:pt idx="893">
                  <c:v>31</c:v>
                </c:pt>
                <c:pt idx="894">
                  <c:v>41</c:v>
                </c:pt>
                <c:pt idx="895">
                  <c:v>38</c:v>
                </c:pt>
                <c:pt idx="896">
                  <c:v>37</c:v>
                </c:pt>
                <c:pt idx="897">
                  <c:v>48</c:v>
                </c:pt>
                <c:pt idx="898">
                  <c:v>34</c:v>
                </c:pt>
                <c:pt idx="899">
                  <c:v>46</c:v>
                </c:pt>
                <c:pt idx="900">
                  <c:v>48</c:v>
                </c:pt>
                <c:pt idx="901">
                  <c:v>46</c:v>
                </c:pt>
                <c:pt idx="902">
                  <c:v>41</c:v>
                </c:pt>
                <c:pt idx="903">
                  <c:v>38</c:v>
                </c:pt>
                <c:pt idx="904">
                  <c:v>48</c:v>
                </c:pt>
                <c:pt idx="905">
                  <c:v>43</c:v>
                </c:pt>
                <c:pt idx="906">
                  <c:v>43</c:v>
                </c:pt>
                <c:pt idx="907">
                  <c:v>36</c:v>
                </c:pt>
                <c:pt idx="908">
                  <c:v>39</c:v>
                </c:pt>
                <c:pt idx="909">
                  <c:v>40</c:v>
                </c:pt>
                <c:pt idx="910">
                  <c:v>42</c:v>
                </c:pt>
                <c:pt idx="911">
                  <c:v>37</c:v>
                </c:pt>
                <c:pt idx="912">
                  <c:v>33</c:v>
                </c:pt>
                <c:pt idx="913">
                  <c:v>46</c:v>
                </c:pt>
                <c:pt idx="914">
                  <c:v>36</c:v>
                </c:pt>
                <c:pt idx="915">
                  <c:v>33</c:v>
                </c:pt>
                <c:pt idx="916">
                  <c:v>33</c:v>
                </c:pt>
                <c:pt idx="917">
                  <c:v>37</c:v>
                </c:pt>
                <c:pt idx="918">
                  <c:v>38</c:v>
                </c:pt>
                <c:pt idx="919">
                  <c:v>36</c:v>
                </c:pt>
                <c:pt idx="920">
                  <c:v>40</c:v>
                </c:pt>
                <c:pt idx="921">
                  <c:v>39</c:v>
                </c:pt>
                <c:pt idx="922">
                  <c:v>34</c:v>
                </c:pt>
                <c:pt idx="923">
                  <c:v>40</c:v>
                </c:pt>
                <c:pt idx="924">
                  <c:v>28</c:v>
                </c:pt>
                <c:pt idx="925">
                  <c:v>49</c:v>
                </c:pt>
                <c:pt idx="926">
                  <c:v>39</c:v>
                </c:pt>
                <c:pt idx="927">
                  <c:v>34</c:v>
                </c:pt>
                <c:pt idx="928">
                  <c:v>27</c:v>
                </c:pt>
                <c:pt idx="929">
                  <c:v>39</c:v>
                </c:pt>
                <c:pt idx="930">
                  <c:v>46</c:v>
                </c:pt>
                <c:pt idx="931">
                  <c:v>41</c:v>
                </c:pt>
                <c:pt idx="932">
                  <c:v>32</c:v>
                </c:pt>
                <c:pt idx="933">
                  <c:v>43</c:v>
                </c:pt>
                <c:pt idx="934">
                  <c:v>44</c:v>
                </c:pt>
                <c:pt idx="935">
                  <c:v>36</c:v>
                </c:pt>
                <c:pt idx="936">
                  <c:v>29</c:v>
                </c:pt>
                <c:pt idx="937">
                  <c:v>39</c:v>
                </c:pt>
                <c:pt idx="938">
                  <c:v>30</c:v>
                </c:pt>
                <c:pt idx="939">
                  <c:v>24</c:v>
                </c:pt>
                <c:pt idx="940">
                  <c:v>39</c:v>
                </c:pt>
                <c:pt idx="941">
                  <c:v>33</c:v>
                </c:pt>
                <c:pt idx="942">
                  <c:v>29</c:v>
                </c:pt>
                <c:pt idx="943">
                  <c:v>41</c:v>
                </c:pt>
                <c:pt idx="944">
                  <c:v>27</c:v>
                </c:pt>
                <c:pt idx="945">
                  <c:v>38</c:v>
                </c:pt>
                <c:pt idx="946">
                  <c:v>38</c:v>
                </c:pt>
                <c:pt idx="947">
                  <c:v>38</c:v>
                </c:pt>
                <c:pt idx="948">
                  <c:v>42</c:v>
                </c:pt>
                <c:pt idx="949">
                  <c:v>35</c:v>
                </c:pt>
                <c:pt idx="950">
                  <c:v>32</c:v>
                </c:pt>
                <c:pt idx="951">
                  <c:v>28</c:v>
                </c:pt>
                <c:pt idx="952">
                  <c:v>30</c:v>
                </c:pt>
                <c:pt idx="953">
                  <c:v>33</c:v>
                </c:pt>
                <c:pt idx="954">
                  <c:v>32</c:v>
                </c:pt>
                <c:pt idx="955">
                  <c:v>50</c:v>
                </c:pt>
                <c:pt idx="956">
                  <c:v>36</c:v>
                </c:pt>
                <c:pt idx="957">
                  <c:v>31</c:v>
                </c:pt>
                <c:pt idx="958">
                  <c:v>29</c:v>
                </c:pt>
                <c:pt idx="959">
                  <c:v>38</c:v>
                </c:pt>
                <c:pt idx="960">
                  <c:v>40</c:v>
                </c:pt>
                <c:pt idx="961">
                  <c:v>33</c:v>
                </c:pt>
                <c:pt idx="962">
                  <c:v>34</c:v>
                </c:pt>
                <c:pt idx="963">
                  <c:v>33</c:v>
                </c:pt>
                <c:pt idx="964">
                  <c:v>32</c:v>
                </c:pt>
                <c:pt idx="965">
                  <c:v>39</c:v>
                </c:pt>
                <c:pt idx="966">
                  <c:v>32</c:v>
                </c:pt>
                <c:pt idx="967">
                  <c:v>34</c:v>
                </c:pt>
                <c:pt idx="968">
                  <c:v>29</c:v>
                </c:pt>
                <c:pt idx="969">
                  <c:v>36</c:v>
                </c:pt>
                <c:pt idx="970">
                  <c:v>30</c:v>
                </c:pt>
                <c:pt idx="971">
                  <c:v>37</c:v>
                </c:pt>
                <c:pt idx="972">
                  <c:v>39</c:v>
                </c:pt>
                <c:pt idx="973">
                  <c:v>25</c:v>
                </c:pt>
                <c:pt idx="974">
                  <c:v>33</c:v>
                </c:pt>
                <c:pt idx="975">
                  <c:v>23</c:v>
                </c:pt>
                <c:pt idx="976">
                  <c:v>28</c:v>
                </c:pt>
                <c:pt idx="977">
                  <c:v>29</c:v>
                </c:pt>
                <c:pt idx="978">
                  <c:v>33</c:v>
                </c:pt>
                <c:pt idx="979">
                  <c:v>29</c:v>
                </c:pt>
                <c:pt idx="980">
                  <c:v>35</c:v>
                </c:pt>
                <c:pt idx="981">
                  <c:v>38</c:v>
                </c:pt>
                <c:pt idx="982">
                  <c:v>19</c:v>
                </c:pt>
                <c:pt idx="983">
                  <c:v>34</c:v>
                </c:pt>
                <c:pt idx="984">
                  <c:v>29</c:v>
                </c:pt>
                <c:pt idx="985">
                  <c:v>25</c:v>
                </c:pt>
                <c:pt idx="986">
                  <c:v>32</c:v>
                </c:pt>
                <c:pt idx="987">
                  <c:v>38</c:v>
                </c:pt>
                <c:pt idx="988">
                  <c:v>24</c:v>
                </c:pt>
                <c:pt idx="989">
                  <c:v>39</c:v>
                </c:pt>
                <c:pt idx="990">
                  <c:v>30</c:v>
                </c:pt>
                <c:pt idx="991">
                  <c:v>32</c:v>
                </c:pt>
                <c:pt idx="992">
                  <c:v>32</c:v>
                </c:pt>
                <c:pt idx="993">
                  <c:v>31</c:v>
                </c:pt>
                <c:pt idx="994">
                  <c:v>40</c:v>
                </c:pt>
                <c:pt idx="995">
                  <c:v>37</c:v>
                </c:pt>
                <c:pt idx="996">
                  <c:v>29</c:v>
                </c:pt>
                <c:pt idx="997">
                  <c:v>33</c:v>
                </c:pt>
                <c:pt idx="998">
                  <c:v>28</c:v>
                </c:pt>
                <c:pt idx="999">
                  <c:v>25</c:v>
                </c:pt>
                <c:pt idx="1000">
                  <c:v>29</c:v>
                </c:pt>
                <c:pt idx="1001">
                  <c:v>32</c:v>
                </c:pt>
                <c:pt idx="1002">
                  <c:v>36</c:v>
                </c:pt>
                <c:pt idx="1003">
                  <c:v>42</c:v>
                </c:pt>
                <c:pt idx="1004">
                  <c:v>35</c:v>
                </c:pt>
                <c:pt idx="1005">
                  <c:v>41</c:v>
                </c:pt>
                <c:pt idx="1006">
                  <c:v>25</c:v>
                </c:pt>
                <c:pt idx="1007">
                  <c:v>28</c:v>
                </c:pt>
                <c:pt idx="1008">
                  <c:v>31</c:v>
                </c:pt>
                <c:pt idx="1009">
                  <c:v>28</c:v>
                </c:pt>
                <c:pt idx="1010">
                  <c:v>36</c:v>
                </c:pt>
                <c:pt idx="1011">
                  <c:v>29</c:v>
                </c:pt>
                <c:pt idx="1012">
                  <c:v>39</c:v>
                </c:pt>
                <c:pt idx="1013">
                  <c:v>33</c:v>
                </c:pt>
                <c:pt idx="1014">
                  <c:v>31</c:v>
                </c:pt>
                <c:pt idx="1015">
                  <c:v>39</c:v>
                </c:pt>
                <c:pt idx="1016">
                  <c:v>29</c:v>
                </c:pt>
                <c:pt idx="1017">
                  <c:v>22</c:v>
                </c:pt>
                <c:pt idx="1018">
                  <c:v>40</c:v>
                </c:pt>
                <c:pt idx="1019">
                  <c:v>30</c:v>
                </c:pt>
                <c:pt idx="1020">
                  <c:v>34</c:v>
                </c:pt>
                <c:pt idx="1021">
                  <c:v>35</c:v>
                </c:pt>
                <c:pt idx="1022">
                  <c:v>41</c:v>
                </c:pt>
                <c:pt idx="1023">
                  <c:v>26</c:v>
                </c:pt>
                <c:pt idx="1024">
                  <c:v>34</c:v>
                </c:pt>
                <c:pt idx="1025">
                  <c:v>35</c:v>
                </c:pt>
                <c:pt idx="1026">
                  <c:v>39</c:v>
                </c:pt>
                <c:pt idx="1027">
                  <c:v>37</c:v>
                </c:pt>
                <c:pt idx="1028">
                  <c:v>36</c:v>
                </c:pt>
                <c:pt idx="1029">
                  <c:v>33</c:v>
                </c:pt>
                <c:pt idx="1030">
                  <c:v>32</c:v>
                </c:pt>
                <c:pt idx="1031">
                  <c:v>34</c:v>
                </c:pt>
                <c:pt idx="1032">
                  <c:v>34</c:v>
                </c:pt>
                <c:pt idx="1033">
                  <c:v>30</c:v>
                </c:pt>
                <c:pt idx="1034">
                  <c:v>25</c:v>
                </c:pt>
                <c:pt idx="1035">
                  <c:v>36</c:v>
                </c:pt>
                <c:pt idx="1036">
                  <c:v>35</c:v>
                </c:pt>
                <c:pt idx="1037">
                  <c:v>35</c:v>
                </c:pt>
                <c:pt idx="1038">
                  <c:v>39</c:v>
                </c:pt>
                <c:pt idx="1039">
                  <c:v>24</c:v>
                </c:pt>
                <c:pt idx="1040">
                  <c:v>29</c:v>
                </c:pt>
                <c:pt idx="1041">
                  <c:v>43</c:v>
                </c:pt>
                <c:pt idx="1042">
                  <c:v>30</c:v>
                </c:pt>
                <c:pt idx="1043">
                  <c:v>38</c:v>
                </c:pt>
                <c:pt idx="1044">
                  <c:v>39</c:v>
                </c:pt>
                <c:pt idx="1045">
                  <c:v>32</c:v>
                </c:pt>
                <c:pt idx="1046">
                  <c:v>39</c:v>
                </c:pt>
                <c:pt idx="1047">
                  <c:v>49</c:v>
                </c:pt>
                <c:pt idx="1048">
                  <c:v>41</c:v>
                </c:pt>
                <c:pt idx="1049">
                  <c:v>33</c:v>
                </c:pt>
                <c:pt idx="1050">
                  <c:v>36</c:v>
                </c:pt>
                <c:pt idx="1051">
                  <c:v>37</c:v>
                </c:pt>
                <c:pt idx="1052">
                  <c:v>30</c:v>
                </c:pt>
                <c:pt idx="1053">
                  <c:v>39</c:v>
                </c:pt>
                <c:pt idx="1054">
                  <c:v>32</c:v>
                </c:pt>
                <c:pt idx="1055">
                  <c:v>38</c:v>
                </c:pt>
                <c:pt idx="1056">
                  <c:v>39</c:v>
                </c:pt>
                <c:pt idx="1057">
                  <c:v>43</c:v>
                </c:pt>
                <c:pt idx="1058">
                  <c:v>35</c:v>
                </c:pt>
                <c:pt idx="1059">
                  <c:v>37</c:v>
                </c:pt>
                <c:pt idx="1060">
                  <c:v>35</c:v>
                </c:pt>
                <c:pt idx="1061">
                  <c:v>30</c:v>
                </c:pt>
                <c:pt idx="1062">
                  <c:v>38</c:v>
                </c:pt>
                <c:pt idx="1063">
                  <c:v>40</c:v>
                </c:pt>
                <c:pt idx="1064">
                  <c:v>36</c:v>
                </c:pt>
                <c:pt idx="1065">
                  <c:v>31</c:v>
                </c:pt>
                <c:pt idx="1066">
                  <c:v>32</c:v>
                </c:pt>
                <c:pt idx="1067">
                  <c:v>41</c:v>
                </c:pt>
                <c:pt idx="1068">
                  <c:v>46</c:v>
                </c:pt>
                <c:pt idx="1069">
                  <c:v>33</c:v>
                </c:pt>
                <c:pt idx="1070">
                  <c:v>34</c:v>
                </c:pt>
                <c:pt idx="1071">
                  <c:v>33</c:v>
                </c:pt>
                <c:pt idx="1072">
                  <c:v>38</c:v>
                </c:pt>
                <c:pt idx="1073">
                  <c:v>40</c:v>
                </c:pt>
                <c:pt idx="1074">
                  <c:v>40</c:v>
                </c:pt>
                <c:pt idx="1075">
                  <c:v>41</c:v>
                </c:pt>
                <c:pt idx="1076">
                  <c:v>38</c:v>
                </c:pt>
                <c:pt idx="1077">
                  <c:v>44</c:v>
                </c:pt>
                <c:pt idx="1078">
                  <c:v>41</c:v>
                </c:pt>
                <c:pt idx="1079">
                  <c:v>36</c:v>
                </c:pt>
                <c:pt idx="1080">
                  <c:v>40</c:v>
                </c:pt>
                <c:pt idx="1081">
                  <c:v>39</c:v>
                </c:pt>
                <c:pt idx="1082">
                  <c:v>33</c:v>
                </c:pt>
                <c:pt idx="1083">
                  <c:v>36</c:v>
                </c:pt>
                <c:pt idx="1084">
                  <c:v>36</c:v>
                </c:pt>
                <c:pt idx="1085">
                  <c:v>35</c:v>
                </c:pt>
                <c:pt idx="1086">
                  <c:v>31</c:v>
                </c:pt>
                <c:pt idx="1087">
                  <c:v>32</c:v>
                </c:pt>
                <c:pt idx="1088">
                  <c:v>37</c:v>
                </c:pt>
                <c:pt idx="1089">
                  <c:v>37</c:v>
                </c:pt>
                <c:pt idx="1090">
                  <c:v>36</c:v>
                </c:pt>
                <c:pt idx="1091">
                  <c:v>32</c:v>
                </c:pt>
                <c:pt idx="1092">
                  <c:v>34</c:v>
                </c:pt>
                <c:pt idx="1093">
                  <c:v>38</c:v>
                </c:pt>
                <c:pt idx="1094">
                  <c:v>27</c:v>
                </c:pt>
                <c:pt idx="1095">
                  <c:v>45</c:v>
                </c:pt>
                <c:pt idx="1096">
                  <c:v>42</c:v>
                </c:pt>
                <c:pt idx="1097">
                  <c:v>42</c:v>
                </c:pt>
                <c:pt idx="1098">
                  <c:v>55</c:v>
                </c:pt>
                <c:pt idx="1099">
                  <c:v>41</c:v>
                </c:pt>
                <c:pt idx="1100">
                  <c:v>47</c:v>
                </c:pt>
                <c:pt idx="1101">
                  <c:v>34</c:v>
                </c:pt>
                <c:pt idx="1102">
                  <c:v>47</c:v>
                </c:pt>
                <c:pt idx="1103">
                  <c:v>38</c:v>
                </c:pt>
                <c:pt idx="1104">
                  <c:v>35</c:v>
                </c:pt>
                <c:pt idx="1105">
                  <c:v>37</c:v>
                </c:pt>
                <c:pt idx="1106">
                  <c:v>32</c:v>
                </c:pt>
                <c:pt idx="1107">
                  <c:v>47</c:v>
                </c:pt>
                <c:pt idx="1108">
                  <c:v>47</c:v>
                </c:pt>
                <c:pt idx="1109">
                  <c:v>35</c:v>
                </c:pt>
                <c:pt idx="1110">
                  <c:v>42</c:v>
                </c:pt>
                <c:pt idx="1111">
                  <c:v>41</c:v>
                </c:pt>
                <c:pt idx="1112">
                  <c:v>28</c:v>
                </c:pt>
                <c:pt idx="1113">
                  <c:v>42</c:v>
                </c:pt>
                <c:pt idx="1114">
                  <c:v>33</c:v>
                </c:pt>
                <c:pt idx="1115">
                  <c:v>48</c:v>
                </c:pt>
                <c:pt idx="1116">
                  <c:v>31</c:v>
                </c:pt>
                <c:pt idx="1117">
                  <c:v>48</c:v>
                </c:pt>
                <c:pt idx="1118">
                  <c:v>50</c:v>
                </c:pt>
                <c:pt idx="1119">
                  <c:v>39</c:v>
                </c:pt>
                <c:pt idx="1120">
                  <c:v>32</c:v>
                </c:pt>
                <c:pt idx="1121">
                  <c:v>42</c:v>
                </c:pt>
                <c:pt idx="1122">
                  <c:v>45</c:v>
                </c:pt>
                <c:pt idx="1123">
                  <c:v>35</c:v>
                </c:pt>
                <c:pt idx="1124">
                  <c:v>35</c:v>
                </c:pt>
                <c:pt idx="1125">
                  <c:v>50</c:v>
                </c:pt>
                <c:pt idx="1126">
                  <c:v>42</c:v>
                </c:pt>
                <c:pt idx="1127">
                  <c:v>41</c:v>
                </c:pt>
                <c:pt idx="1128">
                  <c:v>47</c:v>
                </c:pt>
                <c:pt idx="1129">
                  <c:v>32</c:v>
                </c:pt>
                <c:pt idx="1130">
                  <c:v>39</c:v>
                </c:pt>
                <c:pt idx="1131">
                  <c:v>39</c:v>
                </c:pt>
                <c:pt idx="1132">
                  <c:v>41</c:v>
                </c:pt>
                <c:pt idx="1133">
                  <c:v>49</c:v>
                </c:pt>
                <c:pt idx="1134">
                  <c:v>39</c:v>
                </c:pt>
                <c:pt idx="1135">
                  <c:v>43</c:v>
                </c:pt>
                <c:pt idx="1136">
                  <c:v>44</c:v>
                </c:pt>
                <c:pt idx="1137">
                  <c:v>49</c:v>
                </c:pt>
                <c:pt idx="1138">
                  <c:v>46</c:v>
                </c:pt>
                <c:pt idx="1139">
                  <c:v>53</c:v>
                </c:pt>
                <c:pt idx="1140">
                  <c:v>28</c:v>
                </c:pt>
                <c:pt idx="1141">
                  <c:v>39</c:v>
                </c:pt>
                <c:pt idx="1142">
                  <c:v>41</c:v>
                </c:pt>
                <c:pt idx="1143">
                  <c:v>39</c:v>
                </c:pt>
                <c:pt idx="1144">
                  <c:v>40</c:v>
                </c:pt>
                <c:pt idx="1145">
                  <c:v>37</c:v>
                </c:pt>
                <c:pt idx="1146">
                  <c:v>45</c:v>
                </c:pt>
                <c:pt idx="1147">
                  <c:v>39</c:v>
                </c:pt>
                <c:pt idx="1148">
                  <c:v>37</c:v>
                </c:pt>
                <c:pt idx="1149">
                  <c:v>51</c:v>
                </c:pt>
                <c:pt idx="1150">
                  <c:v>45</c:v>
                </c:pt>
                <c:pt idx="1151">
                  <c:v>36</c:v>
                </c:pt>
                <c:pt idx="1152">
                  <c:v>41</c:v>
                </c:pt>
                <c:pt idx="1153">
                  <c:v>43</c:v>
                </c:pt>
                <c:pt idx="1154">
                  <c:v>39</c:v>
                </c:pt>
                <c:pt idx="1155">
                  <c:v>38</c:v>
                </c:pt>
                <c:pt idx="1156">
                  <c:v>36</c:v>
                </c:pt>
                <c:pt idx="1157">
                  <c:v>40</c:v>
                </c:pt>
                <c:pt idx="1158">
                  <c:v>40</c:v>
                </c:pt>
                <c:pt idx="1159">
                  <c:v>45</c:v>
                </c:pt>
                <c:pt idx="1160">
                  <c:v>34</c:v>
                </c:pt>
                <c:pt idx="1161">
                  <c:v>52</c:v>
                </c:pt>
                <c:pt idx="1162">
                  <c:v>37</c:v>
                </c:pt>
                <c:pt idx="1163">
                  <c:v>38</c:v>
                </c:pt>
                <c:pt idx="1164">
                  <c:v>48</c:v>
                </c:pt>
                <c:pt idx="1165">
                  <c:v>42</c:v>
                </c:pt>
                <c:pt idx="1166">
                  <c:v>41</c:v>
                </c:pt>
                <c:pt idx="1167">
                  <c:v>43</c:v>
                </c:pt>
                <c:pt idx="1168">
                  <c:v>49</c:v>
                </c:pt>
                <c:pt idx="1169">
                  <c:v>55</c:v>
                </c:pt>
                <c:pt idx="1170">
                  <c:v>51</c:v>
                </c:pt>
                <c:pt idx="1171">
                  <c:v>44</c:v>
                </c:pt>
                <c:pt idx="1172">
                  <c:v>41</c:v>
                </c:pt>
                <c:pt idx="1173">
                  <c:v>39</c:v>
                </c:pt>
                <c:pt idx="1174">
                  <c:v>45</c:v>
                </c:pt>
                <c:pt idx="1175">
                  <c:v>40</c:v>
                </c:pt>
                <c:pt idx="1176">
                  <c:v>53</c:v>
                </c:pt>
                <c:pt idx="1177">
                  <c:v>47</c:v>
                </c:pt>
                <c:pt idx="1178">
                  <c:v>44</c:v>
                </c:pt>
                <c:pt idx="1179">
                  <c:v>57</c:v>
                </c:pt>
                <c:pt idx="1180">
                  <c:v>46</c:v>
                </c:pt>
                <c:pt idx="1181">
                  <c:v>50</c:v>
                </c:pt>
                <c:pt idx="1182">
                  <c:v>43</c:v>
                </c:pt>
                <c:pt idx="1183">
                  <c:v>47</c:v>
                </c:pt>
                <c:pt idx="1184">
                  <c:v>45</c:v>
                </c:pt>
                <c:pt idx="1185">
                  <c:v>43</c:v>
                </c:pt>
                <c:pt idx="1186">
                  <c:v>50</c:v>
                </c:pt>
                <c:pt idx="1187">
                  <c:v>44</c:v>
                </c:pt>
                <c:pt idx="1188">
                  <c:v>30</c:v>
                </c:pt>
                <c:pt idx="1189">
                  <c:v>33</c:v>
                </c:pt>
                <c:pt idx="1190">
                  <c:v>36</c:v>
                </c:pt>
                <c:pt idx="1191">
                  <c:v>52</c:v>
                </c:pt>
                <c:pt idx="1192">
                  <c:v>45</c:v>
                </c:pt>
                <c:pt idx="1193">
                  <c:v>41</c:v>
                </c:pt>
                <c:pt idx="1194">
                  <c:v>47</c:v>
                </c:pt>
                <c:pt idx="1195">
                  <c:v>31</c:v>
                </c:pt>
                <c:pt idx="1196">
                  <c:v>45</c:v>
                </c:pt>
                <c:pt idx="1197">
                  <c:v>44</c:v>
                </c:pt>
                <c:pt idx="1198">
                  <c:v>48</c:v>
                </c:pt>
                <c:pt idx="1199">
                  <c:v>51</c:v>
                </c:pt>
                <c:pt idx="1200">
                  <c:v>50</c:v>
                </c:pt>
                <c:pt idx="1201">
                  <c:v>42</c:v>
                </c:pt>
                <c:pt idx="1202">
                  <c:v>37</c:v>
                </c:pt>
                <c:pt idx="1203">
                  <c:v>46</c:v>
                </c:pt>
                <c:pt idx="1204">
                  <c:v>41</c:v>
                </c:pt>
                <c:pt idx="1205">
                  <c:v>40</c:v>
                </c:pt>
                <c:pt idx="1206">
                  <c:v>46</c:v>
                </c:pt>
                <c:pt idx="1207">
                  <c:v>42</c:v>
                </c:pt>
                <c:pt idx="1208">
                  <c:v>54</c:v>
                </c:pt>
                <c:pt idx="1209">
                  <c:v>43</c:v>
                </c:pt>
                <c:pt idx="1210">
                  <c:v>36</c:v>
                </c:pt>
                <c:pt idx="1211">
                  <c:v>56</c:v>
                </c:pt>
                <c:pt idx="1212">
                  <c:v>49</c:v>
                </c:pt>
                <c:pt idx="1213">
                  <c:v>54</c:v>
                </c:pt>
                <c:pt idx="1214">
                  <c:v>49</c:v>
                </c:pt>
                <c:pt idx="1215">
                  <c:v>50</c:v>
                </c:pt>
                <c:pt idx="1216">
                  <c:v>43</c:v>
                </c:pt>
                <c:pt idx="1217">
                  <c:v>46</c:v>
                </c:pt>
                <c:pt idx="1218">
                  <c:v>41</c:v>
                </c:pt>
                <c:pt idx="1219">
                  <c:v>44</c:v>
                </c:pt>
                <c:pt idx="1220">
                  <c:v>43</c:v>
                </c:pt>
                <c:pt idx="1221">
                  <c:v>46</c:v>
                </c:pt>
                <c:pt idx="1222">
                  <c:v>36</c:v>
                </c:pt>
                <c:pt idx="1223">
                  <c:v>43</c:v>
                </c:pt>
                <c:pt idx="1224">
                  <c:v>42</c:v>
                </c:pt>
                <c:pt idx="1225">
                  <c:v>39</c:v>
                </c:pt>
                <c:pt idx="1226">
                  <c:v>51</c:v>
                </c:pt>
                <c:pt idx="1227">
                  <c:v>33</c:v>
                </c:pt>
                <c:pt idx="1228">
                  <c:v>40</c:v>
                </c:pt>
                <c:pt idx="1229">
                  <c:v>52</c:v>
                </c:pt>
                <c:pt idx="1230">
                  <c:v>42</c:v>
                </c:pt>
                <c:pt idx="1231">
                  <c:v>45</c:v>
                </c:pt>
                <c:pt idx="1232">
                  <c:v>39</c:v>
                </c:pt>
                <c:pt idx="1233">
                  <c:v>42</c:v>
                </c:pt>
                <c:pt idx="1234">
                  <c:v>46</c:v>
                </c:pt>
                <c:pt idx="1235">
                  <c:v>46</c:v>
                </c:pt>
                <c:pt idx="1236">
                  <c:v>46</c:v>
                </c:pt>
                <c:pt idx="1237">
                  <c:v>48</c:v>
                </c:pt>
                <c:pt idx="1238">
                  <c:v>48</c:v>
                </c:pt>
                <c:pt idx="1239">
                  <c:v>49</c:v>
                </c:pt>
                <c:pt idx="1240">
                  <c:v>46</c:v>
                </c:pt>
                <c:pt idx="1241">
                  <c:v>36</c:v>
                </c:pt>
                <c:pt idx="1242">
                  <c:v>34</c:v>
                </c:pt>
                <c:pt idx="1243">
                  <c:v>41</c:v>
                </c:pt>
                <c:pt idx="1244">
                  <c:v>38</c:v>
                </c:pt>
                <c:pt idx="1245">
                  <c:v>35</c:v>
                </c:pt>
                <c:pt idx="1246">
                  <c:v>36</c:v>
                </c:pt>
                <c:pt idx="1247">
                  <c:v>32</c:v>
                </c:pt>
                <c:pt idx="1248">
                  <c:v>38</c:v>
                </c:pt>
                <c:pt idx="1249">
                  <c:v>39</c:v>
                </c:pt>
                <c:pt idx="1250">
                  <c:v>46</c:v>
                </c:pt>
                <c:pt idx="1251">
                  <c:v>35</c:v>
                </c:pt>
                <c:pt idx="1252">
                  <c:v>34</c:v>
                </c:pt>
                <c:pt idx="1253">
                  <c:v>49</c:v>
                </c:pt>
                <c:pt idx="1254">
                  <c:v>37</c:v>
                </c:pt>
                <c:pt idx="1255">
                  <c:v>48</c:v>
                </c:pt>
                <c:pt idx="1256">
                  <c:v>44</c:v>
                </c:pt>
                <c:pt idx="1257">
                  <c:v>42</c:v>
                </c:pt>
                <c:pt idx="1258">
                  <c:v>31</c:v>
                </c:pt>
                <c:pt idx="1259">
                  <c:v>42</c:v>
                </c:pt>
                <c:pt idx="1260">
                  <c:v>39</c:v>
                </c:pt>
                <c:pt idx="1261">
                  <c:v>38</c:v>
                </c:pt>
                <c:pt idx="1262">
                  <c:v>49</c:v>
                </c:pt>
                <c:pt idx="1263">
                  <c:v>34</c:v>
                </c:pt>
                <c:pt idx="1264">
                  <c:v>47</c:v>
                </c:pt>
                <c:pt idx="1265">
                  <c:v>49</c:v>
                </c:pt>
                <c:pt idx="1266">
                  <c:v>47</c:v>
                </c:pt>
                <c:pt idx="1267">
                  <c:v>42</c:v>
                </c:pt>
                <c:pt idx="1268">
                  <c:v>39</c:v>
                </c:pt>
                <c:pt idx="1269">
                  <c:v>49</c:v>
                </c:pt>
                <c:pt idx="1270">
                  <c:v>43</c:v>
                </c:pt>
                <c:pt idx="1271">
                  <c:v>44</c:v>
                </c:pt>
                <c:pt idx="1272">
                  <c:v>37</c:v>
                </c:pt>
                <c:pt idx="1273">
                  <c:v>40</c:v>
                </c:pt>
                <c:pt idx="1274">
                  <c:v>41</c:v>
                </c:pt>
                <c:pt idx="1275">
                  <c:v>43</c:v>
                </c:pt>
                <c:pt idx="1276">
                  <c:v>38</c:v>
                </c:pt>
                <c:pt idx="1277">
                  <c:v>34</c:v>
                </c:pt>
                <c:pt idx="1278">
                  <c:v>47</c:v>
                </c:pt>
                <c:pt idx="1279">
                  <c:v>36</c:v>
                </c:pt>
                <c:pt idx="1280">
                  <c:v>34</c:v>
                </c:pt>
                <c:pt idx="1281">
                  <c:v>34</c:v>
                </c:pt>
                <c:pt idx="1282">
                  <c:v>38</c:v>
                </c:pt>
                <c:pt idx="1283">
                  <c:v>38</c:v>
                </c:pt>
                <c:pt idx="1284">
                  <c:v>36</c:v>
                </c:pt>
                <c:pt idx="1285">
                  <c:v>41</c:v>
                </c:pt>
                <c:pt idx="1286">
                  <c:v>40</c:v>
                </c:pt>
                <c:pt idx="1287">
                  <c:v>35</c:v>
                </c:pt>
                <c:pt idx="1288">
                  <c:v>40</c:v>
                </c:pt>
                <c:pt idx="1289">
                  <c:v>29</c:v>
                </c:pt>
                <c:pt idx="1290">
                  <c:v>50</c:v>
                </c:pt>
                <c:pt idx="1291">
                  <c:v>40</c:v>
                </c:pt>
                <c:pt idx="1292">
                  <c:v>34</c:v>
                </c:pt>
                <c:pt idx="1293">
                  <c:v>27</c:v>
                </c:pt>
                <c:pt idx="1294">
                  <c:v>39</c:v>
                </c:pt>
                <c:pt idx="1295">
                  <c:v>47</c:v>
                </c:pt>
                <c:pt idx="1296">
                  <c:v>42</c:v>
                </c:pt>
                <c:pt idx="1297">
                  <c:v>33</c:v>
                </c:pt>
                <c:pt idx="1298">
                  <c:v>44</c:v>
                </c:pt>
                <c:pt idx="1299">
                  <c:v>44</c:v>
                </c:pt>
                <c:pt idx="1300">
                  <c:v>37</c:v>
                </c:pt>
                <c:pt idx="1301">
                  <c:v>29</c:v>
                </c:pt>
                <c:pt idx="1302">
                  <c:v>40</c:v>
                </c:pt>
                <c:pt idx="1303">
                  <c:v>31</c:v>
                </c:pt>
                <c:pt idx="1304">
                  <c:v>25</c:v>
                </c:pt>
                <c:pt idx="1305">
                  <c:v>39</c:v>
                </c:pt>
                <c:pt idx="1306">
                  <c:v>33</c:v>
                </c:pt>
                <c:pt idx="1307">
                  <c:v>30</c:v>
                </c:pt>
                <c:pt idx="1308">
                  <c:v>42</c:v>
                </c:pt>
                <c:pt idx="1309">
                  <c:v>27</c:v>
                </c:pt>
                <c:pt idx="1310">
                  <c:v>39</c:v>
                </c:pt>
                <c:pt idx="1311">
                  <c:v>39</c:v>
                </c:pt>
                <c:pt idx="1312">
                  <c:v>39</c:v>
                </c:pt>
                <c:pt idx="1313">
                  <c:v>43</c:v>
                </c:pt>
                <c:pt idx="1314">
                  <c:v>36</c:v>
                </c:pt>
                <c:pt idx="1315">
                  <c:v>33</c:v>
                </c:pt>
                <c:pt idx="1316">
                  <c:v>29</c:v>
                </c:pt>
                <c:pt idx="1317">
                  <c:v>31</c:v>
                </c:pt>
                <c:pt idx="1318">
                  <c:v>34</c:v>
                </c:pt>
                <c:pt idx="1319">
                  <c:v>32</c:v>
                </c:pt>
                <c:pt idx="1320">
                  <c:v>50</c:v>
                </c:pt>
                <c:pt idx="1321">
                  <c:v>37</c:v>
                </c:pt>
                <c:pt idx="1322">
                  <c:v>32</c:v>
                </c:pt>
                <c:pt idx="1323">
                  <c:v>30</c:v>
                </c:pt>
                <c:pt idx="1324">
                  <c:v>39</c:v>
                </c:pt>
                <c:pt idx="1325">
                  <c:v>41</c:v>
                </c:pt>
                <c:pt idx="1326">
                  <c:v>34</c:v>
                </c:pt>
                <c:pt idx="1327">
                  <c:v>35</c:v>
                </c:pt>
                <c:pt idx="1328">
                  <c:v>34</c:v>
                </c:pt>
                <c:pt idx="1329">
                  <c:v>33</c:v>
                </c:pt>
                <c:pt idx="1330">
                  <c:v>40</c:v>
                </c:pt>
                <c:pt idx="1331">
                  <c:v>32</c:v>
                </c:pt>
                <c:pt idx="1332">
                  <c:v>34</c:v>
                </c:pt>
                <c:pt idx="1333">
                  <c:v>30</c:v>
                </c:pt>
                <c:pt idx="1334">
                  <c:v>36</c:v>
                </c:pt>
                <c:pt idx="1335">
                  <c:v>31</c:v>
                </c:pt>
                <c:pt idx="1336">
                  <c:v>38</c:v>
                </c:pt>
                <c:pt idx="1337">
                  <c:v>40</c:v>
                </c:pt>
                <c:pt idx="1338">
                  <c:v>26</c:v>
                </c:pt>
                <c:pt idx="1339">
                  <c:v>34</c:v>
                </c:pt>
                <c:pt idx="1340">
                  <c:v>23</c:v>
                </c:pt>
                <c:pt idx="1341">
                  <c:v>29</c:v>
                </c:pt>
                <c:pt idx="1342">
                  <c:v>30</c:v>
                </c:pt>
                <c:pt idx="1343">
                  <c:v>34</c:v>
                </c:pt>
                <c:pt idx="1344">
                  <c:v>29</c:v>
                </c:pt>
                <c:pt idx="1345">
                  <c:v>35</c:v>
                </c:pt>
                <c:pt idx="1346">
                  <c:v>39</c:v>
                </c:pt>
                <c:pt idx="1347">
                  <c:v>20</c:v>
                </c:pt>
                <c:pt idx="1348">
                  <c:v>35</c:v>
                </c:pt>
                <c:pt idx="1349">
                  <c:v>29</c:v>
                </c:pt>
                <c:pt idx="1350">
                  <c:v>26</c:v>
                </c:pt>
                <c:pt idx="1351">
                  <c:v>33</c:v>
                </c:pt>
                <c:pt idx="1352">
                  <c:v>39</c:v>
                </c:pt>
                <c:pt idx="1353">
                  <c:v>24</c:v>
                </c:pt>
                <c:pt idx="1354">
                  <c:v>39</c:v>
                </c:pt>
                <c:pt idx="1355">
                  <c:v>31</c:v>
                </c:pt>
                <c:pt idx="1356">
                  <c:v>32</c:v>
                </c:pt>
                <c:pt idx="1357">
                  <c:v>33</c:v>
                </c:pt>
                <c:pt idx="1358">
                  <c:v>32</c:v>
                </c:pt>
                <c:pt idx="1359">
                  <c:v>41</c:v>
                </c:pt>
                <c:pt idx="1360">
                  <c:v>37</c:v>
                </c:pt>
                <c:pt idx="1361">
                  <c:v>30</c:v>
                </c:pt>
                <c:pt idx="1362">
                  <c:v>33</c:v>
                </c:pt>
                <c:pt idx="1363">
                  <c:v>29</c:v>
                </c:pt>
                <c:pt idx="1364">
                  <c:v>26</c:v>
                </c:pt>
                <c:pt idx="1365">
                  <c:v>30</c:v>
                </c:pt>
                <c:pt idx="1366">
                  <c:v>33</c:v>
                </c:pt>
                <c:pt idx="1367">
                  <c:v>36</c:v>
                </c:pt>
                <c:pt idx="1368">
                  <c:v>43</c:v>
                </c:pt>
                <c:pt idx="1369">
                  <c:v>36</c:v>
                </c:pt>
                <c:pt idx="1370">
                  <c:v>42</c:v>
                </c:pt>
                <c:pt idx="1371">
                  <c:v>26</c:v>
                </c:pt>
                <c:pt idx="1372">
                  <c:v>29</c:v>
                </c:pt>
                <c:pt idx="1373">
                  <c:v>32</c:v>
                </c:pt>
                <c:pt idx="1374">
                  <c:v>29</c:v>
                </c:pt>
                <c:pt idx="1375">
                  <c:v>37</c:v>
                </c:pt>
                <c:pt idx="1376">
                  <c:v>30</c:v>
                </c:pt>
                <c:pt idx="1377">
                  <c:v>40</c:v>
                </c:pt>
                <c:pt idx="1378">
                  <c:v>34</c:v>
                </c:pt>
                <c:pt idx="1379">
                  <c:v>32</c:v>
                </c:pt>
                <c:pt idx="1380">
                  <c:v>39</c:v>
                </c:pt>
                <c:pt idx="1381">
                  <c:v>30</c:v>
                </c:pt>
                <c:pt idx="1382">
                  <c:v>23</c:v>
                </c:pt>
                <c:pt idx="1383">
                  <c:v>41</c:v>
                </c:pt>
                <c:pt idx="1384">
                  <c:v>31</c:v>
                </c:pt>
                <c:pt idx="1385">
                  <c:v>35</c:v>
                </c:pt>
                <c:pt idx="1386">
                  <c:v>36</c:v>
                </c:pt>
                <c:pt idx="1387">
                  <c:v>42</c:v>
                </c:pt>
                <c:pt idx="1388">
                  <c:v>26</c:v>
                </c:pt>
                <c:pt idx="1389">
                  <c:v>35</c:v>
                </c:pt>
                <c:pt idx="1390">
                  <c:v>36</c:v>
                </c:pt>
                <c:pt idx="1391">
                  <c:v>40</c:v>
                </c:pt>
                <c:pt idx="1392">
                  <c:v>38</c:v>
                </c:pt>
                <c:pt idx="1393">
                  <c:v>37</c:v>
                </c:pt>
                <c:pt idx="1394">
                  <c:v>34</c:v>
                </c:pt>
                <c:pt idx="1395">
                  <c:v>33</c:v>
                </c:pt>
                <c:pt idx="1396">
                  <c:v>35</c:v>
                </c:pt>
                <c:pt idx="1397">
                  <c:v>34</c:v>
                </c:pt>
                <c:pt idx="1398">
                  <c:v>31</c:v>
                </c:pt>
                <c:pt idx="1399">
                  <c:v>26</c:v>
                </c:pt>
                <c:pt idx="1400">
                  <c:v>37</c:v>
                </c:pt>
                <c:pt idx="1401">
                  <c:v>36</c:v>
                </c:pt>
                <c:pt idx="1402">
                  <c:v>36</c:v>
                </c:pt>
                <c:pt idx="1403">
                  <c:v>40</c:v>
                </c:pt>
                <c:pt idx="1404">
                  <c:v>25</c:v>
                </c:pt>
                <c:pt idx="1405">
                  <c:v>29</c:v>
                </c:pt>
                <c:pt idx="1406">
                  <c:v>44</c:v>
                </c:pt>
                <c:pt idx="1407">
                  <c:v>31</c:v>
                </c:pt>
                <c:pt idx="1408">
                  <c:v>39</c:v>
                </c:pt>
                <c:pt idx="1409">
                  <c:v>40</c:v>
                </c:pt>
                <c:pt idx="1410">
                  <c:v>33</c:v>
                </c:pt>
                <c:pt idx="1411">
                  <c:v>40</c:v>
                </c:pt>
                <c:pt idx="1412">
                  <c:v>49</c:v>
                </c:pt>
                <c:pt idx="1413">
                  <c:v>42</c:v>
                </c:pt>
                <c:pt idx="1414">
                  <c:v>34</c:v>
                </c:pt>
                <c:pt idx="1415">
                  <c:v>36</c:v>
                </c:pt>
                <c:pt idx="1416">
                  <c:v>38</c:v>
                </c:pt>
                <c:pt idx="1417">
                  <c:v>31</c:v>
                </c:pt>
                <c:pt idx="1418">
                  <c:v>39</c:v>
                </c:pt>
                <c:pt idx="1419">
                  <c:v>33</c:v>
                </c:pt>
                <c:pt idx="1420">
                  <c:v>38</c:v>
                </c:pt>
                <c:pt idx="1421">
                  <c:v>40</c:v>
                </c:pt>
                <c:pt idx="1422">
                  <c:v>44</c:v>
                </c:pt>
                <c:pt idx="1423">
                  <c:v>36</c:v>
                </c:pt>
                <c:pt idx="1424">
                  <c:v>37</c:v>
                </c:pt>
                <c:pt idx="1425">
                  <c:v>36</c:v>
                </c:pt>
                <c:pt idx="1426">
                  <c:v>31</c:v>
                </c:pt>
                <c:pt idx="1427">
                  <c:v>39</c:v>
                </c:pt>
                <c:pt idx="1428">
                  <c:v>40</c:v>
                </c:pt>
                <c:pt idx="1429">
                  <c:v>37</c:v>
                </c:pt>
                <c:pt idx="1430">
                  <c:v>32</c:v>
                </c:pt>
                <c:pt idx="1431">
                  <c:v>33</c:v>
                </c:pt>
                <c:pt idx="1432">
                  <c:v>41</c:v>
                </c:pt>
                <c:pt idx="1433">
                  <c:v>46</c:v>
                </c:pt>
                <c:pt idx="1434">
                  <c:v>33</c:v>
                </c:pt>
                <c:pt idx="1435">
                  <c:v>34</c:v>
                </c:pt>
                <c:pt idx="1436">
                  <c:v>34</c:v>
                </c:pt>
                <c:pt idx="1437">
                  <c:v>39</c:v>
                </c:pt>
                <c:pt idx="1438">
                  <c:v>40</c:v>
                </c:pt>
                <c:pt idx="1439">
                  <c:v>41</c:v>
                </c:pt>
                <c:pt idx="1440">
                  <c:v>42</c:v>
                </c:pt>
                <c:pt idx="1441">
                  <c:v>39</c:v>
                </c:pt>
                <c:pt idx="1442">
                  <c:v>44</c:v>
                </c:pt>
                <c:pt idx="1443">
                  <c:v>41</c:v>
                </c:pt>
                <c:pt idx="1444">
                  <c:v>37</c:v>
                </c:pt>
                <c:pt idx="1445">
                  <c:v>41</c:v>
                </c:pt>
                <c:pt idx="1446">
                  <c:v>40</c:v>
                </c:pt>
                <c:pt idx="1447">
                  <c:v>33</c:v>
                </c:pt>
                <c:pt idx="1448">
                  <c:v>37</c:v>
                </c:pt>
                <c:pt idx="1449">
                  <c:v>37</c:v>
                </c:pt>
                <c:pt idx="1450">
                  <c:v>36</c:v>
                </c:pt>
                <c:pt idx="1451">
                  <c:v>31</c:v>
                </c:pt>
                <c:pt idx="1452">
                  <c:v>33</c:v>
                </c:pt>
                <c:pt idx="1453">
                  <c:v>38</c:v>
                </c:pt>
                <c:pt idx="1454">
                  <c:v>38</c:v>
                </c:pt>
                <c:pt idx="1455">
                  <c:v>37</c:v>
                </c:pt>
                <c:pt idx="1456">
                  <c:v>33</c:v>
                </c:pt>
                <c:pt idx="1457">
                  <c:v>35</c:v>
                </c:pt>
                <c:pt idx="1458">
                  <c:v>39</c:v>
                </c:pt>
                <c:pt idx="1459">
                  <c:v>28</c:v>
                </c:pt>
              </c:numCache>
            </c:numRef>
          </c:val>
          <c:smooth val="0"/>
          <c:extLst>
            <c:ext xmlns:c16="http://schemas.microsoft.com/office/drawing/2014/chart" uri="{C3380CC4-5D6E-409C-BE32-E72D297353CC}">
              <c16:uniqueId val="{00000001-B49F-45D3-940A-8EF220E2BBA8}"/>
            </c:ext>
          </c:extLst>
        </c:ser>
        <c:dLbls>
          <c:showLegendKey val="0"/>
          <c:showVal val="0"/>
          <c:showCatName val="0"/>
          <c:showSerName val="0"/>
          <c:showPercent val="0"/>
          <c:showBubbleSize val="0"/>
        </c:dLbls>
        <c:smooth val="0"/>
        <c:axId val="189498415"/>
        <c:axId val="189510415"/>
      </c:lineChart>
      <c:catAx>
        <c:axId val="18949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s-PE"/>
          </a:p>
        </c:txPr>
        <c:crossAx val="189510415"/>
        <c:crosses val="autoZero"/>
        <c:auto val="1"/>
        <c:lblAlgn val="ctr"/>
        <c:lblOffset val="100"/>
        <c:noMultiLvlLbl val="0"/>
      </c:catAx>
      <c:valAx>
        <c:axId val="18951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s-PE"/>
          </a:p>
        </c:txPr>
        <c:crossAx val="189498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EOQ_PREVISIÓN!$E$24</c:f>
              <c:strCache>
                <c:ptCount val="1"/>
                <c:pt idx="0">
                  <c:v>COSTO UNITARIO</c:v>
                </c:pt>
              </c:strCache>
            </c:strRef>
          </c:tx>
          <c:spPr>
            <a:ln w="28575" cap="rnd">
              <a:solidFill>
                <a:schemeClr val="accent1"/>
              </a:solidFill>
              <a:round/>
            </a:ln>
            <a:effectLst/>
          </c:spPr>
          <c:marker>
            <c:symbol val="none"/>
          </c:marker>
          <c:val>
            <c:numRef>
              <c:f>EOQ_PREVISIÓN!$E$25:$E$44</c:f>
              <c:numCache>
                <c:formatCode>_-"S/"\ * #,##0.00_-;\-"S/"\ * #,##0.00_-;_-"S/"\ * "-"??_-;_-@_-</c:formatCode>
                <c:ptCount val="20"/>
                <c:pt idx="0">
                  <c:v>1030</c:v>
                </c:pt>
                <c:pt idx="1">
                  <c:v>1015</c:v>
                </c:pt>
                <c:pt idx="2">
                  <c:v>1010</c:v>
                </c:pt>
                <c:pt idx="3">
                  <c:v>1007.5</c:v>
                </c:pt>
                <c:pt idx="4">
                  <c:v>1006</c:v>
                </c:pt>
                <c:pt idx="5">
                  <c:v>1005</c:v>
                </c:pt>
                <c:pt idx="6">
                  <c:v>1004.2857142857143</c:v>
                </c:pt>
                <c:pt idx="7">
                  <c:v>1003.75</c:v>
                </c:pt>
                <c:pt idx="8">
                  <c:v>1003.3333333333334</c:v>
                </c:pt>
                <c:pt idx="9">
                  <c:v>1003</c:v>
                </c:pt>
                <c:pt idx="10">
                  <c:v>1002.7272727272727</c:v>
                </c:pt>
                <c:pt idx="11">
                  <c:v>1002.5</c:v>
                </c:pt>
                <c:pt idx="12">
                  <c:v>1002.3076923076923</c:v>
                </c:pt>
                <c:pt idx="13">
                  <c:v>1002.1428571428571</c:v>
                </c:pt>
                <c:pt idx="14">
                  <c:v>1002</c:v>
                </c:pt>
                <c:pt idx="15">
                  <c:v>1001.875</c:v>
                </c:pt>
                <c:pt idx="16">
                  <c:v>1001.7647058823529</c:v>
                </c:pt>
                <c:pt idx="17">
                  <c:v>1001.6666666666666</c:v>
                </c:pt>
                <c:pt idx="18">
                  <c:v>1001.578947368421</c:v>
                </c:pt>
                <c:pt idx="19">
                  <c:v>1001.5</c:v>
                </c:pt>
              </c:numCache>
            </c:numRef>
          </c:val>
          <c:smooth val="0"/>
          <c:extLst>
            <c:ext xmlns:c16="http://schemas.microsoft.com/office/drawing/2014/chart" uri="{C3380CC4-5D6E-409C-BE32-E72D297353CC}">
              <c16:uniqueId val="{00000000-46E7-4855-AB09-C2ED72A9D76F}"/>
            </c:ext>
          </c:extLst>
        </c:ser>
        <c:dLbls>
          <c:showLegendKey val="0"/>
          <c:showVal val="0"/>
          <c:showCatName val="0"/>
          <c:showSerName val="0"/>
          <c:showPercent val="0"/>
          <c:showBubbleSize val="0"/>
        </c:dLbls>
        <c:marker val="1"/>
        <c:smooth val="0"/>
        <c:axId val="659612671"/>
        <c:axId val="659611231"/>
      </c:lineChart>
      <c:lineChart>
        <c:grouping val="standard"/>
        <c:varyColors val="0"/>
        <c:ser>
          <c:idx val="1"/>
          <c:order val="1"/>
          <c:tx>
            <c:strRef>
              <c:f>EOQ_PREVISIÓN!$F$24</c:f>
              <c:strCache>
                <c:ptCount val="1"/>
                <c:pt idx="0">
                  <c:v>PENDIENTE</c:v>
                </c:pt>
              </c:strCache>
            </c:strRef>
          </c:tx>
          <c:spPr>
            <a:ln w="28575" cap="rnd">
              <a:solidFill>
                <a:schemeClr val="accent2"/>
              </a:solidFill>
              <a:round/>
            </a:ln>
            <a:effectLst/>
          </c:spPr>
          <c:marker>
            <c:symbol val="none"/>
          </c:marker>
          <c:val>
            <c:numRef>
              <c:f>EOQ_PREVISIÓN!$F$25:$F$44</c:f>
              <c:numCache>
                <c:formatCode>0.0000</c:formatCode>
                <c:ptCount val="20"/>
                <c:pt idx="0" formatCode="General">
                  <c:v>0</c:v>
                </c:pt>
                <c:pt idx="1">
                  <c:v>0.3</c:v>
                </c:pt>
                <c:pt idx="2">
                  <c:v>0.1</c:v>
                </c:pt>
                <c:pt idx="3">
                  <c:v>0.05</c:v>
                </c:pt>
                <c:pt idx="4">
                  <c:v>0.03</c:v>
                </c:pt>
                <c:pt idx="5">
                  <c:v>0.02</c:v>
                </c:pt>
                <c:pt idx="6">
                  <c:v>1.4285714285713312E-2</c:v>
                </c:pt>
                <c:pt idx="7">
                  <c:v>1.0714285714286689E-2</c:v>
                </c:pt>
                <c:pt idx="8">
                  <c:v>8.3333333333325751E-3</c:v>
                </c:pt>
                <c:pt idx="9">
                  <c:v>6.6666666666674243E-3</c:v>
                </c:pt>
                <c:pt idx="10">
                  <c:v>5.4545454545450412E-3</c:v>
                </c:pt>
                <c:pt idx="11">
                  <c:v>4.545454545454959E-3</c:v>
                </c:pt>
                <c:pt idx="12">
                  <c:v>3.8461538461547207E-3</c:v>
                </c:pt>
                <c:pt idx="13">
                  <c:v>3.2967032967030716E-3</c:v>
                </c:pt>
                <c:pt idx="14">
                  <c:v>2.8571428571422075E-3</c:v>
                </c:pt>
                <c:pt idx="15">
                  <c:v>2.5000000000000001E-3</c:v>
                </c:pt>
                <c:pt idx="16">
                  <c:v>2.205882352941444E-3</c:v>
                </c:pt>
                <c:pt idx="17">
                  <c:v>1.9607843137259807E-3</c:v>
                </c:pt>
                <c:pt idx="18">
                  <c:v>1.7543859649117621E-3</c:v>
                </c:pt>
                <c:pt idx="19">
                  <c:v>1.5789473684208132E-3</c:v>
                </c:pt>
              </c:numCache>
            </c:numRef>
          </c:val>
          <c:smooth val="0"/>
          <c:extLst>
            <c:ext xmlns:c16="http://schemas.microsoft.com/office/drawing/2014/chart" uri="{C3380CC4-5D6E-409C-BE32-E72D297353CC}">
              <c16:uniqueId val="{00000001-46E7-4855-AB09-C2ED72A9D76F}"/>
            </c:ext>
          </c:extLst>
        </c:ser>
        <c:dLbls>
          <c:showLegendKey val="0"/>
          <c:showVal val="0"/>
          <c:showCatName val="0"/>
          <c:showSerName val="0"/>
          <c:showPercent val="0"/>
          <c:showBubbleSize val="0"/>
        </c:dLbls>
        <c:marker val="1"/>
        <c:smooth val="0"/>
        <c:axId val="611754095"/>
        <c:axId val="611756495"/>
      </c:lineChart>
      <c:catAx>
        <c:axId val="659612671"/>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s-PE"/>
          </a:p>
        </c:txPr>
        <c:crossAx val="659611231"/>
        <c:crosses val="autoZero"/>
        <c:auto val="1"/>
        <c:lblAlgn val="ctr"/>
        <c:lblOffset val="100"/>
        <c:noMultiLvlLbl val="0"/>
      </c:catAx>
      <c:valAx>
        <c:axId val="659611231"/>
        <c:scaling>
          <c:orientation val="minMax"/>
        </c:scaling>
        <c:delete val="0"/>
        <c:axPos val="l"/>
        <c:majorGridlines>
          <c:spPr>
            <a:ln w="9525" cap="flat" cmpd="sng" algn="ctr">
              <a:solidFill>
                <a:schemeClr val="tx1">
                  <a:lumMod val="15000"/>
                  <a:lumOff val="85000"/>
                </a:schemeClr>
              </a:solidFill>
              <a:round/>
            </a:ln>
            <a:effectLst/>
          </c:spPr>
        </c:majorGridlines>
        <c:numFmt formatCode="_-&quot;S/&quot;\ * #,##0.00_-;\-&quot;S/&quot;\ * #,##0.00_-;_-&quot;S/&quot;\ *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s-PE"/>
          </a:p>
        </c:txPr>
        <c:crossAx val="659612671"/>
        <c:crosses val="autoZero"/>
        <c:crossBetween val="between"/>
      </c:valAx>
      <c:valAx>
        <c:axId val="6117564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s-PE"/>
          </a:p>
        </c:txPr>
        <c:crossAx val="611754095"/>
        <c:crosses val="max"/>
        <c:crossBetween val="between"/>
      </c:valAx>
      <c:catAx>
        <c:axId val="611754095"/>
        <c:scaling>
          <c:orientation val="minMax"/>
        </c:scaling>
        <c:delete val="1"/>
        <c:axPos val="b"/>
        <c:majorTickMark val="out"/>
        <c:minorTickMark val="none"/>
        <c:tickLblPos val="nextTo"/>
        <c:crossAx val="611756495"/>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8</xdr:col>
      <xdr:colOff>678180</xdr:colOff>
      <xdr:row>17</xdr:row>
      <xdr:rowOff>87085</xdr:rowOff>
    </xdr:from>
    <xdr:to>
      <xdr:col>10</xdr:col>
      <xdr:colOff>283029</xdr:colOff>
      <xdr:row>17</xdr:row>
      <xdr:rowOff>91440</xdr:rowOff>
    </xdr:to>
    <xdr:cxnSp macro="">
      <xdr:nvCxnSpPr>
        <xdr:cNvPr id="7" name="Conector recto de flecha 6">
          <a:extLst>
            <a:ext uri="{FF2B5EF4-FFF2-40B4-BE49-F238E27FC236}">
              <a16:creationId xmlns:a16="http://schemas.microsoft.com/office/drawing/2014/main" id="{48C8122D-DEE8-2E8B-8F09-67BE3B9FBEF5}"/>
            </a:ext>
          </a:extLst>
        </xdr:cNvPr>
        <xdr:cNvCxnSpPr/>
      </xdr:nvCxnSpPr>
      <xdr:spPr>
        <a:xfrm flipV="1">
          <a:off x="4782094" y="3069771"/>
          <a:ext cx="1139735" cy="4355"/>
        </a:xfrm>
        <a:prstGeom prst="straightConnector1">
          <a:avLst/>
        </a:prstGeom>
        <a:ln w="28575">
          <a:solidFill>
            <a:srgbClr val="C00000"/>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685800</xdr:colOff>
      <xdr:row>10</xdr:row>
      <xdr:rowOff>91440</xdr:rowOff>
    </xdr:from>
    <xdr:to>
      <xdr:col>10</xdr:col>
      <xdr:colOff>320040</xdr:colOff>
      <xdr:row>17</xdr:row>
      <xdr:rowOff>91440</xdr:rowOff>
    </xdr:to>
    <xdr:cxnSp macro="">
      <xdr:nvCxnSpPr>
        <xdr:cNvPr id="11" name="Conector recto de flecha 10">
          <a:extLst>
            <a:ext uri="{FF2B5EF4-FFF2-40B4-BE49-F238E27FC236}">
              <a16:creationId xmlns:a16="http://schemas.microsoft.com/office/drawing/2014/main" id="{856988C4-99EF-443E-896B-0780AF14B46B}"/>
            </a:ext>
          </a:extLst>
        </xdr:cNvPr>
        <xdr:cNvCxnSpPr/>
      </xdr:nvCxnSpPr>
      <xdr:spPr>
        <a:xfrm flipV="1">
          <a:off x="6294120" y="2034540"/>
          <a:ext cx="1173480" cy="1226820"/>
        </a:xfrm>
        <a:prstGeom prst="straightConnector1">
          <a:avLst/>
        </a:prstGeom>
        <a:ln w="28575">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518160</xdr:colOff>
      <xdr:row>10</xdr:row>
      <xdr:rowOff>99060</xdr:rowOff>
    </xdr:from>
    <xdr:to>
      <xdr:col>10</xdr:col>
      <xdr:colOff>200722</xdr:colOff>
      <xdr:row>10</xdr:row>
      <xdr:rowOff>100361</xdr:rowOff>
    </xdr:to>
    <xdr:cxnSp macro="">
      <xdr:nvCxnSpPr>
        <xdr:cNvPr id="18" name="Conector recto de flecha 17">
          <a:extLst>
            <a:ext uri="{FF2B5EF4-FFF2-40B4-BE49-F238E27FC236}">
              <a16:creationId xmlns:a16="http://schemas.microsoft.com/office/drawing/2014/main" id="{A19A1450-179A-D61A-A45B-19CAEE428185}"/>
            </a:ext>
          </a:extLst>
        </xdr:cNvPr>
        <xdr:cNvCxnSpPr/>
      </xdr:nvCxnSpPr>
      <xdr:spPr>
        <a:xfrm>
          <a:off x="6956131" y="2035655"/>
          <a:ext cx="392523" cy="1301"/>
        </a:xfrm>
        <a:prstGeom prst="straightConnector1">
          <a:avLst/>
        </a:prstGeom>
        <a:ln>
          <a:solidFill>
            <a:schemeClr val="tx2"/>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555331</xdr:colOff>
      <xdr:row>18</xdr:row>
      <xdr:rowOff>87113</xdr:rowOff>
    </xdr:from>
    <xdr:to>
      <xdr:col>10</xdr:col>
      <xdr:colOff>237893</xdr:colOff>
      <xdr:row>18</xdr:row>
      <xdr:rowOff>88414</xdr:rowOff>
    </xdr:to>
    <xdr:cxnSp macro="">
      <xdr:nvCxnSpPr>
        <xdr:cNvPr id="2" name="Conector recto de flecha 1">
          <a:extLst>
            <a:ext uri="{FF2B5EF4-FFF2-40B4-BE49-F238E27FC236}">
              <a16:creationId xmlns:a16="http://schemas.microsoft.com/office/drawing/2014/main" id="{E3DA86D1-F454-4921-B927-F4EF698A017C}"/>
            </a:ext>
          </a:extLst>
        </xdr:cNvPr>
        <xdr:cNvCxnSpPr/>
      </xdr:nvCxnSpPr>
      <xdr:spPr>
        <a:xfrm>
          <a:off x="6281217" y="3276627"/>
          <a:ext cx="390133" cy="1301"/>
        </a:xfrm>
        <a:prstGeom prst="straightConnector1">
          <a:avLst/>
        </a:prstGeom>
        <a:ln>
          <a:solidFill>
            <a:schemeClr val="tx2"/>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20</xdr:col>
      <xdr:colOff>485861</xdr:colOff>
      <xdr:row>0</xdr:row>
      <xdr:rowOff>152401</xdr:rowOff>
    </xdr:from>
    <xdr:ext cx="2259209" cy="269304"/>
    <xdr:sp macro="" textlink="">
      <xdr:nvSpPr>
        <xdr:cNvPr id="2" name="CuadroTexto 1">
          <a:extLst>
            <a:ext uri="{FF2B5EF4-FFF2-40B4-BE49-F238E27FC236}">
              <a16:creationId xmlns:a16="http://schemas.microsoft.com/office/drawing/2014/main" id="{E68333C6-9F59-4F5D-A793-DAB891DA673E}"/>
            </a:ext>
          </a:extLst>
        </xdr:cNvPr>
        <xdr:cNvSpPr txBox="1"/>
      </xdr:nvSpPr>
      <xdr:spPr>
        <a:xfrm>
          <a:off x="12417885" y="152401"/>
          <a:ext cx="2259209"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s-PE" sz="1200">
              <a:solidFill>
                <a:srgbClr val="C00000"/>
              </a:solidFill>
              <a:latin typeface="Times New Roman" panose="02020603050405020304" pitchFamily="18" charset="0"/>
              <a:cs typeface="Times New Roman" panose="02020603050405020304" pitchFamily="18" charset="0"/>
            </a:rPr>
            <a:t>1 día = 13</a:t>
          </a:r>
          <a:r>
            <a:rPr lang="es-PE" sz="1200" baseline="0">
              <a:solidFill>
                <a:srgbClr val="C00000"/>
              </a:solidFill>
              <a:latin typeface="Times New Roman" panose="02020603050405020304" pitchFamily="18" charset="0"/>
              <a:cs typeface="Times New Roman" panose="02020603050405020304" pitchFamily="18" charset="0"/>
            </a:rPr>
            <a:t> minutos y 50 segundos</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35858</xdr:colOff>
      <xdr:row>0</xdr:row>
      <xdr:rowOff>143435</xdr:rowOff>
    </xdr:from>
    <xdr:ext cx="2366682" cy="623248"/>
    <xdr:sp macro="" textlink="">
      <xdr:nvSpPr>
        <xdr:cNvPr id="4" name="CuadroTexto 3">
          <a:extLst>
            <a:ext uri="{FF2B5EF4-FFF2-40B4-BE49-F238E27FC236}">
              <a16:creationId xmlns:a16="http://schemas.microsoft.com/office/drawing/2014/main" id="{6721A7D0-2B8B-4A87-A9D0-917813804318}"/>
            </a:ext>
          </a:extLst>
        </xdr:cNvPr>
        <xdr:cNvSpPr txBox="1"/>
      </xdr:nvSpPr>
      <xdr:spPr>
        <a:xfrm>
          <a:off x="9448799" y="681317"/>
          <a:ext cx="2366682"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PE" sz="1200">
              <a:solidFill>
                <a:srgbClr val="C00000"/>
              </a:solidFill>
              <a:latin typeface="Times New Roman" panose="02020603050405020304" pitchFamily="18" charset="0"/>
              <a:cs typeface="Times New Roman" panose="02020603050405020304" pitchFamily="18" charset="0"/>
            </a:rPr>
            <a:t>→ Se aumenta la Capacidad a 50.</a:t>
          </a:r>
        </a:p>
        <a:p>
          <a:pPr algn="ctr"/>
          <a:r>
            <a:rPr lang="es-PE" sz="1200">
              <a:solidFill>
                <a:srgbClr val="C00000"/>
              </a:solidFill>
              <a:latin typeface="Times New Roman" panose="02020603050405020304" pitchFamily="18" charset="0"/>
              <a:cs typeface="Times New Roman" panose="02020603050405020304" pitchFamily="18" charset="0"/>
            </a:rPr>
            <a:t>Se cambia la</a:t>
          </a:r>
          <a:r>
            <a:rPr lang="es-PE" sz="1200" baseline="0">
              <a:solidFill>
                <a:srgbClr val="C00000"/>
              </a:solidFill>
              <a:latin typeface="Times New Roman" panose="02020603050405020304" pitchFamily="18" charset="0"/>
              <a:cs typeface="Times New Roman" panose="02020603050405020304" pitchFamily="18" charset="0"/>
            </a:rPr>
            <a:t> Cantidad a 200.</a:t>
          </a:r>
          <a:endParaRPr lang="es-PE" sz="1200">
            <a:solidFill>
              <a:srgbClr val="C00000"/>
            </a:solidFill>
            <a:latin typeface="Times New Roman" panose="02020603050405020304" pitchFamily="18" charset="0"/>
            <a:cs typeface="Times New Roman" panose="02020603050405020304" pitchFamily="18" charset="0"/>
          </a:endParaRPr>
        </a:p>
        <a:p>
          <a:pPr algn="ctr"/>
          <a:r>
            <a:rPr lang="es-PE" sz="1200">
              <a:solidFill>
                <a:srgbClr val="C00000"/>
              </a:solidFill>
              <a:latin typeface="Times New Roman" panose="02020603050405020304" pitchFamily="18" charset="0"/>
              <a:cs typeface="Times New Roman" panose="02020603050405020304" pitchFamily="18" charset="0"/>
            </a:rPr>
            <a:t>Se</a:t>
          </a:r>
          <a:r>
            <a:rPr lang="es-PE" sz="1200" baseline="0">
              <a:solidFill>
                <a:srgbClr val="C00000"/>
              </a:solidFill>
              <a:latin typeface="Times New Roman" panose="02020603050405020304" pitchFamily="18" charset="0"/>
              <a:cs typeface="Times New Roman" panose="02020603050405020304" pitchFamily="18" charset="0"/>
            </a:rPr>
            <a:t> cambia el ROP a 1200</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249090</xdr:colOff>
      <xdr:row>139</xdr:row>
      <xdr:rowOff>130632</xdr:rowOff>
    </xdr:from>
    <xdr:ext cx="2752166" cy="451436"/>
    <xdr:sp macro="" textlink="">
      <xdr:nvSpPr>
        <xdr:cNvPr id="7" name="CuadroTexto 6">
          <a:extLst>
            <a:ext uri="{FF2B5EF4-FFF2-40B4-BE49-F238E27FC236}">
              <a16:creationId xmlns:a16="http://schemas.microsoft.com/office/drawing/2014/main" id="{CC16A17A-BA7F-488A-90DE-6802910C5C85}"/>
            </a:ext>
          </a:extLst>
        </xdr:cNvPr>
        <xdr:cNvSpPr txBox="1"/>
      </xdr:nvSpPr>
      <xdr:spPr>
        <a:xfrm>
          <a:off x="9662031" y="25724867"/>
          <a:ext cx="2752166" cy="451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s-PE" sz="1200">
              <a:solidFill>
                <a:srgbClr val="C00000"/>
              </a:solidFill>
              <a:latin typeface="Times New Roman" panose="02020603050405020304" pitchFamily="18" charset="0"/>
              <a:cs typeface="Times New Roman" panose="02020603050405020304" pitchFamily="18" charset="0"/>
            </a:rPr>
            <a:t>→ Se cambia Cantidad 0</a:t>
          </a:r>
          <a:endParaRPr lang="es-PE" sz="1200" baseline="0">
            <a:solidFill>
              <a:srgbClr val="C00000"/>
            </a:solidFill>
            <a:latin typeface="Times New Roman" panose="02020603050405020304" pitchFamily="18" charset="0"/>
            <a:cs typeface="Times New Roman" panose="02020603050405020304" pitchFamily="18" charset="0"/>
          </a:endParaRPr>
        </a:p>
        <a:p>
          <a:pPr algn="l"/>
          <a:r>
            <a:rPr lang="es-PE" sz="1200" baseline="0">
              <a:solidFill>
                <a:srgbClr val="C00000"/>
              </a:solidFill>
              <a:latin typeface="Times New Roman" panose="02020603050405020304" pitchFamily="18" charset="0"/>
              <a:cs typeface="Times New Roman" panose="02020603050405020304" pitchFamily="18" charset="0"/>
            </a:rPr>
            <a:t>(La empresa no debe producir)</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277906</xdr:colOff>
      <xdr:row>118</xdr:row>
      <xdr:rowOff>152400</xdr:rowOff>
    </xdr:from>
    <xdr:ext cx="2097740" cy="446276"/>
    <xdr:sp macro="" textlink="">
      <xdr:nvSpPr>
        <xdr:cNvPr id="10" name="CuadroTexto 9">
          <a:extLst>
            <a:ext uri="{FF2B5EF4-FFF2-40B4-BE49-F238E27FC236}">
              <a16:creationId xmlns:a16="http://schemas.microsoft.com/office/drawing/2014/main" id="{04A0924C-9483-48D3-B930-C0C75EC10939}"/>
            </a:ext>
          </a:extLst>
        </xdr:cNvPr>
        <xdr:cNvSpPr txBox="1"/>
      </xdr:nvSpPr>
      <xdr:spPr>
        <a:xfrm>
          <a:off x="9690847" y="21981459"/>
          <a:ext cx="2097740" cy="446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s-PE" sz="1200">
              <a:solidFill>
                <a:srgbClr val="C00000"/>
              </a:solidFill>
              <a:latin typeface="Times New Roman" panose="02020603050405020304" pitchFamily="18" charset="0"/>
              <a:cs typeface="Times New Roman" panose="02020603050405020304" pitchFamily="18" charset="0"/>
            </a:rPr>
            <a:t>→ Verificar si para</a:t>
          </a:r>
          <a:r>
            <a:rPr lang="es-PE" sz="1200" baseline="0">
              <a:solidFill>
                <a:srgbClr val="C00000"/>
              </a:solidFill>
              <a:latin typeface="Times New Roman" panose="02020603050405020304" pitchFamily="18" charset="0"/>
              <a:cs typeface="Times New Roman" panose="02020603050405020304" pitchFamily="18" charset="0"/>
            </a:rPr>
            <a:t> este día el inventario es superior a 400.</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356665</xdr:colOff>
      <xdr:row>152</xdr:row>
      <xdr:rowOff>139594</xdr:rowOff>
    </xdr:from>
    <xdr:ext cx="2752166" cy="461041"/>
    <xdr:sp macro="" textlink="">
      <xdr:nvSpPr>
        <xdr:cNvPr id="12" name="CuadroTexto 11">
          <a:extLst>
            <a:ext uri="{FF2B5EF4-FFF2-40B4-BE49-F238E27FC236}">
              <a16:creationId xmlns:a16="http://schemas.microsoft.com/office/drawing/2014/main" id="{C1CDF648-95B7-49C1-B7C4-F3ED31D010C8}"/>
            </a:ext>
          </a:extLst>
        </xdr:cNvPr>
        <xdr:cNvSpPr txBox="1"/>
      </xdr:nvSpPr>
      <xdr:spPr>
        <a:xfrm>
          <a:off x="9769606" y="28064653"/>
          <a:ext cx="2752166" cy="4610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s-PE" sz="1200">
              <a:solidFill>
                <a:srgbClr val="C00000"/>
              </a:solidFill>
              <a:latin typeface="Times New Roman" panose="02020603050405020304" pitchFamily="18" charset="0"/>
              <a:cs typeface="Times New Roman" panose="02020603050405020304" pitchFamily="18" charset="0"/>
            </a:rPr>
            <a:t>→ Se cambia Cantida</a:t>
          </a:r>
          <a:r>
            <a:rPr lang="es-PE" sz="1200" baseline="0">
              <a:solidFill>
                <a:srgbClr val="C00000"/>
              </a:solidFill>
              <a:latin typeface="Times New Roman" panose="02020603050405020304" pitchFamily="18" charset="0"/>
              <a:cs typeface="Times New Roman" panose="02020603050405020304" pitchFamily="18" charset="0"/>
            </a:rPr>
            <a:t>d 400</a:t>
          </a:r>
        </a:p>
        <a:p>
          <a:pPr algn="l"/>
          <a:r>
            <a:rPr lang="es-PE" sz="1200" baseline="0">
              <a:solidFill>
                <a:srgbClr val="C00000"/>
              </a:solidFill>
              <a:latin typeface="Times New Roman" panose="02020603050405020304" pitchFamily="18" charset="0"/>
              <a:cs typeface="Times New Roman" panose="02020603050405020304" pitchFamily="18" charset="0"/>
            </a:rPr>
            <a:t>Verificar que la empresa produzca</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304799</xdr:colOff>
      <xdr:row>222</xdr:row>
      <xdr:rowOff>161364</xdr:rowOff>
    </xdr:from>
    <xdr:ext cx="2294965" cy="451436"/>
    <xdr:sp macro="" textlink="">
      <xdr:nvSpPr>
        <xdr:cNvPr id="14" name="CuadroTexto 13">
          <a:extLst>
            <a:ext uri="{FF2B5EF4-FFF2-40B4-BE49-F238E27FC236}">
              <a16:creationId xmlns:a16="http://schemas.microsoft.com/office/drawing/2014/main" id="{93E22D3B-7099-4FE3-9193-68415445CF38}"/>
            </a:ext>
          </a:extLst>
        </xdr:cNvPr>
        <xdr:cNvSpPr txBox="1"/>
      </xdr:nvSpPr>
      <xdr:spPr>
        <a:xfrm>
          <a:off x="9717740" y="40637011"/>
          <a:ext cx="2294965" cy="451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s-PE" sz="1200">
              <a:solidFill>
                <a:srgbClr val="C00000"/>
              </a:solidFill>
              <a:latin typeface="Times New Roman" panose="02020603050405020304" pitchFamily="18" charset="0"/>
              <a:cs typeface="Times New Roman" panose="02020603050405020304" pitchFamily="18" charset="0"/>
            </a:rPr>
            <a:t>→ Se cambia Cantidad</a:t>
          </a:r>
          <a:r>
            <a:rPr lang="es-PE" sz="1200" baseline="0">
              <a:solidFill>
                <a:srgbClr val="C00000"/>
              </a:solidFill>
              <a:latin typeface="Times New Roman" panose="02020603050405020304" pitchFamily="18" charset="0"/>
              <a:cs typeface="Times New Roman" panose="02020603050405020304" pitchFamily="18" charset="0"/>
            </a:rPr>
            <a:t> a 0</a:t>
          </a:r>
        </a:p>
        <a:p>
          <a:pPr algn="ctr"/>
          <a:r>
            <a:rPr lang="es-PE" sz="1200" baseline="0">
              <a:solidFill>
                <a:srgbClr val="C00000"/>
              </a:solidFill>
              <a:latin typeface="Times New Roman" panose="02020603050405020304" pitchFamily="18" charset="0"/>
              <a:cs typeface="Times New Roman" panose="02020603050405020304" pitchFamily="18" charset="0"/>
            </a:rPr>
            <a:t>(La empresa no debe producir)</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107576</xdr:colOff>
      <xdr:row>90</xdr:row>
      <xdr:rowOff>124344</xdr:rowOff>
    </xdr:from>
    <xdr:ext cx="2545976" cy="269304"/>
    <xdr:sp macro="" textlink="">
      <xdr:nvSpPr>
        <xdr:cNvPr id="16" name="CuadroTexto 15">
          <a:extLst>
            <a:ext uri="{FF2B5EF4-FFF2-40B4-BE49-F238E27FC236}">
              <a16:creationId xmlns:a16="http://schemas.microsoft.com/office/drawing/2014/main" id="{181D4902-44DF-4BBE-A519-4DE7A177BAD9}"/>
            </a:ext>
          </a:extLst>
        </xdr:cNvPr>
        <xdr:cNvSpPr txBox="1"/>
      </xdr:nvSpPr>
      <xdr:spPr>
        <a:xfrm>
          <a:off x="9520517" y="16933168"/>
          <a:ext cx="254597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s-PE" sz="1200">
              <a:solidFill>
                <a:srgbClr val="C00000"/>
              </a:solidFill>
              <a:latin typeface="Times New Roman" panose="02020603050405020304" pitchFamily="18" charset="0"/>
              <a:cs typeface="Times New Roman" panose="02020603050405020304" pitchFamily="18" charset="0"/>
            </a:rPr>
            <a:t>→ Verificar que la Capacidad es 50.</a:t>
          </a:r>
        </a:p>
      </xdr:txBody>
    </xdr:sp>
    <xdr:clientData/>
  </xdr:oneCellAnchor>
  <xdr:oneCellAnchor>
    <xdr:from>
      <xdr:col>16</xdr:col>
      <xdr:colOff>268941</xdr:colOff>
      <xdr:row>103</xdr:row>
      <xdr:rowOff>125506</xdr:rowOff>
    </xdr:from>
    <xdr:ext cx="2545976" cy="446276"/>
    <xdr:sp macro="" textlink="">
      <xdr:nvSpPr>
        <xdr:cNvPr id="17" name="CuadroTexto 16">
          <a:extLst>
            <a:ext uri="{FF2B5EF4-FFF2-40B4-BE49-F238E27FC236}">
              <a16:creationId xmlns:a16="http://schemas.microsoft.com/office/drawing/2014/main" id="{9F7F1029-216B-4414-A7ED-B4D742DA5D3C}"/>
            </a:ext>
          </a:extLst>
        </xdr:cNvPr>
        <xdr:cNvSpPr txBox="1"/>
      </xdr:nvSpPr>
      <xdr:spPr>
        <a:xfrm>
          <a:off x="9681882" y="19265153"/>
          <a:ext cx="2545976" cy="446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s-PE" sz="1200">
              <a:solidFill>
                <a:srgbClr val="C00000"/>
              </a:solidFill>
              <a:latin typeface="Times New Roman" panose="02020603050405020304" pitchFamily="18" charset="0"/>
              <a:cs typeface="Times New Roman" panose="02020603050405020304" pitchFamily="18" charset="0"/>
            </a:rPr>
            <a:t>→ Verificar que la</a:t>
          </a:r>
          <a:r>
            <a:rPr lang="es-PE" sz="1200" baseline="0">
              <a:solidFill>
                <a:srgbClr val="C00000"/>
              </a:solidFill>
              <a:latin typeface="Times New Roman" panose="02020603050405020304" pitchFamily="18" charset="0"/>
              <a:cs typeface="Times New Roman" panose="02020603050405020304" pitchFamily="18" charset="0"/>
            </a:rPr>
            <a:t> producción sera ahora en 8 días</a:t>
          </a:r>
          <a:r>
            <a:rPr lang="es-PE" sz="1200">
              <a:solidFill>
                <a:srgbClr val="C00000"/>
              </a:solidFill>
              <a:latin typeface="Times New Roman" panose="02020603050405020304" pitchFamily="18" charset="0"/>
              <a:cs typeface="Times New Roman" panose="02020603050405020304" pitchFamily="18" charset="0"/>
            </a:rPr>
            <a:t>.</a:t>
          </a:r>
        </a:p>
      </xdr:txBody>
    </xdr:sp>
    <xdr:clientData/>
  </xdr:oneCellAnchor>
  <xdr:oneCellAnchor>
    <xdr:from>
      <xdr:col>16</xdr:col>
      <xdr:colOff>197224</xdr:colOff>
      <xdr:row>248</xdr:row>
      <xdr:rowOff>152400</xdr:rowOff>
    </xdr:from>
    <xdr:ext cx="2294965" cy="451436"/>
    <xdr:sp macro="" textlink="">
      <xdr:nvSpPr>
        <xdr:cNvPr id="18" name="CuadroTexto 17">
          <a:extLst>
            <a:ext uri="{FF2B5EF4-FFF2-40B4-BE49-F238E27FC236}">
              <a16:creationId xmlns:a16="http://schemas.microsoft.com/office/drawing/2014/main" id="{BE5A6809-CF37-465B-B4F7-51CF79A024E6}"/>
            </a:ext>
          </a:extLst>
        </xdr:cNvPr>
        <xdr:cNvSpPr txBox="1"/>
      </xdr:nvSpPr>
      <xdr:spPr>
        <a:xfrm>
          <a:off x="9610165" y="45289694"/>
          <a:ext cx="2294965" cy="451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s-PE" sz="1200">
              <a:solidFill>
                <a:srgbClr val="C00000"/>
              </a:solidFill>
              <a:latin typeface="Times New Roman" panose="02020603050405020304" pitchFamily="18" charset="0"/>
              <a:cs typeface="Times New Roman" panose="02020603050405020304" pitchFamily="18" charset="0"/>
            </a:rPr>
            <a:t>→ Se cambia Cantidad</a:t>
          </a:r>
          <a:r>
            <a:rPr lang="es-PE" sz="1200" baseline="0">
              <a:solidFill>
                <a:srgbClr val="C00000"/>
              </a:solidFill>
              <a:latin typeface="Times New Roman" panose="02020603050405020304" pitchFamily="18" charset="0"/>
              <a:cs typeface="Times New Roman" panose="02020603050405020304" pitchFamily="18" charset="0"/>
            </a:rPr>
            <a:t> a 400</a:t>
          </a:r>
        </a:p>
        <a:p>
          <a:pPr algn="ctr"/>
          <a:r>
            <a:rPr lang="es-PE" sz="1200" baseline="0">
              <a:solidFill>
                <a:srgbClr val="C00000"/>
              </a:solidFill>
              <a:latin typeface="Times New Roman" panose="02020603050405020304" pitchFamily="18" charset="0"/>
              <a:cs typeface="Times New Roman" panose="02020603050405020304" pitchFamily="18" charset="0"/>
            </a:rPr>
            <a:t>(La empresa no debe producir)</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134471</xdr:colOff>
      <xdr:row>279</xdr:row>
      <xdr:rowOff>134470</xdr:rowOff>
    </xdr:from>
    <xdr:ext cx="2294965" cy="451436"/>
    <xdr:sp macro="" textlink="">
      <xdr:nvSpPr>
        <xdr:cNvPr id="19" name="CuadroTexto 18">
          <a:extLst>
            <a:ext uri="{FF2B5EF4-FFF2-40B4-BE49-F238E27FC236}">
              <a16:creationId xmlns:a16="http://schemas.microsoft.com/office/drawing/2014/main" id="{6AD5F4DF-F39A-4AD7-9907-964AA2CE1D75}"/>
            </a:ext>
          </a:extLst>
        </xdr:cNvPr>
        <xdr:cNvSpPr txBox="1"/>
      </xdr:nvSpPr>
      <xdr:spPr>
        <a:xfrm>
          <a:off x="9547412" y="50829882"/>
          <a:ext cx="2294965" cy="451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s-PE" sz="1200">
              <a:solidFill>
                <a:srgbClr val="C00000"/>
              </a:solidFill>
              <a:latin typeface="Times New Roman" panose="02020603050405020304" pitchFamily="18" charset="0"/>
              <a:cs typeface="Times New Roman" panose="02020603050405020304" pitchFamily="18" charset="0"/>
            </a:rPr>
            <a:t>→ Se cambia Cantidad</a:t>
          </a:r>
          <a:r>
            <a:rPr lang="es-PE" sz="1200" baseline="0">
              <a:solidFill>
                <a:srgbClr val="C00000"/>
              </a:solidFill>
              <a:latin typeface="Times New Roman" panose="02020603050405020304" pitchFamily="18" charset="0"/>
              <a:cs typeface="Times New Roman" panose="02020603050405020304" pitchFamily="18" charset="0"/>
            </a:rPr>
            <a:t> a 0</a:t>
          </a:r>
        </a:p>
        <a:p>
          <a:pPr algn="ctr"/>
          <a:r>
            <a:rPr lang="es-PE" sz="1200" baseline="0">
              <a:solidFill>
                <a:srgbClr val="C00000"/>
              </a:solidFill>
              <a:latin typeface="Times New Roman" panose="02020603050405020304" pitchFamily="18" charset="0"/>
              <a:cs typeface="Times New Roman" panose="02020603050405020304" pitchFamily="18" charset="0"/>
            </a:rPr>
            <a:t>(La empresa no debe producir)</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89648</xdr:colOff>
      <xdr:row>296</xdr:row>
      <xdr:rowOff>134471</xdr:rowOff>
    </xdr:from>
    <xdr:ext cx="2294965" cy="451436"/>
    <xdr:sp macro="" textlink="">
      <xdr:nvSpPr>
        <xdr:cNvPr id="20" name="CuadroTexto 19">
          <a:extLst>
            <a:ext uri="{FF2B5EF4-FFF2-40B4-BE49-F238E27FC236}">
              <a16:creationId xmlns:a16="http://schemas.microsoft.com/office/drawing/2014/main" id="{9F192185-D34F-4E66-896E-D84FB723D060}"/>
            </a:ext>
          </a:extLst>
        </xdr:cNvPr>
        <xdr:cNvSpPr txBox="1"/>
      </xdr:nvSpPr>
      <xdr:spPr>
        <a:xfrm>
          <a:off x="9502589" y="53877883"/>
          <a:ext cx="2294965" cy="451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s-PE" sz="1200">
              <a:solidFill>
                <a:srgbClr val="C00000"/>
              </a:solidFill>
              <a:latin typeface="Times New Roman" panose="02020603050405020304" pitchFamily="18" charset="0"/>
              <a:cs typeface="Times New Roman" panose="02020603050405020304" pitchFamily="18" charset="0"/>
            </a:rPr>
            <a:t>→ Se cambia Cantidad</a:t>
          </a:r>
          <a:r>
            <a:rPr lang="es-PE" sz="1200" baseline="0">
              <a:solidFill>
                <a:srgbClr val="C00000"/>
              </a:solidFill>
              <a:latin typeface="Times New Roman" panose="02020603050405020304" pitchFamily="18" charset="0"/>
              <a:cs typeface="Times New Roman" panose="02020603050405020304" pitchFamily="18" charset="0"/>
            </a:rPr>
            <a:t> a 400</a:t>
          </a:r>
        </a:p>
        <a:p>
          <a:pPr algn="ctr"/>
          <a:r>
            <a:rPr lang="es-PE" sz="1200" baseline="0">
              <a:solidFill>
                <a:srgbClr val="C00000"/>
              </a:solidFill>
              <a:latin typeface="Times New Roman" panose="02020603050405020304" pitchFamily="18" charset="0"/>
              <a:cs typeface="Times New Roman" panose="02020603050405020304" pitchFamily="18" charset="0"/>
            </a:rPr>
            <a:t>(La empresa no debe producir)</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80682</xdr:colOff>
      <xdr:row>368</xdr:row>
      <xdr:rowOff>0</xdr:rowOff>
    </xdr:from>
    <xdr:ext cx="2294965" cy="451436"/>
    <xdr:sp macro="" textlink="">
      <xdr:nvSpPr>
        <xdr:cNvPr id="21" name="CuadroTexto 20">
          <a:extLst>
            <a:ext uri="{FF2B5EF4-FFF2-40B4-BE49-F238E27FC236}">
              <a16:creationId xmlns:a16="http://schemas.microsoft.com/office/drawing/2014/main" id="{3562E9B5-A3F7-421F-8C81-399A2B7BB1B8}"/>
            </a:ext>
          </a:extLst>
        </xdr:cNvPr>
        <xdr:cNvSpPr txBox="1"/>
      </xdr:nvSpPr>
      <xdr:spPr>
        <a:xfrm>
          <a:off x="9493623" y="66652588"/>
          <a:ext cx="2294965" cy="451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s-PE" sz="1200">
              <a:solidFill>
                <a:srgbClr val="C00000"/>
              </a:solidFill>
              <a:latin typeface="Times New Roman" panose="02020603050405020304" pitchFamily="18" charset="0"/>
              <a:cs typeface="Times New Roman" panose="02020603050405020304" pitchFamily="18" charset="0"/>
            </a:rPr>
            <a:t>→ Se cambia Cantidad</a:t>
          </a:r>
          <a:r>
            <a:rPr lang="es-PE" sz="1200" baseline="0">
              <a:solidFill>
                <a:srgbClr val="C00000"/>
              </a:solidFill>
              <a:latin typeface="Times New Roman" panose="02020603050405020304" pitchFamily="18" charset="0"/>
              <a:cs typeface="Times New Roman" panose="02020603050405020304" pitchFamily="18" charset="0"/>
            </a:rPr>
            <a:t> a ...</a:t>
          </a:r>
        </a:p>
        <a:p>
          <a:pPr algn="ctr"/>
          <a:r>
            <a:rPr lang="es-PE" sz="1200" baseline="0">
              <a:solidFill>
                <a:srgbClr val="C00000"/>
              </a:solidFill>
              <a:latin typeface="Times New Roman" panose="02020603050405020304" pitchFamily="18" charset="0"/>
              <a:cs typeface="Times New Roman" panose="02020603050405020304" pitchFamily="18" charset="0"/>
            </a:rPr>
            <a:t>(La empresa no debe producir)</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7</xdr:col>
      <xdr:colOff>10886</xdr:colOff>
      <xdr:row>3</xdr:row>
      <xdr:rowOff>0</xdr:rowOff>
    </xdr:from>
    <xdr:to>
      <xdr:col>25</xdr:col>
      <xdr:colOff>783770</xdr:colOff>
      <xdr:row>38</xdr:row>
      <xdr:rowOff>10886</xdr:rowOff>
    </xdr:to>
    <xdr:graphicFrame macro="">
      <xdr:nvGraphicFramePr>
        <xdr:cNvPr id="6" name="Gráfico 5">
          <a:extLst>
            <a:ext uri="{FF2B5EF4-FFF2-40B4-BE49-F238E27FC236}">
              <a16:creationId xmlns:a16="http://schemas.microsoft.com/office/drawing/2014/main" id="{B106C11A-73C2-7CAD-3022-058380B93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759148</xdr:colOff>
      <xdr:row>38</xdr:row>
      <xdr:rowOff>141514</xdr:rowOff>
    </xdr:from>
    <xdr:ext cx="6576673" cy="269304"/>
    <xdr:sp macro="" textlink="">
      <xdr:nvSpPr>
        <xdr:cNvPr id="7" name="CuadroTexto 6">
          <a:extLst>
            <a:ext uri="{FF2B5EF4-FFF2-40B4-BE49-F238E27FC236}">
              <a16:creationId xmlns:a16="http://schemas.microsoft.com/office/drawing/2014/main" id="{439AEA68-F432-4487-99C0-72E74584BF91}"/>
            </a:ext>
          </a:extLst>
        </xdr:cNvPr>
        <xdr:cNvSpPr txBox="1"/>
      </xdr:nvSpPr>
      <xdr:spPr>
        <a:xfrm>
          <a:off x="5712148" y="6760028"/>
          <a:ext cx="6576673"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s-PE" sz="1200">
              <a:solidFill>
                <a:srgbClr val="C00000"/>
              </a:solidFill>
              <a:latin typeface="Times New Roman" panose="02020603050405020304" pitchFamily="18" charset="0"/>
              <a:cs typeface="Times New Roman" panose="02020603050405020304" pitchFamily="18" charset="0"/>
            </a:rPr>
            <a:t>Se</a:t>
          </a:r>
          <a:r>
            <a:rPr lang="es-PE" sz="1200" baseline="0">
              <a:solidFill>
                <a:srgbClr val="C00000"/>
              </a:solidFill>
              <a:latin typeface="Times New Roman" panose="02020603050405020304" pitchFamily="18" charset="0"/>
              <a:cs typeface="Times New Roman" panose="02020603050405020304" pitchFamily="18" charset="0"/>
            </a:rPr>
            <a:t> sabe que el producto químico es altamente estacional, esto se corrobora con la gráfica de la demanda.</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6</xdr:col>
      <xdr:colOff>744255</xdr:colOff>
      <xdr:row>40</xdr:row>
      <xdr:rowOff>111033</xdr:rowOff>
    </xdr:from>
    <xdr:ext cx="4564326" cy="269304"/>
    <xdr:sp macro="" textlink="">
      <xdr:nvSpPr>
        <xdr:cNvPr id="8" name="CuadroTexto 7">
          <a:extLst>
            <a:ext uri="{FF2B5EF4-FFF2-40B4-BE49-F238E27FC236}">
              <a16:creationId xmlns:a16="http://schemas.microsoft.com/office/drawing/2014/main" id="{51FCF3E4-B385-4907-AD52-D75F3E5EFA2D}"/>
            </a:ext>
          </a:extLst>
        </xdr:cNvPr>
        <xdr:cNvSpPr txBox="1"/>
      </xdr:nvSpPr>
      <xdr:spPr>
        <a:xfrm>
          <a:off x="5971575" y="7121433"/>
          <a:ext cx="456432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s-PE" sz="1200">
              <a:solidFill>
                <a:srgbClr val="C00000"/>
              </a:solidFill>
              <a:latin typeface="Times New Roman" panose="02020603050405020304" pitchFamily="18" charset="0"/>
              <a:cs typeface="Times New Roman" panose="02020603050405020304" pitchFamily="18" charset="0"/>
            </a:rPr>
            <a:t>Se</a:t>
          </a:r>
          <a:r>
            <a:rPr lang="es-PE" sz="1200" baseline="0">
              <a:solidFill>
                <a:srgbClr val="C00000"/>
              </a:solidFill>
              <a:latin typeface="Times New Roman" panose="02020603050405020304" pitchFamily="18" charset="0"/>
              <a:cs typeface="Times New Roman" panose="02020603050405020304" pitchFamily="18" charset="0"/>
            </a:rPr>
            <a:t> divide la demanda en trimestres para facilitar la toma de decisiones.</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18</xdr:col>
      <xdr:colOff>665823</xdr:colOff>
      <xdr:row>66</xdr:row>
      <xdr:rowOff>34487</xdr:rowOff>
    </xdr:from>
    <xdr:ext cx="7145932" cy="269304"/>
    <xdr:sp macro="" textlink="">
      <xdr:nvSpPr>
        <xdr:cNvPr id="14" name="CuadroTexto 13">
          <a:extLst>
            <a:ext uri="{FF2B5EF4-FFF2-40B4-BE49-F238E27FC236}">
              <a16:creationId xmlns:a16="http://schemas.microsoft.com/office/drawing/2014/main" id="{7CE81E88-E186-4CDF-B614-691938376C77}"/>
            </a:ext>
          </a:extLst>
        </xdr:cNvPr>
        <xdr:cNvSpPr txBox="1"/>
      </xdr:nvSpPr>
      <xdr:spPr>
        <a:xfrm>
          <a:off x="17026411" y="11867899"/>
          <a:ext cx="7145932"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s-PE" sz="1200">
              <a:solidFill>
                <a:srgbClr val="C00000"/>
              </a:solidFill>
              <a:latin typeface="Times New Roman" panose="02020603050405020304" pitchFamily="18" charset="0"/>
              <a:cs typeface="Times New Roman" panose="02020603050405020304" pitchFamily="18" charset="0"/>
            </a:rPr>
            <a:t>Se</a:t>
          </a:r>
          <a:r>
            <a:rPr lang="es-PE" sz="1200" baseline="0">
              <a:solidFill>
                <a:srgbClr val="C00000"/>
              </a:solidFill>
              <a:latin typeface="Times New Roman" panose="02020603050405020304" pitchFamily="18" charset="0"/>
              <a:cs typeface="Times New Roman" panose="02020603050405020304" pitchFamily="18" charset="0"/>
            </a:rPr>
            <a:t> logra ver que en los 2 primeros trimestres se tiene una alta demanda y en los 2 últimos tiene una baja demanda.</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10</xdr:col>
      <xdr:colOff>535054</xdr:colOff>
      <xdr:row>1</xdr:row>
      <xdr:rowOff>1894</xdr:rowOff>
    </xdr:from>
    <xdr:to>
      <xdr:col>15</xdr:col>
      <xdr:colOff>205740</xdr:colOff>
      <xdr:row>16</xdr:row>
      <xdr:rowOff>15239</xdr:rowOff>
    </xdr:to>
    <xdr:pic>
      <xdr:nvPicPr>
        <xdr:cNvPr id="2" name="Imagen 1">
          <a:extLst>
            <a:ext uri="{FF2B5EF4-FFF2-40B4-BE49-F238E27FC236}">
              <a16:creationId xmlns:a16="http://schemas.microsoft.com/office/drawing/2014/main" id="{B51DC3BF-1932-A006-8D81-64009416C76E}"/>
            </a:ext>
          </a:extLst>
        </xdr:cNvPr>
        <xdr:cNvPicPr>
          <a:picLocks noChangeAspect="1"/>
        </xdr:cNvPicPr>
      </xdr:nvPicPr>
      <xdr:blipFill>
        <a:blip xmlns:r="http://schemas.openxmlformats.org/officeDocument/2006/relationships" r:embed="rId1"/>
        <a:stretch>
          <a:fillRect/>
        </a:stretch>
      </xdr:blipFill>
      <xdr:spPr>
        <a:xfrm>
          <a:off x="10037194" y="177154"/>
          <a:ext cx="3633086" cy="2642245"/>
        </a:xfrm>
        <a:prstGeom prst="rect">
          <a:avLst/>
        </a:prstGeom>
      </xdr:spPr>
    </xdr:pic>
    <xdr:clientData/>
  </xdr:twoCellAnchor>
  <xdr:twoCellAnchor>
    <xdr:from>
      <xdr:col>7</xdr:col>
      <xdr:colOff>0</xdr:colOff>
      <xdr:row>23</xdr:row>
      <xdr:rowOff>3810</xdr:rowOff>
    </xdr:from>
    <xdr:to>
      <xdr:col>15</xdr:col>
      <xdr:colOff>0</xdr:colOff>
      <xdr:row>43</xdr:row>
      <xdr:rowOff>167640</xdr:rowOff>
    </xdr:to>
    <xdr:graphicFrame macro="">
      <xdr:nvGraphicFramePr>
        <xdr:cNvPr id="3" name="Gráfico 2">
          <a:extLst>
            <a:ext uri="{FF2B5EF4-FFF2-40B4-BE49-F238E27FC236}">
              <a16:creationId xmlns:a16="http://schemas.microsoft.com/office/drawing/2014/main" id="{EDD72C35-1577-DC84-07A5-7FC58F38E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1981200</xdr:colOff>
      <xdr:row>45</xdr:row>
      <xdr:rowOff>129540</xdr:rowOff>
    </xdr:from>
    <xdr:ext cx="5623254" cy="269304"/>
    <xdr:sp macro="" textlink="">
      <xdr:nvSpPr>
        <xdr:cNvPr id="4" name="CuadroTexto 3">
          <a:extLst>
            <a:ext uri="{FF2B5EF4-FFF2-40B4-BE49-F238E27FC236}">
              <a16:creationId xmlns:a16="http://schemas.microsoft.com/office/drawing/2014/main" id="{DD9B445E-B3CD-4E31-89C4-C8ADF3A2C8BB}"/>
            </a:ext>
          </a:extLst>
        </xdr:cNvPr>
        <xdr:cNvSpPr txBox="1"/>
      </xdr:nvSpPr>
      <xdr:spPr>
        <a:xfrm>
          <a:off x="2773680" y="8229600"/>
          <a:ext cx="562325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r>
            <a:rPr lang="es-PE" sz="1200">
              <a:solidFill>
                <a:srgbClr val="C00000"/>
              </a:solidFill>
              <a:latin typeface="Times New Roman" panose="02020603050405020304" pitchFamily="18" charset="0"/>
              <a:ea typeface="+mn-ea"/>
              <a:cs typeface="Times New Roman" panose="02020603050405020304" pitchFamily="18" charset="0"/>
            </a:rPr>
            <a:t>A medida que se</a:t>
          </a:r>
          <a:r>
            <a:rPr lang="es-PE" sz="1200" baseline="0">
              <a:solidFill>
                <a:srgbClr val="C00000"/>
              </a:solidFill>
              <a:latin typeface="Times New Roman" panose="02020603050405020304" pitchFamily="18" charset="0"/>
              <a:ea typeface="+mn-ea"/>
              <a:cs typeface="Times New Roman" panose="02020603050405020304" pitchFamily="18" charset="0"/>
            </a:rPr>
            <a:t> </a:t>
          </a:r>
          <a:r>
            <a:rPr lang="es-PE" sz="1200">
              <a:solidFill>
                <a:srgbClr val="C00000"/>
              </a:solidFill>
              <a:latin typeface="Times New Roman" panose="02020603050405020304" pitchFamily="18" charset="0"/>
              <a:ea typeface="+mn-ea"/>
              <a:cs typeface="Times New Roman" panose="02020603050405020304" pitchFamily="18" charset="0"/>
            </a:rPr>
            <a:t>produce</a:t>
          </a:r>
          <a:r>
            <a:rPr lang="es-PE" sz="1200" baseline="0">
              <a:solidFill>
                <a:srgbClr val="C00000"/>
              </a:solidFill>
              <a:latin typeface="Times New Roman" panose="02020603050405020304" pitchFamily="18" charset="0"/>
              <a:ea typeface="+mn-ea"/>
              <a:cs typeface="Times New Roman" panose="02020603050405020304" pitchFamily="18" charset="0"/>
            </a:rPr>
            <a:t> </a:t>
          </a:r>
          <a:r>
            <a:rPr lang="es-PE" sz="1200">
              <a:solidFill>
                <a:srgbClr val="C00000"/>
              </a:solidFill>
              <a:latin typeface="Times New Roman" panose="02020603050405020304" pitchFamily="18" charset="0"/>
              <a:ea typeface="+mn-ea"/>
              <a:cs typeface="Times New Roman" panose="02020603050405020304" pitchFamily="18" charset="0"/>
            </a:rPr>
            <a:t>una mayor cantidad, el costo por unidad se vuelve más bajo.</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833718</xdr:colOff>
      <xdr:row>4</xdr:row>
      <xdr:rowOff>134472</xdr:rowOff>
    </xdr:from>
    <xdr:ext cx="5623254" cy="269304"/>
    <xdr:sp macro="" textlink="">
      <xdr:nvSpPr>
        <xdr:cNvPr id="2" name="CuadroTexto 1">
          <a:extLst>
            <a:ext uri="{FF2B5EF4-FFF2-40B4-BE49-F238E27FC236}">
              <a16:creationId xmlns:a16="http://schemas.microsoft.com/office/drawing/2014/main" id="{7D7F6F02-2256-4AE3-A2D5-8EF8320DEB4F}"/>
            </a:ext>
          </a:extLst>
        </xdr:cNvPr>
        <xdr:cNvSpPr txBox="1"/>
      </xdr:nvSpPr>
      <xdr:spPr>
        <a:xfrm>
          <a:off x="6786283" y="851648"/>
          <a:ext cx="562325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a:solidFill>
                <a:srgbClr val="C00000"/>
              </a:solidFill>
              <a:latin typeface="Times New Roman" panose="02020603050405020304" pitchFamily="18" charset="0"/>
              <a:cs typeface="Times New Roman" panose="02020603050405020304" pitchFamily="18" charset="0"/>
            </a:rPr>
            <a:t>Se</a:t>
          </a:r>
          <a:r>
            <a:rPr lang="es-PE" sz="1200" baseline="0">
              <a:solidFill>
                <a:srgbClr val="C00000"/>
              </a:solidFill>
              <a:latin typeface="Times New Roman" panose="02020603050405020304" pitchFamily="18" charset="0"/>
              <a:cs typeface="Times New Roman" panose="02020603050405020304" pitchFamily="18" charset="0"/>
            </a:rPr>
            <a:t> trabaja con capacidad de 20 bidones por día y cantidad de 200 bidones.</a:t>
          </a:r>
        </a:p>
      </xdr:txBody>
    </xdr:sp>
    <xdr:clientData/>
  </xdr:oneCellAnchor>
  <xdr:oneCellAnchor>
    <xdr:from>
      <xdr:col>8</xdr:col>
      <xdr:colOff>824752</xdr:colOff>
      <xdr:row>5</xdr:row>
      <xdr:rowOff>134470</xdr:rowOff>
    </xdr:from>
    <xdr:ext cx="5623254" cy="269304"/>
    <xdr:sp macro="" textlink="">
      <xdr:nvSpPr>
        <xdr:cNvPr id="3" name="CuadroTexto 2">
          <a:extLst>
            <a:ext uri="{FF2B5EF4-FFF2-40B4-BE49-F238E27FC236}">
              <a16:creationId xmlns:a16="http://schemas.microsoft.com/office/drawing/2014/main" id="{ED405570-3976-4CE5-B6AD-81E119808913}"/>
            </a:ext>
          </a:extLst>
        </xdr:cNvPr>
        <xdr:cNvSpPr txBox="1"/>
      </xdr:nvSpPr>
      <xdr:spPr>
        <a:xfrm>
          <a:off x="6777317" y="1030941"/>
          <a:ext cx="562325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a:solidFill>
                <a:srgbClr val="C00000"/>
              </a:solidFill>
              <a:latin typeface="Times New Roman" panose="02020603050405020304" pitchFamily="18" charset="0"/>
              <a:cs typeface="Times New Roman" panose="02020603050405020304" pitchFamily="18" charset="0"/>
            </a:rPr>
            <a:t>Se</a:t>
          </a:r>
          <a:r>
            <a:rPr lang="es-PE" sz="1200" baseline="0">
              <a:solidFill>
                <a:srgbClr val="C00000"/>
              </a:solidFill>
              <a:latin typeface="Times New Roman" panose="02020603050405020304" pitchFamily="18" charset="0"/>
              <a:cs typeface="Times New Roman" panose="02020603050405020304" pitchFamily="18" charset="0"/>
            </a:rPr>
            <a:t> trabaja con capacidad de 50 bidones por día y cantidad de 400 bidones.</a:t>
          </a:r>
        </a:p>
      </xdr:txBody>
    </xdr:sp>
    <xdr:clientData/>
  </xdr:oneCellAnchor>
  <xdr:oneCellAnchor>
    <xdr:from>
      <xdr:col>8</xdr:col>
      <xdr:colOff>833718</xdr:colOff>
      <xdr:row>6</xdr:row>
      <xdr:rowOff>134471</xdr:rowOff>
    </xdr:from>
    <xdr:ext cx="5623254" cy="269304"/>
    <xdr:sp macro="" textlink="">
      <xdr:nvSpPr>
        <xdr:cNvPr id="4" name="CuadroTexto 3">
          <a:extLst>
            <a:ext uri="{FF2B5EF4-FFF2-40B4-BE49-F238E27FC236}">
              <a16:creationId xmlns:a16="http://schemas.microsoft.com/office/drawing/2014/main" id="{8E13DB0C-864B-46B9-9606-30F2834BC92D}"/>
            </a:ext>
          </a:extLst>
        </xdr:cNvPr>
        <xdr:cNvSpPr txBox="1"/>
      </xdr:nvSpPr>
      <xdr:spPr>
        <a:xfrm>
          <a:off x="6840071" y="1210236"/>
          <a:ext cx="562325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a:solidFill>
                <a:srgbClr val="C00000"/>
              </a:solidFill>
              <a:latin typeface="Times New Roman" panose="02020603050405020304" pitchFamily="18" charset="0"/>
              <a:cs typeface="Times New Roman" panose="02020603050405020304" pitchFamily="18" charset="0"/>
            </a:rPr>
            <a:t>Se</a:t>
          </a:r>
          <a:r>
            <a:rPr lang="es-PE" sz="1200" baseline="0">
              <a:solidFill>
                <a:srgbClr val="C00000"/>
              </a:solidFill>
              <a:latin typeface="Times New Roman" panose="02020603050405020304" pitchFamily="18" charset="0"/>
              <a:cs typeface="Times New Roman" panose="02020603050405020304" pitchFamily="18" charset="0"/>
            </a:rPr>
            <a:t> trabaja con capacidad de 50 bidones por día y cantidad de 200 bidones.</a:t>
          </a:r>
        </a:p>
      </xdr:txBody>
    </xdr:sp>
    <xdr:clientData/>
  </xdr:oneCellAnchor>
  <xdr:oneCellAnchor>
    <xdr:from>
      <xdr:col>8</xdr:col>
      <xdr:colOff>833716</xdr:colOff>
      <xdr:row>7</xdr:row>
      <xdr:rowOff>143434</xdr:rowOff>
    </xdr:from>
    <xdr:ext cx="5623254" cy="269304"/>
    <xdr:sp macro="" textlink="">
      <xdr:nvSpPr>
        <xdr:cNvPr id="5" name="CuadroTexto 4">
          <a:extLst>
            <a:ext uri="{FF2B5EF4-FFF2-40B4-BE49-F238E27FC236}">
              <a16:creationId xmlns:a16="http://schemas.microsoft.com/office/drawing/2014/main" id="{EAC261D9-973B-4887-B8E2-2AF47AFFCB94}"/>
            </a:ext>
          </a:extLst>
        </xdr:cNvPr>
        <xdr:cNvSpPr txBox="1"/>
      </xdr:nvSpPr>
      <xdr:spPr>
        <a:xfrm>
          <a:off x="6840069" y="1398493"/>
          <a:ext cx="562325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a:solidFill>
                <a:srgbClr val="C00000"/>
              </a:solidFill>
              <a:latin typeface="Times New Roman" panose="02020603050405020304" pitchFamily="18" charset="0"/>
              <a:cs typeface="Times New Roman" panose="02020603050405020304" pitchFamily="18" charset="0"/>
            </a:rPr>
            <a:t>Se</a:t>
          </a:r>
          <a:r>
            <a:rPr lang="es-PE" sz="1200" baseline="0">
              <a:solidFill>
                <a:srgbClr val="C00000"/>
              </a:solidFill>
              <a:latin typeface="Times New Roman" panose="02020603050405020304" pitchFamily="18" charset="0"/>
              <a:cs typeface="Times New Roman" panose="02020603050405020304" pitchFamily="18" charset="0"/>
            </a:rPr>
            <a:t> trabaja con capacidad de 50 bidones por día y cantidad de 200 bidones.</a:t>
          </a:r>
        </a:p>
      </xdr:txBody>
    </xdr:sp>
    <xdr:clientData/>
  </xdr:oneCellAnchor>
  <xdr:oneCellAnchor>
    <xdr:from>
      <xdr:col>8</xdr:col>
      <xdr:colOff>851645</xdr:colOff>
      <xdr:row>8</xdr:row>
      <xdr:rowOff>143435</xdr:rowOff>
    </xdr:from>
    <xdr:ext cx="5623254" cy="269304"/>
    <xdr:sp macro="" textlink="">
      <xdr:nvSpPr>
        <xdr:cNvPr id="6" name="CuadroTexto 5">
          <a:extLst>
            <a:ext uri="{FF2B5EF4-FFF2-40B4-BE49-F238E27FC236}">
              <a16:creationId xmlns:a16="http://schemas.microsoft.com/office/drawing/2014/main" id="{4AAB3DD2-FCF0-46E6-81D9-359F7A665891}"/>
            </a:ext>
          </a:extLst>
        </xdr:cNvPr>
        <xdr:cNvSpPr txBox="1"/>
      </xdr:nvSpPr>
      <xdr:spPr>
        <a:xfrm>
          <a:off x="6804210" y="1577788"/>
          <a:ext cx="562325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a:solidFill>
                <a:srgbClr val="C00000"/>
              </a:solidFill>
              <a:latin typeface="Times New Roman" panose="02020603050405020304" pitchFamily="18" charset="0"/>
              <a:cs typeface="Times New Roman" panose="02020603050405020304" pitchFamily="18" charset="0"/>
            </a:rPr>
            <a:t>Se</a:t>
          </a:r>
          <a:r>
            <a:rPr lang="es-PE" sz="1200" baseline="0">
              <a:solidFill>
                <a:srgbClr val="C00000"/>
              </a:solidFill>
              <a:latin typeface="Times New Roman" panose="02020603050405020304" pitchFamily="18" charset="0"/>
              <a:cs typeface="Times New Roman" panose="02020603050405020304" pitchFamily="18" charset="0"/>
            </a:rPr>
            <a:t> trabaja con capacidad de 50 bidones por día y cantidad de 400 bidones.</a:t>
          </a:r>
        </a:p>
      </xdr:txBody>
    </xdr:sp>
    <xdr:clientData/>
  </xdr:oneCellAnchor>
  <xdr:oneCellAnchor>
    <xdr:from>
      <xdr:col>9</xdr:col>
      <xdr:colOff>8962</xdr:colOff>
      <xdr:row>9</xdr:row>
      <xdr:rowOff>134470</xdr:rowOff>
    </xdr:from>
    <xdr:ext cx="5623254" cy="269304"/>
    <xdr:sp macro="" textlink="">
      <xdr:nvSpPr>
        <xdr:cNvPr id="7" name="CuadroTexto 6">
          <a:extLst>
            <a:ext uri="{FF2B5EF4-FFF2-40B4-BE49-F238E27FC236}">
              <a16:creationId xmlns:a16="http://schemas.microsoft.com/office/drawing/2014/main" id="{4ECB431C-F200-4A6F-827E-E0361C3280B6}"/>
            </a:ext>
          </a:extLst>
        </xdr:cNvPr>
        <xdr:cNvSpPr txBox="1"/>
      </xdr:nvSpPr>
      <xdr:spPr>
        <a:xfrm>
          <a:off x="6813174" y="1748117"/>
          <a:ext cx="562325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a:solidFill>
                <a:srgbClr val="C00000"/>
              </a:solidFill>
              <a:latin typeface="Times New Roman" panose="02020603050405020304" pitchFamily="18" charset="0"/>
              <a:cs typeface="Times New Roman" panose="02020603050405020304" pitchFamily="18" charset="0"/>
            </a:rPr>
            <a:t>Se</a:t>
          </a:r>
          <a:r>
            <a:rPr lang="es-PE" sz="1200" baseline="0">
              <a:solidFill>
                <a:srgbClr val="C00000"/>
              </a:solidFill>
              <a:latin typeface="Times New Roman" panose="02020603050405020304" pitchFamily="18" charset="0"/>
              <a:cs typeface="Times New Roman" panose="02020603050405020304" pitchFamily="18" charset="0"/>
            </a:rPr>
            <a:t> trabaja con capacidad de 50 bidones por día y cantidad de 400 bidones.</a:t>
          </a:r>
        </a:p>
      </xdr:txBody>
    </xdr:sp>
    <xdr:clientData/>
  </xdr:oneCellAnchor>
  <xdr:oneCellAnchor>
    <xdr:from>
      <xdr:col>9</xdr:col>
      <xdr:colOff>8964</xdr:colOff>
      <xdr:row>10</xdr:row>
      <xdr:rowOff>143435</xdr:rowOff>
    </xdr:from>
    <xdr:ext cx="5623254" cy="269304"/>
    <xdr:sp macro="" textlink="">
      <xdr:nvSpPr>
        <xdr:cNvPr id="8" name="CuadroTexto 7">
          <a:extLst>
            <a:ext uri="{FF2B5EF4-FFF2-40B4-BE49-F238E27FC236}">
              <a16:creationId xmlns:a16="http://schemas.microsoft.com/office/drawing/2014/main" id="{FD186E8A-4996-45A2-BCF2-E9703634CF0F}"/>
            </a:ext>
          </a:extLst>
        </xdr:cNvPr>
        <xdr:cNvSpPr txBox="1"/>
      </xdr:nvSpPr>
      <xdr:spPr>
        <a:xfrm>
          <a:off x="6813176" y="1936376"/>
          <a:ext cx="562325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a:solidFill>
                <a:srgbClr val="C00000"/>
              </a:solidFill>
              <a:latin typeface="Times New Roman" panose="02020603050405020304" pitchFamily="18" charset="0"/>
              <a:cs typeface="Times New Roman" panose="02020603050405020304" pitchFamily="18" charset="0"/>
            </a:rPr>
            <a:t>Se</a:t>
          </a:r>
          <a:r>
            <a:rPr lang="es-PE" sz="1200" baseline="0">
              <a:solidFill>
                <a:srgbClr val="C00000"/>
              </a:solidFill>
              <a:latin typeface="Times New Roman" panose="02020603050405020304" pitchFamily="18" charset="0"/>
              <a:cs typeface="Times New Roman" panose="02020603050405020304" pitchFamily="18" charset="0"/>
            </a:rPr>
            <a:t> trabaja con capacidad de 50 bidones por día y cantidad de 200 bidones.</a:t>
          </a:r>
        </a:p>
      </xdr:txBody>
    </xdr:sp>
    <xdr:clientData/>
  </xdr:oneCellAnchor>
  <xdr:oneCellAnchor>
    <xdr:from>
      <xdr:col>9</xdr:col>
      <xdr:colOff>8964</xdr:colOff>
      <xdr:row>11</xdr:row>
      <xdr:rowOff>125505</xdr:rowOff>
    </xdr:from>
    <xdr:ext cx="5623254" cy="269304"/>
    <xdr:sp macro="" textlink="">
      <xdr:nvSpPr>
        <xdr:cNvPr id="9" name="CuadroTexto 8">
          <a:extLst>
            <a:ext uri="{FF2B5EF4-FFF2-40B4-BE49-F238E27FC236}">
              <a16:creationId xmlns:a16="http://schemas.microsoft.com/office/drawing/2014/main" id="{54D29F53-E05D-4382-94BA-F6443AB55B65}"/>
            </a:ext>
          </a:extLst>
        </xdr:cNvPr>
        <xdr:cNvSpPr txBox="1"/>
      </xdr:nvSpPr>
      <xdr:spPr>
        <a:xfrm>
          <a:off x="6813176" y="2097740"/>
          <a:ext cx="562325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a:solidFill>
                <a:srgbClr val="C00000"/>
              </a:solidFill>
              <a:latin typeface="Times New Roman" panose="02020603050405020304" pitchFamily="18" charset="0"/>
              <a:cs typeface="Times New Roman" panose="02020603050405020304" pitchFamily="18" charset="0"/>
            </a:rPr>
            <a:t>Se</a:t>
          </a:r>
          <a:r>
            <a:rPr lang="es-PE" sz="1200" baseline="0">
              <a:solidFill>
                <a:srgbClr val="C00000"/>
              </a:solidFill>
              <a:latin typeface="Times New Roman" panose="02020603050405020304" pitchFamily="18" charset="0"/>
              <a:cs typeface="Times New Roman" panose="02020603050405020304" pitchFamily="18" charset="0"/>
            </a:rPr>
            <a:t> trabaja con capacidad de 50 bidones por día y cantidad de 200 bidones.</a:t>
          </a:r>
        </a:p>
      </xdr:txBody>
    </xdr:sp>
    <xdr:clientData/>
  </xdr:oneCellAnchor>
  <xdr:twoCellAnchor editAs="oneCell">
    <xdr:from>
      <xdr:col>14</xdr:col>
      <xdr:colOff>124609</xdr:colOff>
      <xdr:row>18</xdr:row>
      <xdr:rowOff>26892</xdr:rowOff>
    </xdr:from>
    <xdr:to>
      <xdr:col>17</xdr:col>
      <xdr:colOff>164055</xdr:colOff>
      <xdr:row>21</xdr:row>
      <xdr:rowOff>7619</xdr:rowOff>
    </xdr:to>
    <xdr:pic>
      <xdr:nvPicPr>
        <xdr:cNvPr id="10" name="Imagen 9">
          <a:extLst>
            <a:ext uri="{FF2B5EF4-FFF2-40B4-BE49-F238E27FC236}">
              <a16:creationId xmlns:a16="http://schemas.microsoft.com/office/drawing/2014/main" id="{1AA182D5-229F-06EF-98C5-039E06D0060C}"/>
            </a:ext>
          </a:extLst>
        </xdr:cNvPr>
        <xdr:cNvPicPr>
          <a:picLocks noChangeAspect="1"/>
        </xdr:cNvPicPr>
      </xdr:nvPicPr>
      <xdr:blipFill>
        <a:blip xmlns:r="http://schemas.openxmlformats.org/officeDocument/2006/relationships" r:embed="rId1"/>
        <a:stretch>
          <a:fillRect/>
        </a:stretch>
      </xdr:blipFill>
      <xdr:spPr>
        <a:xfrm>
          <a:off x="10746889" y="3196812"/>
          <a:ext cx="2416886" cy="506507"/>
        </a:xfrm>
        <a:prstGeom prst="rect">
          <a:avLst/>
        </a:prstGeom>
      </xdr:spPr>
    </xdr:pic>
    <xdr:clientData/>
  </xdr:twoCellAnchor>
  <xdr:twoCellAnchor editAs="oneCell">
    <xdr:from>
      <xdr:col>11</xdr:col>
      <xdr:colOff>520850</xdr:colOff>
      <xdr:row>1</xdr:row>
      <xdr:rowOff>162709</xdr:rowOff>
    </xdr:from>
    <xdr:to>
      <xdr:col>16</xdr:col>
      <xdr:colOff>4174</xdr:colOff>
      <xdr:row>4</xdr:row>
      <xdr:rowOff>43985</xdr:rowOff>
    </xdr:to>
    <xdr:pic>
      <xdr:nvPicPr>
        <xdr:cNvPr id="11" name="Imagen 10">
          <a:extLst>
            <a:ext uri="{FF2B5EF4-FFF2-40B4-BE49-F238E27FC236}">
              <a16:creationId xmlns:a16="http://schemas.microsoft.com/office/drawing/2014/main" id="{2D8A19AD-3498-A541-68DC-587750ED6CBA}"/>
            </a:ext>
          </a:extLst>
        </xdr:cNvPr>
        <xdr:cNvPicPr>
          <a:picLocks noChangeAspect="1"/>
        </xdr:cNvPicPr>
      </xdr:nvPicPr>
      <xdr:blipFill>
        <a:blip xmlns:r="http://schemas.openxmlformats.org/officeDocument/2006/relationships" r:embed="rId2"/>
        <a:stretch>
          <a:fillRect/>
        </a:stretch>
      </xdr:blipFill>
      <xdr:spPr>
        <a:xfrm>
          <a:off x="8765690" y="337969"/>
          <a:ext cx="3424769" cy="407056"/>
        </a:xfrm>
        <a:prstGeom prst="rect">
          <a:avLst/>
        </a:prstGeom>
      </xdr:spPr>
    </xdr:pic>
    <xdr:clientData/>
  </xdr:twoCellAnchor>
  <xdr:oneCellAnchor>
    <xdr:from>
      <xdr:col>8</xdr:col>
      <xdr:colOff>210223</xdr:colOff>
      <xdr:row>2</xdr:row>
      <xdr:rowOff>43928</xdr:rowOff>
    </xdr:from>
    <xdr:ext cx="2525357" cy="269304"/>
    <xdr:sp macro="" textlink="">
      <xdr:nvSpPr>
        <xdr:cNvPr id="12" name="CuadroTexto 11">
          <a:extLst>
            <a:ext uri="{FF2B5EF4-FFF2-40B4-BE49-F238E27FC236}">
              <a16:creationId xmlns:a16="http://schemas.microsoft.com/office/drawing/2014/main" id="{0F12F382-E03F-4C0B-9DDD-C3E94803F091}"/>
            </a:ext>
          </a:extLst>
        </xdr:cNvPr>
        <xdr:cNvSpPr txBox="1"/>
      </xdr:nvSpPr>
      <xdr:spPr>
        <a:xfrm>
          <a:off x="6245263" y="394448"/>
          <a:ext cx="2525357"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PE" sz="1200" baseline="0">
              <a:solidFill>
                <a:srgbClr val="C00000"/>
              </a:solidFill>
              <a:latin typeface="Times New Roman" panose="02020603050405020304" pitchFamily="18" charset="0"/>
              <a:cs typeface="Times New Roman" panose="02020603050405020304" pitchFamily="18" charset="0"/>
            </a:rPr>
            <a:t>↓ Si se trabaja con lote de seguridad</a:t>
          </a:r>
        </a:p>
      </xdr:txBody>
    </xdr:sp>
    <xdr:clientData/>
  </xdr:oneCellAnchor>
  <xdr:oneCellAnchor>
    <xdr:from>
      <xdr:col>10</xdr:col>
      <xdr:colOff>743623</xdr:colOff>
      <xdr:row>18</xdr:row>
      <xdr:rowOff>135368</xdr:rowOff>
    </xdr:from>
    <xdr:ext cx="2525357" cy="269304"/>
    <xdr:sp macro="" textlink="">
      <xdr:nvSpPr>
        <xdr:cNvPr id="13" name="CuadroTexto 12">
          <a:extLst>
            <a:ext uri="{FF2B5EF4-FFF2-40B4-BE49-F238E27FC236}">
              <a16:creationId xmlns:a16="http://schemas.microsoft.com/office/drawing/2014/main" id="{688A4BE0-8104-422B-81AC-AEBDE7793B4F}"/>
            </a:ext>
          </a:extLst>
        </xdr:cNvPr>
        <xdr:cNvSpPr txBox="1"/>
      </xdr:nvSpPr>
      <xdr:spPr>
        <a:xfrm>
          <a:off x="8195983" y="3305288"/>
          <a:ext cx="2525357"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PE" sz="1200" baseline="0">
              <a:solidFill>
                <a:srgbClr val="C00000"/>
              </a:solidFill>
              <a:latin typeface="Times New Roman" panose="02020603050405020304" pitchFamily="18" charset="0"/>
              <a:cs typeface="Times New Roman" panose="02020603050405020304" pitchFamily="18" charset="0"/>
            </a:rPr>
            <a:t>← Si se trabaja sin lote de seguridad</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746760</xdr:colOff>
      <xdr:row>9</xdr:row>
      <xdr:rowOff>129540</xdr:rowOff>
    </xdr:from>
    <xdr:ext cx="5623254" cy="269304"/>
    <xdr:sp macro="" textlink="">
      <xdr:nvSpPr>
        <xdr:cNvPr id="2" name="CuadroTexto 1">
          <a:extLst>
            <a:ext uri="{FF2B5EF4-FFF2-40B4-BE49-F238E27FC236}">
              <a16:creationId xmlns:a16="http://schemas.microsoft.com/office/drawing/2014/main" id="{A74A554F-7BF3-4C8F-8E15-41373D6B4518}"/>
            </a:ext>
          </a:extLst>
        </xdr:cNvPr>
        <xdr:cNvSpPr txBox="1"/>
      </xdr:nvSpPr>
      <xdr:spPr>
        <a:xfrm>
          <a:off x="746760" y="1889760"/>
          <a:ext cx="562325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a:solidFill>
                <a:srgbClr val="C00000"/>
              </a:solidFill>
              <a:latin typeface="Times New Roman" panose="02020603050405020304" pitchFamily="18" charset="0"/>
              <a:cs typeface="Times New Roman" panose="02020603050405020304" pitchFamily="18" charset="0"/>
            </a:rPr>
            <a:t>A nivel de costos conviene</a:t>
          </a:r>
          <a:r>
            <a:rPr lang="es-PE" sz="1200" baseline="0">
              <a:solidFill>
                <a:srgbClr val="C00000"/>
              </a:solidFill>
              <a:latin typeface="Times New Roman" panose="02020603050405020304" pitchFamily="18" charset="0"/>
              <a:cs typeface="Times New Roman" panose="02020603050405020304" pitchFamily="18" charset="0"/>
            </a:rPr>
            <a:t> usar los camiones a su máxima capacidad.</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0</xdr:col>
      <xdr:colOff>754380</xdr:colOff>
      <xdr:row>11</xdr:row>
      <xdr:rowOff>121920</xdr:rowOff>
    </xdr:from>
    <xdr:ext cx="5623254" cy="446276"/>
    <xdr:sp macro="" textlink="">
      <xdr:nvSpPr>
        <xdr:cNvPr id="3" name="CuadroTexto 2">
          <a:extLst>
            <a:ext uri="{FF2B5EF4-FFF2-40B4-BE49-F238E27FC236}">
              <a16:creationId xmlns:a16="http://schemas.microsoft.com/office/drawing/2014/main" id="{C9EF3532-129E-4FDA-AECB-2A40B37A31FC}"/>
            </a:ext>
          </a:extLst>
        </xdr:cNvPr>
        <xdr:cNvSpPr txBox="1"/>
      </xdr:nvSpPr>
      <xdr:spPr>
        <a:xfrm>
          <a:off x="754380" y="2232660"/>
          <a:ext cx="5623254" cy="446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baseline="0">
              <a:solidFill>
                <a:srgbClr val="C00000"/>
              </a:solidFill>
              <a:latin typeface="Times New Roman" panose="02020603050405020304" pitchFamily="18" charset="0"/>
              <a:cs typeface="Times New Roman" panose="02020603050405020304" pitchFamily="18" charset="0"/>
            </a:rPr>
            <a:t>A nivel de costos llevar 100 bidones en un camión en los mismo que llevar 100 bidones por correo.</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30480</xdr:colOff>
      <xdr:row>13</xdr:row>
      <xdr:rowOff>152400</xdr:rowOff>
    </xdr:from>
    <xdr:ext cx="5623254" cy="269304"/>
    <xdr:sp macro="" textlink="">
      <xdr:nvSpPr>
        <xdr:cNvPr id="2" name="CuadroTexto 1">
          <a:extLst>
            <a:ext uri="{FF2B5EF4-FFF2-40B4-BE49-F238E27FC236}">
              <a16:creationId xmlns:a16="http://schemas.microsoft.com/office/drawing/2014/main" id="{F08785CA-19D0-494A-85D9-4122EFA961C5}"/>
            </a:ext>
          </a:extLst>
        </xdr:cNvPr>
        <xdr:cNvSpPr txBox="1"/>
      </xdr:nvSpPr>
      <xdr:spPr>
        <a:xfrm>
          <a:off x="822960" y="2971800"/>
          <a:ext cx="562325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a:solidFill>
                <a:srgbClr val="C00000"/>
              </a:solidFill>
              <a:latin typeface="Times New Roman" panose="02020603050405020304" pitchFamily="18" charset="0"/>
              <a:cs typeface="Times New Roman" panose="02020603050405020304" pitchFamily="18" charset="0"/>
            </a:rPr>
            <a:t>El aumento de capacidad, se debe hacer sí o sí, para</a:t>
          </a:r>
          <a:r>
            <a:rPr lang="es-PE" sz="1200" baseline="0">
              <a:solidFill>
                <a:srgbClr val="C00000"/>
              </a:solidFill>
              <a:latin typeface="Times New Roman" panose="02020603050405020304" pitchFamily="18" charset="0"/>
              <a:cs typeface="Times New Roman" panose="02020603050405020304" pitchFamily="18" charset="0"/>
            </a:rPr>
            <a:t> poder satisfacer mejor la demanda. </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1</xdr:col>
      <xdr:colOff>15240</xdr:colOff>
      <xdr:row>15</xdr:row>
      <xdr:rowOff>114300</xdr:rowOff>
    </xdr:from>
    <xdr:ext cx="7307580" cy="777240"/>
    <xdr:sp macro="" textlink="">
      <xdr:nvSpPr>
        <xdr:cNvPr id="3" name="CuadroTexto 2">
          <a:extLst>
            <a:ext uri="{FF2B5EF4-FFF2-40B4-BE49-F238E27FC236}">
              <a16:creationId xmlns:a16="http://schemas.microsoft.com/office/drawing/2014/main" id="{65146AD3-CFF2-4486-B9EE-B4D4ACC24B72}"/>
            </a:ext>
          </a:extLst>
        </xdr:cNvPr>
        <xdr:cNvSpPr txBox="1"/>
      </xdr:nvSpPr>
      <xdr:spPr>
        <a:xfrm>
          <a:off x="807720" y="3108960"/>
          <a:ext cx="7307580" cy="777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s-PE" sz="1200">
              <a:solidFill>
                <a:srgbClr val="C00000"/>
              </a:solidFill>
              <a:latin typeface="Times New Roman" panose="02020603050405020304" pitchFamily="18" charset="0"/>
              <a:ea typeface="+mn-ea"/>
              <a:cs typeface="Times New Roman" panose="02020603050405020304" pitchFamily="18" charset="0"/>
            </a:rPr>
            <a:t>Se tienen 2 opciones, y para poder determinar la mejor.</a:t>
          </a:r>
          <a:r>
            <a:rPr lang="es-PE" sz="1200" baseline="0">
              <a:solidFill>
                <a:srgbClr val="C00000"/>
              </a:solidFill>
              <a:latin typeface="Times New Roman" panose="02020603050405020304" pitchFamily="18" charset="0"/>
              <a:ea typeface="+mn-ea"/>
              <a:cs typeface="Times New Roman" panose="02020603050405020304" pitchFamily="18" charset="0"/>
            </a:rPr>
            <a:t> La elección de una de ellas se debe determinar por</a:t>
          </a:r>
          <a:r>
            <a:rPr lang="es-PE" sz="1200">
              <a:solidFill>
                <a:srgbClr val="C00000"/>
              </a:solidFill>
              <a:latin typeface="Times New Roman" panose="02020603050405020304" pitchFamily="18" charset="0"/>
              <a:ea typeface="+mn-ea"/>
              <a:cs typeface="Times New Roman" panose="02020603050405020304" pitchFamily="18" charset="0"/>
            </a:rPr>
            <a:t> 3 puntos importantes: satisfacer la demanda anual, tener efectivo necesario para poder incrementar el inventario mientras se amplía la capacidad. De esta manera, se elevó la capacidad en 30 unidades, obteniendo como capacidad final de 50 unidades/día. </a:t>
          </a:r>
        </a:p>
      </xdr:txBody>
    </xdr:sp>
    <xdr:clientData/>
  </xdr:oneCellAnchor>
  <xdr:oneCellAnchor>
    <xdr:from>
      <xdr:col>8</xdr:col>
      <xdr:colOff>0</xdr:colOff>
      <xdr:row>3</xdr:row>
      <xdr:rowOff>655320</xdr:rowOff>
    </xdr:from>
    <xdr:ext cx="5623254" cy="269304"/>
    <xdr:sp macro="" textlink="">
      <xdr:nvSpPr>
        <xdr:cNvPr id="4" name="CuadroTexto 3">
          <a:extLst>
            <a:ext uri="{FF2B5EF4-FFF2-40B4-BE49-F238E27FC236}">
              <a16:creationId xmlns:a16="http://schemas.microsoft.com/office/drawing/2014/main" id="{8D97102F-72BC-4765-85F2-D5E8147777E2}"/>
            </a:ext>
            <a:ext uri="{147F2762-F138-4A5C-976F-8EAC2B608ADB}">
              <a16:predDERef xmlns:a16="http://schemas.microsoft.com/office/drawing/2014/main" pred="{65146AD3-CFF2-4486-B9EE-B4D4ACC24B72}"/>
            </a:ext>
          </a:extLst>
        </xdr:cNvPr>
        <xdr:cNvSpPr txBox="1"/>
      </xdr:nvSpPr>
      <xdr:spPr>
        <a:xfrm>
          <a:off x="7901940" y="1181100"/>
          <a:ext cx="5623254" cy="269304"/>
        </a:xfrm>
        <a:prstGeom prst="rect">
          <a:avLst/>
        </a:prstGeom>
        <a:noFill/>
        <a:ln>
          <a:solidFill>
            <a:srgbClr val="0070B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a:solidFill>
                <a:srgbClr val="C00000"/>
              </a:solidFill>
              <a:latin typeface="Times New Roman" panose="02020603050405020304" pitchFamily="18" charset="0"/>
              <a:cs typeface="Times New Roman" panose="02020603050405020304" pitchFamily="18" charset="0"/>
            </a:rPr>
            <a:t>→</a:t>
          </a:r>
          <a:r>
            <a:rPr lang="es-PE" sz="1200" baseline="0">
              <a:solidFill>
                <a:srgbClr val="C00000"/>
              </a:solidFill>
              <a:latin typeface="Times New Roman" panose="02020603050405020304" pitchFamily="18" charset="0"/>
              <a:cs typeface="Times New Roman" panose="02020603050405020304" pitchFamily="18" charset="0"/>
            </a:rPr>
            <a:t> </a:t>
          </a:r>
          <a:r>
            <a:rPr lang="es-PE" sz="1200">
              <a:solidFill>
                <a:srgbClr val="C00000"/>
              </a:solidFill>
              <a:latin typeface="Times New Roman" panose="02020603050405020304" pitchFamily="18" charset="0"/>
              <a:cs typeface="Times New Roman" panose="02020603050405020304" pitchFamily="18" charset="0"/>
            </a:rPr>
            <a:t>Dinero con el que se inicia</a:t>
          </a:r>
          <a:r>
            <a:rPr lang="es-PE" sz="1200" baseline="0">
              <a:solidFill>
                <a:srgbClr val="C00000"/>
              </a:solidFill>
              <a:latin typeface="Times New Roman" panose="02020603050405020304" pitchFamily="18" charset="0"/>
              <a:cs typeface="Times New Roman" panose="02020603050405020304" pitchFamily="18" charset="0"/>
            </a:rPr>
            <a:t> en el día 730.</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13</xdr:col>
      <xdr:colOff>494826</xdr:colOff>
      <xdr:row>0</xdr:row>
      <xdr:rowOff>130628</xdr:rowOff>
    </xdr:from>
    <xdr:ext cx="2259209" cy="269304"/>
    <xdr:sp macro="" textlink="">
      <xdr:nvSpPr>
        <xdr:cNvPr id="2" name="CuadroTexto 1">
          <a:extLst>
            <a:ext uri="{FF2B5EF4-FFF2-40B4-BE49-F238E27FC236}">
              <a16:creationId xmlns:a16="http://schemas.microsoft.com/office/drawing/2014/main" id="{B5703A31-E064-4230-8459-A511DD1733E7}"/>
            </a:ext>
          </a:extLst>
        </xdr:cNvPr>
        <xdr:cNvSpPr txBox="1"/>
      </xdr:nvSpPr>
      <xdr:spPr>
        <a:xfrm>
          <a:off x="9913146" y="130628"/>
          <a:ext cx="2259209"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s-PE" sz="1200">
              <a:solidFill>
                <a:srgbClr val="C00000"/>
              </a:solidFill>
              <a:latin typeface="Times New Roman" panose="02020603050405020304" pitchFamily="18" charset="0"/>
              <a:cs typeface="Times New Roman" panose="02020603050405020304" pitchFamily="18" charset="0"/>
            </a:rPr>
            <a:t>1 día = 13</a:t>
          </a:r>
          <a:r>
            <a:rPr lang="es-PE" sz="1200" baseline="0">
              <a:solidFill>
                <a:srgbClr val="C00000"/>
              </a:solidFill>
              <a:latin typeface="Times New Roman" panose="02020603050405020304" pitchFamily="18" charset="0"/>
              <a:cs typeface="Times New Roman" panose="02020603050405020304" pitchFamily="18" charset="0"/>
            </a:rPr>
            <a:t> minutos y 50 segundos</a:t>
          </a:r>
          <a:endParaRPr lang="es-PE" sz="1200">
            <a:solidFill>
              <a:srgbClr val="C00000"/>
            </a:solidFill>
            <a:latin typeface="Times New Roman" panose="02020603050405020304" pitchFamily="18" charset="0"/>
            <a:cs typeface="Times New Roman" panose="02020603050405020304" pitchFamily="18" charset="0"/>
          </a:endParaRP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7</xdr:col>
      <xdr:colOff>609600</xdr:colOff>
      <xdr:row>0</xdr:row>
      <xdr:rowOff>154437</xdr:rowOff>
    </xdr:from>
    <xdr:ext cx="2429437" cy="269304"/>
    <xdr:sp macro="" textlink="">
      <xdr:nvSpPr>
        <xdr:cNvPr id="2" name="CuadroTexto 1">
          <a:extLst>
            <a:ext uri="{FF2B5EF4-FFF2-40B4-BE49-F238E27FC236}">
              <a16:creationId xmlns:a16="http://schemas.microsoft.com/office/drawing/2014/main" id="{A0616297-BA4C-4110-B83E-0572516B2D59}"/>
            </a:ext>
          </a:extLst>
        </xdr:cNvPr>
        <xdr:cNvSpPr txBox="1"/>
      </xdr:nvSpPr>
      <xdr:spPr>
        <a:xfrm>
          <a:off x="5531224" y="154437"/>
          <a:ext cx="2429437"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s-PE" sz="1200">
              <a:solidFill>
                <a:srgbClr val="C00000"/>
              </a:solidFill>
              <a:latin typeface="Times New Roman" panose="02020603050405020304" pitchFamily="18" charset="0"/>
              <a:cs typeface="Times New Roman" panose="02020603050405020304" pitchFamily="18" charset="0"/>
            </a:rPr>
            <a:t>Si se trabaja con un ROP = Cantidad</a:t>
          </a:r>
          <a:endParaRPr lang="es-PE" sz="1200" baseline="0">
            <a:solidFill>
              <a:srgbClr val="C00000"/>
            </a:solidFill>
            <a:latin typeface="Times New Roman" panose="02020603050405020304" pitchFamily="18" charset="0"/>
            <a:cs typeface="Times New Roman" panose="02020603050405020304" pitchFamily="18" charset="0"/>
          </a:endParaRPr>
        </a:p>
      </xdr:txBody>
    </xdr:sp>
    <xdr:clientData/>
  </xdr:oneCellAnchor>
  <xdr:oneCellAnchor>
    <xdr:from>
      <xdr:col>17</xdr:col>
      <xdr:colOff>233082</xdr:colOff>
      <xdr:row>3</xdr:row>
      <xdr:rowOff>83941</xdr:rowOff>
    </xdr:from>
    <xdr:ext cx="3128683" cy="795338"/>
    <xdr:sp macro="" textlink="">
      <xdr:nvSpPr>
        <xdr:cNvPr id="3" name="CuadroTexto 2">
          <a:extLst>
            <a:ext uri="{FF2B5EF4-FFF2-40B4-BE49-F238E27FC236}">
              <a16:creationId xmlns:a16="http://schemas.microsoft.com/office/drawing/2014/main" id="{40E5B5FC-76F1-AA68-7713-CDF2CCD0EC13}"/>
            </a:ext>
          </a:extLst>
        </xdr:cNvPr>
        <xdr:cNvSpPr txBox="1"/>
      </xdr:nvSpPr>
      <xdr:spPr>
        <a:xfrm>
          <a:off x="9217755" y="610414"/>
          <a:ext cx="3128683" cy="7953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PE" sz="1100" b="0" i="0">
              <a:solidFill>
                <a:schemeClr val="tx1"/>
              </a:solidFill>
              <a:effectLst/>
              <a:latin typeface="+mn-lt"/>
              <a:ea typeface="+mn-ea"/>
              <a:cs typeface="+mn-cs"/>
            </a:rPr>
            <a:t>Si el punto de reorden de mi producto A es 180, esto quiere decir que cuando mi inventario esté en 180 unidades, es cuando necesito hacer otro pedido para evitar agotados, mientras llega el producto nuevo.</a:t>
          </a:r>
          <a:endParaRPr lang="es-PE" sz="1100"/>
        </a:p>
      </xdr:txBody>
    </xdr:sp>
    <xdr:clientData/>
  </xdr:oneCellAnchor>
  <xdr:oneCellAnchor>
    <xdr:from>
      <xdr:col>17</xdr:col>
      <xdr:colOff>304236</xdr:colOff>
      <xdr:row>23</xdr:row>
      <xdr:rowOff>116543</xdr:rowOff>
    </xdr:from>
    <xdr:ext cx="2904564" cy="1125693"/>
    <xdr:sp macro="" textlink="">
      <xdr:nvSpPr>
        <xdr:cNvPr id="53" name="CuadroTexto 3">
          <a:extLst>
            <a:ext uri="{FF2B5EF4-FFF2-40B4-BE49-F238E27FC236}">
              <a16:creationId xmlns:a16="http://schemas.microsoft.com/office/drawing/2014/main" id="{4C965704-1311-9C61-4F55-2A41E855A5B2}"/>
            </a:ext>
            <a:ext uri="{147F2762-F138-4A5C-976F-8EAC2B608ADB}">
              <a16:predDERef xmlns:a16="http://schemas.microsoft.com/office/drawing/2014/main" pred="{40E5B5FC-76F1-AA68-7713-CDF2CCD0EC13}"/>
            </a:ext>
          </a:extLst>
        </xdr:cNvPr>
        <xdr:cNvSpPr txBox="1"/>
      </xdr:nvSpPr>
      <xdr:spPr>
        <a:xfrm>
          <a:off x="13231342" y="4607861"/>
          <a:ext cx="2904564" cy="112569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s-PE" sz="1100" b="1"/>
            <a:t>¿Punto de Reorden?</a:t>
          </a:r>
        </a:p>
        <a:p>
          <a:pPr algn="ctr"/>
          <a:endParaRPr lang="es-PE" sz="1100" b="1"/>
        </a:p>
        <a:p>
          <a:pPr algn="ctr"/>
          <a:r>
            <a:rPr lang="es-PE" sz="1100" b="0"/>
            <a:t>El punto de reorden (ROP, por sus siglas en inglés) representa</a:t>
          </a:r>
          <a:r>
            <a:rPr lang="es-PE" sz="1100" b="1">
              <a:solidFill>
                <a:srgbClr val="FF0000"/>
              </a:solidFill>
            </a:rPr>
            <a:t> el nivel de inventario en el cual se debe realizar un nuevo pedido </a:t>
          </a:r>
          <a:r>
            <a:rPr lang="es-PE" sz="1100" b="0"/>
            <a:t>para reabastecer el stock antes de que se agote.</a:t>
          </a:r>
        </a:p>
      </xdr:txBody>
    </xdr:sp>
    <xdr:clientData/>
  </xdr:oneCellAnchor>
  <xdr:twoCellAnchor editAs="oneCell">
    <xdr:from>
      <xdr:col>13</xdr:col>
      <xdr:colOff>17930</xdr:colOff>
      <xdr:row>35</xdr:row>
      <xdr:rowOff>179294</xdr:rowOff>
    </xdr:from>
    <xdr:to>
      <xdr:col>18</xdr:col>
      <xdr:colOff>93569</xdr:colOff>
      <xdr:row>60</xdr:row>
      <xdr:rowOff>88081</xdr:rowOff>
    </xdr:to>
    <xdr:pic>
      <xdr:nvPicPr>
        <xdr:cNvPr id="4" name="Imagen 3">
          <a:extLst>
            <a:ext uri="{FF2B5EF4-FFF2-40B4-BE49-F238E27FC236}">
              <a16:creationId xmlns:a16="http://schemas.microsoft.com/office/drawing/2014/main" id="{CB692155-9508-BE5B-AF10-70E27A5AA5C4}"/>
            </a:ext>
          </a:extLst>
        </xdr:cNvPr>
        <xdr:cNvPicPr>
          <a:picLocks noChangeAspect="1"/>
        </xdr:cNvPicPr>
      </xdr:nvPicPr>
      <xdr:blipFill>
        <a:blip xmlns:r="http://schemas.openxmlformats.org/officeDocument/2006/relationships" r:embed="rId1"/>
        <a:stretch>
          <a:fillRect/>
        </a:stretch>
      </xdr:blipFill>
      <xdr:spPr>
        <a:xfrm>
          <a:off x="9789459" y="7037294"/>
          <a:ext cx="4020111" cy="48393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ynaldo" refreshedDate="45916.987717708333" createdVersion="8" refreshedVersion="8" minRefreshableVersion="3" recordCount="1460" xr:uid="{FE3A03D3-8D26-4479-A649-7FE18B4995D2}">
  <cacheSource type="worksheet">
    <worksheetSource name="Tabla3"/>
  </cacheSource>
  <cacheFields count="7">
    <cacheField name="DÍA" numFmtId="0">
      <sharedItems containsSemiMixedTypes="0" containsString="0" containsNumber="1" containsInteger="1" minValue="1" maxValue="1460"/>
    </cacheField>
    <cacheField name="FECHA" numFmtId="14">
      <sharedItems containsSemiMixedTypes="0" containsNonDate="0" containsDate="1" containsString="0" minDate="2025-01-01T00:00:00" maxDate="2028-12-31T00:00:00" count="146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sharedItems>
      <fieldGroup par="6"/>
    </cacheField>
    <cacheField name="HISTÓRICO" numFmtId="0">
      <sharedItems containsString="0" containsBlank="1" containsNumber="1" containsInteger="1" minValue="10" maxValue="62"/>
    </cacheField>
    <cacheField name="PREVISIÓN" numFmtId="0">
      <sharedItems containsString="0" containsBlank="1" containsNumber="1" containsInteger="1" minValue="19" maxValue="57"/>
    </cacheField>
    <cacheField name="Meses (FECHA)" numFmtId="0" databaseField="0">
      <fieldGroup base="1">
        <rangePr groupBy="months" startDate="2025-01-01T00:00:00" endDate="2028-12-31T00:00:00"/>
        <groupItems count="14">
          <s v="&lt;1/01/2025"/>
          <s v="Ene"/>
          <s v="Feb"/>
          <s v="Mar"/>
          <s v="Abr"/>
          <s v="May"/>
          <s v="Jun"/>
          <s v="Jul"/>
          <s v="Ago"/>
          <s v="Set"/>
          <s v="Oct"/>
          <s v="Nov"/>
          <s v="Dic"/>
          <s v="&gt;31/12/2028"/>
        </groupItems>
      </fieldGroup>
    </cacheField>
    <cacheField name="Trimestres (FECHA)" numFmtId="0" databaseField="0">
      <fieldGroup base="1">
        <rangePr groupBy="quarters" startDate="2025-01-01T00:00:00" endDate="2028-12-31T00:00:00"/>
        <groupItems count="6">
          <s v="&lt;1/01/2025"/>
          <s v="Trim.1"/>
          <s v="Trim.2"/>
          <s v="Trim.3"/>
          <s v="Trim.4"/>
          <s v="&gt;31/12/2028"/>
        </groupItems>
      </fieldGroup>
    </cacheField>
    <cacheField name="Años (FECHA)" numFmtId="0" databaseField="0">
      <fieldGroup base="1">
        <rangePr groupBy="years" startDate="2025-01-01T00:00:00" endDate="2028-12-31T00:00:00"/>
        <groupItems count="6">
          <s v="&lt;1/01/2025"/>
          <s v="2025"/>
          <s v="2026"/>
          <s v="2027"/>
          <s v="2028"/>
          <s v="&gt;31/12/202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0">
  <r>
    <n v="1"/>
    <x v="0"/>
    <n v="12"/>
    <m/>
  </r>
  <r>
    <n v="2"/>
    <x v="1"/>
    <n v="40"/>
    <m/>
  </r>
  <r>
    <n v="3"/>
    <x v="2"/>
    <n v="45"/>
    <m/>
  </r>
  <r>
    <n v="4"/>
    <x v="3"/>
    <n v="34"/>
    <m/>
  </r>
  <r>
    <n v="5"/>
    <x v="4"/>
    <n v="37"/>
    <m/>
  </r>
  <r>
    <n v="6"/>
    <x v="5"/>
    <n v="45"/>
    <m/>
  </r>
  <r>
    <n v="7"/>
    <x v="6"/>
    <n v="38"/>
    <m/>
  </r>
  <r>
    <n v="8"/>
    <x v="7"/>
    <n v="32"/>
    <m/>
  </r>
  <r>
    <n v="9"/>
    <x v="8"/>
    <n v="33"/>
    <m/>
  </r>
  <r>
    <n v="10"/>
    <x v="9"/>
    <n v="40"/>
    <m/>
  </r>
  <r>
    <n v="11"/>
    <x v="10"/>
    <n v="36"/>
    <m/>
  </r>
  <r>
    <n v="12"/>
    <x v="11"/>
    <n v="44"/>
    <m/>
  </r>
  <r>
    <n v="13"/>
    <x v="12"/>
    <n v="35"/>
    <m/>
  </r>
  <r>
    <n v="14"/>
    <x v="13"/>
    <n v="44"/>
    <m/>
  </r>
  <r>
    <n v="15"/>
    <x v="14"/>
    <n v="48"/>
    <m/>
  </r>
  <r>
    <n v="16"/>
    <x v="15"/>
    <n v="51"/>
    <m/>
  </r>
  <r>
    <n v="17"/>
    <x v="16"/>
    <n v="37"/>
    <m/>
  </r>
  <r>
    <n v="18"/>
    <x v="17"/>
    <n v="34"/>
    <m/>
  </r>
  <r>
    <n v="19"/>
    <x v="18"/>
    <n v="44"/>
    <m/>
  </r>
  <r>
    <n v="20"/>
    <x v="19"/>
    <n v="32"/>
    <m/>
  </r>
  <r>
    <n v="21"/>
    <x v="20"/>
    <n v="45"/>
    <m/>
  </r>
  <r>
    <n v="22"/>
    <x v="21"/>
    <n v="53"/>
    <m/>
  </r>
  <r>
    <n v="23"/>
    <x v="22"/>
    <n v="48"/>
    <m/>
  </r>
  <r>
    <n v="24"/>
    <x v="23"/>
    <n v="28"/>
    <m/>
  </r>
  <r>
    <n v="25"/>
    <x v="24"/>
    <n v="45"/>
    <m/>
  </r>
  <r>
    <n v="26"/>
    <x v="25"/>
    <n v="36"/>
    <m/>
  </r>
  <r>
    <n v="27"/>
    <x v="26"/>
    <n v="32"/>
    <m/>
  </r>
  <r>
    <n v="28"/>
    <x v="27"/>
    <n v="50"/>
    <m/>
  </r>
  <r>
    <n v="29"/>
    <x v="28"/>
    <n v="26"/>
    <m/>
  </r>
  <r>
    <n v="30"/>
    <x v="29"/>
    <n v="43"/>
    <m/>
  </r>
  <r>
    <n v="31"/>
    <x v="30"/>
    <n v="54"/>
    <m/>
  </r>
  <r>
    <n v="32"/>
    <x v="31"/>
    <n v="45"/>
    <m/>
  </r>
  <r>
    <n v="33"/>
    <x v="32"/>
    <n v="39"/>
    <m/>
  </r>
  <r>
    <n v="34"/>
    <x v="33"/>
    <n v="39"/>
    <m/>
  </r>
  <r>
    <n v="35"/>
    <x v="34"/>
    <n v="51"/>
    <m/>
  </r>
  <r>
    <n v="36"/>
    <x v="35"/>
    <n v="49"/>
    <m/>
  </r>
  <r>
    <n v="37"/>
    <x v="36"/>
    <n v="35"/>
    <m/>
  </r>
  <r>
    <n v="38"/>
    <x v="37"/>
    <n v="45"/>
    <m/>
  </r>
  <r>
    <n v="39"/>
    <x v="38"/>
    <n v="45"/>
    <m/>
  </r>
  <r>
    <n v="40"/>
    <x v="39"/>
    <n v="40"/>
    <m/>
  </r>
  <r>
    <n v="41"/>
    <x v="40"/>
    <n v="37"/>
    <m/>
  </r>
  <r>
    <n v="42"/>
    <x v="41"/>
    <n v="52"/>
    <m/>
  </r>
  <r>
    <n v="43"/>
    <x v="42"/>
    <n v="43"/>
    <m/>
  </r>
  <r>
    <n v="44"/>
    <x v="43"/>
    <n v="42"/>
    <m/>
  </r>
  <r>
    <n v="45"/>
    <x v="44"/>
    <n v="52"/>
    <m/>
  </r>
  <r>
    <n v="46"/>
    <x v="45"/>
    <n v="41"/>
    <m/>
  </r>
  <r>
    <n v="47"/>
    <x v="46"/>
    <n v="43"/>
    <m/>
  </r>
  <r>
    <n v="48"/>
    <x v="47"/>
    <n v="45"/>
    <m/>
  </r>
  <r>
    <n v="49"/>
    <x v="48"/>
    <n v="30"/>
    <m/>
  </r>
  <r>
    <n v="50"/>
    <x v="49"/>
    <n v="40"/>
    <m/>
  </r>
  <r>
    <n v="51"/>
    <x v="50"/>
    <n v="35"/>
    <m/>
  </r>
  <r>
    <n v="52"/>
    <x v="51"/>
    <n v="53"/>
    <m/>
  </r>
  <r>
    <n v="53"/>
    <x v="52"/>
    <n v="44"/>
    <m/>
  </r>
  <r>
    <n v="54"/>
    <x v="53"/>
    <n v="40"/>
    <m/>
  </r>
  <r>
    <n v="55"/>
    <x v="54"/>
    <n v="48"/>
    <m/>
  </r>
  <r>
    <n v="56"/>
    <x v="55"/>
    <n v="46"/>
    <m/>
  </r>
  <r>
    <n v="57"/>
    <x v="56"/>
    <n v="41"/>
    <m/>
  </r>
  <r>
    <n v="58"/>
    <x v="57"/>
    <n v="48"/>
    <m/>
  </r>
  <r>
    <n v="59"/>
    <x v="58"/>
    <n v="51"/>
    <m/>
  </r>
  <r>
    <n v="60"/>
    <x v="59"/>
    <n v="47"/>
    <m/>
  </r>
  <r>
    <n v="61"/>
    <x v="60"/>
    <n v="45"/>
    <m/>
  </r>
  <r>
    <n v="62"/>
    <x v="61"/>
    <n v="34"/>
    <m/>
  </r>
  <r>
    <n v="63"/>
    <x v="62"/>
    <n v="37"/>
    <m/>
  </r>
  <r>
    <n v="64"/>
    <x v="63"/>
    <n v="34"/>
    <m/>
  </r>
  <r>
    <n v="65"/>
    <x v="64"/>
    <n v="49"/>
    <m/>
  </r>
  <r>
    <n v="66"/>
    <x v="65"/>
    <n v="39"/>
    <m/>
  </r>
  <r>
    <n v="67"/>
    <x v="66"/>
    <n v="61"/>
    <m/>
  </r>
  <r>
    <n v="68"/>
    <x v="67"/>
    <n v="55"/>
    <m/>
  </r>
  <r>
    <n v="69"/>
    <x v="68"/>
    <n v="53"/>
    <m/>
  </r>
  <r>
    <n v="70"/>
    <x v="69"/>
    <n v="30"/>
    <m/>
  </r>
  <r>
    <n v="71"/>
    <x v="70"/>
    <n v="50"/>
    <m/>
  </r>
  <r>
    <n v="72"/>
    <x v="71"/>
    <n v="44"/>
    <m/>
  </r>
  <r>
    <n v="73"/>
    <x v="72"/>
    <n v="40"/>
    <m/>
  </r>
  <r>
    <n v="74"/>
    <x v="73"/>
    <n v="44"/>
    <m/>
  </r>
  <r>
    <n v="75"/>
    <x v="74"/>
    <n v="51"/>
    <m/>
  </r>
  <r>
    <n v="76"/>
    <x v="75"/>
    <n v="46"/>
    <m/>
  </r>
  <r>
    <n v="77"/>
    <x v="76"/>
    <n v="41"/>
    <m/>
  </r>
  <r>
    <n v="78"/>
    <x v="77"/>
    <n v="43"/>
    <m/>
  </r>
  <r>
    <n v="79"/>
    <x v="78"/>
    <n v="59"/>
    <m/>
  </r>
  <r>
    <n v="80"/>
    <x v="79"/>
    <n v="45"/>
    <m/>
  </r>
  <r>
    <n v="81"/>
    <x v="80"/>
    <n v="33"/>
    <m/>
  </r>
  <r>
    <n v="82"/>
    <x v="81"/>
    <n v="42"/>
    <m/>
  </r>
  <r>
    <n v="83"/>
    <x v="82"/>
    <n v="40"/>
    <m/>
  </r>
  <r>
    <n v="84"/>
    <x v="83"/>
    <n v="47"/>
    <m/>
  </r>
  <r>
    <n v="85"/>
    <x v="84"/>
    <n v="53"/>
    <m/>
  </r>
  <r>
    <n v="86"/>
    <x v="85"/>
    <n v="44"/>
    <m/>
  </r>
  <r>
    <n v="87"/>
    <x v="86"/>
    <n v="42"/>
    <m/>
  </r>
  <r>
    <n v="88"/>
    <x v="87"/>
    <n v="38"/>
    <m/>
  </r>
  <r>
    <n v="89"/>
    <x v="88"/>
    <n v="51"/>
    <m/>
  </r>
  <r>
    <n v="90"/>
    <x v="89"/>
    <n v="44"/>
    <m/>
  </r>
  <r>
    <n v="91"/>
    <x v="90"/>
    <n v="32"/>
    <m/>
  </r>
  <r>
    <n v="92"/>
    <x v="91"/>
    <n v="34"/>
    <m/>
  </r>
  <r>
    <n v="93"/>
    <x v="92"/>
    <n v="50"/>
    <m/>
  </r>
  <r>
    <n v="94"/>
    <x v="93"/>
    <n v="47"/>
    <m/>
  </r>
  <r>
    <n v="95"/>
    <x v="94"/>
    <n v="43"/>
    <m/>
  </r>
  <r>
    <n v="96"/>
    <x v="95"/>
    <n v="37"/>
    <m/>
  </r>
  <r>
    <n v="97"/>
    <x v="96"/>
    <n v="41"/>
    <m/>
  </r>
  <r>
    <n v="98"/>
    <x v="97"/>
    <n v="36"/>
    <m/>
  </r>
  <r>
    <n v="99"/>
    <x v="98"/>
    <n v="52"/>
    <m/>
  </r>
  <r>
    <n v="100"/>
    <x v="99"/>
    <n v="53"/>
    <m/>
  </r>
  <r>
    <n v="101"/>
    <x v="100"/>
    <n v="43"/>
    <m/>
  </r>
  <r>
    <n v="102"/>
    <x v="101"/>
    <n v="30"/>
    <m/>
  </r>
  <r>
    <n v="103"/>
    <x v="102"/>
    <n v="47"/>
    <m/>
  </r>
  <r>
    <n v="104"/>
    <x v="103"/>
    <n v="43"/>
    <m/>
  </r>
  <r>
    <n v="105"/>
    <x v="104"/>
    <n v="49"/>
    <m/>
  </r>
  <r>
    <n v="106"/>
    <x v="105"/>
    <n v="45"/>
    <m/>
  </r>
  <r>
    <n v="107"/>
    <x v="106"/>
    <n v="43"/>
    <m/>
  </r>
  <r>
    <n v="108"/>
    <x v="107"/>
    <n v="38"/>
    <m/>
  </r>
  <r>
    <n v="109"/>
    <x v="108"/>
    <n v="48"/>
    <m/>
  </r>
  <r>
    <n v="110"/>
    <x v="109"/>
    <n v="39"/>
    <m/>
  </r>
  <r>
    <n v="111"/>
    <x v="110"/>
    <n v="56"/>
    <m/>
  </r>
  <r>
    <n v="112"/>
    <x v="111"/>
    <n v="47"/>
    <m/>
  </r>
  <r>
    <n v="113"/>
    <x v="112"/>
    <n v="54"/>
    <m/>
  </r>
  <r>
    <n v="114"/>
    <x v="113"/>
    <n v="50"/>
    <m/>
  </r>
  <r>
    <n v="115"/>
    <x v="114"/>
    <n v="49"/>
    <m/>
  </r>
  <r>
    <n v="116"/>
    <x v="115"/>
    <n v="31"/>
    <m/>
  </r>
  <r>
    <n v="117"/>
    <x v="116"/>
    <n v="54"/>
    <m/>
  </r>
  <r>
    <n v="118"/>
    <x v="117"/>
    <n v="44"/>
    <m/>
  </r>
  <r>
    <n v="119"/>
    <x v="118"/>
    <n v="44"/>
    <m/>
  </r>
  <r>
    <n v="120"/>
    <x v="119"/>
    <n v="39"/>
    <m/>
  </r>
  <r>
    <n v="121"/>
    <x v="120"/>
    <n v="43"/>
    <m/>
  </r>
  <r>
    <n v="122"/>
    <x v="121"/>
    <n v="43"/>
    <m/>
  </r>
  <r>
    <n v="123"/>
    <x v="122"/>
    <n v="33"/>
    <m/>
  </r>
  <r>
    <n v="124"/>
    <x v="123"/>
    <n v="55"/>
    <m/>
  </r>
  <r>
    <n v="125"/>
    <x v="124"/>
    <n v="42"/>
    <m/>
  </r>
  <r>
    <n v="126"/>
    <x v="125"/>
    <n v="35"/>
    <m/>
  </r>
  <r>
    <n v="127"/>
    <x v="126"/>
    <n v="59"/>
    <m/>
  </r>
  <r>
    <n v="128"/>
    <x v="127"/>
    <n v="33"/>
    <m/>
  </r>
  <r>
    <n v="129"/>
    <x v="128"/>
    <n v="41"/>
    <m/>
  </r>
  <r>
    <n v="130"/>
    <x v="129"/>
    <n v="53"/>
    <m/>
  </r>
  <r>
    <n v="131"/>
    <x v="130"/>
    <n v="45"/>
    <m/>
  </r>
  <r>
    <n v="132"/>
    <x v="131"/>
    <n v="43"/>
    <m/>
  </r>
  <r>
    <n v="133"/>
    <x v="132"/>
    <n v="35"/>
    <m/>
  </r>
  <r>
    <n v="134"/>
    <x v="133"/>
    <n v="39"/>
    <m/>
  </r>
  <r>
    <n v="135"/>
    <x v="134"/>
    <n v="43"/>
    <m/>
  </r>
  <r>
    <n v="136"/>
    <x v="135"/>
    <n v="40"/>
    <m/>
  </r>
  <r>
    <n v="137"/>
    <x v="136"/>
    <n v="38"/>
    <m/>
  </r>
  <r>
    <n v="138"/>
    <x v="137"/>
    <n v="50"/>
    <m/>
  </r>
  <r>
    <n v="139"/>
    <x v="138"/>
    <n v="51"/>
    <m/>
  </r>
  <r>
    <n v="140"/>
    <x v="139"/>
    <n v="46"/>
    <m/>
  </r>
  <r>
    <n v="141"/>
    <x v="140"/>
    <n v="45"/>
    <m/>
  </r>
  <r>
    <n v="142"/>
    <x v="141"/>
    <n v="45"/>
    <m/>
  </r>
  <r>
    <n v="143"/>
    <x v="142"/>
    <n v="38"/>
    <m/>
  </r>
  <r>
    <n v="144"/>
    <x v="143"/>
    <n v="36"/>
    <m/>
  </r>
  <r>
    <n v="145"/>
    <x v="144"/>
    <n v="62"/>
    <m/>
  </r>
  <r>
    <n v="146"/>
    <x v="145"/>
    <n v="49"/>
    <m/>
  </r>
  <r>
    <n v="147"/>
    <x v="146"/>
    <n v="28"/>
    <m/>
  </r>
  <r>
    <n v="148"/>
    <x v="147"/>
    <n v="50"/>
    <m/>
  </r>
  <r>
    <n v="149"/>
    <x v="148"/>
    <n v="45"/>
    <m/>
  </r>
  <r>
    <n v="150"/>
    <x v="149"/>
    <n v="46"/>
    <m/>
  </r>
  <r>
    <n v="151"/>
    <x v="150"/>
    <n v="42"/>
    <m/>
  </r>
  <r>
    <n v="152"/>
    <x v="151"/>
    <n v="27"/>
    <m/>
  </r>
  <r>
    <n v="153"/>
    <x v="152"/>
    <n v="35"/>
    <m/>
  </r>
  <r>
    <n v="154"/>
    <x v="153"/>
    <n v="42"/>
    <m/>
  </r>
  <r>
    <n v="155"/>
    <x v="154"/>
    <n v="35"/>
    <m/>
  </r>
  <r>
    <n v="156"/>
    <x v="155"/>
    <n v="36"/>
    <m/>
  </r>
  <r>
    <n v="157"/>
    <x v="156"/>
    <n v="45"/>
    <m/>
  </r>
  <r>
    <n v="158"/>
    <x v="157"/>
    <n v="45"/>
    <m/>
  </r>
  <r>
    <n v="159"/>
    <x v="158"/>
    <n v="44"/>
    <m/>
  </r>
  <r>
    <n v="160"/>
    <x v="159"/>
    <n v="18"/>
    <m/>
  </r>
  <r>
    <n v="161"/>
    <x v="160"/>
    <n v="34"/>
    <m/>
  </r>
  <r>
    <n v="162"/>
    <x v="161"/>
    <n v="40"/>
    <m/>
  </r>
  <r>
    <n v="163"/>
    <x v="162"/>
    <n v="38"/>
    <m/>
  </r>
  <r>
    <n v="164"/>
    <x v="163"/>
    <n v="32"/>
    <m/>
  </r>
  <r>
    <n v="165"/>
    <x v="164"/>
    <n v="44"/>
    <m/>
  </r>
  <r>
    <n v="166"/>
    <x v="165"/>
    <n v="54"/>
    <m/>
  </r>
  <r>
    <n v="167"/>
    <x v="166"/>
    <n v="33"/>
    <m/>
  </r>
  <r>
    <n v="168"/>
    <x v="167"/>
    <n v="44"/>
    <m/>
  </r>
  <r>
    <n v="169"/>
    <x v="168"/>
    <n v="47"/>
    <m/>
  </r>
  <r>
    <n v="170"/>
    <x v="169"/>
    <n v="30"/>
    <m/>
  </r>
  <r>
    <n v="171"/>
    <x v="170"/>
    <n v="25"/>
    <m/>
  </r>
  <r>
    <n v="172"/>
    <x v="171"/>
    <n v="39"/>
    <m/>
  </r>
  <r>
    <n v="173"/>
    <x v="172"/>
    <n v="34"/>
    <m/>
  </r>
  <r>
    <n v="174"/>
    <x v="173"/>
    <n v="35"/>
    <m/>
  </r>
  <r>
    <n v="175"/>
    <x v="174"/>
    <n v="37"/>
    <m/>
  </r>
  <r>
    <n v="176"/>
    <x v="175"/>
    <n v="41"/>
    <m/>
  </r>
  <r>
    <n v="177"/>
    <x v="176"/>
    <n v="44"/>
    <m/>
  </r>
  <r>
    <n v="178"/>
    <x v="177"/>
    <n v="34"/>
    <m/>
  </r>
  <r>
    <n v="179"/>
    <x v="178"/>
    <n v="48"/>
    <m/>
  </r>
  <r>
    <n v="180"/>
    <x v="179"/>
    <n v="40"/>
    <m/>
  </r>
  <r>
    <n v="181"/>
    <x v="180"/>
    <n v="50"/>
    <m/>
  </r>
  <r>
    <n v="182"/>
    <x v="181"/>
    <n v="38"/>
    <m/>
  </r>
  <r>
    <n v="183"/>
    <x v="182"/>
    <n v="34"/>
    <m/>
  </r>
  <r>
    <n v="184"/>
    <x v="183"/>
    <n v="41"/>
    <m/>
  </r>
  <r>
    <n v="185"/>
    <x v="184"/>
    <n v="35"/>
    <m/>
  </r>
  <r>
    <n v="186"/>
    <x v="185"/>
    <n v="32"/>
    <m/>
  </r>
  <r>
    <n v="187"/>
    <x v="186"/>
    <n v="36"/>
    <m/>
  </r>
  <r>
    <n v="188"/>
    <x v="187"/>
    <n v="42"/>
    <m/>
  </r>
  <r>
    <n v="189"/>
    <x v="188"/>
    <n v="48"/>
    <m/>
  </r>
  <r>
    <n v="190"/>
    <x v="189"/>
    <n v="40"/>
    <m/>
  </r>
  <r>
    <n v="191"/>
    <x v="190"/>
    <n v="31"/>
    <m/>
  </r>
  <r>
    <n v="192"/>
    <x v="191"/>
    <n v="35"/>
    <m/>
  </r>
  <r>
    <n v="193"/>
    <x v="192"/>
    <n v="32"/>
    <m/>
  </r>
  <r>
    <n v="194"/>
    <x v="193"/>
    <n v="44"/>
    <m/>
  </r>
  <r>
    <n v="195"/>
    <x v="194"/>
    <n v="28"/>
    <m/>
  </r>
  <r>
    <n v="196"/>
    <x v="195"/>
    <n v="49"/>
    <m/>
  </r>
  <r>
    <n v="197"/>
    <x v="196"/>
    <n v="47"/>
    <m/>
  </r>
  <r>
    <n v="198"/>
    <x v="197"/>
    <n v="31"/>
    <m/>
  </r>
  <r>
    <n v="199"/>
    <x v="198"/>
    <n v="27"/>
    <m/>
  </r>
  <r>
    <n v="200"/>
    <x v="199"/>
    <n v="41"/>
    <m/>
  </r>
  <r>
    <n v="201"/>
    <x v="200"/>
    <n v="54"/>
    <m/>
  </r>
  <r>
    <n v="202"/>
    <x v="201"/>
    <n v="44"/>
    <m/>
  </r>
  <r>
    <n v="203"/>
    <x v="202"/>
    <n v="32"/>
    <m/>
  </r>
  <r>
    <n v="204"/>
    <x v="203"/>
    <n v="55"/>
    <m/>
  </r>
  <r>
    <n v="205"/>
    <x v="204"/>
    <n v="44"/>
    <m/>
  </r>
  <r>
    <n v="206"/>
    <x v="205"/>
    <n v="33"/>
    <m/>
  </r>
  <r>
    <n v="207"/>
    <x v="206"/>
    <n v="24"/>
    <m/>
  </r>
  <r>
    <n v="208"/>
    <x v="207"/>
    <n v="52"/>
    <m/>
  </r>
  <r>
    <n v="209"/>
    <x v="208"/>
    <n v="31"/>
    <m/>
  </r>
  <r>
    <n v="210"/>
    <x v="209"/>
    <n v="14"/>
    <m/>
  </r>
  <r>
    <n v="211"/>
    <x v="210"/>
    <n v="44"/>
    <m/>
  </r>
  <r>
    <n v="212"/>
    <x v="211"/>
    <n v="35"/>
    <m/>
  </r>
  <r>
    <n v="213"/>
    <x v="212"/>
    <n v="30"/>
    <m/>
  </r>
  <r>
    <n v="214"/>
    <x v="213"/>
    <n v="57"/>
    <m/>
  </r>
  <r>
    <n v="215"/>
    <x v="214"/>
    <n v="26"/>
    <m/>
  </r>
  <r>
    <n v="216"/>
    <x v="215"/>
    <n v="41"/>
    <m/>
  </r>
  <r>
    <n v="217"/>
    <x v="216"/>
    <n v="34"/>
    <m/>
  </r>
  <r>
    <n v="218"/>
    <x v="217"/>
    <n v="39"/>
    <m/>
  </r>
  <r>
    <n v="219"/>
    <x v="218"/>
    <n v="45"/>
    <m/>
  </r>
  <r>
    <n v="220"/>
    <x v="219"/>
    <n v="35"/>
    <m/>
  </r>
  <r>
    <n v="221"/>
    <x v="220"/>
    <n v="31"/>
    <m/>
  </r>
  <r>
    <n v="222"/>
    <x v="221"/>
    <n v="34"/>
    <m/>
  </r>
  <r>
    <n v="223"/>
    <x v="222"/>
    <n v="22"/>
    <m/>
  </r>
  <r>
    <n v="224"/>
    <x v="223"/>
    <n v="37"/>
    <m/>
  </r>
  <r>
    <n v="225"/>
    <x v="224"/>
    <n v="34"/>
    <m/>
  </r>
  <r>
    <n v="226"/>
    <x v="225"/>
    <n v="52"/>
    <m/>
  </r>
  <r>
    <n v="227"/>
    <x v="226"/>
    <n v="39"/>
    <m/>
  </r>
  <r>
    <n v="228"/>
    <x v="227"/>
    <n v="29"/>
    <m/>
  </r>
  <r>
    <n v="229"/>
    <x v="228"/>
    <n v="32"/>
    <m/>
  </r>
  <r>
    <n v="230"/>
    <x v="229"/>
    <n v="42"/>
    <m/>
  </r>
  <r>
    <n v="231"/>
    <x v="230"/>
    <n v="40"/>
    <m/>
  </r>
  <r>
    <n v="232"/>
    <x v="231"/>
    <n v="33"/>
    <m/>
  </r>
  <r>
    <n v="233"/>
    <x v="232"/>
    <n v="41"/>
    <m/>
  </r>
  <r>
    <n v="234"/>
    <x v="233"/>
    <n v="37"/>
    <m/>
  </r>
  <r>
    <n v="235"/>
    <x v="234"/>
    <n v="34"/>
    <m/>
  </r>
  <r>
    <n v="236"/>
    <x v="235"/>
    <n v="44"/>
    <m/>
  </r>
  <r>
    <n v="237"/>
    <x v="236"/>
    <n v="32"/>
    <m/>
  </r>
  <r>
    <n v="238"/>
    <x v="237"/>
    <n v="39"/>
    <m/>
  </r>
  <r>
    <n v="239"/>
    <x v="238"/>
    <n v="37"/>
    <m/>
  </r>
  <r>
    <n v="240"/>
    <x v="239"/>
    <n v="36"/>
    <m/>
  </r>
  <r>
    <n v="241"/>
    <x v="240"/>
    <n v="39"/>
    <m/>
  </r>
  <r>
    <n v="242"/>
    <x v="241"/>
    <n v="41"/>
    <m/>
  </r>
  <r>
    <n v="243"/>
    <x v="242"/>
    <n v="38"/>
    <m/>
  </r>
  <r>
    <n v="244"/>
    <x v="243"/>
    <n v="22"/>
    <m/>
  </r>
  <r>
    <n v="245"/>
    <x v="244"/>
    <n v="39"/>
    <m/>
  </r>
  <r>
    <n v="246"/>
    <x v="245"/>
    <n v="21"/>
    <m/>
  </r>
  <r>
    <n v="247"/>
    <x v="246"/>
    <n v="35"/>
    <m/>
  </r>
  <r>
    <n v="248"/>
    <x v="247"/>
    <n v="32"/>
    <m/>
  </r>
  <r>
    <n v="249"/>
    <x v="248"/>
    <n v="37"/>
    <m/>
  </r>
  <r>
    <n v="250"/>
    <x v="249"/>
    <n v="35"/>
    <m/>
  </r>
  <r>
    <n v="251"/>
    <x v="250"/>
    <n v="34"/>
    <m/>
  </r>
  <r>
    <n v="252"/>
    <x v="251"/>
    <n v="39"/>
    <m/>
  </r>
  <r>
    <n v="253"/>
    <x v="252"/>
    <n v="10"/>
    <m/>
  </r>
  <r>
    <n v="254"/>
    <x v="253"/>
    <n v="38"/>
    <m/>
  </r>
  <r>
    <n v="255"/>
    <x v="254"/>
    <n v="24"/>
    <m/>
  </r>
  <r>
    <n v="256"/>
    <x v="255"/>
    <n v="37"/>
    <m/>
  </r>
  <r>
    <n v="257"/>
    <x v="256"/>
    <n v="34"/>
    <m/>
  </r>
  <r>
    <n v="258"/>
    <x v="257"/>
    <n v="47"/>
    <m/>
  </r>
  <r>
    <n v="259"/>
    <x v="258"/>
    <n v="18"/>
    <m/>
  </r>
  <r>
    <n v="260"/>
    <x v="259"/>
    <n v="35"/>
    <m/>
  </r>
  <r>
    <n v="261"/>
    <x v="260"/>
    <n v="30"/>
    <m/>
  </r>
  <r>
    <n v="262"/>
    <x v="261"/>
    <n v="36"/>
    <m/>
  </r>
  <r>
    <n v="263"/>
    <x v="262"/>
    <n v="30"/>
    <m/>
  </r>
  <r>
    <n v="264"/>
    <x v="263"/>
    <n v="29"/>
    <m/>
  </r>
  <r>
    <n v="265"/>
    <x v="264"/>
    <n v="33"/>
    <m/>
  </r>
  <r>
    <n v="266"/>
    <x v="265"/>
    <n v="37"/>
    <m/>
  </r>
  <r>
    <n v="267"/>
    <x v="266"/>
    <n v="39"/>
    <m/>
  </r>
  <r>
    <n v="268"/>
    <x v="267"/>
    <n v="32"/>
    <m/>
  </r>
  <r>
    <n v="269"/>
    <x v="268"/>
    <n v="34"/>
    <m/>
  </r>
  <r>
    <n v="270"/>
    <x v="269"/>
    <n v="21"/>
    <m/>
  </r>
  <r>
    <n v="271"/>
    <x v="270"/>
    <n v="32"/>
    <m/>
  </r>
  <r>
    <n v="272"/>
    <x v="271"/>
    <n v="35"/>
    <m/>
  </r>
  <r>
    <n v="273"/>
    <x v="272"/>
    <n v="42"/>
    <m/>
  </r>
  <r>
    <n v="274"/>
    <x v="273"/>
    <n v="40"/>
    <m/>
  </r>
  <r>
    <n v="275"/>
    <x v="274"/>
    <n v="34"/>
    <m/>
  </r>
  <r>
    <n v="276"/>
    <x v="275"/>
    <n v="37"/>
    <m/>
  </r>
  <r>
    <n v="277"/>
    <x v="276"/>
    <n v="27"/>
    <m/>
  </r>
  <r>
    <n v="278"/>
    <x v="277"/>
    <n v="20"/>
    <m/>
  </r>
  <r>
    <n v="279"/>
    <x v="278"/>
    <n v="26"/>
    <m/>
  </r>
  <r>
    <n v="280"/>
    <x v="279"/>
    <n v="25"/>
    <m/>
  </r>
  <r>
    <n v="281"/>
    <x v="280"/>
    <n v="41"/>
    <m/>
  </r>
  <r>
    <n v="282"/>
    <x v="281"/>
    <n v="38"/>
    <m/>
  </r>
  <r>
    <n v="283"/>
    <x v="282"/>
    <n v="48"/>
    <m/>
  </r>
  <r>
    <n v="284"/>
    <x v="283"/>
    <n v="34"/>
    <m/>
  </r>
  <r>
    <n v="285"/>
    <x v="284"/>
    <n v="24"/>
    <m/>
  </r>
  <r>
    <n v="286"/>
    <x v="285"/>
    <n v="43"/>
    <m/>
  </r>
  <r>
    <n v="287"/>
    <x v="286"/>
    <n v="35"/>
    <m/>
  </r>
  <r>
    <n v="288"/>
    <x v="287"/>
    <n v="24"/>
    <m/>
  </r>
  <r>
    <n v="289"/>
    <x v="288"/>
    <n v="34"/>
    <m/>
  </r>
  <r>
    <n v="290"/>
    <x v="289"/>
    <n v="37"/>
    <m/>
  </r>
  <r>
    <n v="291"/>
    <x v="290"/>
    <n v="24"/>
    <m/>
  </r>
  <r>
    <n v="292"/>
    <x v="291"/>
    <n v="42"/>
    <m/>
  </r>
  <r>
    <n v="293"/>
    <x v="292"/>
    <n v="49"/>
    <m/>
  </r>
  <r>
    <n v="294"/>
    <x v="293"/>
    <n v="29"/>
    <m/>
  </r>
  <r>
    <n v="295"/>
    <x v="294"/>
    <n v="33"/>
    <m/>
  </r>
  <r>
    <n v="296"/>
    <x v="295"/>
    <n v="40"/>
    <m/>
  </r>
  <r>
    <n v="297"/>
    <x v="296"/>
    <n v="33"/>
    <m/>
  </r>
  <r>
    <n v="298"/>
    <x v="297"/>
    <n v="43"/>
    <m/>
  </r>
  <r>
    <n v="299"/>
    <x v="298"/>
    <n v="41"/>
    <m/>
  </r>
  <r>
    <n v="300"/>
    <x v="299"/>
    <n v="40"/>
    <m/>
  </r>
  <r>
    <n v="301"/>
    <x v="300"/>
    <n v="29"/>
    <m/>
  </r>
  <r>
    <n v="302"/>
    <x v="301"/>
    <n v="47"/>
    <m/>
  </r>
  <r>
    <n v="303"/>
    <x v="302"/>
    <n v="41"/>
    <m/>
  </r>
  <r>
    <n v="304"/>
    <x v="303"/>
    <n v="26"/>
    <m/>
  </r>
  <r>
    <n v="305"/>
    <x v="304"/>
    <n v="14"/>
    <m/>
  </r>
  <r>
    <n v="306"/>
    <x v="305"/>
    <n v="37"/>
    <m/>
  </r>
  <r>
    <n v="307"/>
    <x v="306"/>
    <n v="47"/>
    <m/>
  </r>
  <r>
    <n v="308"/>
    <x v="307"/>
    <n v="32"/>
    <m/>
  </r>
  <r>
    <n v="309"/>
    <x v="308"/>
    <n v="34"/>
    <m/>
  </r>
  <r>
    <n v="310"/>
    <x v="309"/>
    <n v="28"/>
    <m/>
  </r>
  <r>
    <n v="311"/>
    <x v="310"/>
    <n v="29"/>
    <m/>
  </r>
  <r>
    <n v="312"/>
    <x v="311"/>
    <n v="38"/>
    <m/>
  </r>
  <r>
    <n v="313"/>
    <x v="312"/>
    <n v="30"/>
    <m/>
  </r>
  <r>
    <n v="314"/>
    <x v="313"/>
    <n v="36"/>
    <m/>
  </r>
  <r>
    <n v="315"/>
    <x v="314"/>
    <n v="36"/>
    <m/>
  </r>
  <r>
    <n v="316"/>
    <x v="315"/>
    <n v="34"/>
    <m/>
  </r>
  <r>
    <n v="317"/>
    <x v="316"/>
    <n v="42"/>
    <m/>
  </r>
  <r>
    <n v="318"/>
    <x v="317"/>
    <n v="49"/>
    <m/>
  </r>
  <r>
    <n v="319"/>
    <x v="318"/>
    <n v="40"/>
    <m/>
  </r>
  <r>
    <n v="320"/>
    <x v="319"/>
    <n v="38"/>
    <m/>
  </r>
  <r>
    <n v="321"/>
    <x v="320"/>
    <n v="39"/>
    <m/>
  </r>
  <r>
    <n v="322"/>
    <x v="321"/>
    <n v="36"/>
    <m/>
  </r>
  <r>
    <n v="323"/>
    <x v="322"/>
    <n v="32"/>
    <m/>
  </r>
  <r>
    <n v="324"/>
    <x v="323"/>
    <n v="43"/>
    <m/>
  </r>
  <r>
    <n v="325"/>
    <x v="324"/>
    <n v="34"/>
    <m/>
  </r>
  <r>
    <n v="326"/>
    <x v="325"/>
    <n v="40"/>
    <m/>
  </r>
  <r>
    <n v="327"/>
    <x v="326"/>
    <n v="38"/>
    <m/>
  </r>
  <r>
    <n v="328"/>
    <x v="327"/>
    <n v="42"/>
    <m/>
  </r>
  <r>
    <n v="329"/>
    <x v="328"/>
    <n v="42"/>
    <m/>
  </r>
  <r>
    <n v="330"/>
    <x v="329"/>
    <n v="41"/>
    <m/>
  </r>
  <r>
    <n v="331"/>
    <x v="330"/>
    <n v="21"/>
    <m/>
  </r>
  <r>
    <n v="332"/>
    <x v="331"/>
    <n v="38"/>
    <m/>
  </r>
  <r>
    <n v="333"/>
    <x v="332"/>
    <n v="42"/>
    <m/>
  </r>
  <r>
    <n v="334"/>
    <x v="333"/>
    <n v="36"/>
    <m/>
  </r>
  <r>
    <n v="335"/>
    <x v="334"/>
    <n v="39"/>
    <m/>
  </r>
  <r>
    <n v="336"/>
    <x v="335"/>
    <n v="38"/>
    <m/>
  </r>
  <r>
    <n v="337"/>
    <x v="336"/>
    <n v="33"/>
    <m/>
  </r>
  <r>
    <n v="338"/>
    <x v="337"/>
    <n v="47"/>
    <m/>
  </r>
  <r>
    <n v="339"/>
    <x v="338"/>
    <n v="52"/>
    <m/>
  </r>
  <r>
    <n v="340"/>
    <x v="339"/>
    <n v="31"/>
    <m/>
  </r>
  <r>
    <n v="341"/>
    <x v="340"/>
    <n v="29"/>
    <m/>
  </r>
  <r>
    <n v="342"/>
    <x v="341"/>
    <n v="30"/>
    <m/>
  </r>
  <r>
    <n v="343"/>
    <x v="342"/>
    <n v="40"/>
    <m/>
  </r>
  <r>
    <n v="344"/>
    <x v="343"/>
    <n v="43"/>
    <m/>
  </r>
  <r>
    <n v="345"/>
    <x v="344"/>
    <n v="38"/>
    <m/>
  </r>
  <r>
    <n v="346"/>
    <x v="345"/>
    <n v="32"/>
    <m/>
  </r>
  <r>
    <n v="347"/>
    <x v="346"/>
    <n v="39"/>
    <m/>
  </r>
  <r>
    <n v="348"/>
    <x v="347"/>
    <n v="51"/>
    <m/>
  </r>
  <r>
    <n v="349"/>
    <x v="348"/>
    <n v="35"/>
    <m/>
  </r>
  <r>
    <n v="350"/>
    <x v="349"/>
    <n v="42"/>
    <m/>
  </r>
  <r>
    <n v="351"/>
    <x v="350"/>
    <n v="43"/>
    <m/>
  </r>
  <r>
    <n v="352"/>
    <x v="351"/>
    <n v="49"/>
    <m/>
  </r>
  <r>
    <n v="353"/>
    <x v="352"/>
    <n v="26"/>
    <m/>
  </r>
  <r>
    <n v="354"/>
    <x v="353"/>
    <n v="39"/>
    <m/>
  </r>
  <r>
    <n v="355"/>
    <x v="354"/>
    <n v="31"/>
    <m/>
  </r>
  <r>
    <n v="356"/>
    <x v="355"/>
    <n v="34"/>
    <m/>
  </r>
  <r>
    <n v="357"/>
    <x v="356"/>
    <n v="33"/>
    <m/>
  </r>
  <r>
    <n v="358"/>
    <x v="357"/>
    <n v="33"/>
    <m/>
  </r>
  <r>
    <n v="359"/>
    <x v="358"/>
    <n v="39"/>
    <m/>
  </r>
  <r>
    <n v="360"/>
    <x v="359"/>
    <n v="29"/>
    <m/>
  </r>
  <r>
    <n v="361"/>
    <x v="360"/>
    <n v="42"/>
    <m/>
  </r>
  <r>
    <n v="362"/>
    <x v="361"/>
    <n v="35"/>
    <m/>
  </r>
  <r>
    <n v="363"/>
    <x v="362"/>
    <n v="39"/>
    <m/>
  </r>
  <r>
    <n v="364"/>
    <x v="363"/>
    <n v="34"/>
    <m/>
  </r>
  <r>
    <n v="365"/>
    <x v="364"/>
    <n v="29"/>
    <m/>
  </r>
  <r>
    <n v="366"/>
    <x v="365"/>
    <n v="45"/>
    <m/>
  </r>
  <r>
    <n v="367"/>
    <x v="366"/>
    <n v="35"/>
    <m/>
  </r>
  <r>
    <n v="368"/>
    <x v="367"/>
    <n v="36"/>
    <m/>
  </r>
  <r>
    <n v="369"/>
    <x v="368"/>
    <n v="56"/>
    <m/>
  </r>
  <r>
    <n v="370"/>
    <x v="369"/>
    <n v="38"/>
    <m/>
  </r>
  <r>
    <n v="371"/>
    <x v="370"/>
    <n v="44"/>
    <m/>
  </r>
  <r>
    <n v="372"/>
    <x v="371"/>
    <n v="30"/>
    <m/>
  </r>
  <r>
    <n v="373"/>
    <x v="372"/>
    <n v="49"/>
    <m/>
  </r>
  <r>
    <n v="374"/>
    <x v="373"/>
    <n v="37"/>
    <m/>
  </r>
  <r>
    <n v="375"/>
    <x v="374"/>
    <n v="33"/>
    <m/>
  </r>
  <r>
    <n v="376"/>
    <x v="375"/>
    <n v="37"/>
    <m/>
  </r>
  <r>
    <n v="377"/>
    <x v="376"/>
    <n v="29"/>
    <m/>
  </r>
  <r>
    <n v="378"/>
    <x v="377"/>
    <n v="50"/>
    <m/>
  </r>
  <r>
    <n v="379"/>
    <x v="378"/>
    <n v="48"/>
    <m/>
  </r>
  <r>
    <n v="380"/>
    <x v="379"/>
    <n v="32"/>
    <m/>
  </r>
  <r>
    <n v="381"/>
    <x v="380"/>
    <n v="40"/>
    <m/>
  </r>
  <r>
    <n v="382"/>
    <x v="381"/>
    <n v="43"/>
    <m/>
  </r>
  <r>
    <n v="383"/>
    <x v="382"/>
    <n v="28"/>
    <m/>
  </r>
  <r>
    <n v="384"/>
    <x v="383"/>
    <n v="43"/>
    <m/>
  </r>
  <r>
    <n v="385"/>
    <x v="384"/>
    <n v="34"/>
    <m/>
  </r>
  <r>
    <n v="386"/>
    <x v="385"/>
    <n v="50"/>
    <m/>
  </r>
  <r>
    <n v="387"/>
    <x v="386"/>
    <n v="27"/>
    <m/>
  </r>
  <r>
    <n v="388"/>
    <x v="387"/>
    <n v="50"/>
    <m/>
  </r>
  <r>
    <n v="389"/>
    <x v="388"/>
    <n v="57"/>
    <m/>
  </r>
  <r>
    <n v="390"/>
    <x v="389"/>
    <n v="38"/>
    <m/>
  </r>
  <r>
    <n v="391"/>
    <x v="390"/>
    <n v="31"/>
    <m/>
  </r>
  <r>
    <n v="392"/>
    <x v="391"/>
    <n v="45"/>
    <m/>
  </r>
  <r>
    <n v="393"/>
    <x v="392"/>
    <n v="44"/>
    <m/>
  </r>
  <r>
    <n v="394"/>
    <x v="393"/>
    <n v="37"/>
    <m/>
  </r>
  <r>
    <n v="395"/>
    <x v="394"/>
    <n v="33"/>
    <m/>
  </r>
  <r>
    <n v="396"/>
    <x v="395"/>
    <n v="49"/>
    <m/>
  </r>
  <r>
    <n v="397"/>
    <x v="396"/>
    <n v="42"/>
    <m/>
  </r>
  <r>
    <n v="398"/>
    <x v="397"/>
    <n v="42"/>
    <m/>
  </r>
  <r>
    <n v="399"/>
    <x v="398"/>
    <n v="49"/>
    <m/>
  </r>
  <r>
    <n v="400"/>
    <x v="399"/>
    <n v="28"/>
    <m/>
  </r>
  <r>
    <n v="401"/>
    <x v="400"/>
    <n v="38"/>
    <m/>
  </r>
  <r>
    <n v="402"/>
    <x v="401"/>
    <n v="42"/>
    <m/>
  </r>
  <r>
    <n v="403"/>
    <x v="402"/>
    <n v="41"/>
    <m/>
  </r>
  <r>
    <n v="404"/>
    <x v="403"/>
    <n v="51"/>
    <m/>
  </r>
  <r>
    <n v="405"/>
    <x v="404"/>
    <n v="40"/>
    <m/>
  </r>
  <r>
    <n v="406"/>
    <x v="405"/>
    <n v="45"/>
    <m/>
  </r>
  <r>
    <n v="407"/>
    <x v="406"/>
    <n v="42"/>
    <m/>
  </r>
  <r>
    <n v="408"/>
    <x v="407"/>
    <n v="51"/>
    <m/>
  </r>
  <r>
    <n v="409"/>
    <x v="408"/>
    <n v="47"/>
    <m/>
  </r>
  <r>
    <n v="410"/>
    <x v="409"/>
    <n v="54"/>
    <m/>
  </r>
  <r>
    <n v="411"/>
    <x v="410"/>
    <n v="25"/>
    <m/>
  </r>
  <r>
    <n v="412"/>
    <x v="411"/>
    <n v="39"/>
    <m/>
  </r>
  <r>
    <n v="413"/>
    <x v="412"/>
    <n v="41"/>
    <m/>
  </r>
  <r>
    <n v="414"/>
    <x v="413"/>
    <n v="42"/>
    <m/>
  </r>
  <r>
    <n v="415"/>
    <x v="414"/>
    <n v="41"/>
    <m/>
  </r>
  <r>
    <n v="416"/>
    <x v="415"/>
    <n v="38"/>
    <m/>
  </r>
  <r>
    <n v="417"/>
    <x v="416"/>
    <n v="44"/>
    <m/>
  </r>
  <r>
    <n v="418"/>
    <x v="417"/>
    <n v="38"/>
    <m/>
  </r>
  <r>
    <n v="419"/>
    <x v="418"/>
    <n v="37"/>
    <m/>
  </r>
  <r>
    <n v="420"/>
    <x v="419"/>
    <n v="53"/>
    <m/>
  </r>
  <r>
    <n v="421"/>
    <x v="420"/>
    <n v="46"/>
    <m/>
  </r>
  <r>
    <n v="422"/>
    <x v="421"/>
    <n v="36"/>
    <m/>
  </r>
  <r>
    <n v="423"/>
    <x v="422"/>
    <n v="40"/>
    <m/>
  </r>
  <r>
    <n v="424"/>
    <x v="423"/>
    <n v="42"/>
    <m/>
  </r>
  <r>
    <n v="425"/>
    <x v="424"/>
    <n v="39"/>
    <m/>
  </r>
  <r>
    <n v="426"/>
    <x v="425"/>
    <n v="38"/>
    <m/>
  </r>
  <r>
    <n v="427"/>
    <x v="426"/>
    <n v="38"/>
    <m/>
  </r>
  <r>
    <n v="428"/>
    <x v="427"/>
    <n v="42"/>
    <m/>
  </r>
  <r>
    <n v="429"/>
    <x v="428"/>
    <n v="42"/>
    <m/>
  </r>
  <r>
    <n v="430"/>
    <x v="429"/>
    <n v="45"/>
    <m/>
  </r>
  <r>
    <n v="431"/>
    <x v="430"/>
    <n v="34"/>
    <m/>
  </r>
  <r>
    <n v="432"/>
    <x v="431"/>
    <n v="51"/>
    <m/>
  </r>
  <r>
    <n v="433"/>
    <x v="432"/>
    <n v="34"/>
    <m/>
  </r>
  <r>
    <n v="434"/>
    <x v="433"/>
    <n v="36"/>
    <m/>
  </r>
  <r>
    <n v="435"/>
    <x v="434"/>
    <n v="54"/>
    <m/>
  </r>
  <r>
    <n v="436"/>
    <x v="435"/>
    <n v="41"/>
    <m/>
  </r>
  <r>
    <n v="437"/>
    <x v="436"/>
    <n v="42"/>
    <m/>
  </r>
  <r>
    <n v="438"/>
    <x v="437"/>
    <n v="45"/>
    <m/>
  </r>
  <r>
    <n v="439"/>
    <x v="438"/>
    <n v="51"/>
    <m/>
  </r>
  <r>
    <n v="440"/>
    <x v="439"/>
    <n v="57"/>
    <m/>
  </r>
  <r>
    <n v="441"/>
    <x v="440"/>
    <n v="52"/>
    <m/>
  </r>
  <r>
    <n v="442"/>
    <x v="441"/>
    <n v="45"/>
    <m/>
  </r>
  <r>
    <n v="443"/>
    <x v="442"/>
    <n v="41"/>
    <m/>
  </r>
  <r>
    <n v="444"/>
    <x v="443"/>
    <n v="34"/>
    <m/>
  </r>
  <r>
    <n v="445"/>
    <x v="444"/>
    <n v="46"/>
    <m/>
  </r>
  <r>
    <n v="446"/>
    <x v="445"/>
    <n v="42"/>
    <m/>
  </r>
  <r>
    <n v="447"/>
    <x v="446"/>
    <n v="56"/>
    <m/>
  </r>
  <r>
    <n v="448"/>
    <x v="447"/>
    <n v="49"/>
    <m/>
  </r>
  <r>
    <n v="449"/>
    <x v="448"/>
    <n v="43"/>
    <m/>
  </r>
  <r>
    <n v="450"/>
    <x v="449"/>
    <n v="58"/>
    <m/>
  </r>
  <r>
    <n v="451"/>
    <x v="450"/>
    <n v="46"/>
    <m/>
  </r>
  <r>
    <n v="452"/>
    <x v="451"/>
    <n v="51"/>
    <m/>
  </r>
  <r>
    <n v="453"/>
    <x v="452"/>
    <n v="44"/>
    <m/>
  </r>
  <r>
    <n v="454"/>
    <x v="453"/>
    <n v="46"/>
    <m/>
  </r>
  <r>
    <n v="455"/>
    <x v="454"/>
    <n v="45"/>
    <m/>
  </r>
  <r>
    <n v="456"/>
    <x v="455"/>
    <n v="45"/>
    <m/>
  </r>
  <r>
    <n v="457"/>
    <x v="456"/>
    <n v="53"/>
    <m/>
  </r>
  <r>
    <n v="458"/>
    <x v="457"/>
    <n v="41"/>
    <m/>
  </r>
  <r>
    <n v="459"/>
    <x v="458"/>
    <n v="25"/>
    <m/>
  </r>
  <r>
    <n v="460"/>
    <x v="459"/>
    <n v="31"/>
    <m/>
  </r>
  <r>
    <n v="461"/>
    <x v="460"/>
    <n v="37"/>
    <m/>
  </r>
  <r>
    <n v="462"/>
    <x v="461"/>
    <n v="55"/>
    <m/>
  </r>
  <r>
    <n v="463"/>
    <x v="462"/>
    <n v="47"/>
    <m/>
  </r>
  <r>
    <n v="464"/>
    <x v="463"/>
    <n v="38"/>
    <m/>
  </r>
  <r>
    <n v="465"/>
    <x v="464"/>
    <n v="46"/>
    <m/>
  </r>
  <r>
    <n v="466"/>
    <x v="465"/>
    <n v="29"/>
    <m/>
  </r>
  <r>
    <n v="467"/>
    <x v="466"/>
    <n v="50"/>
    <m/>
  </r>
  <r>
    <n v="468"/>
    <x v="467"/>
    <n v="43"/>
    <m/>
  </r>
  <r>
    <n v="469"/>
    <x v="468"/>
    <n v="49"/>
    <m/>
  </r>
  <r>
    <n v="470"/>
    <x v="469"/>
    <n v="51"/>
    <m/>
  </r>
  <r>
    <n v="471"/>
    <x v="470"/>
    <n v="51"/>
    <m/>
  </r>
  <r>
    <n v="472"/>
    <x v="471"/>
    <n v="42"/>
    <m/>
  </r>
  <r>
    <n v="473"/>
    <x v="472"/>
    <n v="37"/>
    <m/>
  </r>
  <r>
    <n v="474"/>
    <x v="473"/>
    <n v="46"/>
    <m/>
  </r>
  <r>
    <n v="475"/>
    <x v="474"/>
    <n v="41"/>
    <m/>
  </r>
  <r>
    <n v="476"/>
    <x v="475"/>
    <n v="36"/>
    <m/>
  </r>
  <r>
    <n v="477"/>
    <x v="476"/>
    <n v="47"/>
    <m/>
  </r>
  <r>
    <n v="478"/>
    <x v="477"/>
    <n v="40"/>
    <m/>
  </r>
  <r>
    <n v="479"/>
    <x v="478"/>
    <n v="56"/>
    <m/>
  </r>
  <r>
    <n v="480"/>
    <x v="479"/>
    <n v="42"/>
    <m/>
  </r>
  <r>
    <n v="481"/>
    <x v="480"/>
    <n v="38"/>
    <m/>
  </r>
  <r>
    <n v="482"/>
    <x v="481"/>
    <n v="57"/>
    <m/>
  </r>
  <r>
    <n v="483"/>
    <x v="482"/>
    <n v="51"/>
    <m/>
  </r>
  <r>
    <n v="484"/>
    <x v="483"/>
    <n v="56"/>
    <m/>
  </r>
  <r>
    <n v="485"/>
    <x v="484"/>
    <n v="51"/>
    <m/>
  </r>
  <r>
    <n v="486"/>
    <x v="485"/>
    <n v="51"/>
    <m/>
  </r>
  <r>
    <n v="487"/>
    <x v="486"/>
    <n v="42"/>
    <m/>
  </r>
  <r>
    <n v="488"/>
    <x v="487"/>
    <n v="48"/>
    <m/>
  </r>
  <r>
    <n v="489"/>
    <x v="488"/>
    <n v="37"/>
    <m/>
  </r>
  <r>
    <n v="490"/>
    <x v="489"/>
    <n v="44"/>
    <m/>
  </r>
  <r>
    <n v="491"/>
    <x v="490"/>
    <n v="45"/>
    <m/>
  </r>
  <r>
    <n v="492"/>
    <x v="491"/>
    <n v="42"/>
    <m/>
  </r>
  <r>
    <n v="493"/>
    <x v="492"/>
    <n v="37"/>
    <m/>
  </r>
  <r>
    <n v="494"/>
    <x v="493"/>
    <n v="43"/>
    <m/>
  </r>
  <r>
    <n v="495"/>
    <x v="494"/>
    <n v="40"/>
    <m/>
  </r>
  <r>
    <n v="496"/>
    <x v="495"/>
    <n v="38"/>
    <m/>
  </r>
  <r>
    <n v="497"/>
    <x v="496"/>
    <n v="54"/>
    <m/>
  </r>
  <r>
    <n v="498"/>
    <x v="497"/>
    <n v="33"/>
    <m/>
  </r>
  <r>
    <n v="499"/>
    <x v="498"/>
    <n v="40"/>
    <m/>
  </r>
  <r>
    <n v="500"/>
    <x v="499"/>
    <n v="54"/>
    <m/>
  </r>
  <r>
    <n v="501"/>
    <x v="500"/>
    <n v="42"/>
    <m/>
  </r>
  <r>
    <n v="502"/>
    <x v="501"/>
    <n v="46"/>
    <m/>
  </r>
  <r>
    <n v="503"/>
    <x v="502"/>
    <n v="36"/>
    <m/>
  </r>
  <r>
    <n v="504"/>
    <x v="503"/>
    <n v="40"/>
    <m/>
  </r>
  <r>
    <n v="505"/>
    <x v="504"/>
    <n v="46"/>
    <m/>
  </r>
  <r>
    <n v="506"/>
    <x v="505"/>
    <n v="47"/>
    <m/>
  </r>
  <r>
    <n v="507"/>
    <x v="506"/>
    <n v="46"/>
    <m/>
  </r>
  <r>
    <n v="508"/>
    <x v="507"/>
    <n v="51"/>
    <m/>
  </r>
  <r>
    <n v="509"/>
    <x v="508"/>
    <n v="50"/>
    <m/>
  </r>
  <r>
    <n v="510"/>
    <x v="509"/>
    <n v="45"/>
    <m/>
  </r>
  <r>
    <n v="511"/>
    <x v="510"/>
    <n v="45"/>
    <m/>
  </r>
  <r>
    <n v="512"/>
    <x v="511"/>
    <n v="38"/>
    <m/>
  </r>
  <r>
    <n v="513"/>
    <x v="512"/>
    <n v="30"/>
    <m/>
  </r>
  <r>
    <n v="514"/>
    <x v="513"/>
    <n v="41"/>
    <m/>
  </r>
  <r>
    <n v="515"/>
    <x v="514"/>
    <n v="37"/>
    <m/>
  </r>
  <r>
    <n v="516"/>
    <x v="515"/>
    <n v="34"/>
    <m/>
  </r>
  <r>
    <n v="517"/>
    <x v="516"/>
    <n v="39"/>
    <m/>
  </r>
  <r>
    <n v="518"/>
    <x v="517"/>
    <n v="32"/>
    <m/>
  </r>
  <r>
    <n v="519"/>
    <x v="518"/>
    <n v="37"/>
    <m/>
  </r>
  <r>
    <n v="520"/>
    <x v="519"/>
    <n v="40"/>
    <m/>
  </r>
  <r>
    <n v="521"/>
    <x v="520"/>
    <n v="49"/>
    <m/>
  </r>
  <r>
    <n v="522"/>
    <x v="521"/>
    <n v="32"/>
    <m/>
  </r>
  <r>
    <n v="523"/>
    <x v="522"/>
    <n v="32"/>
    <m/>
  </r>
  <r>
    <n v="524"/>
    <x v="523"/>
    <n v="51"/>
    <m/>
  </r>
  <r>
    <n v="525"/>
    <x v="524"/>
    <n v="42"/>
    <m/>
  </r>
  <r>
    <n v="526"/>
    <x v="525"/>
    <n v="50"/>
    <m/>
  </r>
  <r>
    <n v="527"/>
    <x v="526"/>
    <n v="44"/>
    <m/>
  </r>
  <r>
    <n v="528"/>
    <x v="527"/>
    <n v="42"/>
    <m/>
  </r>
  <r>
    <n v="529"/>
    <x v="528"/>
    <n v="30"/>
    <m/>
  </r>
  <r>
    <n v="530"/>
    <x v="529"/>
    <n v="40"/>
    <m/>
  </r>
  <r>
    <n v="531"/>
    <x v="530"/>
    <n v="35"/>
    <m/>
  </r>
  <r>
    <n v="532"/>
    <x v="531"/>
    <n v="39"/>
    <m/>
  </r>
  <r>
    <n v="533"/>
    <x v="532"/>
    <n v="50"/>
    <m/>
  </r>
  <r>
    <n v="534"/>
    <x v="533"/>
    <n v="31"/>
    <m/>
  </r>
  <r>
    <n v="535"/>
    <x v="534"/>
    <n v="51"/>
    <m/>
  </r>
  <r>
    <n v="536"/>
    <x v="535"/>
    <n v="54"/>
    <m/>
  </r>
  <r>
    <n v="537"/>
    <x v="536"/>
    <n v="47"/>
    <m/>
  </r>
  <r>
    <n v="538"/>
    <x v="537"/>
    <n v="42"/>
    <m/>
  </r>
  <r>
    <n v="539"/>
    <x v="538"/>
    <n v="38"/>
    <m/>
  </r>
  <r>
    <n v="540"/>
    <x v="539"/>
    <n v="50"/>
    <m/>
  </r>
  <r>
    <n v="541"/>
    <x v="540"/>
    <n v="42"/>
    <m/>
  </r>
  <r>
    <n v="542"/>
    <x v="541"/>
    <n v="42"/>
    <m/>
  </r>
  <r>
    <n v="543"/>
    <x v="542"/>
    <n v="36"/>
    <m/>
  </r>
  <r>
    <n v="544"/>
    <x v="543"/>
    <n v="37"/>
    <m/>
  </r>
  <r>
    <n v="545"/>
    <x v="544"/>
    <n v="40"/>
    <m/>
  </r>
  <r>
    <n v="546"/>
    <x v="545"/>
    <n v="41"/>
    <m/>
  </r>
  <r>
    <n v="547"/>
    <x v="546"/>
    <n v="38"/>
    <m/>
  </r>
  <r>
    <n v="548"/>
    <x v="547"/>
    <n v="34"/>
    <m/>
  </r>
  <r>
    <n v="549"/>
    <x v="548"/>
    <n v="52"/>
    <m/>
  </r>
  <r>
    <n v="550"/>
    <x v="549"/>
    <n v="38"/>
    <m/>
  </r>
  <r>
    <n v="551"/>
    <x v="550"/>
    <n v="36"/>
    <m/>
  </r>
  <r>
    <n v="552"/>
    <x v="551"/>
    <n v="33"/>
    <m/>
  </r>
  <r>
    <n v="553"/>
    <x v="552"/>
    <n v="35"/>
    <m/>
  </r>
  <r>
    <n v="554"/>
    <x v="553"/>
    <n v="30"/>
    <m/>
  </r>
  <r>
    <n v="555"/>
    <x v="554"/>
    <n v="33"/>
    <m/>
  </r>
  <r>
    <n v="556"/>
    <x v="555"/>
    <n v="49"/>
    <m/>
  </r>
  <r>
    <n v="557"/>
    <x v="556"/>
    <n v="45"/>
    <m/>
  </r>
  <r>
    <n v="558"/>
    <x v="557"/>
    <n v="38"/>
    <m/>
  </r>
  <r>
    <n v="559"/>
    <x v="558"/>
    <n v="38"/>
    <m/>
  </r>
  <r>
    <n v="560"/>
    <x v="559"/>
    <n v="30"/>
    <m/>
  </r>
  <r>
    <n v="561"/>
    <x v="560"/>
    <n v="51"/>
    <m/>
  </r>
  <r>
    <n v="562"/>
    <x v="561"/>
    <n v="34"/>
    <m/>
  </r>
  <r>
    <n v="563"/>
    <x v="562"/>
    <n v="37"/>
    <m/>
  </r>
  <r>
    <n v="564"/>
    <x v="563"/>
    <n v="28"/>
    <m/>
  </r>
  <r>
    <n v="565"/>
    <x v="564"/>
    <n v="38"/>
    <m/>
  </r>
  <r>
    <n v="566"/>
    <x v="565"/>
    <n v="40"/>
    <m/>
  </r>
  <r>
    <n v="567"/>
    <x v="566"/>
    <n v="40"/>
    <m/>
  </r>
  <r>
    <n v="568"/>
    <x v="567"/>
    <n v="33"/>
    <m/>
  </r>
  <r>
    <n v="569"/>
    <x v="568"/>
    <n v="34"/>
    <m/>
  </r>
  <r>
    <n v="570"/>
    <x v="569"/>
    <n v="44"/>
    <m/>
  </r>
  <r>
    <n v="571"/>
    <x v="570"/>
    <n v="40"/>
    <m/>
  </r>
  <r>
    <n v="572"/>
    <x v="571"/>
    <n v="34"/>
    <m/>
  </r>
  <r>
    <n v="573"/>
    <x v="572"/>
    <n v="30"/>
    <m/>
  </r>
  <r>
    <n v="574"/>
    <x v="573"/>
    <n v="30"/>
    <m/>
  </r>
  <r>
    <n v="575"/>
    <x v="574"/>
    <n v="34"/>
    <m/>
  </r>
  <r>
    <n v="576"/>
    <x v="575"/>
    <n v="36"/>
    <m/>
  </r>
  <r>
    <n v="577"/>
    <x v="576"/>
    <n v="32"/>
    <m/>
  </r>
  <r>
    <n v="578"/>
    <x v="577"/>
    <n v="30"/>
    <m/>
  </r>
  <r>
    <n v="579"/>
    <x v="578"/>
    <n v="29"/>
    <m/>
  </r>
  <r>
    <n v="580"/>
    <x v="579"/>
    <n v="28"/>
    <m/>
  </r>
  <r>
    <n v="581"/>
    <x v="580"/>
    <n v="37"/>
    <m/>
  </r>
  <r>
    <n v="582"/>
    <x v="581"/>
    <n v="43"/>
    <m/>
  </r>
  <r>
    <n v="583"/>
    <x v="582"/>
    <n v="39"/>
    <m/>
  </r>
  <r>
    <n v="584"/>
    <x v="583"/>
    <n v="41"/>
    <m/>
  </r>
  <r>
    <n v="585"/>
    <x v="584"/>
    <n v="36"/>
    <m/>
  </r>
  <r>
    <n v="586"/>
    <x v="585"/>
    <n v="34"/>
    <m/>
  </r>
  <r>
    <n v="587"/>
    <x v="586"/>
    <n v="24"/>
    <m/>
  </r>
  <r>
    <n v="588"/>
    <x v="587"/>
    <n v="39"/>
    <m/>
  </r>
  <r>
    <n v="589"/>
    <x v="588"/>
    <n v="31"/>
    <m/>
  </r>
  <r>
    <n v="590"/>
    <x v="589"/>
    <n v="31"/>
    <m/>
  </r>
  <r>
    <n v="591"/>
    <x v="590"/>
    <n v="49"/>
    <m/>
  </r>
  <r>
    <n v="592"/>
    <x v="591"/>
    <n v="35"/>
    <m/>
  </r>
  <r>
    <n v="593"/>
    <x v="592"/>
    <n v="34"/>
    <m/>
  </r>
  <r>
    <n v="594"/>
    <x v="593"/>
    <n v="28"/>
    <m/>
  </r>
  <r>
    <n v="595"/>
    <x v="594"/>
    <n v="36"/>
    <m/>
  </r>
  <r>
    <n v="596"/>
    <x v="595"/>
    <n v="41"/>
    <m/>
  </r>
  <r>
    <n v="597"/>
    <x v="596"/>
    <n v="35"/>
    <m/>
  </r>
  <r>
    <n v="598"/>
    <x v="597"/>
    <n v="29"/>
    <m/>
  </r>
  <r>
    <n v="599"/>
    <x v="598"/>
    <n v="30"/>
    <m/>
  </r>
  <r>
    <n v="600"/>
    <x v="599"/>
    <n v="31"/>
    <m/>
  </r>
  <r>
    <n v="601"/>
    <x v="600"/>
    <n v="36"/>
    <m/>
  </r>
  <r>
    <n v="602"/>
    <x v="601"/>
    <n v="32"/>
    <m/>
  </r>
  <r>
    <n v="603"/>
    <x v="602"/>
    <n v="30"/>
    <m/>
  </r>
  <r>
    <n v="604"/>
    <x v="603"/>
    <n v="23"/>
    <m/>
  </r>
  <r>
    <n v="605"/>
    <x v="604"/>
    <n v="36"/>
    <m/>
  </r>
  <r>
    <n v="606"/>
    <x v="605"/>
    <n v="23"/>
    <m/>
  </r>
  <r>
    <n v="607"/>
    <x v="606"/>
    <n v="35"/>
    <m/>
  </r>
  <r>
    <n v="608"/>
    <x v="607"/>
    <n v="41"/>
    <m/>
  </r>
  <r>
    <n v="609"/>
    <x v="608"/>
    <n v="29"/>
    <m/>
  </r>
  <r>
    <n v="610"/>
    <x v="609"/>
    <n v="29"/>
    <m/>
  </r>
  <r>
    <n v="611"/>
    <x v="610"/>
    <n v="25"/>
    <m/>
  </r>
  <r>
    <n v="612"/>
    <x v="611"/>
    <n v="24"/>
    <m/>
  </r>
  <r>
    <n v="613"/>
    <x v="612"/>
    <n v="27"/>
    <m/>
  </r>
  <r>
    <n v="614"/>
    <x v="613"/>
    <n v="30"/>
    <m/>
  </r>
  <r>
    <n v="615"/>
    <x v="614"/>
    <n v="24"/>
    <m/>
  </r>
  <r>
    <n v="616"/>
    <x v="615"/>
    <n v="36"/>
    <m/>
  </r>
  <r>
    <n v="617"/>
    <x v="616"/>
    <n v="38"/>
    <m/>
  </r>
  <r>
    <n v="618"/>
    <x v="617"/>
    <n v="28"/>
    <m/>
  </r>
  <r>
    <n v="619"/>
    <x v="618"/>
    <n v="33"/>
    <m/>
  </r>
  <r>
    <n v="620"/>
    <x v="619"/>
    <n v="34"/>
    <m/>
  </r>
  <r>
    <n v="621"/>
    <x v="620"/>
    <n v="16"/>
    <m/>
  </r>
  <r>
    <n v="622"/>
    <x v="621"/>
    <n v="31"/>
    <m/>
  </r>
  <r>
    <n v="623"/>
    <x v="622"/>
    <n v="31"/>
    <m/>
  </r>
  <r>
    <n v="624"/>
    <x v="623"/>
    <n v="29"/>
    <m/>
  </r>
  <r>
    <n v="625"/>
    <x v="624"/>
    <n v="43"/>
    <m/>
  </r>
  <r>
    <n v="626"/>
    <x v="625"/>
    <n v="32"/>
    <m/>
  </r>
  <r>
    <n v="627"/>
    <x v="626"/>
    <n v="29"/>
    <m/>
  </r>
  <r>
    <n v="628"/>
    <x v="627"/>
    <n v="35"/>
    <m/>
  </r>
  <r>
    <n v="629"/>
    <x v="628"/>
    <n v="34"/>
    <m/>
  </r>
  <r>
    <n v="630"/>
    <x v="629"/>
    <n v="48"/>
    <m/>
  </r>
  <r>
    <n v="631"/>
    <x v="630"/>
    <n v="38"/>
    <m/>
  </r>
  <r>
    <n v="632"/>
    <x v="631"/>
    <n v="22"/>
    <m/>
  </r>
  <r>
    <n v="633"/>
    <x v="632"/>
    <n v="34"/>
    <m/>
  </r>
  <r>
    <n v="634"/>
    <x v="633"/>
    <n v="24"/>
    <m/>
  </r>
  <r>
    <n v="635"/>
    <x v="634"/>
    <n v="29"/>
    <m/>
  </r>
  <r>
    <n v="636"/>
    <x v="635"/>
    <n v="28"/>
    <m/>
  </r>
  <r>
    <n v="637"/>
    <x v="636"/>
    <n v="30"/>
    <m/>
  </r>
  <r>
    <n v="638"/>
    <x v="637"/>
    <n v="31"/>
    <m/>
  </r>
  <r>
    <n v="639"/>
    <x v="638"/>
    <n v="44"/>
    <m/>
  </r>
  <r>
    <n v="640"/>
    <x v="639"/>
    <n v="37"/>
    <m/>
  </r>
  <r>
    <n v="641"/>
    <x v="640"/>
    <n v="46"/>
    <m/>
  </r>
  <r>
    <n v="642"/>
    <x v="641"/>
    <n v="25"/>
    <m/>
  </r>
  <r>
    <n v="643"/>
    <x v="642"/>
    <n v="36"/>
    <m/>
  </r>
  <r>
    <n v="644"/>
    <x v="643"/>
    <n v="37"/>
    <m/>
  </r>
  <r>
    <n v="645"/>
    <x v="644"/>
    <n v="33"/>
    <m/>
  </r>
  <r>
    <n v="646"/>
    <x v="645"/>
    <n v="34"/>
    <m/>
  </r>
  <r>
    <n v="647"/>
    <x v="646"/>
    <n v="23"/>
    <m/>
  </r>
  <r>
    <n v="648"/>
    <x v="647"/>
    <n v="32"/>
    <m/>
  </r>
  <r>
    <n v="649"/>
    <x v="648"/>
    <n v="33"/>
    <m/>
  </r>
  <r>
    <n v="650"/>
    <x v="649"/>
    <n v="38"/>
    <m/>
  </r>
  <r>
    <n v="651"/>
    <x v="650"/>
    <n v="36"/>
    <m/>
  </r>
  <r>
    <n v="652"/>
    <x v="651"/>
    <n v="25"/>
    <m/>
  </r>
  <r>
    <n v="653"/>
    <x v="652"/>
    <n v="21"/>
    <m/>
  </r>
  <r>
    <n v="654"/>
    <x v="653"/>
    <n v="46"/>
    <m/>
  </r>
  <r>
    <n v="655"/>
    <x v="654"/>
    <n v="25"/>
    <m/>
  </r>
  <r>
    <n v="656"/>
    <x v="655"/>
    <n v="44"/>
    <m/>
  </r>
  <r>
    <n v="657"/>
    <x v="656"/>
    <n v="30"/>
    <m/>
  </r>
  <r>
    <n v="658"/>
    <x v="657"/>
    <n v="35"/>
    <m/>
  </r>
  <r>
    <n v="659"/>
    <x v="658"/>
    <n v="23"/>
    <m/>
  </r>
  <r>
    <n v="660"/>
    <x v="659"/>
    <n v="36"/>
    <m/>
  </r>
  <r>
    <n v="661"/>
    <x v="660"/>
    <n v="32"/>
    <m/>
  </r>
  <r>
    <n v="662"/>
    <x v="661"/>
    <n v="45"/>
    <m/>
  </r>
  <r>
    <n v="663"/>
    <x v="662"/>
    <n v="33"/>
    <m/>
  </r>
  <r>
    <n v="664"/>
    <x v="663"/>
    <n v="33"/>
    <m/>
  </r>
  <r>
    <n v="665"/>
    <x v="664"/>
    <n v="27"/>
    <m/>
  </r>
  <r>
    <n v="666"/>
    <x v="665"/>
    <n v="35"/>
    <m/>
  </r>
  <r>
    <n v="667"/>
    <x v="666"/>
    <n v="23"/>
    <m/>
  </r>
  <r>
    <n v="668"/>
    <x v="667"/>
    <n v="27"/>
    <m/>
  </r>
  <r>
    <n v="669"/>
    <x v="668"/>
    <n v="34"/>
    <m/>
  </r>
  <r>
    <n v="670"/>
    <x v="669"/>
    <n v="35"/>
    <m/>
  </r>
  <r>
    <n v="671"/>
    <x v="670"/>
    <n v="37"/>
    <m/>
  </r>
  <r>
    <n v="672"/>
    <x v="671"/>
    <n v="26"/>
    <m/>
  </r>
  <r>
    <n v="673"/>
    <x v="672"/>
    <n v="38"/>
    <m/>
  </r>
  <r>
    <n v="674"/>
    <x v="673"/>
    <n v="44"/>
    <m/>
  </r>
  <r>
    <n v="675"/>
    <x v="674"/>
    <n v="21"/>
    <m/>
  </r>
  <r>
    <n v="676"/>
    <x v="675"/>
    <n v="29"/>
    <m/>
  </r>
  <r>
    <n v="677"/>
    <x v="676"/>
    <n v="48"/>
    <m/>
  </r>
  <r>
    <n v="678"/>
    <x v="677"/>
    <n v="31"/>
    <m/>
  </r>
  <r>
    <n v="679"/>
    <x v="678"/>
    <n v="41"/>
    <m/>
  </r>
  <r>
    <n v="680"/>
    <x v="679"/>
    <n v="43"/>
    <m/>
  </r>
  <r>
    <n v="681"/>
    <x v="680"/>
    <n v="32"/>
    <m/>
  </r>
  <r>
    <n v="682"/>
    <x v="681"/>
    <n v="38"/>
    <m/>
  </r>
  <r>
    <n v="683"/>
    <x v="682"/>
    <n v="49"/>
    <m/>
  </r>
  <r>
    <n v="684"/>
    <x v="683"/>
    <n v="43"/>
    <m/>
  </r>
  <r>
    <n v="685"/>
    <x v="684"/>
    <n v="30"/>
    <m/>
  </r>
  <r>
    <n v="686"/>
    <x v="685"/>
    <n v="33"/>
    <m/>
  </r>
  <r>
    <n v="687"/>
    <x v="686"/>
    <n v="39"/>
    <m/>
  </r>
  <r>
    <n v="688"/>
    <x v="687"/>
    <n v="29"/>
    <m/>
  </r>
  <r>
    <n v="689"/>
    <x v="688"/>
    <n v="35"/>
    <m/>
  </r>
  <r>
    <n v="690"/>
    <x v="689"/>
    <n v="31"/>
    <m/>
  </r>
  <r>
    <n v="691"/>
    <x v="690"/>
    <n v="36"/>
    <m/>
  </r>
  <r>
    <n v="692"/>
    <x v="691"/>
    <n v="40"/>
    <m/>
  </r>
  <r>
    <n v="693"/>
    <x v="692"/>
    <n v="44"/>
    <m/>
  </r>
  <r>
    <n v="694"/>
    <x v="693"/>
    <n v="30"/>
    <m/>
  </r>
  <r>
    <n v="695"/>
    <x v="694"/>
    <n v="33"/>
    <m/>
  </r>
  <r>
    <n v="696"/>
    <x v="695"/>
    <n v="47"/>
    <m/>
  </r>
  <r>
    <n v="697"/>
    <x v="696"/>
    <n v="24"/>
    <m/>
  </r>
  <r>
    <n v="698"/>
    <x v="697"/>
    <n v="35"/>
    <m/>
  </r>
  <r>
    <n v="699"/>
    <x v="698"/>
    <n v="43"/>
    <m/>
  </r>
  <r>
    <n v="700"/>
    <x v="699"/>
    <n v="34"/>
    <m/>
  </r>
  <r>
    <n v="701"/>
    <x v="700"/>
    <n v="26"/>
    <m/>
  </r>
  <r>
    <n v="702"/>
    <x v="701"/>
    <n v="32"/>
    <m/>
  </r>
  <r>
    <n v="703"/>
    <x v="702"/>
    <n v="35"/>
    <m/>
  </r>
  <r>
    <n v="704"/>
    <x v="703"/>
    <n v="40"/>
    <m/>
  </r>
  <r>
    <n v="705"/>
    <x v="704"/>
    <n v="34"/>
    <m/>
  </r>
  <r>
    <n v="706"/>
    <x v="705"/>
    <n v="38"/>
    <m/>
  </r>
  <r>
    <n v="707"/>
    <x v="706"/>
    <n v="37"/>
    <m/>
  </r>
  <r>
    <n v="708"/>
    <x v="707"/>
    <n v="37"/>
    <m/>
  </r>
  <r>
    <n v="709"/>
    <x v="708"/>
    <n v="37"/>
    <m/>
  </r>
  <r>
    <n v="710"/>
    <x v="709"/>
    <n v="42"/>
    <m/>
  </r>
  <r>
    <n v="711"/>
    <x v="710"/>
    <n v="49"/>
    <m/>
  </r>
  <r>
    <n v="712"/>
    <x v="711"/>
    <n v="38"/>
    <m/>
  </r>
  <r>
    <n v="713"/>
    <x v="712"/>
    <n v="38"/>
    <m/>
  </r>
  <r>
    <n v="714"/>
    <x v="713"/>
    <n v="46"/>
    <m/>
  </r>
  <r>
    <n v="715"/>
    <x v="714"/>
    <n v="31"/>
    <m/>
  </r>
  <r>
    <n v="716"/>
    <x v="715"/>
    <n v="38"/>
    <m/>
  </r>
  <r>
    <n v="717"/>
    <x v="716"/>
    <n v="31"/>
    <m/>
  </r>
  <r>
    <n v="718"/>
    <x v="717"/>
    <n v="38"/>
    <m/>
  </r>
  <r>
    <n v="719"/>
    <x v="718"/>
    <n v="34"/>
    <m/>
  </r>
  <r>
    <n v="720"/>
    <x v="719"/>
    <n v="41"/>
    <m/>
  </r>
  <r>
    <n v="721"/>
    <x v="720"/>
    <n v="37"/>
    <m/>
  </r>
  <r>
    <n v="722"/>
    <x v="721"/>
    <n v="29"/>
    <m/>
  </r>
  <r>
    <n v="723"/>
    <x v="722"/>
    <n v="31"/>
    <m/>
  </r>
  <r>
    <n v="724"/>
    <x v="723"/>
    <n v="36"/>
    <m/>
  </r>
  <r>
    <n v="725"/>
    <x v="724"/>
    <n v="44"/>
    <m/>
  </r>
  <r>
    <n v="726"/>
    <x v="725"/>
    <n v="31"/>
    <m/>
  </r>
  <r>
    <n v="727"/>
    <x v="726"/>
    <n v="30"/>
    <m/>
  </r>
  <r>
    <n v="728"/>
    <x v="727"/>
    <n v="30"/>
    <m/>
  </r>
  <r>
    <n v="729"/>
    <x v="728"/>
    <n v="42"/>
    <m/>
  </r>
  <r>
    <n v="730"/>
    <x v="729"/>
    <n v="24"/>
    <m/>
  </r>
  <r>
    <n v="731"/>
    <x v="730"/>
    <m/>
    <n v="44"/>
  </r>
  <r>
    <n v="732"/>
    <x v="731"/>
    <m/>
    <n v="41"/>
  </r>
  <r>
    <n v="733"/>
    <x v="732"/>
    <m/>
    <n v="41"/>
  </r>
  <r>
    <n v="734"/>
    <x v="733"/>
    <m/>
    <n v="54"/>
  </r>
  <r>
    <n v="735"/>
    <x v="734"/>
    <m/>
    <n v="40"/>
  </r>
  <r>
    <n v="736"/>
    <x v="735"/>
    <m/>
    <n v="46"/>
  </r>
  <r>
    <n v="737"/>
    <x v="736"/>
    <m/>
    <n v="33"/>
  </r>
  <r>
    <n v="738"/>
    <x v="737"/>
    <m/>
    <n v="46"/>
  </r>
  <r>
    <n v="739"/>
    <x v="738"/>
    <m/>
    <n v="37"/>
  </r>
  <r>
    <n v="740"/>
    <x v="739"/>
    <m/>
    <n v="35"/>
  </r>
  <r>
    <n v="741"/>
    <x v="740"/>
    <m/>
    <n v="37"/>
  </r>
  <r>
    <n v="742"/>
    <x v="741"/>
    <m/>
    <n v="31"/>
  </r>
  <r>
    <n v="743"/>
    <x v="742"/>
    <m/>
    <n v="46"/>
  </r>
  <r>
    <n v="744"/>
    <x v="743"/>
    <m/>
    <n v="47"/>
  </r>
  <r>
    <n v="745"/>
    <x v="744"/>
    <m/>
    <n v="34"/>
  </r>
  <r>
    <n v="746"/>
    <x v="745"/>
    <m/>
    <n v="41"/>
  </r>
  <r>
    <n v="747"/>
    <x v="746"/>
    <m/>
    <n v="40"/>
  </r>
  <r>
    <n v="748"/>
    <x v="747"/>
    <m/>
    <n v="28"/>
  </r>
  <r>
    <n v="749"/>
    <x v="748"/>
    <m/>
    <n v="42"/>
  </r>
  <r>
    <n v="750"/>
    <x v="749"/>
    <m/>
    <n v="32"/>
  </r>
  <r>
    <n v="751"/>
    <x v="750"/>
    <m/>
    <n v="48"/>
  </r>
  <r>
    <n v="752"/>
    <x v="751"/>
    <m/>
    <n v="31"/>
  </r>
  <r>
    <n v="753"/>
    <x v="752"/>
    <m/>
    <n v="48"/>
  </r>
  <r>
    <n v="754"/>
    <x v="753"/>
    <m/>
    <n v="50"/>
  </r>
  <r>
    <n v="755"/>
    <x v="754"/>
    <m/>
    <n v="38"/>
  </r>
  <r>
    <n v="756"/>
    <x v="755"/>
    <m/>
    <n v="31"/>
  </r>
  <r>
    <n v="757"/>
    <x v="756"/>
    <m/>
    <n v="41"/>
  </r>
  <r>
    <n v="758"/>
    <x v="757"/>
    <m/>
    <n v="44"/>
  </r>
  <r>
    <n v="759"/>
    <x v="758"/>
    <m/>
    <n v="34"/>
  </r>
  <r>
    <n v="760"/>
    <x v="759"/>
    <m/>
    <n v="34"/>
  </r>
  <r>
    <n v="761"/>
    <x v="760"/>
    <m/>
    <n v="49"/>
  </r>
  <r>
    <n v="762"/>
    <x v="761"/>
    <m/>
    <n v="41"/>
  </r>
  <r>
    <n v="763"/>
    <x v="762"/>
    <m/>
    <n v="40"/>
  </r>
  <r>
    <n v="764"/>
    <x v="763"/>
    <m/>
    <n v="46"/>
  </r>
  <r>
    <n v="765"/>
    <x v="764"/>
    <m/>
    <n v="31"/>
  </r>
  <r>
    <n v="766"/>
    <x v="765"/>
    <m/>
    <n v="38"/>
  </r>
  <r>
    <n v="767"/>
    <x v="766"/>
    <m/>
    <n v="39"/>
  </r>
  <r>
    <n v="768"/>
    <x v="767"/>
    <m/>
    <n v="40"/>
  </r>
  <r>
    <n v="769"/>
    <x v="768"/>
    <m/>
    <n v="48"/>
  </r>
  <r>
    <n v="770"/>
    <x v="769"/>
    <m/>
    <n v="39"/>
  </r>
  <r>
    <n v="771"/>
    <x v="770"/>
    <m/>
    <n v="42"/>
  </r>
  <r>
    <n v="772"/>
    <x v="771"/>
    <m/>
    <n v="43"/>
  </r>
  <r>
    <n v="773"/>
    <x v="772"/>
    <m/>
    <n v="48"/>
  </r>
  <r>
    <n v="774"/>
    <x v="773"/>
    <m/>
    <n v="45"/>
  </r>
  <r>
    <n v="775"/>
    <x v="774"/>
    <m/>
    <n v="53"/>
  </r>
  <r>
    <n v="776"/>
    <x v="775"/>
    <m/>
    <n v="27"/>
  </r>
  <r>
    <n v="777"/>
    <x v="776"/>
    <m/>
    <n v="38"/>
  </r>
  <r>
    <n v="778"/>
    <x v="777"/>
    <m/>
    <n v="40"/>
  </r>
  <r>
    <n v="779"/>
    <x v="778"/>
    <m/>
    <n v="38"/>
  </r>
  <r>
    <n v="780"/>
    <x v="779"/>
    <m/>
    <n v="40"/>
  </r>
  <r>
    <n v="781"/>
    <x v="780"/>
    <m/>
    <n v="36"/>
  </r>
  <r>
    <n v="782"/>
    <x v="781"/>
    <m/>
    <n v="45"/>
  </r>
  <r>
    <n v="783"/>
    <x v="782"/>
    <m/>
    <n v="38"/>
  </r>
  <r>
    <n v="784"/>
    <x v="783"/>
    <m/>
    <n v="36"/>
  </r>
  <r>
    <n v="785"/>
    <x v="784"/>
    <m/>
    <n v="51"/>
  </r>
  <r>
    <n v="786"/>
    <x v="785"/>
    <m/>
    <n v="45"/>
  </r>
  <r>
    <n v="787"/>
    <x v="786"/>
    <m/>
    <n v="36"/>
  </r>
  <r>
    <n v="788"/>
    <x v="787"/>
    <m/>
    <n v="40"/>
  </r>
  <r>
    <n v="789"/>
    <x v="788"/>
    <m/>
    <n v="42"/>
  </r>
  <r>
    <n v="790"/>
    <x v="789"/>
    <m/>
    <n v="39"/>
  </r>
  <r>
    <n v="791"/>
    <x v="790"/>
    <m/>
    <n v="37"/>
  </r>
  <r>
    <n v="792"/>
    <x v="791"/>
    <m/>
    <n v="35"/>
  </r>
  <r>
    <n v="793"/>
    <x v="792"/>
    <m/>
    <n v="39"/>
  </r>
  <r>
    <n v="794"/>
    <x v="793"/>
    <m/>
    <n v="39"/>
  </r>
  <r>
    <n v="795"/>
    <x v="794"/>
    <m/>
    <n v="45"/>
  </r>
  <r>
    <n v="796"/>
    <x v="795"/>
    <m/>
    <n v="34"/>
  </r>
  <r>
    <n v="797"/>
    <x v="796"/>
    <m/>
    <n v="51"/>
  </r>
  <r>
    <n v="798"/>
    <x v="797"/>
    <m/>
    <n v="36"/>
  </r>
  <r>
    <n v="799"/>
    <x v="798"/>
    <m/>
    <n v="37"/>
  </r>
  <r>
    <n v="800"/>
    <x v="799"/>
    <m/>
    <n v="47"/>
  </r>
  <r>
    <n v="801"/>
    <x v="800"/>
    <m/>
    <n v="41"/>
  </r>
  <r>
    <n v="802"/>
    <x v="801"/>
    <m/>
    <n v="41"/>
  </r>
  <r>
    <n v="803"/>
    <x v="802"/>
    <m/>
    <n v="42"/>
  </r>
  <r>
    <n v="804"/>
    <x v="803"/>
    <m/>
    <n v="48"/>
  </r>
  <r>
    <n v="805"/>
    <x v="804"/>
    <m/>
    <n v="55"/>
  </r>
  <r>
    <n v="806"/>
    <x v="805"/>
    <m/>
    <n v="50"/>
  </r>
  <r>
    <n v="807"/>
    <x v="806"/>
    <m/>
    <n v="44"/>
  </r>
  <r>
    <n v="808"/>
    <x v="807"/>
    <m/>
    <n v="41"/>
  </r>
  <r>
    <n v="809"/>
    <x v="808"/>
    <m/>
    <n v="38"/>
  </r>
  <r>
    <n v="810"/>
    <x v="809"/>
    <m/>
    <n v="44"/>
  </r>
  <r>
    <n v="811"/>
    <x v="810"/>
    <m/>
    <n v="39"/>
  </r>
  <r>
    <n v="812"/>
    <x v="811"/>
    <m/>
    <n v="52"/>
  </r>
  <r>
    <n v="813"/>
    <x v="812"/>
    <m/>
    <n v="47"/>
  </r>
  <r>
    <n v="814"/>
    <x v="813"/>
    <m/>
    <n v="43"/>
  </r>
  <r>
    <n v="815"/>
    <x v="814"/>
    <m/>
    <n v="56"/>
  </r>
  <r>
    <n v="816"/>
    <x v="815"/>
    <m/>
    <n v="45"/>
  </r>
  <r>
    <n v="817"/>
    <x v="816"/>
    <m/>
    <n v="49"/>
  </r>
  <r>
    <n v="818"/>
    <x v="817"/>
    <m/>
    <n v="43"/>
  </r>
  <r>
    <n v="819"/>
    <x v="818"/>
    <m/>
    <n v="47"/>
  </r>
  <r>
    <n v="820"/>
    <x v="819"/>
    <m/>
    <n v="44"/>
  </r>
  <r>
    <n v="821"/>
    <x v="820"/>
    <m/>
    <n v="42"/>
  </r>
  <r>
    <n v="822"/>
    <x v="821"/>
    <m/>
    <n v="49"/>
  </r>
  <r>
    <n v="823"/>
    <x v="822"/>
    <m/>
    <n v="43"/>
  </r>
  <r>
    <n v="824"/>
    <x v="823"/>
    <m/>
    <n v="29"/>
  </r>
  <r>
    <n v="825"/>
    <x v="824"/>
    <m/>
    <n v="32"/>
  </r>
  <r>
    <n v="826"/>
    <x v="825"/>
    <m/>
    <n v="36"/>
  </r>
  <r>
    <n v="827"/>
    <x v="826"/>
    <m/>
    <n v="51"/>
  </r>
  <r>
    <n v="828"/>
    <x v="827"/>
    <m/>
    <n v="44"/>
  </r>
  <r>
    <n v="829"/>
    <x v="828"/>
    <m/>
    <n v="40"/>
  </r>
  <r>
    <n v="830"/>
    <x v="829"/>
    <m/>
    <n v="46"/>
  </r>
  <r>
    <n v="831"/>
    <x v="830"/>
    <m/>
    <n v="30"/>
  </r>
  <r>
    <n v="832"/>
    <x v="831"/>
    <m/>
    <n v="45"/>
  </r>
  <r>
    <n v="833"/>
    <x v="832"/>
    <m/>
    <n v="43"/>
  </r>
  <r>
    <n v="834"/>
    <x v="833"/>
    <m/>
    <n v="47"/>
  </r>
  <r>
    <n v="835"/>
    <x v="834"/>
    <m/>
    <n v="50"/>
  </r>
  <r>
    <n v="836"/>
    <x v="835"/>
    <m/>
    <n v="49"/>
  </r>
  <r>
    <n v="837"/>
    <x v="836"/>
    <m/>
    <n v="42"/>
  </r>
  <r>
    <n v="838"/>
    <x v="837"/>
    <m/>
    <n v="37"/>
  </r>
  <r>
    <n v="839"/>
    <x v="838"/>
    <m/>
    <n v="46"/>
  </r>
  <r>
    <n v="840"/>
    <x v="839"/>
    <m/>
    <n v="40"/>
  </r>
  <r>
    <n v="841"/>
    <x v="840"/>
    <m/>
    <n v="39"/>
  </r>
  <r>
    <n v="842"/>
    <x v="841"/>
    <m/>
    <n v="46"/>
  </r>
  <r>
    <n v="843"/>
    <x v="842"/>
    <m/>
    <n v="41"/>
  </r>
  <r>
    <n v="844"/>
    <x v="843"/>
    <m/>
    <n v="53"/>
  </r>
  <r>
    <n v="845"/>
    <x v="844"/>
    <m/>
    <n v="42"/>
  </r>
  <r>
    <n v="846"/>
    <x v="845"/>
    <m/>
    <n v="35"/>
  </r>
  <r>
    <n v="847"/>
    <x v="846"/>
    <m/>
    <n v="55"/>
  </r>
  <r>
    <n v="848"/>
    <x v="847"/>
    <m/>
    <n v="49"/>
  </r>
  <r>
    <n v="849"/>
    <x v="848"/>
    <m/>
    <n v="53"/>
  </r>
  <r>
    <n v="850"/>
    <x v="849"/>
    <m/>
    <n v="48"/>
  </r>
  <r>
    <n v="851"/>
    <x v="850"/>
    <m/>
    <n v="49"/>
  </r>
  <r>
    <n v="852"/>
    <x v="851"/>
    <m/>
    <n v="42"/>
  </r>
  <r>
    <n v="853"/>
    <x v="852"/>
    <m/>
    <n v="45"/>
  </r>
  <r>
    <n v="854"/>
    <x v="853"/>
    <m/>
    <n v="41"/>
  </r>
  <r>
    <n v="855"/>
    <x v="854"/>
    <m/>
    <n v="43"/>
  </r>
  <r>
    <n v="856"/>
    <x v="855"/>
    <m/>
    <n v="43"/>
  </r>
  <r>
    <n v="857"/>
    <x v="856"/>
    <m/>
    <n v="45"/>
  </r>
  <r>
    <n v="858"/>
    <x v="857"/>
    <m/>
    <n v="35"/>
  </r>
  <r>
    <n v="859"/>
    <x v="858"/>
    <m/>
    <n v="42"/>
  </r>
  <r>
    <n v="860"/>
    <x v="859"/>
    <m/>
    <n v="42"/>
  </r>
  <r>
    <n v="861"/>
    <x v="860"/>
    <m/>
    <n v="38"/>
  </r>
  <r>
    <n v="862"/>
    <x v="861"/>
    <m/>
    <n v="51"/>
  </r>
  <r>
    <n v="863"/>
    <x v="862"/>
    <m/>
    <n v="32"/>
  </r>
  <r>
    <n v="864"/>
    <x v="863"/>
    <m/>
    <n v="39"/>
  </r>
  <r>
    <n v="865"/>
    <x v="864"/>
    <m/>
    <n v="51"/>
  </r>
  <r>
    <n v="866"/>
    <x v="865"/>
    <m/>
    <n v="41"/>
  </r>
  <r>
    <n v="867"/>
    <x v="866"/>
    <m/>
    <n v="44"/>
  </r>
  <r>
    <n v="868"/>
    <x v="867"/>
    <m/>
    <n v="38"/>
  </r>
  <r>
    <n v="869"/>
    <x v="868"/>
    <m/>
    <n v="41"/>
  </r>
  <r>
    <n v="870"/>
    <x v="869"/>
    <m/>
    <n v="45"/>
  </r>
  <r>
    <n v="871"/>
    <x v="870"/>
    <m/>
    <n v="46"/>
  </r>
  <r>
    <n v="872"/>
    <x v="871"/>
    <m/>
    <n v="45"/>
  </r>
  <r>
    <n v="873"/>
    <x v="872"/>
    <m/>
    <n v="48"/>
  </r>
  <r>
    <n v="874"/>
    <x v="873"/>
    <m/>
    <n v="47"/>
  </r>
  <r>
    <n v="875"/>
    <x v="874"/>
    <m/>
    <n v="48"/>
  </r>
  <r>
    <n v="876"/>
    <x v="875"/>
    <m/>
    <n v="45"/>
  </r>
  <r>
    <n v="877"/>
    <x v="876"/>
    <m/>
    <n v="35"/>
  </r>
  <r>
    <n v="878"/>
    <x v="877"/>
    <m/>
    <n v="33"/>
  </r>
  <r>
    <n v="879"/>
    <x v="878"/>
    <m/>
    <n v="41"/>
  </r>
  <r>
    <n v="880"/>
    <x v="879"/>
    <m/>
    <n v="37"/>
  </r>
  <r>
    <n v="881"/>
    <x v="880"/>
    <m/>
    <n v="34"/>
  </r>
  <r>
    <n v="882"/>
    <x v="881"/>
    <m/>
    <n v="35"/>
  </r>
  <r>
    <n v="883"/>
    <x v="882"/>
    <m/>
    <n v="31"/>
  </r>
  <r>
    <n v="884"/>
    <x v="883"/>
    <m/>
    <n v="37"/>
  </r>
  <r>
    <n v="885"/>
    <x v="884"/>
    <m/>
    <n v="38"/>
  </r>
  <r>
    <n v="886"/>
    <x v="885"/>
    <m/>
    <n v="46"/>
  </r>
  <r>
    <n v="887"/>
    <x v="886"/>
    <m/>
    <n v="34"/>
  </r>
  <r>
    <n v="888"/>
    <x v="887"/>
    <m/>
    <n v="34"/>
  </r>
  <r>
    <n v="889"/>
    <x v="888"/>
    <m/>
    <n v="48"/>
  </r>
  <r>
    <n v="890"/>
    <x v="889"/>
    <m/>
    <n v="37"/>
  </r>
  <r>
    <n v="891"/>
    <x v="890"/>
    <m/>
    <n v="47"/>
  </r>
  <r>
    <n v="892"/>
    <x v="891"/>
    <m/>
    <n v="44"/>
  </r>
  <r>
    <n v="893"/>
    <x v="892"/>
    <m/>
    <n v="42"/>
  </r>
  <r>
    <n v="894"/>
    <x v="893"/>
    <m/>
    <n v="31"/>
  </r>
  <r>
    <n v="895"/>
    <x v="894"/>
    <m/>
    <n v="41"/>
  </r>
  <r>
    <n v="896"/>
    <x v="895"/>
    <m/>
    <n v="38"/>
  </r>
  <r>
    <n v="897"/>
    <x v="896"/>
    <m/>
    <n v="37"/>
  </r>
  <r>
    <n v="898"/>
    <x v="897"/>
    <m/>
    <n v="48"/>
  </r>
  <r>
    <n v="899"/>
    <x v="898"/>
    <m/>
    <n v="34"/>
  </r>
  <r>
    <n v="900"/>
    <x v="899"/>
    <m/>
    <n v="46"/>
  </r>
  <r>
    <n v="901"/>
    <x v="900"/>
    <m/>
    <n v="48"/>
  </r>
  <r>
    <n v="902"/>
    <x v="901"/>
    <m/>
    <n v="46"/>
  </r>
  <r>
    <n v="903"/>
    <x v="902"/>
    <m/>
    <n v="41"/>
  </r>
  <r>
    <n v="904"/>
    <x v="903"/>
    <m/>
    <n v="38"/>
  </r>
  <r>
    <n v="905"/>
    <x v="904"/>
    <m/>
    <n v="48"/>
  </r>
  <r>
    <n v="906"/>
    <x v="905"/>
    <m/>
    <n v="43"/>
  </r>
  <r>
    <n v="907"/>
    <x v="906"/>
    <m/>
    <n v="43"/>
  </r>
  <r>
    <n v="908"/>
    <x v="907"/>
    <m/>
    <n v="36"/>
  </r>
  <r>
    <n v="909"/>
    <x v="908"/>
    <m/>
    <n v="39"/>
  </r>
  <r>
    <n v="910"/>
    <x v="909"/>
    <m/>
    <n v="40"/>
  </r>
  <r>
    <n v="911"/>
    <x v="910"/>
    <m/>
    <n v="42"/>
  </r>
  <r>
    <n v="912"/>
    <x v="911"/>
    <m/>
    <n v="37"/>
  </r>
  <r>
    <n v="913"/>
    <x v="912"/>
    <m/>
    <n v="33"/>
  </r>
  <r>
    <n v="914"/>
    <x v="913"/>
    <m/>
    <n v="46"/>
  </r>
  <r>
    <n v="915"/>
    <x v="914"/>
    <m/>
    <n v="36"/>
  </r>
  <r>
    <n v="916"/>
    <x v="915"/>
    <m/>
    <n v="33"/>
  </r>
  <r>
    <n v="917"/>
    <x v="916"/>
    <m/>
    <n v="33"/>
  </r>
  <r>
    <n v="918"/>
    <x v="917"/>
    <m/>
    <n v="37"/>
  </r>
  <r>
    <n v="919"/>
    <x v="918"/>
    <m/>
    <n v="38"/>
  </r>
  <r>
    <n v="920"/>
    <x v="919"/>
    <m/>
    <n v="36"/>
  </r>
  <r>
    <n v="921"/>
    <x v="920"/>
    <m/>
    <n v="40"/>
  </r>
  <r>
    <n v="922"/>
    <x v="921"/>
    <m/>
    <n v="39"/>
  </r>
  <r>
    <n v="923"/>
    <x v="922"/>
    <m/>
    <n v="34"/>
  </r>
  <r>
    <n v="924"/>
    <x v="923"/>
    <m/>
    <n v="40"/>
  </r>
  <r>
    <n v="925"/>
    <x v="924"/>
    <m/>
    <n v="28"/>
  </r>
  <r>
    <n v="926"/>
    <x v="925"/>
    <m/>
    <n v="49"/>
  </r>
  <r>
    <n v="927"/>
    <x v="926"/>
    <m/>
    <n v="39"/>
  </r>
  <r>
    <n v="928"/>
    <x v="927"/>
    <m/>
    <n v="34"/>
  </r>
  <r>
    <n v="929"/>
    <x v="928"/>
    <m/>
    <n v="27"/>
  </r>
  <r>
    <n v="930"/>
    <x v="929"/>
    <m/>
    <n v="39"/>
  </r>
  <r>
    <n v="931"/>
    <x v="930"/>
    <m/>
    <n v="46"/>
  </r>
  <r>
    <n v="932"/>
    <x v="931"/>
    <m/>
    <n v="41"/>
  </r>
  <r>
    <n v="933"/>
    <x v="932"/>
    <m/>
    <n v="32"/>
  </r>
  <r>
    <n v="934"/>
    <x v="933"/>
    <m/>
    <n v="43"/>
  </r>
  <r>
    <n v="935"/>
    <x v="934"/>
    <m/>
    <n v="44"/>
  </r>
  <r>
    <n v="936"/>
    <x v="935"/>
    <m/>
    <n v="36"/>
  </r>
  <r>
    <n v="937"/>
    <x v="936"/>
    <m/>
    <n v="29"/>
  </r>
  <r>
    <n v="938"/>
    <x v="937"/>
    <m/>
    <n v="39"/>
  </r>
  <r>
    <n v="939"/>
    <x v="938"/>
    <m/>
    <n v="30"/>
  </r>
  <r>
    <n v="940"/>
    <x v="939"/>
    <m/>
    <n v="24"/>
  </r>
  <r>
    <n v="941"/>
    <x v="940"/>
    <m/>
    <n v="39"/>
  </r>
  <r>
    <n v="942"/>
    <x v="941"/>
    <m/>
    <n v="33"/>
  </r>
  <r>
    <n v="943"/>
    <x v="942"/>
    <m/>
    <n v="29"/>
  </r>
  <r>
    <n v="944"/>
    <x v="943"/>
    <m/>
    <n v="41"/>
  </r>
  <r>
    <n v="945"/>
    <x v="944"/>
    <m/>
    <n v="27"/>
  </r>
  <r>
    <n v="946"/>
    <x v="945"/>
    <m/>
    <n v="38"/>
  </r>
  <r>
    <n v="947"/>
    <x v="946"/>
    <m/>
    <n v="38"/>
  </r>
  <r>
    <n v="948"/>
    <x v="947"/>
    <m/>
    <n v="38"/>
  </r>
  <r>
    <n v="949"/>
    <x v="948"/>
    <m/>
    <n v="42"/>
  </r>
  <r>
    <n v="950"/>
    <x v="949"/>
    <m/>
    <n v="35"/>
  </r>
  <r>
    <n v="951"/>
    <x v="950"/>
    <m/>
    <n v="32"/>
  </r>
  <r>
    <n v="952"/>
    <x v="951"/>
    <m/>
    <n v="28"/>
  </r>
  <r>
    <n v="953"/>
    <x v="952"/>
    <m/>
    <n v="30"/>
  </r>
  <r>
    <n v="954"/>
    <x v="953"/>
    <m/>
    <n v="33"/>
  </r>
  <r>
    <n v="955"/>
    <x v="954"/>
    <m/>
    <n v="32"/>
  </r>
  <r>
    <n v="956"/>
    <x v="955"/>
    <m/>
    <n v="50"/>
  </r>
  <r>
    <n v="957"/>
    <x v="956"/>
    <m/>
    <n v="36"/>
  </r>
  <r>
    <n v="958"/>
    <x v="957"/>
    <m/>
    <n v="31"/>
  </r>
  <r>
    <n v="959"/>
    <x v="958"/>
    <m/>
    <n v="29"/>
  </r>
  <r>
    <n v="960"/>
    <x v="959"/>
    <m/>
    <n v="38"/>
  </r>
  <r>
    <n v="961"/>
    <x v="960"/>
    <m/>
    <n v="40"/>
  </r>
  <r>
    <n v="962"/>
    <x v="961"/>
    <m/>
    <n v="33"/>
  </r>
  <r>
    <n v="963"/>
    <x v="962"/>
    <m/>
    <n v="34"/>
  </r>
  <r>
    <n v="964"/>
    <x v="963"/>
    <m/>
    <n v="33"/>
  </r>
  <r>
    <n v="965"/>
    <x v="964"/>
    <m/>
    <n v="32"/>
  </r>
  <r>
    <n v="966"/>
    <x v="965"/>
    <m/>
    <n v="39"/>
  </r>
  <r>
    <n v="967"/>
    <x v="966"/>
    <m/>
    <n v="32"/>
  </r>
  <r>
    <n v="968"/>
    <x v="967"/>
    <m/>
    <n v="34"/>
  </r>
  <r>
    <n v="969"/>
    <x v="968"/>
    <m/>
    <n v="29"/>
  </r>
  <r>
    <n v="970"/>
    <x v="969"/>
    <m/>
    <n v="36"/>
  </r>
  <r>
    <n v="971"/>
    <x v="970"/>
    <m/>
    <n v="30"/>
  </r>
  <r>
    <n v="972"/>
    <x v="971"/>
    <m/>
    <n v="37"/>
  </r>
  <r>
    <n v="973"/>
    <x v="972"/>
    <m/>
    <n v="39"/>
  </r>
  <r>
    <n v="974"/>
    <x v="973"/>
    <m/>
    <n v="25"/>
  </r>
  <r>
    <n v="975"/>
    <x v="974"/>
    <m/>
    <n v="33"/>
  </r>
  <r>
    <n v="976"/>
    <x v="975"/>
    <m/>
    <n v="23"/>
  </r>
  <r>
    <n v="977"/>
    <x v="976"/>
    <m/>
    <n v="28"/>
  </r>
  <r>
    <n v="978"/>
    <x v="977"/>
    <m/>
    <n v="29"/>
  </r>
  <r>
    <n v="979"/>
    <x v="978"/>
    <m/>
    <n v="33"/>
  </r>
  <r>
    <n v="980"/>
    <x v="979"/>
    <m/>
    <n v="29"/>
  </r>
  <r>
    <n v="981"/>
    <x v="980"/>
    <m/>
    <n v="35"/>
  </r>
  <r>
    <n v="982"/>
    <x v="981"/>
    <m/>
    <n v="38"/>
  </r>
  <r>
    <n v="983"/>
    <x v="982"/>
    <m/>
    <n v="19"/>
  </r>
  <r>
    <n v="984"/>
    <x v="983"/>
    <m/>
    <n v="34"/>
  </r>
  <r>
    <n v="985"/>
    <x v="984"/>
    <m/>
    <n v="29"/>
  </r>
  <r>
    <n v="986"/>
    <x v="985"/>
    <m/>
    <n v="25"/>
  </r>
  <r>
    <n v="987"/>
    <x v="986"/>
    <m/>
    <n v="32"/>
  </r>
  <r>
    <n v="988"/>
    <x v="987"/>
    <m/>
    <n v="38"/>
  </r>
  <r>
    <n v="989"/>
    <x v="988"/>
    <m/>
    <n v="24"/>
  </r>
  <r>
    <n v="990"/>
    <x v="989"/>
    <m/>
    <n v="39"/>
  </r>
  <r>
    <n v="991"/>
    <x v="990"/>
    <m/>
    <n v="30"/>
  </r>
  <r>
    <n v="992"/>
    <x v="991"/>
    <m/>
    <n v="32"/>
  </r>
  <r>
    <n v="993"/>
    <x v="992"/>
    <m/>
    <n v="32"/>
  </r>
  <r>
    <n v="994"/>
    <x v="993"/>
    <m/>
    <n v="31"/>
  </r>
  <r>
    <n v="995"/>
    <x v="994"/>
    <m/>
    <n v="40"/>
  </r>
  <r>
    <n v="996"/>
    <x v="995"/>
    <m/>
    <n v="37"/>
  </r>
  <r>
    <n v="997"/>
    <x v="996"/>
    <m/>
    <n v="29"/>
  </r>
  <r>
    <n v="998"/>
    <x v="997"/>
    <m/>
    <n v="33"/>
  </r>
  <r>
    <n v="999"/>
    <x v="998"/>
    <m/>
    <n v="28"/>
  </r>
  <r>
    <n v="1000"/>
    <x v="999"/>
    <m/>
    <n v="25"/>
  </r>
  <r>
    <n v="1001"/>
    <x v="1000"/>
    <m/>
    <n v="29"/>
  </r>
  <r>
    <n v="1002"/>
    <x v="1001"/>
    <m/>
    <n v="32"/>
  </r>
  <r>
    <n v="1003"/>
    <x v="1002"/>
    <m/>
    <n v="36"/>
  </r>
  <r>
    <n v="1004"/>
    <x v="1003"/>
    <m/>
    <n v="42"/>
  </r>
  <r>
    <n v="1005"/>
    <x v="1004"/>
    <m/>
    <n v="35"/>
  </r>
  <r>
    <n v="1006"/>
    <x v="1005"/>
    <m/>
    <n v="41"/>
  </r>
  <r>
    <n v="1007"/>
    <x v="1006"/>
    <m/>
    <n v="25"/>
  </r>
  <r>
    <n v="1008"/>
    <x v="1007"/>
    <m/>
    <n v="28"/>
  </r>
  <r>
    <n v="1009"/>
    <x v="1008"/>
    <m/>
    <n v="31"/>
  </r>
  <r>
    <n v="1010"/>
    <x v="1009"/>
    <m/>
    <n v="28"/>
  </r>
  <r>
    <n v="1011"/>
    <x v="1010"/>
    <m/>
    <n v="36"/>
  </r>
  <r>
    <n v="1012"/>
    <x v="1011"/>
    <m/>
    <n v="29"/>
  </r>
  <r>
    <n v="1013"/>
    <x v="1012"/>
    <m/>
    <n v="39"/>
  </r>
  <r>
    <n v="1014"/>
    <x v="1013"/>
    <m/>
    <n v="33"/>
  </r>
  <r>
    <n v="1015"/>
    <x v="1014"/>
    <m/>
    <n v="31"/>
  </r>
  <r>
    <n v="1016"/>
    <x v="1015"/>
    <m/>
    <n v="39"/>
  </r>
  <r>
    <n v="1017"/>
    <x v="1016"/>
    <m/>
    <n v="29"/>
  </r>
  <r>
    <n v="1018"/>
    <x v="1017"/>
    <m/>
    <n v="22"/>
  </r>
  <r>
    <n v="1019"/>
    <x v="1018"/>
    <m/>
    <n v="40"/>
  </r>
  <r>
    <n v="1020"/>
    <x v="1019"/>
    <m/>
    <n v="30"/>
  </r>
  <r>
    <n v="1021"/>
    <x v="1020"/>
    <m/>
    <n v="34"/>
  </r>
  <r>
    <n v="1022"/>
    <x v="1021"/>
    <m/>
    <n v="35"/>
  </r>
  <r>
    <n v="1023"/>
    <x v="1022"/>
    <m/>
    <n v="41"/>
  </r>
  <r>
    <n v="1024"/>
    <x v="1023"/>
    <m/>
    <n v="26"/>
  </r>
  <r>
    <n v="1025"/>
    <x v="1024"/>
    <m/>
    <n v="34"/>
  </r>
  <r>
    <n v="1026"/>
    <x v="1025"/>
    <m/>
    <n v="35"/>
  </r>
  <r>
    <n v="1027"/>
    <x v="1026"/>
    <m/>
    <n v="39"/>
  </r>
  <r>
    <n v="1028"/>
    <x v="1027"/>
    <m/>
    <n v="37"/>
  </r>
  <r>
    <n v="1029"/>
    <x v="1028"/>
    <m/>
    <n v="36"/>
  </r>
  <r>
    <n v="1030"/>
    <x v="1029"/>
    <m/>
    <n v="33"/>
  </r>
  <r>
    <n v="1031"/>
    <x v="1030"/>
    <m/>
    <n v="32"/>
  </r>
  <r>
    <n v="1032"/>
    <x v="1031"/>
    <m/>
    <n v="34"/>
  </r>
  <r>
    <n v="1033"/>
    <x v="1032"/>
    <m/>
    <n v="34"/>
  </r>
  <r>
    <n v="1034"/>
    <x v="1033"/>
    <m/>
    <n v="30"/>
  </r>
  <r>
    <n v="1035"/>
    <x v="1034"/>
    <m/>
    <n v="25"/>
  </r>
  <r>
    <n v="1036"/>
    <x v="1035"/>
    <m/>
    <n v="36"/>
  </r>
  <r>
    <n v="1037"/>
    <x v="1036"/>
    <m/>
    <n v="35"/>
  </r>
  <r>
    <n v="1038"/>
    <x v="1037"/>
    <m/>
    <n v="35"/>
  </r>
  <r>
    <n v="1039"/>
    <x v="1038"/>
    <m/>
    <n v="39"/>
  </r>
  <r>
    <n v="1040"/>
    <x v="1039"/>
    <m/>
    <n v="24"/>
  </r>
  <r>
    <n v="1041"/>
    <x v="1040"/>
    <m/>
    <n v="29"/>
  </r>
  <r>
    <n v="1042"/>
    <x v="1041"/>
    <m/>
    <n v="43"/>
  </r>
  <r>
    <n v="1043"/>
    <x v="1042"/>
    <m/>
    <n v="30"/>
  </r>
  <r>
    <n v="1044"/>
    <x v="1043"/>
    <m/>
    <n v="38"/>
  </r>
  <r>
    <n v="1045"/>
    <x v="1044"/>
    <m/>
    <n v="39"/>
  </r>
  <r>
    <n v="1046"/>
    <x v="1045"/>
    <m/>
    <n v="32"/>
  </r>
  <r>
    <n v="1047"/>
    <x v="1046"/>
    <m/>
    <n v="39"/>
  </r>
  <r>
    <n v="1048"/>
    <x v="1047"/>
    <m/>
    <n v="49"/>
  </r>
  <r>
    <n v="1049"/>
    <x v="1048"/>
    <m/>
    <n v="41"/>
  </r>
  <r>
    <n v="1050"/>
    <x v="1049"/>
    <m/>
    <n v="33"/>
  </r>
  <r>
    <n v="1051"/>
    <x v="1050"/>
    <m/>
    <n v="36"/>
  </r>
  <r>
    <n v="1052"/>
    <x v="1051"/>
    <m/>
    <n v="37"/>
  </r>
  <r>
    <n v="1053"/>
    <x v="1052"/>
    <m/>
    <n v="30"/>
  </r>
  <r>
    <n v="1054"/>
    <x v="1053"/>
    <m/>
    <n v="39"/>
  </r>
  <r>
    <n v="1055"/>
    <x v="1054"/>
    <m/>
    <n v="32"/>
  </r>
  <r>
    <n v="1056"/>
    <x v="1055"/>
    <m/>
    <n v="38"/>
  </r>
  <r>
    <n v="1057"/>
    <x v="1056"/>
    <m/>
    <n v="39"/>
  </r>
  <r>
    <n v="1058"/>
    <x v="1057"/>
    <m/>
    <n v="43"/>
  </r>
  <r>
    <n v="1059"/>
    <x v="1058"/>
    <m/>
    <n v="35"/>
  </r>
  <r>
    <n v="1060"/>
    <x v="1059"/>
    <m/>
    <n v="37"/>
  </r>
  <r>
    <n v="1061"/>
    <x v="1060"/>
    <m/>
    <n v="35"/>
  </r>
  <r>
    <n v="1062"/>
    <x v="1061"/>
    <m/>
    <n v="30"/>
  </r>
  <r>
    <n v="1063"/>
    <x v="1062"/>
    <m/>
    <n v="38"/>
  </r>
  <r>
    <n v="1064"/>
    <x v="1063"/>
    <m/>
    <n v="40"/>
  </r>
  <r>
    <n v="1065"/>
    <x v="1064"/>
    <m/>
    <n v="36"/>
  </r>
  <r>
    <n v="1066"/>
    <x v="1065"/>
    <m/>
    <n v="31"/>
  </r>
  <r>
    <n v="1067"/>
    <x v="1066"/>
    <m/>
    <n v="32"/>
  </r>
  <r>
    <n v="1068"/>
    <x v="1067"/>
    <m/>
    <n v="41"/>
  </r>
  <r>
    <n v="1069"/>
    <x v="1068"/>
    <m/>
    <n v="46"/>
  </r>
  <r>
    <n v="1070"/>
    <x v="1069"/>
    <m/>
    <n v="33"/>
  </r>
  <r>
    <n v="1071"/>
    <x v="1070"/>
    <m/>
    <n v="34"/>
  </r>
  <r>
    <n v="1072"/>
    <x v="1071"/>
    <m/>
    <n v="33"/>
  </r>
  <r>
    <n v="1073"/>
    <x v="1072"/>
    <m/>
    <n v="38"/>
  </r>
  <r>
    <n v="1074"/>
    <x v="1073"/>
    <m/>
    <n v="40"/>
  </r>
  <r>
    <n v="1075"/>
    <x v="1074"/>
    <m/>
    <n v="40"/>
  </r>
  <r>
    <n v="1076"/>
    <x v="1075"/>
    <m/>
    <n v="41"/>
  </r>
  <r>
    <n v="1077"/>
    <x v="1076"/>
    <m/>
    <n v="38"/>
  </r>
  <r>
    <n v="1078"/>
    <x v="1077"/>
    <m/>
    <n v="44"/>
  </r>
  <r>
    <n v="1079"/>
    <x v="1078"/>
    <m/>
    <n v="41"/>
  </r>
  <r>
    <n v="1080"/>
    <x v="1079"/>
    <m/>
    <n v="36"/>
  </r>
  <r>
    <n v="1081"/>
    <x v="1080"/>
    <m/>
    <n v="40"/>
  </r>
  <r>
    <n v="1082"/>
    <x v="1081"/>
    <m/>
    <n v="39"/>
  </r>
  <r>
    <n v="1083"/>
    <x v="1082"/>
    <m/>
    <n v="33"/>
  </r>
  <r>
    <n v="1084"/>
    <x v="1083"/>
    <m/>
    <n v="36"/>
  </r>
  <r>
    <n v="1085"/>
    <x v="1084"/>
    <m/>
    <n v="36"/>
  </r>
  <r>
    <n v="1086"/>
    <x v="1085"/>
    <m/>
    <n v="35"/>
  </r>
  <r>
    <n v="1087"/>
    <x v="1086"/>
    <m/>
    <n v="31"/>
  </r>
  <r>
    <n v="1088"/>
    <x v="1087"/>
    <m/>
    <n v="32"/>
  </r>
  <r>
    <n v="1089"/>
    <x v="1088"/>
    <m/>
    <n v="37"/>
  </r>
  <r>
    <n v="1090"/>
    <x v="1089"/>
    <m/>
    <n v="37"/>
  </r>
  <r>
    <n v="1091"/>
    <x v="1090"/>
    <m/>
    <n v="36"/>
  </r>
  <r>
    <n v="1092"/>
    <x v="1091"/>
    <m/>
    <n v="32"/>
  </r>
  <r>
    <n v="1093"/>
    <x v="1092"/>
    <m/>
    <n v="34"/>
  </r>
  <r>
    <n v="1094"/>
    <x v="1093"/>
    <m/>
    <n v="38"/>
  </r>
  <r>
    <n v="1095"/>
    <x v="1094"/>
    <m/>
    <n v="27"/>
  </r>
  <r>
    <n v="1096"/>
    <x v="1095"/>
    <m/>
    <n v="45"/>
  </r>
  <r>
    <n v="1097"/>
    <x v="1096"/>
    <m/>
    <n v="42"/>
  </r>
  <r>
    <n v="1098"/>
    <x v="1097"/>
    <m/>
    <n v="42"/>
  </r>
  <r>
    <n v="1099"/>
    <x v="1098"/>
    <m/>
    <n v="55"/>
  </r>
  <r>
    <n v="1100"/>
    <x v="1099"/>
    <m/>
    <n v="41"/>
  </r>
  <r>
    <n v="1101"/>
    <x v="1100"/>
    <m/>
    <n v="47"/>
  </r>
  <r>
    <n v="1102"/>
    <x v="1101"/>
    <m/>
    <n v="34"/>
  </r>
  <r>
    <n v="1103"/>
    <x v="1102"/>
    <m/>
    <n v="47"/>
  </r>
  <r>
    <n v="1104"/>
    <x v="1103"/>
    <m/>
    <n v="38"/>
  </r>
  <r>
    <n v="1105"/>
    <x v="1104"/>
    <m/>
    <n v="35"/>
  </r>
  <r>
    <n v="1106"/>
    <x v="1105"/>
    <m/>
    <n v="37"/>
  </r>
  <r>
    <n v="1107"/>
    <x v="1106"/>
    <m/>
    <n v="32"/>
  </r>
  <r>
    <n v="1108"/>
    <x v="1107"/>
    <m/>
    <n v="47"/>
  </r>
  <r>
    <n v="1109"/>
    <x v="1108"/>
    <m/>
    <n v="47"/>
  </r>
  <r>
    <n v="1110"/>
    <x v="1109"/>
    <m/>
    <n v="35"/>
  </r>
  <r>
    <n v="1111"/>
    <x v="1110"/>
    <m/>
    <n v="42"/>
  </r>
  <r>
    <n v="1112"/>
    <x v="1111"/>
    <m/>
    <n v="41"/>
  </r>
  <r>
    <n v="1113"/>
    <x v="1112"/>
    <m/>
    <n v="28"/>
  </r>
  <r>
    <n v="1114"/>
    <x v="1113"/>
    <m/>
    <n v="42"/>
  </r>
  <r>
    <n v="1115"/>
    <x v="1114"/>
    <m/>
    <n v="33"/>
  </r>
  <r>
    <n v="1116"/>
    <x v="1115"/>
    <m/>
    <n v="48"/>
  </r>
  <r>
    <n v="1117"/>
    <x v="1116"/>
    <m/>
    <n v="31"/>
  </r>
  <r>
    <n v="1118"/>
    <x v="1117"/>
    <m/>
    <n v="48"/>
  </r>
  <r>
    <n v="1119"/>
    <x v="1118"/>
    <m/>
    <n v="50"/>
  </r>
  <r>
    <n v="1120"/>
    <x v="1119"/>
    <m/>
    <n v="39"/>
  </r>
  <r>
    <n v="1121"/>
    <x v="1120"/>
    <m/>
    <n v="32"/>
  </r>
  <r>
    <n v="1122"/>
    <x v="1121"/>
    <m/>
    <n v="42"/>
  </r>
  <r>
    <n v="1123"/>
    <x v="1122"/>
    <m/>
    <n v="45"/>
  </r>
  <r>
    <n v="1124"/>
    <x v="1123"/>
    <m/>
    <n v="35"/>
  </r>
  <r>
    <n v="1125"/>
    <x v="1124"/>
    <m/>
    <n v="35"/>
  </r>
  <r>
    <n v="1126"/>
    <x v="1125"/>
    <m/>
    <n v="50"/>
  </r>
  <r>
    <n v="1127"/>
    <x v="1126"/>
    <m/>
    <n v="42"/>
  </r>
  <r>
    <n v="1128"/>
    <x v="1127"/>
    <m/>
    <n v="41"/>
  </r>
  <r>
    <n v="1129"/>
    <x v="1128"/>
    <m/>
    <n v="47"/>
  </r>
  <r>
    <n v="1130"/>
    <x v="1129"/>
    <m/>
    <n v="32"/>
  </r>
  <r>
    <n v="1131"/>
    <x v="1130"/>
    <m/>
    <n v="39"/>
  </r>
  <r>
    <n v="1132"/>
    <x v="1131"/>
    <m/>
    <n v="39"/>
  </r>
  <r>
    <n v="1133"/>
    <x v="1132"/>
    <m/>
    <n v="41"/>
  </r>
  <r>
    <n v="1134"/>
    <x v="1133"/>
    <m/>
    <n v="49"/>
  </r>
  <r>
    <n v="1135"/>
    <x v="1134"/>
    <m/>
    <n v="39"/>
  </r>
  <r>
    <n v="1136"/>
    <x v="1135"/>
    <m/>
    <n v="43"/>
  </r>
  <r>
    <n v="1137"/>
    <x v="1136"/>
    <m/>
    <n v="44"/>
  </r>
  <r>
    <n v="1138"/>
    <x v="1137"/>
    <m/>
    <n v="49"/>
  </r>
  <r>
    <n v="1139"/>
    <x v="1138"/>
    <m/>
    <n v="46"/>
  </r>
  <r>
    <n v="1140"/>
    <x v="1139"/>
    <m/>
    <n v="53"/>
  </r>
  <r>
    <n v="1141"/>
    <x v="1140"/>
    <m/>
    <n v="28"/>
  </r>
  <r>
    <n v="1142"/>
    <x v="1141"/>
    <m/>
    <n v="39"/>
  </r>
  <r>
    <n v="1143"/>
    <x v="1142"/>
    <m/>
    <n v="41"/>
  </r>
  <r>
    <n v="1144"/>
    <x v="1143"/>
    <m/>
    <n v="39"/>
  </r>
  <r>
    <n v="1145"/>
    <x v="1144"/>
    <m/>
    <n v="40"/>
  </r>
  <r>
    <n v="1146"/>
    <x v="1145"/>
    <m/>
    <n v="37"/>
  </r>
  <r>
    <n v="1147"/>
    <x v="1146"/>
    <m/>
    <n v="45"/>
  </r>
  <r>
    <n v="1148"/>
    <x v="1147"/>
    <m/>
    <n v="39"/>
  </r>
  <r>
    <n v="1149"/>
    <x v="1148"/>
    <m/>
    <n v="37"/>
  </r>
  <r>
    <n v="1150"/>
    <x v="1149"/>
    <m/>
    <n v="51"/>
  </r>
  <r>
    <n v="1151"/>
    <x v="1150"/>
    <m/>
    <n v="45"/>
  </r>
  <r>
    <n v="1152"/>
    <x v="1151"/>
    <m/>
    <n v="36"/>
  </r>
  <r>
    <n v="1153"/>
    <x v="1152"/>
    <m/>
    <n v="41"/>
  </r>
  <r>
    <n v="1154"/>
    <x v="1153"/>
    <m/>
    <n v="43"/>
  </r>
  <r>
    <n v="1155"/>
    <x v="1154"/>
    <m/>
    <n v="39"/>
  </r>
  <r>
    <n v="1156"/>
    <x v="1155"/>
    <m/>
    <n v="38"/>
  </r>
  <r>
    <n v="1157"/>
    <x v="1156"/>
    <m/>
    <n v="36"/>
  </r>
  <r>
    <n v="1158"/>
    <x v="1157"/>
    <m/>
    <n v="40"/>
  </r>
  <r>
    <n v="1159"/>
    <x v="1158"/>
    <m/>
    <n v="40"/>
  </r>
  <r>
    <n v="1160"/>
    <x v="1159"/>
    <m/>
    <n v="45"/>
  </r>
  <r>
    <n v="1161"/>
    <x v="1160"/>
    <m/>
    <n v="34"/>
  </r>
  <r>
    <n v="1162"/>
    <x v="1161"/>
    <m/>
    <n v="52"/>
  </r>
  <r>
    <n v="1163"/>
    <x v="1162"/>
    <m/>
    <n v="37"/>
  </r>
  <r>
    <n v="1164"/>
    <x v="1163"/>
    <m/>
    <n v="38"/>
  </r>
  <r>
    <n v="1165"/>
    <x v="1164"/>
    <m/>
    <n v="48"/>
  </r>
  <r>
    <n v="1166"/>
    <x v="1165"/>
    <m/>
    <n v="42"/>
  </r>
  <r>
    <n v="1167"/>
    <x v="1166"/>
    <m/>
    <n v="41"/>
  </r>
  <r>
    <n v="1168"/>
    <x v="1167"/>
    <m/>
    <n v="43"/>
  </r>
  <r>
    <n v="1169"/>
    <x v="1168"/>
    <m/>
    <n v="49"/>
  </r>
  <r>
    <n v="1170"/>
    <x v="1169"/>
    <m/>
    <n v="55"/>
  </r>
  <r>
    <n v="1171"/>
    <x v="1170"/>
    <m/>
    <n v="51"/>
  </r>
  <r>
    <n v="1172"/>
    <x v="1171"/>
    <m/>
    <n v="44"/>
  </r>
  <r>
    <n v="1173"/>
    <x v="1172"/>
    <m/>
    <n v="41"/>
  </r>
  <r>
    <n v="1174"/>
    <x v="1173"/>
    <m/>
    <n v="39"/>
  </r>
  <r>
    <n v="1175"/>
    <x v="1174"/>
    <m/>
    <n v="45"/>
  </r>
  <r>
    <n v="1176"/>
    <x v="1175"/>
    <m/>
    <n v="40"/>
  </r>
  <r>
    <n v="1177"/>
    <x v="1176"/>
    <m/>
    <n v="53"/>
  </r>
  <r>
    <n v="1178"/>
    <x v="1177"/>
    <m/>
    <n v="47"/>
  </r>
  <r>
    <n v="1179"/>
    <x v="1178"/>
    <m/>
    <n v="44"/>
  </r>
  <r>
    <n v="1180"/>
    <x v="1179"/>
    <m/>
    <n v="57"/>
  </r>
  <r>
    <n v="1181"/>
    <x v="1180"/>
    <m/>
    <n v="46"/>
  </r>
  <r>
    <n v="1182"/>
    <x v="1181"/>
    <m/>
    <n v="50"/>
  </r>
  <r>
    <n v="1183"/>
    <x v="1182"/>
    <m/>
    <n v="43"/>
  </r>
  <r>
    <n v="1184"/>
    <x v="1183"/>
    <m/>
    <n v="47"/>
  </r>
  <r>
    <n v="1185"/>
    <x v="1184"/>
    <m/>
    <n v="45"/>
  </r>
  <r>
    <n v="1186"/>
    <x v="1185"/>
    <m/>
    <n v="43"/>
  </r>
  <r>
    <n v="1187"/>
    <x v="1186"/>
    <m/>
    <n v="50"/>
  </r>
  <r>
    <n v="1188"/>
    <x v="1187"/>
    <m/>
    <n v="44"/>
  </r>
  <r>
    <n v="1189"/>
    <x v="1188"/>
    <m/>
    <n v="30"/>
  </r>
  <r>
    <n v="1190"/>
    <x v="1189"/>
    <m/>
    <n v="33"/>
  </r>
  <r>
    <n v="1191"/>
    <x v="1190"/>
    <m/>
    <n v="36"/>
  </r>
  <r>
    <n v="1192"/>
    <x v="1191"/>
    <m/>
    <n v="52"/>
  </r>
  <r>
    <n v="1193"/>
    <x v="1192"/>
    <m/>
    <n v="45"/>
  </r>
  <r>
    <n v="1194"/>
    <x v="1193"/>
    <m/>
    <n v="41"/>
  </r>
  <r>
    <n v="1195"/>
    <x v="1194"/>
    <m/>
    <n v="47"/>
  </r>
  <r>
    <n v="1196"/>
    <x v="1195"/>
    <m/>
    <n v="31"/>
  </r>
  <r>
    <n v="1197"/>
    <x v="1196"/>
    <m/>
    <n v="45"/>
  </r>
  <r>
    <n v="1198"/>
    <x v="1197"/>
    <m/>
    <n v="44"/>
  </r>
  <r>
    <n v="1199"/>
    <x v="1198"/>
    <m/>
    <n v="48"/>
  </r>
  <r>
    <n v="1200"/>
    <x v="1199"/>
    <m/>
    <n v="51"/>
  </r>
  <r>
    <n v="1201"/>
    <x v="1200"/>
    <m/>
    <n v="50"/>
  </r>
  <r>
    <n v="1202"/>
    <x v="1201"/>
    <m/>
    <n v="42"/>
  </r>
  <r>
    <n v="1203"/>
    <x v="1202"/>
    <m/>
    <n v="37"/>
  </r>
  <r>
    <n v="1204"/>
    <x v="1203"/>
    <m/>
    <n v="46"/>
  </r>
  <r>
    <n v="1205"/>
    <x v="1204"/>
    <m/>
    <n v="41"/>
  </r>
  <r>
    <n v="1206"/>
    <x v="1205"/>
    <m/>
    <n v="40"/>
  </r>
  <r>
    <n v="1207"/>
    <x v="1206"/>
    <m/>
    <n v="46"/>
  </r>
  <r>
    <n v="1208"/>
    <x v="1207"/>
    <m/>
    <n v="42"/>
  </r>
  <r>
    <n v="1209"/>
    <x v="1208"/>
    <m/>
    <n v="54"/>
  </r>
  <r>
    <n v="1210"/>
    <x v="1209"/>
    <m/>
    <n v="43"/>
  </r>
  <r>
    <n v="1211"/>
    <x v="1210"/>
    <m/>
    <n v="36"/>
  </r>
  <r>
    <n v="1212"/>
    <x v="1211"/>
    <m/>
    <n v="56"/>
  </r>
  <r>
    <n v="1213"/>
    <x v="1212"/>
    <m/>
    <n v="49"/>
  </r>
  <r>
    <n v="1214"/>
    <x v="1213"/>
    <m/>
    <n v="54"/>
  </r>
  <r>
    <n v="1215"/>
    <x v="1214"/>
    <m/>
    <n v="49"/>
  </r>
  <r>
    <n v="1216"/>
    <x v="1215"/>
    <m/>
    <n v="50"/>
  </r>
  <r>
    <n v="1217"/>
    <x v="1216"/>
    <m/>
    <n v="43"/>
  </r>
  <r>
    <n v="1218"/>
    <x v="1217"/>
    <m/>
    <n v="46"/>
  </r>
  <r>
    <n v="1219"/>
    <x v="1218"/>
    <m/>
    <n v="41"/>
  </r>
  <r>
    <n v="1220"/>
    <x v="1219"/>
    <m/>
    <n v="44"/>
  </r>
  <r>
    <n v="1221"/>
    <x v="1220"/>
    <m/>
    <n v="43"/>
  </r>
  <r>
    <n v="1222"/>
    <x v="1221"/>
    <m/>
    <n v="46"/>
  </r>
  <r>
    <n v="1223"/>
    <x v="1222"/>
    <m/>
    <n v="36"/>
  </r>
  <r>
    <n v="1224"/>
    <x v="1223"/>
    <m/>
    <n v="43"/>
  </r>
  <r>
    <n v="1225"/>
    <x v="1224"/>
    <m/>
    <n v="42"/>
  </r>
  <r>
    <n v="1226"/>
    <x v="1225"/>
    <m/>
    <n v="39"/>
  </r>
  <r>
    <n v="1227"/>
    <x v="1226"/>
    <m/>
    <n v="51"/>
  </r>
  <r>
    <n v="1228"/>
    <x v="1227"/>
    <m/>
    <n v="33"/>
  </r>
  <r>
    <n v="1229"/>
    <x v="1228"/>
    <m/>
    <n v="40"/>
  </r>
  <r>
    <n v="1230"/>
    <x v="1229"/>
    <m/>
    <n v="52"/>
  </r>
  <r>
    <n v="1231"/>
    <x v="1230"/>
    <m/>
    <n v="42"/>
  </r>
  <r>
    <n v="1232"/>
    <x v="1231"/>
    <m/>
    <n v="45"/>
  </r>
  <r>
    <n v="1233"/>
    <x v="1232"/>
    <m/>
    <n v="39"/>
  </r>
  <r>
    <n v="1234"/>
    <x v="1233"/>
    <m/>
    <n v="42"/>
  </r>
  <r>
    <n v="1235"/>
    <x v="1234"/>
    <m/>
    <n v="46"/>
  </r>
  <r>
    <n v="1236"/>
    <x v="1235"/>
    <m/>
    <n v="46"/>
  </r>
  <r>
    <n v="1237"/>
    <x v="1236"/>
    <m/>
    <n v="46"/>
  </r>
  <r>
    <n v="1238"/>
    <x v="1237"/>
    <m/>
    <n v="48"/>
  </r>
  <r>
    <n v="1239"/>
    <x v="1238"/>
    <m/>
    <n v="48"/>
  </r>
  <r>
    <n v="1240"/>
    <x v="1239"/>
    <m/>
    <n v="49"/>
  </r>
  <r>
    <n v="1241"/>
    <x v="1240"/>
    <m/>
    <n v="46"/>
  </r>
  <r>
    <n v="1242"/>
    <x v="1241"/>
    <m/>
    <n v="36"/>
  </r>
  <r>
    <n v="1243"/>
    <x v="1242"/>
    <m/>
    <n v="34"/>
  </r>
  <r>
    <n v="1244"/>
    <x v="1243"/>
    <m/>
    <n v="41"/>
  </r>
  <r>
    <n v="1245"/>
    <x v="1244"/>
    <m/>
    <n v="38"/>
  </r>
  <r>
    <n v="1246"/>
    <x v="1245"/>
    <m/>
    <n v="35"/>
  </r>
  <r>
    <n v="1247"/>
    <x v="1246"/>
    <m/>
    <n v="36"/>
  </r>
  <r>
    <n v="1248"/>
    <x v="1247"/>
    <m/>
    <n v="32"/>
  </r>
  <r>
    <n v="1249"/>
    <x v="1248"/>
    <m/>
    <n v="38"/>
  </r>
  <r>
    <n v="1250"/>
    <x v="1249"/>
    <m/>
    <n v="39"/>
  </r>
  <r>
    <n v="1251"/>
    <x v="1250"/>
    <m/>
    <n v="46"/>
  </r>
  <r>
    <n v="1252"/>
    <x v="1251"/>
    <m/>
    <n v="35"/>
  </r>
  <r>
    <n v="1253"/>
    <x v="1252"/>
    <m/>
    <n v="34"/>
  </r>
  <r>
    <n v="1254"/>
    <x v="1253"/>
    <m/>
    <n v="49"/>
  </r>
  <r>
    <n v="1255"/>
    <x v="1254"/>
    <m/>
    <n v="37"/>
  </r>
  <r>
    <n v="1256"/>
    <x v="1255"/>
    <m/>
    <n v="48"/>
  </r>
  <r>
    <n v="1257"/>
    <x v="1256"/>
    <m/>
    <n v="44"/>
  </r>
  <r>
    <n v="1258"/>
    <x v="1257"/>
    <m/>
    <n v="42"/>
  </r>
  <r>
    <n v="1259"/>
    <x v="1258"/>
    <m/>
    <n v="31"/>
  </r>
  <r>
    <n v="1260"/>
    <x v="1259"/>
    <m/>
    <n v="42"/>
  </r>
  <r>
    <n v="1261"/>
    <x v="1260"/>
    <m/>
    <n v="39"/>
  </r>
  <r>
    <n v="1262"/>
    <x v="1261"/>
    <m/>
    <n v="38"/>
  </r>
  <r>
    <n v="1263"/>
    <x v="1262"/>
    <m/>
    <n v="49"/>
  </r>
  <r>
    <n v="1264"/>
    <x v="1263"/>
    <m/>
    <n v="34"/>
  </r>
  <r>
    <n v="1265"/>
    <x v="1264"/>
    <m/>
    <n v="47"/>
  </r>
  <r>
    <n v="1266"/>
    <x v="1265"/>
    <m/>
    <n v="49"/>
  </r>
  <r>
    <n v="1267"/>
    <x v="1266"/>
    <m/>
    <n v="47"/>
  </r>
  <r>
    <n v="1268"/>
    <x v="1267"/>
    <m/>
    <n v="42"/>
  </r>
  <r>
    <n v="1269"/>
    <x v="1268"/>
    <m/>
    <n v="39"/>
  </r>
  <r>
    <n v="1270"/>
    <x v="1269"/>
    <m/>
    <n v="49"/>
  </r>
  <r>
    <n v="1271"/>
    <x v="1270"/>
    <m/>
    <n v="43"/>
  </r>
  <r>
    <n v="1272"/>
    <x v="1271"/>
    <m/>
    <n v="44"/>
  </r>
  <r>
    <n v="1273"/>
    <x v="1272"/>
    <m/>
    <n v="37"/>
  </r>
  <r>
    <n v="1274"/>
    <x v="1273"/>
    <m/>
    <n v="40"/>
  </r>
  <r>
    <n v="1275"/>
    <x v="1274"/>
    <m/>
    <n v="41"/>
  </r>
  <r>
    <n v="1276"/>
    <x v="1275"/>
    <m/>
    <n v="43"/>
  </r>
  <r>
    <n v="1277"/>
    <x v="1276"/>
    <m/>
    <n v="38"/>
  </r>
  <r>
    <n v="1278"/>
    <x v="1277"/>
    <m/>
    <n v="34"/>
  </r>
  <r>
    <n v="1279"/>
    <x v="1278"/>
    <m/>
    <n v="47"/>
  </r>
  <r>
    <n v="1280"/>
    <x v="1279"/>
    <m/>
    <n v="36"/>
  </r>
  <r>
    <n v="1281"/>
    <x v="1280"/>
    <m/>
    <n v="34"/>
  </r>
  <r>
    <n v="1282"/>
    <x v="1281"/>
    <m/>
    <n v="34"/>
  </r>
  <r>
    <n v="1283"/>
    <x v="1282"/>
    <m/>
    <n v="38"/>
  </r>
  <r>
    <n v="1284"/>
    <x v="1283"/>
    <m/>
    <n v="38"/>
  </r>
  <r>
    <n v="1285"/>
    <x v="1284"/>
    <m/>
    <n v="36"/>
  </r>
  <r>
    <n v="1286"/>
    <x v="1285"/>
    <m/>
    <n v="41"/>
  </r>
  <r>
    <n v="1287"/>
    <x v="1286"/>
    <m/>
    <n v="40"/>
  </r>
  <r>
    <n v="1288"/>
    <x v="1287"/>
    <m/>
    <n v="35"/>
  </r>
  <r>
    <n v="1289"/>
    <x v="1288"/>
    <m/>
    <n v="40"/>
  </r>
  <r>
    <n v="1290"/>
    <x v="1289"/>
    <m/>
    <n v="29"/>
  </r>
  <r>
    <n v="1291"/>
    <x v="1290"/>
    <m/>
    <n v="50"/>
  </r>
  <r>
    <n v="1292"/>
    <x v="1291"/>
    <m/>
    <n v="40"/>
  </r>
  <r>
    <n v="1293"/>
    <x v="1292"/>
    <m/>
    <n v="34"/>
  </r>
  <r>
    <n v="1294"/>
    <x v="1293"/>
    <m/>
    <n v="27"/>
  </r>
  <r>
    <n v="1295"/>
    <x v="1294"/>
    <m/>
    <n v="39"/>
  </r>
  <r>
    <n v="1296"/>
    <x v="1295"/>
    <m/>
    <n v="47"/>
  </r>
  <r>
    <n v="1297"/>
    <x v="1296"/>
    <m/>
    <n v="42"/>
  </r>
  <r>
    <n v="1298"/>
    <x v="1297"/>
    <m/>
    <n v="33"/>
  </r>
  <r>
    <n v="1299"/>
    <x v="1298"/>
    <m/>
    <n v="44"/>
  </r>
  <r>
    <n v="1300"/>
    <x v="1299"/>
    <m/>
    <n v="44"/>
  </r>
  <r>
    <n v="1301"/>
    <x v="1300"/>
    <m/>
    <n v="37"/>
  </r>
  <r>
    <n v="1302"/>
    <x v="1301"/>
    <m/>
    <n v="29"/>
  </r>
  <r>
    <n v="1303"/>
    <x v="1302"/>
    <m/>
    <n v="40"/>
  </r>
  <r>
    <n v="1304"/>
    <x v="1303"/>
    <m/>
    <n v="31"/>
  </r>
  <r>
    <n v="1305"/>
    <x v="1304"/>
    <m/>
    <n v="25"/>
  </r>
  <r>
    <n v="1306"/>
    <x v="1305"/>
    <m/>
    <n v="39"/>
  </r>
  <r>
    <n v="1307"/>
    <x v="1306"/>
    <m/>
    <n v="33"/>
  </r>
  <r>
    <n v="1308"/>
    <x v="1307"/>
    <m/>
    <n v="30"/>
  </r>
  <r>
    <n v="1309"/>
    <x v="1308"/>
    <m/>
    <n v="42"/>
  </r>
  <r>
    <n v="1310"/>
    <x v="1309"/>
    <m/>
    <n v="27"/>
  </r>
  <r>
    <n v="1311"/>
    <x v="1310"/>
    <m/>
    <n v="39"/>
  </r>
  <r>
    <n v="1312"/>
    <x v="1311"/>
    <m/>
    <n v="39"/>
  </r>
  <r>
    <n v="1313"/>
    <x v="1312"/>
    <m/>
    <n v="39"/>
  </r>
  <r>
    <n v="1314"/>
    <x v="1313"/>
    <m/>
    <n v="43"/>
  </r>
  <r>
    <n v="1315"/>
    <x v="1314"/>
    <m/>
    <n v="36"/>
  </r>
  <r>
    <n v="1316"/>
    <x v="1315"/>
    <m/>
    <n v="33"/>
  </r>
  <r>
    <n v="1317"/>
    <x v="1316"/>
    <m/>
    <n v="29"/>
  </r>
  <r>
    <n v="1318"/>
    <x v="1317"/>
    <m/>
    <n v="31"/>
  </r>
  <r>
    <n v="1319"/>
    <x v="1318"/>
    <m/>
    <n v="34"/>
  </r>
  <r>
    <n v="1320"/>
    <x v="1319"/>
    <m/>
    <n v="32"/>
  </r>
  <r>
    <n v="1321"/>
    <x v="1320"/>
    <m/>
    <n v="50"/>
  </r>
  <r>
    <n v="1322"/>
    <x v="1321"/>
    <m/>
    <n v="37"/>
  </r>
  <r>
    <n v="1323"/>
    <x v="1322"/>
    <m/>
    <n v="32"/>
  </r>
  <r>
    <n v="1324"/>
    <x v="1323"/>
    <m/>
    <n v="30"/>
  </r>
  <r>
    <n v="1325"/>
    <x v="1324"/>
    <m/>
    <n v="39"/>
  </r>
  <r>
    <n v="1326"/>
    <x v="1325"/>
    <m/>
    <n v="41"/>
  </r>
  <r>
    <n v="1327"/>
    <x v="1326"/>
    <m/>
    <n v="34"/>
  </r>
  <r>
    <n v="1328"/>
    <x v="1327"/>
    <m/>
    <n v="35"/>
  </r>
  <r>
    <n v="1329"/>
    <x v="1328"/>
    <m/>
    <n v="34"/>
  </r>
  <r>
    <n v="1330"/>
    <x v="1329"/>
    <m/>
    <n v="33"/>
  </r>
  <r>
    <n v="1331"/>
    <x v="1330"/>
    <m/>
    <n v="40"/>
  </r>
  <r>
    <n v="1332"/>
    <x v="1331"/>
    <m/>
    <n v="32"/>
  </r>
  <r>
    <n v="1333"/>
    <x v="1332"/>
    <m/>
    <n v="34"/>
  </r>
  <r>
    <n v="1334"/>
    <x v="1333"/>
    <m/>
    <n v="30"/>
  </r>
  <r>
    <n v="1335"/>
    <x v="1334"/>
    <m/>
    <n v="36"/>
  </r>
  <r>
    <n v="1336"/>
    <x v="1335"/>
    <m/>
    <n v="31"/>
  </r>
  <r>
    <n v="1337"/>
    <x v="1336"/>
    <m/>
    <n v="38"/>
  </r>
  <r>
    <n v="1338"/>
    <x v="1337"/>
    <m/>
    <n v="40"/>
  </r>
  <r>
    <n v="1339"/>
    <x v="1338"/>
    <m/>
    <n v="26"/>
  </r>
  <r>
    <n v="1340"/>
    <x v="1339"/>
    <m/>
    <n v="34"/>
  </r>
  <r>
    <n v="1341"/>
    <x v="1340"/>
    <m/>
    <n v="23"/>
  </r>
  <r>
    <n v="1342"/>
    <x v="1341"/>
    <m/>
    <n v="29"/>
  </r>
  <r>
    <n v="1343"/>
    <x v="1342"/>
    <m/>
    <n v="30"/>
  </r>
  <r>
    <n v="1344"/>
    <x v="1343"/>
    <m/>
    <n v="34"/>
  </r>
  <r>
    <n v="1345"/>
    <x v="1344"/>
    <m/>
    <n v="29"/>
  </r>
  <r>
    <n v="1346"/>
    <x v="1345"/>
    <m/>
    <n v="35"/>
  </r>
  <r>
    <n v="1347"/>
    <x v="1346"/>
    <m/>
    <n v="39"/>
  </r>
  <r>
    <n v="1348"/>
    <x v="1347"/>
    <m/>
    <n v="20"/>
  </r>
  <r>
    <n v="1349"/>
    <x v="1348"/>
    <m/>
    <n v="35"/>
  </r>
  <r>
    <n v="1350"/>
    <x v="1349"/>
    <m/>
    <n v="29"/>
  </r>
  <r>
    <n v="1351"/>
    <x v="1350"/>
    <m/>
    <n v="26"/>
  </r>
  <r>
    <n v="1352"/>
    <x v="1351"/>
    <m/>
    <n v="33"/>
  </r>
  <r>
    <n v="1353"/>
    <x v="1352"/>
    <m/>
    <n v="39"/>
  </r>
  <r>
    <n v="1354"/>
    <x v="1353"/>
    <m/>
    <n v="24"/>
  </r>
  <r>
    <n v="1355"/>
    <x v="1354"/>
    <m/>
    <n v="39"/>
  </r>
  <r>
    <n v="1356"/>
    <x v="1355"/>
    <m/>
    <n v="31"/>
  </r>
  <r>
    <n v="1357"/>
    <x v="1356"/>
    <m/>
    <n v="32"/>
  </r>
  <r>
    <n v="1358"/>
    <x v="1357"/>
    <m/>
    <n v="33"/>
  </r>
  <r>
    <n v="1359"/>
    <x v="1358"/>
    <m/>
    <n v="32"/>
  </r>
  <r>
    <n v="1360"/>
    <x v="1359"/>
    <m/>
    <n v="41"/>
  </r>
  <r>
    <n v="1361"/>
    <x v="1360"/>
    <m/>
    <n v="37"/>
  </r>
  <r>
    <n v="1362"/>
    <x v="1361"/>
    <m/>
    <n v="30"/>
  </r>
  <r>
    <n v="1363"/>
    <x v="1362"/>
    <m/>
    <n v="33"/>
  </r>
  <r>
    <n v="1364"/>
    <x v="1363"/>
    <m/>
    <n v="29"/>
  </r>
  <r>
    <n v="1365"/>
    <x v="1364"/>
    <m/>
    <n v="26"/>
  </r>
  <r>
    <n v="1366"/>
    <x v="1365"/>
    <m/>
    <n v="30"/>
  </r>
  <r>
    <n v="1367"/>
    <x v="1366"/>
    <m/>
    <n v="33"/>
  </r>
  <r>
    <n v="1368"/>
    <x v="1367"/>
    <m/>
    <n v="36"/>
  </r>
  <r>
    <n v="1369"/>
    <x v="1368"/>
    <m/>
    <n v="43"/>
  </r>
  <r>
    <n v="1370"/>
    <x v="1369"/>
    <m/>
    <n v="36"/>
  </r>
  <r>
    <n v="1371"/>
    <x v="1370"/>
    <m/>
    <n v="42"/>
  </r>
  <r>
    <n v="1372"/>
    <x v="1371"/>
    <m/>
    <n v="26"/>
  </r>
  <r>
    <n v="1373"/>
    <x v="1372"/>
    <m/>
    <n v="29"/>
  </r>
  <r>
    <n v="1374"/>
    <x v="1373"/>
    <m/>
    <n v="32"/>
  </r>
  <r>
    <n v="1375"/>
    <x v="1374"/>
    <m/>
    <n v="29"/>
  </r>
  <r>
    <n v="1376"/>
    <x v="1375"/>
    <m/>
    <n v="37"/>
  </r>
  <r>
    <n v="1377"/>
    <x v="1376"/>
    <m/>
    <n v="30"/>
  </r>
  <r>
    <n v="1378"/>
    <x v="1377"/>
    <m/>
    <n v="40"/>
  </r>
  <r>
    <n v="1379"/>
    <x v="1378"/>
    <m/>
    <n v="34"/>
  </r>
  <r>
    <n v="1380"/>
    <x v="1379"/>
    <m/>
    <n v="32"/>
  </r>
  <r>
    <n v="1381"/>
    <x v="1380"/>
    <m/>
    <n v="39"/>
  </r>
  <r>
    <n v="1382"/>
    <x v="1381"/>
    <m/>
    <n v="30"/>
  </r>
  <r>
    <n v="1383"/>
    <x v="1382"/>
    <m/>
    <n v="23"/>
  </r>
  <r>
    <n v="1384"/>
    <x v="1383"/>
    <m/>
    <n v="41"/>
  </r>
  <r>
    <n v="1385"/>
    <x v="1384"/>
    <m/>
    <n v="31"/>
  </r>
  <r>
    <n v="1386"/>
    <x v="1385"/>
    <m/>
    <n v="35"/>
  </r>
  <r>
    <n v="1387"/>
    <x v="1386"/>
    <m/>
    <n v="36"/>
  </r>
  <r>
    <n v="1388"/>
    <x v="1387"/>
    <m/>
    <n v="42"/>
  </r>
  <r>
    <n v="1389"/>
    <x v="1388"/>
    <m/>
    <n v="26"/>
  </r>
  <r>
    <n v="1390"/>
    <x v="1389"/>
    <m/>
    <n v="35"/>
  </r>
  <r>
    <n v="1391"/>
    <x v="1390"/>
    <m/>
    <n v="36"/>
  </r>
  <r>
    <n v="1392"/>
    <x v="1391"/>
    <m/>
    <n v="40"/>
  </r>
  <r>
    <n v="1393"/>
    <x v="1392"/>
    <m/>
    <n v="38"/>
  </r>
  <r>
    <n v="1394"/>
    <x v="1393"/>
    <m/>
    <n v="37"/>
  </r>
  <r>
    <n v="1395"/>
    <x v="1394"/>
    <m/>
    <n v="34"/>
  </r>
  <r>
    <n v="1396"/>
    <x v="1395"/>
    <m/>
    <n v="33"/>
  </r>
  <r>
    <n v="1397"/>
    <x v="1396"/>
    <m/>
    <n v="35"/>
  </r>
  <r>
    <n v="1398"/>
    <x v="1397"/>
    <m/>
    <n v="34"/>
  </r>
  <r>
    <n v="1399"/>
    <x v="1398"/>
    <m/>
    <n v="31"/>
  </r>
  <r>
    <n v="1400"/>
    <x v="1399"/>
    <m/>
    <n v="26"/>
  </r>
  <r>
    <n v="1401"/>
    <x v="1400"/>
    <m/>
    <n v="37"/>
  </r>
  <r>
    <n v="1402"/>
    <x v="1401"/>
    <m/>
    <n v="36"/>
  </r>
  <r>
    <n v="1403"/>
    <x v="1402"/>
    <m/>
    <n v="36"/>
  </r>
  <r>
    <n v="1404"/>
    <x v="1403"/>
    <m/>
    <n v="40"/>
  </r>
  <r>
    <n v="1405"/>
    <x v="1404"/>
    <m/>
    <n v="25"/>
  </r>
  <r>
    <n v="1406"/>
    <x v="1405"/>
    <m/>
    <n v="29"/>
  </r>
  <r>
    <n v="1407"/>
    <x v="1406"/>
    <m/>
    <n v="44"/>
  </r>
  <r>
    <n v="1408"/>
    <x v="1407"/>
    <m/>
    <n v="31"/>
  </r>
  <r>
    <n v="1409"/>
    <x v="1408"/>
    <m/>
    <n v="39"/>
  </r>
  <r>
    <n v="1410"/>
    <x v="1409"/>
    <m/>
    <n v="40"/>
  </r>
  <r>
    <n v="1411"/>
    <x v="1410"/>
    <m/>
    <n v="33"/>
  </r>
  <r>
    <n v="1412"/>
    <x v="1411"/>
    <m/>
    <n v="40"/>
  </r>
  <r>
    <n v="1413"/>
    <x v="1412"/>
    <m/>
    <n v="49"/>
  </r>
  <r>
    <n v="1414"/>
    <x v="1413"/>
    <m/>
    <n v="42"/>
  </r>
  <r>
    <n v="1415"/>
    <x v="1414"/>
    <m/>
    <n v="34"/>
  </r>
  <r>
    <n v="1416"/>
    <x v="1415"/>
    <m/>
    <n v="36"/>
  </r>
  <r>
    <n v="1417"/>
    <x v="1416"/>
    <m/>
    <n v="38"/>
  </r>
  <r>
    <n v="1418"/>
    <x v="1417"/>
    <m/>
    <n v="31"/>
  </r>
  <r>
    <n v="1419"/>
    <x v="1418"/>
    <m/>
    <n v="39"/>
  </r>
  <r>
    <n v="1420"/>
    <x v="1419"/>
    <m/>
    <n v="33"/>
  </r>
  <r>
    <n v="1421"/>
    <x v="1420"/>
    <m/>
    <n v="38"/>
  </r>
  <r>
    <n v="1422"/>
    <x v="1421"/>
    <m/>
    <n v="40"/>
  </r>
  <r>
    <n v="1423"/>
    <x v="1422"/>
    <m/>
    <n v="44"/>
  </r>
  <r>
    <n v="1424"/>
    <x v="1423"/>
    <m/>
    <n v="36"/>
  </r>
  <r>
    <n v="1425"/>
    <x v="1424"/>
    <m/>
    <n v="37"/>
  </r>
  <r>
    <n v="1426"/>
    <x v="1425"/>
    <m/>
    <n v="36"/>
  </r>
  <r>
    <n v="1427"/>
    <x v="1426"/>
    <m/>
    <n v="31"/>
  </r>
  <r>
    <n v="1428"/>
    <x v="1427"/>
    <m/>
    <n v="39"/>
  </r>
  <r>
    <n v="1429"/>
    <x v="1428"/>
    <m/>
    <n v="40"/>
  </r>
  <r>
    <n v="1430"/>
    <x v="1429"/>
    <m/>
    <n v="37"/>
  </r>
  <r>
    <n v="1431"/>
    <x v="1430"/>
    <m/>
    <n v="32"/>
  </r>
  <r>
    <n v="1432"/>
    <x v="1431"/>
    <m/>
    <n v="33"/>
  </r>
  <r>
    <n v="1433"/>
    <x v="1432"/>
    <m/>
    <n v="41"/>
  </r>
  <r>
    <n v="1434"/>
    <x v="1433"/>
    <m/>
    <n v="46"/>
  </r>
  <r>
    <n v="1435"/>
    <x v="1434"/>
    <m/>
    <n v="33"/>
  </r>
  <r>
    <n v="1436"/>
    <x v="1435"/>
    <m/>
    <n v="34"/>
  </r>
  <r>
    <n v="1437"/>
    <x v="1436"/>
    <m/>
    <n v="34"/>
  </r>
  <r>
    <n v="1438"/>
    <x v="1437"/>
    <m/>
    <n v="39"/>
  </r>
  <r>
    <n v="1439"/>
    <x v="1438"/>
    <m/>
    <n v="40"/>
  </r>
  <r>
    <n v="1440"/>
    <x v="1439"/>
    <m/>
    <n v="41"/>
  </r>
  <r>
    <n v="1441"/>
    <x v="1440"/>
    <m/>
    <n v="42"/>
  </r>
  <r>
    <n v="1442"/>
    <x v="1441"/>
    <m/>
    <n v="39"/>
  </r>
  <r>
    <n v="1443"/>
    <x v="1442"/>
    <m/>
    <n v="44"/>
  </r>
  <r>
    <n v="1444"/>
    <x v="1443"/>
    <m/>
    <n v="41"/>
  </r>
  <r>
    <n v="1445"/>
    <x v="1444"/>
    <m/>
    <n v="37"/>
  </r>
  <r>
    <n v="1446"/>
    <x v="1445"/>
    <m/>
    <n v="41"/>
  </r>
  <r>
    <n v="1447"/>
    <x v="1446"/>
    <m/>
    <n v="40"/>
  </r>
  <r>
    <n v="1448"/>
    <x v="1447"/>
    <m/>
    <n v="33"/>
  </r>
  <r>
    <n v="1449"/>
    <x v="1448"/>
    <m/>
    <n v="37"/>
  </r>
  <r>
    <n v="1450"/>
    <x v="1449"/>
    <m/>
    <n v="37"/>
  </r>
  <r>
    <n v="1451"/>
    <x v="1450"/>
    <m/>
    <n v="36"/>
  </r>
  <r>
    <n v="1452"/>
    <x v="1451"/>
    <m/>
    <n v="31"/>
  </r>
  <r>
    <n v="1453"/>
    <x v="1452"/>
    <m/>
    <n v="33"/>
  </r>
  <r>
    <n v="1454"/>
    <x v="1453"/>
    <m/>
    <n v="38"/>
  </r>
  <r>
    <n v="1455"/>
    <x v="1454"/>
    <m/>
    <n v="38"/>
  </r>
  <r>
    <n v="1456"/>
    <x v="1455"/>
    <m/>
    <n v="37"/>
  </r>
  <r>
    <n v="1457"/>
    <x v="1456"/>
    <m/>
    <n v="33"/>
  </r>
  <r>
    <n v="1458"/>
    <x v="1457"/>
    <m/>
    <n v="35"/>
  </r>
  <r>
    <n v="1459"/>
    <x v="1458"/>
    <m/>
    <n v="39"/>
  </r>
  <r>
    <n v="1460"/>
    <x v="1459"/>
    <m/>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3197D8-C5DD-474D-B2C4-0651B6549EAE}" name="TablaDinámica22" cacheId="779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44:J97" firstHeaderRow="0" firstDataRow="1" firstDataCol="1"/>
  <pivotFields count="7">
    <pivotField showAll="0" defaultSubtotal="0"/>
    <pivotField numFmtId="14" showAll="0" defaultSubtotal="0">
      <items count="14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s>
    </pivotField>
    <pivotField dataField="1" showAll="0" defaultSubtotal="0"/>
    <pivotField dataField="1" showAll="0" defaultSubtotal="0"/>
    <pivotField axis="axisRow" showAll="0" defaultSubtotal="0">
      <items count="14">
        <item sd="0" x="0"/>
        <item x="1"/>
        <item sd="0" x="2"/>
        <item sd="0" x="3"/>
        <item sd="0" x="4"/>
        <item sd="0" x="5"/>
        <item sd="0" x="6"/>
        <item sd="0" x="7"/>
        <item sd="0" x="8"/>
        <item sd="0" x="9"/>
        <item sd="0" x="10"/>
        <item sd="0" x="11"/>
        <item sd="0" x="13"/>
        <item sd="0" x="12"/>
      </items>
    </pivotField>
    <pivotField showAll="0" defaultSubtotal="0">
      <items count="6">
        <item sd="0" x="0"/>
        <item sd="0" x="1"/>
        <item sd="0" x="2"/>
        <item sd="0" x="3"/>
        <item sd="0" x="4"/>
        <item sd="0" x="5"/>
      </items>
    </pivotField>
    <pivotField axis="axisRow" showAll="0" defaultSubtotal="0">
      <items count="6">
        <item sd="0" x="0"/>
        <item x="1"/>
        <item x="2"/>
        <item x="3"/>
        <item x="4"/>
        <item sd="0" x="5"/>
      </items>
    </pivotField>
  </pivotFields>
  <rowFields count="2">
    <field x="6"/>
    <field x="4"/>
  </rowFields>
  <rowItems count="53">
    <i>
      <x v="1"/>
    </i>
    <i r="1">
      <x v="1"/>
    </i>
    <i r="1">
      <x v="2"/>
    </i>
    <i r="1">
      <x v="3"/>
    </i>
    <i r="1">
      <x v="4"/>
    </i>
    <i r="1">
      <x v="5"/>
    </i>
    <i r="1">
      <x v="6"/>
    </i>
    <i r="1">
      <x v="7"/>
    </i>
    <i r="1">
      <x v="8"/>
    </i>
    <i r="1">
      <x v="9"/>
    </i>
    <i r="1">
      <x v="10"/>
    </i>
    <i r="1">
      <x v="11"/>
    </i>
    <i r="1">
      <x v="13"/>
    </i>
    <i>
      <x v="2"/>
    </i>
    <i r="1">
      <x v="1"/>
    </i>
    <i r="1">
      <x v="2"/>
    </i>
    <i r="1">
      <x v="3"/>
    </i>
    <i r="1">
      <x v="4"/>
    </i>
    <i r="1">
      <x v="5"/>
    </i>
    <i r="1">
      <x v="6"/>
    </i>
    <i r="1">
      <x v="7"/>
    </i>
    <i r="1">
      <x v="8"/>
    </i>
    <i r="1">
      <x v="9"/>
    </i>
    <i r="1">
      <x v="10"/>
    </i>
    <i r="1">
      <x v="11"/>
    </i>
    <i r="1">
      <x v="13"/>
    </i>
    <i>
      <x v="3"/>
    </i>
    <i r="1">
      <x v="1"/>
    </i>
    <i r="1">
      <x v="2"/>
    </i>
    <i r="1">
      <x v="3"/>
    </i>
    <i r="1">
      <x v="4"/>
    </i>
    <i r="1">
      <x v="5"/>
    </i>
    <i r="1">
      <x v="6"/>
    </i>
    <i r="1">
      <x v="7"/>
    </i>
    <i r="1">
      <x v="8"/>
    </i>
    <i r="1">
      <x v="9"/>
    </i>
    <i r="1">
      <x v="10"/>
    </i>
    <i r="1">
      <x v="11"/>
    </i>
    <i r="1">
      <x v="13"/>
    </i>
    <i>
      <x v="4"/>
    </i>
    <i r="1">
      <x v="1"/>
    </i>
    <i r="1">
      <x v="2"/>
    </i>
    <i r="1">
      <x v="3"/>
    </i>
    <i r="1">
      <x v="4"/>
    </i>
    <i r="1">
      <x v="5"/>
    </i>
    <i r="1">
      <x v="6"/>
    </i>
    <i r="1">
      <x v="7"/>
    </i>
    <i r="1">
      <x v="8"/>
    </i>
    <i r="1">
      <x v="9"/>
    </i>
    <i r="1">
      <x v="10"/>
    </i>
    <i r="1">
      <x v="11"/>
    </i>
    <i r="1">
      <x v="13"/>
    </i>
    <i t="grand">
      <x/>
    </i>
  </rowItems>
  <colFields count="1">
    <field x="-2"/>
  </colFields>
  <colItems count="2">
    <i>
      <x/>
    </i>
    <i i="1">
      <x v="1"/>
    </i>
  </colItems>
  <dataFields count="2">
    <dataField name="Suma de HISTÓRICO" fld="2" baseField="0" baseItem="0"/>
    <dataField name="Suma de PREVISIÓN" fld="3" baseField="0" baseItem="0"/>
  </dataFields>
  <formats count="11">
    <format dxfId="9">
      <pivotArea type="all" dataOnly="0" outline="0" fieldPosition="0"/>
    </format>
    <format dxfId="10">
      <pivotArea outline="0" collapsedLevelsAreSubtotals="1" fieldPosition="0"/>
    </format>
    <format dxfId="11">
      <pivotArea field="6" type="button" dataOnly="0" labelOnly="1" outline="0" axis="axisRow" fieldPosition="0"/>
    </format>
    <format dxfId="12">
      <pivotArea dataOnly="0" labelOnly="1" grandRow="1" outline="0" fieldPosition="0"/>
    </format>
    <format dxfId="13">
      <pivotArea dataOnly="0" labelOnly="1" outline="0" fieldPosition="0">
        <references count="1">
          <reference field="4294967294" count="2">
            <x v="0"/>
            <x v="1"/>
          </reference>
        </references>
      </pivotArea>
    </format>
    <format dxfId="14">
      <pivotArea outline="0" collapsedLevelsAreSubtotals="1" fieldPosition="0"/>
    </format>
    <format dxfId="15">
      <pivotArea dataOnly="0" labelOnly="1" grandRow="1" outline="0" fieldPosition="0"/>
    </format>
    <format dxfId="16">
      <pivotArea collapsedLevelsAreSubtotals="1" fieldPosition="0">
        <references count="3">
          <reference field="4294967294" count="1" selected="0">
            <x v="1"/>
          </reference>
          <reference field="4" count="6">
            <x v="1"/>
            <x v="2"/>
            <x v="3"/>
            <x v="4"/>
            <x v="5"/>
            <x v="6"/>
          </reference>
          <reference field="6" count="1" selected="0">
            <x v="3"/>
          </reference>
        </references>
      </pivotArea>
    </format>
    <format dxfId="17">
      <pivotArea collapsedLevelsAreSubtotals="1" fieldPosition="0">
        <references count="3">
          <reference field="4294967294" count="1" selected="0">
            <x v="1"/>
          </reference>
          <reference field="4" count="6">
            <x v="1"/>
            <x v="2"/>
            <x v="3"/>
            <x v="4"/>
            <x v="5"/>
            <x v="6"/>
          </reference>
          <reference field="6" count="1" selected="0">
            <x v="4"/>
          </reference>
        </references>
      </pivotArea>
    </format>
    <format dxfId="18">
      <pivotArea collapsedLevelsAreSubtotals="1" fieldPosition="0">
        <references count="3">
          <reference field="4294967294" count="1" selected="0">
            <x v="0"/>
          </reference>
          <reference field="4" count="6">
            <x v="1"/>
            <x v="2"/>
            <x v="3"/>
            <x v="4"/>
            <x v="5"/>
            <x v="6"/>
          </reference>
          <reference field="6" count="1" selected="0">
            <x v="2"/>
          </reference>
        </references>
      </pivotArea>
    </format>
    <format dxfId="19">
      <pivotArea collapsedLevelsAreSubtotals="1" fieldPosition="0">
        <references count="3">
          <reference field="4294967294" count="1" selected="0">
            <x v="0"/>
          </reference>
          <reference field="4" count="6">
            <x v="1"/>
            <x v="2"/>
            <x v="3"/>
            <x v="4"/>
            <x v="5"/>
            <x v="6"/>
          </reference>
          <reference field="6" count="1" selected="0">
            <x v="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BBA518-60F3-4467-A8CA-7D26ED9FC855}" name="Tabla3" displayName="Tabla3" ref="B4:E1464" totalsRowShown="0" headerRowDxfId="8" dataDxfId="7" headerRowBorderDxfId="5" tableBorderDxfId="6" totalsRowBorderDxfId="4">
  <autoFilter ref="B4:E1464" xr:uid="{28BBA518-60F3-4467-A8CA-7D26ED9FC855}"/>
  <tableColumns count="4">
    <tableColumn id="1" xr3:uid="{C5C17331-9AF6-4DFF-855C-D07023A32881}" name="DÍA" dataDxfId="3"/>
    <tableColumn id="2" xr3:uid="{F59B7BCE-AC76-46D7-B73A-1FFA06D77DB6}" name="FECHA" dataDxfId="2"/>
    <tableColumn id="3" xr3:uid="{B9F8DA21-8860-49F0-B027-21A13E714E54}" name="HISTÓRICO" dataDxfId="1"/>
    <tableColumn id="4" xr3:uid="{0BC88C68-15EC-4692-BFF5-53183E2E91E2}" name="PREVISIÓN" dataDxfId="0">
      <calculatedColumnFormula>ROUNDUP(_xlfn.FORECAST.ETS(B5,$D$5:$D$734,$B$5:$B$734,365,0,1),0)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1.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CE42D-D5F0-4B11-B8D9-C8B9392BEEF5}">
  <dimension ref="B3:S734"/>
  <sheetViews>
    <sheetView topLeftCell="K6" zoomScale="63" zoomScaleNormal="63" workbookViewId="0">
      <selection activeCell="K6" sqref="K6"/>
    </sheetView>
  </sheetViews>
  <sheetFormatPr defaultColWidth="11.5703125" defaultRowHeight="15"/>
  <cols>
    <col min="1" max="2" width="11.5703125" style="18"/>
    <col min="3" max="4" width="13.85546875" style="18" customWidth="1"/>
    <col min="5" max="5" width="5.85546875" style="18" bestFit="1" customWidth="1"/>
    <col min="6" max="6" width="12.28515625" style="18" bestFit="1" customWidth="1"/>
    <col min="7" max="7" width="2.28515625" style="18" customWidth="1"/>
    <col min="8" max="8" width="22.140625" style="18" hidden="1" customWidth="1"/>
    <col min="9" max="9" width="12.140625" style="18" bestFit="1" customWidth="1"/>
    <col min="10" max="10" width="10.28515625" style="18" bestFit="1" customWidth="1"/>
    <col min="11" max="11" width="15.28515625" style="18" bestFit="1" customWidth="1"/>
    <col min="12" max="12" width="2.42578125" style="18" customWidth="1"/>
    <col min="13" max="13" width="14" style="18" bestFit="1" customWidth="1"/>
    <col min="14" max="14" width="14.28515625" style="18" bestFit="1" customWidth="1"/>
    <col min="15" max="16" width="11.5703125" style="18" customWidth="1"/>
    <col min="17" max="17" width="23.7109375" style="18" bestFit="1" customWidth="1"/>
    <col min="18" max="18" width="12" style="18" bestFit="1" customWidth="1"/>
    <col min="19" max="19" width="48.28515625" style="18" bestFit="1" customWidth="1"/>
    <col min="20" max="16384" width="11.5703125" style="18"/>
  </cols>
  <sheetData>
    <row r="3" spans="2:19" ht="29.25" thickBot="1">
      <c r="B3" s="64" t="s">
        <v>0</v>
      </c>
      <c r="C3" s="64" t="s">
        <v>1</v>
      </c>
      <c r="D3" s="64" t="s">
        <v>2</v>
      </c>
      <c r="E3" s="93" t="s">
        <v>3</v>
      </c>
      <c r="F3" s="45" t="s">
        <v>4</v>
      </c>
      <c r="G3" s="104"/>
      <c r="H3" s="112" t="s">
        <v>5</v>
      </c>
      <c r="I3" s="108" t="s">
        <v>6</v>
      </c>
      <c r="J3" s="95" t="s">
        <v>7</v>
      </c>
      <c r="K3" s="96" t="s">
        <v>8</v>
      </c>
      <c r="L3" s="94"/>
      <c r="M3" s="96" t="s">
        <v>9</v>
      </c>
      <c r="N3" s="97" t="s">
        <v>10</v>
      </c>
      <c r="Q3" s="170" t="s">
        <v>11</v>
      </c>
      <c r="R3" s="170"/>
      <c r="S3" s="170"/>
    </row>
    <row r="4" spans="2:19" ht="15.75">
      <c r="B4" s="63" t="s">
        <v>12</v>
      </c>
      <c r="C4" s="63" t="s">
        <v>12</v>
      </c>
      <c r="D4" s="63" t="s">
        <v>12</v>
      </c>
      <c r="E4" s="23">
        <v>0</v>
      </c>
      <c r="F4" s="4" t="s">
        <v>12</v>
      </c>
      <c r="G4" s="105"/>
      <c r="H4" s="76" t="s">
        <v>12</v>
      </c>
      <c r="I4" s="109">
        <v>0</v>
      </c>
      <c r="J4" s="93"/>
      <c r="K4" s="99">
        <v>150</v>
      </c>
      <c r="L4" s="98"/>
      <c r="M4" s="100">
        <v>20</v>
      </c>
      <c r="N4" s="91">
        <v>150</v>
      </c>
    </row>
    <row r="5" spans="2:19">
      <c r="B5" s="175">
        <v>2025</v>
      </c>
      <c r="C5" s="174" t="s">
        <v>13</v>
      </c>
      <c r="D5" s="171" t="s">
        <v>14</v>
      </c>
      <c r="E5" s="23">
        <v>1</v>
      </c>
      <c r="F5" s="2">
        <v>12</v>
      </c>
      <c r="G5" s="106"/>
      <c r="H5" s="113">
        <v>12</v>
      </c>
      <c r="I5" s="109">
        <v>0</v>
      </c>
      <c r="J5" s="93"/>
      <c r="K5" s="99">
        <v>150</v>
      </c>
      <c r="L5" s="101"/>
      <c r="M5" s="100">
        <v>20</v>
      </c>
      <c r="N5" s="91">
        <v>150</v>
      </c>
      <c r="Q5" s="170" t="s">
        <v>15</v>
      </c>
      <c r="R5" s="170"/>
      <c r="S5" s="170"/>
    </row>
    <row r="6" spans="2:19">
      <c r="B6" s="176"/>
      <c r="C6" s="174"/>
      <c r="D6" s="172"/>
      <c r="E6" s="23">
        <v>2</v>
      </c>
      <c r="F6" s="2">
        <v>40</v>
      </c>
      <c r="G6" s="107"/>
      <c r="H6" s="113">
        <v>40</v>
      </c>
      <c r="I6" s="109">
        <v>0</v>
      </c>
      <c r="J6" s="93"/>
      <c r="K6" s="99">
        <v>150</v>
      </c>
      <c r="L6" s="101"/>
      <c r="M6" s="100">
        <v>20</v>
      </c>
      <c r="N6" s="91">
        <v>150</v>
      </c>
      <c r="Q6" s="4" t="s">
        <v>16</v>
      </c>
      <c r="R6" s="4">
        <v>1450</v>
      </c>
      <c r="S6" s="4" t="s">
        <v>17</v>
      </c>
    </row>
    <row r="7" spans="2:19">
      <c r="B7" s="176"/>
      <c r="C7" s="174"/>
      <c r="D7" s="172"/>
      <c r="E7" s="23">
        <v>3</v>
      </c>
      <c r="F7" s="2">
        <v>45</v>
      </c>
      <c r="G7" s="107"/>
      <c r="H7" s="113">
        <v>45</v>
      </c>
      <c r="I7" s="109">
        <v>0</v>
      </c>
      <c r="J7" s="93"/>
      <c r="K7" s="99">
        <v>150</v>
      </c>
      <c r="L7" s="101"/>
      <c r="M7" s="100">
        <v>20</v>
      </c>
      <c r="N7" s="91">
        <v>150</v>
      </c>
      <c r="Q7" s="170" t="s">
        <v>18</v>
      </c>
      <c r="R7" s="170"/>
      <c r="S7" s="170"/>
    </row>
    <row r="8" spans="2:19">
      <c r="B8" s="176"/>
      <c r="C8" s="174"/>
      <c r="D8" s="172"/>
      <c r="E8" s="23">
        <v>4</v>
      </c>
      <c r="F8" s="2">
        <v>34</v>
      </c>
      <c r="G8" s="107"/>
      <c r="H8" s="113">
        <v>34</v>
      </c>
      <c r="I8" s="109">
        <v>0</v>
      </c>
      <c r="J8" s="93"/>
      <c r="K8" s="99">
        <v>150</v>
      </c>
      <c r="L8" s="101"/>
      <c r="M8" s="100">
        <v>20</v>
      </c>
      <c r="N8" s="91">
        <v>150</v>
      </c>
      <c r="Q8" s="4" t="s">
        <v>19</v>
      </c>
      <c r="R8" s="4">
        <v>1500</v>
      </c>
      <c r="S8" s="4" t="s">
        <v>20</v>
      </c>
    </row>
    <row r="9" spans="2:19">
      <c r="B9" s="176"/>
      <c r="C9" s="174"/>
      <c r="D9" s="172"/>
      <c r="E9" s="23">
        <v>5</v>
      </c>
      <c r="F9" s="2">
        <v>37</v>
      </c>
      <c r="G9" s="107"/>
      <c r="H9" s="113">
        <v>37</v>
      </c>
      <c r="I9" s="109">
        <v>0</v>
      </c>
      <c r="J9" s="93"/>
      <c r="K9" s="99">
        <v>150</v>
      </c>
      <c r="L9" s="47"/>
      <c r="M9" s="100">
        <v>20</v>
      </c>
      <c r="N9" s="91">
        <v>150</v>
      </c>
      <c r="Q9" s="4" t="s">
        <v>21</v>
      </c>
      <c r="R9" s="4">
        <v>1000</v>
      </c>
      <c r="S9" s="4" t="s">
        <v>22</v>
      </c>
    </row>
    <row r="10" spans="2:19">
      <c r="B10" s="176"/>
      <c r="C10" s="174"/>
      <c r="D10" s="172"/>
      <c r="E10" s="23">
        <v>6</v>
      </c>
      <c r="F10" s="2">
        <v>45</v>
      </c>
      <c r="G10" s="107"/>
      <c r="H10" s="113">
        <v>45</v>
      </c>
      <c r="I10" s="109">
        <v>0</v>
      </c>
      <c r="J10" s="93"/>
      <c r="K10" s="99">
        <v>150</v>
      </c>
      <c r="L10" s="101"/>
      <c r="M10" s="100">
        <v>20</v>
      </c>
      <c r="N10" s="91">
        <v>150</v>
      </c>
      <c r="Q10" s="170" t="s">
        <v>23</v>
      </c>
      <c r="R10" s="170"/>
      <c r="S10" s="170"/>
    </row>
    <row r="11" spans="2:19">
      <c r="B11" s="176"/>
      <c r="C11" s="174"/>
      <c r="D11" s="172"/>
      <c r="E11" s="23">
        <v>7</v>
      </c>
      <c r="F11" s="2">
        <v>38</v>
      </c>
      <c r="G11" s="107"/>
      <c r="H11" s="113">
        <v>38</v>
      </c>
      <c r="I11" s="109">
        <v>0</v>
      </c>
      <c r="J11" s="99">
        <v>150</v>
      </c>
      <c r="K11" s="99">
        <v>150</v>
      </c>
      <c r="L11" s="101"/>
      <c r="M11" s="100" t="str">
        <f>"10 - 10"</f>
        <v>10 - 10</v>
      </c>
      <c r="N11" s="91">
        <v>150</v>
      </c>
      <c r="Q11" s="4" t="s">
        <v>24</v>
      </c>
      <c r="R11" s="4">
        <v>100</v>
      </c>
      <c r="S11" s="4" t="s">
        <v>25</v>
      </c>
    </row>
    <row r="12" spans="2:19">
      <c r="B12" s="176"/>
      <c r="C12" s="174"/>
      <c r="D12" s="172"/>
      <c r="E12" s="23">
        <v>8</v>
      </c>
      <c r="F12" s="2">
        <v>32</v>
      </c>
      <c r="G12" s="107"/>
      <c r="H12" s="113">
        <v>32</v>
      </c>
      <c r="I12" s="109">
        <v>0</v>
      </c>
      <c r="J12" s="99">
        <v>150</v>
      </c>
      <c r="K12" s="99">
        <v>150</v>
      </c>
      <c r="L12" s="101"/>
      <c r="M12" s="100">
        <v>20</v>
      </c>
      <c r="N12" s="91">
        <v>150</v>
      </c>
      <c r="Q12" s="170" t="s">
        <v>26</v>
      </c>
      <c r="R12" s="170"/>
      <c r="S12" s="170"/>
    </row>
    <row r="13" spans="2:19">
      <c r="B13" s="176"/>
      <c r="C13" s="174"/>
      <c r="D13" s="172"/>
      <c r="E13" s="23">
        <v>9</v>
      </c>
      <c r="F13" s="2">
        <v>33</v>
      </c>
      <c r="G13" s="107"/>
      <c r="H13" s="113">
        <v>33</v>
      </c>
      <c r="I13" s="109">
        <v>0</v>
      </c>
      <c r="J13" s="99">
        <v>150</v>
      </c>
      <c r="K13" s="99">
        <v>150</v>
      </c>
      <c r="L13" s="101"/>
      <c r="M13" s="100">
        <v>20</v>
      </c>
      <c r="N13" s="91">
        <v>150</v>
      </c>
      <c r="Q13" s="4" t="s">
        <v>27</v>
      </c>
      <c r="R13" s="4">
        <v>15000</v>
      </c>
      <c r="S13" s="4" t="s">
        <v>28</v>
      </c>
    </row>
    <row r="14" spans="2:19">
      <c r="B14" s="176"/>
      <c r="C14" s="174"/>
      <c r="D14" s="172"/>
      <c r="E14" s="23">
        <v>10</v>
      </c>
      <c r="F14" s="2">
        <v>40</v>
      </c>
      <c r="G14" s="107"/>
      <c r="H14" s="113">
        <v>40</v>
      </c>
      <c r="I14" s="109">
        <v>0</v>
      </c>
      <c r="J14" s="99">
        <v>150</v>
      </c>
      <c r="K14" s="99">
        <v>150</v>
      </c>
      <c r="L14" s="101"/>
      <c r="M14" s="100">
        <v>20</v>
      </c>
      <c r="N14" s="91">
        <v>150</v>
      </c>
      <c r="Q14" s="4" t="s">
        <v>29</v>
      </c>
      <c r="R14" s="4">
        <v>150</v>
      </c>
      <c r="S14" s="4" t="s">
        <v>30</v>
      </c>
    </row>
    <row r="15" spans="2:19">
      <c r="B15" s="176"/>
      <c r="C15" s="174"/>
      <c r="D15" s="172"/>
      <c r="E15" s="23">
        <v>11</v>
      </c>
      <c r="F15" s="2">
        <v>36</v>
      </c>
      <c r="G15" s="107"/>
      <c r="H15" s="113">
        <v>36</v>
      </c>
      <c r="I15" s="109">
        <v>0</v>
      </c>
      <c r="J15" s="99">
        <v>150</v>
      </c>
      <c r="K15" s="99">
        <v>150</v>
      </c>
      <c r="L15" s="101"/>
      <c r="M15" s="100">
        <v>20</v>
      </c>
      <c r="N15" s="91">
        <v>150</v>
      </c>
      <c r="Q15" s="170" t="s">
        <v>31</v>
      </c>
      <c r="R15" s="170"/>
      <c r="S15" s="170"/>
    </row>
    <row r="16" spans="2:19">
      <c r="B16" s="176"/>
      <c r="C16" s="174"/>
      <c r="D16" s="172"/>
      <c r="E16" s="23">
        <v>12</v>
      </c>
      <c r="F16" s="2">
        <v>44</v>
      </c>
      <c r="G16" s="107"/>
      <c r="H16" s="113">
        <v>44</v>
      </c>
      <c r="I16" s="109">
        <v>0</v>
      </c>
      <c r="J16" s="99">
        <v>150</v>
      </c>
      <c r="K16" s="99">
        <v>150</v>
      </c>
      <c r="L16" s="101"/>
      <c r="M16" s="100">
        <v>20</v>
      </c>
      <c r="N16" s="91">
        <v>150</v>
      </c>
      <c r="Q16" s="4" t="s">
        <v>32</v>
      </c>
      <c r="R16" s="4">
        <v>7</v>
      </c>
      <c r="S16" s="4" t="s">
        <v>33</v>
      </c>
    </row>
    <row r="17" spans="2:19">
      <c r="B17" s="176"/>
      <c r="C17" s="174"/>
      <c r="D17" s="172"/>
      <c r="E17" s="23">
        <v>13</v>
      </c>
      <c r="F17" s="2">
        <v>35</v>
      </c>
      <c r="G17" s="107"/>
      <c r="H17" s="113">
        <v>35</v>
      </c>
      <c r="I17" s="109">
        <v>0</v>
      </c>
      <c r="J17" s="99">
        <v>150</v>
      </c>
      <c r="K17" s="99">
        <v>150</v>
      </c>
      <c r="L17" s="101"/>
      <c r="M17" s="100">
        <v>20</v>
      </c>
      <c r="N17" s="91">
        <v>150</v>
      </c>
      <c r="Q17" s="4" t="s">
        <v>34</v>
      </c>
      <c r="R17" s="4">
        <v>1</v>
      </c>
      <c r="S17" s="4" t="s">
        <v>35</v>
      </c>
    </row>
    <row r="18" spans="2:19">
      <c r="B18" s="176"/>
      <c r="C18" s="174"/>
      <c r="D18" s="172"/>
      <c r="E18" s="23">
        <v>14</v>
      </c>
      <c r="F18" s="2">
        <v>44</v>
      </c>
      <c r="G18" s="107"/>
      <c r="H18" s="113">
        <v>27</v>
      </c>
      <c r="I18" s="110">
        <v>150</v>
      </c>
      <c r="J18" s="23"/>
      <c r="K18" s="99">
        <v>150</v>
      </c>
      <c r="L18" s="101"/>
      <c r="M18" s="100">
        <v>20</v>
      </c>
      <c r="N18" s="91">
        <v>150</v>
      </c>
      <c r="Q18" s="170" t="s">
        <v>36</v>
      </c>
      <c r="R18" s="170"/>
      <c r="S18" s="170"/>
    </row>
    <row r="19" spans="2:19">
      <c r="B19" s="176"/>
      <c r="C19" s="174"/>
      <c r="D19" s="172"/>
      <c r="E19" s="23">
        <v>15</v>
      </c>
      <c r="F19" s="2">
        <v>48</v>
      </c>
      <c r="G19" s="107"/>
      <c r="H19" s="2">
        <v>0</v>
      </c>
      <c r="I19" s="90">
        <f>I18-F19-F18</f>
        <v>58</v>
      </c>
      <c r="J19" s="99">
        <v>150</v>
      </c>
      <c r="K19" s="99">
        <v>150</v>
      </c>
      <c r="L19" s="101"/>
      <c r="M19" s="100">
        <v>20</v>
      </c>
      <c r="N19" s="91">
        <v>150</v>
      </c>
      <c r="Q19" s="4" t="s">
        <v>37</v>
      </c>
      <c r="R19" s="4">
        <v>20</v>
      </c>
      <c r="S19" s="4" t="s">
        <v>38</v>
      </c>
    </row>
    <row r="20" spans="2:19">
      <c r="B20" s="176"/>
      <c r="C20" s="174"/>
      <c r="D20" s="172"/>
      <c r="E20" s="23">
        <v>16</v>
      </c>
      <c r="F20" s="2">
        <v>51</v>
      </c>
      <c r="G20" s="107"/>
      <c r="H20" s="2">
        <v>0</v>
      </c>
      <c r="I20" s="90">
        <f>I19-F20</f>
        <v>7</v>
      </c>
      <c r="J20" s="99">
        <v>150</v>
      </c>
      <c r="K20" s="99">
        <v>150</v>
      </c>
      <c r="L20" s="101"/>
      <c r="M20" s="100">
        <v>20</v>
      </c>
      <c r="N20" s="91">
        <v>150</v>
      </c>
      <c r="Q20" s="170" t="s">
        <v>39</v>
      </c>
      <c r="R20" s="170"/>
      <c r="S20" s="170"/>
    </row>
    <row r="21" spans="2:19">
      <c r="B21" s="176"/>
      <c r="C21" s="174"/>
      <c r="D21" s="172"/>
      <c r="E21" s="23">
        <v>17</v>
      </c>
      <c r="F21" s="2">
        <v>37</v>
      </c>
      <c r="G21" s="107"/>
      <c r="H21" s="113">
        <v>3</v>
      </c>
      <c r="I21" s="109">
        <v>0</v>
      </c>
      <c r="J21" s="99">
        <v>150</v>
      </c>
      <c r="K21" s="99">
        <v>150</v>
      </c>
      <c r="L21" s="101"/>
      <c r="M21" s="100">
        <v>20</v>
      </c>
      <c r="N21" s="91">
        <v>150</v>
      </c>
      <c r="Q21" s="4" t="s">
        <v>40</v>
      </c>
      <c r="R21" s="4">
        <v>2.7397260269999997E-4</v>
      </c>
      <c r="S21" s="4" t="s">
        <v>41</v>
      </c>
    </row>
    <row r="22" spans="2:19">
      <c r="B22" s="176"/>
      <c r="C22" s="174"/>
      <c r="D22" s="172"/>
      <c r="E22" s="23">
        <v>18</v>
      </c>
      <c r="F22" s="2">
        <v>34</v>
      </c>
      <c r="G22" s="107"/>
      <c r="H22" s="113">
        <v>34</v>
      </c>
      <c r="I22" s="109">
        <v>0</v>
      </c>
      <c r="J22" s="99">
        <v>150</v>
      </c>
      <c r="K22" s="99">
        <v>150</v>
      </c>
      <c r="L22" s="101"/>
      <c r="M22" s="100">
        <v>20</v>
      </c>
      <c r="N22" s="91">
        <v>150</v>
      </c>
    </row>
    <row r="23" spans="2:19">
      <c r="B23" s="176"/>
      <c r="C23" s="174"/>
      <c r="D23" s="172"/>
      <c r="E23" s="23">
        <v>19</v>
      </c>
      <c r="F23" s="2">
        <v>44</v>
      </c>
      <c r="G23" s="107"/>
      <c r="H23" s="113">
        <v>44</v>
      </c>
      <c r="I23" s="109">
        <v>0</v>
      </c>
      <c r="J23" s="99">
        <v>150</v>
      </c>
      <c r="K23" s="99">
        <v>150</v>
      </c>
      <c r="L23" s="101"/>
      <c r="M23" s="100">
        <v>20</v>
      </c>
      <c r="N23" s="91">
        <v>150</v>
      </c>
    </row>
    <row r="24" spans="2:19">
      <c r="B24" s="176"/>
      <c r="C24" s="174"/>
      <c r="D24" s="172"/>
      <c r="E24" s="23">
        <v>20</v>
      </c>
      <c r="F24" s="2">
        <v>32</v>
      </c>
      <c r="G24" s="107"/>
      <c r="H24" s="113">
        <v>32</v>
      </c>
      <c r="I24" s="109">
        <v>0</v>
      </c>
      <c r="J24" s="99">
        <v>150</v>
      </c>
      <c r="K24" s="99">
        <v>150</v>
      </c>
      <c r="L24" s="101"/>
      <c r="M24" s="100">
        <v>20</v>
      </c>
      <c r="N24" s="91">
        <v>150</v>
      </c>
    </row>
    <row r="25" spans="2:19">
      <c r="B25" s="176"/>
      <c r="C25" s="174"/>
      <c r="D25" s="172"/>
      <c r="E25" s="23">
        <v>21</v>
      </c>
      <c r="F25" s="2">
        <v>45</v>
      </c>
      <c r="G25" s="107"/>
      <c r="H25" s="113">
        <v>45</v>
      </c>
      <c r="I25" s="109">
        <v>0</v>
      </c>
      <c r="J25" s="99">
        <v>150</v>
      </c>
      <c r="K25" s="99">
        <v>150</v>
      </c>
      <c r="L25" s="101"/>
      <c r="M25" s="100">
        <v>20</v>
      </c>
      <c r="N25" s="91">
        <v>150</v>
      </c>
    </row>
    <row r="26" spans="2:19">
      <c r="B26" s="176"/>
      <c r="C26" s="174"/>
      <c r="D26" s="172"/>
      <c r="E26" s="23">
        <v>22</v>
      </c>
      <c r="F26" s="2">
        <v>53</v>
      </c>
      <c r="G26" s="107"/>
      <c r="H26" s="2">
        <v>0</v>
      </c>
      <c r="I26" s="110">
        <v>150</v>
      </c>
      <c r="J26" s="23"/>
      <c r="K26" s="99">
        <v>150</v>
      </c>
      <c r="L26" s="101"/>
      <c r="M26" s="100" t="str">
        <f>"10 - 10"</f>
        <v>10 - 10</v>
      </c>
      <c r="N26" s="91">
        <v>150</v>
      </c>
    </row>
    <row r="27" spans="2:19">
      <c r="B27" s="176"/>
      <c r="C27" s="174"/>
      <c r="D27" s="172"/>
      <c r="E27" s="23">
        <v>23</v>
      </c>
      <c r="F27" s="2">
        <v>48</v>
      </c>
      <c r="G27" s="107"/>
      <c r="H27" s="2">
        <v>0</v>
      </c>
      <c r="I27" s="90">
        <f>I26-F27-F26</f>
        <v>49</v>
      </c>
      <c r="J27" s="99">
        <v>150</v>
      </c>
      <c r="K27" s="99">
        <v>150</v>
      </c>
      <c r="L27" s="101"/>
      <c r="M27" s="100">
        <v>20</v>
      </c>
      <c r="N27" s="91">
        <v>150</v>
      </c>
    </row>
    <row r="28" spans="2:19">
      <c r="B28" s="176"/>
      <c r="C28" s="174"/>
      <c r="D28" s="172"/>
      <c r="E28" s="23">
        <v>24</v>
      </c>
      <c r="F28" s="2">
        <v>28</v>
      </c>
      <c r="G28" s="107"/>
      <c r="H28" s="2">
        <v>0</v>
      </c>
      <c r="I28" s="90">
        <f>I27-F28</f>
        <v>21</v>
      </c>
      <c r="J28" s="99">
        <v>150</v>
      </c>
      <c r="K28" s="99">
        <v>150</v>
      </c>
      <c r="L28" s="101"/>
      <c r="M28" s="100">
        <v>20</v>
      </c>
      <c r="N28" s="91">
        <v>150</v>
      </c>
    </row>
    <row r="29" spans="2:19">
      <c r="B29" s="176"/>
      <c r="C29" s="174"/>
      <c r="D29" s="172"/>
      <c r="E29" s="23">
        <v>25</v>
      </c>
      <c r="F29" s="2">
        <v>45</v>
      </c>
      <c r="G29" s="107"/>
      <c r="H29" s="113">
        <v>24</v>
      </c>
      <c r="I29" s="109">
        <v>0</v>
      </c>
      <c r="J29" s="99">
        <v>150</v>
      </c>
      <c r="K29" s="99">
        <v>150</v>
      </c>
      <c r="L29" s="101"/>
      <c r="M29" s="100">
        <v>20</v>
      </c>
      <c r="N29" s="91">
        <v>150</v>
      </c>
    </row>
    <row r="30" spans="2:19">
      <c r="B30" s="176"/>
      <c r="C30" s="174"/>
      <c r="D30" s="172"/>
      <c r="E30" s="23">
        <v>26</v>
      </c>
      <c r="F30" s="2">
        <v>36</v>
      </c>
      <c r="G30" s="107"/>
      <c r="H30" s="113">
        <v>36</v>
      </c>
      <c r="I30" s="109">
        <v>0</v>
      </c>
      <c r="J30" s="99">
        <v>150</v>
      </c>
      <c r="K30" s="99">
        <v>150</v>
      </c>
      <c r="L30" s="101"/>
      <c r="M30" s="100">
        <v>20</v>
      </c>
      <c r="N30" s="91">
        <v>150</v>
      </c>
    </row>
    <row r="31" spans="2:19">
      <c r="B31" s="176"/>
      <c r="C31" s="174"/>
      <c r="D31" s="172"/>
      <c r="E31" s="23">
        <v>27</v>
      </c>
      <c r="F31" s="2">
        <v>32</v>
      </c>
      <c r="G31" s="107"/>
      <c r="H31" s="113">
        <v>32</v>
      </c>
      <c r="I31" s="109">
        <v>0</v>
      </c>
      <c r="J31" s="99">
        <v>150</v>
      </c>
      <c r="K31" s="99">
        <v>150</v>
      </c>
      <c r="L31" s="101"/>
      <c r="M31" s="100">
        <v>20</v>
      </c>
      <c r="N31" s="91">
        <v>150</v>
      </c>
    </row>
    <row r="32" spans="2:19">
      <c r="B32" s="176"/>
      <c r="C32" s="174"/>
      <c r="D32" s="172"/>
      <c r="E32" s="23">
        <v>28</v>
      </c>
      <c r="F32" s="2">
        <v>50</v>
      </c>
      <c r="G32" s="107"/>
      <c r="H32" s="113">
        <v>50</v>
      </c>
      <c r="I32" s="109">
        <v>0</v>
      </c>
      <c r="J32" s="99">
        <v>150</v>
      </c>
      <c r="K32" s="99">
        <v>150</v>
      </c>
      <c r="L32" s="101"/>
      <c r="M32" s="100">
        <v>20</v>
      </c>
      <c r="N32" s="91">
        <v>150</v>
      </c>
    </row>
    <row r="33" spans="2:14">
      <c r="B33" s="176"/>
      <c r="C33" s="174"/>
      <c r="D33" s="172"/>
      <c r="E33" s="23">
        <v>29</v>
      </c>
      <c r="F33" s="2">
        <v>26</v>
      </c>
      <c r="G33" s="107"/>
      <c r="H33" s="113">
        <v>11</v>
      </c>
      <c r="I33" s="109">
        <v>0</v>
      </c>
      <c r="J33" s="99">
        <v>150</v>
      </c>
      <c r="K33" s="99">
        <v>150</v>
      </c>
      <c r="L33" s="101"/>
      <c r="M33" s="100">
        <v>20</v>
      </c>
      <c r="N33" s="91">
        <v>150</v>
      </c>
    </row>
    <row r="34" spans="2:14">
      <c r="B34" s="176"/>
      <c r="C34" s="174"/>
      <c r="D34" s="172"/>
      <c r="E34" s="23">
        <v>30</v>
      </c>
      <c r="F34" s="2">
        <v>43</v>
      </c>
      <c r="G34" s="107"/>
      <c r="H34" s="2">
        <v>0</v>
      </c>
      <c r="I34" s="110">
        <v>150</v>
      </c>
      <c r="J34" s="23"/>
      <c r="K34" s="99">
        <v>150</v>
      </c>
      <c r="L34" s="101"/>
      <c r="M34" s="100">
        <v>20</v>
      </c>
      <c r="N34" s="91">
        <v>150</v>
      </c>
    </row>
    <row r="35" spans="2:14">
      <c r="B35" s="176"/>
      <c r="C35" s="174"/>
      <c r="D35" s="173"/>
      <c r="E35" s="23">
        <v>31</v>
      </c>
      <c r="F35" s="2">
        <v>54</v>
      </c>
      <c r="G35" s="107"/>
      <c r="H35" s="2">
        <v>0</v>
      </c>
      <c r="I35" s="90">
        <f>I34-F35-F34</f>
        <v>53</v>
      </c>
      <c r="J35" s="99">
        <v>150</v>
      </c>
      <c r="K35" s="99">
        <v>150</v>
      </c>
      <c r="L35" s="101"/>
      <c r="M35" s="100">
        <v>20</v>
      </c>
      <c r="N35" s="91">
        <v>150</v>
      </c>
    </row>
    <row r="36" spans="2:14">
      <c r="B36" s="176"/>
      <c r="C36" s="174"/>
      <c r="D36" s="171" t="s">
        <v>42</v>
      </c>
      <c r="E36" s="23">
        <v>32</v>
      </c>
      <c r="F36" s="2">
        <v>45</v>
      </c>
      <c r="G36" s="107"/>
      <c r="H36" s="113">
        <v>7</v>
      </c>
      <c r="I36" s="90">
        <f>I35-F36</f>
        <v>8</v>
      </c>
      <c r="J36" s="99">
        <v>150</v>
      </c>
      <c r="K36" s="99">
        <v>150</v>
      </c>
      <c r="L36" s="101"/>
      <c r="M36" s="100">
        <v>20</v>
      </c>
      <c r="N36" s="91">
        <v>150</v>
      </c>
    </row>
    <row r="37" spans="2:14">
      <c r="B37" s="176"/>
      <c r="C37" s="174"/>
      <c r="D37" s="172"/>
      <c r="E37" s="23">
        <v>33</v>
      </c>
      <c r="F37" s="2">
        <v>39</v>
      </c>
      <c r="G37" s="107"/>
      <c r="H37" s="113">
        <v>39</v>
      </c>
      <c r="I37" s="109">
        <v>0</v>
      </c>
      <c r="J37" s="99">
        <v>150</v>
      </c>
      <c r="K37" s="99">
        <v>150</v>
      </c>
      <c r="L37" s="101"/>
      <c r="M37" s="100">
        <v>20</v>
      </c>
      <c r="N37" s="91">
        <v>150</v>
      </c>
    </row>
    <row r="38" spans="2:14">
      <c r="B38" s="176"/>
      <c r="C38" s="174"/>
      <c r="D38" s="172"/>
      <c r="E38" s="23">
        <v>34</v>
      </c>
      <c r="F38" s="2">
        <v>39</v>
      </c>
      <c r="G38" s="107"/>
      <c r="H38" s="113">
        <v>39</v>
      </c>
      <c r="I38" s="109">
        <v>0</v>
      </c>
      <c r="J38" s="99">
        <v>150</v>
      </c>
      <c r="K38" s="99">
        <v>150</v>
      </c>
      <c r="L38" s="101"/>
      <c r="M38" s="100">
        <v>20</v>
      </c>
      <c r="N38" s="91">
        <v>150</v>
      </c>
    </row>
    <row r="39" spans="2:14">
      <c r="B39" s="176"/>
      <c r="C39" s="174"/>
      <c r="D39" s="172"/>
      <c r="E39" s="23">
        <v>35</v>
      </c>
      <c r="F39" s="2">
        <v>51</v>
      </c>
      <c r="G39" s="107"/>
      <c r="H39" s="113">
        <v>51</v>
      </c>
      <c r="I39" s="109">
        <v>0</v>
      </c>
      <c r="J39" s="99">
        <v>150</v>
      </c>
      <c r="K39" s="99">
        <v>150</v>
      </c>
      <c r="L39" s="101"/>
      <c r="M39" s="100">
        <v>20</v>
      </c>
      <c r="N39" s="91">
        <v>150</v>
      </c>
    </row>
    <row r="40" spans="2:14">
      <c r="B40" s="176"/>
      <c r="C40" s="174"/>
      <c r="D40" s="172"/>
      <c r="E40" s="23">
        <v>36</v>
      </c>
      <c r="F40" s="2">
        <v>49</v>
      </c>
      <c r="G40" s="107"/>
      <c r="H40" s="113">
        <v>49</v>
      </c>
      <c r="I40" s="109">
        <v>0</v>
      </c>
      <c r="J40" s="99">
        <v>150</v>
      </c>
      <c r="K40" s="99">
        <v>150</v>
      </c>
      <c r="L40" s="101"/>
      <c r="M40" s="100">
        <v>20</v>
      </c>
      <c r="N40" s="91">
        <v>150</v>
      </c>
    </row>
    <row r="41" spans="2:14">
      <c r="B41" s="176"/>
      <c r="C41" s="174"/>
      <c r="D41" s="172"/>
      <c r="E41" s="23">
        <v>37</v>
      </c>
      <c r="F41" s="2">
        <v>35</v>
      </c>
      <c r="G41" s="107"/>
      <c r="H41" s="2">
        <v>0</v>
      </c>
      <c r="I41" s="109">
        <v>0</v>
      </c>
      <c r="J41" s="99">
        <v>150</v>
      </c>
      <c r="K41" s="99">
        <v>150</v>
      </c>
      <c r="L41" s="101"/>
      <c r="M41" s="100" t="str">
        <f>"10 - 10"</f>
        <v>10 - 10</v>
      </c>
      <c r="N41" s="91">
        <v>150</v>
      </c>
    </row>
    <row r="42" spans="2:14">
      <c r="B42" s="176"/>
      <c r="C42" s="174"/>
      <c r="D42" s="172"/>
      <c r="E42" s="23">
        <v>38</v>
      </c>
      <c r="F42" s="2">
        <v>45</v>
      </c>
      <c r="G42" s="107"/>
      <c r="H42" s="2">
        <v>0</v>
      </c>
      <c r="I42" s="110">
        <v>150</v>
      </c>
      <c r="J42" s="23"/>
      <c r="K42" s="99">
        <v>150</v>
      </c>
      <c r="L42" s="101"/>
      <c r="M42" s="100">
        <v>20</v>
      </c>
      <c r="N42" s="91">
        <v>150</v>
      </c>
    </row>
    <row r="43" spans="2:14">
      <c r="B43" s="176"/>
      <c r="C43" s="174"/>
      <c r="D43" s="172"/>
      <c r="E43" s="23">
        <v>39</v>
      </c>
      <c r="F43" s="2">
        <v>45</v>
      </c>
      <c r="G43" s="107"/>
      <c r="H43" s="2">
        <v>0</v>
      </c>
      <c r="I43" s="90">
        <f>I42-F43-F42</f>
        <v>60</v>
      </c>
      <c r="J43" s="99">
        <v>150</v>
      </c>
      <c r="K43" s="99">
        <v>150</v>
      </c>
      <c r="L43" s="101"/>
      <c r="M43" s="100">
        <v>20</v>
      </c>
      <c r="N43" s="91">
        <v>150</v>
      </c>
    </row>
    <row r="44" spans="2:14">
      <c r="B44" s="176"/>
      <c r="C44" s="174"/>
      <c r="D44" s="172"/>
      <c r="E44" s="23">
        <v>40</v>
      </c>
      <c r="F44" s="2">
        <v>40</v>
      </c>
      <c r="G44" s="107"/>
      <c r="H44" s="113">
        <v>15</v>
      </c>
      <c r="I44" s="90">
        <f>I43-F44</f>
        <v>20</v>
      </c>
      <c r="J44" s="99">
        <v>150</v>
      </c>
      <c r="K44" s="99">
        <v>150</v>
      </c>
      <c r="L44" s="101"/>
      <c r="M44" s="100">
        <v>20</v>
      </c>
      <c r="N44" s="91">
        <v>150</v>
      </c>
    </row>
    <row r="45" spans="2:14">
      <c r="B45" s="176"/>
      <c r="C45" s="174"/>
      <c r="D45" s="172"/>
      <c r="E45" s="23">
        <v>41</v>
      </c>
      <c r="F45" s="2">
        <v>37</v>
      </c>
      <c r="G45" s="107"/>
      <c r="H45" s="113">
        <v>37</v>
      </c>
      <c r="I45" s="109">
        <v>0</v>
      </c>
      <c r="J45" s="99">
        <v>150</v>
      </c>
      <c r="K45" s="99">
        <v>150</v>
      </c>
      <c r="L45" s="101"/>
      <c r="M45" s="100">
        <v>20</v>
      </c>
      <c r="N45" s="91">
        <v>150</v>
      </c>
    </row>
    <row r="46" spans="2:14">
      <c r="B46" s="176"/>
      <c r="C46" s="174"/>
      <c r="D46" s="172"/>
      <c r="E46" s="23">
        <v>42</v>
      </c>
      <c r="F46" s="2">
        <v>52</v>
      </c>
      <c r="G46" s="107"/>
      <c r="H46" s="113">
        <v>52</v>
      </c>
      <c r="I46" s="109">
        <v>0</v>
      </c>
      <c r="J46" s="99">
        <v>150</v>
      </c>
      <c r="K46" s="99">
        <v>150</v>
      </c>
      <c r="L46" s="101"/>
      <c r="M46" s="100">
        <v>20</v>
      </c>
      <c r="N46" s="91">
        <v>150</v>
      </c>
    </row>
    <row r="47" spans="2:14">
      <c r="B47" s="176"/>
      <c r="C47" s="174"/>
      <c r="D47" s="172"/>
      <c r="E47" s="23">
        <v>43</v>
      </c>
      <c r="F47" s="2">
        <v>43</v>
      </c>
      <c r="G47" s="107"/>
      <c r="H47" s="113">
        <v>43</v>
      </c>
      <c r="I47" s="109">
        <v>0</v>
      </c>
      <c r="J47" s="99">
        <v>150</v>
      </c>
      <c r="K47" s="99">
        <v>150</v>
      </c>
      <c r="L47" s="101"/>
      <c r="M47" s="100">
        <v>20</v>
      </c>
      <c r="N47" s="91">
        <v>150</v>
      </c>
    </row>
    <row r="48" spans="2:14">
      <c r="B48" s="176"/>
      <c r="C48" s="174"/>
      <c r="D48" s="172"/>
      <c r="E48" s="23">
        <v>44</v>
      </c>
      <c r="F48" s="2">
        <v>42</v>
      </c>
      <c r="G48" s="107"/>
      <c r="H48" s="113">
        <v>24</v>
      </c>
      <c r="I48" s="109">
        <v>0</v>
      </c>
      <c r="J48" s="99">
        <v>150</v>
      </c>
      <c r="K48" s="99">
        <v>150</v>
      </c>
      <c r="L48" s="101"/>
      <c r="M48" s="100">
        <v>20</v>
      </c>
      <c r="N48" s="91">
        <v>150</v>
      </c>
    </row>
    <row r="49" spans="2:14">
      <c r="B49" s="176"/>
      <c r="C49" s="174"/>
      <c r="D49" s="172"/>
      <c r="E49" s="23">
        <v>45</v>
      </c>
      <c r="F49" s="2">
        <v>52</v>
      </c>
      <c r="G49" s="107"/>
      <c r="H49" s="2">
        <v>0</v>
      </c>
      <c r="I49" s="109">
        <v>0</v>
      </c>
      <c r="J49" s="99">
        <v>150</v>
      </c>
      <c r="K49" s="99">
        <v>150</v>
      </c>
      <c r="L49" s="101"/>
      <c r="M49" s="100">
        <v>20</v>
      </c>
      <c r="N49" s="91">
        <v>150</v>
      </c>
    </row>
    <row r="50" spans="2:14">
      <c r="B50" s="176"/>
      <c r="C50" s="174"/>
      <c r="D50" s="172"/>
      <c r="E50" s="23">
        <v>46</v>
      </c>
      <c r="F50" s="2">
        <v>41</v>
      </c>
      <c r="G50" s="107"/>
      <c r="H50" s="2">
        <v>0</v>
      </c>
      <c r="I50" s="110">
        <v>150</v>
      </c>
      <c r="J50" s="23"/>
      <c r="K50" s="99">
        <v>150</v>
      </c>
      <c r="L50" s="101"/>
      <c r="M50" s="100">
        <v>20</v>
      </c>
      <c r="N50" s="91">
        <v>150</v>
      </c>
    </row>
    <row r="51" spans="2:14">
      <c r="B51" s="176"/>
      <c r="C51" s="174"/>
      <c r="D51" s="172"/>
      <c r="E51" s="23">
        <v>47</v>
      </c>
      <c r="F51" s="2">
        <v>43</v>
      </c>
      <c r="G51" s="107"/>
      <c r="H51" s="113">
        <v>4</v>
      </c>
      <c r="I51" s="90">
        <f>I50-F51-F50</f>
        <v>66</v>
      </c>
      <c r="J51" s="99">
        <v>150</v>
      </c>
      <c r="K51" s="99">
        <v>150</v>
      </c>
      <c r="L51" s="101"/>
      <c r="M51" s="100">
        <v>20</v>
      </c>
      <c r="N51" s="91">
        <v>150</v>
      </c>
    </row>
    <row r="52" spans="2:14">
      <c r="B52" s="176"/>
      <c r="C52" s="174"/>
      <c r="D52" s="172"/>
      <c r="E52" s="23">
        <v>48</v>
      </c>
      <c r="F52" s="2">
        <v>45</v>
      </c>
      <c r="G52" s="107"/>
      <c r="H52" s="113">
        <v>45</v>
      </c>
      <c r="I52" s="90">
        <f>I51-F52</f>
        <v>21</v>
      </c>
      <c r="J52" s="99">
        <v>150</v>
      </c>
      <c r="K52" s="99">
        <v>150</v>
      </c>
      <c r="L52" s="101"/>
      <c r="M52" s="100">
        <v>20</v>
      </c>
      <c r="N52" s="91">
        <v>150</v>
      </c>
    </row>
    <row r="53" spans="2:14">
      <c r="B53" s="176"/>
      <c r="C53" s="174"/>
      <c r="D53" s="172"/>
      <c r="E53" s="23">
        <v>49</v>
      </c>
      <c r="F53" s="2">
        <v>30</v>
      </c>
      <c r="G53" s="107"/>
      <c r="H53" s="113">
        <v>30</v>
      </c>
      <c r="I53" s="109">
        <v>0</v>
      </c>
      <c r="J53" s="99">
        <v>150</v>
      </c>
      <c r="K53" s="99">
        <v>150</v>
      </c>
      <c r="L53" s="101"/>
      <c r="M53" s="100">
        <v>20</v>
      </c>
      <c r="N53" s="91">
        <v>150</v>
      </c>
    </row>
    <row r="54" spans="2:14">
      <c r="B54" s="176"/>
      <c r="C54" s="174"/>
      <c r="D54" s="172"/>
      <c r="E54" s="23">
        <v>50</v>
      </c>
      <c r="F54" s="2">
        <v>40</v>
      </c>
      <c r="G54" s="107"/>
      <c r="H54" s="113">
        <v>40</v>
      </c>
      <c r="I54" s="109">
        <v>0</v>
      </c>
      <c r="J54" s="99">
        <v>150</v>
      </c>
      <c r="K54" s="99">
        <v>150</v>
      </c>
      <c r="L54" s="101"/>
      <c r="M54" s="100">
        <v>20</v>
      </c>
      <c r="N54" s="91">
        <v>150</v>
      </c>
    </row>
    <row r="55" spans="2:14">
      <c r="B55" s="176"/>
      <c r="C55" s="174"/>
      <c r="D55" s="172"/>
      <c r="E55" s="23">
        <v>51</v>
      </c>
      <c r="F55" s="2">
        <v>35</v>
      </c>
      <c r="G55" s="107"/>
      <c r="H55" s="113">
        <v>35</v>
      </c>
      <c r="I55" s="109">
        <v>0</v>
      </c>
      <c r="J55" s="99">
        <v>150</v>
      </c>
      <c r="K55" s="99">
        <v>150</v>
      </c>
      <c r="L55" s="101"/>
      <c r="M55" s="100">
        <v>20</v>
      </c>
      <c r="N55" s="91">
        <v>150</v>
      </c>
    </row>
    <row r="56" spans="2:14">
      <c r="B56" s="176"/>
      <c r="C56" s="174"/>
      <c r="D56" s="172"/>
      <c r="E56" s="23">
        <v>52</v>
      </c>
      <c r="F56" s="2">
        <v>53</v>
      </c>
      <c r="G56" s="107"/>
      <c r="H56" s="2">
        <v>0</v>
      </c>
      <c r="I56" s="109">
        <v>0</v>
      </c>
      <c r="J56" s="99">
        <v>150</v>
      </c>
      <c r="K56" s="99">
        <v>150</v>
      </c>
      <c r="L56" s="101"/>
      <c r="M56" s="100" t="str">
        <f>"10 - 10"</f>
        <v>10 - 10</v>
      </c>
      <c r="N56" s="91">
        <v>150</v>
      </c>
    </row>
    <row r="57" spans="2:14">
      <c r="B57" s="176"/>
      <c r="C57" s="174"/>
      <c r="D57" s="172"/>
      <c r="E57" s="23">
        <v>53</v>
      </c>
      <c r="F57" s="2">
        <v>44</v>
      </c>
      <c r="G57" s="107"/>
      <c r="H57" s="2">
        <v>0</v>
      </c>
      <c r="I57" s="109">
        <v>0</v>
      </c>
      <c r="J57" s="99">
        <v>150</v>
      </c>
      <c r="K57" s="99">
        <v>150</v>
      </c>
      <c r="L57" s="101"/>
      <c r="M57" s="100">
        <v>20</v>
      </c>
      <c r="N57" s="91">
        <v>150</v>
      </c>
    </row>
    <row r="58" spans="2:14">
      <c r="B58" s="176"/>
      <c r="C58" s="174"/>
      <c r="D58" s="172"/>
      <c r="E58" s="23">
        <v>54</v>
      </c>
      <c r="F58" s="2">
        <v>40</v>
      </c>
      <c r="G58" s="107"/>
      <c r="H58" s="2">
        <v>0</v>
      </c>
      <c r="I58" s="110">
        <v>150</v>
      </c>
      <c r="J58" s="23"/>
      <c r="K58" s="99">
        <v>150</v>
      </c>
      <c r="L58" s="101"/>
      <c r="M58" s="100">
        <v>20</v>
      </c>
      <c r="N58" s="91">
        <v>150</v>
      </c>
    </row>
    <row r="59" spans="2:14">
      <c r="B59" s="176"/>
      <c r="C59" s="174"/>
      <c r="D59" s="172"/>
      <c r="E59" s="23">
        <v>55</v>
      </c>
      <c r="F59" s="2">
        <v>48</v>
      </c>
      <c r="G59" s="107"/>
      <c r="H59" s="113">
        <v>35</v>
      </c>
      <c r="I59" s="90">
        <f>I58-F59-F58</f>
        <v>62</v>
      </c>
      <c r="J59" s="99">
        <v>150</v>
      </c>
      <c r="K59" s="99">
        <v>150</v>
      </c>
      <c r="L59" s="101"/>
      <c r="M59" s="100">
        <v>20</v>
      </c>
      <c r="N59" s="91">
        <v>150</v>
      </c>
    </row>
    <row r="60" spans="2:14">
      <c r="B60" s="176"/>
      <c r="C60" s="174"/>
      <c r="D60" s="172"/>
      <c r="E60" s="23">
        <v>56</v>
      </c>
      <c r="F60" s="2">
        <v>46</v>
      </c>
      <c r="G60" s="107"/>
      <c r="H60" s="113">
        <v>46</v>
      </c>
      <c r="I60" s="90">
        <f>I59-F60</f>
        <v>16</v>
      </c>
      <c r="J60" s="99">
        <v>150</v>
      </c>
      <c r="K60" s="99">
        <v>150</v>
      </c>
      <c r="L60" s="101"/>
      <c r="M60" s="100">
        <v>20</v>
      </c>
      <c r="N60" s="91">
        <v>150</v>
      </c>
    </row>
    <row r="61" spans="2:14">
      <c r="B61" s="176"/>
      <c r="C61" s="174"/>
      <c r="D61" s="172"/>
      <c r="E61" s="23">
        <v>57</v>
      </c>
      <c r="F61" s="2">
        <v>41</v>
      </c>
      <c r="G61" s="107"/>
      <c r="H61" s="113">
        <v>41</v>
      </c>
      <c r="I61" s="109">
        <v>0</v>
      </c>
      <c r="J61" s="99">
        <v>150</v>
      </c>
      <c r="K61" s="99">
        <v>150</v>
      </c>
      <c r="L61" s="101"/>
      <c r="M61" s="100">
        <v>20</v>
      </c>
      <c r="N61" s="91">
        <v>150</v>
      </c>
    </row>
    <row r="62" spans="2:14">
      <c r="B62" s="176"/>
      <c r="C62" s="174"/>
      <c r="D62" s="172"/>
      <c r="E62" s="23">
        <v>58</v>
      </c>
      <c r="F62" s="2">
        <v>48</v>
      </c>
      <c r="G62" s="107"/>
      <c r="H62" s="113">
        <v>48</v>
      </c>
      <c r="I62" s="109">
        <v>0</v>
      </c>
      <c r="J62" s="99">
        <v>150</v>
      </c>
      <c r="K62" s="99">
        <v>150</v>
      </c>
      <c r="L62" s="101"/>
      <c r="M62" s="100">
        <v>20</v>
      </c>
      <c r="N62" s="91">
        <v>150</v>
      </c>
    </row>
    <row r="63" spans="2:14">
      <c r="B63" s="176"/>
      <c r="C63" s="174"/>
      <c r="D63" s="173"/>
      <c r="E63" s="23">
        <v>59</v>
      </c>
      <c r="F63" s="2">
        <v>51</v>
      </c>
      <c r="G63" s="107"/>
      <c r="H63" s="113">
        <v>19</v>
      </c>
      <c r="I63" s="109">
        <v>0</v>
      </c>
      <c r="J63" s="99">
        <v>150</v>
      </c>
      <c r="K63" s="99">
        <v>150</v>
      </c>
      <c r="L63" s="101"/>
      <c r="M63" s="100">
        <v>20</v>
      </c>
      <c r="N63" s="91">
        <v>150</v>
      </c>
    </row>
    <row r="64" spans="2:14">
      <c r="B64" s="176"/>
      <c r="C64" s="174"/>
      <c r="D64" s="171" t="s">
        <v>43</v>
      </c>
      <c r="E64" s="23">
        <v>60</v>
      </c>
      <c r="F64" s="2">
        <v>47</v>
      </c>
      <c r="G64" s="107"/>
      <c r="H64" s="2">
        <v>0</v>
      </c>
      <c r="I64" s="109">
        <v>0</v>
      </c>
      <c r="J64" s="99">
        <v>150</v>
      </c>
      <c r="K64" s="99">
        <v>150</v>
      </c>
      <c r="L64" s="101"/>
      <c r="M64" s="100">
        <v>20</v>
      </c>
      <c r="N64" s="91">
        <v>150</v>
      </c>
    </row>
    <row r="65" spans="2:14">
      <c r="B65" s="176"/>
      <c r="C65" s="174"/>
      <c r="D65" s="172"/>
      <c r="E65" s="23">
        <v>61</v>
      </c>
      <c r="F65" s="2">
        <v>45</v>
      </c>
      <c r="G65" s="107"/>
      <c r="H65" s="2">
        <v>0</v>
      </c>
      <c r="I65" s="109">
        <v>0</v>
      </c>
      <c r="J65" s="99">
        <v>150</v>
      </c>
      <c r="K65" s="99">
        <v>150</v>
      </c>
      <c r="L65" s="101"/>
      <c r="M65" s="100">
        <v>20</v>
      </c>
      <c r="N65" s="91">
        <v>150</v>
      </c>
    </row>
    <row r="66" spans="2:14">
      <c r="B66" s="176"/>
      <c r="C66" s="174"/>
      <c r="D66" s="172"/>
      <c r="E66" s="23">
        <v>62</v>
      </c>
      <c r="F66" s="2">
        <v>34</v>
      </c>
      <c r="G66" s="107"/>
      <c r="H66" s="2">
        <v>8</v>
      </c>
      <c r="I66" s="110">
        <v>150</v>
      </c>
      <c r="J66" s="23"/>
      <c r="K66" s="99">
        <v>150</v>
      </c>
      <c r="L66" s="101"/>
      <c r="M66" s="100">
        <v>20</v>
      </c>
      <c r="N66" s="91">
        <v>150</v>
      </c>
    </row>
    <row r="67" spans="2:14">
      <c r="B67" s="176"/>
      <c r="C67" s="174"/>
      <c r="D67" s="172"/>
      <c r="E67" s="23">
        <v>63</v>
      </c>
      <c r="F67" s="2">
        <v>37</v>
      </c>
      <c r="G67" s="107"/>
      <c r="H67" s="113">
        <v>37</v>
      </c>
      <c r="I67" s="90">
        <f>I66-F67-F66</f>
        <v>79</v>
      </c>
      <c r="J67" s="99">
        <v>150</v>
      </c>
      <c r="K67" s="99">
        <v>150</v>
      </c>
      <c r="L67" s="101"/>
      <c r="M67" s="100">
        <v>20</v>
      </c>
      <c r="N67" s="91">
        <v>150</v>
      </c>
    </row>
    <row r="68" spans="2:14">
      <c r="B68" s="176"/>
      <c r="C68" s="174"/>
      <c r="D68" s="172"/>
      <c r="E68" s="23">
        <v>64</v>
      </c>
      <c r="F68" s="2">
        <v>34</v>
      </c>
      <c r="G68" s="107"/>
      <c r="H68" s="113">
        <v>34</v>
      </c>
      <c r="I68" s="90">
        <f>I67-F68</f>
        <v>45</v>
      </c>
      <c r="J68" s="99">
        <v>150</v>
      </c>
      <c r="K68" s="99">
        <v>150</v>
      </c>
      <c r="L68" s="101"/>
      <c r="M68" s="100">
        <v>20</v>
      </c>
      <c r="N68" s="91">
        <v>150</v>
      </c>
    </row>
    <row r="69" spans="2:14">
      <c r="B69" s="176"/>
      <c r="C69" s="174"/>
      <c r="D69" s="172"/>
      <c r="E69" s="23">
        <v>65</v>
      </c>
      <c r="F69" s="2">
        <v>49</v>
      </c>
      <c r="G69" s="107"/>
      <c r="H69" s="113">
        <v>49</v>
      </c>
      <c r="I69" s="109">
        <v>0</v>
      </c>
      <c r="J69" s="99">
        <v>150</v>
      </c>
      <c r="K69" s="99">
        <v>150</v>
      </c>
      <c r="L69" s="101"/>
      <c r="M69" s="100">
        <v>20</v>
      </c>
      <c r="N69" s="91">
        <v>150</v>
      </c>
    </row>
    <row r="70" spans="2:14">
      <c r="B70" s="176"/>
      <c r="C70" s="174"/>
      <c r="D70" s="172"/>
      <c r="E70" s="23">
        <v>66</v>
      </c>
      <c r="F70" s="2">
        <v>39</v>
      </c>
      <c r="G70" s="107"/>
      <c r="H70" s="113">
        <v>39</v>
      </c>
      <c r="I70" s="109">
        <v>0</v>
      </c>
      <c r="J70" s="99">
        <v>150</v>
      </c>
      <c r="K70" s="99">
        <v>150</v>
      </c>
      <c r="L70" s="101"/>
      <c r="M70" s="100">
        <v>20</v>
      </c>
      <c r="N70" s="91">
        <v>150</v>
      </c>
    </row>
    <row r="71" spans="2:14">
      <c r="B71" s="176"/>
      <c r="C71" s="174"/>
      <c r="D71" s="172"/>
      <c r="E71" s="23">
        <v>67</v>
      </c>
      <c r="F71" s="2">
        <v>61</v>
      </c>
      <c r="G71" s="107"/>
      <c r="H71" s="2">
        <v>0</v>
      </c>
      <c r="I71" s="109">
        <v>0</v>
      </c>
      <c r="J71" s="99">
        <v>150</v>
      </c>
      <c r="K71" s="99">
        <v>150</v>
      </c>
      <c r="L71" s="101"/>
      <c r="M71" s="100" t="str">
        <f>"10 - 10"</f>
        <v>10 - 10</v>
      </c>
      <c r="N71" s="91">
        <v>150</v>
      </c>
    </row>
    <row r="72" spans="2:14">
      <c r="B72" s="176"/>
      <c r="C72" s="174"/>
      <c r="D72" s="172"/>
      <c r="E72" s="23">
        <v>68</v>
      </c>
      <c r="F72" s="2">
        <v>55</v>
      </c>
      <c r="G72" s="107"/>
      <c r="H72" s="2">
        <v>0</v>
      </c>
      <c r="I72" s="109">
        <v>0</v>
      </c>
      <c r="J72" s="99">
        <v>150</v>
      </c>
      <c r="K72" s="99">
        <v>150</v>
      </c>
      <c r="L72" s="101"/>
      <c r="M72" s="100">
        <v>20</v>
      </c>
      <c r="N72" s="91">
        <v>150</v>
      </c>
    </row>
    <row r="73" spans="2:14">
      <c r="B73" s="176"/>
      <c r="C73" s="174"/>
      <c r="D73" s="172"/>
      <c r="E73" s="23">
        <v>69</v>
      </c>
      <c r="F73" s="2">
        <v>53</v>
      </c>
      <c r="G73" s="107"/>
      <c r="H73" s="113">
        <v>19</v>
      </c>
      <c r="I73" s="109">
        <v>0</v>
      </c>
      <c r="J73" s="99">
        <v>150</v>
      </c>
      <c r="K73" s="99">
        <v>150</v>
      </c>
      <c r="L73" s="101"/>
      <c r="M73" s="100">
        <v>20</v>
      </c>
      <c r="N73" s="91">
        <v>150</v>
      </c>
    </row>
    <row r="74" spans="2:14">
      <c r="B74" s="176"/>
      <c r="C74" s="174"/>
      <c r="D74" s="172"/>
      <c r="E74" s="23">
        <v>70</v>
      </c>
      <c r="F74" s="2">
        <v>30</v>
      </c>
      <c r="G74" s="107"/>
      <c r="H74" s="113">
        <v>30</v>
      </c>
      <c r="I74" s="110">
        <v>150</v>
      </c>
      <c r="J74" s="23"/>
      <c r="K74" s="99">
        <v>150</v>
      </c>
      <c r="L74" s="101"/>
      <c r="M74" s="100">
        <v>20</v>
      </c>
      <c r="N74" s="91">
        <v>150</v>
      </c>
    </row>
    <row r="75" spans="2:14">
      <c r="B75" s="176"/>
      <c r="C75" s="174"/>
      <c r="D75" s="172"/>
      <c r="E75" s="23">
        <v>71</v>
      </c>
      <c r="F75" s="2">
        <v>50</v>
      </c>
      <c r="G75" s="107"/>
      <c r="H75" s="113">
        <v>50</v>
      </c>
      <c r="I75" s="90">
        <f>I74-F75-F74</f>
        <v>70</v>
      </c>
      <c r="J75" s="99">
        <v>150</v>
      </c>
      <c r="K75" s="99">
        <v>150</v>
      </c>
      <c r="L75" s="101"/>
      <c r="M75" s="100">
        <v>20</v>
      </c>
      <c r="N75" s="91">
        <v>150</v>
      </c>
    </row>
    <row r="76" spans="2:14">
      <c r="B76" s="176"/>
      <c r="C76" s="174"/>
      <c r="D76" s="172"/>
      <c r="E76" s="23">
        <v>72</v>
      </c>
      <c r="F76" s="2">
        <v>44</v>
      </c>
      <c r="G76" s="107"/>
      <c r="H76" s="113">
        <v>44</v>
      </c>
      <c r="I76" s="90">
        <f>I75-F76</f>
        <v>26</v>
      </c>
      <c r="J76" s="99">
        <v>150</v>
      </c>
      <c r="K76" s="99">
        <v>150</v>
      </c>
      <c r="L76" s="101"/>
      <c r="M76" s="100">
        <v>20</v>
      </c>
      <c r="N76" s="91">
        <v>150</v>
      </c>
    </row>
    <row r="77" spans="2:14">
      <c r="B77" s="176"/>
      <c r="C77" s="174"/>
      <c r="D77" s="172"/>
      <c r="E77" s="23">
        <v>73</v>
      </c>
      <c r="F77" s="2">
        <v>40</v>
      </c>
      <c r="G77" s="107"/>
      <c r="H77" s="113">
        <v>40</v>
      </c>
      <c r="I77" s="109">
        <v>0</v>
      </c>
      <c r="J77" s="99">
        <v>150</v>
      </c>
      <c r="K77" s="99">
        <v>150</v>
      </c>
      <c r="L77" s="101"/>
      <c r="M77" s="100">
        <v>20</v>
      </c>
      <c r="N77" s="91">
        <v>150</v>
      </c>
    </row>
    <row r="78" spans="2:14">
      <c r="B78" s="176"/>
      <c r="C78" s="174"/>
      <c r="D78" s="172"/>
      <c r="E78" s="23">
        <v>74</v>
      </c>
      <c r="F78" s="2">
        <v>44</v>
      </c>
      <c r="G78" s="107"/>
      <c r="H78" s="113">
        <v>20</v>
      </c>
      <c r="I78" s="109">
        <v>0</v>
      </c>
      <c r="J78" s="99">
        <v>150</v>
      </c>
      <c r="K78" s="99">
        <v>150</v>
      </c>
      <c r="L78" s="101"/>
      <c r="M78" s="100">
        <v>20</v>
      </c>
      <c r="N78" s="91">
        <v>150</v>
      </c>
    </row>
    <row r="79" spans="2:14">
      <c r="B79" s="176"/>
      <c r="C79" s="174"/>
      <c r="D79" s="172"/>
      <c r="E79" s="23">
        <v>75</v>
      </c>
      <c r="F79" s="2">
        <v>51</v>
      </c>
      <c r="G79" s="107"/>
      <c r="H79" s="2">
        <v>0</v>
      </c>
      <c r="I79" s="109">
        <v>0</v>
      </c>
      <c r="J79" s="99">
        <v>150</v>
      </c>
      <c r="K79" s="99">
        <v>150</v>
      </c>
      <c r="L79" s="101"/>
      <c r="M79" s="100">
        <v>20</v>
      </c>
      <c r="N79" s="91">
        <v>150</v>
      </c>
    </row>
    <row r="80" spans="2:14">
      <c r="B80" s="176"/>
      <c r="C80" s="174"/>
      <c r="D80" s="172"/>
      <c r="E80" s="23">
        <v>76</v>
      </c>
      <c r="F80" s="2">
        <v>46</v>
      </c>
      <c r="G80" s="107"/>
      <c r="H80" s="2">
        <v>0</v>
      </c>
      <c r="I80" s="109">
        <v>0</v>
      </c>
      <c r="J80" s="99">
        <v>150</v>
      </c>
      <c r="K80" s="99">
        <v>150</v>
      </c>
      <c r="L80" s="101"/>
      <c r="M80" s="100">
        <v>20</v>
      </c>
      <c r="N80" s="91">
        <v>150</v>
      </c>
    </row>
    <row r="81" spans="2:14">
      <c r="B81" s="176"/>
      <c r="C81" s="174"/>
      <c r="D81" s="172"/>
      <c r="E81" s="23">
        <v>77</v>
      </c>
      <c r="F81" s="2">
        <v>41</v>
      </c>
      <c r="G81" s="107"/>
      <c r="H81" s="113">
        <v>12</v>
      </c>
      <c r="I81" s="109">
        <v>0</v>
      </c>
      <c r="J81" s="99">
        <v>150</v>
      </c>
      <c r="K81" s="99">
        <v>150</v>
      </c>
      <c r="L81" s="101"/>
      <c r="M81" s="100">
        <v>20</v>
      </c>
      <c r="N81" s="91">
        <v>150</v>
      </c>
    </row>
    <row r="82" spans="2:14">
      <c r="B82" s="176"/>
      <c r="C82" s="174"/>
      <c r="D82" s="172"/>
      <c r="E82" s="23">
        <v>78</v>
      </c>
      <c r="F82" s="2">
        <v>43</v>
      </c>
      <c r="G82" s="107"/>
      <c r="H82" s="113">
        <v>43</v>
      </c>
      <c r="I82" s="110">
        <v>150</v>
      </c>
      <c r="J82" s="23"/>
      <c r="K82" s="99">
        <v>150</v>
      </c>
      <c r="L82" s="101"/>
      <c r="M82" s="100">
        <v>20</v>
      </c>
      <c r="N82" s="91">
        <v>150</v>
      </c>
    </row>
    <row r="83" spans="2:14">
      <c r="B83" s="176"/>
      <c r="C83" s="174"/>
      <c r="D83" s="172"/>
      <c r="E83" s="23">
        <v>79</v>
      </c>
      <c r="F83" s="2">
        <v>59</v>
      </c>
      <c r="G83" s="107"/>
      <c r="H83" s="113">
        <v>59</v>
      </c>
      <c r="I83" s="90">
        <f>I82-F83-F82</f>
        <v>48</v>
      </c>
      <c r="J83" s="99">
        <v>150</v>
      </c>
      <c r="K83" s="99">
        <v>150</v>
      </c>
      <c r="L83" s="101"/>
      <c r="M83" s="100">
        <v>20</v>
      </c>
      <c r="N83" s="91">
        <v>150</v>
      </c>
    </row>
    <row r="84" spans="2:14">
      <c r="B84" s="176"/>
      <c r="C84" s="174"/>
      <c r="D84" s="172"/>
      <c r="E84" s="23">
        <v>80</v>
      </c>
      <c r="F84" s="2">
        <v>45</v>
      </c>
      <c r="G84" s="107"/>
      <c r="H84" s="113">
        <v>45</v>
      </c>
      <c r="I84" s="90">
        <f>I83-F84</f>
        <v>3</v>
      </c>
      <c r="J84" s="99">
        <v>150</v>
      </c>
      <c r="K84" s="99">
        <v>150</v>
      </c>
      <c r="L84" s="101"/>
      <c r="M84" s="100">
        <v>20</v>
      </c>
      <c r="N84" s="91">
        <v>150</v>
      </c>
    </row>
    <row r="85" spans="2:14">
      <c r="B85" s="176"/>
      <c r="C85" s="174"/>
      <c r="D85" s="172"/>
      <c r="E85" s="23">
        <v>81</v>
      </c>
      <c r="F85" s="2">
        <v>33</v>
      </c>
      <c r="G85" s="107"/>
      <c r="H85" s="113">
        <v>33</v>
      </c>
      <c r="I85" s="109">
        <v>0</v>
      </c>
      <c r="J85" s="99">
        <v>150</v>
      </c>
      <c r="K85" s="99">
        <v>150</v>
      </c>
      <c r="L85" s="101"/>
      <c r="M85" s="100">
        <v>20</v>
      </c>
      <c r="N85" s="91">
        <v>150</v>
      </c>
    </row>
    <row r="86" spans="2:14">
      <c r="B86" s="176"/>
      <c r="C86" s="174"/>
      <c r="D86" s="172"/>
      <c r="E86" s="23">
        <v>82</v>
      </c>
      <c r="F86" s="2">
        <v>42</v>
      </c>
      <c r="G86" s="107"/>
      <c r="H86" s="2">
        <v>0</v>
      </c>
      <c r="I86" s="109">
        <v>0</v>
      </c>
      <c r="J86" s="99">
        <v>150</v>
      </c>
      <c r="K86" s="99">
        <v>150</v>
      </c>
      <c r="L86" s="101"/>
      <c r="M86" s="100" t="str">
        <f>"10 - 10"</f>
        <v>10 - 10</v>
      </c>
      <c r="N86" s="91">
        <v>150</v>
      </c>
    </row>
    <row r="87" spans="2:14">
      <c r="B87" s="176"/>
      <c r="C87" s="174"/>
      <c r="D87" s="172"/>
      <c r="E87" s="23">
        <v>83</v>
      </c>
      <c r="F87" s="2">
        <v>40</v>
      </c>
      <c r="G87" s="107"/>
      <c r="H87" s="2">
        <v>0</v>
      </c>
      <c r="I87" s="109">
        <v>0</v>
      </c>
      <c r="J87" s="99">
        <v>150</v>
      </c>
      <c r="K87" s="99">
        <v>150</v>
      </c>
      <c r="L87" s="101"/>
      <c r="M87" s="100">
        <v>20</v>
      </c>
      <c r="N87" s="91">
        <v>150</v>
      </c>
    </row>
    <row r="88" spans="2:14">
      <c r="B88" s="176"/>
      <c r="C88" s="174"/>
      <c r="D88" s="172"/>
      <c r="E88" s="23">
        <v>84</v>
      </c>
      <c r="F88" s="2">
        <v>47</v>
      </c>
      <c r="G88" s="107"/>
      <c r="H88" s="2">
        <v>0</v>
      </c>
      <c r="I88" s="109">
        <v>0</v>
      </c>
      <c r="J88" s="99">
        <v>150</v>
      </c>
      <c r="K88" s="99">
        <v>150</v>
      </c>
      <c r="L88" s="101"/>
      <c r="M88" s="100">
        <v>20</v>
      </c>
      <c r="N88" s="91">
        <v>150</v>
      </c>
    </row>
    <row r="89" spans="2:14">
      <c r="B89" s="176"/>
      <c r="C89" s="174"/>
      <c r="D89" s="172"/>
      <c r="E89" s="23">
        <v>85</v>
      </c>
      <c r="F89" s="2">
        <v>53</v>
      </c>
      <c r="G89" s="107"/>
      <c r="H89" s="113">
        <v>32</v>
      </c>
      <c r="I89" s="109">
        <v>0</v>
      </c>
      <c r="J89" s="99">
        <v>150</v>
      </c>
      <c r="K89" s="99">
        <v>150</v>
      </c>
      <c r="L89" s="101"/>
      <c r="M89" s="100">
        <v>20</v>
      </c>
      <c r="N89" s="91">
        <v>150</v>
      </c>
    </row>
    <row r="90" spans="2:14">
      <c r="B90" s="176"/>
      <c r="C90" s="174"/>
      <c r="D90" s="172"/>
      <c r="E90" s="23">
        <v>86</v>
      </c>
      <c r="F90" s="2">
        <v>44</v>
      </c>
      <c r="G90" s="107"/>
      <c r="H90" s="113">
        <v>44</v>
      </c>
      <c r="I90" s="110">
        <v>150</v>
      </c>
      <c r="J90" s="23"/>
      <c r="K90" s="99">
        <v>150</v>
      </c>
      <c r="L90" s="101"/>
      <c r="M90" s="100">
        <v>20</v>
      </c>
      <c r="N90" s="91">
        <v>150</v>
      </c>
    </row>
    <row r="91" spans="2:14">
      <c r="B91" s="176"/>
      <c r="C91" s="174"/>
      <c r="D91" s="172"/>
      <c r="E91" s="23">
        <v>87</v>
      </c>
      <c r="F91" s="2">
        <v>42</v>
      </c>
      <c r="G91" s="107"/>
      <c r="H91" s="113">
        <v>42</v>
      </c>
      <c r="I91" s="90">
        <f>I90-F91-F90</f>
        <v>64</v>
      </c>
      <c r="J91" s="99">
        <v>150</v>
      </c>
      <c r="K91" s="99">
        <v>150</v>
      </c>
      <c r="L91" s="101"/>
      <c r="M91" s="100">
        <v>20</v>
      </c>
      <c r="N91" s="91">
        <v>150</v>
      </c>
    </row>
    <row r="92" spans="2:14">
      <c r="B92" s="176"/>
      <c r="C92" s="174"/>
      <c r="D92" s="172"/>
      <c r="E92" s="23">
        <v>88</v>
      </c>
      <c r="F92" s="2">
        <v>38</v>
      </c>
      <c r="G92" s="107"/>
      <c r="H92" s="113">
        <v>38</v>
      </c>
      <c r="I92" s="90">
        <f>I91-F92</f>
        <v>26</v>
      </c>
      <c r="J92" s="99">
        <v>150</v>
      </c>
      <c r="K92" s="99">
        <v>150</v>
      </c>
      <c r="L92" s="101"/>
      <c r="M92" s="100">
        <v>20</v>
      </c>
      <c r="N92" s="91">
        <v>150</v>
      </c>
    </row>
    <row r="93" spans="2:14">
      <c r="B93" s="176"/>
      <c r="C93" s="174"/>
      <c r="D93" s="172"/>
      <c r="E93" s="23">
        <v>89</v>
      </c>
      <c r="F93" s="2">
        <v>51</v>
      </c>
      <c r="G93" s="107"/>
      <c r="H93" s="113">
        <v>24</v>
      </c>
      <c r="I93" s="109">
        <v>0</v>
      </c>
      <c r="J93" s="99">
        <v>150</v>
      </c>
      <c r="K93" s="99">
        <v>150</v>
      </c>
      <c r="L93" s="101"/>
      <c r="M93" s="100">
        <v>20</v>
      </c>
      <c r="N93" s="91">
        <v>150</v>
      </c>
    </row>
    <row r="94" spans="2:14">
      <c r="B94" s="176"/>
      <c r="C94" s="174"/>
      <c r="D94" s="173"/>
      <c r="E94" s="23">
        <v>90</v>
      </c>
      <c r="F94" s="2">
        <v>44</v>
      </c>
      <c r="G94" s="107"/>
      <c r="H94" s="2">
        <v>0</v>
      </c>
      <c r="I94" s="109">
        <v>0</v>
      </c>
      <c r="J94" s="99">
        <v>150</v>
      </c>
      <c r="K94" s="99">
        <v>150</v>
      </c>
      <c r="L94" s="101"/>
      <c r="M94" s="100">
        <v>20</v>
      </c>
      <c r="N94" s="91">
        <v>150</v>
      </c>
    </row>
    <row r="95" spans="2:14">
      <c r="B95" s="176"/>
      <c r="C95" s="174" t="s">
        <v>44</v>
      </c>
      <c r="D95" s="171" t="s">
        <v>45</v>
      </c>
      <c r="E95" s="23">
        <v>91</v>
      </c>
      <c r="F95" s="2">
        <v>32</v>
      </c>
      <c r="G95" s="107"/>
      <c r="H95" s="2">
        <v>0</v>
      </c>
      <c r="I95" s="109">
        <v>0</v>
      </c>
      <c r="J95" s="99">
        <v>150</v>
      </c>
      <c r="K95" s="99">
        <v>150</v>
      </c>
      <c r="L95" s="101"/>
      <c r="M95" s="100">
        <v>20</v>
      </c>
      <c r="N95" s="91">
        <v>150</v>
      </c>
    </row>
    <row r="96" spans="2:14">
      <c r="B96" s="176"/>
      <c r="C96" s="174"/>
      <c r="D96" s="172"/>
      <c r="E96" s="23">
        <v>92</v>
      </c>
      <c r="F96" s="2">
        <v>34</v>
      </c>
      <c r="G96" s="107"/>
      <c r="H96" s="2">
        <v>0</v>
      </c>
      <c r="I96" s="109">
        <v>0</v>
      </c>
      <c r="J96" s="99">
        <v>150</v>
      </c>
      <c r="K96" s="99">
        <v>150</v>
      </c>
      <c r="L96" s="101"/>
      <c r="M96" s="100">
        <v>20</v>
      </c>
      <c r="N96" s="91">
        <v>150</v>
      </c>
    </row>
    <row r="97" spans="2:14">
      <c r="B97" s="176"/>
      <c r="C97" s="174"/>
      <c r="D97" s="172"/>
      <c r="E97" s="23">
        <v>93</v>
      </c>
      <c r="F97" s="2">
        <v>50</v>
      </c>
      <c r="G97" s="107"/>
      <c r="H97" s="113">
        <v>37</v>
      </c>
      <c r="I97" s="109">
        <v>0</v>
      </c>
      <c r="J97" s="99">
        <v>150</v>
      </c>
      <c r="K97" s="99">
        <v>150</v>
      </c>
      <c r="L97" s="101"/>
      <c r="M97" s="100">
        <v>20</v>
      </c>
      <c r="N97" s="91">
        <v>150</v>
      </c>
    </row>
    <row r="98" spans="2:14">
      <c r="B98" s="176"/>
      <c r="C98" s="174"/>
      <c r="D98" s="172"/>
      <c r="E98" s="23">
        <v>94</v>
      </c>
      <c r="F98" s="2">
        <v>47</v>
      </c>
      <c r="G98" s="107"/>
      <c r="H98" s="113">
        <v>47</v>
      </c>
      <c r="I98" s="110">
        <v>150</v>
      </c>
      <c r="J98" s="23"/>
      <c r="K98" s="99">
        <v>150</v>
      </c>
      <c r="L98" s="101"/>
      <c r="M98" s="100">
        <v>20</v>
      </c>
      <c r="N98" s="91">
        <v>150</v>
      </c>
    </row>
    <row r="99" spans="2:14">
      <c r="B99" s="176"/>
      <c r="C99" s="174"/>
      <c r="D99" s="172"/>
      <c r="E99" s="23">
        <v>95</v>
      </c>
      <c r="F99" s="2">
        <v>43</v>
      </c>
      <c r="G99" s="107"/>
      <c r="H99" s="113">
        <v>43</v>
      </c>
      <c r="I99" s="90">
        <f>I98-F99-F98</f>
        <v>60</v>
      </c>
      <c r="J99" s="99">
        <v>150</v>
      </c>
      <c r="K99" s="99">
        <v>150</v>
      </c>
      <c r="L99" s="101"/>
      <c r="M99" s="100">
        <v>20</v>
      </c>
      <c r="N99" s="91">
        <v>150</v>
      </c>
    </row>
    <row r="100" spans="2:14">
      <c r="B100" s="176"/>
      <c r="C100" s="174"/>
      <c r="D100" s="172"/>
      <c r="E100" s="23">
        <v>96</v>
      </c>
      <c r="F100" s="2">
        <v>37</v>
      </c>
      <c r="G100" s="107"/>
      <c r="H100" s="113">
        <v>37</v>
      </c>
      <c r="I100" s="90">
        <f>I99-F100</f>
        <v>23</v>
      </c>
      <c r="J100" s="99">
        <v>150</v>
      </c>
      <c r="K100" s="99">
        <v>150</v>
      </c>
      <c r="L100" s="101"/>
      <c r="M100" s="100">
        <v>20</v>
      </c>
      <c r="N100" s="91">
        <v>150</v>
      </c>
    </row>
    <row r="101" spans="2:14">
      <c r="B101" s="176"/>
      <c r="C101" s="174"/>
      <c r="D101" s="172"/>
      <c r="E101" s="23">
        <v>97</v>
      </c>
      <c r="F101" s="2">
        <v>41</v>
      </c>
      <c r="G101" s="107"/>
      <c r="H101" s="2">
        <v>0</v>
      </c>
      <c r="I101" s="109">
        <v>0</v>
      </c>
      <c r="J101" s="99">
        <v>150</v>
      </c>
      <c r="K101" s="99">
        <v>150</v>
      </c>
      <c r="L101" s="101"/>
      <c r="M101" s="100" t="str">
        <f>"10 - 10"</f>
        <v>10 - 10</v>
      </c>
      <c r="N101" s="91">
        <v>150</v>
      </c>
    </row>
    <row r="102" spans="2:14">
      <c r="B102" s="176"/>
      <c r="C102" s="174"/>
      <c r="D102" s="172"/>
      <c r="E102" s="23">
        <v>98</v>
      </c>
      <c r="F102" s="2">
        <v>36</v>
      </c>
      <c r="G102" s="107"/>
      <c r="H102" s="2">
        <v>0</v>
      </c>
      <c r="I102" s="109">
        <v>0</v>
      </c>
      <c r="J102" s="99">
        <v>150</v>
      </c>
      <c r="K102" s="99">
        <v>150</v>
      </c>
      <c r="L102" s="101"/>
      <c r="M102" s="100">
        <v>20</v>
      </c>
      <c r="N102" s="91">
        <v>150</v>
      </c>
    </row>
    <row r="103" spans="2:14">
      <c r="B103" s="176"/>
      <c r="C103" s="174"/>
      <c r="D103" s="172"/>
      <c r="E103" s="23">
        <v>99</v>
      </c>
      <c r="F103" s="2">
        <v>52</v>
      </c>
      <c r="G103" s="107"/>
      <c r="H103" s="2">
        <v>0</v>
      </c>
      <c r="I103" s="109">
        <v>0</v>
      </c>
      <c r="J103" s="99">
        <v>150</v>
      </c>
      <c r="K103" s="99">
        <v>150</v>
      </c>
      <c r="L103" s="101"/>
      <c r="M103" s="100">
        <v>20</v>
      </c>
      <c r="N103" s="91">
        <v>150</v>
      </c>
    </row>
    <row r="104" spans="2:14">
      <c r="B104" s="176"/>
      <c r="C104" s="174"/>
      <c r="D104" s="172"/>
      <c r="E104" s="23">
        <v>100</v>
      </c>
      <c r="F104" s="2">
        <v>53</v>
      </c>
      <c r="G104" s="107"/>
      <c r="H104" s="113">
        <v>32</v>
      </c>
      <c r="I104" s="109">
        <v>0</v>
      </c>
      <c r="J104" s="99">
        <v>150</v>
      </c>
      <c r="K104" s="99">
        <v>150</v>
      </c>
      <c r="L104" s="101"/>
      <c r="M104" s="100">
        <v>20</v>
      </c>
      <c r="N104" s="91">
        <v>150</v>
      </c>
    </row>
    <row r="105" spans="2:14">
      <c r="B105" s="176"/>
      <c r="C105" s="174"/>
      <c r="D105" s="172"/>
      <c r="E105" s="23">
        <v>101</v>
      </c>
      <c r="F105" s="2">
        <v>43</v>
      </c>
      <c r="G105" s="107"/>
      <c r="H105" s="113">
        <v>43</v>
      </c>
      <c r="I105" s="109">
        <v>0</v>
      </c>
      <c r="J105" s="99">
        <v>150</v>
      </c>
      <c r="K105" s="99">
        <v>150</v>
      </c>
      <c r="L105" s="101"/>
      <c r="M105" s="100">
        <v>20</v>
      </c>
      <c r="N105" s="91">
        <v>150</v>
      </c>
    </row>
    <row r="106" spans="2:14">
      <c r="B106" s="176"/>
      <c r="C106" s="174"/>
      <c r="D106" s="172"/>
      <c r="E106" s="23">
        <v>102</v>
      </c>
      <c r="F106" s="2">
        <v>30</v>
      </c>
      <c r="G106" s="107"/>
      <c r="H106" s="113">
        <v>30</v>
      </c>
      <c r="I106" s="110">
        <v>150</v>
      </c>
      <c r="J106" s="23"/>
      <c r="K106" s="99">
        <v>150</v>
      </c>
      <c r="L106" s="101"/>
      <c r="M106" s="100">
        <v>20</v>
      </c>
      <c r="N106" s="91">
        <v>150</v>
      </c>
    </row>
    <row r="107" spans="2:14">
      <c r="B107" s="176"/>
      <c r="C107" s="174"/>
      <c r="D107" s="172"/>
      <c r="E107" s="23">
        <v>103</v>
      </c>
      <c r="F107" s="2">
        <v>47</v>
      </c>
      <c r="G107" s="107"/>
      <c r="H107" s="113">
        <v>47</v>
      </c>
      <c r="I107" s="90">
        <f>I106-F107-F106</f>
        <v>73</v>
      </c>
      <c r="J107" s="99">
        <v>150</v>
      </c>
      <c r="K107" s="99">
        <v>150</v>
      </c>
      <c r="L107" s="101"/>
      <c r="M107" s="100">
        <v>20</v>
      </c>
      <c r="N107" s="91">
        <v>150</v>
      </c>
    </row>
    <row r="108" spans="2:14">
      <c r="B108" s="176"/>
      <c r="C108" s="174"/>
      <c r="D108" s="172"/>
      <c r="E108" s="23">
        <v>104</v>
      </c>
      <c r="F108" s="2">
        <v>43</v>
      </c>
      <c r="G108" s="107"/>
      <c r="H108" s="113">
        <v>28</v>
      </c>
      <c r="I108" s="90">
        <f>I107-F108</f>
        <v>30</v>
      </c>
      <c r="J108" s="99">
        <v>150</v>
      </c>
      <c r="K108" s="99">
        <v>150</v>
      </c>
      <c r="L108" s="101"/>
      <c r="M108" s="100">
        <v>20</v>
      </c>
      <c r="N108" s="91">
        <v>150</v>
      </c>
    </row>
    <row r="109" spans="2:14">
      <c r="B109" s="176"/>
      <c r="C109" s="174"/>
      <c r="D109" s="172"/>
      <c r="E109" s="23">
        <v>105</v>
      </c>
      <c r="F109" s="2">
        <v>49</v>
      </c>
      <c r="G109" s="107"/>
      <c r="H109" s="2">
        <v>0</v>
      </c>
      <c r="I109" s="109">
        <v>0</v>
      </c>
      <c r="J109" s="99">
        <v>150</v>
      </c>
      <c r="K109" s="99">
        <v>150</v>
      </c>
      <c r="L109" s="101"/>
      <c r="M109" s="100">
        <v>20</v>
      </c>
      <c r="N109" s="91">
        <v>150</v>
      </c>
    </row>
    <row r="110" spans="2:14">
      <c r="B110" s="176"/>
      <c r="C110" s="174"/>
      <c r="D110" s="172"/>
      <c r="E110" s="23">
        <v>106</v>
      </c>
      <c r="F110" s="2">
        <v>45</v>
      </c>
      <c r="G110" s="107"/>
      <c r="H110" s="2">
        <v>0</v>
      </c>
      <c r="I110" s="109">
        <v>0</v>
      </c>
      <c r="J110" s="99">
        <v>150</v>
      </c>
      <c r="K110" s="99">
        <v>150</v>
      </c>
      <c r="L110" s="101"/>
      <c r="M110" s="100">
        <v>20</v>
      </c>
      <c r="N110" s="91">
        <v>150</v>
      </c>
    </row>
    <row r="111" spans="2:14">
      <c r="B111" s="176"/>
      <c r="C111" s="174"/>
      <c r="D111" s="172"/>
      <c r="E111" s="23">
        <v>107</v>
      </c>
      <c r="F111" s="2">
        <v>43</v>
      </c>
      <c r="G111" s="107"/>
      <c r="H111" s="113">
        <v>2</v>
      </c>
      <c r="I111" s="109">
        <v>0</v>
      </c>
      <c r="J111" s="99">
        <v>150</v>
      </c>
      <c r="K111" s="99">
        <v>150</v>
      </c>
      <c r="L111" s="101"/>
      <c r="M111" s="100">
        <v>20</v>
      </c>
      <c r="N111" s="91">
        <v>150</v>
      </c>
    </row>
    <row r="112" spans="2:14">
      <c r="B112" s="176"/>
      <c r="C112" s="174"/>
      <c r="D112" s="172"/>
      <c r="E112" s="23">
        <v>108</v>
      </c>
      <c r="F112" s="2">
        <v>38</v>
      </c>
      <c r="G112" s="107"/>
      <c r="H112" s="113">
        <v>38</v>
      </c>
      <c r="I112" s="109">
        <v>0</v>
      </c>
      <c r="J112" s="99">
        <v>150</v>
      </c>
      <c r="K112" s="99">
        <v>150</v>
      </c>
      <c r="L112" s="101"/>
      <c r="M112" s="100">
        <v>20</v>
      </c>
      <c r="N112" s="91">
        <v>150</v>
      </c>
    </row>
    <row r="113" spans="2:14">
      <c r="B113" s="176"/>
      <c r="C113" s="174"/>
      <c r="D113" s="172"/>
      <c r="E113" s="23">
        <v>109</v>
      </c>
      <c r="F113" s="2">
        <v>48</v>
      </c>
      <c r="G113" s="107"/>
      <c r="H113" s="113">
        <v>48</v>
      </c>
      <c r="I113" s="109">
        <v>0</v>
      </c>
      <c r="J113" s="99">
        <v>150</v>
      </c>
      <c r="K113" s="99">
        <v>150</v>
      </c>
      <c r="L113" s="101"/>
      <c r="M113" s="100">
        <v>20</v>
      </c>
      <c r="N113" s="91">
        <v>150</v>
      </c>
    </row>
    <row r="114" spans="2:14">
      <c r="B114" s="176"/>
      <c r="C114" s="174"/>
      <c r="D114" s="172"/>
      <c r="E114" s="23">
        <v>110</v>
      </c>
      <c r="F114" s="2">
        <v>39</v>
      </c>
      <c r="G114" s="107"/>
      <c r="H114" s="113">
        <v>39</v>
      </c>
      <c r="I114" s="110">
        <v>150</v>
      </c>
      <c r="J114" s="23"/>
      <c r="K114" s="99">
        <v>150</v>
      </c>
      <c r="L114" s="101"/>
      <c r="M114" s="100">
        <v>20</v>
      </c>
      <c r="N114" s="91">
        <v>150</v>
      </c>
    </row>
    <row r="115" spans="2:14">
      <c r="B115" s="176"/>
      <c r="C115" s="174"/>
      <c r="D115" s="172"/>
      <c r="E115" s="23">
        <v>111</v>
      </c>
      <c r="F115" s="2">
        <v>56</v>
      </c>
      <c r="G115" s="107"/>
      <c r="H115" s="113">
        <v>56</v>
      </c>
      <c r="I115" s="90">
        <f>I114-F115-F114</f>
        <v>55</v>
      </c>
      <c r="J115" s="99">
        <v>150</v>
      </c>
      <c r="K115" s="99">
        <v>150</v>
      </c>
      <c r="L115" s="47"/>
      <c r="M115" s="100">
        <v>20</v>
      </c>
      <c r="N115" s="91">
        <v>150</v>
      </c>
    </row>
    <row r="116" spans="2:14">
      <c r="B116" s="176"/>
      <c r="C116" s="174"/>
      <c r="D116" s="172"/>
      <c r="E116" s="23">
        <v>112</v>
      </c>
      <c r="F116" s="2">
        <v>47</v>
      </c>
      <c r="G116" s="107"/>
      <c r="H116" s="2">
        <v>0</v>
      </c>
      <c r="I116" s="90">
        <f>I115-F116</f>
        <v>8</v>
      </c>
      <c r="J116" s="99">
        <v>150</v>
      </c>
      <c r="K116" s="99">
        <v>150</v>
      </c>
      <c r="L116" s="101"/>
      <c r="M116" s="100" t="str">
        <f>"10 - 10"</f>
        <v>10 - 10</v>
      </c>
      <c r="N116" s="91">
        <v>150</v>
      </c>
    </row>
    <row r="117" spans="2:14">
      <c r="B117" s="176"/>
      <c r="C117" s="174"/>
      <c r="D117" s="172"/>
      <c r="E117" s="23">
        <v>113</v>
      </c>
      <c r="F117" s="2">
        <v>54</v>
      </c>
      <c r="G117" s="107"/>
      <c r="H117" s="2">
        <v>0</v>
      </c>
      <c r="I117" s="109">
        <v>0</v>
      </c>
      <c r="J117" s="99">
        <v>150</v>
      </c>
      <c r="K117" s="99">
        <v>150</v>
      </c>
      <c r="L117" s="101"/>
      <c r="M117" s="100">
        <v>20</v>
      </c>
      <c r="N117" s="91">
        <v>150</v>
      </c>
    </row>
    <row r="118" spans="2:14">
      <c r="B118" s="176"/>
      <c r="C118" s="174"/>
      <c r="D118" s="172"/>
      <c r="E118" s="23">
        <v>114</v>
      </c>
      <c r="F118" s="2">
        <v>50</v>
      </c>
      <c r="G118" s="107"/>
      <c r="H118" s="113">
        <v>1</v>
      </c>
      <c r="I118" s="109">
        <v>0</v>
      </c>
      <c r="J118" s="99">
        <v>150</v>
      </c>
      <c r="K118" s="99">
        <v>150</v>
      </c>
      <c r="L118" s="101"/>
      <c r="M118" s="100">
        <v>20</v>
      </c>
      <c r="N118" s="91">
        <v>150</v>
      </c>
    </row>
    <row r="119" spans="2:14">
      <c r="B119" s="176"/>
      <c r="C119" s="174"/>
      <c r="D119" s="172"/>
      <c r="E119" s="23">
        <v>115</v>
      </c>
      <c r="F119" s="2">
        <v>49</v>
      </c>
      <c r="G119" s="107"/>
      <c r="H119" s="113">
        <v>49</v>
      </c>
      <c r="I119" s="109">
        <v>0</v>
      </c>
      <c r="J119" s="99">
        <v>150</v>
      </c>
      <c r="K119" s="99">
        <v>150</v>
      </c>
      <c r="L119" s="101"/>
      <c r="M119" s="100">
        <v>20</v>
      </c>
      <c r="N119" s="91">
        <v>150</v>
      </c>
    </row>
    <row r="120" spans="2:14">
      <c r="B120" s="176"/>
      <c r="C120" s="174"/>
      <c r="D120" s="172"/>
      <c r="E120" s="23">
        <v>116</v>
      </c>
      <c r="F120" s="2">
        <v>31</v>
      </c>
      <c r="G120" s="107"/>
      <c r="H120" s="113">
        <v>31</v>
      </c>
      <c r="I120" s="109">
        <v>0</v>
      </c>
      <c r="J120" s="99">
        <v>150</v>
      </c>
      <c r="K120" s="99">
        <v>150</v>
      </c>
      <c r="L120" s="101"/>
      <c r="M120" s="100">
        <v>20</v>
      </c>
      <c r="N120" s="91">
        <v>150</v>
      </c>
    </row>
    <row r="121" spans="2:14">
      <c r="B121" s="176"/>
      <c r="C121" s="174"/>
      <c r="D121" s="172"/>
      <c r="E121" s="23">
        <v>117</v>
      </c>
      <c r="F121" s="2">
        <v>54</v>
      </c>
      <c r="G121" s="107"/>
      <c r="H121" s="113">
        <v>54</v>
      </c>
      <c r="I121" s="109">
        <v>0</v>
      </c>
      <c r="J121" s="99">
        <v>150</v>
      </c>
      <c r="K121" s="99">
        <v>150</v>
      </c>
      <c r="L121" s="101"/>
      <c r="M121" s="100">
        <v>20</v>
      </c>
      <c r="N121" s="91">
        <v>150</v>
      </c>
    </row>
    <row r="122" spans="2:14">
      <c r="B122" s="176"/>
      <c r="C122" s="174"/>
      <c r="D122" s="172"/>
      <c r="E122" s="23">
        <v>118</v>
      </c>
      <c r="F122" s="2">
        <v>44</v>
      </c>
      <c r="G122" s="107"/>
      <c r="H122" s="113">
        <v>44</v>
      </c>
      <c r="I122" s="110">
        <v>150</v>
      </c>
      <c r="J122" s="23"/>
      <c r="K122" s="99">
        <v>150</v>
      </c>
      <c r="L122" s="101"/>
      <c r="M122" s="100">
        <v>20</v>
      </c>
      <c r="N122" s="91">
        <v>150</v>
      </c>
    </row>
    <row r="123" spans="2:14">
      <c r="B123" s="176"/>
      <c r="C123" s="174"/>
      <c r="D123" s="172"/>
      <c r="E123" s="23">
        <v>119</v>
      </c>
      <c r="F123" s="2">
        <v>44</v>
      </c>
      <c r="G123" s="107"/>
      <c r="H123" s="113">
        <v>19</v>
      </c>
      <c r="I123" s="90">
        <f>I122-F123-F122</f>
        <v>62</v>
      </c>
      <c r="J123" s="99">
        <v>150</v>
      </c>
      <c r="K123" s="99">
        <v>150</v>
      </c>
      <c r="L123" s="101"/>
      <c r="M123" s="100">
        <v>20</v>
      </c>
      <c r="N123" s="91">
        <v>150</v>
      </c>
    </row>
    <row r="124" spans="2:14">
      <c r="B124" s="176"/>
      <c r="C124" s="174"/>
      <c r="D124" s="173"/>
      <c r="E124" s="23">
        <v>120</v>
      </c>
      <c r="F124" s="2">
        <v>39</v>
      </c>
      <c r="G124" s="107"/>
      <c r="H124" s="2">
        <v>0</v>
      </c>
      <c r="I124" s="90">
        <f>I123-F124</f>
        <v>23</v>
      </c>
      <c r="J124" s="99">
        <v>150</v>
      </c>
      <c r="K124" s="99">
        <v>150</v>
      </c>
      <c r="L124" s="101"/>
      <c r="M124" s="100">
        <v>20</v>
      </c>
      <c r="N124" s="91">
        <v>150</v>
      </c>
    </row>
    <row r="125" spans="2:14">
      <c r="B125" s="176"/>
      <c r="C125" s="174"/>
      <c r="D125" s="171" t="s">
        <v>46</v>
      </c>
      <c r="E125" s="23">
        <v>121</v>
      </c>
      <c r="F125" s="2">
        <v>43</v>
      </c>
      <c r="G125" s="107"/>
      <c r="H125" s="2">
        <v>0</v>
      </c>
      <c r="I125" s="109">
        <v>0</v>
      </c>
      <c r="J125" s="99">
        <v>150</v>
      </c>
      <c r="K125" s="99">
        <v>150</v>
      </c>
      <c r="L125" s="101"/>
      <c r="M125" s="100">
        <v>20</v>
      </c>
      <c r="N125" s="91">
        <v>150</v>
      </c>
    </row>
    <row r="126" spans="2:14">
      <c r="B126" s="176"/>
      <c r="C126" s="174"/>
      <c r="D126" s="172"/>
      <c r="E126" s="23">
        <v>122</v>
      </c>
      <c r="F126" s="2">
        <v>43</v>
      </c>
      <c r="G126" s="107"/>
      <c r="H126" s="2">
        <v>0</v>
      </c>
      <c r="I126" s="109">
        <v>0</v>
      </c>
      <c r="J126" s="99">
        <v>150</v>
      </c>
      <c r="K126" s="99">
        <v>150</v>
      </c>
      <c r="L126" s="101"/>
      <c r="M126" s="100">
        <v>20</v>
      </c>
      <c r="N126" s="91">
        <v>150</v>
      </c>
    </row>
    <row r="127" spans="2:14">
      <c r="B127" s="176"/>
      <c r="C127" s="174"/>
      <c r="D127" s="172"/>
      <c r="E127" s="23">
        <v>123</v>
      </c>
      <c r="F127" s="2">
        <v>33</v>
      </c>
      <c r="G127" s="107"/>
      <c r="H127" s="113">
        <v>33</v>
      </c>
      <c r="I127" s="109">
        <v>0</v>
      </c>
      <c r="J127" s="99">
        <v>150</v>
      </c>
      <c r="K127" s="99">
        <v>150</v>
      </c>
      <c r="L127" s="101"/>
      <c r="M127" s="100">
        <v>20</v>
      </c>
      <c r="N127" s="91">
        <v>150</v>
      </c>
    </row>
    <row r="128" spans="2:14">
      <c r="B128" s="176"/>
      <c r="C128" s="174"/>
      <c r="D128" s="172"/>
      <c r="E128" s="23">
        <v>124</v>
      </c>
      <c r="F128" s="2">
        <v>55</v>
      </c>
      <c r="G128" s="107"/>
      <c r="H128" s="113">
        <v>55</v>
      </c>
      <c r="I128" s="109">
        <v>0</v>
      </c>
      <c r="J128" s="99">
        <v>150</v>
      </c>
      <c r="K128" s="99">
        <v>150</v>
      </c>
      <c r="L128" s="101"/>
      <c r="M128" s="100">
        <v>20</v>
      </c>
      <c r="N128" s="91">
        <v>150</v>
      </c>
    </row>
    <row r="129" spans="2:14">
      <c r="B129" s="176"/>
      <c r="C129" s="174"/>
      <c r="D129" s="172"/>
      <c r="E129" s="23">
        <v>125</v>
      </c>
      <c r="F129" s="2">
        <v>42</v>
      </c>
      <c r="G129" s="107"/>
      <c r="H129" s="113">
        <v>42</v>
      </c>
      <c r="I129" s="109">
        <v>0</v>
      </c>
      <c r="J129" s="99">
        <v>150</v>
      </c>
      <c r="K129" s="99">
        <v>150</v>
      </c>
      <c r="L129" s="101"/>
      <c r="M129" s="100">
        <v>20</v>
      </c>
      <c r="N129" s="91">
        <v>150</v>
      </c>
    </row>
    <row r="130" spans="2:14">
      <c r="B130" s="176"/>
      <c r="C130" s="174"/>
      <c r="D130" s="172"/>
      <c r="E130" s="23">
        <v>126</v>
      </c>
      <c r="F130" s="2">
        <v>35</v>
      </c>
      <c r="G130" s="107"/>
      <c r="H130" s="113">
        <v>35</v>
      </c>
      <c r="I130" s="110">
        <v>150</v>
      </c>
      <c r="J130" s="23"/>
      <c r="K130" s="99">
        <v>150</v>
      </c>
      <c r="L130" s="101"/>
      <c r="M130" s="100">
        <v>20</v>
      </c>
      <c r="N130" s="91">
        <v>150</v>
      </c>
    </row>
    <row r="131" spans="2:14">
      <c r="B131" s="176"/>
      <c r="C131" s="174"/>
      <c r="D131" s="172"/>
      <c r="E131" s="23">
        <v>127</v>
      </c>
      <c r="F131" s="2">
        <v>59</v>
      </c>
      <c r="G131" s="107"/>
      <c r="H131" s="2">
        <v>0</v>
      </c>
      <c r="I131" s="90">
        <f>I130-F131-F130</f>
        <v>56</v>
      </c>
      <c r="J131" s="99">
        <v>150</v>
      </c>
      <c r="K131" s="99">
        <v>150</v>
      </c>
      <c r="L131" s="101"/>
      <c r="M131" s="100" t="str">
        <f>"10 - 10"</f>
        <v>10 - 10</v>
      </c>
      <c r="N131" s="91">
        <v>150</v>
      </c>
    </row>
    <row r="132" spans="2:14">
      <c r="B132" s="176"/>
      <c r="C132" s="174"/>
      <c r="D132" s="172"/>
      <c r="E132" s="23">
        <v>128</v>
      </c>
      <c r="F132" s="2">
        <v>33</v>
      </c>
      <c r="G132" s="107"/>
      <c r="H132" s="2">
        <v>0</v>
      </c>
      <c r="I132" s="90">
        <f>I131-F132</f>
        <v>23</v>
      </c>
      <c r="J132" s="99">
        <v>150</v>
      </c>
      <c r="K132" s="99">
        <v>150</v>
      </c>
      <c r="L132" s="101"/>
      <c r="M132" s="100">
        <v>20</v>
      </c>
      <c r="N132" s="91">
        <v>150</v>
      </c>
    </row>
    <row r="133" spans="2:14">
      <c r="B133" s="176"/>
      <c r="C133" s="174"/>
      <c r="D133" s="172"/>
      <c r="E133" s="23">
        <v>129</v>
      </c>
      <c r="F133" s="2">
        <v>41</v>
      </c>
      <c r="G133" s="107"/>
      <c r="H133" s="2">
        <v>0</v>
      </c>
      <c r="I133" s="109">
        <v>0</v>
      </c>
      <c r="J133" s="99">
        <v>150</v>
      </c>
      <c r="K133" s="99">
        <v>150</v>
      </c>
      <c r="L133" s="101"/>
      <c r="M133" s="100">
        <v>20</v>
      </c>
      <c r="N133" s="91">
        <v>150</v>
      </c>
    </row>
    <row r="134" spans="2:14">
      <c r="B134" s="176"/>
      <c r="C134" s="174"/>
      <c r="D134" s="172"/>
      <c r="E134" s="23">
        <v>130</v>
      </c>
      <c r="F134" s="2">
        <v>53</v>
      </c>
      <c r="G134" s="107"/>
      <c r="H134" s="113">
        <v>36</v>
      </c>
      <c r="I134" s="109">
        <v>0</v>
      </c>
      <c r="J134" s="99">
        <v>150</v>
      </c>
      <c r="K134" s="99">
        <v>150</v>
      </c>
      <c r="L134" s="101"/>
      <c r="M134" s="100">
        <v>20</v>
      </c>
      <c r="N134" s="91">
        <v>150</v>
      </c>
    </row>
    <row r="135" spans="2:14">
      <c r="B135" s="176"/>
      <c r="C135" s="174"/>
      <c r="D135" s="172"/>
      <c r="E135" s="23">
        <v>131</v>
      </c>
      <c r="F135" s="2">
        <v>45</v>
      </c>
      <c r="G135" s="107"/>
      <c r="H135" s="113">
        <v>45</v>
      </c>
      <c r="I135" s="109">
        <v>0</v>
      </c>
      <c r="J135" s="99">
        <v>150</v>
      </c>
      <c r="K135" s="99">
        <v>150</v>
      </c>
      <c r="L135" s="101"/>
      <c r="M135" s="100">
        <v>20</v>
      </c>
      <c r="N135" s="91">
        <v>150</v>
      </c>
    </row>
    <row r="136" spans="2:14">
      <c r="B136" s="176"/>
      <c r="C136" s="174"/>
      <c r="D136" s="172"/>
      <c r="E136" s="23">
        <v>132</v>
      </c>
      <c r="F136" s="2">
        <v>43</v>
      </c>
      <c r="G136" s="107"/>
      <c r="H136" s="113">
        <v>43</v>
      </c>
      <c r="I136" s="109">
        <v>0</v>
      </c>
      <c r="J136" s="99">
        <v>150</v>
      </c>
      <c r="K136" s="99">
        <v>150</v>
      </c>
      <c r="L136" s="101"/>
      <c r="M136" s="100">
        <v>20</v>
      </c>
      <c r="N136" s="91">
        <v>150</v>
      </c>
    </row>
    <row r="137" spans="2:14">
      <c r="B137" s="176"/>
      <c r="C137" s="174"/>
      <c r="D137" s="172"/>
      <c r="E137" s="23">
        <v>133</v>
      </c>
      <c r="F137" s="2">
        <v>35</v>
      </c>
      <c r="G137" s="107"/>
      <c r="H137" s="113">
        <v>35</v>
      </c>
      <c r="I137" s="109">
        <v>0</v>
      </c>
      <c r="J137" s="99">
        <v>150</v>
      </c>
      <c r="K137" s="99">
        <v>150</v>
      </c>
      <c r="L137" s="101"/>
      <c r="M137" s="100">
        <v>20</v>
      </c>
      <c r="N137" s="91">
        <v>150</v>
      </c>
    </row>
    <row r="138" spans="2:14">
      <c r="B138" s="176"/>
      <c r="C138" s="174"/>
      <c r="D138" s="172"/>
      <c r="E138" s="23">
        <v>134</v>
      </c>
      <c r="F138" s="2">
        <v>39</v>
      </c>
      <c r="G138" s="107"/>
      <c r="H138" s="113">
        <v>19</v>
      </c>
      <c r="I138" s="110">
        <v>150</v>
      </c>
      <c r="J138" s="23"/>
      <c r="K138" s="99">
        <v>150</v>
      </c>
      <c r="L138" s="101"/>
      <c r="M138" s="100">
        <v>20</v>
      </c>
      <c r="N138" s="91">
        <v>150</v>
      </c>
    </row>
    <row r="139" spans="2:14">
      <c r="B139" s="176"/>
      <c r="C139" s="174"/>
      <c r="D139" s="172"/>
      <c r="E139" s="23">
        <v>135</v>
      </c>
      <c r="F139" s="2">
        <v>43</v>
      </c>
      <c r="G139" s="107"/>
      <c r="H139" s="2">
        <v>0</v>
      </c>
      <c r="I139" s="90">
        <f>I138-F139-F138</f>
        <v>68</v>
      </c>
      <c r="J139" s="99">
        <v>150</v>
      </c>
      <c r="K139" s="99">
        <v>150</v>
      </c>
      <c r="L139" s="101"/>
      <c r="M139" s="100">
        <v>20</v>
      </c>
      <c r="N139" s="91">
        <v>150</v>
      </c>
    </row>
    <row r="140" spans="2:14">
      <c r="B140" s="176"/>
      <c r="C140" s="174"/>
      <c r="D140" s="172"/>
      <c r="E140" s="23">
        <v>136</v>
      </c>
      <c r="F140" s="2">
        <v>40</v>
      </c>
      <c r="G140" s="107"/>
      <c r="H140" s="2">
        <v>0</v>
      </c>
      <c r="I140" s="90">
        <f>I139-F140</f>
        <v>28</v>
      </c>
      <c r="J140" s="99">
        <v>150</v>
      </c>
      <c r="K140" s="99">
        <v>150</v>
      </c>
      <c r="L140" s="101"/>
      <c r="M140" s="100">
        <v>20</v>
      </c>
      <c r="N140" s="91">
        <v>150</v>
      </c>
    </row>
    <row r="141" spans="2:14">
      <c r="B141" s="176"/>
      <c r="C141" s="174"/>
      <c r="D141" s="172"/>
      <c r="E141" s="23">
        <v>137</v>
      </c>
      <c r="F141" s="2">
        <v>38</v>
      </c>
      <c r="G141" s="107"/>
      <c r="H141" s="2">
        <v>0</v>
      </c>
      <c r="I141" s="109">
        <v>0</v>
      </c>
      <c r="J141" s="99">
        <v>150</v>
      </c>
      <c r="K141" s="99">
        <v>150</v>
      </c>
      <c r="L141" s="101"/>
      <c r="M141" s="100">
        <v>20</v>
      </c>
      <c r="N141" s="91">
        <v>150</v>
      </c>
    </row>
    <row r="142" spans="2:14">
      <c r="B142" s="176"/>
      <c r="C142" s="174"/>
      <c r="D142" s="172"/>
      <c r="E142" s="23">
        <v>138</v>
      </c>
      <c r="F142" s="2">
        <v>50</v>
      </c>
      <c r="G142" s="107"/>
      <c r="H142" s="113">
        <v>41</v>
      </c>
      <c r="I142" s="109">
        <v>0</v>
      </c>
      <c r="J142" s="99">
        <v>150</v>
      </c>
      <c r="K142" s="99">
        <v>150</v>
      </c>
      <c r="L142" s="101"/>
      <c r="M142" s="100">
        <v>20</v>
      </c>
      <c r="N142" s="91">
        <v>150</v>
      </c>
    </row>
    <row r="143" spans="2:14">
      <c r="B143" s="176"/>
      <c r="C143" s="174"/>
      <c r="D143" s="172"/>
      <c r="E143" s="23">
        <v>139</v>
      </c>
      <c r="F143" s="2">
        <v>51</v>
      </c>
      <c r="G143" s="107"/>
      <c r="H143" s="113">
        <v>51</v>
      </c>
      <c r="I143" s="109">
        <v>0</v>
      </c>
      <c r="J143" s="99">
        <v>150</v>
      </c>
      <c r="K143" s="99">
        <v>150</v>
      </c>
      <c r="L143" s="101"/>
      <c r="M143" s="100">
        <v>20</v>
      </c>
      <c r="N143" s="91">
        <v>150</v>
      </c>
    </row>
    <row r="144" spans="2:14">
      <c r="B144" s="176"/>
      <c r="C144" s="174"/>
      <c r="D144" s="172"/>
      <c r="E144" s="23">
        <v>140</v>
      </c>
      <c r="F144" s="2">
        <v>46</v>
      </c>
      <c r="G144" s="107"/>
      <c r="H144" s="113">
        <v>46</v>
      </c>
      <c r="I144" s="109">
        <v>0</v>
      </c>
      <c r="J144" s="99">
        <v>150</v>
      </c>
      <c r="K144" s="99">
        <v>150</v>
      </c>
      <c r="L144" s="101"/>
      <c r="M144" s="100">
        <v>20</v>
      </c>
      <c r="N144" s="91">
        <v>150</v>
      </c>
    </row>
    <row r="145" spans="2:14">
      <c r="B145" s="176"/>
      <c r="C145" s="174"/>
      <c r="D145" s="172"/>
      <c r="E145" s="23">
        <v>141</v>
      </c>
      <c r="F145" s="2">
        <v>45</v>
      </c>
      <c r="G145" s="107"/>
      <c r="H145" s="113">
        <v>45</v>
      </c>
      <c r="I145" s="109">
        <v>0</v>
      </c>
      <c r="J145" s="99">
        <v>150</v>
      </c>
      <c r="K145" s="99">
        <v>150</v>
      </c>
      <c r="L145" s="101"/>
      <c r="M145" s="100">
        <v>20</v>
      </c>
      <c r="N145" s="91">
        <v>150</v>
      </c>
    </row>
    <row r="146" spans="2:14">
      <c r="B146" s="176"/>
      <c r="C146" s="174"/>
      <c r="D146" s="172"/>
      <c r="E146" s="23">
        <v>142</v>
      </c>
      <c r="F146" s="2">
        <v>45</v>
      </c>
      <c r="G146" s="107"/>
      <c r="H146" s="2">
        <v>0</v>
      </c>
      <c r="I146" s="110">
        <v>150</v>
      </c>
      <c r="J146" s="23"/>
      <c r="K146" s="99">
        <v>150</v>
      </c>
      <c r="L146" s="101"/>
      <c r="M146" s="100" t="str">
        <f>"10 - 10"</f>
        <v>10 - 10</v>
      </c>
      <c r="N146" s="91">
        <v>150</v>
      </c>
    </row>
    <row r="147" spans="2:14">
      <c r="B147" s="176"/>
      <c r="C147" s="174"/>
      <c r="D147" s="172"/>
      <c r="E147" s="23">
        <v>143</v>
      </c>
      <c r="F147" s="2">
        <v>38</v>
      </c>
      <c r="G147" s="107"/>
      <c r="H147" s="2">
        <v>0</v>
      </c>
      <c r="I147" s="90">
        <f>I146-F147-F146</f>
        <v>67</v>
      </c>
      <c r="J147" s="99">
        <v>150</v>
      </c>
      <c r="K147" s="99">
        <v>150</v>
      </c>
      <c r="L147" s="101"/>
      <c r="M147" s="100">
        <v>20</v>
      </c>
      <c r="N147" s="91">
        <v>150</v>
      </c>
    </row>
    <row r="148" spans="2:14">
      <c r="B148" s="176"/>
      <c r="C148" s="174"/>
      <c r="D148" s="172"/>
      <c r="E148" s="23">
        <v>144</v>
      </c>
      <c r="F148" s="2">
        <v>36</v>
      </c>
      <c r="G148" s="107"/>
      <c r="H148" s="2">
        <v>0</v>
      </c>
      <c r="I148" s="90">
        <f>I147-F148</f>
        <v>31</v>
      </c>
      <c r="J148" s="99">
        <v>150</v>
      </c>
      <c r="K148" s="99">
        <v>150</v>
      </c>
      <c r="L148" s="101"/>
      <c r="M148" s="100">
        <v>20</v>
      </c>
      <c r="N148" s="91">
        <v>150</v>
      </c>
    </row>
    <row r="149" spans="2:14">
      <c r="B149" s="176"/>
      <c r="C149" s="174"/>
      <c r="D149" s="172"/>
      <c r="E149" s="23">
        <v>145</v>
      </c>
      <c r="F149" s="2">
        <v>62</v>
      </c>
      <c r="G149" s="107"/>
      <c r="H149" s="113">
        <v>31</v>
      </c>
      <c r="I149" s="109">
        <v>0</v>
      </c>
      <c r="J149" s="99">
        <v>150</v>
      </c>
      <c r="K149" s="99">
        <v>150</v>
      </c>
      <c r="L149" s="101"/>
      <c r="M149" s="100">
        <v>20</v>
      </c>
      <c r="N149" s="91">
        <v>150</v>
      </c>
    </row>
    <row r="150" spans="2:14">
      <c r="B150" s="176"/>
      <c r="C150" s="174"/>
      <c r="D150" s="172"/>
      <c r="E150" s="23">
        <v>146</v>
      </c>
      <c r="F150" s="2">
        <v>49</v>
      </c>
      <c r="G150" s="107"/>
      <c r="H150" s="113">
        <v>49</v>
      </c>
      <c r="I150" s="109">
        <v>0</v>
      </c>
      <c r="J150" s="99">
        <v>150</v>
      </c>
      <c r="K150" s="99">
        <v>150</v>
      </c>
      <c r="L150" s="101"/>
      <c r="M150" s="100">
        <v>20</v>
      </c>
      <c r="N150" s="91">
        <v>150</v>
      </c>
    </row>
    <row r="151" spans="2:14">
      <c r="B151" s="176"/>
      <c r="C151" s="174"/>
      <c r="D151" s="172"/>
      <c r="E151" s="23">
        <v>147</v>
      </c>
      <c r="F151" s="2">
        <v>28</v>
      </c>
      <c r="G151" s="107"/>
      <c r="H151" s="113">
        <v>28</v>
      </c>
      <c r="I151" s="109">
        <v>0</v>
      </c>
      <c r="J151" s="99">
        <v>150</v>
      </c>
      <c r="K151" s="99">
        <v>150</v>
      </c>
      <c r="L151" s="101"/>
      <c r="M151" s="100">
        <v>20</v>
      </c>
      <c r="N151" s="91">
        <v>150</v>
      </c>
    </row>
    <row r="152" spans="2:14">
      <c r="B152" s="176"/>
      <c r="C152" s="174"/>
      <c r="D152" s="172"/>
      <c r="E152" s="23">
        <v>148</v>
      </c>
      <c r="F152" s="2">
        <v>50</v>
      </c>
      <c r="G152" s="107"/>
      <c r="H152" s="113">
        <v>50</v>
      </c>
      <c r="I152" s="109">
        <v>0</v>
      </c>
      <c r="J152" s="99">
        <v>150</v>
      </c>
      <c r="K152" s="99">
        <v>150</v>
      </c>
      <c r="L152" s="101"/>
      <c r="M152" s="100">
        <v>20</v>
      </c>
      <c r="N152" s="91">
        <v>150</v>
      </c>
    </row>
    <row r="153" spans="2:14">
      <c r="B153" s="176"/>
      <c r="C153" s="174"/>
      <c r="D153" s="172"/>
      <c r="E153" s="23">
        <v>149</v>
      </c>
      <c r="F153" s="2">
        <v>45</v>
      </c>
      <c r="G153" s="107"/>
      <c r="H153" s="113">
        <v>29</v>
      </c>
      <c r="I153" s="109">
        <v>0</v>
      </c>
      <c r="J153" s="99">
        <v>150</v>
      </c>
      <c r="K153" s="99">
        <v>150</v>
      </c>
      <c r="L153" s="101"/>
      <c r="M153" s="100">
        <v>20</v>
      </c>
      <c r="N153" s="91">
        <v>150</v>
      </c>
    </row>
    <row r="154" spans="2:14">
      <c r="B154" s="176"/>
      <c r="C154" s="174"/>
      <c r="D154" s="172"/>
      <c r="E154" s="23">
        <v>150</v>
      </c>
      <c r="F154" s="2">
        <v>46</v>
      </c>
      <c r="G154" s="107"/>
      <c r="H154" s="2">
        <v>0</v>
      </c>
      <c r="I154" s="110">
        <v>150</v>
      </c>
      <c r="J154" s="23"/>
      <c r="K154" s="99">
        <v>150</v>
      </c>
      <c r="L154" s="101"/>
      <c r="M154" s="100">
        <v>20</v>
      </c>
      <c r="N154" s="91">
        <v>150</v>
      </c>
    </row>
    <row r="155" spans="2:14">
      <c r="B155" s="176"/>
      <c r="C155" s="174"/>
      <c r="D155" s="173"/>
      <c r="E155" s="23">
        <v>151</v>
      </c>
      <c r="F155" s="2">
        <v>42</v>
      </c>
      <c r="G155" s="107"/>
      <c r="H155" s="2">
        <v>0</v>
      </c>
      <c r="I155" s="90">
        <f>I154-F155-F154</f>
        <v>62</v>
      </c>
      <c r="J155" s="99">
        <v>150</v>
      </c>
      <c r="K155" s="99">
        <v>150</v>
      </c>
      <c r="L155" s="47"/>
      <c r="M155" s="100">
        <v>20</v>
      </c>
      <c r="N155" s="91">
        <v>150</v>
      </c>
    </row>
    <row r="156" spans="2:14">
      <c r="B156" s="176"/>
      <c r="C156" s="174"/>
      <c r="D156" s="171" t="s">
        <v>47</v>
      </c>
      <c r="E156" s="23">
        <v>152</v>
      </c>
      <c r="F156" s="2">
        <v>27</v>
      </c>
      <c r="G156" s="107"/>
      <c r="H156" s="2">
        <v>0</v>
      </c>
      <c r="I156" s="90">
        <f>I155-F156</f>
        <v>35</v>
      </c>
      <c r="J156" s="99">
        <v>150</v>
      </c>
      <c r="K156" s="99">
        <v>150</v>
      </c>
      <c r="L156" s="101"/>
      <c r="M156" s="100">
        <v>20</v>
      </c>
      <c r="N156" s="91">
        <v>150</v>
      </c>
    </row>
    <row r="157" spans="2:14">
      <c r="B157" s="176"/>
      <c r="C157" s="174"/>
      <c r="D157" s="172"/>
      <c r="E157" s="23">
        <v>153</v>
      </c>
      <c r="F157" s="2">
        <v>35</v>
      </c>
      <c r="G157" s="107"/>
      <c r="H157" s="113">
        <v>16</v>
      </c>
      <c r="I157" s="109">
        <v>0</v>
      </c>
      <c r="J157" s="99">
        <v>150</v>
      </c>
      <c r="K157" s="99">
        <v>150</v>
      </c>
      <c r="L157" s="101"/>
      <c r="M157" s="100">
        <v>20</v>
      </c>
      <c r="N157" s="91">
        <v>150</v>
      </c>
    </row>
    <row r="158" spans="2:14">
      <c r="B158" s="176"/>
      <c r="C158" s="174"/>
      <c r="D158" s="172"/>
      <c r="E158" s="23">
        <v>154</v>
      </c>
      <c r="F158" s="2">
        <v>42</v>
      </c>
      <c r="G158" s="107"/>
      <c r="H158" s="113">
        <v>42</v>
      </c>
      <c r="I158" s="109">
        <v>0</v>
      </c>
      <c r="J158" s="99">
        <v>150</v>
      </c>
      <c r="K158" s="99">
        <v>150</v>
      </c>
      <c r="L158" s="101"/>
      <c r="M158" s="100">
        <v>20</v>
      </c>
      <c r="N158" s="91">
        <v>150</v>
      </c>
    </row>
    <row r="159" spans="2:14">
      <c r="B159" s="176"/>
      <c r="C159" s="174"/>
      <c r="D159" s="172"/>
      <c r="E159" s="23">
        <v>155</v>
      </c>
      <c r="F159" s="2">
        <v>35</v>
      </c>
      <c r="G159" s="107"/>
      <c r="H159" s="113">
        <v>35</v>
      </c>
      <c r="I159" s="109">
        <v>0</v>
      </c>
      <c r="J159" s="99">
        <v>150</v>
      </c>
      <c r="K159" s="99">
        <v>150</v>
      </c>
      <c r="L159" s="101"/>
      <c r="M159" s="100">
        <v>20</v>
      </c>
      <c r="N159" s="91">
        <v>150</v>
      </c>
    </row>
    <row r="160" spans="2:14">
      <c r="B160" s="176"/>
      <c r="C160" s="174"/>
      <c r="D160" s="172"/>
      <c r="E160" s="23">
        <v>156</v>
      </c>
      <c r="F160" s="2">
        <v>36</v>
      </c>
      <c r="G160" s="107"/>
      <c r="H160" s="113">
        <v>36</v>
      </c>
      <c r="I160" s="109">
        <v>0</v>
      </c>
      <c r="J160" s="99">
        <v>150</v>
      </c>
      <c r="K160" s="99">
        <v>150</v>
      </c>
      <c r="L160" s="101"/>
      <c r="M160" s="100">
        <v>20</v>
      </c>
      <c r="N160" s="91">
        <v>150</v>
      </c>
    </row>
    <row r="161" spans="2:14">
      <c r="B161" s="176"/>
      <c r="C161" s="174"/>
      <c r="D161" s="172"/>
      <c r="E161" s="23">
        <v>157</v>
      </c>
      <c r="F161" s="2">
        <v>45</v>
      </c>
      <c r="G161" s="107"/>
      <c r="H161" s="2">
        <v>0</v>
      </c>
      <c r="I161" s="109">
        <v>0</v>
      </c>
      <c r="J161" s="99">
        <v>150</v>
      </c>
      <c r="K161" s="99">
        <v>150</v>
      </c>
      <c r="L161" s="101"/>
      <c r="M161" s="100" t="str">
        <f>"10 - 10"</f>
        <v>10 - 10</v>
      </c>
      <c r="N161" s="91">
        <v>150</v>
      </c>
    </row>
    <row r="162" spans="2:14">
      <c r="B162" s="176"/>
      <c r="C162" s="174"/>
      <c r="D162" s="172"/>
      <c r="E162" s="23">
        <v>158</v>
      </c>
      <c r="F162" s="2">
        <v>45</v>
      </c>
      <c r="G162" s="107"/>
      <c r="H162" s="2">
        <v>0</v>
      </c>
      <c r="I162" s="110">
        <v>150</v>
      </c>
      <c r="J162" s="23"/>
      <c r="K162" s="99">
        <v>150</v>
      </c>
      <c r="L162" s="101"/>
      <c r="M162" s="100">
        <v>20</v>
      </c>
      <c r="N162" s="91">
        <v>150</v>
      </c>
    </row>
    <row r="163" spans="2:14">
      <c r="B163" s="176"/>
      <c r="C163" s="174"/>
      <c r="D163" s="172"/>
      <c r="E163" s="23">
        <v>159</v>
      </c>
      <c r="F163" s="2">
        <v>44</v>
      </c>
      <c r="G163" s="107"/>
      <c r="H163" s="2">
        <v>0</v>
      </c>
      <c r="I163" s="90">
        <f>I162-F163-F162</f>
        <v>61</v>
      </c>
      <c r="J163" s="99">
        <v>150</v>
      </c>
      <c r="K163" s="99">
        <v>150</v>
      </c>
      <c r="L163" s="101"/>
      <c r="M163" s="100">
        <v>20</v>
      </c>
      <c r="N163" s="91">
        <v>150</v>
      </c>
    </row>
    <row r="164" spans="2:14">
      <c r="B164" s="176"/>
      <c r="C164" s="174"/>
      <c r="D164" s="172"/>
      <c r="E164" s="23">
        <v>160</v>
      </c>
      <c r="F164" s="2">
        <v>18</v>
      </c>
      <c r="G164" s="107"/>
      <c r="H164" s="113">
        <v>2</v>
      </c>
      <c r="I164" s="90">
        <f>I163-F164</f>
        <v>43</v>
      </c>
      <c r="J164" s="99">
        <v>150</v>
      </c>
      <c r="K164" s="99">
        <v>150</v>
      </c>
      <c r="L164" s="101"/>
      <c r="M164" s="100">
        <v>20</v>
      </c>
      <c r="N164" s="91">
        <v>150</v>
      </c>
    </row>
    <row r="165" spans="2:14">
      <c r="B165" s="176"/>
      <c r="C165" s="174"/>
      <c r="D165" s="172"/>
      <c r="E165" s="23">
        <v>161</v>
      </c>
      <c r="F165" s="2">
        <v>34</v>
      </c>
      <c r="G165" s="107"/>
      <c r="H165" s="113">
        <v>34</v>
      </c>
      <c r="I165" s="90">
        <f>I164-F165</f>
        <v>9</v>
      </c>
      <c r="J165" s="99">
        <v>150</v>
      </c>
      <c r="K165" s="99">
        <v>150</v>
      </c>
      <c r="L165" s="101"/>
      <c r="M165" s="100">
        <v>20</v>
      </c>
      <c r="N165" s="91">
        <v>150</v>
      </c>
    </row>
    <row r="166" spans="2:14">
      <c r="B166" s="176"/>
      <c r="C166" s="174"/>
      <c r="D166" s="172"/>
      <c r="E166" s="23">
        <v>162</v>
      </c>
      <c r="F166" s="2">
        <v>40</v>
      </c>
      <c r="G166" s="107"/>
      <c r="H166" s="113">
        <v>40</v>
      </c>
      <c r="I166" s="109">
        <v>0</v>
      </c>
      <c r="J166" s="99">
        <v>150</v>
      </c>
      <c r="K166" s="99">
        <v>150</v>
      </c>
      <c r="L166" s="101"/>
      <c r="M166" s="100">
        <v>20</v>
      </c>
      <c r="N166" s="91">
        <v>150</v>
      </c>
    </row>
    <row r="167" spans="2:14">
      <c r="B167" s="176"/>
      <c r="C167" s="174"/>
      <c r="D167" s="172"/>
      <c r="E167" s="23">
        <v>163</v>
      </c>
      <c r="F167" s="2">
        <v>38</v>
      </c>
      <c r="G167" s="107"/>
      <c r="H167" s="113">
        <v>38</v>
      </c>
      <c r="I167" s="109">
        <v>0</v>
      </c>
      <c r="J167" s="99">
        <v>150</v>
      </c>
      <c r="K167" s="99">
        <v>150</v>
      </c>
      <c r="L167" s="101"/>
      <c r="M167" s="100">
        <v>20</v>
      </c>
      <c r="N167" s="91">
        <v>150</v>
      </c>
    </row>
    <row r="168" spans="2:14">
      <c r="B168" s="176"/>
      <c r="C168" s="174"/>
      <c r="D168" s="172"/>
      <c r="E168" s="23">
        <v>164</v>
      </c>
      <c r="F168" s="2">
        <v>32</v>
      </c>
      <c r="G168" s="107"/>
      <c r="H168" s="113">
        <v>13</v>
      </c>
      <c r="I168" s="109">
        <v>0</v>
      </c>
      <c r="J168" s="99">
        <v>150</v>
      </c>
      <c r="K168" s="99">
        <v>150</v>
      </c>
      <c r="L168" s="101"/>
      <c r="M168" s="100">
        <v>20</v>
      </c>
      <c r="N168" s="91">
        <v>150</v>
      </c>
    </row>
    <row r="169" spans="2:14">
      <c r="B169" s="176"/>
      <c r="C169" s="174"/>
      <c r="D169" s="172"/>
      <c r="E169" s="23">
        <v>165</v>
      </c>
      <c r="F169" s="2">
        <v>44</v>
      </c>
      <c r="G169" s="107"/>
      <c r="H169" s="2">
        <v>0</v>
      </c>
      <c r="I169" s="109">
        <v>0</v>
      </c>
      <c r="J169" s="99">
        <v>150</v>
      </c>
      <c r="K169" s="99">
        <v>150</v>
      </c>
      <c r="L169" s="101"/>
      <c r="M169" s="100">
        <v>20</v>
      </c>
      <c r="N169" s="91">
        <v>150</v>
      </c>
    </row>
    <row r="170" spans="2:14">
      <c r="B170" s="176"/>
      <c r="C170" s="174"/>
      <c r="D170" s="172"/>
      <c r="E170" s="23">
        <v>166</v>
      </c>
      <c r="F170" s="2">
        <v>54</v>
      </c>
      <c r="G170" s="107"/>
      <c r="H170" s="2">
        <v>0</v>
      </c>
      <c r="I170" s="110">
        <v>150</v>
      </c>
      <c r="J170" s="23"/>
      <c r="K170" s="99">
        <v>150</v>
      </c>
      <c r="L170" s="101"/>
      <c r="M170" s="100">
        <v>20</v>
      </c>
      <c r="N170" s="91">
        <v>150</v>
      </c>
    </row>
    <row r="171" spans="2:14">
      <c r="B171" s="176"/>
      <c r="C171" s="174"/>
      <c r="D171" s="172"/>
      <c r="E171" s="23">
        <v>167</v>
      </c>
      <c r="F171" s="2">
        <v>33</v>
      </c>
      <c r="G171" s="107"/>
      <c r="H171" s="2">
        <v>0</v>
      </c>
      <c r="I171" s="90">
        <f>I170-F171-F170</f>
        <v>63</v>
      </c>
      <c r="J171" s="99">
        <v>150</v>
      </c>
      <c r="K171" s="99">
        <v>150</v>
      </c>
      <c r="L171" s="101"/>
      <c r="M171" s="100">
        <v>20</v>
      </c>
      <c r="N171" s="91">
        <v>150</v>
      </c>
    </row>
    <row r="172" spans="2:14">
      <c r="B172" s="176"/>
      <c r="C172" s="174"/>
      <c r="D172" s="172"/>
      <c r="E172" s="23">
        <v>168</v>
      </c>
      <c r="F172" s="2">
        <v>44</v>
      </c>
      <c r="G172" s="107"/>
      <c r="H172" s="113">
        <v>44</v>
      </c>
      <c r="I172" s="90">
        <f>I171-F172</f>
        <v>19</v>
      </c>
      <c r="J172" s="99">
        <v>150</v>
      </c>
      <c r="K172" s="99">
        <v>150</v>
      </c>
      <c r="L172" s="101"/>
      <c r="M172" s="100">
        <v>20</v>
      </c>
      <c r="N172" s="91">
        <v>150</v>
      </c>
    </row>
    <row r="173" spans="2:14">
      <c r="B173" s="176"/>
      <c r="C173" s="174"/>
      <c r="D173" s="172"/>
      <c r="E173" s="23">
        <v>169</v>
      </c>
      <c r="F173" s="2">
        <v>47</v>
      </c>
      <c r="G173" s="107"/>
      <c r="H173" s="113">
        <v>47</v>
      </c>
      <c r="I173" s="109">
        <v>0</v>
      </c>
      <c r="J173" s="99">
        <v>150</v>
      </c>
      <c r="K173" s="99">
        <v>150</v>
      </c>
      <c r="L173" s="101"/>
      <c r="M173" s="100">
        <v>20</v>
      </c>
      <c r="N173" s="91">
        <v>150</v>
      </c>
    </row>
    <row r="174" spans="2:14">
      <c r="B174" s="176"/>
      <c r="C174" s="174"/>
      <c r="D174" s="172"/>
      <c r="E174" s="23">
        <v>170</v>
      </c>
      <c r="F174" s="2">
        <v>30</v>
      </c>
      <c r="G174" s="107"/>
      <c r="H174" s="113">
        <v>30</v>
      </c>
      <c r="I174" s="109">
        <v>0</v>
      </c>
      <c r="J174" s="99">
        <v>150</v>
      </c>
      <c r="K174" s="99">
        <v>150</v>
      </c>
      <c r="L174" s="101"/>
      <c r="M174" s="100">
        <v>20</v>
      </c>
      <c r="N174" s="91">
        <v>150</v>
      </c>
    </row>
    <row r="175" spans="2:14">
      <c r="B175" s="176"/>
      <c r="C175" s="174"/>
      <c r="D175" s="172"/>
      <c r="E175" s="23">
        <v>171</v>
      </c>
      <c r="F175" s="2">
        <v>25</v>
      </c>
      <c r="G175" s="107"/>
      <c r="H175" s="113">
        <v>25</v>
      </c>
      <c r="I175" s="109">
        <v>0</v>
      </c>
      <c r="J175" s="99">
        <v>150</v>
      </c>
      <c r="K175" s="99">
        <v>150</v>
      </c>
      <c r="L175" s="101"/>
      <c r="M175" s="100">
        <v>20</v>
      </c>
      <c r="N175" s="91">
        <v>150</v>
      </c>
    </row>
    <row r="176" spans="2:14">
      <c r="B176" s="176"/>
      <c r="C176" s="174"/>
      <c r="D176" s="172"/>
      <c r="E176" s="23">
        <v>172</v>
      </c>
      <c r="F176" s="2">
        <v>39</v>
      </c>
      <c r="G176" s="107"/>
      <c r="H176" s="2">
        <v>0</v>
      </c>
      <c r="I176" s="109">
        <v>0</v>
      </c>
      <c r="J176" s="99">
        <v>150</v>
      </c>
      <c r="K176" s="99">
        <v>150</v>
      </c>
      <c r="L176" s="101"/>
      <c r="M176" s="100" t="str">
        <f>"10 - 10"</f>
        <v>10 - 10</v>
      </c>
      <c r="N176" s="91">
        <v>150</v>
      </c>
    </row>
    <row r="177" spans="2:14">
      <c r="B177" s="176"/>
      <c r="C177" s="174"/>
      <c r="D177" s="172"/>
      <c r="E177" s="23">
        <v>173</v>
      </c>
      <c r="F177" s="2">
        <v>34</v>
      </c>
      <c r="G177" s="107"/>
      <c r="H177" s="2">
        <v>0</v>
      </c>
      <c r="I177" s="109">
        <v>0</v>
      </c>
      <c r="J177" s="99">
        <v>150</v>
      </c>
      <c r="K177" s="99">
        <v>150</v>
      </c>
      <c r="L177" s="101"/>
      <c r="M177" s="100">
        <v>20</v>
      </c>
      <c r="N177" s="91">
        <v>150</v>
      </c>
    </row>
    <row r="178" spans="2:14">
      <c r="B178" s="176"/>
      <c r="C178" s="174"/>
      <c r="D178" s="172"/>
      <c r="E178" s="23">
        <v>174</v>
      </c>
      <c r="F178" s="2">
        <v>35</v>
      </c>
      <c r="G178" s="107"/>
      <c r="H178" s="2">
        <v>0</v>
      </c>
      <c r="I178" s="110">
        <v>150</v>
      </c>
      <c r="J178" s="23"/>
      <c r="K178" s="99">
        <v>150</v>
      </c>
      <c r="L178" s="101"/>
      <c r="M178" s="100">
        <v>20</v>
      </c>
      <c r="N178" s="91">
        <v>150</v>
      </c>
    </row>
    <row r="179" spans="2:14">
      <c r="B179" s="176"/>
      <c r="C179" s="174"/>
      <c r="D179" s="172"/>
      <c r="E179" s="23">
        <v>175</v>
      </c>
      <c r="F179" s="2">
        <v>37</v>
      </c>
      <c r="G179" s="107"/>
      <c r="H179" s="2">
        <v>0</v>
      </c>
      <c r="I179" s="90">
        <f>I178-F179-F178</f>
        <v>78</v>
      </c>
      <c r="J179" s="99">
        <v>150</v>
      </c>
      <c r="K179" s="99">
        <v>150</v>
      </c>
      <c r="L179" s="101"/>
      <c r="M179" s="100">
        <v>20</v>
      </c>
      <c r="N179" s="91">
        <v>150</v>
      </c>
    </row>
    <row r="180" spans="2:14">
      <c r="B180" s="176"/>
      <c r="C180" s="174"/>
      <c r="D180" s="172"/>
      <c r="E180" s="23">
        <v>176</v>
      </c>
      <c r="F180" s="2">
        <v>41</v>
      </c>
      <c r="G180" s="107"/>
      <c r="H180" s="113">
        <v>36</v>
      </c>
      <c r="I180" s="90">
        <f>I179-F180</f>
        <v>37</v>
      </c>
      <c r="J180" s="99">
        <v>150</v>
      </c>
      <c r="K180" s="99">
        <v>150</v>
      </c>
      <c r="L180" s="101"/>
      <c r="M180" s="100">
        <v>20</v>
      </c>
      <c r="N180" s="91">
        <v>150</v>
      </c>
    </row>
    <row r="181" spans="2:14">
      <c r="B181" s="176"/>
      <c r="C181" s="174"/>
      <c r="D181" s="172"/>
      <c r="E181" s="23">
        <v>177</v>
      </c>
      <c r="F181" s="2">
        <v>44</v>
      </c>
      <c r="G181" s="107"/>
      <c r="H181" s="113">
        <v>44</v>
      </c>
      <c r="I181" s="109">
        <v>0</v>
      </c>
      <c r="J181" s="99">
        <v>150</v>
      </c>
      <c r="K181" s="99">
        <v>150</v>
      </c>
      <c r="L181" s="101"/>
      <c r="M181" s="100">
        <v>20</v>
      </c>
      <c r="N181" s="91">
        <v>150</v>
      </c>
    </row>
    <row r="182" spans="2:14">
      <c r="B182" s="176"/>
      <c r="C182" s="174"/>
      <c r="D182" s="172"/>
      <c r="E182" s="23">
        <v>178</v>
      </c>
      <c r="F182" s="2">
        <v>34</v>
      </c>
      <c r="G182" s="107"/>
      <c r="H182" s="113">
        <v>34</v>
      </c>
      <c r="I182" s="109">
        <v>0</v>
      </c>
      <c r="J182" s="99">
        <v>150</v>
      </c>
      <c r="K182" s="99">
        <v>150</v>
      </c>
      <c r="L182" s="101"/>
      <c r="M182" s="100">
        <v>20</v>
      </c>
      <c r="N182" s="91">
        <v>150</v>
      </c>
    </row>
    <row r="183" spans="2:14">
      <c r="B183" s="176"/>
      <c r="C183" s="174"/>
      <c r="D183" s="172"/>
      <c r="E183" s="23">
        <v>179</v>
      </c>
      <c r="F183" s="2">
        <v>48</v>
      </c>
      <c r="G183" s="107"/>
      <c r="H183" s="113">
        <v>21</v>
      </c>
      <c r="I183" s="109">
        <v>0</v>
      </c>
      <c r="J183" s="99">
        <v>150</v>
      </c>
      <c r="K183" s="99">
        <v>150</v>
      </c>
      <c r="L183" s="101"/>
      <c r="M183" s="100">
        <v>20</v>
      </c>
      <c r="N183" s="91">
        <v>150</v>
      </c>
    </row>
    <row r="184" spans="2:14">
      <c r="B184" s="176"/>
      <c r="C184" s="174"/>
      <c r="D184" s="172"/>
      <c r="E184" s="23">
        <v>180</v>
      </c>
      <c r="F184" s="2">
        <v>40</v>
      </c>
      <c r="G184" s="107"/>
      <c r="H184" s="2">
        <v>0</v>
      </c>
      <c r="I184" s="109">
        <v>0</v>
      </c>
      <c r="J184" s="99">
        <v>150</v>
      </c>
      <c r="K184" s="99">
        <v>150</v>
      </c>
      <c r="L184" s="101"/>
      <c r="M184" s="100">
        <v>20</v>
      </c>
      <c r="N184" s="91">
        <v>150</v>
      </c>
    </row>
    <row r="185" spans="2:14">
      <c r="B185" s="176"/>
      <c r="C185" s="174"/>
      <c r="D185" s="173"/>
      <c r="E185" s="23">
        <v>181</v>
      </c>
      <c r="F185" s="2">
        <v>50</v>
      </c>
      <c r="G185" s="107"/>
      <c r="H185" s="2">
        <v>0</v>
      </c>
      <c r="I185" s="109">
        <v>0</v>
      </c>
      <c r="J185" s="99">
        <v>150</v>
      </c>
      <c r="K185" s="99">
        <v>150</v>
      </c>
      <c r="L185" s="101"/>
      <c r="M185" s="100">
        <v>20</v>
      </c>
      <c r="N185" s="91">
        <v>150</v>
      </c>
    </row>
    <row r="186" spans="2:14">
      <c r="B186" s="176"/>
      <c r="C186" s="174" t="s">
        <v>48</v>
      </c>
      <c r="D186" s="171" t="s">
        <v>49</v>
      </c>
      <c r="E186" s="23">
        <v>182</v>
      </c>
      <c r="F186" s="2">
        <v>38</v>
      </c>
      <c r="G186" s="107"/>
      <c r="H186" s="113">
        <v>5</v>
      </c>
      <c r="I186" s="110">
        <v>150</v>
      </c>
      <c r="J186" s="23"/>
      <c r="K186" s="99">
        <v>150</v>
      </c>
      <c r="L186" s="101"/>
      <c r="M186" s="100">
        <v>20</v>
      </c>
      <c r="N186" s="91">
        <v>150</v>
      </c>
    </row>
    <row r="187" spans="2:14">
      <c r="B187" s="176"/>
      <c r="C187" s="174"/>
      <c r="D187" s="172"/>
      <c r="E187" s="23">
        <v>183</v>
      </c>
      <c r="F187" s="2">
        <v>34</v>
      </c>
      <c r="G187" s="107"/>
      <c r="H187" s="113">
        <v>34</v>
      </c>
      <c r="I187" s="90">
        <f>I186-F187-F186</f>
        <v>78</v>
      </c>
      <c r="J187" s="99">
        <v>150</v>
      </c>
      <c r="K187" s="99">
        <v>150</v>
      </c>
      <c r="L187" s="101"/>
      <c r="M187" s="100">
        <v>20</v>
      </c>
      <c r="N187" s="91">
        <v>150</v>
      </c>
    </row>
    <row r="188" spans="2:14">
      <c r="B188" s="176"/>
      <c r="C188" s="174"/>
      <c r="D188" s="172"/>
      <c r="E188" s="23">
        <v>184</v>
      </c>
      <c r="F188" s="2">
        <v>41</v>
      </c>
      <c r="G188" s="107"/>
      <c r="H188" s="113">
        <v>41</v>
      </c>
      <c r="I188" s="90">
        <f>I187-F188</f>
        <v>37</v>
      </c>
      <c r="J188" s="99">
        <v>150</v>
      </c>
      <c r="K188" s="99">
        <v>150</v>
      </c>
      <c r="L188" s="101"/>
      <c r="M188" s="100">
        <v>20</v>
      </c>
      <c r="N188" s="91">
        <v>150</v>
      </c>
    </row>
    <row r="189" spans="2:14">
      <c r="B189" s="176"/>
      <c r="C189" s="174"/>
      <c r="D189" s="172"/>
      <c r="E189" s="23">
        <v>185</v>
      </c>
      <c r="F189" s="2">
        <v>35</v>
      </c>
      <c r="G189" s="107"/>
      <c r="H189" s="113">
        <v>35</v>
      </c>
      <c r="I189" s="90">
        <f>I188-F189</f>
        <v>2</v>
      </c>
      <c r="J189" s="99">
        <v>150</v>
      </c>
      <c r="K189" s="99">
        <v>150</v>
      </c>
      <c r="L189" s="101"/>
      <c r="M189" s="100">
        <v>20</v>
      </c>
      <c r="N189" s="91">
        <v>150</v>
      </c>
    </row>
    <row r="190" spans="2:14">
      <c r="B190" s="176"/>
      <c r="C190" s="174"/>
      <c r="D190" s="172"/>
      <c r="E190" s="23">
        <v>186</v>
      </c>
      <c r="F190" s="2">
        <v>32</v>
      </c>
      <c r="G190" s="107"/>
      <c r="H190" s="113">
        <v>32</v>
      </c>
      <c r="I190" s="109">
        <v>0</v>
      </c>
      <c r="J190" s="99">
        <v>150</v>
      </c>
      <c r="K190" s="99">
        <v>150</v>
      </c>
      <c r="L190" s="101"/>
      <c r="M190" s="100">
        <v>20</v>
      </c>
      <c r="N190" s="91">
        <v>150</v>
      </c>
    </row>
    <row r="191" spans="2:14">
      <c r="B191" s="176"/>
      <c r="C191" s="174"/>
      <c r="D191" s="172"/>
      <c r="E191" s="23">
        <v>187</v>
      </c>
      <c r="F191" s="2">
        <v>36</v>
      </c>
      <c r="G191" s="107"/>
      <c r="H191" s="2">
        <v>0</v>
      </c>
      <c r="I191" s="109">
        <v>0</v>
      </c>
      <c r="J191" s="99">
        <v>150</v>
      </c>
      <c r="K191" s="99">
        <v>150</v>
      </c>
      <c r="L191" s="101"/>
      <c r="M191" s="100" t="str">
        <f>"10 - 10"</f>
        <v>10 - 10</v>
      </c>
      <c r="N191" s="91">
        <v>150</v>
      </c>
    </row>
    <row r="192" spans="2:14">
      <c r="B192" s="176"/>
      <c r="C192" s="174"/>
      <c r="D192" s="172"/>
      <c r="E192" s="23">
        <v>188</v>
      </c>
      <c r="F192" s="2">
        <v>42</v>
      </c>
      <c r="G192" s="107"/>
      <c r="H192" s="2">
        <v>0</v>
      </c>
      <c r="I192" s="109">
        <v>0</v>
      </c>
      <c r="J192" s="99">
        <v>150</v>
      </c>
      <c r="K192" s="99">
        <v>150</v>
      </c>
      <c r="L192" s="101"/>
      <c r="M192" s="100">
        <v>20</v>
      </c>
      <c r="N192" s="91">
        <v>150</v>
      </c>
    </row>
    <row r="193" spans="2:14">
      <c r="B193" s="176"/>
      <c r="C193" s="174"/>
      <c r="D193" s="172"/>
      <c r="E193" s="23">
        <v>189</v>
      </c>
      <c r="F193" s="2">
        <v>48</v>
      </c>
      <c r="G193" s="107"/>
      <c r="H193" s="2">
        <v>0</v>
      </c>
      <c r="I193" s="109">
        <v>0</v>
      </c>
      <c r="J193" s="99">
        <v>150</v>
      </c>
      <c r="K193" s="99">
        <v>150</v>
      </c>
      <c r="L193" s="101"/>
      <c r="M193" s="100">
        <v>20</v>
      </c>
      <c r="N193" s="91">
        <v>150</v>
      </c>
    </row>
    <row r="194" spans="2:14">
      <c r="B194" s="176"/>
      <c r="C194" s="174"/>
      <c r="D194" s="172"/>
      <c r="E194" s="23">
        <v>190</v>
      </c>
      <c r="F194" s="2">
        <v>40</v>
      </c>
      <c r="G194" s="107"/>
      <c r="H194" s="113">
        <v>16</v>
      </c>
      <c r="I194" s="110">
        <v>150</v>
      </c>
      <c r="J194" s="23"/>
      <c r="K194" s="99">
        <v>150</v>
      </c>
      <c r="L194" s="101"/>
      <c r="M194" s="100">
        <v>20</v>
      </c>
      <c r="N194" s="91">
        <v>150</v>
      </c>
    </row>
    <row r="195" spans="2:14">
      <c r="B195" s="176"/>
      <c r="C195" s="174"/>
      <c r="D195" s="172"/>
      <c r="E195" s="23">
        <v>191</v>
      </c>
      <c r="F195" s="2">
        <v>31</v>
      </c>
      <c r="G195" s="107"/>
      <c r="H195" s="113">
        <v>31</v>
      </c>
      <c r="I195" s="90">
        <f>I194-F195-F194</f>
        <v>79</v>
      </c>
      <c r="J195" s="99">
        <v>150</v>
      </c>
      <c r="K195" s="99">
        <v>150</v>
      </c>
      <c r="L195" s="47"/>
      <c r="M195" s="100">
        <v>20</v>
      </c>
      <c r="N195" s="91">
        <v>150</v>
      </c>
    </row>
    <row r="196" spans="2:14">
      <c r="B196" s="176"/>
      <c r="C196" s="174"/>
      <c r="D196" s="172"/>
      <c r="E196" s="23">
        <v>192</v>
      </c>
      <c r="F196" s="2">
        <v>35</v>
      </c>
      <c r="G196" s="107"/>
      <c r="H196" s="113">
        <v>35</v>
      </c>
      <c r="I196" s="90">
        <f>I195-F196</f>
        <v>44</v>
      </c>
      <c r="J196" s="99">
        <v>150</v>
      </c>
      <c r="K196" s="99">
        <v>150</v>
      </c>
      <c r="L196" s="101"/>
      <c r="M196" s="100">
        <v>20</v>
      </c>
      <c r="N196" s="91">
        <v>150</v>
      </c>
    </row>
    <row r="197" spans="2:14">
      <c r="B197" s="176"/>
      <c r="C197" s="174"/>
      <c r="D197" s="172"/>
      <c r="E197" s="23">
        <v>193</v>
      </c>
      <c r="F197" s="2">
        <v>32</v>
      </c>
      <c r="G197" s="107"/>
      <c r="H197" s="113">
        <v>32</v>
      </c>
      <c r="I197" s="90">
        <f>I196-F197</f>
        <v>12</v>
      </c>
      <c r="J197" s="99">
        <v>150</v>
      </c>
      <c r="K197" s="99">
        <v>150</v>
      </c>
      <c r="L197" s="101"/>
      <c r="M197" s="100">
        <v>20</v>
      </c>
      <c r="N197" s="91">
        <v>150</v>
      </c>
    </row>
    <row r="198" spans="2:14">
      <c r="B198" s="176"/>
      <c r="C198" s="174"/>
      <c r="D198" s="172"/>
      <c r="E198" s="23">
        <v>194</v>
      </c>
      <c r="F198" s="2">
        <v>44</v>
      </c>
      <c r="G198" s="107"/>
      <c r="H198" s="113">
        <v>18</v>
      </c>
      <c r="I198" s="109">
        <v>0</v>
      </c>
      <c r="J198" s="99">
        <v>150</v>
      </c>
      <c r="K198" s="99">
        <v>150</v>
      </c>
      <c r="L198" s="101"/>
      <c r="M198" s="100">
        <v>20</v>
      </c>
      <c r="N198" s="91">
        <v>150</v>
      </c>
    </row>
    <row r="199" spans="2:14">
      <c r="B199" s="176"/>
      <c r="C199" s="174"/>
      <c r="D199" s="172"/>
      <c r="E199" s="23">
        <v>195</v>
      </c>
      <c r="F199" s="2">
        <v>28</v>
      </c>
      <c r="G199" s="107"/>
      <c r="H199" s="2">
        <v>0</v>
      </c>
      <c r="I199" s="109">
        <v>0</v>
      </c>
      <c r="J199" s="99">
        <v>150</v>
      </c>
      <c r="K199" s="99">
        <v>150</v>
      </c>
      <c r="L199" s="101"/>
      <c r="M199" s="100">
        <v>20</v>
      </c>
      <c r="N199" s="91">
        <v>150</v>
      </c>
    </row>
    <row r="200" spans="2:14">
      <c r="B200" s="176"/>
      <c r="C200" s="174"/>
      <c r="D200" s="172"/>
      <c r="E200" s="23">
        <v>196</v>
      </c>
      <c r="F200" s="2">
        <v>49</v>
      </c>
      <c r="G200" s="107"/>
      <c r="H200" s="2">
        <v>0</v>
      </c>
      <c r="I200" s="109">
        <v>0</v>
      </c>
      <c r="J200" s="99">
        <v>150</v>
      </c>
      <c r="K200" s="99">
        <v>150</v>
      </c>
      <c r="L200" s="101"/>
      <c r="M200" s="100">
        <v>20</v>
      </c>
      <c r="N200" s="91">
        <v>150</v>
      </c>
    </row>
    <row r="201" spans="2:14">
      <c r="B201" s="176"/>
      <c r="C201" s="174"/>
      <c r="D201" s="172"/>
      <c r="E201" s="23">
        <v>197</v>
      </c>
      <c r="F201" s="2">
        <v>47</v>
      </c>
      <c r="G201" s="107"/>
      <c r="H201" s="2">
        <v>0</v>
      </c>
      <c r="I201" s="109">
        <v>0</v>
      </c>
      <c r="J201" s="99">
        <v>150</v>
      </c>
      <c r="K201" s="99">
        <v>150</v>
      </c>
      <c r="L201" s="101"/>
      <c r="M201" s="100">
        <v>20</v>
      </c>
      <c r="N201" s="91">
        <v>150</v>
      </c>
    </row>
    <row r="202" spans="2:14">
      <c r="B202" s="176"/>
      <c r="C202" s="174"/>
      <c r="D202" s="172"/>
      <c r="E202" s="23">
        <v>198</v>
      </c>
      <c r="F202" s="2">
        <v>31</v>
      </c>
      <c r="G202" s="107"/>
      <c r="H202" s="113">
        <v>31</v>
      </c>
      <c r="I202" s="110">
        <v>150</v>
      </c>
      <c r="J202" s="23"/>
      <c r="K202" s="99">
        <v>150</v>
      </c>
      <c r="L202" s="101"/>
      <c r="M202" s="100">
        <v>20</v>
      </c>
      <c r="N202" s="91">
        <v>150</v>
      </c>
    </row>
    <row r="203" spans="2:14">
      <c r="B203" s="176"/>
      <c r="C203" s="174"/>
      <c r="D203" s="172"/>
      <c r="E203" s="23">
        <v>199</v>
      </c>
      <c r="F203" s="2">
        <v>27</v>
      </c>
      <c r="G203" s="107"/>
      <c r="H203" s="113">
        <v>27</v>
      </c>
      <c r="I203" s="90">
        <f>I202-F203-F202</f>
        <v>92</v>
      </c>
      <c r="J203" s="99">
        <v>150</v>
      </c>
      <c r="K203" s="99">
        <v>150</v>
      </c>
      <c r="L203" s="101"/>
      <c r="M203" s="100">
        <v>20</v>
      </c>
      <c r="N203" s="91">
        <v>150</v>
      </c>
    </row>
    <row r="204" spans="2:14">
      <c r="B204" s="176"/>
      <c r="C204" s="174"/>
      <c r="D204" s="172"/>
      <c r="E204" s="23">
        <v>200</v>
      </c>
      <c r="F204" s="2">
        <v>41</v>
      </c>
      <c r="G204" s="107"/>
      <c r="H204" s="113">
        <v>41</v>
      </c>
      <c r="I204" s="90">
        <f>I203-F204</f>
        <v>51</v>
      </c>
      <c r="J204" s="99">
        <v>150</v>
      </c>
      <c r="K204" s="99">
        <v>150</v>
      </c>
      <c r="L204" s="101"/>
      <c r="M204" s="100">
        <v>20</v>
      </c>
      <c r="N204" s="91">
        <v>150</v>
      </c>
    </row>
    <row r="205" spans="2:14">
      <c r="B205" s="176"/>
      <c r="C205" s="174"/>
      <c r="D205" s="172"/>
      <c r="E205" s="23">
        <v>201</v>
      </c>
      <c r="F205" s="2">
        <v>54</v>
      </c>
      <c r="G205" s="107"/>
      <c r="H205" s="113">
        <v>54</v>
      </c>
      <c r="I205" s="109">
        <v>0</v>
      </c>
      <c r="J205" s="99">
        <v>150</v>
      </c>
      <c r="K205" s="99">
        <v>150</v>
      </c>
      <c r="L205" s="101"/>
      <c r="M205" s="100">
        <v>20</v>
      </c>
      <c r="N205" s="91">
        <v>150</v>
      </c>
    </row>
    <row r="206" spans="2:14">
      <c r="B206" s="176"/>
      <c r="C206" s="174"/>
      <c r="D206" s="172"/>
      <c r="E206" s="23">
        <v>202</v>
      </c>
      <c r="F206" s="2">
        <v>44</v>
      </c>
      <c r="G206" s="107"/>
      <c r="H206" s="2">
        <v>0</v>
      </c>
      <c r="I206" s="109">
        <v>0</v>
      </c>
      <c r="J206" s="99">
        <v>150</v>
      </c>
      <c r="K206" s="99">
        <v>150</v>
      </c>
      <c r="L206" s="101"/>
      <c r="M206" s="100" t="str">
        <f>"10 - 10"</f>
        <v>10 - 10</v>
      </c>
      <c r="N206" s="91">
        <v>150</v>
      </c>
    </row>
    <row r="207" spans="2:14">
      <c r="B207" s="176"/>
      <c r="C207" s="174"/>
      <c r="D207" s="172"/>
      <c r="E207" s="23">
        <v>203</v>
      </c>
      <c r="F207" s="2">
        <v>32</v>
      </c>
      <c r="G207" s="107"/>
      <c r="H207" s="2">
        <v>0</v>
      </c>
      <c r="I207" s="109">
        <v>0</v>
      </c>
      <c r="J207" s="99">
        <v>150</v>
      </c>
      <c r="K207" s="99">
        <v>150</v>
      </c>
      <c r="L207" s="101"/>
      <c r="M207" s="100">
        <v>20</v>
      </c>
      <c r="N207" s="91">
        <v>150</v>
      </c>
    </row>
    <row r="208" spans="2:14">
      <c r="B208" s="176"/>
      <c r="C208" s="174"/>
      <c r="D208" s="172"/>
      <c r="E208" s="23">
        <v>204</v>
      </c>
      <c r="F208" s="2">
        <v>55</v>
      </c>
      <c r="G208" s="107"/>
      <c r="H208" s="2">
        <v>0</v>
      </c>
      <c r="I208" s="109">
        <v>0</v>
      </c>
      <c r="J208" s="99">
        <v>150</v>
      </c>
      <c r="K208" s="99">
        <v>150</v>
      </c>
      <c r="L208" s="101"/>
      <c r="M208" s="100">
        <v>20</v>
      </c>
      <c r="N208" s="91">
        <v>150</v>
      </c>
    </row>
    <row r="209" spans="2:14">
      <c r="B209" s="176"/>
      <c r="C209" s="174"/>
      <c r="D209" s="172"/>
      <c r="E209" s="23">
        <v>205</v>
      </c>
      <c r="F209" s="2">
        <v>44</v>
      </c>
      <c r="G209" s="107"/>
      <c r="H209" s="113">
        <v>25</v>
      </c>
      <c r="I209" s="109">
        <v>0</v>
      </c>
      <c r="J209" s="99">
        <v>150</v>
      </c>
      <c r="K209" s="99">
        <v>150</v>
      </c>
      <c r="L209" s="101"/>
      <c r="M209" s="100">
        <v>20</v>
      </c>
      <c r="N209" s="91">
        <v>150</v>
      </c>
    </row>
    <row r="210" spans="2:14">
      <c r="B210" s="176"/>
      <c r="C210" s="174"/>
      <c r="D210" s="172"/>
      <c r="E210" s="23">
        <v>206</v>
      </c>
      <c r="F210" s="2">
        <v>33</v>
      </c>
      <c r="G210" s="107"/>
      <c r="H210" s="113">
        <v>33</v>
      </c>
      <c r="I210" s="110">
        <v>150</v>
      </c>
      <c r="J210" s="23"/>
      <c r="K210" s="99">
        <v>150</v>
      </c>
      <c r="L210" s="101"/>
      <c r="M210" s="100">
        <v>20</v>
      </c>
      <c r="N210" s="91">
        <v>150</v>
      </c>
    </row>
    <row r="211" spans="2:14">
      <c r="B211" s="176"/>
      <c r="C211" s="174"/>
      <c r="D211" s="172"/>
      <c r="E211" s="23">
        <v>207</v>
      </c>
      <c r="F211" s="2">
        <v>24</v>
      </c>
      <c r="G211" s="107"/>
      <c r="H211" s="113">
        <v>24</v>
      </c>
      <c r="I211" s="90">
        <f>I210-F211-F210</f>
        <v>93</v>
      </c>
      <c r="J211" s="99">
        <v>150</v>
      </c>
      <c r="K211" s="99">
        <v>150</v>
      </c>
      <c r="L211" s="101"/>
      <c r="M211" s="100">
        <v>20</v>
      </c>
      <c r="N211" s="91">
        <v>150</v>
      </c>
    </row>
    <row r="212" spans="2:14">
      <c r="B212" s="176"/>
      <c r="C212" s="174"/>
      <c r="D212" s="172"/>
      <c r="E212" s="23">
        <v>208</v>
      </c>
      <c r="F212" s="2">
        <v>52</v>
      </c>
      <c r="G212" s="107"/>
      <c r="H212" s="113">
        <v>52</v>
      </c>
      <c r="I212" s="90">
        <f>I211-F212</f>
        <v>41</v>
      </c>
      <c r="J212" s="99">
        <v>150</v>
      </c>
      <c r="K212" s="99">
        <v>150</v>
      </c>
      <c r="L212" s="101"/>
      <c r="M212" s="100">
        <v>20</v>
      </c>
      <c r="N212" s="91">
        <v>150</v>
      </c>
    </row>
    <row r="213" spans="2:14">
      <c r="B213" s="176"/>
      <c r="C213" s="174"/>
      <c r="D213" s="172"/>
      <c r="E213" s="23">
        <v>209</v>
      </c>
      <c r="F213" s="2">
        <v>31</v>
      </c>
      <c r="G213" s="107"/>
      <c r="H213" s="113">
        <v>16</v>
      </c>
      <c r="I213" s="90">
        <f>I212-F213</f>
        <v>10</v>
      </c>
      <c r="J213" s="99">
        <v>150</v>
      </c>
      <c r="K213" s="99">
        <v>150</v>
      </c>
      <c r="L213" s="101"/>
      <c r="M213" s="100">
        <v>20</v>
      </c>
      <c r="N213" s="91">
        <v>150</v>
      </c>
    </row>
    <row r="214" spans="2:14">
      <c r="B214" s="176"/>
      <c r="C214" s="174"/>
      <c r="D214" s="172"/>
      <c r="E214" s="23">
        <v>210</v>
      </c>
      <c r="F214" s="2">
        <v>14</v>
      </c>
      <c r="G214" s="107"/>
      <c r="H214" s="2">
        <v>0</v>
      </c>
      <c r="I214" s="109">
        <v>0</v>
      </c>
      <c r="J214" s="99">
        <v>150</v>
      </c>
      <c r="K214" s="99">
        <v>150</v>
      </c>
      <c r="L214" s="101"/>
      <c r="M214" s="100">
        <v>20</v>
      </c>
      <c r="N214" s="91">
        <v>150</v>
      </c>
    </row>
    <row r="215" spans="2:14">
      <c r="B215" s="176"/>
      <c r="C215" s="174"/>
      <c r="D215" s="172"/>
      <c r="E215" s="23">
        <v>211</v>
      </c>
      <c r="F215" s="2">
        <v>44</v>
      </c>
      <c r="G215" s="107"/>
      <c r="H215" s="2">
        <v>0</v>
      </c>
      <c r="I215" s="109">
        <v>0</v>
      </c>
      <c r="J215" s="99">
        <v>150</v>
      </c>
      <c r="K215" s="99">
        <v>150</v>
      </c>
      <c r="L215" s="101"/>
      <c r="M215" s="100">
        <v>20</v>
      </c>
      <c r="N215" s="91">
        <v>150</v>
      </c>
    </row>
    <row r="216" spans="2:14">
      <c r="B216" s="176"/>
      <c r="C216" s="174"/>
      <c r="D216" s="173"/>
      <c r="E216" s="23">
        <v>212</v>
      </c>
      <c r="F216" s="2">
        <v>35</v>
      </c>
      <c r="G216" s="107"/>
      <c r="H216" s="2">
        <v>0</v>
      </c>
      <c r="I216" s="109">
        <v>0</v>
      </c>
      <c r="J216" s="99">
        <v>150</v>
      </c>
      <c r="K216" s="99">
        <v>150</v>
      </c>
      <c r="L216" s="101"/>
      <c r="M216" s="100">
        <v>20</v>
      </c>
      <c r="N216" s="91">
        <v>150</v>
      </c>
    </row>
    <row r="217" spans="2:14">
      <c r="B217" s="176"/>
      <c r="C217" s="174"/>
      <c r="D217" s="171" t="s">
        <v>50</v>
      </c>
      <c r="E217" s="23">
        <v>213</v>
      </c>
      <c r="F217" s="2">
        <v>30</v>
      </c>
      <c r="G217" s="107"/>
      <c r="H217" s="2">
        <v>0</v>
      </c>
      <c r="I217" s="109">
        <v>0</v>
      </c>
      <c r="J217" s="99">
        <v>150</v>
      </c>
      <c r="K217" s="99">
        <v>150</v>
      </c>
      <c r="L217" s="101"/>
      <c r="M217" s="100">
        <v>20</v>
      </c>
      <c r="N217" s="91">
        <v>150</v>
      </c>
    </row>
    <row r="218" spans="2:14">
      <c r="B218" s="176"/>
      <c r="C218" s="174"/>
      <c r="D218" s="172"/>
      <c r="E218" s="23">
        <v>214</v>
      </c>
      <c r="F218" s="2">
        <v>57</v>
      </c>
      <c r="G218" s="107"/>
      <c r="H218" s="113">
        <v>45</v>
      </c>
      <c r="I218" s="110">
        <v>150</v>
      </c>
      <c r="J218" s="23"/>
      <c r="K218" s="99">
        <v>150</v>
      </c>
      <c r="L218" s="101"/>
      <c r="M218" s="100">
        <v>20</v>
      </c>
      <c r="N218" s="91">
        <v>150</v>
      </c>
    </row>
    <row r="219" spans="2:14">
      <c r="B219" s="176"/>
      <c r="C219" s="174"/>
      <c r="D219" s="172"/>
      <c r="E219" s="23">
        <v>215</v>
      </c>
      <c r="F219" s="2">
        <v>26</v>
      </c>
      <c r="G219" s="107"/>
      <c r="H219" s="113">
        <v>26</v>
      </c>
      <c r="I219" s="90">
        <f>I218-F219-F218</f>
        <v>67</v>
      </c>
      <c r="J219" s="99">
        <v>150</v>
      </c>
      <c r="K219" s="99">
        <v>150</v>
      </c>
      <c r="L219" s="101"/>
      <c r="M219" s="100">
        <v>20</v>
      </c>
      <c r="N219" s="91">
        <v>150</v>
      </c>
    </row>
    <row r="220" spans="2:14">
      <c r="B220" s="176"/>
      <c r="C220" s="174"/>
      <c r="D220" s="172"/>
      <c r="E220" s="23">
        <v>216</v>
      </c>
      <c r="F220" s="2">
        <v>41</v>
      </c>
      <c r="G220" s="107"/>
      <c r="H220" s="113">
        <v>41</v>
      </c>
      <c r="I220" s="90">
        <f>I219-F220</f>
        <v>26</v>
      </c>
      <c r="J220" s="99">
        <v>150</v>
      </c>
      <c r="K220" s="99">
        <v>150</v>
      </c>
      <c r="L220" s="101"/>
      <c r="M220" s="100">
        <v>20</v>
      </c>
      <c r="N220" s="91">
        <v>150</v>
      </c>
    </row>
    <row r="221" spans="2:14">
      <c r="B221" s="176"/>
      <c r="C221" s="174"/>
      <c r="D221" s="172"/>
      <c r="E221" s="23">
        <v>217</v>
      </c>
      <c r="F221" s="2">
        <v>34</v>
      </c>
      <c r="G221" s="107"/>
      <c r="H221" s="2">
        <v>0</v>
      </c>
      <c r="I221" s="109">
        <v>0</v>
      </c>
      <c r="J221" s="99">
        <v>150</v>
      </c>
      <c r="K221" s="99">
        <v>150</v>
      </c>
      <c r="L221" s="101"/>
      <c r="M221" s="100" t="str">
        <f>"10 - 10"</f>
        <v>10 - 10</v>
      </c>
      <c r="N221" s="91">
        <v>150</v>
      </c>
    </row>
    <row r="222" spans="2:14">
      <c r="B222" s="176"/>
      <c r="C222" s="174"/>
      <c r="D222" s="172"/>
      <c r="E222" s="23">
        <v>218</v>
      </c>
      <c r="F222" s="2">
        <v>39</v>
      </c>
      <c r="G222" s="107"/>
      <c r="H222" s="2">
        <v>0</v>
      </c>
      <c r="I222" s="109">
        <v>0</v>
      </c>
      <c r="J222" s="99">
        <v>150</v>
      </c>
      <c r="K222" s="99">
        <v>150</v>
      </c>
      <c r="L222" s="101"/>
      <c r="M222" s="100">
        <v>20</v>
      </c>
      <c r="N222" s="91">
        <v>150</v>
      </c>
    </row>
    <row r="223" spans="2:14">
      <c r="B223" s="176"/>
      <c r="C223" s="174"/>
      <c r="D223" s="172"/>
      <c r="E223" s="23">
        <v>219</v>
      </c>
      <c r="F223" s="2">
        <v>45</v>
      </c>
      <c r="G223" s="107"/>
      <c r="H223" s="2">
        <v>0</v>
      </c>
      <c r="I223" s="109">
        <v>0</v>
      </c>
      <c r="J223" s="99">
        <v>150</v>
      </c>
      <c r="K223" s="99">
        <v>150</v>
      </c>
      <c r="L223" s="101"/>
      <c r="M223" s="100">
        <v>20</v>
      </c>
      <c r="N223" s="91">
        <v>150</v>
      </c>
    </row>
    <row r="224" spans="2:14">
      <c r="B224" s="176"/>
      <c r="C224" s="174"/>
      <c r="D224" s="172"/>
      <c r="E224" s="23">
        <v>220</v>
      </c>
      <c r="F224" s="2">
        <v>35</v>
      </c>
      <c r="G224" s="107"/>
      <c r="H224" s="113">
        <v>3</v>
      </c>
      <c r="I224" s="109">
        <v>0</v>
      </c>
      <c r="J224" s="99">
        <v>150</v>
      </c>
      <c r="K224" s="99">
        <v>150</v>
      </c>
      <c r="L224" s="101"/>
      <c r="M224" s="100">
        <v>20</v>
      </c>
      <c r="N224" s="91">
        <v>150</v>
      </c>
    </row>
    <row r="225" spans="2:14">
      <c r="B225" s="176"/>
      <c r="C225" s="174"/>
      <c r="D225" s="172"/>
      <c r="E225" s="23">
        <v>221</v>
      </c>
      <c r="F225" s="2">
        <v>31</v>
      </c>
      <c r="G225" s="107"/>
      <c r="H225" s="113">
        <v>31</v>
      </c>
      <c r="I225" s="109">
        <v>0</v>
      </c>
      <c r="J225" s="99">
        <v>150</v>
      </c>
      <c r="K225" s="99">
        <v>150</v>
      </c>
      <c r="L225" s="101"/>
      <c r="M225" s="100">
        <v>20</v>
      </c>
      <c r="N225" s="91">
        <v>150</v>
      </c>
    </row>
    <row r="226" spans="2:14">
      <c r="B226" s="176"/>
      <c r="C226" s="174"/>
      <c r="D226" s="172"/>
      <c r="E226" s="23">
        <v>222</v>
      </c>
      <c r="F226" s="2">
        <v>34</v>
      </c>
      <c r="G226" s="107"/>
      <c r="H226" s="113">
        <v>34</v>
      </c>
      <c r="I226" s="110">
        <v>150</v>
      </c>
      <c r="J226" s="23"/>
      <c r="K226" s="99">
        <v>150</v>
      </c>
      <c r="L226" s="101"/>
      <c r="M226" s="100">
        <v>20</v>
      </c>
      <c r="N226" s="91">
        <v>150</v>
      </c>
    </row>
    <row r="227" spans="2:14">
      <c r="B227" s="176"/>
      <c r="C227" s="174"/>
      <c r="D227" s="172"/>
      <c r="E227" s="23">
        <v>223</v>
      </c>
      <c r="F227" s="2">
        <v>22</v>
      </c>
      <c r="G227" s="107"/>
      <c r="H227" s="113">
        <v>22</v>
      </c>
      <c r="I227" s="90">
        <f>I226-F227-F226</f>
        <v>94</v>
      </c>
      <c r="J227" s="99">
        <v>150</v>
      </c>
      <c r="K227" s="99">
        <v>150</v>
      </c>
      <c r="L227" s="101"/>
      <c r="M227" s="100">
        <v>20</v>
      </c>
      <c r="N227" s="91">
        <v>150</v>
      </c>
    </row>
    <row r="228" spans="2:14">
      <c r="B228" s="176"/>
      <c r="C228" s="174"/>
      <c r="D228" s="172"/>
      <c r="E228" s="23">
        <v>224</v>
      </c>
      <c r="F228" s="2">
        <v>37</v>
      </c>
      <c r="G228" s="107"/>
      <c r="H228" s="113">
        <v>20</v>
      </c>
      <c r="I228" s="90">
        <f>I227-F228</f>
        <v>57</v>
      </c>
      <c r="J228" s="99">
        <v>150</v>
      </c>
      <c r="K228" s="99">
        <v>150</v>
      </c>
      <c r="L228" s="101"/>
      <c r="M228" s="100">
        <v>20</v>
      </c>
      <c r="N228" s="91">
        <v>150</v>
      </c>
    </row>
    <row r="229" spans="2:14">
      <c r="B229" s="176"/>
      <c r="C229" s="174"/>
      <c r="D229" s="172"/>
      <c r="E229" s="23">
        <v>225</v>
      </c>
      <c r="F229" s="2">
        <v>34</v>
      </c>
      <c r="G229" s="107"/>
      <c r="H229" s="2">
        <v>0</v>
      </c>
      <c r="I229" s="90">
        <f>I228-F229</f>
        <v>23</v>
      </c>
      <c r="J229" s="99">
        <v>150</v>
      </c>
      <c r="K229" s="99">
        <v>150</v>
      </c>
      <c r="L229" s="101"/>
      <c r="M229" s="100">
        <v>20</v>
      </c>
      <c r="N229" s="91">
        <v>150</v>
      </c>
    </row>
    <row r="230" spans="2:14">
      <c r="B230" s="176"/>
      <c r="C230" s="174"/>
      <c r="D230" s="172"/>
      <c r="E230" s="23">
        <v>226</v>
      </c>
      <c r="F230" s="2">
        <v>52</v>
      </c>
      <c r="G230" s="107"/>
      <c r="H230" s="2">
        <v>0</v>
      </c>
      <c r="I230" s="109">
        <v>0</v>
      </c>
      <c r="J230" s="99">
        <v>150</v>
      </c>
      <c r="K230" s="99">
        <v>150</v>
      </c>
      <c r="L230" s="101"/>
      <c r="M230" s="100">
        <v>20</v>
      </c>
      <c r="N230" s="91">
        <v>150</v>
      </c>
    </row>
    <row r="231" spans="2:14">
      <c r="B231" s="176"/>
      <c r="C231" s="174"/>
      <c r="D231" s="172"/>
      <c r="E231" s="23">
        <v>227</v>
      </c>
      <c r="F231" s="2">
        <v>39</v>
      </c>
      <c r="G231" s="107"/>
      <c r="H231" s="2">
        <v>0</v>
      </c>
      <c r="I231" s="109">
        <v>0</v>
      </c>
      <c r="J231" s="99">
        <v>150</v>
      </c>
      <c r="K231" s="99">
        <v>150</v>
      </c>
      <c r="L231" s="101"/>
      <c r="M231" s="100">
        <v>20</v>
      </c>
      <c r="N231" s="91">
        <v>150</v>
      </c>
    </row>
    <row r="232" spans="2:14">
      <c r="B232" s="176"/>
      <c r="C232" s="174"/>
      <c r="D232" s="172"/>
      <c r="E232" s="23">
        <v>228</v>
      </c>
      <c r="F232" s="2">
        <v>29</v>
      </c>
      <c r="G232" s="107"/>
      <c r="H232" s="113">
        <v>21</v>
      </c>
      <c r="I232" s="109">
        <v>0</v>
      </c>
      <c r="J232" s="99">
        <v>150</v>
      </c>
      <c r="K232" s="99">
        <v>150</v>
      </c>
      <c r="L232" s="101"/>
      <c r="M232" s="100">
        <v>20</v>
      </c>
      <c r="N232" s="91">
        <v>150</v>
      </c>
    </row>
    <row r="233" spans="2:14">
      <c r="B233" s="176"/>
      <c r="C233" s="174"/>
      <c r="D233" s="172"/>
      <c r="E233" s="23">
        <v>229</v>
      </c>
      <c r="F233" s="2">
        <v>32</v>
      </c>
      <c r="G233" s="107"/>
      <c r="H233" s="113">
        <v>32</v>
      </c>
      <c r="I233" s="109">
        <v>0</v>
      </c>
      <c r="J233" s="99">
        <v>150</v>
      </c>
      <c r="K233" s="99">
        <v>150</v>
      </c>
      <c r="L233" s="101"/>
      <c r="M233" s="100">
        <v>20</v>
      </c>
      <c r="N233" s="91">
        <v>150</v>
      </c>
    </row>
    <row r="234" spans="2:14">
      <c r="B234" s="176"/>
      <c r="C234" s="174"/>
      <c r="D234" s="172"/>
      <c r="E234" s="23">
        <v>230</v>
      </c>
      <c r="F234" s="2">
        <v>42</v>
      </c>
      <c r="G234" s="107"/>
      <c r="H234" s="113">
        <v>42</v>
      </c>
      <c r="I234" s="110">
        <v>150</v>
      </c>
      <c r="J234" s="23"/>
      <c r="K234" s="99">
        <v>150</v>
      </c>
      <c r="L234" s="101"/>
      <c r="M234" s="100">
        <v>20</v>
      </c>
      <c r="N234" s="91">
        <v>150</v>
      </c>
    </row>
    <row r="235" spans="2:14">
      <c r="B235" s="176"/>
      <c r="C235" s="174"/>
      <c r="D235" s="172"/>
      <c r="E235" s="23">
        <v>231</v>
      </c>
      <c r="F235" s="2">
        <v>40</v>
      </c>
      <c r="G235" s="107"/>
      <c r="H235" s="113">
        <v>40</v>
      </c>
      <c r="I235" s="90">
        <f>I234-F235-F234</f>
        <v>68</v>
      </c>
      <c r="J235" s="99">
        <v>150</v>
      </c>
      <c r="K235" s="99">
        <v>150</v>
      </c>
      <c r="L235" s="47"/>
      <c r="M235" s="100">
        <v>20</v>
      </c>
      <c r="N235" s="91">
        <v>150</v>
      </c>
    </row>
    <row r="236" spans="2:14">
      <c r="B236" s="176"/>
      <c r="C236" s="174"/>
      <c r="D236" s="172"/>
      <c r="E236" s="23">
        <v>232</v>
      </c>
      <c r="F236" s="2">
        <v>33</v>
      </c>
      <c r="G236" s="107"/>
      <c r="H236" s="2">
        <v>0</v>
      </c>
      <c r="I236" s="90">
        <f>I235-F236</f>
        <v>35</v>
      </c>
      <c r="J236" s="99">
        <v>150</v>
      </c>
      <c r="K236" s="99">
        <v>150</v>
      </c>
      <c r="L236" s="101"/>
      <c r="M236" s="100" t="str">
        <f>"10 - 10"</f>
        <v>10 - 10</v>
      </c>
      <c r="N236" s="91">
        <v>150</v>
      </c>
    </row>
    <row r="237" spans="2:14">
      <c r="B237" s="176"/>
      <c r="C237" s="174"/>
      <c r="D237" s="172"/>
      <c r="E237" s="23">
        <v>233</v>
      </c>
      <c r="F237" s="2">
        <v>41</v>
      </c>
      <c r="G237" s="107"/>
      <c r="H237" s="2">
        <v>0</v>
      </c>
      <c r="I237" s="109">
        <v>0</v>
      </c>
      <c r="J237" s="99">
        <v>150</v>
      </c>
      <c r="K237" s="99">
        <v>150</v>
      </c>
      <c r="L237" s="101"/>
      <c r="M237" s="100">
        <v>20</v>
      </c>
      <c r="N237" s="91">
        <v>150</v>
      </c>
    </row>
    <row r="238" spans="2:14">
      <c r="B238" s="176"/>
      <c r="C238" s="174"/>
      <c r="D238" s="172"/>
      <c r="E238" s="23">
        <v>234</v>
      </c>
      <c r="F238" s="2">
        <v>37</v>
      </c>
      <c r="G238" s="107"/>
      <c r="H238" s="2">
        <v>0</v>
      </c>
      <c r="I238" s="109">
        <v>0</v>
      </c>
      <c r="J238" s="99">
        <v>150</v>
      </c>
      <c r="K238" s="99">
        <v>150</v>
      </c>
      <c r="L238" s="101"/>
      <c r="M238" s="100">
        <v>20</v>
      </c>
      <c r="N238" s="91">
        <v>150</v>
      </c>
    </row>
    <row r="239" spans="2:14">
      <c r="B239" s="176"/>
      <c r="C239" s="174"/>
      <c r="D239" s="172"/>
      <c r="E239" s="23">
        <v>235</v>
      </c>
      <c r="F239" s="2">
        <v>34</v>
      </c>
      <c r="G239" s="107"/>
      <c r="H239" s="2">
        <v>0</v>
      </c>
      <c r="I239" s="109">
        <v>0</v>
      </c>
      <c r="J239" s="99">
        <v>150</v>
      </c>
      <c r="K239" s="99">
        <v>150</v>
      </c>
      <c r="L239" s="101"/>
      <c r="M239" s="100">
        <v>20</v>
      </c>
      <c r="N239" s="91">
        <v>150</v>
      </c>
    </row>
    <row r="240" spans="2:14">
      <c r="B240" s="176"/>
      <c r="C240" s="174"/>
      <c r="D240" s="172"/>
      <c r="E240" s="23">
        <v>236</v>
      </c>
      <c r="F240" s="2">
        <v>44</v>
      </c>
      <c r="G240" s="107"/>
      <c r="H240" s="113">
        <v>39</v>
      </c>
      <c r="I240" s="109">
        <v>0</v>
      </c>
      <c r="J240" s="99">
        <v>150</v>
      </c>
      <c r="K240" s="99">
        <v>150</v>
      </c>
      <c r="L240" s="101"/>
      <c r="M240" s="100">
        <v>20</v>
      </c>
      <c r="N240" s="91">
        <v>150</v>
      </c>
    </row>
    <row r="241" spans="2:14">
      <c r="B241" s="176"/>
      <c r="C241" s="174"/>
      <c r="D241" s="172"/>
      <c r="E241" s="23">
        <v>237</v>
      </c>
      <c r="F241" s="2">
        <v>32</v>
      </c>
      <c r="G241" s="107"/>
      <c r="H241" s="113">
        <v>32</v>
      </c>
      <c r="I241" s="109">
        <v>0</v>
      </c>
      <c r="J241" s="99">
        <v>150</v>
      </c>
      <c r="K241" s="99">
        <v>150</v>
      </c>
      <c r="L241" s="101"/>
      <c r="M241" s="100">
        <v>20</v>
      </c>
      <c r="N241" s="91">
        <v>150</v>
      </c>
    </row>
    <row r="242" spans="2:14">
      <c r="B242" s="176"/>
      <c r="C242" s="174"/>
      <c r="D242" s="172"/>
      <c r="E242" s="23">
        <v>238</v>
      </c>
      <c r="F242" s="2">
        <v>39</v>
      </c>
      <c r="G242" s="107"/>
      <c r="H242" s="113">
        <v>39</v>
      </c>
      <c r="I242" s="110">
        <v>150</v>
      </c>
      <c r="J242" s="23"/>
      <c r="K242" s="99">
        <v>150</v>
      </c>
      <c r="L242" s="101"/>
      <c r="M242" s="100">
        <v>20</v>
      </c>
      <c r="N242" s="91">
        <v>150</v>
      </c>
    </row>
    <row r="243" spans="2:14">
      <c r="B243" s="176"/>
      <c r="C243" s="174"/>
      <c r="D243" s="172"/>
      <c r="E243" s="23">
        <v>239</v>
      </c>
      <c r="F243" s="2">
        <v>37</v>
      </c>
      <c r="G243" s="107"/>
      <c r="H243" s="113">
        <v>19</v>
      </c>
      <c r="I243" s="90">
        <f>I242-F243-F242</f>
        <v>74</v>
      </c>
      <c r="J243" s="99">
        <v>150</v>
      </c>
      <c r="K243" s="99">
        <v>150</v>
      </c>
      <c r="L243" s="101"/>
      <c r="M243" s="100">
        <v>20</v>
      </c>
      <c r="N243" s="91">
        <v>150</v>
      </c>
    </row>
    <row r="244" spans="2:14">
      <c r="B244" s="176"/>
      <c r="C244" s="174"/>
      <c r="D244" s="172"/>
      <c r="E244" s="23">
        <v>240</v>
      </c>
      <c r="F244" s="2">
        <v>36</v>
      </c>
      <c r="G244" s="107"/>
      <c r="H244" s="2">
        <v>0</v>
      </c>
      <c r="I244" s="90">
        <f>I243-F244</f>
        <v>38</v>
      </c>
      <c r="J244" s="99">
        <v>150</v>
      </c>
      <c r="K244" s="99">
        <v>150</v>
      </c>
      <c r="L244" s="101"/>
      <c r="M244" s="100">
        <v>20</v>
      </c>
      <c r="N244" s="91">
        <v>150</v>
      </c>
    </row>
    <row r="245" spans="2:14">
      <c r="B245" s="176"/>
      <c r="C245" s="174"/>
      <c r="D245" s="172"/>
      <c r="E245" s="23">
        <v>241</v>
      </c>
      <c r="F245" s="2">
        <v>39</v>
      </c>
      <c r="G245" s="107"/>
      <c r="H245" s="2">
        <v>0</v>
      </c>
      <c r="I245" s="109">
        <v>0</v>
      </c>
      <c r="J245" s="99">
        <v>150</v>
      </c>
      <c r="K245" s="99">
        <v>150</v>
      </c>
      <c r="L245" s="101"/>
      <c r="M245" s="100">
        <v>20</v>
      </c>
      <c r="N245" s="91">
        <v>150</v>
      </c>
    </row>
    <row r="246" spans="2:14">
      <c r="B246" s="176"/>
      <c r="C246" s="174"/>
      <c r="D246" s="172"/>
      <c r="E246" s="23">
        <v>242</v>
      </c>
      <c r="F246" s="2">
        <v>41</v>
      </c>
      <c r="G246" s="107"/>
      <c r="H246" s="2">
        <v>0</v>
      </c>
      <c r="I246" s="109">
        <v>0</v>
      </c>
      <c r="J246" s="99">
        <v>150</v>
      </c>
      <c r="K246" s="99">
        <v>150</v>
      </c>
      <c r="L246" s="101"/>
      <c r="M246" s="100">
        <v>20</v>
      </c>
      <c r="N246" s="91">
        <v>150</v>
      </c>
    </row>
    <row r="247" spans="2:14">
      <c r="B247" s="176"/>
      <c r="C247" s="174"/>
      <c r="D247" s="173"/>
      <c r="E247" s="23">
        <v>243</v>
      </c>
      <c r="F247" s="2">
        <v>38</v>
      </c>
      <c r="G247" s="107"/>
      <c r="H247" s="113">
        <v>22</v>
      </c>
      <c r="I247" s="109">
        <v>0</v>
      </c>
      <c r="J247" s="99">
        <v>150</v>
      </c>
      <c r="K247" s="99">
        <v>150</v>
      </c>
      <c r="L247" s="101"/>
      <c r="M247" s="100">
        <v>20</v>
      </c>
      <c r="N247" s="91">
        <v>150</v>
      </c>
    </row>
    <row r="248" spans="2:14">
      <c r="B248" s="176"/>
      <c r="C248" s="174"/>
      <c r="D248" s="171" t="s">
        <v>51</v>
      </c>
      <c r="E248" s="23">
        <v>244</v>
      </c>
      <c r="F248" s="2">
        <v>22</v>
      </c>
      <c r="G248" s="107"/>
      <c r="H248" s="113">
        <v>22</v>
      </c>
      <c r="I248" s="109">
        <v>0</v>
      </c>
      <c r="J248" s="99">
        <v>150</v>
      </c>
      <c r="K248" s="99">
        <v>150</v>
      </c>
      <c r="L248" s="101"/>
      <c r="M248" s="100">
        <v>20</v>
      </c>
      <c r="N248" s="91">
        <v>150</v>
      </c>
    </row>
    <row r="249" spans="2:14">
      <c r="B249" s="176"/>
      <c r="C249" s="174"/>
      <c r="D249" s="172"/>
      <c r="E249" s="23">
        <v>245</v>
      </c>
      <c r="F249" s="2">
        <v>39</v>
      </c>
      <c r="G249" s="107"/>
      <c r="H249" s="113">
        <v>39</v>
      </c>
      <c r="I249" s="109">
        <v>0</v>
      </c>
      <c r="J249" s="99">
        <v>150</v>
      </c>
      <c r="K249" s="99">
        <v>150</v>
      </c>
      <c r="L249" s="101"/>
      <c r="M249" s="100">
        <v>20</v>
      </c>
      <c r="N249" s="91">
        <v>150</v>
      </c>
    </row>
    <row r="250" spans="2:14">
      <c r="B250" s="176"/>
      <c r="C250" s="174"/>
      <c r="D250" s="172"/>
      <c r="E250" s="23">
        <v>246</v>
      </c>
      <c r="F250" s="2">
        <v>21</v>
      </c>
      <c r="G250" s="107"/>
      <c r="H250" s="113">
        <v>21</v>
      </c>
      <c r="I250" s="110">
        <v>150</v>
      </c>
      <c r="J250" s="23"/>
      <c r="K250" s="99">
        <v>150</v>
      </c>
      <c r="L250" s="101"/>
      <c r="M250" s="100">
        <v>20</v>
      </c>
      <c r="N250" s="91">
        <v>150</v>
      </c>
    </row>
    <row r="251" spans="2:14">
      <c r="B251" s="176"/>
      <c r="C251" s="174"/>
      <c r="D251" s="172"/>
      <c r="E251" s="23">
        <v>247</v>
      </c>
      <c r="F251" s="2">
        <v>35</v>
      </c>
      <c r="G251" s="107"/>
      <c r="H251" s="2">
        <v>0</v>
      </c>
      <c r="I251" s="90">
        <f>I250-F251-F250</f>
        <v>94</v>
      </c>
      <c r="J251" s="99">
        <v>150</v>
      </c>
      <c r="K251" s="99">
        <v>150</v>
      </c>
      <c r="L251" s="101"/>
      <c r="M251" s="100" t="str">
        <f>"10 - 10"</f>
        <v>10 - 10</v>
      </c>
      <c r="N251" s="91">
        <v>150</v>
      </c>
    </row>
    <row r="252" spans="2:14">
      <c r="B252" s="176"/>
      <c r="C252" s="174"/>
      <c r="D252" s="172"/>
      <c r="E252" s="23">
        <v>248</v>
      </c>
      <c r="F252" s="2">
        <v>32</v>
      </c>
      <c r="G252" s="107"/>
      <c r="H252" s="2">
        <v>0</v>
      </c>
      <c r="I252" s="90">
        <f>I251-F252</f>
        <v>62</v>
      </c>
      <c r="J252" s="99">
        <v>150</v>
      </c>
      <c r="K252" s="99">
        <v>150</v>
      </c>
      <c r="L252" s="101"/>
      <c r="M252" s="100">
        <v>20</v>
      </c>
      <c r="N252" s="91">
        <v>150</v>
      </c>
    </row>
    <row r="253" spans="2:14">
      <c r="B253" s="176"/>
      <c r="C253" s="174"/>
      <c r="D253" s="172"/>
      <c r="E253" s="23">
        <v>249</v>
      </c>
      <c r="F253" s="2">
        <v>37</v>
      </c>
      <c r="G253" s="107"/>
      <c r="H253" s="2">
        <v>0</v>
      </c>
      <c r="I253" s="90">
        <f>I252-F253</f>
        <v>25</v>
      </c>
      <c r="J253" s="99">
        <v>150</v>
      </c>
      <c r="K253" s="99">
        <v>150</v>
      </c>
      <c r="L253" s="101"/>
      <c r="M253" s="100">
        <v>20</v>
      </c>
      <c r="N253" s="91">
        <v>150</v>
      </c>
    </row>
    <row r="254" spans="2:14">
      <c r="B254" s="176"/>
      <c r="C254" s="174"/>
      <c r="D254" s="172"/>
      <c r="E254" s="23">
        <v>250</v>
      </c>
      <c r="F254" s="2">
        <v>35</v>
      </c>
      <c r="G254" s="107"/>
      <c r="H254" s="2">
        <v>0</v>
      </c>
      <c r="I254" s="109">
        <v>0</v>
      </c>
      <c r="J254" s="99">
        <v>150</v>
      </c>
      <c r="K254" s="99">
        <v>150</v>
      </c>
      <c r="L254" s="101"/>
      <c r="M254" s="100">
        <v>20</v>
      </c>
      <c r="N254" s="91">
        <v>150</v>
      </c>
    </row>
    <row r="255" spans="2:14">
      <c r="B255" s="176"/>
      <c r="C255" s="174"/>
      <c r="D255" s="172"/>
      <c r="E255" s="23">
        <v>251</v>
      </c>
      <c r="F255" s="2">
        <v>34</v>
      </c>
      <c r="G255" s="107"/>
      <c r="H255" s="113">
        <v>23</v>
      </c>
      <c r="I255" s="109">
        <v>0</v>
      </c>
      <c r="J255" s="99">
        <v>150</v>
      </c>
      <c r="K255" s="99">
        <v>150</v>
      </c>
      <c r="L255" s="101"/>
      <c r="M255" s="100">
        <v>20</v>
      </c>
      <c r="N255" s="91">
        <v>150</v>
      </c>
    </row>
    <row r="256" spans="2:14">
      <c r="B256" s="176"/>
      <c r="C256" s="174"/>
      <c r="D256" s="172"/>
      <c r="E256" s="23">
        <v>252</v>
      </c>
      <c r="F256" s="2">
        <v>39</v>
      </c>
      <c r="G256" s="107"/>
      <c r="H256" s="113">
        <v>39</v>
      </c>
      <c r="I256" s="109">
        <v>0</v>
      </c>
      <c r="J256" s="99">
        <v>150</v>
      </c>
      <c r="K256" s="99">
        <v>150</v>
      </c>
      <c r="L256" s="101"/>
      <c r="M256" s="100">
        <v>20</v>
      </c>
      <c r="N256" s="91">
        <v>150</v>
      </c>
    </row>
    <row r="257" spans="2:14">
      <c r="B257" s="176"/>
      <c r="C257" s="174"/>
      <c r="D257" s="172"/>
      <c r="E257" s="23">
        <v>253</v>
      </c>
      <c r="F257" s="2">
        <v>10</v>
      </c>
      <c r="G257" s="107"/>
      <c r="H257" s="113">
        <v>10</v>
      </c>
      <c r="I257" s="109">
        <v>0</v>
      </c>
      <c r="J257" s="99">
        <v>150</v>
      </c>
      <c r="K257" s="99">
        <v>150</v>
      </c>
      <c r="L257" s="101"/>
      <c r="M257" s="100">
        <v>20</v>
      </c>
      <c r="N257" s="91">
        <v>150</v>
      </c>
    </row>
    <row r="258" spans="2:14">
      <c r="B258" s="176"/>
      <c r="C258" s="174"/>
      <c r="D258" s="172"/>
      <c r="E258" s="23">
        <v>254</v>
      </c>
      <c r="F258" s="2">
        <v>38</v>
      </c>
      <c r="G258" s="107"/>
      <c r="H258" s="113">
        <v>21</v>
      </c>
      <c r="I258" s="110">
        <v>150</v>
      </c>
      <c r="J258" s="23"/>
      <c r="K258" s="99">
        <v>150</v>
      </c>
      <c r="L258" s="101"/>
      <c r="M258" s="100">
        <v>20</v>
      </c>
      <c r="N258" s="91">
        <v>150</v>
      </c>
    </row>
    <row r="259" spans="2:14">
      <c r="B259" s="176"/>
      <c r="C259" s="174"/>
      <c r="D259" s="172"/>
      <c r="E259" s="23">
        <v>255</v>
      </c>
      <c r="F259" s="2">
        <v>24</v>
      </c>
      <c r="G259" s="107"/>
      <c r="H259" s="2">
        <v>0</v>
      </c>
      <c r="I259" s="90">
        <f>I258-F259-F258</f>
        <v>88</v>
      </c>
      <c r="J259" s="99">
        <v>150</v>
      </c>
      <c r="K259" s="99">
        <v>150</v>
      </c>
      <c r="L259" s="101"/>
      <c r="M259" s="100">
        <v>20</v>
      </c>
      <c r="N259" s="91">
        <v>150</v>
      </c>
    </row>
    <row r="260" spans="2:14">
      <c r="B260" s="176"/>
      <c r="C260" s="174"/>
      <c r="D260" s="172"/>
      <c r="E260" s="23">
        <v>256</v>
      </c>
      <c r="F260" s="2">
        <v>37</v>
      </c>
      <c r="G260" s="107"/>
      <c r="H260" s="2">
        <v>0</v>
      </c>
      <c r="I260" s="90">
        <f>I259-F260</f>
        <v>51</v>
      </c>
      <c r="J260" s="99">
        <v>150</v>
      </c>
      <c r="K260" s="99">
        <v>150</v>
      </c>
      <c r="L260" s="101"/>
      <c r="M260" s="100">
        <v>20</v>
      </c>
      <c r="N260" s="91">
        <v>150</v>
      </c>
    </row>
    <row r="261" spans="2:14">
      <c r="B261" s="176"/>
      <c r="C261" s="174"/>
      <c r="D261" s="172"/>
      <c r="E261" s="23">
        <v>257</v>
      </c>
      <c r="F261" s="2">
        <v>34</v>
      </c>
      <c r="G261" s="107"/>
      <c r="H261" s="2">
        <v>0</v>
      </c>
      <c r="I261" s="90">
        <f>I260-F261</f>
        <v>17</v>
      </c>
      <c r="J261" s="99">
        <v>150</v>
      </c>
      <c r="K261" s="99">
        <v>150</v>
      </c>
      <c r="L261" s="101"/>
      <c r="M261" s="100">
        <v>20</v>
      </c>
      <c r="N261" s="91">
        <v>150</v>
      </c>
    </row>
    <row r="262" spans="2:14">
      <c r="B262" s="176"/>
      <c r="C262" s="174"/>
      <c r="D262" s="172"/>
      <c r="E262" s="23">
        <v>258</v>
      </c>
      <c r="F262" s="2">
        <v>47</v>
      </c>
      <c r="G262" s="107"/>
      <c r="H262" s="113">
        <v>9</v>
      </c>
      <c r="I262" s="109">
        <v>0</v>
      </c>
      <c r="J262" s="99">
        <v>150</v>
      </c>
      <c r="K262" s="99">
        <v>150</v>
      </c>
      <c r="L262" s="101"/>
      <c r="M262" s="100">
        <v>20</v>
      </c>
      <c r="N262" s="91">
        <v>150</v>
      </c>
    </row>
    <row r="263" spans="2:14">
      <c r="B263" s="176"/>
      <c r="C263" s="174"/>
      <c r="D263" s="172"/>
      <c r="E263" s="23">
        <v>259</v>
      </c>
      <c r="F263" s="2">
        <v>18</v>
      </c>
      <c r="G263" s="107"/>
      <c r="H263" s="113">
        <v>18</v>
      </c>
      <c r="I263" s="109">
        <v>0</v>
      </c>
      <c r="J263" s="99">
        <v>150</v>
      </c>
      <c r="K263" s="99">
        <v>150</v>
      </c>
      <c r="L263" s="101"/>
      <c r="M263" s="100">
        <v>20</v>
      </c>
      <c r="N263" s="91">
        <v>150</v>
      </c>
    </row>
    <row r="264" spans="2:14">
      <c r="B264" s="176"/>
      <c r="C264" s="174"/>
      <c r="D264" s="172"/>
      <c r="E264" s="23">
        <v>260</v>
      </c>
      <c r="F264" s="2">
        <v>35</v>
      </c>
      <c r="G264" s="107"/>
      <c r="H264" s="113">
        <v>35</v>
      </c>
      <c r="I264" s="109">
        <v>0</v>
      </c>
      <c r="J264" s="99">
        <v>150</v>
      </c>
      <c r="K264" s="99">
        <v>150</v>
      </c>
      <c r="L264" s="101"/>
      <c r="M264" s="100">
        <v>20</v>
      </c>
      <c r="N264" s="91">
        <v>150</v>
      </c>
    </row>
    <row r="265" spans="2:14">
      <c r="B265" s="176"/>
      <c r="C265" s="174"/>
      <c r="D265" s="172"/>
      <c r="E265" s="23">
        <v>261</v>
      </c>
      <c r="F265" s="2">
        <v>30</v>
      </c>
      <c r="G265" s="107"/>
      <c r="H265" s="113">
        <v>30</v>
      </c>
      <c r="I265" s="109">
        <v>0</v>
      </c>
      <c r="J265" s="99">
        <v>150</v>
      </c>
      <c r="K265" s="99">
        <v>150</v>
      </c>
      <c r="L265" s="101"/>
      <c r="M265" s="100">
        <v>20</v>
      </c>
      <c r="N265" s="91">
        <v>150</v>
      </c>
    </row>
    <row r="266" spans="2:14">
      <c r="B266" s="176"/>
      <c r="C266" s="174"/>
      <c r="D266" s="172"/>
      <c r="E266" s="23">
        <v>262</v>
      </c>
      <c r="F266" s="2">
        <v>36</v>
      </c>
      <c r="G266" s="107"/>
      <c r="H266" s="2">
        <v>0</v>
      </c>
      <c r="I266" s="110">
        <v>150</v>
      </c>
      <c r="J266" s="23"/>
      <c r="K266" s="99">
        <v>150</v>
      </c>
      <c r="L266" s="101"/>
      <c r="M266" s="100" t="str">
        <f>"10 - 10"</f>
        <v>10 - 10</v>
      </c>
      <c r="N266" s="91">
        <v>150</v>
      </c>
    </row>
    <row r="267" spans="2:14">
      <c r="B267" s="176"/>
      <c r="C267" s="174"/>
      <c r="D267" s="172"/>
      <c r="E267" s="23">
        <v>263</v>
      </c>
      <c r="F267" s="2">
        <v>30</v>
      </c>
      <c r="G267" s="107"/>
      <c r="H267" s="2">
        <v>0</v>
      </c>
      <c r="I267" s="90">
        <f>I266-F267-F266</f>
        <v>84</v>
      </c>
      <c r="J267" s="99">
        <v>150</v>
      </c>
      <c r="K267" s="99">
        <v>150</v>
      </c>
      <c r="L267" s="101"/>
      <c r="M267" s="100">
        <v>20</v>
      </c>
      <c r="N267" s="91">
        <v>150</v>
      </c>
    </row>
    <row r="268" spans="2:14">
      <c r="B268" s="176"/>
      <c r="C268" s="174"/>
      <c r="D268" s="172"/>
      <c r="E268" s="23">
        <v>264</v>
      </c>
      <c r="F268" s="2">
        <v>29</v>
      </c>
      <c r="G268" s="107"/>
      <c r="H268" s="2">
        <v>0</v>
      </c>
      <c r="I268" s="90">
        <f>I267-F268</f>
        <v>55</v>
      </c>
      <c r="J268" s="99">
        <v>150</v>
      </c>
      <c r="K268" s="99">
        <v>150</v>
      </c>
      <c r="L268" s="101"/>
      <c r="M268" s="100">
        <v>20</v>
      </c>
      <c r="N268" s="91">
        <v>150</v>
      </c>
    </row>
    <row r="269" spans="2:14">
      <c r="B269" s="176"/>
      <c r="C269" s="174"/>
      <c r="D269" s="172"/>
      <c r="E269" s="23">
        <v>265</v>
      </c>
      <c r="F269" s="2">
        <v>33</v>
      </c>
      <c r="G269" s="107"/>
      <c r="H269" s="2">
        <v>0</v>
      </c>
      <c r="I269" s="90">
        <f>I268-F269</f>
        <v>22</v>
      </c>
      <c r="J269" s="99">
        <v>150</v>
      </c>
      <c r="K269" s="99">
        <v>150</v>
      </c>
      <c r="L269" s="101"/>
      <c r="M269" s="100">
        <v>20</v>
      </c>
      <c r="N269" s="91">
        <v>150</v>
      </c>
    </row>
    <row r="270" spans="2:14">
      <c r="B270" s="176"/>
      <c r="C270" s="174"/>
      <c r="D270" s="172"/>
      <c r="E270" s="23">
        <v>266</v>
      </c>
      <c r="F270" s="2">
        <v>37</v>
      </c>
      <c r="G270" s="107"/>
      <c r="H270" s="113">
        <v>15</v>
      </c>
      <c r="I270" s="109">
        <v>0</v>
      </c>
      <c r="J270" s="99">
        <v>150</v>
      </c>
      <c r="K270" s="99">
        <v>150</v>
      </c>
      <c r="L270" s="101"/>
      <c r="M270" s="100">
        <v>20</v>
      </c>
      <c r="N270" s="91">
        <v>150</v>
      </c>
    </row>
    <row r="271" spans="2:14">
      <c r="B271" s="176"/>
      <c r="C271" s="174"/>
      <c r="D271" s="172"/>
      <c r="E271" s="23">
        <v>267</v>
      </c>
      <c r="F271" s="2">
        <v>39</v>
      </c>
      <c r="G271" s="107"/>
      <c r="H271" s="113">
        <v>39</v>
      </c>
      <c r="I271" s="109">
        <v>0</v>
      </c>
      <c r="J271" s="99">
        <v>150</v>
      </c>
      <c r="K271" s="99">
        <v>150</v>
      </c>
      <c r="L271" s="101"/>
      <c r="M271" s="100">
        <v>20</v>
      </c>
      <c r="N271" s="91">
        <v>150</v>
      </c>
    </row>
    <row r="272" spans="2:14">
      <c r="B272" s="176"/>
      <c r="C272" s="174"/>
      <c r="D272" s="172"/>
      <c r="E272" s="23">
        <v>268</v>
      </c>
      <c r="F272" s="2">
        <v>32</v>
      </c>
      <c r="G272" s="107"/>
      <c r="H272" s="113">
        <v>32</v>
      </c>
      <c r="I272" s="109">
        <v>0</v>
      </c>
      <c r="J272" s="99">
        <v>150</v>
      </c>
      <c r="K272" s="99">
        <v>150</v>
      </c>
      <c r="L272" s="101"/>
      <c r="M272" s="100">
        <v>20</v>
      </c>
      <c r="N272" s="91">
        <v>150</v>
      </c>
    </row>
    <row r="273" spans="2:14">
      <c r="B273" s="176"/>
      <c r="C273" s="174"/>
      <c r="D273" s="172"/>
      <c r="E273" s="23">
        <v>269</v>
      </c>
      <c r="F273" s="2">
        <v>34</v>
      </c>
      <c r="G273" s="107"/>
      <c r="H273" s="113">
        <v>19</v>
      </c>
      <c r="I273" s="109">
        <v>0</v>
      </c>
      <c r="J273" s="99">
        <v>150</v>
      </c>
      <c r="K273" s="99">
        <v>150</v>
      </c>
      <c r="L273" s="101"/>
      <c r="M273" s="100">
        <v>20</v>
      </c>
      <c r="N273" s="91">
        <v>150</v>
      </c>
    </row>
    <row r="274" spans="2:14">
      <c r="B274" s="176"/>
      <c r="C274" s="174"/>
      <c r="D274" s="172"/>
      <c r="E274" s="23">
        <v>270</v>
      </c>
      <c r="F274" s="2">
        <v>21</v>
      </c>
      <c r="G274" s="107"/>
      <c r="H274" s="2">
        <v>0</v>
      </c>
      <c r="I274" s="110">
        <v>150</v>
      </c>
      <c r="J274" s="23"/>
      <c r="K274" s="99">
        <v>150</v>
      </c>
      <c r="L274" s="101"/>
      <c r="M274" s="100">
        <v>20</v>
      </c>
      <c r="N274" s="91">
        <v>150</v>
      </c>
    </row>
    <row r="275" spans="2:14">
      <c r="B275" s="176"/>
      <c r="C275" s="174"/>
      <c r="D275" s="172"/>
      <c r="E275" s="23">
        <v>271</v>
      </c>
      <c r="F275" s="2">
        <v>32</v>
      </c>
      <c r="G275" s="107"/>
      <c r="H275" s="2">
        <v>0</v>
      </c>
      <c r="I275" s="90">
        <f>I274-F275-F274</f>
        <v>97</v>
      </c>
      <c r="J275" s="99">
        <v>150</v>
      </c>
      <c r="K275" s="99">
        <v>150</v>
      </c>
      <c r="L275" s="47"/>
      <c r="M275" s="100">
        <v>20</v>
      </c>
      <c r="N275" s="91">
        <v>150</v>
      </c>
    </row>
    <row r="276" spans="2:14">
      <c r="B276" s="176"/>
      <c r="C276" s="174"/>
      <c r="D276" s="172"/>
      <c r="E276" s="23">
        <v>272</v>
      </c>
      <c r="F276" s="2">
        <v>35</v>
      </c>
      <c r="G276" s="107"/>
      <c r="H276" s="2">
        <v>0</v>
      </c>
      <c r="I276" s="90">
        <f>I275-F276</f>
        <v>62</v>
      </c>
      <c r="J276" s="99">
        <v>150</v>
      </c>
      <c r="K276" s="99">
        <v>150</v>
      </c>
      <c r="L276" s="101"/>
      <c r="M276" s="100">
        <v>20</v>
      </c>
      <c r="N276" s="91">
        <v>150</v>
      </c>
    </row>
    <row r="277" spans="2:14">
      <c r="B277" s="176"/>
      <c r="C277" s="174"/>
      <c r="D277" s="173"/>
      <c r="E277" s="23">
        <v>273</v>
      </c>
      <c r="F277" s="2">
        <v>42</v>
      </c>
      <c r="G277" s="107"/>
      <c r="H277" s="2">
        <v>0</v>
      </c>
      <c r="I277" s="90">
        <f>I276-F277</f>
        <v>20</v>
      </c>
      <c r="J277" s="99">
        <v>150</v>
      </c>
      <c r="K277" s="99">
        <v>150</v>
      </c>
      <c r="L277" s="101"/>
      <c r="M277" s="100">
        <v>20</v>
      </c>
      <c r="N277" s="91">
        <v>150</v>
      </c>
    </row>
    <row r="278" spans="2:14">
      <c r="B278" s="176"/>
      <c r="C278" s="174" t="s">
        <v>52</v>
      </c>
      <c r="D278" s="171" t="s">
        <v>53</v>
      </c>
      <c r="E278" s="23">
        <v>274</v>
      </c>
      <c r="F278" s="2">
        <v>40</v>
      </c>
      <c r="G278" s="107"/>
      <c r="H278" s="2">
        <v>35</v>
      </c>
      <c r="I278" s="109">
        <v>0</v>
      </c>
      <c r="J278" s="99">
        <v>150</v>
      </c>
      <c r="K278" s="99">
        <v>150</v>
      </c>
      <c r="L278" s="101"/>
      <c r="M278" s="100">
        <v>20</v>
      </c>
      <c r="N278" s="91">
        <v>150</v>
      </c>
    </row>
    <row r="279" spans="2:14">
      <c r="B279" s="176"/>
      <c r="C279" s="174"/>
      <c r="D279" s="172"/>
      <c r="E279" s="23">
        <v>275</v>
      </c>
      <c r="F279" s="2">
        <v>34</v>
      </c>
      <c r="G279" s="107"/>
      <c r="H279" s="113">
        <v>34</v>
      </c>
      <c r="I279" s="109">
        <v>0</v>
      </c>
      <c r="J279" s="99">
        <v>150</v>
      </c>
      <c r="K279" s="99">
        <v>150</v>
      </c>
      <c r="L279" s="101"/>
      <c r="M279" s="100">
        <v>20</v>
      </c>
      <c r="N279" s="91">
        <v>150</v>
      </c>
    </row>
    <row r="280" spans="2:14">
      <c r="B280" s="176"/>
      <c r="C280" s="174"/>
      <c r="D280" s="172"/>
      <c r="E280" s="23">
        <v>276</v>
      </c>
      <c r="F280" s="2">
        <v>37</v>
      </c>
      <c r="G280" s="107"/>
      <c r="H280" s="113">
        <v>37</v>
      </c>
      <c r="I280" s="109">
        <v>0</v>
      </c>
      <c r="J280" s="99">
        <v>150</v>
      </c>
      <c r="K280" s="99">
        <v>150</v>
      </c>
      <c r="L280" s="101"/>
      <c r="M280" s="100">
        <v>20</v>
      </c>
      <c r="N280" s="91">
        <v>150</v>
      </c>
    </row>
    <row r="281" spans="2:14">
      <c r="B281" s="176"/>
      <c r="C281" s="174"/>
      <c r="D281" s="172"/>
      <c r="E281" s="23">
        <v>277</v>
      </c>
      <c r="F281" s="2">
        <v>27</v>
      </c>
      <c r="G281" s="107"/>
      <c r="H281" s="2">
        <v>0</v>
      </c>
      <c r="I281" s="109">
        <v>0</v>
      </c>
      <c r="J281" s="99">
        <v>150</v>
      </c>
      <c r="K281" s="99">
        <v>150</v>
      </c>
      <c r="L281" s="101"/>
      <c r="M281" s="100" t="str">
        <f>"10 - 10"</f>
        <v>10 - 10</v>
      </c>
      <c r="N281" s="91">
        <v>150</v>
      </c>
    </row>
    <row r="282" spans="2:14">
      <c r="B282" s="176"/>
      <c r="C282" s="174"/>
      <c r="D282" s="172"/>
      <c r="E282" s="23">
        <v>278</v>
      </c>
      <c r="F282" s="2">
        <v>20</v>
      </c>
      <c r="G282" s="107"/>
      <c r="H282" s="2">
        <v>0</v>
      </c>
      <c r="I282" s="110">
        <v>150</v>
      </c>
      <c r="J282" s="23"/>
      <c r="K282" s="99">
        <v>150</v>
      </c>
      <c r="L282" s="101"/>
      <c r="M282" s="100">
        <v>20</v>
      </c>
      <c r="N282" s="91">
        <v>150</v>
      </c>
    </row>
    <row r="283" spans="2:14">
      <c r="B283" s="176"/>
      <c r="C283" s="174"/>
      <c r="D283" s="172"/>
      <c r="E283" s="23">
        <v>279</v>
      </c>
      <c r="F283" s="2">
        <v>26</v>
      </c>
      <c r="G283" s="107"/>
      <c r="H283" s="2">
        <v>0</v>
      </c>
      <c r="I283" s="90">
        <f>I282-F283-F282</f>
        <v>104</v>
      </c>
      <c r="J283" s="99">
        <v>150</v>
      </c>
      <c r="K283" s="99">
        <v>150</v>
      </c>
      <c r="L283" s="101"/>
      <c r="M283" s="100">
        <v>20</v>
      </c>
      <c r="N283" s="91">
        <v>150</v>
      </c>
    </row>
    <row r="284" spans="2:14">
      <c r="B284" s="176"/>
      <c r="C284" s="174"/>
      <c r="D284" s="172"/>
      <c r="E284" s="23">
        <v>280</v>
      </c>
      <c r="F284" s="2">
        <v>25</v>
      </c>
      <c r="G284" s="107"/>
      <c r="H284" s="2">
        <v>0</v>
      </c>
      <c r="I284" s="90">
        <f>I283-F284</f>
        <v>79</v>
      </c>
      <c r="J284" s="99">
        <v>150</v>
      </c>
      <c r="K284" s="99">
        <v>150</v>
      </c>
      <c r="L284" s="101"/>
      <c r="M284" s="100">
        <v>20</v>
      </c>
      <c r="N284" s="91">
        <v>150</v>
      </c>
    </row>
    <row r="285" spans="2:14">
      <c r="B285" s="176"/>
      <c r="C285" s="174"/>
      <c r="D285" s="172"/>
      <c r="E285" s="23">
        <v>281</v>
      </c>
      <c r="F285" s="2">
        <v>41</v>
      </c>
      <c r="G285" s="107"/>
      <c r="H285" s="2">
        <v>0</v>
      </c>
      <c r="I285" s="90">
        <f>I284-F285</f>
        <v>38</v>
      </c>
      <c r="J285" s="99">
        <v>150</v>
      </c>
      <c r="K285" s="99">
        <v>150</v>
      </c>
      <c r="L285" s="101"/>
      <c r="M285" s="100">
        <v>20</v>
      </c>
      <c r="N285" s="91">
        <v>150</v>
      </c>
    </row>
    <row r="286" spans="2:14">
      <c r="B286" s="176"/>
      <c r="C286" s="174"/>
      <c r="D286" s="172"/>
      <c r="E286" s="23">
        <v>282</v>
      </c>
      <c r="F286" s="2">
        <v>38</v>
      </c>
      <c r="G286" s="107"/>
      <c r="H286" s="113">
        <v>27</v>
      </c>
      <c r="I286" s="109">
        <v>0</v>
      </c>
      <c r="J286" s="99">
        <v>150</v>
      </c>
      <c r="K286" s="99">
        <v>150</v>
      </c>
      <c r="L286" s="101"/>
      <c r="M286" s="100">
        <v>20</v>
      </c>
      <c r="N286" s="91">
        <v>150</v>
      </c>
    </row>
    <row r="287" spans="2:14">
      <c r="B287" s="176"/>
      <c r="C287" s="174"/>
      <c r="D287" s="172"/>
      <c r="E287" s="23">
        <v>283</v>
      </c>
      <c r="F287" s="2">
        <v>48</v>
      </c>
      <c r="G287" s="107"/>
      <c r="H287" s="113">
        <v>48</v>
      </c>
      <c r="I287" s="109">
        <v>0</v>
      </c>
      <c r="J287" s="99">
        <v>150</v>
      </c>
      <c r="K287" s="99">
        <v>150</v>
      </c>
      <c r="L287" s="101"/>
      <c r="M287" s="100">
        <v>20</v>
      </c>
      <c r="N287" s="91">
        <v>150</v>
      </c>
    </row>
    <row r="288" spans="2:14">
      <c r="B288" s="176"/>
      <c r="C288" s="174"/>
      <c r="D288" s="172"/>
      <c r="E288" s="23">
        <v>284</v>
      </c>
      <c r="F288" s="2">
        <v>34</v>
      </c>
      <c r="G288" s="107"/>
      <c r="H288" s="113">
        <v>16</v>
      </c>
      <c r="I288" s="109">
        <v>0</v>
      </c>
      <c r="J288" s="99">
        <v>150</v>
      </c>
      <c r="K288" s="99">
        <v>150</v>
      </c>
      <c r="L288" s="101"/>
      <c r="M288" s="100">
        <v>20</v>
      </c>
      <c r="N288" s="91">
        <v>150</v>
      </c>
    </row>
    <row r="289" spans="2:14">
      <c r="B289" s="176"/>
      <c r="C289" s="174"/>
      <c r="D289" s="172"/>
      <c r="E289" s="23">
        <v>285</v>
      </c>
      <c r="F289" s="2">
        <v>24</v>
      </c>
      <c r="G289" s="107"/>
      <c r="H289" s="2">
        <v>0</v>
      </c>
      <c r="I289" s="109">
        <v>0</v>
      </c>
      <c r="J289" s="99">
        <v>150</v>
      </c>
      <c r="K289" s="99">
        <v>150</v>
      </c>
      <c r="L289" s="101"/>
      <c r="M289" s="100">
        <v>20</v>
      </c>
      <c r="N289" s="91">
        <v>150</v>
      </c>
    </row>
    <row r="290" spans="2:14">
      <c r="B290" s="176"/>
      <c r="C290" s="174"/>
      <c r="D290" s="172"/>
      <c r="E290" s="23">
        <v>286</v>
      </c>
      <c r="F290" s="2">
        <v>43</v>
      </c>
      <c r="G290" s="107"/>
      <c r="H290" s="2">
        <v>0</v>
      </c>
      <c r="I290" s="110">
        <v>150</v>
      </c>
      <c r="J290" s="23"/>
      <c r="K290" s="99">
        <v>150</v>
      </c>
      <c r="L290" s="101"/>
      <c r="M290" s="100">
        <v>20</v>
      </c>
      <c r="N290" s="91">
        <v>150</v>
      </c>
    </row>
    <row r="291" spans="2:14">
      <c r="B291" s="176"/>
      <c r="C291" s="174"/>
      <c r="D291" s="172"/>
      <c r="E291" s="23">
        <v>287</v>
      </c>
      <c r="F291" s="2">
        <v>35</v>
      </c>
      <c r="G291" s="107"/>
      <c r="H291" s="2">
        <v>0</v>
      </c>
      <c r="I291" s="90">
        <f>I290-F291-F290</f>
        <v>72</v>
      </c>
      <c r="J291" s="99">
        <v>150</v>
      </c>
      <c r="K291" s="99">
        <v>150</v>
      </c>
      <c r="L291" s="101"/>
      <c r="M291" s="100">
        <v>20</v>
      </c>
      <c r="N291" s="91">
        <v>150</v>
      </c>
    </row>
    <row r="292" spans="2:14">
      <c r="B292" s="176"/>
      <c r="C292" s="174"/>
      <c r="D292" s="172"/>
      <c r="E292" s="23">
        <v>288</v>
      </c>
      <c r="F292" s="2">
        <v>24</v>
      </c>
      <c r="G292" s="107"/>
      <c r="H292" s="2">
        <v>0</v>
      </c>
      <c r="I292" s="90">
        <f>I291-F292</f>
        <v>48</v>
      </c>
      <c r="J292" s="99">
        <v>150</v>
      </c>
      <c r="K292" s="99">
        <v>150</v>
      </c>
      <c r="L292" s="101"/>
      <c r="M292" s="100">
        <v>20</v>
      </c>
      <c r="N292" s="91">
        <v>150</v>
      </c>
    </row>
    <row r="293" spans="2:14">
      <c r="B293" s="176"/>
      <c r="C293" s="174"/>
      <c r="D293" s="172"/>
      <c r="E293" s="23">
        <v>289</v>
      </c>
      <c r="F293" s="2">
        <v>34</v>
      </c>
      <c r="G293" s="107"/>
      <c r="H293" s="113">
        <v>28</v>
      </c>
      <c r="I293" s="90">
        <f>I292-F293</f>
        <v>14</v>
      </c>
      <c r="J293" s="99">
        <v>150</v>
      </c>
      <c r="K293" s="99">
        <v>150</v>
      </c>
      <c r="L293" s="101"/>
      <c r="M293" s="100">
        <v>20</v>
      </c>
      <c r="N293" s="91">
        <v>150</v>
      </c>
    </row>
    <row r="294" spans="2:14">
      <c r="B294" s="176"/>
      <c r="C294" s="174"/>
      <c r="D294" s="172"/>
      <c r="E294" s="23">
        <v>290</v>
      </c>
      <c r="F294" s="2">
        <v>37</v>
      </c>
      <c r="G294" s="107"/>
      <c r="H294" s="113">
        <v>37</v>
      </c>
      <c r="I294" s="109">
        <v>0</v>
      </c>
      <c r="J294" s="99">
        <v>150</v>
      </c>
      <c r="K294" s="99">
        <v>150</v>
      </c>
      <c r="L294" s="101"/>
      <c r="M294" s="100">
        <v>20</v>
      </c>
      <c r="N294" s="91">
        <v>150</v>
      </c>
    </row>
    <row r="295" spans="2:14">
      <c r="B295" s="176"/>
      <c r="C295" s="174"/>
      <c r="D295" s="172"/>
      <c r="E295" s="23">
        <v>291</v>
      </c>
      <c r="F295" s="2">
        <v>24</v>
      </c>
      <c r="G295" s="107"/>
      <c r="H295" s="113">
        <v>24</v>
      </c>
      <c r="I295" s="109">
        <v>0</v>
      </c>
      <c r="J295" s="99">
        <v>150</v>
      </c>
      <c r="K295" s="99">
        <v>150</v>
      </c>
      <c r="L295" s="101"/>
      <c r="M295" s="100">
        <v>20</v>
      </c>
      <c r="N295" s="91">
        <v>150</v>
      </c>
    </row>
    <row r="296" spans="2:14">
      <c r="B296" s="176"/>
      <c r="C296" s="174"/>
      <c r="D296" s="172"/>
      <c r="E296" s="23">
        <v>292</v>
      </c>
      <c r="F296" s="2">
        <v>42</v>
      </c>
      <c r="G296" s="107"/>
      <c r="H296" s="2">
        <v>0</v>
      </c>
      <c r="I296" s="109">
        <v>0</v>
      </c>
      <c r="J296" s="99">
        <v>150</v>
      </c>
      <c r="K296" s="99">
        <v>150</v>
      </c>
      <c r="L296" s="101"/>
      <c r="M296" s="100" t="str">
        <f>"10 - 10"</f>
        <v>10 - 10</v>
      </c>
      <c r="N296" s="91">
        <v>150</v>
      </c>
    </row>
    <row r="297" spans="2:14">
      <c r="B297" s="176"/>
      <c r="C297" s="174"/>
      <c r="D297" s="172"/>
      <c r="E297" s="23">
        <v>293</v>
      </c>
      <c r="F297" s="2">
        <v>49</v>
      </c>
      <c r="G297" s="107"/>
      <c r="H297" s="2">
        <v>0</v>
      </c>
      <c r="I297" s="109">
        <v>0</v>
      </c>
      <c r="J297" s="99">
        <v>150</v>
      </c>
      <c r="K297" s="99">
        <v>150</v>
      </c>
      <c r="L297" s="101"/>
      <c r="M297" s="100">
        <v>20</v>
      </c>
      <c r="N297" s="91">
        <v>150</v>
      </c>
    </row>
    <row r="298" spans="2:14">
      <c r="B298" s="176"/>
      <c r="C298" s="174"/>
      <c r="D298" s="172"/>
      <c r="E298" s="23">
        <v>294</v>
      </c>
      <c r="F298" s="2">
        <v>29</v>
      </c>
      <c r="G298" s="107"/>
      <c r="H298" s="2">
        <v>0</v>
      </c>
      <c r="I298" s="110">
        <v>150</v>
      </c>
      <c r="J298" s="23"/>
      <c r="K298" s="99">
        <v>150</v>
      </c>
      <c r="L298" s="101"/>
      <c r="M298" s="100">
        <v>20</v>
      </c>
      <c r="N298" s="91">
        <v>150</v>
      </c>
    </row>
    <row r="299" spans="2:14">
      <c r="B299" s="176"/>
      <c r="C299" s="174"/>
      <c r="D299" s="172"/>
      <c r="E299" s="23">
        <v>295</v>
      </c>
      <c r="F299" s="2">
        <v>33</v>
      </c>
      <c r="G299" s="107"/>
      <c r="H299" s="113">
        <v>3</v>
      </c>
      <c r="I299" s="90">
        <f>I298-F299-F298</f>
        <v>88</v>
      </c>
      <c r="J299" s="99">
        <v>150</v>
      </c>
      <c r="K299" s="99">
        <v>150</v>
      </c>
      <c r="L299" s="101"/>
      <c r="M299" s="100">
        <v>20</v>
      </c>
      <c r="N299" s="91">
        <v>150</v>
      </c>
    </row>
    <row r="300" spans="2:14">
      <c r="B300" s="176"/>
      <c r="C300" s="174"/>
      <c r="D300" s="172"/>
      <c r="E300" s="23">
        <v>296</v>
      </c>
      <c r="F300" s="2">
        <v>40</v>
      </c>
      <c r="G300" s="107"/>
      <c r="H300" s="113">
        <v>40</v>
      </c>
      <c r="I300" s="90">
        <f>I299-F300</f>
        <v>48</v>
      </c>
      <c r="J300" s="99">
        <v>150</v>
      </c>
      <c r="K300" s="99">
        <v>150</v>
      </c>
      <c r="L300" s="101"/>
      <c r="M300" s="100">
        <v>20</v>
      </c>
      <c r="N300" s="91">
        <v>150</v>
      </c>
    </row>
    <row r="301" spans="2:14">
      <c r="B301" s="176"/>
      <c r="C301" s="174"/>
      <c r="D301" s="172"/>
      <c r="E301" s="23">
        <v>297</v>
      </c>
      <c r="F301" s="2">
        <v>33</v>
      </c>
      <c r="G301" s="107"/>
      <c r="H301" s="113">
        <v>33</v>
      </c>
      <c r="I301" s="90">
        <f>I300-F301</f>
        <v>15</v>
      </c>
      <c r="J301" s="99">
        <v>150</v>
      </c>
      <c r="K301" s="99">
        <v>150</v>
      </c>
      <c r="L301" s="101"/>
      <c r="M301" s="100">
        <v>20</v>
      </c>
      <c r="N301" s="91">
        <v>150</v>
      </c>
    </row>
    <row r="302" spans="2:14">
      <c r="B302" s="176"/>
      <c r="C302" s="174"/>
      <c r="D302" s="172"/>
      <c r="E302" s="23">
        <v>298</v>
      </c>
      <c r="F302" s="2">
        <v>43</v>
      </c>
      <c r="G302" s="107"/>
      <c r="H302" s="113">
        <v>43</v>
      </c>
      <c r="I302" s="109">
        <v>0</v>
      </c>
      <c r="J302" s="99">
        <v>150</v>
      </c>
      <c r="K302" s="99">
        <v>150</v>
      </c>
      <c r="L302" s="101"/>
      <c r="M302" s="100">
        <v>20</v>
      </c>
      <c r="N302" s="91">
        <v>150</v>
      </c>
    </row>
    <row r="303" spans="2:14">
      <c r="B303" s="176"/>
      <c r="C303" s="174"/>
      <c r="D303" s="172"/>
      <c r="E303" s="23">
        <v>299</v>
      </c>
      <c r="F303" s="2">
        <v>41</v>
      </c>
      <c r="G303" s="107"/>
      <c r="H303" s="113">
        <v>21</v>
      </c>
      <c r="I303" s="109">
        <v>0</v>
      </c>
      <c r="J303" s="99">
        <v>150</v>
      </c>
      <c r="K303" s="99">
        <v>150</v>
      </c>
      <c r="L303" s="101"/>
      <c r="M303" s="100">
        <v>20</v>
      </c>
      <c r="N303" s="91">
        <v>150</v>
      </c>
    </row>
    <row r="304" spans="2:14">
      <c r="B304" s="176"/>
      <c r="C304" s="174"/>
      <c r="D304" s="172"/>
      <c r="E304" s="23">
        <v>300</v>
      </c>
      <c r="F304" s="2">
        <v>40</v>
      </c>
      <c r="G304" s="107"/>
      <c r="H304" s="2">
        <v>0</v>
      </c>
      <c r="I304" s="109">
        <v>0</v>
      </c>
      <c r="J304" s="99">
        <v>150</v>
      </c>
      <c r="K304" s="99">
        <v>150</v>
      </c>
      <c r="L304" s="101"/>
      <c r="M304" s="100">
        <v>20</v>
      </c>
      <c r="N304" s="91">
        <v>150</v>
      </c>
    </row>
    <row r="305" spans="2:14">
      <c r="B305" s="176"/>
      <c r="C305" s="174"/>
      <c r="D305" s="172"/>
      <c r="E305" s="23">
        <v>301</v>
      </c>
      <c r="F305" s="2">
        <v>29</v>
      </c>
      <c r="G305" s="107"/>
      <c r="H305" s="2">
        <v>0</v>
      </c>
      <c r="I305" s="109">
        <v>0</v>
      </c>
      <c r="J305" s="99">
        <v>150</v>
      </c>
      <c r="K305" s="99">
        <v>150</v>
      </c>
      <c r="L305" s="101"/>
      <c r="M305" s="100">
        <v>20</v>
      </c>
      <c r="N305" s="91">
        <v>150</v>
      </c>
    </row>
    <row r="306" spans="2:14">
      <c r="B306" s="176"/>
      <c r="C306" s="174"/>
      <c r="D306" s="172"/>
      <c r="E306" s="23">
        <v>302</v>
      </c>
      <c r="F306" s="2">
        <v>47</v>
      </c>
      <c r="G306" s="107"/>
      <c r="H306" s="2">
        <v>0</v>
      </c>
      <c r="I306" s="110">
        <v>150</v>
      </c>
      <c r="J306" s="23"/>
      <c r="K306" s="99">
        <v>150</v>
      </c>
      <c r="L306" s="101"/>
      <c r="M306" s="100">
        <v>20</v>
      </c>
      <c r="N306" s="91">
        <v>150</v>
      </c>
    </row>
    <row r="307" spans="2:14">
      <c r="B307" s="176"/>
      <c r="C307" s="174"/>
      <c r="D307" s="172"/>
      <c r="E307" s="23">
        <v>303</v>
      </c>
      <c r="F307" s="2">
        <v>41</v>
      </c>
      <c r="G307" s="107"/>
      <c r="H307" s="113">
        <v>27</v>
      </c>
      <c r="I307" s="90">
        <f>I306-F307-F306</f>
        <v>62</v>
      </c>
      <c r="J307" s="99">
        <v>150</v>
      </c>
      <c r="K307" s="99">
        <v>150</v>
      </c>
      <c r="L307" s="101"/>
      <c r="M307" s="100">
        <v>20</v>
      </c>
      <c r="N307" s="91">
        <v>150</v>
      </c>
    </row>
    <row r="308" spans="2:14">
      <c r="B308" s="176"/>
      <c r="C308" s="174"/>
      <c r="D308" s="173"/>
      <c r="E308" s="23">
        <v>304</v>
      </c>
      <c r="F308" s="2">
        <v>26</v>
      </c>
      <c r="G308" s="107"/>
      <c r="H308" s="113">
        <v>26</v>
      </c>
      <c r="I308" s="90">
        <f>I307-F308</f>
        <v>36</v>
      </c>
      <c r="J308" s="99">
        <v>150</v>
      </c>
      <c r="K308" s="99">
        <v>150</v>
      </c>
      <c r="L308" s="101"/>
      <c r="M308" s="100">
        <v>20</v>
      </c>
      <c r="N308" s="91">
        <v>150</v>
      </c>
    </row>
    <row r="309" spans="2:14">
      <c r="B309" s="176"/>
      <c r="C309" s="174"/>
      <c r="D309" s="171" t="s">
        <v>54</v>
      </c>
      <c r="E309" s="23">
        <v>305</v>
      </c>
      <c r="F309" s="2">
        <v>14</v>
      </c>
      <c r="G309" s="107"/>
      <c r="H309" s="113">
        <v>14</v>
      </c>
      <c r="I309" s="90">
        <f>I308-F309</f>
        <v>22</v>
      </c>
      <c r="J309" s="99">
        <v>150</v>
      </c>
      <c r="K309" s="99">
        <v>150</v>
      </c>
      <c r="L309" s="101"/>
      <c r="M309" s="100">
        <v>20</v>
      </c>
      <c r="N309" s="91">
        <v>150</v>
      </c>
    </row>
    <row r="310" spans="2:14">
      <c r="B310" s="176"/>
      <c r="C310" s="174"/>
      <c r="D310" s="172"/>
      <c r="E310" s="23">
        <v>306</v>
      </c>
      <c r="F310" s="2">
        <v>37</v>
      </c>
      <c r="G310" s="107"/>
      <c r="H310" s="113">
        <v>37</v>
      </c>
      <c r="I310" s="109">
        <v>0</v>
      </c>
      <c r="J310" s="99">
        <v>150</v>
      </c>
      <c r="K310" s="99">
        <v>150</v>
      </c>
      <c r="L310" s="101"/>
      <c r="M310" s="100">
        <v>20</v>
      </c>
      <c r="N310" s="91">
        <v>150</v>
      </c>
    </row>
    <row r="311" spans="2:14">
      <c r="B311" s="176"/>
      <c r="C311" s="174"/>
      <c r="D311" s="172"/>
      <c r="E311" s="23">
        <v>307</v>
      </c>
      <c r="F311" s="2">
        <v>47</v>
      </c>
      <c r="G311" s="107"/>
      <c r="H311" s="2">
        <v>0</v>
      </c>
      <c r="I311" s="109">
        <v>0</v>
      </c>
      <c r="J311" s="99">
        <v>150</v>
      </c>
      <c r="K311" s="99">
        <v>150</v>
      </c>
      <c r="L311" s="101"/>
      <c r="M311" s="100" t="str">
        <f>"10 - 10"</f>
        <v>10 - 10</v>
      </c>
      <c r="N311" s="91">
        <v>150</v>
      </c>
    </row>
    <row r="312" spans="2:14">
      <c r="B312" s="176"/>
      <c r="C312" s="174"/>
      <c r="D312" s="172"/>
      <c r="E312" s="23">
        <v>308</v>
      </c>
      <c r="F312" s="2">
        <v>32</v>
      </c>
      <c r="G312" s="107"/>
      <c r="H312" s="2">
        <v>0</v>
      </c>
      <c r="I312" s="109">
        <v>0</v>
      </c>
      <c r="J312" s="99">
        <v>150</v>
      </c>
      <c r="K312" s="99">
        <v>150</v>
      </c>
      <c r="L312" s="101"/>
      <c r="M312" s="100">
        <v>20</v>
      </c>
      <c r="N312" s="91">
        <v>150</v>
      </c>
    </row>
    <row r="313" spans="2:14">
      <c r="B313" s="176"/>
      <c r="C313" s="174"/>
      <c r="D313" s="172"/>
      <c r="E313" s="23">
        <v>309</v>
      </c>
      <c r="F313" s="2">
        <v>34</v>
      </c>
      <c r="G313" s="107"/>
      <c r="H313" s="2">
        <v>0</v>
      </c>
      <c r="I313" s="109">
        <v>0</v>
      </c>
      <c r="J313" s="99">
        <v>150</v>
      </c>
      <c r="K313" s="99">
        <v>150</v>
      </c>
      <c r="L313" s="101"/>
      <c r="M313" s="100">
        <v>20</v>
      </c>
      <c r="N313" s="91">
        <v>150</v>
      </c>
    </row>
    <row r="314" spans="2:14">
      <c r="B314" s="176"/>
      <c r="C314" s="174"/>
      <c r="D314" s="172"/>
      <c r="E314" s="23">
        <v>310</v>
      </c>
      <c r="F314" s="2">
        <v>28</v>
      </c>
      <c r="G314" s="107"/>
      <c r="H314" s="2">
        <v>0</v>
      </c>
      <c r="I314" s="110">
        <v>150</v>
      </c>
      <c r="J314" s="23"/>
      <c r="K314" s="99">
        <v>150</v>
      </c>
      <c r="L314" s="101"/>
      <c r="M314" s="100">
        <v>20</v>
      </c>
      <c r="N314" s="91">
        <v>150</v>
      </c>
    </row>
    <row r="315" spans="2:14">
      <c r="B315" s="176"/>
      <c r="C315" s="174"/>
      <c r="D315" s="172"/>
      <c r="E315" s="23">
        <v>311</v>
      </c>
      <c r="F315" s="2">
        <v>29</v>
      </c>
      <c r="G315" s="107"/>
      <c r="H315" s="113">
        <v>20</v>
      </c>
      <c r="I315" s="90">
        <f>I314-F315-F314</f>
        <v>93</v>
      </c>
      <c r="J315" s="99">
        <v>150</v>
      </c>
      <c r="K315" s="99">
        <v>150</v>
      </c>
      <c r="L315" s="47"/>
      <c r="M315" s="100">
        <v>20</v>
      </c>
      <c r="N315" s="91">
        <v>150</v>
      </c>
    </row>
    <row r="316" spans="2:14">
      <c r="B316" s="176"/>
      <c r="C316" s="174"/>
      <c r="D316" s="172"/>
      <c r="E316" s="23">
        <v>312</v>
      </c>
      <c r="F316" s="2">
        <v>38</v>
      </c>
      <c r="G316" s="107"/>
      <c r="H316" s="113">
        <v>38</v>
      </c>
      <c r="I316" s="90">
        <f>I315-F316</f>
        <v>55</v>
      </c>
      <c r="J316" s="99">
        <v>150</v>
      </c>
      <c r="K316" s="99">
        <v>150</v>
      </c>
      <c r="L316" s="101"/>
      <c r="M316" s="100">
        <v>20</v>
      </c>
      <c r="N316" s="91">
        <v>150</v>
      </c>
    </row>
    <row r="317" spans="2:14">
      <c r="B317" s="176"/>
      <c r="C317" s="174"/>
      <c r="D317" s="172"/>
      <c r="E317" s="23">
        <v>313</v>
      </c>
      <c r="F317" s="2">
        <v>30</v>
      </c>
      <c r="G317" s="107"/>
      <c r="H317" s="113">
        <v>30</v>
      </c>
      <c r="I317" s="90">
        <f>I316-F317</f>
        <v>25</v>
      </c>
      <c r="J317" s="99">
        <v>150</v>
      </c>
      <c r="K317" s="99">
        <v>150</v>
      </c>
      <c r="L317" s="101"/>
      <c r="M317" s="100">
        <v>20</v>
      </c>
      <c r="N317" s="91">
        <v>150</v>
      </c>
    </row>
    <row r="318" spans="2:14">
      <c r="B318" s="176"/>
      <c r="C318" s="174"/>
      <c r="D318" s="172"/>
      <c r="E318" s="23">
        <v>314</v>
      </c>
      <c r="F318" s="2">
        <v>36</v>
      </c>
      <c r="G318" s="107"/>
      <c r="H318" s="113">
        <v>20</v>
      </c>
      <c r="I318" s="109">
        <v>0</v>
      </c>
      <c r="J318" s="99">
        <v>150</v>
      </c>
      <c r="K318" s="99">
        <v>150</v>
      </c>
      <c r="L318" s="101"/>
      <c r="M318" s="100">
        <v>20</v>
      </c>
      <c r="N318" s="91">
        <v>150</v>
      </c>
    </row>
    <row r="319" spans="2:14">
      <c r="B319" s="176"/>
      <c r="C319" s="174"/>
      <c r="D319" s="172"/>
      <c r="E319" s="23">
        <v>315</v>
      </c>
      <c r="F319" s="2">
        <v>36</v>
      </c>
      <c r="G319" s="107"/>
      <c r="H319" s="2">
        <v>0</v>
      </c>
      <c r="I319" s="109">
        <v>0</v>
      </c>
      <c r="J319" s="99">
        <v>150</v>
      </c>
      <c r="K319" s="99">
        <v>150</v>
      </c>
      <c r="L319" s="101"/>
      <c r="M319" s="100">
        <v>20</v>
      </c>
      <c r="N319" s="91">
        <v>150</v>
      </c>
    </row>
    <row r="320" spans="2:14">
      <c r="B320" s="176"/>
      <c r="C320" s="174"/>
      <c r="D320" s="172"/>
      <c r="E320" s="23">
        <v>316</v>
      </c>
      <c r="F320" s="2">
        <v>34</v>
      </c>
      <c r="G320" s="107"/>
      <c r="H320" s="2">
        <v>0</v>
      </c>
      <c r="I320" s="109">
        <v>0</v>
      </c>
      <c r="J320" s="99">
        <v>150</v>
      </c>
      <c r="K320" s="99">
        <v>150</v>
      </c>
      <c r="L320" s="101"/>
      <c r="M320" s="100">
        <v>20</v>
      </c>
      <c r="N320" s="91">
        <v>150</v>
      </c>
    </row>
    <row r="321" spans="2:14">
      <c r="B321" s="176"/>
      <c r="C321" s="174"/>
      <c r="D321" s="172"/>
      <c r="E321" s="23">
        <v>317</v>
      </c>
      <c r="F321" s="2">
        <v>42</v>
      </c>
      <c r="G321" s="107"/>
      <c r="H321" s="2">
        <v>0</v>
      </c>
      <c r="I321" s="109">
        <v>0</v>
      </c>
      <c r="J321" s="99">
        <v>150</v>
      </c>
      <c r="K321" s="99">
        <v>150</v>
      </c>
      <c r="L321" s="101"/>
      <c r="M321" s="100">
        <v>20</v>
      </c>
      <c r="N321" s="91">
        <v>150</v>
      </c>
    </row>
    <row r="322" spans="2:14">
      <c r="B322" s="176"/>
      <c r="C322" s="174"/>
      <c r="D322" s="172"/>
      <c r="E322" s="23">
        <v>318</v>
      </c>
      <c r="F322" s="2">
        <v>49</v>
      </c>
      <c r="G322" s="107"/>
      <c r="H322" s="113">
        <v>27</v>
      </c>
      <c r="I322" s="110">
        <v>150</v>
      </c>
      <c r="J322" s="23"/>
      <c r="K322" s="99">
        <v>150</v>
      </c>
      <c r="L322" s="101"/>
      <c r="M322" s="100">
        <v>20</v>
      </c>
      <c r="N322" s="91">
        <v>150</v>
      </c>
    </row>
    <row r="323" spans="2:14">
      <c r="B323" s="176"/>
      <c r="C323" s="174"/>
      <c r="D323" s="172"/>
      <c r="E323" s="23">
        <v>319</v>
      </c>
      <c r="F323" s="2">
        <v>40</v>
      </c>
      <c r="G323" s="107"/>
      <c r="H323" s="113">
        <v>40</v>
      </c>
      <c r="I323" s="90">
        <f>I322-F323-F322</f>
        <v>61</v>
      </c>
      <c r="J323" s="99">
        <v>150</v>
      </c>
      <c r="K323" s="99">
        <v>150</v>
      </c>
      <c r="L323" s="101"/>
      <c r="M323" s="100">
        <v>20</v>
      </c>
      <c r="N323" s="91">
        <v>150</v>
      </c>
    </row>
    <row r="324" spans="2:14">
      <c r="B324" s="176"/>
      <c r="C324" s="174"/>
      <c r="D324" s="172"/>
      <c r="E324" s="23">
        <v>320</v>
      </c>
      <c r="F324" s="2">
        <v>38</v>
      </c>
      <c r="G324" s="107"/>
      <c r="H324" s="113">
        <v>38</v>
      </c>
      <c r="I324" s="90">
        <f>I323-F324</f>
        <v>23</v>
      </c>
      <c r="J324" s="99">
        <v>150</v>
      </c>
      <c r="K324" s="99">
        <v>150</v>
      </c>
      <c r="L324" s="101"/>
      <c r="M324" s="100">
        <v>20</v>
      </c>
      <c r="N324" s="91">
        <v>150</v>
      </c>
    </row>
    <row r="325" spans="2:14">
      <c r="B325" s="176"/>
      <c r="C325" s="174"/>
      <c r="D325" s="172"/>
      <c r="E325" s="23">
        <v>321</v>
      </c>
      <c r="F325" s="2">
        <v>39</v>
      </c>
      <c r="G325" s="107"/>
      <c r="H325" s="113">
        <v>39</v>
      </c>
      <c r="I325" s="109">
        <v>0</v>
      </c>
      <c r="J325" s="99">
        <v>150</v>
      </c>
      <c r="K325" s="99">
        <v>150</v>
      </c>
      <c r="L325" s="101"/>
      <c r="M325" s="100">
        <v>20</v>
      </c>
      <c r="N325" s="91">
        <v>150</v>
      </c>
    </row>
    <row r="326" spans="2:14">
      <c r="B326" s="176"/>
      <c r="C326" s="174"/>
      <c r="D326" s="172"/>
      <c r="E326" s="23">
        <v>322</v>
      </c>
      <c r="F326" s="2">
        <v>36</v>
      </c>
      <c r="G326" s="107"/>
      <c r="H326" s="2">
        <v>0</v>
      </c>
      <c r="I326" s="109">
        <v>0</v>
      </c>
      <c r="J326" s="99">
        <v>150</v>
      </c>
      <c r="K326" s="99">
        <v>150</v>
      </c>
      <c r="L326" s="101"/>
      <c r="M326" s="100" t="str">
        <f>"10 - 10"</f>
        <v>10 - 10</v>
      </c>
      <c r="N326" s="91">
        <v>150</v>
      </c>
    </row>
    <row r="327" spans="2:14">
      <c r="B327" s="176"/>
      <c r="C327" s="174"/>
      <c r="D327" s="172"/>
      <c r="E327" s="23">
        <v>323</v>
      </c>
      <c r="F327" s="2">
        <v>32</v>
      </c>
      <c r="G327" s="107"/>
      <c r="H327" s="2">
        <v>0</v>
      </c>
      <c r="I327" s="109">
        <v>0</v>
      </c>
      <c r="J327" s="99">
        <v>150</v>
      </c>
      <c r="K327" s="99">
        <v>150</v>
      </c>
      <c r="L327" s="101"/>
      <c r="M327" s="100">
        <v>20</v>
      </c>
      <c r="N327" s="91">
        <v>150</v>
      </c>
    </row>
    <row r="328" spans="2:14">
      <c r="B328" s="176"/>
      <c r="C328" s="174"/>
      <c r="D328" s="172"/>
      <c r="E328" s="23">
        <v>324</v>
      </c>
      <c r="F328" s="2">
        <v>43</v>
      </c>
      <c r="G328" s="107"/>
      <c r="H328" s="2">
        <v>0</v>
      </c>
      <c r="I328" s="109">
        <v>0</v>
      </c>
      <c r="J328" s="99">
        <v>150</v>
      </c>
      <c r="K328" s="99">
        <v>150</v>
      </c>
      <c r="L328" s="101"/>
      <c r="M328" s="100">
        <v>20</v>
      </c>
      <c r="N328" s="91">
        <v>150</v>
      </c>
    </row>
    <row r="329" spans="2:14">
      <c r="B329" s="176"/>
      <c r="C329" s="174"/>
      <c r="D329" s="172"/>
      <c r="E329" s="23">
        <v>325</v>
      </c>
      <c r="F329" s="2">
        <v>34</v>
      </c>
      <c r="G329" s="107"/>
      <c r="H329" s="2">
        <v>0</v>
      </c>
      <c r="I329" s="109">
        <v>0</v>
      </c>
      <c r="J329" s="99">
        <v>150</v>
      </c>
      <c r="K329" s="99">
        <v>150</v>
      </c>
      <c r="L329" s="101"/>
      <c r="M329" s="100">
        <v>20</v>
      </c>
      <c r="N329" s="91">
        <v>150</v>
      </c>
    </row>
    <row r="330" spans="2:14">
      <c r="B330" s="176"/>
      <c r="C330" s="174"/>
      <c r="D330" s="172"/>
      <c r="E330" s="23">
        <v>326</v>
      </c>
      <c r="F330" s="2">
        <v>40</v>
      </c>
      <c r="G330" s="107"/>
      <c r="H330" s="113">
        <v>35</v>
      </c>
      <c r="I330" s="110">
        <v>150</v>
      </c>
      <c r="J330" s="23"/>
      <c r="K330" s="99">
        <v>150</v>
      </c>
      <c r="L330" s="101"/>
      <c r="M330" s="100">
        <v>20</v>
      </c>
      <c r="N330" s="91">
        <v>150</v>
      </c>
    </row>
    <row r="331" spans="2:14">
      <c r="B331" s="176"/>
      <c r="C331" s="174"/>
      <c r="D331" s="172"/>
      <c r="E331" s="23">
        <v>327</v>
      </c>
      <c r="F331" s="2">
        <v>38</v>
      </c>
      <c r="G331" s="107"/>
      <c r="H331" s="113">
        <v>38</v>
      </c>
      <c r="I331" s="90">
        <f>I330-F331-F330</f>
        <v>72</v>
      </c>
      <c r="J331" s="99">
        <v>150</v>
      </c>
      <c r="K331" s="99">
        <v>150</v>
      </c>
      <c r="L331" s="101"/>
      <c r="M331" s="100">
        <v>20</v>
      </c>
      <c r="N331" s="91">
        <v>150</v>
      </c>
    </row>
    <row r="332" spans="2:14">
      <c r="B332" s="176"/>
      <c r="C332" s="174"/>
      <c r="D332" s="172"/>
      <c r="E332" s="23">
        <v>328</v>
      </c>
      <c r="F332" s="2">
        <v>42</v>
      </c>
      <c r="G332" s="107"/>
      <c r="H332" s="113">
        <v>42</v>
      </c>
      <c r="I332" s="90">
        <f>I331-F332</f>
        <v>30</v>
      </c>
      <c r="J332" s="99">
        <v>150</v>
      </c>
      <c r="K332" s="99">
        <v>150</v>
      </c>
      <c r="L332" s="101"/>
      <c r="M332" s="100">
        <v>20</v>
      </c>
      <c r="N332" s="91">
        <v>150</v>
      </c>
    </row>
    <row r="333" spans="2:14">
      <c r="B333" s="176"/>
      <c r="C333" s="174"/>
      <c r="D333" s="172"/>
      <c r="E333" s="23">
        <v>329</v>
      </c>
      <c r="F333" s="2">
        <v>42</v>
      </c>
      <c r="G333" s="107"/>
      <c r="H333" s="113">
        <v>26</v>
      </c>
      <c r="I333" s="109">
        <v>0</v>
      </c>
      <c r="J333" s="99">
        <v>150</v>
      </c>
      <c r="K333" s="99">
        <v>150</v>
      </c>
      <c r="L333" s="101"/>
      <c r="M333" s="100">
        <v>20</v>
      </c>
      <c r="N333" s="91">
        <v>150</v>
      </c>
    </row>
    <row r="334" spans="2:14">
      <c r="B334" s="176"/>
      <c r="C334" s="174"/>
      <c r="D334" s="172"/>
      <c r="E334" s="23">
        <v>330</v>
      </c>
      <c r="F334" s="2">
        <v>41</v>
      </c>
      <c r="G334" s="107"/>
      <c r="H334" s="2">
        <v>0</v>
      </c>
      <c r="I334" s="109">
        <v>0</v>
      </c>
      <c r="J334" s="99">
        <v>150</v>
      </c>
      <c r="K334" s="99">
        <v>150</v>
      </c>
      <c r="L334" s="101"/>
      <c r="M334" s="100">
        <v>20</v>
      </c>
      <c r="N334" s="91">
        <v>150</v>
      </c>
    </row>
    <row r="335" spans="2:14">
      <c r="B335" s="176"/>
      <c r="C335" s="174"/>
      <c r="D335" s="172"/>
      <c r="E335" s="23">
        <v>331</v>
      </c>
      <c r="F335" s="2">
        <v>21</v>
      </c>
      <c r="G335" s="107"/>
      <c r="H335" s="2">
        <v>0</v>
      </c>
      <c r="I335" s="109">
        <v>0</v>
      </c>
      <c r="J335" s="99">
        <v>150</v>
      </c>
      <c r="K335" s="99">
        <v>150</v>
      </c>
      <c r="L335" s="101"/>
      <c r="M335" s="100">
        <v>20</v>
      </c>
      <c r="N335" s="91">
        <v>150</v>
      </c>
    </row>
    <row r="336" spans="2:14">
      <c r="B336" s="176"/>
      <c r="C336" s="174"/>
      <c r="D336" s="172"/>
      <c r="E336" s="23">
        <v>332</v>
      </c>
      <c r="F336" s="2">
        <v>38</v>
      </c>
      <c r="G336" s="107"/>
      <c r="H336" s="2">
        <v>0</v>
      </c>
      <c r="I336" s="109">
        <v>0</v>
      </c>
      <c r="J336" s="99">
        <v>150</v>
      </c>
      <c r="K336" s="99">
        <v>150</v>
      </c>
      <c r="L336" s="101"/>
      <c r="M336" s="100">
        <v>20</v>
      </c>
      <c r="N336" s="91">
        <v>150</v>
      </c>
    </row>
    <row r="337" spans="2:14">
      <c r="B337" s="176"/>
      <c r="C337" s="174"/>
      <c r="D337" s="172"/>
      <c r="E337" s="23">
        <v>333</v>
      </c>
      <c r="F337" s="2">
        <v>42</v>
      </c>
      <c r="G337" s="107"/>
      <c r="H337" s="113">
        <v>8</v>
      </c>
      <c r="I337" s="109">
        <v>0</v>
      </c>
      <c r="J337" s="99">
        <v>150</v>
      </c>
      <c r="K337" s="99">
        <v>150</v>
      </c>
      <c r="L337" s="101"/>
      <c r="M337" s="100">
        <v>20</v>
      </c>
      <c r="N337" s="91">
        <v>150</v>
      </c>
    </row>
    <row r="338" spans="2:14">
      <c r="B338" s="176"/>
      <c r="C338" s="174"/>
      <c r="D338" s="173"/>
      <c r="E338" s="23">
        <v>334</v>
      </c>
      <c r="F338" s="2">
        <v>36</v>
      </c>
      <c r="G338" s="107"/>
      <c r="H338" s="113">
        <v>36</v>
      </c>
      <c r="I338" s="110">
        <v>150</v>
      </c>
      <c r="J338" s="23"/>
      <c r="K338" s="99">
        <v>150</v>
      </c>
      <c r="L338" s="101"/>
      <c r="M338" s="100">
        <v>20</v>
      </c>
      <c r="N338" s="91">
        <v>150</v>
      </c>
    </row>
    <row r="339" spans="2:14">
      <c r="B339" s="176"/>
      <c r="C339" s="174"/>
      <c r="D339" s="171" t="s">
        <v>55</v>
      </c>
      <c r="E339" s="23">
        <v>335</v>
      </c>
      <c r="F339" s="2">
        <v>39</v>
      </c>
      <c r="G339" s="107"/>
      <c r="H339" s="113">
        <v>39</v>
      </c>
      <c r="I339" s="90">
        <f>I338-F339-F338</f>
        <v>75</v>
      </c>
      <c r="J339" s="99">
        <v>150</v>
      </c>
      <c r="K339" s="99">
        <v>150</v>
      </c>
      <c r="L339" s="101"/>
      <c r="M339" s="100">
        <v>20</v>
      </c>
      <c r="N339" s="91">
        <v>150</v>
      </c>
    </row>
    <row r="340" spans="2:14">
      <c r="B340" s="176"/>
      <c r="C340" s="174"/>
      <c r="D340" s="172"/>
      <c r="E340" s="23">
        <v>336</v>
      </c>
      <c r="F340" s="2">
        <v>38</v>
      </c>
      <c r="G340" s="107"/>
      <c r="H340" s="113">
        <v>38</v>
      </c>
      <c r="I340" s="90">
        <f>I339-F340</f>
        <v>37</v>
      </c>
      <c r="J340" s="99">
        <v>150</v>
      </c>
      <c r="K340" s="99">
        <v>150</v>
      </c>
      <c r="L340" s="101"/>
      <c r="M340" s="100">
        <v>20</v>
      </c>
      <c r="N340" s="91">
        <v>150</v>
      </c>
    </row>
    <row r="341" spans="2:14">
      <c r="B341" s="176"/>
      <c r="C341" s="174"/>
      <c r="D341" s="172"/>
      <c r="E341" s="23">
        <v>337</v>
      </c>
      <c r="F341" s="2">
        <v>33</v>
      </c>
      <c r="G341" s="107"/>
      <c r="H341" s="2">
        <v>0</v>
      </c>
      <c r="I341" s="90">
        <f>I340-F341</f>
        <v>4</v>
      </c>
      <c r="J341" s="99">
        <v>150</v>
      </c>
      <c r="K341" s="99">
        <v>150</v>
      </c>
      <c r="L341" s="101"/>
      <c r="M341" s="100" t="str">
        <f>"10 - 10"</f>
        <v>10 - 10</v>
      </c>
      <c r="N341" s="91">
        <v>150</v>
      </c>
    </row>
    <row r="342" spans="2:14">
      <c r="B342" s="176"/>
      <c r="C342" s="174"/>
      <c r="D342" s="172"/>
      <c r="E342" s="23">
        <v>338</v>
      </c>
      <c r="F342" s="2">
        <v>47</v>
      </c>
      <c r="G342" s="107"/>
      <c r="H342" s="2">
        <v>0</v>
      </c>
      <c r="I342" s="109">
        <v>0</v>
      </c>
      <c r="J342" s="99">
        <v>150</v>
      </c>
      <c r="K342" s="99">
        <v>150</v>
      </c>
      <c r="L342" s="101"/>
      <c r="M342" s="100">
        <v>20</v>
      </c>
      <c r="N342" s="91">
        <v>150</v>
      </c>
    </row>
    <row r="343" spans="2:14">
      <c r="B343" s="176"/>
      <c r="C343" s="174"/>
      <c r="D343" s="172"/>
      <c r="E343" s="23">
        <v>339</v>
      </c>
      <c r="F343" s="2">
        <v>52</v>
      </c>
      <c r="G343" s="107"/>
      <c r="H343" s="2">
        <v>0</v>
      </c>
      <c r="I343" s="109">
        <v>0</v>
      </c>
      <c r="J343" s="99">
        <v>150</v>
      </c>
      <c r="K343" s="99">
        <v>150</v>
      </c>
      <c r="L343" s="101"/>
      <c r="M343" s="100">
        <v>20</v>
      </c>
      <c r="N343" s="91">
        <v>150</v>
      </c>
    </row>
    <row r="344" spans="2:14">
      <c r="B344" s="176"/>
      <c r="C344" s="174"/>
      <c r="D344" s="172"/>
      <c r="E344" s="23">
        <v>340</v>
      </c>
      <c r="F344" s="2">
        <v>31</v>
      </c>
      <c r="G344" s="107"/>
      <c r="H344" s="113">
        <v>13</v>
      </c>
      <c r="I344" s="109">
        <v>0</v>
      </c>
      <c r="J344" s="99">
        <v>150</v>
      </c>
      <c r="K344" s="99">
        <v>150</v>
      </c>
      <c r="L344" s="101"/>
      <c r="M344" s="100">
        <v>20</v>
      </c>
      <c r="N344" s="91">
        <v>150</v>
      </c>
    </row>
    <row r="345" spans="2:14">
      <c r="B345" s="176"/>
      <c r="C345" s="174"/>
      <c r="D345" s="172"/>
      <c r="E345" s="23">
        <v>341</v>
      </c>
      <c r="F345" s="2">
        <v>29</v>
      </c>
      <c r="G345" s="107"/>
      <c r="H345" s="113">
        <v>29</v>
      </c>
      <c r="I345" s="109">
        <v>0</v>
      </c>
      <c r="J345" s="99">
        <v>150</v>
      </c>
      <c r="K345" s="99">
        <v>150</v>
      </c>
      <c r="L345" s="101"/>
      <c r="M345" s="100">
        <v>20</v>
      </c>
      <c r="N345" s="91">
        <v>150</v>
      </c>
    </row>
    <row r="346" spans="2:14">
      <c r="B346" s="176"/>
      <c r="C346" s="174"/>
      <c r="D346" s="172"/>
      <c r="E346" s="23">
        <v>342</v>
      </c>
      <c r="F346" s="2">
        <v>30</v>
      </c>
      <c r="G346" s="107"/>
      <c r="H346" s="113">
        <v>30</v>
      </c>
      <c r="I346" s="110">
        <v>150</v>
      </c>
      <c r="J346" s="23"/>
      <c r="K346" s="99">
        <v>150</v>
      </c>
      <c r="L346" s="101"/>
      <c r="M346" s="100">
        <v>20</v>
      </c>
      <c r="N346" s="91">
        <v>150</v>
      </c>
    </row>
    <row r="347" spans="2:14">
      <c r="B347" s="176"/>
      <c r="C347" s="174"/>
      <c r="D347" s="172"/>
      <c r="E347" s="23">
        <v>343</v>
      </c>
      <c r="F347" s="2">
        <v>40</v>
      </c>
      <c r="G347" s="107"/>
      <c r="H347" s="113">
        <v>40</v>
      </c>
      <c r="I347" s="90">
        <f>I346-F347-F346</f>
        <v>80</v>
      </c>
      <c r="J347" s="99">
        <v>150</v>
      </c>
      <c r="K347" s="99">
        <v>150</v>
      </c>
      <c r="L347" s="101"/>
      <c r="M347" s="100">
        <v>20</v>
      </c>
      <c r="N347" s="91">
        <v>150</v>
      </c>
    </row>
    <row r="348" spans="2:14">
      <c r="B348" s="176"/>
      <c r="C348" s="174"/>
      <c r="D348" s="172"/>
      <c r="E348" s="23">
        <v>344</v>
      </c>
      <c r="F348" s="2">
        <v>43</v>
      </c>
      <c r="G348" s="107"/>
      <c r="H348" s="113">
        <v>24</v>
      </c>
      <c r="I348" s="90">
        <f>I347-F348</f>
        <v>37</v>
      </c>
      <c r="J348" s="99">
        <v>150</v>
      </c>
      <c r="K348" s="99">
        <v>150</v>
      </c>
      <c r="L348" s="101"/>
      <c r="M348" s="100">
        <v>20</v>
      </c>
      <c r="N348" s="91">
        <v>150</v>
      </c>
    </row>
    <row r="349" spans="2:14">
      <c r="B349" s="176"/>
      <c r="C349" s="174"/>
      <c r="D349" s="172"/>
      <c r="E349" s="23">
        <v>345</v>
      </c>
      <c r="F349" s="2">
        <v>38</v>
      </c>
      <c r="G349" s="107"/>
      <c r="H349" s="2">
        <v>0</v>
      </c>
      <c r="I349" s="109">
        <v>0</v>
      </c>
      <c r="J349" s="99">
        <v>150</v>
      </c>
      <c r="K349" s="99">
        <v>150</v>
      </c>
      <c r="L349" s="101"/>
      <c r="M349" s="100">
        <v>20</v>
      </c>
      <c r="N349" s="91">
        <v>150</v>
      </c>
    </row>
    <row r="350" spans="2:14">
      <c r="B350" s="176"/>
      <c r="C350" s="174"/>
      <c r="D350" s="172"/>
      <c r="E350" s="23">
        <v>346</v>
      </c>
      <c r="F350" s="2">
        <v>32</v>
      </c>
      <c r="G350" s="107"/>
      <c r="H350" s="2">
        <v>0</v>
      </c>
      <c r="I350" s="109">
        <v>0</v>
      </c>
      <c r="J350" s="99">
        <v>150</v>
      </c>
      <c r="K350" s="99">
        <v>150</v>
      </c>
      <c r="L350" s="101"/>
      <c r="M350" s="100">
        <v>20</v>
      </c>
      <c r="N350" s="91">
        <v>150</v>
      </c>
    </row>
    <row r="351" spans="2:14">
      <c r="B351" s="176"/>
      <c r="C351" s="174"/>
      <c r="D351" s="172"/>
      <c r="E351" s="23">
        <v>347</v>
      </c>
      <c r="F351" s="2">
        <v>39</v>
      </c>
      <c r="G351" s="107"/>
      <c r="H351" s="2">
        <v>0</v>
      </c>
      <c r="I351" s="109">
        <v>0</v>
      </c>
      <c r="J351" s="99">
        <v>150</v>
      </c>
      <c r="K351" s="99">
        <v>150</v>
      </c>
      <c r="L351" s="101"/>
      <c r="M351" s="100">
        <v>20</v>
      </c>
      <c r="N351" s="91">
        <v>150</v>
      </c>
    </row>
    <row r="352" spans="2:14">
      <c r="B352" s="176"/>
      <c r="C352" s="174"/>
      <c r="D352" s="172"/>
      <c r="E352" s="23">
        <v>348</v>
      </c>
      <c r="F352" s="2">
        <v>51</v>
      </c>
      <c r="G352" s="107"/>
      <c r="H352" s="113">
        <v>29</v>
      </c>
      <c r="I352" s="109">
        <v>0</v>
      </c>
      <c r="J352" s="99">
        <v>150</v>
      </c>
      <c r="K352" s="99">
        <v>150</v>
      </c>
      <c r="L352" s="101"/>
      <c r="M352" s="100">
        <v>20</v>
      </c>
      <c r="N352" s="91">
        <v>150</v>
      </c>
    </row>
    <row r="353" spans="2:14">
      <c r="B353" s="176"/>
      <c r="C353" s="174"/>
      <c r="D353" s="172"/>
      <c r="E353" s="23">
        <v>349</v>
      </c>
      <c r="F353" s="2">
        <v>35</v>
      </c>
      <c r="G353" s="107"/>
      <c r="H353" s="113">
        <v>35</v>
      </c>
      <c r="I353" s="109">
        <v>0</v>
      </c>
      <c r="J353" s="99">
        <v>150</v>
      </c>
      <c r="K353" s="99">
        <v>150</v>
      </c>
      <c r="L353" s="101"/>
      <c r="M353" s="100">
        <v>20</v>
      </c>
      <c r="N353" s="91">
        <v>150</v>
      </c>
    </row>
    <row r="354" spans="2:14">
      <c r="B354" s="176"/>
      <c r="C354" s="174"/>
      <c r="D354" s="172"/>
      <c r="E354" s="23">
        <v>350</v>
      </c>
      <c r="F354" s="2">
        <v>42</v>
      </c>
      <c r="G354" s="107"/>
      <c r="H354" s="113">
        <v>42</v>
      </c>
      <c r="I354" s="110">
        <v>150</v>
      </c>
      <c r="J354" s="23"/>
      <c r="K354" s="99">
        <v>150</v>
      </c>
      <c r="L354" s="101"/>
      <c r="M354" s="100">
        <v>20</v>
      </c>
      <c r="N354" s="91">
        <v>150</v>
      </c>
    </row>
    <row r="355" spans="2:14">
      <c r="B355" s="176"/>
      <c r="C355" s="174"/>
      <c r="D355" s="172"/>
      <c r="E355" s="23">
        <v>351</v>
      </c>
      <c r="F355" s="2">
        <v>43</v>
      </c>
      <c r="G355" s="107"/>
      <c r="H355" s="113">
        <v>43</v>
      </c>
      <c r="I355" s="90">
        <f>I354-F355-F354</f>
        <v>65</v>
      </c>
      <c r="J355" s="99">
        <v>150</v>
      </c>
      <c r="K355" s="99">
        <v>150</v>
      </c>
      <c r="L355" s="47"/>
      <c r="M355" s="100">
        <v>20</v>
      </c>
      <c r="N355" s="91">
        <v>150</v>
      </c>
    </row>
    <row r="356" spans="2:14">
      <c r="B356" s="176"/>
      <c r="C356" s="174"/>
      <c r="D356" s="172"/>
      <c r="E356" s="23">
        <v>352</v>
      </c>
      <c r="F356" s="2">
        <v>49</v>
      </c>
      <c r="G356" s="107"/>
      <c r="H356" s="2">
        <v>0</v>
      </c>
      <c r="I356" s="90">
        <f>I355-F356</f>
        <v>16</v>
      </c>
      <c r="J356" s="99">
        <v>150</v>
      </c>
      <c r="K356" s="99">
        <v>150</v>
      </c>
      <c r="L356" s="101"/>
      <c r="M356" s="100" t="str">
        <f>"10 - 10"</f>
        <v>10 - 10</v>
      </c>
      <c r="N356" s="91">
        <v>150</v>
      </c>
    </row>
    <row r="357" spans="2:14">
      <c r="B357" s="176"/>
      <c r="C357" s="174"/>
      <c r="D357" s="172"/>
      <c r="E357" s="23">
        <v>353</v>
      </c>
      <c r="F357" s="2">
        <v>26</v>
      </c>
      <c r="G357" s="107"/>
      <c r="H357" s="2">
        <v>0</v>
      </c>
      <c r="I357" s="109">
        <v>0</v>
      </c>
      <c r="J357" s="99">
        <v>150</v>
      </c>
      <c r="K357" s="99">
        <v>150</v>
      </c>
      <c r="L357" s="101"/>
      <c r="M357" s="100">
        <v>20</v>
      </c>
      <c r="N357" s="91">
        <v>150</v>
      </c>
    </row>
    <row r="358" spans="2:14">
      <c r="B358" s="176"/>
      <c r="C358" s="174"/>
      <c r="D358" s="172"/>
      <c r="E358" s="23">
        <v>354</v>
      </c>
      <c r="F358" s="2">
        <v>39</v>
      </c>
      <c r="G358" s="107"/>
      <c r="H358" s="2">
        <v>0</v>
      </c>
      <c r="I358" s="109">
        <v>0</v>
      </c>
      <c r="J358" s="99">
        <v>150</v>
      </c>
      <c r="K358" s="99">
        <v>150</v>
      </c>
      <c r="L358" s="101"/>
      <c r="M358" s="100">
        <v>20</v>
      </c>
      <c r="N358" s="91">
        <v>150</v>
      </c>
    </row>
    <row r="359" spans="2:14">
      <c r="B359" s="176"/>
      <c r="C359" s="174"/>
      <c r="D359" s="172"/>
      <c r="E359" s="23">
        <v>355</v>
      </c>
      <c r="F359" s="2">
        <v>31</v>
      </c>
      <c r="G359" s="107"/>
      <c r="H359" s="2">
        <v>0</v>
      </c>
      <c r="I359" s="109">
        <v>0</v>
      </c>
      <c r="J359" s="99">
        <v>150</v>
      </c>
      <c r="K359" s="99">
        <v>150</v>
      </c>
      <c r="L359" s="101"/>
      <c r="M359" s="100">
        <v>20</v>
      </c>
      <c r="N359" s="91">
        <v>150</v>
      </c>
    </row>
    <row r="360" spans="2:14">
      <c r="B360" s="176"/>
      <c r="C360" s="174"/>
      <c r="D360" s="172"/>
      <c r="E360" s="23">
        <v>356</v>
      </c>
      <c r="F360" s="2">
        <v>34</v>
      </c>
      <c r="G360" s="107"/>
      <c r="H360" s="113">
        <v>29</v>
      </c>
      <c r="I360" s="109">
        <v>0</v>
      </c>
      <c r="J360" s="99">
        <v>150</v>
      </c>
      <c r="K360" s="99">
        <v>150</v>
      </c>
      <c r="L360" s="101"/>
      <c r="M360" s="100">
        <v>20</v>
      </c>
      <c r="N360" s="91">
        <v>150</v>
      </c>
    </row>
    <row r="361" spans="2:14">
      <c r="B361" s="176"/>
      <c r="C361" s="174"/>
      <c r="D361" s="172"/>
      <c r="E361" s="23">
        <v>357</v>
      </c>
      <c r="F361" s="2">
        <v>33</v>
      </c>
      <c r="G361" s="107"/>
      <c r="H361" s="113">
        <v>33</v>
      </c>
      <c r="I361" s="109">
        <v>0</v>
      </c>
      <c r="J361" s="99">
        <v>150</v>
      </c>
      <c r="K361" s="99">
        <v>150</v>
      </c>
      <c r="L361" s="101"/>
      <c r="M361" s="100">
        <v>20</v>
      </c>
      <c r="N361" s="91">
        <v>150</v>
      </c>
    </row>
    <row r="362" spans="2:14">
      <c r="B362" s="176"/>
      <c r="C362" s="174"/>
      <c r="D362" s="172"/>
      <c r="E362" s="23">
        <v>358</v>
      </c>
      <c r="F362" s="2">
        <v>33</v>
      </c>
      <c r="G362" s="107"/>
      <c r="H362" s="113">
        <v>33</v>
      </c>
      <c r="I362" s="110">
        <v>150</v>
      </c>
      <c r="J362" s="23"/>
      <c r="K362" s="99">
        <v>150</v>
      </c>
      <c r="L362" s="101"/>
      <c r="M362" s="100">
        <v>20</v>
      </c>
      <c r="N362" s="91">
        <v>150</v>
      </c>
    </row>
    <row r="363" spans="2:14">
      <c r="B363" s="176"/>
      <c r="C363" s="174"/>
      <c r="D363" s="172"/>
      <c r="E363" s="23">
        <v>359</v>
      </c>
      <c r="F363" s="2">
        <v>39</v>
      </c>
      <c r="G363" s="107"/>
      <c r="H363" s="113">
        <v>16</v>
      </c>
      <c r="I363" s="90">
        <f>I362-F363-F362</f>
        <v>78</v>
      </c>
      <c r="J363" s="99">
        <v>150</v>
      </c>
      <c r="K363" s="99">
        <v>150</v>
      </c>
      <c r="L363" s="101"/>
      <c r="M363" s="100">
        <v>20</v>
      </c>
      <c r="N363" s="91">
        <v>150</v>
      </c>
    </row>
    <row r="364" spans="2:14">
      <c r="B364" s="176"/>
      <c r="C364" s="174"/>
      <c r="D364" s="172"/>
      <c r="E364" s="23">
        <v>360</v>
      </c>
      <c r="F364" s="2">
        <v>29</v>
      </c>
      <c r="G364" s="107"/>
      <c r="H364" s="2">
        <v>0</v>
      </c>
      <c r="I364" s="90">
        <f>I363-F364</f>
        <v>49</v>
      </c>
      <c r="J364" s="99">
        <v>150</v>
      </c>
      <c r="K364" s="99">
        <v>150</v>
      </c>
      <c r="L364" s="101"/>
      <c r="M364" s="100">
        <v>20</v>
      </c>
      <c r="N364" s="91">
        <v>150</v>
      </c>
    </row>
    <row r="365" spans="2:14">
      <c r="B365" s="176"/>
      <c r="C365" s="174"/>
      <c r="D365" s="172"/>
      <c r="E365" s="23">
        <v>361</v>
      </c>
      <c r="F365" s="2">
        <v>42</v>
      </c>
      <c r="G365" s="107"/>
      <c r="H365" s="2">
        <v>0</v>
      </c>
      <c r="I365" s="90">
        <f>I364-F365</f>
        <v>7</v>
      </c>
      <c r="J365" s="99">
        <v>150</v>
      </c>
      <c r="K365" s="99">
        <v>150</v>
      </c>
      <c r="L365" s="101"/>
      <c r="M365" s="100">
        <v>20</v>
      </c>
      <c r="N365" s="91">
        <v>150</v>
      </c>
    </row>
    <row r="366" spans="2:14">
      <c r="B366" s="176"/>
      <c r="C366" s="174"/>
      <c r="D366" s="172"/>
      <c r="E366" s="23">
        <v>362</v>
      </c>
      <c r="F366" s="2">
        <v>35</v>
      </c>
      <c r="G366" s="107"/>
      <c r="H366" s="2">
        <v>0</v>
      </c>
      <c r="I366" s="109">
        <v>0</v>
      </c>
      <c r="J366" s="99">
        <v>150</v>
      </c>
      <c r="K366" s="99">
        <v>150</v>
      </c>
      <c r="L366" s="101"/>
      <c r="M366" s="100">
        <v>20</v>
      </c>
      <c r="N366" s="91">
        <v>150</v>
      </c>
    </row>
    <row r="367" spans="2:14">
      <c r="B367" s="176"/>
      <c r="C367" s="174"/>
      <c r="D367" s="172"/>
      <c r="E367" s="23">
        <v>363</v>
      </c>
      <c r="F367" s="2">
        <v>39</v>
      </c>
      <c r="G367" s="107"/>
      <c r="H367" s="113">
        <v>18</v>
      </c>
      <c r="I367" s="109">
        <v>0</v>
      </c>
      <c r="J367" s="99">
        <v>150</v>
      </c>
      <c r="K367" s="99">
        <v>150</v>
      </c>
      <c r="L367" s="101"/>
      <c r="M367" s="100">
        <v>20</v>
      </c>
      <c r="N367" s="91">
        <v>150</v>
      </c>
    </row>
    <row r="368" spans="2:14">
      <c r="B368" s="176"/>
      <c r="C368" s="174"/>
      <c r="D368" s="172"/>
      <c r="E368" s="23">
        <v>364</v>
      </c>
      <c r="F368" s="2">
        <v>34</v>
      </c>
      <c r="G368" s="107"/>
      <c r="H368" s="113">
        <v>34</v>
      </c>
      <c r="I368" s="109">
        <v>0</v>
      </c>
      <c r="J368" s="99">
        <v>150</v>
      </c>
      <c r="K368" s="99">
        <v>150</v>
      </c>
      <c r="L368" s="101"/>
      <c r="M368" s="100">
        <v>20</v>
      </c>
      <c r="N368" s="91">
        <v>150</v>
      </c>
    </row>
    <row r="369" spans="2:14">
      <c r="B369" s="177"/>
      <c r="C369" s="174"/>
      <c r="D369" s="173"/>
      <c r="E369" s="23">
        <v>365</v>
      </c>
      <c r="F369" s="2">
        <v>29</v>
      </c>
      <c r="G369" s="107"/>
      <c r="H369" s="113">
        <v>29</v>
      </c>
      <c r="I369" s="109">
        <v>0</v>
      </c>
      <c r="J369" s="99">
        <v>150</v>
      </c>
      <c r="K369" s="99">
        <v>150</v>
      </c>
      <c r="L369" s="101"/>
      <c r="M369" s="100">
        <v>20</v>
      </c>
      <c r="N369" s="91">
        <v>150</v>
      </c>
    </row>
    <row r="370" spans="2:14">
      <c r="B370" s="175">
        <v>2026</v>
      </c>
      <c r="C370" s="174" t="s">
        <v>13</v>
      </c>
      <c r="D370" s="171" t="s">
        <v>14</v>
      </c>
      <c r="E370" s="23">
        <v>366</v>
      </c>
      <c r="F370" s="2">
        <v>45</v>
      </c>
      <c r="G370" s="107"/>
      <c r="H370" s="113">
        <v>45</v>
      </c>
      <c r="I370" s="110">
        <v>150</v>
      </c>
      <c r="J370" s="23"/>
      <c r="K370" s="99">
        <v>150</v>
      </c>
      <c r="L370" s="101"/>
      <c r="M370" s="100">
        <v>20</v>
      </c>
      <c r="N370" s="91">
        <v>150</v>
      </c>
    </row>
    <row r="371" spans="2:14">
      <c r="B371" s="176"/>
      <c r="C371" s="174"/>
      <c r="D371" s="172"/>
      <c r="E371" s="23">
        <v>367</v>
      </c>
      <c r="F371" s="2">
        <v>35</v>
      </c>
      <c r="G371" s="107"/>
      <c r="H371" s="2">
        <v>0</v>
      </c>
      <c r="I371" s="90">
        <f>I370-F371-F370</f>
        <v>70</v>
      </c>
      <c r="J371" s="99">
        <v>150</v>
      </c>
      <c r="K371" s="99">
        <v>150</v>
      </c>
      <c r="L371" s="101"/>
      <c r="M371" s="100" t="str">
        <f>"10 - 10"</f>
        <v>10 - 10</v>
      </c>
      <c r="N371" s="91">
        <v>150</v>
      </c>
    </row>
    <row r="372" spans="2:14">
      <c r="B372" s="176"/>
      <c r="C372" s="174"/>
      <c r="D372" s="172"/>
      <c r="E372" s="23">
        <v>368</v>
      </c>
      <c r="F372" s="2">
        <v>36</v>
      </c>
      <c r="G372" s="107"/>
      <c r="H372" s="2">
        <v>0</v>
      </c>
      <c r="I372" s="90">
        <f>I371-F372</f>
        <v>34</v>
      </c>
      <c r="J372" s="99">
        <v>150</v>
      </c>
      <c r="K372" s="99">
        <v>150</v>
      </c>
      <c r="L372" s="101"/>
      <c r="M372" s="100">
        <v>20</v>
      </c>
      <c r="N372" s="91">
        <v>150</v>
      </c>
    </row>
    <row r="373" spans="2:14">
      <c r="B373" s="176"/>
      <c r="C373" s="174"/>
      <c r="D373" s="172"/>
      <c r="E373" s="23">
        <v>369</v>
      </c>
      <c r="F373" s="2">
        <v>56</v>
      </c>
      <c r="G373" s="107"/>
      <c r="H373" s="2">
        <v>0</v>
      </c>
      <c r="I373" s="109">
        <v>0</v>
      </c>
      <c r="J373" s="99">
        <v>150</v>
      </c>
      <c r="K373" s="99">
        <v>150</v>
      </c>
      <c r="L373" s="101"/>
      <c r="M373" s="100">
        <v>20</v>
      </c>
      <c r="N373" s="91">
        <v>150</v>
      </c>
    </row>
    <row r="374" spans="2:14">
      <c r="B374" s="176"/>
      <c r="C374" s="174"/>
      <c r="D374" s="172"/>
      <c r="E374" s="23">
        <v>370</v>
      </c>
      <c r="F374" s="2">
        <v>38</v>
      </c>
      <c r="G374" s="107"/>
      <c r="H374" s="113">
        <v>15</v>
      </c>
      <c r="I374" s="109">
        <v>0</v>
      </c>
      <c r="J374" s="99">
        <v>150</v>
      </c>
      <c r="K374" s="99">
        <v>150</v>
      </c>
      <c r="L374" s="101"/>
      <c r="M374" s="100">
        <v>20</v>
      </c>
      <c r="N374" s="91">
        <v>150</v>
      </c>
    </row>
    <row r="375" spans="2:14">
      <c r="B375" s="176"/>
      <c r="C375" s="174"/>
      <c r="D375" s="172"/>
      <c r="E375" s="23">
        <v>371</v>
      </c>
      <c r="F375" s="2">
        <v>44</v>
      </c>
      <c r="G375" s="107"/>
      <c r="H375" s="113">
        <v>44</v>
      </c>
      <c r="I375" s="109">
        <v>0</v>
      </c>
      <c r="J375" s="99">
        <v>150</v>
      </c>
      <c r="K375" s="99">
        <v>150</v>
      </c>
      <c r="L375" s="101"/>
      <c r="M375" s="100">
        <v>20</v>
      </c>
      <c r="N375" s="91">
        <v>150</v>
      </c>
    </row>
    <row r="376" spans="2:14">
      <c r="B376" s="176"/>
      <c r="C376" s="174"/>
      <c r="D376" s="172"/>
      <c r="E376" s="23">
        <v>372</v>
      </c>
      <c r="F376" s="2">
        <v>30</v>
      </c>
      <c r="G376" s="107"/>
      <c r="H376" s="113">
        <v>30</v>
      </c>
      <c r="I376" s="109">
        <v>0</v>
      </c>
      <c r="J376" s="99">
        <v>150</v>
      </c>
      <c r="K376" s="99">
        <v>150</v>
      </c>
      <c r="L376" s="101"/>
      <c r="M376" s="100">
        <v>20</v>
      </c>
      <c r="N376" s="91">
        <v>150</v>
      </c>
    </row>
    <row r="377" spans="2:14">
      <c r="B377" s="176"/>
      <c r="C377" s="174"/>
      <c r="D377" s="172"/>
      <c r="E377" s="23">
        <v>373</v>
      </c>
      <c r="F377" s="2">
        <v>49</v>
      </c>
      <c r="G377" s="107"/>
      <c r="H377" s="113">
        <v>49</v>
      </c>
      <c r="I377" s="109">
        <v>0</v>
      </c>
      <c r="J377" s="99">
        <v>150</v>
      </c>
      <c r="K377" s="99">
        <v>150</v>
      </c>
      <c r="L377" s="101"/>
      <c r="M377" s="100">
        <v>20</v>
      </c>
      <c r="N377" s="91">
        <v>150</v>
      </c>
    </row>
    <row r="378" spans="2:14">
      <c r="B378" s="176"/>
      <c r="C378" s="174"/>
      <c r="D378" s="172"/>
      <c r="E378" s="23">
        <v>374</v>
      </c>
      <c r="F378" s="2">
        <v>37</v>
      </c>
      <c r="G378" s="107"/>
      <c r="H378" s="113">
        <v>19</v>
      </c>
      <c r="I378" s="110">
        <v>150</v>
      </c>
      <c r="J378" s="23"/>
      <c r="K378" s="99">
        <v>150</v>
      </c>
      <c r="L378" s="101"/>
      <c r="M378" s="100">
        <v>20</v>
      </c>
      <c r="N378" s="91">
        <v>150</v>
      </c>
    </row>
    <row r="379" spans="2:14">
      <c r="B379" s="176"/>
      <c r="C379" s="174"/>
      <c r="D379" s="172"/>
      <c r="E379" s="23">
        <v>375</v>
      </c>
      <c r="F379" s="2">
        <v>33</v>
      </c>
      <c r="G379" s="107"/>
      <c r="H379" s="2">
        <v>0</v>
      </c>
      <c r="I379" s="90">
        <f>I378-F379-F378</f>
        <v>80</v>
      </c>
      <c r="J379" s="99">
        <v>150</v>
      </c>
      <c r="K379" s="99">
        <v>150</v>
      </c>
      <c r="L379" s="101"/>
      <c r="M379" s="100">
        <v>20</v>
      </c>
      <c r="N379" s="91">
        <v>150</v>
      </c>
    </row>
    <row r="380" spans="2:14">
      <c r="B380" s="176"/>
      <c r="C380" s="174"/>
      <c r="D380" s="172"/>
      <c r="E380" s="23">
        <v>376</v>
      </c>
      <c r="F380" s="2">
        <v>37</v>
      </c>
      <c r="G380" s="107"/>
      <c r="H380" s="2">
        <v>0</v>
      </c>
      <c r="I380" s="90">
        <f>I379-F380</f>
        <v>43</v>
      </c>
      <c r="J380" s="99">
        <v>150</v>
      </c>
      <c r="K380" s="99">
        <v>150</v>
      </c>
      <c r="L380" s="101"/>
      <c r="M380" s="100">
        <v>20</v>
      </c>
      <c r="N380" s="91">
        <v>150</v>
      </c>
    </row>
    <row r="381" spans="2:14">
      <c r="B381" s="176"/>
      <c r="C381" s="174"/>
      <c r="D381" s="172"/>
      <c r="E381" s="23">
        <v>377</v>
      </c>
      <c r="F381" s="2">
        <v>29</v>
      </c>
      <c r="G381" s="107"/>
      <c r="H381" s="2">
        <v>0</v>
      </c>
      <c r="I381" s="90">
        <f>I380-F381</f>
        <v>14</v>
      </c>
      <c r="J381" s="99">
        <v>150</v>
      </c>
      <c r="K381" s="99">
        <v>150</v>
      </c>
      <c r="L381" s="101"/>
      <c r="M381" s="100">
        <v>20</v>
      </c>
      <c r="N381" s="91">
        <v>150</v>
      </c>
    </row>
    <row r="382" spans="2:14">
      <c r="B382" s="176"/>
      <c r="C382" s="174"/>
      <c r="D382" s="172"/>
      <c r="E382" s="23">
        <v>378</v>
      </c>
      <c r="F382" s="2">
        <v>50</v>
      </c>
      <c r="G382" s="107"/>
      <c r="H382" s="113">
        <v>17</v>
      </c>
      <c r="I382" s="109">
        <v>0</v>
      </c>
      <c r="J382" s="99">
        <v>150</v>
      </c>
      <c r="K382" s="99">
        <v>150</v>
      </c>
      <c r="L382" s="101"/>
      <c r="M382" s="100">
        <v>20</v>
      </c>
      <c r="N382" s="91">
        <v>150</v>
      </c>
    </row>
    <row r="383" spans="2:14">
      <c r="B383" s="176"/>
      <c r="C383" s="174"/>
      <c r="D383" s="172"/>
      <c r="E383" s="23">
        <v>379</v>
      </c>
      <c r="F383" s="2">
        <v>48</v>
      </c>
      <c r="G383" s="107"/>
      <c r="H383" s="113">
        <v>48</v>
      </c>
      <c r="I383" s="109">
        <v>0</v>
      </c>
      <c r="J383" s="99">
        <v>150</v>
      </c>
      <c r="K383" s="99">
        <v>150</v>
      </c>
      <c r="L383" s="101"/>
      <c r="M383" s="100">
        <v>20</v>
      </c>
      <c r="N383" s="91">
        <v>150</v>
      </c>
    </row>
    <row r="384" spans="2:14">
      <c r="B384" s="176"/>
      <c r="C384" s="174"/>
      <c r="D384" s="172"/>
      <c r="E384" s="23">
        <v>380</v>
      </c>
      <c r="F384" s="2">
        <v>32</v>
      </c>
      <c r="G384" s="107"/>
      <c r="H384" s="113">
        <v>32</v>
      </c>
      <c r="I384" s="109">
        <v>0</v>
      </c>
      <c r="J384" s="99">
        <v>150</v>
      </c>
      <c r="K384" s="99">
        <v>150</v>
      </c>
      <c r="L384" s="101"/>
      <c r="M384" s="100">
        <v>20</v>
      </c>
      <c r="N384" s="91">
        <v>150</v>
      </c>
    </row>
    <row r="385" spans="2:14">
      <c r="B385" s="176"/>
      <c r="C385" s="174"/>
      <c r="D385" s="172"/>
      <c r="E385" s="23">
        <v>381</v>
      </c>
      <c r="F385" s="2">
        <v>40</v>
      </c>
      <c r="G385" s="107"/>
      <c r="H385" s="113">
        <v>40</v>
      </c>
      <c r="I385" s="109">
        <v>0</v>
      </c>
      <c r="J385" s="99">
        <v>150</v>
      </c>
      <c r="K385" s="99">
        <v>150</v>
      </c>
      <c r="L385" s="101"/>
      <c r="M385" s="100">
        <v>20</v>
      </c>
      <c r="N385" s="91">
        <v>150</v>
      </c>
    </row>
    <row r="386" spans="2:14">
      <c r="B386" s="176"/>
      <c r="C386" s="174"/>
      <c r="D386" s="172"/>
      <c r="E386" s="23">
        <v>382</v>
      </c>
      <c r="F386" s="2">
        <v>43</v>
      </c>
      <c r="G386" s="107"/>
      <c r="H386" s="2">
        <v>0</v>
      </c>
      <c r="I386" s="110">
        <v>150</v>
      </c>
      <c r="J386" s="23"/>
      <c r="K386" s="99">
        <v>150</v>
      </c>
      <c r="L386" s="101"/>
      <c r="M386" s="100" t="str">
        <f>"10 - 10"</f>
        <v>10 - 10</v>
      </c>
      <c r="N386" s="91">
        <v>150</v>
      </c>
    </row>
    <row r="387" spans="2:14">
      <c r="B387" s="176"/>
      <c r="C387" s="174"/>
      <c r="D387" s="172"/>
      <c r="E387" s="23">
        <v>383</v>
      </c>
      <c r="F387" s="2">
        <v>28</v>
      </c>
      <c r="G387" s="107"/>
      <c r="H387" s="2">
        <v>0</v>
      </c>
      <c r="I387" s="90">
        <f>I386-F387-F386</f>
        <v>79</v>
      </c>
      <c r="J387" s="99">
        <v>150</v>
      </c>
      <c r="K387" s="99">
        <v>150</v>
      </c>
      <c r="L387" s="101"/>
      <c r="M387" s="100">
        <v>20</v>
      </c>
      <c r="N387" s="91">
        <v>150</v>
      </c>
    </row>
    <row r="388" spans="2:14">
      <c r="B388" s="176"/>
      <c r="C388" s="174"/>
      <c r="D388" s="172"/>
      <c r="E388" s="23">
        <v>384</v>
      </c>
      <c r="F388" s="2">
        <v>43</v>
      </c>
      <c r="G388" s="107"/>
      <c r="H388" s="2">
        <v>0</v>
      </c>
      <c r="I388" s="90">
        <f>I387-F388</f>
        <v>36</v>
      </c>
      <c r="J388" s="99">
        <v>150</v>
      </c>
      <c r="K388" s="99">
        <v>150</v>
      </c>
      <c r="L388" s="101"/>
      <c r="M388" s="100">
        <v>20</v>
      </c>
      <c r="N388" s="91">
        <v>150</v>
      </c>
    </row>
    <row r="389" spans="2:14">
      <c r="B389" s="176"/>
      <c r="C389" s="174"/>
      <c r="D389" s="172"/>
      <c r="E389" s="23">
        <v>385</v>
      </c>
      <c r="F389" s="2">
        <v>34</v>
      </c>
      <c r="G389" s="107"/>
      <c r="H389" s="2">
        <v>0</v>
      </c>
      <c r="I389" s="90">
        <f>I388-F389</f>
        <v>2</v>
      </c>
      <c r="J389" s="99">
        <v>150</v>
      </c>
      <c r="K389" s="99">
        <v>150</v>
      </c>
      <c r="L389" s="101"/>
      <c r="M389" s="100">
        <v>20</v>
      </c>
      <c r="N389" s="91">
        <v>150</v>
      </c>
    </row>
    <row r="390" spans="2:14">
      <c r="B390" s="176"/>
      <c r="C390" s="174"/>
      <c r="D390" s="172"/>
      <c r="E390" s="23">
        <v>386</v>
      </c>
      <c r="F390" s="2">
        <v>50</v>
      </c>
      <c r="G390" s="107"/>
      <c r="H390" s="113">
        <v>48</v>
      </c>
      <c r="I390" s="109">
        <v>0</v>
      </c>
      <c r="J390" s="99">
        <v>150</v>
      </c>
      <c r="K390" s="99">
        <v>150</v>
      </c>
      <c r="L390" s="101"/>
      <c r="M390" s="100">
        <v>20</v>
      </c>
      <c r="N390" s="91">
        <v>150</v>
      </c>
    </row>
    <row r="391" spans="2:14">
      <c r="B391" s="176"/>
      <c r="C391" s="174"/>
      <c r="D391" s="172"/>
      <c r="E391" s="23">
        <v>387</v>
      </c>
      <c r="F391" s="2">
        <v>27</v>
      </c>
      <c r="G391" s="107"/>
      <c r="H391" s="113">
        <v>27</v>
      </c>
      <c r="I391" s="109">
        <v>0</v>
      </c>
      <c r="J391" s="99">
        <v>150</v>
      </c>
      <c r="K391" s="99">
        <v>150</v>
      </c>
      <c r="L391" s="101"/>
      <c r="M391" s="100">
        <v>20</v>
      </c>
      <c r="N391" s="91">
        <v>150</v>
      </c>
    </row>
    <row r="392" spans="2:14">
      <c r="B392" s="176"/>
      <c r="C392" s="174"/>
      <c r="D392" s="172"/>
      <c r="E392" s="23">
        <v>388</v>
      </c>
      <c r="F392" s="2">
        <v>50</v>
      </c>
      <c r="G392" s="107"/>
      <c r="H392" s="113">
        <v>50</v>
      </c>
      <c r="I392" s="109">
        <v>0</v>
      </c>
      <c r="J392" s="99">
        <v>150</v>
      </c>
      <c r="K392" s="99">
        <v>150</v>
      </c>
      <c r="L392" s="101"/>
      <c r="M392" s="100">
        <v>20</v>
      </c>
      <c r="N392" s="91">
        <v>150</v>
      </c>
    </row>
    <row r="393" spans="2:14">
      <c r="B393" s="176"/>
      <c r="C393" s="174"/>
      <c r="D393" s="172"/>
      <c r="E393" s="23">
        <v>389</v>
      </c>
      <c r="F393" s="2">
        <v>57</v>
      </c>
      <c r="G393" s="107"/>
      <c r="H393" s="113">
        <v>25</v>
      </c>
      <c r="I393" s="109">
        <v>0</v>
      </c>
      <c r="J393" s="99">
        <v>150</v>
      </c>
      <c r="K393" s="99">
        <v>150</v>
      </c>
      <c r="L393" s="101"/>
      <c r="M393" s="100">
        <v>20</v>
      </c>
      <c r="N393" s="91">
        <v>150</v>
      </c>
    </row>
    <row r="394" spans="2:14">
      <c r="B394" s="176"/>
      <c r="C394" s="174"/>
      <c r="D394" s="172"/>
      <c r="E394" s="23">
        <v>390</v>
      </c>
      <c r="F394" s="2">
        <v>38</v>
      </c>
      <c r="G394" s="107"/>
      <c r="H394" s="2">
        <v>0</v>
      </c>
      <c r="I394" s="110">
        <v>150</v>
      </c>
      <c r="J394" s="23"/>
      <c r="K394" s="99">
        <v>150</v>
      </c>
      <c r="L394" s="101"/>
      <c r="M394" s="100">
        <v>20</v>
      </c>
      <c r="N394" s="91">
        <v>150</v>
      </c>
    </row>
    <row r="395" spans="2:14">
      <c r="B395" s="176"/>
      <c r="C395" s="174"/>
      <c r="D395" s="172"/>
      <c r="E395" s="23">
        <v>391</v>
      </c>
      <c r="F395" s="2">
        <v>31</v>
      </c>
      <c r="G395" s="107"/>
      <c r="H395" s="2">
        <v>0</v>
      </c>
      <c r="I395" s="90">
        <f>I394-F395-F394</f>
        <v>81</v>
      </c>
      <c r="J395" s="99">
        <v>150</v>
      </c>
      <c r="K395" s="99">
        <v>150</v>
      </c>
      <c r="L395" s="47"/>
      <c r="M395" s="100">
        <v>20</v>
      </c>
      <c r="N395" s="91">
        <v>150</v>
      </c>
    </row>
    <row r="396" spans="2:14">
      <c r="B396" s="176"/>
      <c r="C396" s="174"/>
      <c r="D396" s="172"/>
      <c r="E396" s="23">
        <v>392</v>
      </c>
      <c r="F396" s="2">
        <v>45</v>
      </c>
      <c r="G396" s="107"/>
      <c r="H396" s="2">
        <v>0</v>
      </c>
      <c r="I396" s="90">
        <f>I395-F396</f>
        <v>36</v>
      </c>
      <c r="J396" s="99">
        <v>150</v>
      </c>
      <c r="K396" s="99">
        <v>150</v>
      </c>
      <c r="L396" s="101"/>
      <c r="M396" s="100">
        <v>20</v>
      </c>
      <c r="N396" s="91">
        <v>150</v>
      </c>
    </row>
    <row r="397" spans="2:14">
      <c r="B397" s="176"/>
      <c r="C397" s="174"/>
      <c r="D397" s="172"/>
      <c r="E397" s="23">
        <v>393</v>
      </c>
      <c r="F397" s="2">
        <v>44</v>
      </c>
      <c r="G397" s="107"/>
      <c r="H397" s="113">
        <v>40</v>
      </c>
      <c r="I397" s="109">
        <v>0</v>
      </c>
      <c r="J397" s="99">
        <v>150</v>
      </c>
      <c r="K397" s="99">
        <v>150</v>
      </c>
      <c r="L397" s="101"/>
      <c r="M397" s="100">
        <v>20</v>
      </c>
      <c r="N397" s="91">
        <v>150</v>
      </c>
    </row>
    <row r="398" spans="2:14">
      <c r="B398" s="176"/>
      <c r="C398" s="174"/>
      <c r="D398" s="172"/>
      <c r="E398" s="23">
        <v>394</v>
      </c>
      <c r="F398" s="2">
        <v>37</v>
      </c>
      <c r="G398" s="107"/>
      <c r="H398" s="113">
        <v>37</v>
      </c>
      <c r="I398" s="109">
        <v>0</v>
      </c>
      <c r="J398" s="99">
        <v>150</v>
      </c>
      <c r="K398" s="99">
        <v>150</v>
      </c>
      <c r="L398" s="101"/>
      <c r="M398" s="100">
        <v>20</v>
      </c>
      <c r="N398" s="91">
        <v>150</v>
      </c>
    </row>
    <row r="399" spans="2:14">
      <c r="B399" s="176"/>
      <c r="C399" s="174"/>
      <c r="D399" s="172"/>
      <c r="E399" s="23">
        <v>395</v>
      </c>
      <c r="F399" s="2">
        <v>33</v>
      </c>
      <c r="G399" s="107"/>
      <c r="H399" s="113">
        <v>33</v>
      </c>
      <c r="I399" s="109">
        <v>0</v>
      </c>
      <c r="J399" s="99">
        <v>150</v>
      </c>
      <c r="K399" s="99">
        <v>150</v>
      </c>
      <c r="L399" s="101"/>
      <c r="M399" s="100">
        <v>20</v>
      </c>
      <c r="N399" s="91">
        <v>150</v>
      </c>
    </row>
    <row r="400" spans="2:14">
      <c r="B400" s="176"/>
      <c r="C400" s="174"/>
      <c r="D400" s="173"/>
      <c r="E400" s="23">
        <v>396</v>
      </c>
      <c r="F400" s="2">
        <v>49</v>
      </c>
      <c r="G400" s="107"/>
      <c r="H400" s="113">
        <v>49</v>
      </c>
      <c r="I400" s="109">
        <v>0</v>
      </c>
      <c r="J400" s="99">
        <v>150</v>
      </c>
      <c r="K400" s="99">
        <v>150</v>
      </c>
      <c r="L400" s="101"/>
      <c r="M400" s="100">
        <v>20</v>
      </c>
      <c r="N400" s="91">
        <v>150</v>
      </c>
    </row>
    <row r="401" spans="2:14">
      <c r="B401" s="176"/>
      <c r="C401" s="174"/>
      <c r="D401" s="171" t="s">
        <v>42</v>
      </c>
      <c r="E401" s="23">
        <v>397</v>
      </c>
      <c r="F401" s="2">
        <v>42</v>
      </c>
      <c r="G401" s="107"/>
      <c r="H401" s="2">
        <v>0</v>
      </c>
      <c r="I401" s="109">
        <v>0</v>
      </c>
      <c r="J401" s="99">
        <v>150</v>
      </c>
      <c r="K401" s="99">
        <v>150</v>
      </c>
      <c r="L401" s="101"/>
      <c r="M401" s="100" t="str">
        <f>"10 - 10"</f>
        <v>10 - 10</v>
      </c>
      <c r="N401" s="91">
        <v>150</v>
      </c>
    </row>
    <row r="402" spans="2:14">
      <c r="B402" s="176"/>
      <c r="C402" s="174"/>
      <c r="D402" s="172"/>
      <c r="E402" s="23">
        <v>398</v>
      </c>
      <c r="F402" s="2">
        <v>42</v>
      </c>
      <c r="G402" s="107"/>
      <c r="H402" s="2">
        <v>0</v>
      </c>
      <c r="I402" s="110">
        <v>150</v>
      </c>
      <c r="J402" s="23"/>
      <c r="K402" s="99">
        <v>150</v>
      </c>
      <c r="L402" s="101"/>
      <c r="M402" s="100">
        <v>20</v>
      </c>
      <c r="N402" s="91">
        <v>150</v>
      </c>
    </row>
    <row r="403" spans="2:14">
      <c r="B403" s="176"/>
      <c r="C403" s="174"/>
      <c r="D403" s="172"/>
      <c r="E403" s="23">
        <v>399</v>
      </c>
      <c r="F403" s="2">
        <v>49</v>
      </c>
      <c r="G403" s="107"/>
      <c r="H403" s="2">
        <v>0</v>
      </c>
      <c r="I403" s="90">
        <f>I402-F403-F402</f>
        <v>59</v>
      </c>
      <c r="J403" s="99">
        <v>150</v>
      </c>
      <c r="K403" s="99">
        <v>150</v>
      </c>
      <c r="L403" s="101"/>
      <c r="M403" s="100">
        <v>20</v>
      </c>
      <c r="N403" s="91">
        <v>150</v>
      </c>
    </row>
    <row r="404" spans="2:14">
      <c r="B404" s="176"/>
      <c r="C404" s="174"/>
      <c r="D404" s="172"/>
      <c r="E404" s="23">
        <v>400</v>
      </c>
      <c r="F404" s="2">
        <v>28</v>
      </c>
      <c r="G404" s="107"/>
      <c r="H404" s="113">
        <v>11</v>
      </c>
      <c r="I404" s="90">
        <f>I403-F404</f>
        <v>31</v>
      </c>
      <c r="J404" s="99">
        <v>150</v>
      </c>
      <c r="K404" s="99">
        <v>150</v>
      </c>
      <c r="L404" s="101"/>
      <c r="M404" s="100">
        <v>20</v>
      </c>
      <c r="N404" s="91">
        <v>150</v>
      </c>
    </row>
    <row r="405" spans="2:14">
      <c r="B405" s="176"/>
      <c r="C405" s="174"/>
      <c r="D405" s="172"/>
      <c r="E405" s="23">
        <v>401</v>
      </c>
      <c r="F405" s="2">
        <v>38</v>
      </c>
      <c r="G405" s="107"/>
      <c r="H405" s="113">
        <v>38</v>
      </c>
      <c r="I405" s="109">
        <v>0</v>
      </c>
      <c r="J405" s="99">
        <v>150</v>
      </c>
      <c r="K405" s="99">
        <v>150</v>
      </c>
      <c r="L405" s="101"/>
      <c r="M405" s="100">
        <v>20</v>
      </c>
      <c r="N405" s="91">
        <v>150</v>
      </c>
    </row>
    <row r="406" spans="2:14">
      <c r="B406" s="176"/>
      <c r="C406" s="174"/>
      <c r="D406" s="172"/>
      <c r="E406" s="23">
        <v>402</v>
      </c>
      <c r="F406" s="2">
        <v>42</v>
      </c>
      <c r="G406" s="107"/>
      <c r="H406" s="113">
        <v>42</v>
      </c>
      <c r="I406" s="109">
        <v>0</v>
      </c>
      <c r="J406" s="99">
        <v>150</v>
      </c>
      <c r="K406" s="99">
        <v>150</v>
      </c>
      <c r="L406" s="101"/>
      <c r="M406" s="100">
        <v>20</v>
      </c>
      <c r="N406" s="91">
        <v>150</v>
      </c>
    </row>
    <row r="407" spans="2:14">
      <c r="B407" s="176"/>
      <c r="C407" s="174"/>
      <c r="D407" s="172"/>
      <c r="E407" s="23">
        <v>403</v>
      </c>
      <c r="F407" s="2">
        <v>41</v>
      </c>
      <c r="G407" s="107"/>
      <c r="H407" s="113">
        <v>41</v>
      </c>
      <c r="I407" s="109">
        <v>0</v>
      </c>
      <c r="J407" s="99">
        <v>150</v>
      </c>
      <c r="K407" s="99">
        <v>150</v>
      </c>
      <c r="L407" s="101"/>
      <c r="M407" s="100">
        <v>20</v>
      </c>
      <c r="N407" s="91">
        <v>150</v>
      </c>
    </row>
    <row r="408" spans="2:14">
      <c r="B408" s="176"/>
      <c r="C408" s="174"/>
      <c r="D408" s="172"/>
      <c r="E408" s="23">
        <v>404</v>
      </c>
      <c r="F408" s="2">
        <v>51</v>
      </c>
      <c r="G408" s="107"/>
      <c r="H408" s="113">
        <v>18</v>
      </c>
      <c r="I408" s="109">
        <v>0</v>
      </c>
      <c r="J408" s="99">
        <v>150</v>
      </c>
      <c r="K408" s="99">
        <v>150</v>
      </c>
      <c r="L408" s="101"/>
      <c r="M408" s="100">
        <v>20</v>
      </c>
      <c r="N408" s="91">
        <v>150</v>
      </c>
    </row>
    <row r="409" spans="2:14">
      <c r="B409" s="176"/>
      <c r="C409" s="174"/>
      <c r="D409" s="172"/>
      <c r="E409" s="23">
        <v>405</v>
      </c>
      <c r="F409" s="2">
        <v>40</v>
      </c>
      <c r="G409" s="107"/>
      <c r="H409" s="2">
        <v>0</v>
      </c>
      <c r="I409" s="109">
        <v>0</v>
      </c>
      <c r="J409" s="99">
        <v>150</v>
      </c>
      <c r="K409" s="99">
        <v>150</v>
      </c>
      <c r="L409" s="101"/>
      <c r="M409" s="100">
        <v>20</v>
      </c>
      <c r="N409" s="91">
        <v>150</v>
      </c>
    </row>
    <row r="410" spans="2:14">
      <c r="B410" s="176"/>
      <c r="C410" s="174"/>
      <c r="D410" s="172"/>
      <c r="E410" s="23">
        <v>406</v>
      </c>
      <c r="F410" s="2">
        <v>45</v>
      </c>
      <c r="G410" s="107"/>
      <c r="H410" s="2">
        <v>0</v>
      </c>
      <c r="I410" s="110">
        <v>150</v>
      </c>
      <c r="J410" s="23"/>
      <c r="K410" s="99">
        <v>150</v>
      </c>
      <c r="L410" s="101"/>
      <c r="M410" s="100">
        <v>20</v>
      </c>
      <c r="N410" s="91">
        <v>150</v>
      </c>
    </row>
    <row r="411" spans="2:14">
      <c r="B411" s="176"/>
      <c r="C411" s="174"/>
      <c r="D411" s="172"/>
      <c r="E411" s="23">
        <v>407</v>
      </c>
      <c r="F411" s="2">
        <v>42</v>
      </c>
      <c r="G411" s="107"/>
      <c r="H411" s="113">
        <v>10</v>
      </c>
      <c r="I411" s="90">
        <f>I410-F411-F410</f>
        <v>63</v>
      </c>
      <c r="J411" s="99">
        <v>150</v>
      </c>
      <c r="K411" s="99">
        <v>150</v>
      </c>
      <c r="L411" s="101"/>
      <c r="M411" s="100">
        <v>20</v>
      </c>
      <c r="N411" s="91">
        <v>150</v>
      </c>
    </row>
    <row r="412" spans="2:14">
      <c r="B412" s="176"/>
      <c r="C412" s="174"/>
      <c r="D412" s="172"/>
      <c r="E412" s="23">
        <v>408</v>
      </c>
      <c r="F412" s="2">
        <v>51</v>
      </c>
      <c r="G412" s="107"/>
      <c r="H412" s="113">
        <v>51</v>
      </c>
      <c r="I412" s="90">
        <f>I411-F412</f>
        <v>12</v>
      </c>
      <c r="J412" s="99">
        <v>150</v>
      </c>
      <c r="K412" s="99">
        <v>150</v>
      </c>
      <c r="L412" s="101"/>
      <c r="M412" s="100">
        <v>20</v>
      </c>
      <c r="N412" s="91">
        <v>150</v>
      </c>
    </row>
    <row r="413" spans="2:14">
      <c r="B413" s="176"/>
      <c r="C413" s="174"/>
      <c r="D413" s="172"/>
      <c r="E413" s="23">
        <v>409</v>
      </c>
      <c r="F413" s="2">
        <v>47</v>
      </c>
      <c r="G413" s="107"/>
      <c r="H413" s="113">
        <v>47</v>
      </c>
      <c r="I413" s="109">
        <v>0</v>
      </c>
      <c r="J413" s="99">
        <v>150</v>
      </c>
      <c r="K413" s="99">
        <v>150</v>
      </c>
      <c r="L413" s="101"/>
      <c r="M413" s="100">
        <v>20</v>
      </c>
      <c r="N413" s="91">
        <v>150</v>
      </c>
    </row>
    <row r="414" spans="2:14">
      <c r="B414" s="176"/>
      <c r="C414" s="174"/>
      <c r="D414" s="172"/>
      <c r="E414" s="23">
        <v>410</v>
      </c>
      <c r="F414" s="2">
        <v>54</v>
      </c>
      <c r="G414" s="107"/>
      <c r="H414" s="113">
        <v>54</v>
      </c>
      <c r="I414" s="109">
        <v>0</v>
      </c>
      <c r="J414" s="99">
        <v>150</v>
      </c>
      <c r="K414" s="99">
        <v>150</v>
      </c>
      <c r="L414" s="101"/>
      <c r="M414" s="100">
        <v>20</v>
      </c>
      <c r="N414" s="91">
        <v>150</v>
      </c>
    </row>
    <row r="415" spans="2:14">
      <c r="B415" s="176"/>
      <c r="C415" s="174"/>
      <c r="D415" s="172"/>
      <c r="E415" s="23">
        <v>411</v>
      </c>
      <c r="F415" s="2">
        <v>25</v>
      </c>
      <c r="G415" s="107"/>
      <c r="H415" s="113">
        <v>25</v>
      </c>
      <c r="I415" s="109">
        <v>0</v>
      </c>
      <c r="J415" s="99">
        <v>150</v>
      </c>
      <c r="K415" s="99">
        <v>150</v>
      </c>
      <c r="L415" s="101"/>
      <c r="M415" s="100">
        <v>20</v>
      </c>
      <c r="N415" s="91">
        <v>150</v>
      </c>
    </row>
    <row r="416" spans="2:14">
      <c r="B416" s="176"/>
      <c r="C416" s="174"/>
      <c r="D416" s="172"/>
      <c r="E416" s="23">
        <v>412</v>
      </c>
      <c r="F416" s="2">
        <v>39</v>
      </c>
      <c r="G416" s="107"/>
      <c r="H416" s="2">
        <v>0</v>
      </c>
      <c r="I416" s="109">
        <v>0</v>
      </c>
      <c r="J416" s="99">
        <v>150</v>
      </c>
      <c r="K416" s="99">
        <v>150</v>
      </c>
      <c r="L416" s="101"/>
      <c r="M416" s="100" t="str">
        <f>"10 - 10"</f>
        <v>10 - 10</v>
      </c>
      <c r="N416" s="91">
        <v>150</v>
      </c>
    </row>
    <row r="417" spans="2:14">
      <c r="B417" s="176"/>
      <c r="C417" s="174"/>
      <c r="D417" s="172"/>
      <c r="E417" s="23">
        <v>413</v>
      </c>
      <c r="F417" s="2">
        <v>41</v>
      </c>
      <c r="G417" s="107"/>
      <c r="H417" s="2">
        <v>0</v>
      </c>
      <c r="I417" s="109">
        <v>0</v>
      </c>
      <c r="J417" s="99">
        <v>150</v>
      </c>
      <c r="K417" s="99">
        <v>150</v>
      </c>
      <c r="L417" s="101"/>
      <c r="M417" s="100">
        <v>20</v>
      </c>
      <c r="N417" s="91">
        <v>150</v>
      </c>
    </row>
    <row r="418" spans="2:14">
      <c r="B418" s="176"/>
      <c r="C418" s="174"/>
      <c r="D418" s="172"/>
      <c r="E418" s="23">
        <v>414</v>
      </c>
      <c r="F418" s="2">
        <v>42</v>
      </c>
      <c r="G418" s="107"/>
      <c r="H418" s="2">
        <v>0</v>
      </c>
      <c r="I418" s="110">
        <v>150</v>
      </c>
      <c r="J418" s="23"/>
      <c r="K418" s="99">
        <v>150</v>
      </c>
      <c r="L418" s="101"/>
      <c r="M418" s="100">
        <v>20</v>
      </c>
      <c r="N418" s="91">
        <v>150</v>
      </c>
    </row>
    <row r="419" spans="2:14">
      <c r="B419" s="176"/>
      <c r="C419" s="174"/>
      <c r="D419" s="172"/>
      <c r="E419" s="23">
        <v>415</v>
      </c>
      <c r="F419" s="2">
        <v>41</v>
      </c>
      <c r="G419" s="107"/>
      <c r="H419" s="113">
        <v>13</v>
      </c>
      <c r="I419" s="90">
        <f>I418-F419-F418</f>
        <v>67</v>
      </c>
      <c r="J419" s="99">
        <v>150</v>
      </c>
      <c r="K419" s="99">
        <v>150</v>
      </c>
      <c r="L419" s="101"/>
      <c r="M419" s="100">
        <v>20</v>
      </c>
      <c r="N419" s="91">
        <v>150</v>
      </c>
    </row>
    <row r="420" spans="2:14">
      <c r="B420" s="176"/>
      <c r="C420" s="174"/>
      <c r="D420" s="172"/>
      <c r="E420" s="23">
        <v>416</v>
      </c>
      <c r="F420" s="2">
        <v>38</v>
      </c>
      <c r="G420" s="107"/>
      <c r="H420" s="113">
        <v>38</v>
      </c>
      <c r="I420" s="90">
        <f>I419-F420</f>
        <v>29</v>
      </c>
      <c r="J420" s="99">
        <v>150</v>
      </c>
      <c r="K420" s="99">
        <v>150</v>
      </c>
      <c r="L420" s="101"/>
      <c r="M420" s="100">
        <v>20</v>
      </c>
      <c r="N420" s="91">
        <v>150</v>
      </c>
    </row>
    <row r="421" spans="2:14">
      <c r="B421" s="176"/>
      <c r="C421" s="174"/>
      <c r="D421" s="172"/>
      <c r="E421" s="23">
        <v>417</v>
      </c>
      <c r="F421" s="2">
        <v>44</v>
      </c>
      <c r="G421" s="107"/>
      <c r="H421" s="113">
        <v>44</v>
      </c>
      <c r="I421" s="109">
        <v>0</v>
      </c>
      <c r="J421" s="99">
        <v>150</v>
      </c>
      <c r="K421" s="99">
        <v>150</v>
      </c>
      <c r="L421" s="101"/>
      <c r="M421" s="100">
        <v>20</v>
      </c>
      <c r="N421" s="91">
        <v>150</v>
      </c>
    </row>
    <row r="422" spans="2:14">
      <c r="B422" s="176"/>
      <c r="C422" s="174"/>
      <c r="D422" s="172"/>
      <c r="E422" s="23">
        <v>418</v>
      </c>
      <c r="F422" s="2">
        <v>38</v>
      </c>
      <c r="G422" s="107"/>
      <c r="H422" s="113">
        <v>38</v>
      </c>
      <c r="I422" s="109">
        <v>0</v>
      </c>
      <c r="J422" s="99">
        <v>150</v>
      </c>
      <c r="K422" s="99">
        <v>150</v>
      </c>
      <c r="L422" s="101"/>
      <c r="M422" s="100">
        <v>20</v>
      </c>
      <c r="N422" s="91">
        <v>150</v>
      </c>
    </row>
    <row r="423" spans="2:14">
      <c r="B423" s="176"/>
      <c r="C423" s="174"/>
      <c r="D423" s="172"/>
      <c r="E423" s="23">
        <v>419</v>
      </c>
      <c r="F423" s="2">
        <v>37</v>
      </c>
      <c r="G423" s="107"/>
      <c r="H423" s="113">
        <v>15</v>
      </c>
      <c r="I423" s="109">
        <v>0</v>
      </c>
      <c r="J423" s="99">
        <v>150</v>
      </c>
      <c r="K423" s="99">
        <v>150</v>
      </c>
      <c r="L423" s="101"/>
      <c r="M423" s="100">
        <v>20</v>
      </c>
      <c r="N423" s="91">
        <v>150</v>
      </c>
    </row>
    <row r="424" spans="2:14">
      <c r="B424" s="176"/>
      <c r="C424" s="174"/>
      <c r="D424" s="172"/>
      <c r="E424" s="23">
        <v>420</v>
      </c>
      <c r="F424" s="2">
        <v>53</v>
      </c>
      <c r="G424" s="107"/>
      <c r="H424" s="2">
        <v>0</v>
      </c>
      <c r="I424" s="109">
        <v>0</v>
      </c>
      <c r="J424" s="99">
        <v>150</v>
      </c>
      <c r="K424" s="99">
        <v>150</v>
      </c>
      <c r="L424" s="101"/>
      <c r="M424" s="100">
        <v>20</v>
      </c>
      <c r="N424" s="91">
        <v>150</v>
      </c>
    </row>
    <row r="425" spans="2:14">
      <c r="B425" s="176"/>
      <c r="C425" s="174"/>
      <c r="D425" s="172"/>
      <c r="E425" s="23">
        <v>421</v>
      </c>
      <c r="F425" s="2">
        <v>46</v>
      </c>
      <c r="G425" s="107"/>
      <c r="H425" s="2">
        <v>0</v>
      </c>
      <c r="I425" s="109">
        <v>0</v>
      </c>
      <c r="J425" s="99">
        <v>150</v>
      </c>
      <c r="K425" s="99">
        <v>150</v>
      </c>
      <c r="L425" s="101"/>
      <c r="M425" s="100">
        <v>20</v>
      </c>
      <c r="N425" s="91">
        <v>150</v>
      </c>
    </row>
    <row r="426" spans="2:14">
      <c r="B426" s="176"/>
      <c r="C426" s="174"/>
      <c r="D426" s="172"/>
      <c r="E426" s="23">
        <v>422</v>
      </c>
      <c r="F426" s="2">
        <v>36</v>
      </c>
      <c r="G426" s="107"/>
      <c r="H426" s="113">
        <v>7</v>
      </c>
      <c r="I426" s="110">
        <v>150</v>
      </c>
      <c r="J426" s="23"/>
      <c r="K426" s="99">
        <v>150</v>
      </c>
      <c r="L426" s="101"/>
      <c r="M426" s="100">
        <v>20</v>
      </c>
      <c r="N426" s="91">
        <v>150</v>
      </c>
    </row>
    <row r="427" spans="2:14">
      <c r="B427" s="176"/>
      <c r="C427" s="174"/>
      <c r="D427" s="172"/>
      <c r="E427" s="23">
        <v>423</v>
      </c>
      <c r="F427" s="2">
        <v>40</v>
      </c>
      <c r="G427" s="107"/>
      <c r="H427" s="113">
        <v>40</v>
      </c>
      <c r="I427" s="90">
        <f>I426-F427-F426</f>
        <v>74</v>
      </c>
      <c r="J427" s="99">
        <v>150</v>
      </c>
      <c r="K427" s="99">
        <v>150</v>
      </c>
      <c r="L427" s="101"/>
      <c r="M427" s="100">
        <v>20</v>
      </c>
      <c r="N427" s="91">
        <v>150</v>
      </c>
    </row>
    <row r="428" spans="2:14">
      <c r="B428" s="176"/>
      <c r="C428" s="174"/>
      <c r="D428" s="173"/>
      <c r="E428" s="23">
        <v>424</v>
      </c>
      <c r="F428" s="2">
        <v>42</v>
      </c>
      <c r="G428" s="107"/>
      <c r="H428" s="113">
        <v>42</v>
      </c>
      <c r="I428" s="90">
        <f>I427-F428</f>
        <v>32</v>
      </c>
      <c r="J428" s="99">
        <v>150</v>
      </c>
      <c r="K428" s="99">
        <v>150</v>
      </c>
      <c r="L428" s="101"/>
      <c r="M428" s="100">
        <v>20</v>
      </c>
      <c r="N428" s="91">
        <v>150</v>
      </c>
    </row>
    <row r="429" spans="2:14">
      <c r="B429" s="176"/>
      <c r="C429" s="174"/>
      <c r="D429" s="171" t="s">
        <v>43</v>
      </c>
      <c r="E429" s="23">
        <v>425</v>
      </c>
      <c r="F429" s="2">
        <v>39</v>
      </c>
      <c r="G429" s="107"/>
      <c r="H429" s="113">
        <v>39</v>
      </c>
      <c r="I429" s="109">
        <v>0</v>
      </c>
      <c r="J429" s="99">
        <v>150</v>
      </c>
      <c r="K429" s="99">
        <v>150</v>
      </c>
      <c r="L429" s="101"/>
      <c r="M429" s="100">
        <v>20</v>
      </c>
      <c r="N429" s="91">
        <v>150</v>
      </c>
    </row>
    <row r="430" spans="2:14">
      <c r="B430" s="176"/>
      <c r="C430" s="174"/>
      <c r="D430" s="172"/>
      <c r="E430" s="23">
        <v>426</v>
      </c>
      <c r="F430" s="2">
        <v>38</v>
      </c>
      <c r="G430" s="107"/>
      <c r="H430" s="113">
        <v>38</v>
      </c>
      <c r="I430" s="109">
        <v>0</v>
      </c>
      <c r="J430" s="99">
        <v>150</v>
      </c>
      <c r="K430" s="99">
        <v>150</v>
      </c>
      <c r="L430" s="101"/>
      <c r="M430" s="100">
        <v>20</v>
      </c>
      <c r="N430" s="91">
        <v>150</v>
      </c>
    </row>
    <row r="431" spans="2:14">
      <c r="B431" s="176"/>
      <c r="C431" s="174"/>
      <c r="D431" s="172"/>
      <c r="E431" s="23">
        <v>427</v>
      </c>
      <c r="F431" s="2">
        <v>38</v>
      </c>
      <c r="G431" s="107"/>
      <c r="H431" s="2">
        <v>0</v>
      </c>
      <c r="I431" s="109">
        <v>0</v>
      </c>
      <c r="J431" s="99">
        <v>150</v>
      </c>
      <c r="K431" s="99">
        <v>150</v>
      </c>
      <c r="L431" s="101"/>
      <c r="M431" s="100" t="str">
        <f>"10 - 10"</f>
        <v>10 - 10</v>
      </c>
      <c r="N431" s="91">
        <v>150</v>
      </c>
    </row>
    <row r="432" spans="2:14">
      <c r="B432" s="176"/>
      <c r="C432" s="174"/>
      <c r="D432" s="172"/>
      <c r="E432" s="23">
        <v>428</v>
      </c>
      <c r="F432" s="2">
        <v>42</v>
      </c>
      <c r="G432" s="107"/>
      <c r="H432" s="2">
        <v>0</v>
      </c>
      <c r="I432" s="109">
        <v>0</v>
      </c>
      <c r="J432" s="99">
        <v>150</v>
      </c>
      <c r="K432" s="99">
        <v>150</v>
      </c>
      <c r="L432" s="101"/>
      <c r="M432" s="100">
        <v>20</v>
      </c>
      <c r="N432" s="91">
        <v>150</v>
      </c>
    </row>
    <row r="433" spans="2:14">
      <c r="B433" s="176"/>
      <c r="C433" s="174"/>
      <c r="D433" s="172"/>
      <c r="E433" s="23">
        <v>429</v>
      </c>
      <c r="F433" s="2">
        <v>42</v>
      </c>
      <c r="G433" s="107"/>
      <c r="H433" s="2">
        <v>0</v>
      </c>
      <c r="I433" s="109">
        <v>0</v>
      </c>
      <c r="J433" s="99">
        <v>150</v>
      </c>
      <c r="K433" s="99">
        <v>150</v>
      </c>
      <c r="L433" s="101"/>
      <c r="M433" s="100">
        <v>20</v>
      </c>
      <c r="N433" s="91">
        <v>150</v>
      </c>
    </row>
    <row r="434" spans="2:14">
      <c r="B434" s="176"/>
      <c r="C434" s="174"/>
      <c r="D434" s="172"/>
      <c r="E434" s="23">
        <v>430</v>
      </c>
      <c r="F434" s="2">
        <v>45</v>
      </c>
      <c r="G434" s="107"/>
      <c r="H434" s="113">
        <v>17</v>
      </c>
      <c r="I434" s="110">
        <v>150</v>
      </c>
      <c r="J434" s="23"/>
      <c r="K434" s="99">
        <v>150</v>
      </c>
      <c r="L434" s="101"/>
      <c r="M434" s="100">
        <v>20</v>
      </c>
      <c r="N434" s="91">
        <v>150</v>
      </c>
    </row>
    <row r="435" spans="2:14">
      <c r="B435" s="176"/>
      <c r="C435" s="174"/>
      <c r="D435" s="172"/>
      <c r="E435" s="23">
        <v>431</v>
      </c>
      <c r="F435" s="2">
        <v>34</v>
      </c>
      <c r="G435" s="107"/>
      <c r="H435" s="113">
        <v>34</v>
      </c>
      <c r="I435" s="90">
        <f>I434-F435-F434</f>
        <v>71</v>
      </c>
      <c r="J435" s="99">
        <v>150</v>
      </c>
      <c r="K435" s="99">
        <v>150</v>
      </c>
      <c r="L435" s="47"/>
      <c r="M435" s="100">
        <v>20</v>
      </c>
      <c r="N435" s="91">
        <v>150</v>
      </c>
    </row>
    <row r="436" spans="2:14">
      <c r="B436" s="176"/>
      <c r="C436" s="174"/>
      <c r="D436" s="172"/>
      <c r="E436" s="23">
        <v>432</v>
      </c>
      <c r="F436" s="2">
        <v>51</v>
      </c>
      <c r="G436" s="107"/>
      <c r="H436" s="113">
        <v>51</v>
      </c>
      <c r="I436" s="90">
        <f>I435-F436</f>
        <v>20</v>
      </c>
      <c r="J436" s="99">
        <v>150</v>
      </c>
      <c r="K436" s="99">
        <v>150</v>
      </c>
      <c r="L436" s="101"/>
      <c r="M436" s="100">
        <v>20</v>
      </c>
      <c r="N436" s="91">
        <v>150</v>
      </c>
    </row>
    <row r="437" spans="2:14">
      <c r="B437" s="176"/>
      <c r="C437" s="174"/>
      <c r="D437" s="172"/>
      <c r="E437" s="23">
        <v>433</v>
      </c>
      <c r="F437" s="2">
        <v>34</v>
      </c>
      <c r="G437" s="107"/>
      <c r="H437" s="113">
        <v>34</v>
      </c>
      <c r="I437" s="109">
        <v>0</v>
      </c>
      <c r="J437" s="99">
        <v>150</v>
      </c>
      <c r="K437" s="99">
        <v>150</v>
      </c>
      <c r="L437" s="101"/>
      <c r="M437" s="100">
        <v>20</v>
      </c>
      <c r="N437" s="91">
        <v>150</v>
      </c>
    </row>
    <row r="438" spans="2:14">
      <c r="B438" s="176"/>
      <c r="C438" s="174"/>
      <c r="D438" s="172"/>
      <c r="E438" s="23">
        <v>434</v>
      </c>
      <c r="F438" s="2">
        <v>36</v>
      </c>
      <c r="G438" s="107"/>
      <c r="H438" s="113">
        <v>23</v>
      </c>
      <c r="I438" s="109">
        <v>0</v>
      </c>
      <c r="J438" s="99">
        <v>150</v>
      </c>
      <c r="K438" s="99">
        <v>150</v>
      </c>
      <c r="L438" s="101"/>
      <c r="M438" s="100">
        <v>20</v>
      </c>
      <c r="N438" s="91">
        <v>150</v>
      </c>
    </row>
    <row r="439" spans="2:14">
      <c r="B439" s="176"/>
      <c r="C439" s="174"/>
      <c r="D439" s="172"/>
      <c r="E439" s="23">
        <v>435</v>
      </c>
      <c r="F439" s="2">
        <v>54</v>
      </c>
      <c r="G439" s="107"/>
      <c r="H439" s="2">
        <v>0</v>
      </c>
      <c r="I439" s="109">
        <v>0</v>
      </c>
      <c r="J439" s="99">
        <v>150</v>
      </c>
      <c r="K439" s="99">
        <v>150</v>
      </c>
      <c r="L439" s="101"/>
      <c r="M439" s="100">
        <v>20</v>
      </c>
      <c r="N439" s="91">
        <v>150</v>
      </c>
    </row>
    <row r="440" spans="2:14">
      <c r="B440" s="176"/>
      <c r="C440" s="174"/>
      <c r="D440" s="172"/>
      <c r="E440" s="23">
        <v>436</v>
      </c>
      <c r="F440" s="2">
        <v>41</v>
      </c>
      <c r="G440" s="107"/>
      <c r="H440" s="2">
        <v>0</v>
      </c>
      <c r="I440" s="109">
        <v>0</v>
      </c>
      <c r="J440" s="99">
        <v>150</v>
      </c>
      <c r="K440" s="99">
        <v>150</v>
      </c>
      <c r="L440" s="101"/>
      <c r="M440" s="100">
        <v>20</v>
      </c>
      <c r="N440" s="91">
        <v>150</v>
      </c>
    </row>
    <row r="441" spans="2:14">
      <c r="B441" s="176"/>
      <c r="C441" s="174"/>
      <c r="D441" s="172"/>
      <c r="E441" s="23">
        <v>437</v>
      </c>
      <c r="F441" s="2">
        <v>42</v>
      </c>
      <c r="G441" s="107"/>
      <c r="H441" s="2">
        <v>0</v>
      </c>
      <c r="I441" s="109">
        <v>0</v>
      </c>
      <c r="J441" s="99">
        <v>150</v>
      </c>
      <c r="K441" s="99">
        <v>150</v>
      </c>
      <c r="L441" s="101"/>
      <c r="M441" s="100">
        <v>20</v>
      </c>
      <c r="N441" s="91">
        <v>150</v>
      </c>
    </row>
    <row r="442" spans="2:14">
      <c r="B442" s="176"/>
      <c r="C442" s="174"/>
      <c r="D442" s="172"/>
      <c r="E442" s="23">
        <v>438</v>
      </c>
      <c r="F442" s="2">
        <v>45</v>
      </c>
      <c r="G442" s="107"/>
      <c r="H442" s="113">
        <v>45</v>
      </c>
      <c r="I442" s="110">
        <v>150</v>
      </c>
      <c r="J442" s="23"/>
      <c r="K442" s="99">
        <v>150</v>
      </c>
      <c r="L442" s="101"/>
      <c r="M442" s="100">
        <v>20</v>
      </c>
      <c r="N442" s="91">
        <v>150</v>
      </c>
    </row>
    <row r="443" spans="2:14">
      <c r="B443" s="176"/>
      <c r="C443" s="174"/>
      <c r="D443" s="172"/>
      <c r="E443" s="23">
        <v>439</v>
      </c>
      <c r="F443" s="2">
        <v>51</v>
      </c>
      <c r="G443" s="107"/>
      <c r="H443" s="113">
        <v>51</v>
      </c>
      <c r="I443" s="90">
        <f>I442-F443-F442</f>
        <v>54</v>
      </c>
      <c r="J443" s="99">
        <v>150</v>
      </c>
      <c r="K443" s="99">
        <v>150</v>
      </c>
      <c r="L443" s="101"/>
      <c r="M443" s="100">
        <v>20</v>
      </c>
      <c r="N443" s="91">
        <v>150</v>
      </c>
    </row>
    <row r="444" spans="2:14">
      <c r="B444" s="176"/>
      <c r="C444" s="174"/>
      <c r="D444" s="172"/>
      <c r="E444" s="23">
        <v>440</v>
      </c>
      <c r="F444" s="2">
        <v>57</v>
      </c>
      <c r="G444" s="107"/>
      <c r="H444" s="113">
        <v>57</v>
      </c>
      <c r="I444" s="109">
        <v>0</v>
      </c>
      <c r="J444" s="99">
        <v>150</v>
      </c>
      <c r="K444" s="99">
        <v>150</v>
      </c>
      <c r="L444" s="101"/>
      <c r="M444" s="100">
        <v>20</v>
      </c>
      <c r="N444" s="91">
        <v>150</v>
      </c>
    </row>
    <row r="445" spans="2:14">
      <c r="B445" s="176"/>
      <c r="C445" s="174"/>
      <c r="D445" s="172"/>
      <c r="E445" s="23">
        <v>441</v>
      </c>
      <c r="F445" s="2">
        <v>52</v>
      </c>
      <c r="G445" s="107"/>
      <c r="H445" s="113">
        <v>52</v>
      </c>
      <c r="I445" s="109">
        <v>0</v>
      </c>
      <c r="J445" s="99">
        <v>150</v>
      </c>
      <c r="K445" s="99">
        <v>150</v>
      </c>
      <c r="L445" s="101"/>
      <c r="M445" s="100">
        <v>20</v>
      </c>
      <c r="N445" s="91">
        <v>150</v>
      </c>
    </row>
    <row r="446" spans="2:14">
      <c r="B446" s="176"/>
      <c r="C446" s="174"/>
      <c r="D446" s="172"/>
      <c r="E446" s="23">
        <v>442</v>
      </c>
      <c r="F446" s="2">
        <v>45</v>
      </c>
      <c r="G446" s="107"/>
      <c r="H446" s="2">
        <v>0</v>
      </c>
      <c r="I446" s="109">
        <v>0</v>
      </c>
      <c r="J446" s="99">
        <v>150</v>
      </c>
      <c r="K446" s="99">
        <v>150</v>
      </c>
      <c r="L446" s="101"/>
      <c r="M446" s="100" t="str">
        <f>"10 - 10"</f>
        <v>10 - 10</v>
      </c>
      <c r="N446" s="91">
        <v>150</v>
      </c>
    </row>
    <row r="447" spans="2:14">
      <c r="B447" s="176"/>
      <c r="C447" s="174"/>
      <c r="D447" s="172"/>
      <c r="E447" s="23">
        <v>443</v>
      </c>
      <c r="F447" s="2">
        <v>41</v>
      </c>
      <c r="G447" s="107"/>
      <c r="H447" s="2">
        <v>0</v>
      </c>
      <c r="I447" s="109">
        <v>0</v>
      </c>
      <c r="J447" s="99">
        <v>150</v>
      </c>
      <c r="K447" s="99">
        <v>150</v>
      </c>
      <c r="L447" s="101"/>
      <c r="M447" s="100">
        <v>20</v>
      </c>
      <c r="N447" s="91">
        <v>150</v>
      </c>
    </row>
    <row r="448" spans="2:14">
      <c r="B448" s="176"/>
      <c r="C448" s="174"/>
      <c r="D448" s="172"/>
      <c r="E448" s="23">
        <v>444</v>
      </c>
      <c r="F448" s="2">
        <v>34</v>
      </c>
      <c r="G448" s="107"/>
      <c r="H448" s="2">
        <v>0</v>
      </c>
      <c r="I448" s="109">
        <v>0</v>
      </c>
      <c r="J448" s="99">
        <v>150</v>
      </c>
      <c r="K448" s="99">
        <v>150</v>
      </c>
      <c r="L448" s="101"/>
      <c r="M448" s="100">
        <v>20</v>
      </c>
      <c r="N448" s="91">
        <v>150</v>
      </c>
    </row>
    <row r="449" spans="2:14">
      <c r="B449" s="176"/>
      <c r="C449" s="174"/>
      <c r="D449" s="172"/>
      <c r="E449" s="23">
        <v>445</v>
      </c>
      <c r="F449" s="2">
        <v>46</v>
      </c>
      <c r="G449" s="107"/>
      <c r="H449" s="113">
        <v>16</v>
      </c>
      <c r="I449" s="109">
        <v>0</v>
      </c>
      <c r="J449" s="99">
        <v>150</v>
      </c>
      <c r="K449" s="99">
        <v>150</v>
      </c>
      <c r="L449" s="101"/>
      <c r="M449" s="100">
        <v>20</v>
      </c>
      <c r="N449" s="91">
        <v>150</v>
      </c>
    </row>
    <row r="450" spans="2:14">
      <c r="B450" s="176"/>
      <c r="C450" s="174"/>
      <c r="D450" s="172"/>
      <c r="E450" s="23">
        <v>446</v>
      </c>
      <c r="F450" s="2">
        <v>42</v>
      </c>
      <c r="G450" s="107"/>
      <c r="H450" s="113">
        <v>42</v>
      </c>
      <c r="I450" s="110">
        <v>150</v>
      </c>
      <c r="J450" s="23"/>
      <c r="K450" s="99">
        <v>150</v>
      </c>
      <c r="L450" s="101"/>
      <c r="M450" s="100">
        <v>20</v>
      </c>
      <c r="N450" s="91">
        <v>150</v>
      </c>
    </row>
    <row r="451" spans="2:14">
      <c r="B451" s="176"/>
      <c r="C451" s="174"/>
      <c r="D451" s="172"/>
      <c r="E451" s="23">
        <v>447</v>
      </c>
      <c r="F451" s="2">
        <v>56</v>
      </c>
      <c r="G451" s="107"/>
      <c r="H451" s="113">
        <v>56</v>
      </c>
      <c r="I451" s="90">
        <f>I450-F451-F450</f>
        <v>52</v>
      </c>
      <c r="J451" s="99">
        <v>150</v>
      </c>
      <c r="K451" s="99">
        <v>150</v>
      </c>
      <c r="L451" s="101"/>
      <c r="M451" s="100">
        <v>20</v>
      </c>
      <c r="N451" s="91">
        <v>150</v>
      </c>
    </row>
    <row r="452" spans="2:14">
      <c r="B452" s="176"/>
      <c r="C452" s="174"/>
      <c r="D452" s="172"/>
      <c r="E452" s="23">
        <v>448</v>
      </c>
      <c r="F452" s="2">
        <v>49</v>
      </c>
      <c r="G452" s="107"/>
      <c r="H452" s="113">
        <v>49</v>
      </c>
      <c r="I452" s="90">
        <f>I451-F452</f>
        <v>3</v>
      </c>
      <c r="J452" s="99">
        <v>150</v>
      </c>
      <c r="K452" s="99">
        <v>150</v>
      </c>
      <c r="L452" s="101"/>
      <c r="M452" s="100">
        <v>20</v>
      </c>
      <c r="N452" s="91">
        <v>150</v>
      </c>
    </row>
    <row r="453" spans="2:14">
      <c r="B453" s="176"/>
      <c r="C453" s="174"/>
      <c r="D453" s="172"/>
      <c r="E453" s="23">
        <v>449</v>
      </c>
      <c r="F453" s="2">
        <v>43</v>
      </c>
      <c r="G453" s="107"/>
      <c r="H453" s="113">
        <v>14</v>
      </c>
      <c r="I453" s="109">
        <v>0</v>
      </c>
      <c r="J453" s="99">
        <v>150</v>
      </c>
      <c r="K453" s="99">
        <v>150</v>
      </c>
      <c r="L453" s="101"/>
      <c r="M453" s="100">
        <v>20</v>
      </c>
      <c r="N453" s="91">
        <v>150</v>
      </c>
    </row>
    <row r="454" spans="2:14">
      <c r="B454" s="176"/>
      <c r="C454" s="174"/>
      <c r="D454" s="172"/>
      <c r="E454" s="23">
        <v>450</v>
      </c>
      <c r="F454" s="2">
        <v>58</v>
      </c>
      <c r="G454" s="107"/>
      <c r="H454" s="2">
        <v>0</v>
      </c>
      <c r="I454" s="109">
        <v>0</v>
      </c>
      <c r="J454" s="99">
        <v>150</v>
      </c>
      <c r="K454" s="99">
        <v>150</v>
      </c>
      <c r="L454" s="101"/>
      <c r="M454" s="100">
        <v>20</v>
      </c>
      <c r="N454" s="91">
        <v>150</v>
      </c>
    </row>
    <row r="455" spans="2:14">
      <c r="B455" s="176"/>
      <c r="C455" s="174"/>
      <c r="D455" s="172"/>
      <c r="E455" s="23">
        <v>451</v>
      </c>
      <c r="F455" s="2">
        <v>46</v>
      </c>
      <c r="G455" s="107"/>
      <c r="H455" s="2">
        <v>0</v>
      </c>
      <c r="I455" s="109">
        <v>0</v>
      </c>
      <c r="J455" s="99">
        <v>150</v>
      </c>
      <c r="K455" s="99">
        <v>150</v>
      </c>
      <c r="L455" s="101"/>
      <c r="M455" s="100">
        <v>20</v>
      </c>
      <c r="N455" s="91">
        <v>150</v>
      </c>
    </row>
    <row r="456" spans="2:14">
      <c r="B456" s="176"/>
      <c r="C456" s="174"/>
      <c r="D456" s="172"/>
      <c r="E456" s="23">
        <v>452</v>
      </c>
      <c r="F456" s="2">
        <v>51</v>
      </c>
      <c r="G456" s="107"/>
      <c r="H456" s="113">
        <v>34</v>
      </c>
      <c r="I456" s="109">
        <v>0</v>
      </c>
      <c r="J456" s="99">
        <v>150</v>
      </c>
      <c r="K456" s="99">
        <v>150</v>
      </c>
      <c r="L456" s="101"/>
      <c r="M456" s="100">
        <v>20</v>
      </c>
      <c r="N456" s="91">
        <v>150</v>
      </c>
    </row>
    <row r="457" spans="2:14">
      <c r="B457" s="176"/>
      <c r="C457" s="174"/>
      <c r="D457" s="172"/>
      <c r="E457" s="23">
        <v>453</v>
      </c>
      <c r="F457" s="2">
        <v>44</v>
      </c>
      <c r="G457" s="107"/>
      <c r="H457" s="113">
        <v>44</v>
      </c>
      <c r="I457" s="109">
        <v>0</v>
      </c>
      <c r="J457" s="99">
        <v>150</v>
      </c>
      <c r="K457" s="99">
        <v>150</v>
      </c>
      <c r="L457" s="101"/>
      <c r="M457" s="100">
        <v>20</v>
      </c>
      <c r="N457" s="91">
        <v>150</v>
      </c>
    </row>
    <row r="458" spans="2:14">
      <c r="B458" s="176"/>
      <c r="C458" s="174"/>
      <c r="D458" s="172"/>
      <c r="E458" s="23">
        <v>454</v>
      </c>
      <c r="F458" s="2">
        <v>46</v>
      </c>
      <c r="G458" s="107"/>
      <c r="H458" s="113">
        <v>46</v>
      </c>
      <c r="I458" s="110">
        <v>150</v>
      </c>
      <c r="J458" s="23"/>
      <c r="K458" s="99">
        <v>150</v>
      </c>
      <c r="L458" s="101"/>
      <c r="M458" s="100">
        <v>20</v>
      </c>
      <c r="N458" s="91">
        <v>150</v>
      </c>
    </row>
    <row r="459" spans="2:14">
      <c r="B459" s="176"/>
      <c r="C459" s="174"/>
      <c r="D459" s="173"/>
      <c r="E459" s="23">
        <v>455</v>
      </c>
      <c r="F459" s="2">
        <v>45</v>
      </c>
      <c r="G459" s="107"/>
      <c r="H459" s="113">
        <v>45</v>
      </c>
      <c r="I459" s="90">
        <f>I458-F459-F458</f>
        <v>59</v>
      </c>
      <c r="J459" s="99">
        <v>150</v>
      </c>
      <c r="K459" s="99">
        <v>150</v>
      </c>
      <c r="L459" s="101"/>
      <c r="M459" s="100">
        <v>20</v>
      </c>
      <c r="N459" s="91">
        <v>150</v>
      </c>
    </row>
    <row r="460" spans="2:14">
      <c r="B460" s="176"/>
      <c r="C460" s="174" t="s">
        <v>44</v>
      </c>
      <c r="D460" s="171" t="s">
        <v>45</v>
      </c>
      <c r="E460" s="23">
        <v>456</v>
      </c>
      <c r="F460" s="2">
        <v>45</v>
      </c>
      <c r="G460" s="107"/>
      <c r="H460" s="113">
        <v>45</v>
      </c>
      <c r="I460" s="90">
        <f>I459-F460</f>
        <v>14</v>
      </c>
      <c r="J460" s="99">
        <v>150</v>
      </c>
      <c r="K460" s="99">
        <v>150</v>
      </c>
      <c r="L460" s="101"/>
      <c r="M460" s="100">
        <v>20</v>
      </c>
      <c r="N460" s="91">
        <v>150</v>
      </c>
    </row>
    <row r="461" spans="2:14">
      <c r="B461" s="176"/>
      <c r="C461" s="174"/>
      <c r="D461" s="172"/>
      <c r="E461" s="23">
        <v>457</v>
      </c>
      <c r="F461" s="2">
        <v>53</v>
      </c>
      <c r="G461" s="107"/>
      <c r="H461" s="2">
        <v>0</v>
      </c>
      <c r="I461" s="109">
        <v>0</v>
      </c>
      <c r="J461" s="99">
        <v>150</v>
      </c>
      <c r="K461" s="99">
        <v>150</v>
      </c>
      <c r="L461" s="101"/>
      <c r="M461" s="100" t="str">
        <f>"10 - 10"</f>
        <v>10 - 10</v>
      </c>
      <c r="N461" s="91">
        <v>150</v>
      </c>
    </row>
    <row r="462" spans="2:14">
      <c r="B462" s="176"/>
      <c r="C462" s="174"/>
      <c r="D462" s="172"/>
      <c r="E462" s="23">
        <v>458</v>
      </c>
      <c r="F462" s="2">
        <v>41</v>
      </c>
      <c r="G462" s="107"/>
      <c r="H462" s="2">
        <v>0</v>
      </c>
      <c r="I462" s="109">
        <v>0</v>
      </c>
      <c r="J462" s="99">
        <v>150</v>
      </c>
      <c r="K462" s="99">
        <v>150</v>
      </c>
      <c r="L462" s="101"/>
      <c r="M462" s="100">
        <v>20</v>
      </c>
      <c r="N462" s="91">
        <v>150</v>
      </c>
    </row>
    <row r="463" spans="2:14">
      <c r="B463" s="176"/>
      <c r="C463" s="174"/>
      <c r="D463" s="172"/>
      <c r="E463" s="23">
        <v>459</v>
      </c>
      <c r="F463" s="2">
        <v>25</v>
      </c>
      <c r="G463" s="107"/>
      <c r="H463" s="2">
        <v>0</v>
      </c>
      <c r="I463" s="109">
        <v>0</v>
      </c>
      <c r="J463" s="99">
        <v>150</v>
      </c>
      <c r="K463" s="99">
        <v>150</v>
      </c>
      <c r="L463" s="101"/>
      <c r="M463" s="100">
        <v>20</v>
      </c>
      <c r="N463" s="91">
        <v>150</v>
      </c>
    </row>
    <row r="464" spans="2:14">
      <c r="B464" s="176"/>
      <c r="C464" s="174"/>
      <c r="D464" s="172"/>
      <c r="E464" s="23">
        <v>460</v>
      </c>
      <c r="F464" s="2">
        <v>31</v>
      </c>
      <c r="G464" s="107"/>
      <c r="H464" s="2">
        <v>0</v>
      </c>
      <c r="I464" s="109">
        <v>0</v>
      </c>
      <c r="J464" s="99">
        <v>150</v>
      </c>
      <c r="K464" s="99">
        <v>150</v>
      </c>
      <c r="L464" s="101"/>
      <c r="M464" s="100">
        <v>20</v>
      </c>
      <c r="N464" s="91">
        <v>150</v>
      </c>
    </row>
    <row r="465" spans="2:14">
      <c r="B465" s="176"/>
      <c r="C465" s="174"/>
      <c r="D465" s="172"/>
      <c r="E465" s="23">
        <v>461</v>
      </c>
      <c r="F465" s="2">
        <v>37</v>
      </c>
      <c r="G465" s="107"/>
      <c r="H465" s="113">
        <v>37</v>
      </c>
      <c r="I465" s="109">
        <v>0</v>
      </c>
      <c r="J465" s="99">
        <v>150</v>
      </c>
      <c r="K465" s="99">
        <v>150</v>
      </c>
      <c r="L465" s="101"/>
      <c r="M465" s="100">
        <v>20</v>
      </c>
      <c r="N465" s="91">
        <v>150</v>
      </c>
    </row>
    <row r="466" spans="2:14">
      <c r="B466" s="176"/>
      <c r="C466" s="174"/>
      <c r="D466" s="172"/>
      <c r="E466" s="23">
        <v>462</v>
      </c>
      <c r="F466" s="2">
        <v>55</v>
      </c>
      <c r="G466" s="107"/>
      <c r="H466" s="113">
        <v>55</v>
      </c>
      <c r="I466" s="110">
        <v>150</v>
      </c>
      <c r="J466" s="23"/>
      <c r="K466" s="99">
        <v>150</v>
      </c>
      <c r="L466" s="101"/>
      <c r="M466" s="100">
        <v>20</v>
      </c>
      <c r="N466" s="91">
        <v>150</v>
      </c>
    </row>
    <row r="467" spans="2:14">
      <c r="B467" s="176"/>
      <c r="C467" s="174"/>
      <c r="D467" s="172"/>
      <c r="E467" s="23">
        <v>463</v>
      </c>
      <c r="F467" s="2">
        <v>47</v>
      </c>
      <c r="G467" s="107"/>
      <c r="H467" s="113">
        <v>47</v>
      </c>
      <c r="I467" s="90">
        <f>I466-F467-F466</f>
        <v>48</v>
      </c>
      <c r="J467" s="99">
        <v>150</v>
      </c>
      <c r="K467" s="99">
        <v>150</v>
      </c>
      <c r="L467" s="101"/>
      <c r="M467" s="100">
        <v>20</v>
      </c>
      <c r="N467" s="91">
        <v>150</v>
      </c>
    </row>
    <row r="468" spans="2:14">
      <c r="B468" s="176"/>
      <c r="C468" s="174"/>
      <c r="D468" s="172"/>
      <c r="E468" s="23">
        <v>464</v>
      </c>
      <c r="F468" s="2">
        <v>38</v>
      </c>
      <c r="G468" s="107"/>
      <c r="H468" s="113">
        <v>9</v>
      </c>
      <c r="I468" s="90">
        <f>I467-F468</f>
        <v>10</v>
      </c>
      <c r="J468" s="99">
        <v>150</v>
      </c>
      <c r="K468" s="99">
        <v>150</v>
      </c>
      <c r="L468" s="101"/>
      <c r="M468" s="100">
        <v>20</v>
      </c>
      <c r="N468" s="91">
        <v>150</v>
      </c>
    </row>
    <row r="469" spans="2:14">
      <c r="B469" s="176"/>
      <c r="C469" s="174"/>
      <c r="D469" s="172"/>
      <c r="E469" s="23">
        <v>465</v>
      </c>
      <c r="F469" s="2">
        <v>46</v>
      </c>
      <c r="G469" s="107"/>
      <c r="H469" s="2">
        <v>0</v>
      </c>
      <c r="I469" s="109">
        <v>0</v>
      </c>
      <c r="J469" s="99">
        <v>150</v>
      </c>
      <c r="K469" s="99">
        <v>150</v>
      </c>
      <c r="L469" s="101"/>
      <c r="M469" s="100">
        <v>20</v>
      </c>
      <c r="N469" s="91">
        <v>150</v>
      </c>
    </row>
    <row r="470" spans="2:14">
      <c r="B470" s="176"/>
      <c r="C470" s="174"/>
      <c r="D470" s="172"/>
      <c r="E470" s="23">
        <v>466</v>
      </c>
      <c r="F470" s="2">
        <v>29</v>
      </c>
      <c r="G470" s="107"/>
      <c r="H470" s="2">
        <v>0</v>
      </c>
      <c r="I470" s="109">
        <v>0</v>
      </c>
      <c r="J470" s="99">
        <v>150</v>
      </c>
      <c r="K470" s="99">
        <v>150</v>
      </c>
      <c r="L470" s="101"/>
      <c r="M470" s="100">
        <v>20</v>
      </c>
      <c r="N470" s="91">
        <v>150</v>
      </c>
    </row>
    <row r="471" spans="2:14">
      <c r="B471" s="176"/>
      <c r="C471" s="174"/>
      <c r="D471" s="172"/>
      <c r="E471" s="23">
        <v>467</v>
      </c>
      <c r="F471" s="2">
        <v>50</v>
      </c>
      <c r="G471" s="107"/>
      <c r="H471" s="113">
        <v>4</v>
      </c>
      <c r="I471" s="109">
        <v>0</v>
      </c>
      <c r="J471" s="99">
        <v>150</v>
      </c>
      <c r="K471" s="99">
        <v>150</v>
      </c>
      <c r="L471" s="101"/>
      <c r="M471" s="100">
        <v>20</v>
      </c>
      <c r="N471" s="91">
        <v>150</v>
      </c>
    </row>
    <row r="472" spans="2:14">
      <c r="B472" s="176"/>
      <c r="C472" s="174"/>
      <c r="D472" s="172"/>
      <c r="E472" s="23">
        <v>468</v>
      </c>
      <c r="F472" s="2">
        <v>43</v>
      </c>
      <c r="G472" s="107"/>
      <c r="H472" s="113">
        <v>43</v>
      </c>
      <c r="I472" s="109">
        <v>0</v>
      </c>
      <c r="J472" s="99">
        <v>150</v>
      </c>
      <c r="K472" s="99">
        <v>150</v>
      </c>
      <c r="L472" s="101"/>
      <c r="M472" s="100">
        <v>20</v>
      </c>
      <c r="N472" s="91">
        <v>150</v>
      </c>
    </row>
    <row r="473" spans="2:14">
      <c r="B473" s="176"/>
      <c r="C473" s="174"/>
      <c r="D473" s="172"/>
      <c r="E473" s="23">
        <v>469</v>
      </c>
      <c r="F473" s="2">
        <v>49</v>
      </c>
      <c r="G473" s="107"/>
      <c r="H473" s="113">
        <v>49</v>
      </c>
      <c r="I473" s="109">
        <v>0</v>
      </c>
      <c r="J473" s="99">
        <v>150</v>
      </c>
      <c r="K473" s="99">
        <v>150</v>
      </c>
      <c r="L473" s="101"/>
      <c r="M473" s="100">
        <v>20</v>
      </c>
      <c r="N473" s="91">
        <v>150</v>
      </c>
    </row>
    <row r="474" spans="2:14">
      <c r="B474" s="176"/>
      <c r="C474" s="174"/>
      <c r="D474" s="172"/>
      <c r="E474" s="23">
        <v>470</v>
      </c>
      <c r="F474" s="2">
        <v>51</v>
      </c>
      <c r="G474" s="107"/>
      <c r="H474" s="113">
        <v>51</v>
      </c>
      <c r="I474" s="110">
        <v>150</v>
      </c>
      <c r="J474" s="23"/>
      <c r="K474" s="99">
        <v>150</v>
      </c>
      <c r="L474" s="101"/>
      <c r="M474" s="100">
        <v>20</v>
      </c>
      <c r="N474" s="91">
        <v>150</v>
      </c>
    </row>
    <row r="475" spans="2:14">
      <c r="B475" s="176"/>
      <c r="C475" s="174"/>
      <c r="D475" s="172"/>
      <c r="E475" s="23">
        <v>471</v>
      </c>
      <c r="F475" s="2">
        <v>51</v>
      </c>
      <c r="G475" s="107"/>
      <c r="H475" s="113">
        <v>51</v>
      </c>
      <c r="I475" s="90">
        <f>I474-F475-F474</f>
        <v>48</v>
      </c>
      <c r="J475" s="99">
        <v>150</v>
      </c>
      <c r="K475" s="99">
        <v>150</v>
      </c>
      <c r="L475" s="47"/>
      <c r="M475" s="100">
        <v>20</v>
      </c>
      <c r="N475" s="91">
        <v>150</v>
      </c>
    </row>
    <row r="476" spans="2:14">
      <c r="B476" s="176"/>
      <c r="C476" s="174"/>
      <c r="D476" s="172"/>
      <c r="E476" s="23">
        <v>472</v>
      </c>
      <c r="F476" s="2">
        <v>42</v>
      </c>
      <c r="G476" s="107"/>
      <c r="H476" s="2">
        <v>0</v>
      </c>
      <c r="I476" s="90">
        <f>I475-F476</f>
        <v>6</v>
      </c>
      <c r="J476" s="99">
        <v>150</v>
      </c>
      <c r="K476" s="99">
        <v>150</v>
      </c>
      <c r="L476" s="101"/>
      <c r="M476" s="100" t="str">
        <f>"10 - 10"</f>
        <v>10 - 10</v>
      </c>
      <c r="N476" s="91">
        <v>150</v>
      </c>
    </row>
    <row r="477" spans="2:14">
      <c r="B477" s="176"/>
      <c r="C477" s="174"/>
      <c r="D477" s="172"/>
      <c r="E477" s="23">
        <v>473</v>
      </c>
      <c r="F477" s="2">
        <v>37</v>
      </c>
      <c r="G477" s="107"/>
      <c r="H477" s="2">
        <v>0</v>
      </c>
      <c r="I477" s="109">
        <v>0</v>
      </c>
      <c r="J477" s="99">
        <v>150</v>
      </c>
      <c r="K477" s="99">
        <v>150</v>
      </c>
      <c r="L477" s="101"/>
      <c r="M477" s="100">
        <v>20</v>
      </c>
      <c r="N477" s="91">
        <v>150</v>
      </c>
    </row>
    <row r="478" spans="2:14">
      <c r="B478" s="176"/>
      <c r="C478" s="174"/>
      <c r="D478" s="172"/>
      <c r="E478" s="23">
        <v>474</v>
      </c>
      <c r="F478" s="2">
        <v>46</v>
      </c>
      <c r="G478" s="107"/>
      <c r="H478" s="2">
        <v>0</v>
      </c>
      <c r="I478" s="109">
        <v>0</v>
      </c>
      <c r="J478" s="99">
        <v>150</v>
      </c>
      <c r="K478" s="99">
        <v>150</v>
      </c>
      <c r="L478" s="101"/>
      <c r="M478" s="100">
        <v>20</v>
      </c>
      <c r="N478" s="91">
        <v>150</v>
      </c>
    </row>
    <row r="479" spans="2:14">
      <c r="B479" s="176"/>
      <c r="C479" s="174"/>
      <c r="D479" s="172"/>
      <c r="E479" s="23">
        <v>475</v>
      </c>
      <c r="F479" s="2">
        <v>41</v>
      </c>
      <c r="G479" s="107"/>
      <c r="H479" s="113">
        <v>16</v>
      </c>
      <c r="I479" s="109">
        <v>0</v>
      </c>
      <c r="J479" s="99">
        <v>150</v>
      </c>
      <c r="K479" s="99">
        <v>150</v>
      </c>
      <c r="L479" s="101"/>
      <c r="M479" s="100">
        <v>20</v>
      </c>
      <c r="N479" s="91">
        <v>150</v>
      </c>
    </row>
    <row r="480" spans="2:14">
      <c r="B480" s="176"/>
      <c r="C480" s="174"/>
      <c r="D480" s="172"/>
      <c r="E480" s="23">
        <v>476</v>
      </c>
      <c r="F480" s="2">
        <v>36</v>
      </c>
      <c r="G480" s="107"/>
      <c r="H480" s="113">
        <v>36</v>
      </c>
      <c r="I480" s="109">
        <v>0</v>
      </c>
      <c r="J480" s="99">
        <v>150</v>
      </c>
      <c r="K480" s="99">
        <v>150</v>
      </c>
      <c r="L480" s="101"/>
      <c r="M480" s="100">
        <v>20</v>
      </c>
      <c r="N480" s="91">
        <v>150</v>
      </c>
    </row>
    <row r="481" spans="2:14">
      <c r="B481" s="176"/>
      <c r="C481" s="174"/>
      <c r="D481" s="172"/>
      <c r="E481" s="23">
        <v>477</v>
      </c>
      <c r="F481" s="2">
        <v>47</v>
      </c>
      <c r="G481" s="107"/>
      <c r="H481" s="113">
        <v>47</v>
      </c>
      <c r="I481" s="109">
        <v>0</v>
      </c>
      <c r="J481" s="99">
        <v>150</v>
      </c>
      <c r="K481" s="99">
        <v>150</v>
      </c>
      <c r="L481" s="101"/>
      <c r="M481" s="100">
        <v>20</v>
      </c>
      <c r="N481" s="91">
        <v>150</v>
      </c>
    </row>
    <row r="482" spans="2:14">
      <c r="B482" s="176"/>
      <c r="C482" s="174"/>
      <c r="D482" s="172"/>
      <c r="E482" s="23">
        <v>478</v>
      </c>
      <c r="F482" s="2">
        <v>40</v>
      </c>
      <c r="G482" s="107"/>
      <c r="H482" s="113">
        <v>40</v>
      </c>
      <c r="I482" s="110">
        <v>150</v>
      </c>
      <c r="J482" s="23"/>
      <c r="K482" s="99">
        <v>150</v>
      </c>
      <c r="L482" s="101"/>
      <c r="M482" s="100">
        <v>20</v>
      </c>
      <c r="N482" s="91">
        <v>150</v>
      </c>
    </row>
    <row r="483" spans="2:14">
      <c r="B483" s="176"/>
      <c r="C483" s="174"/>
      <c r="D483" s="172"/>
      <c r="E483" s="23">
        <v>479</v>
      </c>
      <c r="F483" s="2">
        <v>56</v>
      </c>
      <c r="G483" s="107"/>
      <c r="H483" s="113">
        <v>26</v>
      </c>
      <c r="I483" s="90">
        <f>I482-F483-F482</f>
        <v>54</v>
      </c>
      <c r="J483" s="99">
        <v>150</v>
      </c>
      <c r="K483" s="99">
        <v>150</v>
      </c>
      <c r="L483" s="101"/>
      <c r="M483" s="100">
        <v>20</v>
      </c>
      <c r="N483" s="91">
        <v>150</v>
      </c>
    </row>
    <row r="484" spans="2:14">
      <c r="B484" s="176"/>
      <c r="C484" s="174"/>
      <c r="D484" s="172"/>
      <c r="E484" s="23">
        <v>480</v>
      </c>
      <c r="F484" s="2">
        <v>42</v>
      </c>
      <c r="G484" s="107"/>
      <c r="H484" s="2">
        <v>0</v>
      </c>
      <c r="I484" s="90">
        <f>I483-F484</f>
        <v>12</v>
      </c>
      <c r="J484" s="99">
        <v>150</v>
      </c>
      <c r="K484" s="99">
        <v>150</v>
      </c>
      <c r="L484" s="101"/>
      <c r="M484" s="100">
        <v>20</v>
      </c>
      <c r="N484" s="91">
        <v>150</v>
      </c>
    </row>
    <row r="485" spans="2:14">
      <c r="B485" s="176"/>
      <c r="C485" s="174"/>
      <c r="D485" s="172"/>
      <c r="E485" s="23">
        <v>481</v>
      </c>
      <c r="F485" s="2">
        <v>38</v>
      </c>
      <c r="G485" s="107"/>
      <c r="H485" s="2">
        <v>0</v>
      </c>
      <c r="I485" s="109">
        <v>0</v>
      </c>
      <c r="J485" s="99">
        <v>150</v>
      </c>
      <c r="K485" s="99">
        <v>150</v>
      </c>
      <c r="L485" s="101"/>
      <c r="M485" s="100">
        <v>20</v>
      </c>
      <c r="N485" s="91">
        <v>150</v>
      </c>
    </row>
    <row r="486" spans="2:14">
      <c r="B486" s="176"/>
      <c r="C486" s="174"/>
      <c r="D486" s="172"/>
      <c r="E486" s="23">
        <v>482</v>
      </c>
      <c r="F486" s="2">
        <v>57</v>
      </c>
      <c r="G486" s="107"/>
      <c r="H486" s="113">
        <v>17</v>
      </c>
      <c r="I486" s="109">
        <v>0</v>
      </c>
      <c r="J486" s="99">
        <v>150</v>
      </c>
      <c r="K486" s="99">
        <v>150</v>
      </c>
      <c r="L486" s="101"/>
      <c r="M486" s="100">
        <v>20</v>
      </c>
      <c r="N486" s="91">
        <v>150</v>
      </c>
    </row>
    <row r="487" spans="2:14">
      <c r="B487" s="176"/>
      <c r="C487" s="174"/>
      <c r="D487" s="172"/>
      <c r="E487" s="23">
        <v>483</v>
      </c>
      <c r="F487" s="2">
        <v>51</v>
      </c>
      <c r="G487" s="107"/>
      <c r="H487" s="113">
        <v>51</v>
      </c>
      <c r="I487" s="109">
        <v>0</v>
      </c>
      <c r="J487" s="99">
        <v>150</v>
      </c>
      <c r="K487" s="99">
        <v>150</v>
      </c>
      <c r="L487" s="101"/>
      <c r="M487" s="100">
        <v>20</v>
      </c>
      <c r="N487" s="91">
        <v>150</v>
      </c>
    </row>
    <row r="488" spans="2:14">
      <c r="B488" s="176"/>
      <c r="C488" s="174"/>
      <c r="D488" s="172"/>
      <c r="E488" s="23">
        <v>484</v>
      </c>
      <c r="F488" s="2">
        <v>56</v>
      </c>
      <c r="G488" s="107"/>
      <c r="H488" s="113">
        <v>56</v>
      </c>
      <c r="I488" s="109">
        <v>0</v>
      </c>
      <c r="J488" s="99">
        <v>150</v>
      </c>
      <c r="K488" s="99">
        <v>150</v>
      </c>
      <c r="L488" s="101"/>
      <c r="M488" s="100">
        <v>20</v>
      </c>
      <c r="N488" s="91">
        <v>150</v>
      </c>
    </row>
    <row r="489" spans="2:14">
      <c r="B489" s="176"/>
      <c r="C489" s="174"/>
      <c r="D489" s="173"/>
      <c r="E489" s="23">
        <v>485</v>
      </c>
      <c r="F489" s="2">
        <v>51</v>
      </c>
      <c r="G489" s="107"/>
      <c r="H489" s="113">
        <v>51</v>
      </c>
      <c r="I489" s="109">
        <v>0</v>
      </c>
      <c r="J489" s="99">
        <v>150</v>
      </c>
      <c r="K489" s="99">
        <v>150</v>
      </c>
      <c r="L489" s="101"/>
      <c r="M489" s="100">
        <v>20</v>
      </c>
      <c r="N489" s="91">
        <v>150</v>
      </c>
    </row>
    <row r="490" spans="2:14">
      <c r="B490" s="176"/>
      <c r="C490" s="174"/>
      <c r="D490" s="171" t="s">
        <v>46</v>
      </c>
      <c r="E490" s="23">
        <v>486</v>
      </c>
      <c r="F490" s="2">
        <v>51</v>
      </c>
      <c r="G490" s="107"/>
      <c r="H490" s="113">
        <v>51</v>
      </c>
      <c r="I490" s="110">
        <v>150</v>
      </c>
      <c r="J490" s="23"/>
      <c r="K490" s="99">
        <v>150</v>
      </c>
      <c r="L490" s="101"/>
      <c r="M490" s="100">
        <v>20</v>
      </c>
      <c r="N490" s="91">
        <v>150</v>
      </c>
    </row>
    <row r="491" spans="2:14">
      <c r="B491" s="176"/>
      <c r="C491" s="174"/>
      <c r="D491" s="172"/>
      <c r="E491" s="23">
        <v>487</v>
      </c>
      <c r="F491" s="2">
        <v>42</v>
      </c>
      <c r="G491" s="107"/>
      <c r="H491" s="2">
        <v>0</v>
      </c>
      <c r="I491" s="90">
        <f>I490-F491-F490</f>
        <v>57</v>
      </c>
      <c r="J491" s="99">
        <v>150</v>
      </c>
      <c r="K491" s="99">
        <v>150</v>
      </c>
      <c r="L491" s="101"/>
      <c r="M491" s="100" t="str">
        <f>"10 - 10"</f>
        <v>10 - 10</v>
      </c>
      <c r="N491" s="91">
        <v>150</v>
      </c>
    </row>
    <row r="492" spans="2:14">
      <c r="B492" s="176"/>
      <c r="C492" s="174"/>
      <c r="D492" s="172"/>
      <c r="E492" s="23">
        <v>488</v>
      </c>
      <c r="F492" s="2">
        <v>48</v>
      </c>
      <c r="G492" s="107"/>
      <c r="H492" s="2">
        <v>0</v>
      </c>
      <c r="I492" s="90">
        <f>I491-F492</f>
        <v>9</v>
      </c>
      <c r="J492" s="99">
        <v>150</v>
      </c>
      <c r="K492" s="99">
        <v>150</v>
      </c>
      <c r="L492" s="101"/>
      <c r="M492" s="100">
        <v>20</v>
      </c>
      <c r="N492" s="91">
        <v>150</v>
      </c>
    </row>
    <row r="493" spans="2:14">
      <c r="B493" s="176"/>
      <c r="C493" s="174"/>
      <c r="D493" s="172"/>
      <c r="E493" s="23">
        <v>489</v>
      </c>
      <c r="F493" s="2">
        <v>37</v>
      </c>
      <c r="G493" s="107"/>
      <c r="H493" s="2">
        <v>0</v>
      </c>
      <c r="I493" s="109">
        <v>0</v>
      </c>
      <c r="J493" s="99">
        <v>150</v>
      </c>
      <c r="K493" s="99">
        <v>150</v>
      </c>
      <c r="L493" s="101"/>
      <c r="M493" s="100">
        <v>20</v>
      </c>
      <c r="N493" s="91">
        <v>150</v>
      </c>
    </row>
    <row r="494" spans="2:14">
      <c r="B494" s="176"/>
      <c r="C494" s="174"/>
      <c r="D494" s="172"/>
      <c r="E494" s="23">
        <v>490</v>
      </c>
      <c r="F494" s="2">
        <v>44</v>
      </c>
      <c r="G494" s="107"/>
      <c r="H494" s="113">
        <v>21</v>
      </c>
      <c r="I494" s="109">
        <v>0</v>
      </c>
      <c r="J494" s="99">
        <v>150</v>
      </c>
      <c r="K494" s="99">
        <v>150</v>
      </c>
      <c r="L494" s="101"/>
      <c r="M494" s="100">
        <v>20</v>
      </c>
      <c r="N494" s="91">
        <v>150</v>
      </c>
    </row>
    <row r="495" spans="2:14">
      <c r="B495" s="176"/>
      <c r="C495" s="174"/>
      <c r="D495" s="172"/>
      <c r="E495" s="23">
        <v>491</v>
      </c>
      <c r="F495" s="2">
        <v>45</v>
      </c>
      <c r="G495" s="107"/>
      <c r="H495" s="113">
        <v>45</v>
      </c>
      <c r="I495" s="109">
        <v>0</v>
      </c>
      <c r="J495" s="99">
        <v>150</v>
      </c>
      <c r="K495" s="99">
        <v>150</v>
      </c>
      <c r="L495" s="101"/>
      <c r="M495" s="100">
        <v>20</v>
      </c>
      <c r="N495" s="91">
        <v>150</v>
      </c>
    </row>
    <row r="496" spans="2:14">
      <c r="B496" s="176"/>
      <c r="C496" s="174"/>
      <c r="D496" s="172"/>
      <c r="E496" s="23">
        <v>492</v>
      </c>
      <c r="F496" s="2">
        <v>42</v>
      </c>
      <c r="G496" s="107"/>
      <c r="H496" s="113">
        <v>42</v>
      </c>
      <c r="I496" s="109">
        <v>0</v>
      </c>
      <c r="J496" s="99">
        <v>150</v>
      </c>
      <c r="K496" s="99">
        <v>150</v>
      </c>
      <c r="L496" s="101"/>
      <c r="M496" s="100">
        <v>20</v>
      </c>
      <c r="N496" s="91">
        <v>150</v>
      </c>
    </row>
    <row r="497" spans="2:14">
      <c r="B497" s="176"/>
      <c r="C497" s="174"/>
      <c r="D497" s="172"/>
      <c r="E497" s="23">
        <v>493</v>
      </c>
      <c r="F497" s="2">
        <v>37</v>
      </c>
      <c r="G497" s="107"/>
      <c r="H497" s="113">
        <v>37</v>
      </c>
      <c r="I497" s="109">
        <v>0</v>
      </c>
      <c r="J497" s="99">
        <v>150</v>
      </c>
      <c r="K497" s="99">
        <v>150</v>
      </c>
      <c r="L497" s="101"/>
      <c r="M497" s="100">
        <v>20</v>
      </c>
      <c r="N497" s="91">
        <v>150</v>
      </c>
    </row>
    <row r="498" spans="2:14">
      <c r="B498" s="176"/>
      <c r="C498" s="174"/>
      <c r="D498" s="172"/>
      <c r="E498" s="23">
        <v>494</v>
      </c>
      <c r="F498" s="2">
        <v>43</v>
      </c>
      <c r="G498" s="107"/>
      <c r="H498" s="113">
        <v>24</v>
      </c>
      <c r="I498" s="110">
        <v>150</v>
      </c>
      <c r="J498" s="23"/>
      <c r="K498" s="99">
        <v>150</v>
      </c>
      <c r="L498" s="101"/>
      <c r="M498" s="100">
        <v>20</v>
      </c>
      <c r="N498" s="91">
        <v>150</v>
      </c>
    </row>
    <row r="499" spans="2:14">
      <c r="B499" s="176"/>
      <c r="C499" s="174"/>
      <c r="D499" s="172"/>
      <c r="E499" s="23">
        <v>495</v>
      </c>
      <c r="F499" s="2">
        <v>40</v>
      </c>
      <c r="G499" s="107"/>
      <c r="H499" s="2">
        <v>0</v>
      </c>
      <c r="I499" s="90">
        <f>I498-F499-F498</f>
        <v>67</v>
      </c>
      <c r="J499" s="99">
        <v>150</v>
      </c>
      <c r="K499" s="99">
        <v>150</v>
      </c>
      <c r="L499" s="101"/>
      <c r="M499" s="100">
        <v>20</v>
      </c>
      <c r="N499" s="91">
        <v>150</v>
      </c>
    </row>
    <row r="500" spans="2:14">
      <c r="B500" s="176"/>
      <c r="C500" s="174"/>
      <c r="D500" s="172"/>
      <c r="E500" s="23">
        <v>496</v>
      </c>
      <c r="F500" s="2">
        <v>38</v>
      </c>
      <c r="G500" s="107"/>
      <c r="H500" s="2">
        <v>0</v>
      </c>
      <c r="I500" s="90">
        <f>I499-F500</f>
        <v>29</v>
      </c>
      <c r="J500" s="99">
        <v>150</v>
      </c>
      <c r="K500" s="99">
        <v>150</v>
      </c>
      <c r="L500" s="101"/>
      <c r="M500" s="100">
        <v>20</v>
      </c>
      <c r="N500" s="91">
        <v>150</v>
      </c>
    </row>
    <row r="501" spans="2:14">
      <c r="B501" s="176"/>
      <c r="C501" s="174"/>
      <c r="D501" s="172"/>
      <c r="E501" s="23">
        <v>497</v>
      </c>
      <c r="F501" s="2">
        <v>54</v>
      </c>
      <c r="G501" s="107"/>
      <c r="H501" s="113">
        <v>1</v>
      </c>
      <c r="I501" s="109">
        <v>0</v>
      </c>
      <c r="J501" s="99">
        <v>150</v>
      </c>
      <c r="K501" s="99">
        <v>150</v>
      </c>
      <c r="L501" s="101"/>
      <c r="M501" s="100">
        <v>20</v>
      </c>
      <c r="N501" s="91">
        <v>150</v>
      </c>
    </row>
    <row r="502" spans="2:14">
      <c r="B502" s="176"/>
      <c r="C502" s="174"/>
      <c r="D502" s="172"/>
      <c r="E502" s="23">
        <v>498</v>
      </c>
      <c r="F502" s="2">
        <v>33</v>
      </c>
      <c r="G502" s="107"/>
      <c r="H502" s="113">
        <v>33</v>
      </c>
      <c r="I502" s="109">
        <v>0</v>
      </c>
      <c r="J502" s="99">
        <v>150</v>
      </c>
      <c r="K502" s="99">
        <v>150</v>
      </c>
      <c r="L502" s="101"/>
      <c r="M502" s="100">
        <v>20</v>
      </c>
      <c r="N502" s="91">
        <v>150</v>
      </c>
    </row>
    <row r="503" spans="2:14">
      <c r="B503" s="176"/>
      <c r="C503" s="174"/>
      <c r="D503" s="172"/>
      <c r="E503" s="23">
        <v>499</v>
      </c>
      <c r="F503" s="2">
        <v>40</v>
      </c>
      <c r="G503" s="107"/>
      <c r="H503" s="113">
        <v>40</v>
      </c>
      <c r="I503" s="109">
        <v>0</v>
      </c>
      <c r="J503" s="99">
        <v>150</v>
      </c>
      <c r="K503" s="99">
        <v>150</v>
      </c>
      <c r="L503" s="101"/>
      <c r="M503" s="100">
        <v>20</v>
      </c>
      <c r="N503" s="91">
        <v>150</v>
      </c>
    </row>
    <row r="504" spans="2:14">
      <c r="B504" s="176"/>
      <c r="C504" s="174"/>
      <c r="D504" s="172"/>
      <c r="E504" s="23">
        <v>500</v>
      </c>
      <c r="F504" s="2">
        <v>54</v>
      </c>
      <c r="G504" s="107"/>
      <c r="H504" s="113">
        <v>54</v>
      </c>
      <c r="I504" s="109">
        <v>0</v>
      </c>
      <c r="J504" s="99">
        <v>150</v>
      </c>
      <c r="K504" s="99">
        <v>150</v>
      </c>
      <c r="L504" s="101"/>
      <c r="M504" s="100">
        <v>20</v>
      </c>
      <c r="N504" s="91">
        <v>150</v>
      </c>
    </row>
    <row r="505" spans="2:14">
      <c r="B505" s="176"/>
      <c r="C505" s="174"/>
      <c r="D505" s="172"/>
      <c r="E505" s="23">
        <v>501</v>
      </c>
      <c r="F505" s="2">
        <v>42</v>
      </c>
      <c r="G505" s="107"/>
      <c r="H505" s="113">
        <v>42</v>
      </c>
      <c r="I505" s="109">
        <v>0</v>
      </c>
      <c r="J505" s="99">
        <v>150</v>
      </c>
      <c r="K505" s="99">
        <v>150</v>
      </c>
      <c r="L505" s="101"/>
      <c r="M505" s="100">
        <v>20</v>
      </c>
      <c r="N505" s="91">
        <v>150</v>
      </c>
    </row>
    <row r="506" spans="2:14">
      <c r="B506" s="176"/>
      <c r="C506" s="174"/>
      <c r="D506" s="172"/>
      <c r="E506" s="23">
        <v>502</v>
      </c>
      <c r="F506" s="2">
        <v>46</v>
      </c>
      <c r="G506" s="107"/>
      <c r="H506" s="2">
        <v>0</v>
      </c>
      <c r="I506" s="110">
        <v>150</v>
      </c>
      <c r="J506" s="23"/>
      <c r="K506" s="99">
        <v>150</v>
      </c>
      <c r="L506" s="101"/>
      <c r="M506" s="100" t="str">
        <f>"10 - 10"</f>
        <v>10 - 10</v>
      </c>
      <c r="N506" s="91">
        <v>150</v>
      </c>
    </row>
    <row r="507" spans="2:14">
      <c r="B507" s="176"/>
      <c r="C507" s="174"/>
      <c r="D507" s="172"/>
      <c r="E507" s="23">
        <v>503</v>
      </c>
      <c r="F507" s="2">
        <v>36</v>
      </c>
      <c r="G507" s="107"/>
      <c r="H507" s="2">
        <v>0</v>
      </c>
      <c r="I507" s="90">
        <f>I506-F507-F506</f>
        <v>68</v>
      </c>
      <c r="J507" s="99">
        <v>150</v>
      </c>
      <c r="K507" s="99">
        <v>150</v>
      </c>
      <c r="L507" s="101"/>
      <c r="M507" s="100">
        <v>20</v>
      </c>
      <c r="N507" s="91">
        <v>150</v>
      </c>
    </row>
    <row r="508" spans="2:14">
      <c r="B508" s="176"/>
      <c r="C508" s="174"/>
      <c r="D508" s="172"/>
      <c r="E508" s="23">
        <v>504</v>
      </c>
      <c r="F508" s="2">
        <v>40</v>
      </c>
      <c r="G508" s="107"/>
      <c r="H508" s="2">
        <v>0</v>
      </c>
      <c r="I508" s="90">
        <f>I507-F508</f>
        <v>28</v>
      </c>
      <c r="J508" s="99">
        <v>150</v>
      </c>
      <c r="K508" s="99">
        <v>150</v>
      </c>
      <c r="L508" s="101"/>
      <c r="M508" s="100">
        <v>20</v>
      </c>
      <c r="N508" s="91">
        <v>150</v>
      </c>
    </row>
    <row r="509" spans="2:14">
      <c r="B509" s="176"/>
      <c r="C509" s="174"/>
      <c r="D509" s="172"/>
      <c r="E509" s="23">
        <v>505</v>
      </c>
      <c r="F509" s="2">
        <v>46</v>
      </c>
      <c r="G509" s="107"/>
      <c r="H509" s="113">
        <v>18</v>
      </c>
      <c r="I509" s="109">
        <v>0</v>
      </c>
      <c r="J509" s="99">
        <v>150</v>
      </c>
      <c r="K509" s="99">
        <v>150</v>
      </c>
      <c r="L509" s="101"/>
      <c r="M509" s="100">
        <v>20</v>
      </c>
      <c r="N509" s="91">
        <v>150</v>
      </c>
    </row>
    <row r="510" spans="2:14">
      <c r="B510" s="176"/>
      <c r="C510" s="174"/>
      <c r="D510" s="172"/>
      <c r="E510" s="23">
        <v>506</v>
      </c>
      <c r="F510" s="2">
        <v>47</v>
      </c>
      <c r="G510" s="107"/>
      <c r="H510" s="113">
        <v>47</v>
      </c>
      <c r="I510" s="109">
        <v>0</v>
      </c>
      <c r="J510" s="99">
        <v>150</v>
      </c>
      <c r="K510" s="99">
        <v>150</v>
      </c>
      <c r="L510" s="101"/>
      <c r="M510" s="100">
        <v>20</v>
      </c>
      <c r="N510" s="91">
        <v>150</v>
      </c>
    </row>
    <row r="511" spans="2:14">
      <c r="B511" s="176"/>
      <c r="C511" s="174"/>
      <c r="D511" s="172"/>
      <c r="E511" s="23">
        <v>507</v>
      </c>
      <c r="F511" s="2">
        <v>46</v>
      </c>
      <c r="G511" s="107"/>
      <c r="H511" s="113">
        <v>46</v>
      </c>
      <c r="I511" s="109">
        <v>0</v>
      </c>
      <c r="J511" s="99">
        <v>150</v>
      </c>
      <c r="K511" s="99">
        <v>150</v>
      </c>
      <c r="L511" s="101"/>
      <c r="M511" s="100">
        <v>20</v>
      </c>
      <c r="N511" s="91">
        <v>150</v>
      </c>
    </row>
    <row r="512" spans="2:14">
      <c r="B512" s="176"/>
      <c r="C512" s="174"/>
      <c r="D512" s="172"/>
      <c r="E512" s="23">
        <v>508</v>
      </c>
      <c r="F512" s="2">
        <v>51</v>
      </c>
      <c r="G512" s="107"/>
      <c r="H512" s="113">
        <v>51</v>
      </c>
      <c r="I512" s="109">
        <v>0</v>
      </c>
      <c r="J512" s="99">
        <v>150</v>
      </c>
      <c r="K512" s="99">
        <v>150</v>
      </c>
      <c r="L512" s="101"/>
      <c r="M512" s="100">
        <v>20</v>
      </c>
      <c r="N512" s="91">
        <v>150</v>
      </c>
    </row>
    <row r="513" spans="2:14">
      <c r="B513" s="176"/>
      <c r="C513" s="174"/>
      <c r="D513" s="172"/>
      <c r="E513" s="23">
        <v>509</v>
      </c>
      <c r="F513" s="2">
        <v>50</v>
      </c>
      <c r="G513" s="107"/>
      <c r="H513" s="113">
        <v>36</v>
      </c>
      <c r="I513" s="109">
        <v>0</v>
      </c>
      <c r="J513" s="99">
        <v>150</v>
      </c>
      <c r="K513" s="99">
        <v>150</v>
      </c>
      <c r="L513" s="101"/>
      <c r="M513" s="100">
        <v>20</v>
      </c>
      <c r="N513" s="91">
        <v>150</v>
      </c>
    </row>
    <row r="514" spans="2:14">
      <c r="B514" s="176"/>
      <c r="C514" s="174"/>
      <c r="D514" s="172"/>
      <c r="E514" s="23">
        <v>510</v>
      </c>
      <c r="F514" s="2">
        <v>45</v>
      </c>
      <c r="G514" s="107"/>
      <c r="H514" s="2">
        <v>0</v>
      </c>
      <c r="I514" s="110">
        <v>150</v>
      </c>
      <c r="J514" s="23"/>
      <c r="K514" s="99">
        <v>150</v>
      </c>
      <c r="L514" s="101"/>
      <c r="M514" s="100">
        <v>20</v>
      </c>
      <c r="N514" s="91">
        <v>150</v>
      </c>
    </row>
    <row r="515" spans="2:14">
      <c r="B515" s="176"/>
      <c r="C515" s="174"/>
      <c r="D515" s="172"/>
      <c r="E515" s="23">
        <v>511</v>
      </c>
      <c r="F515" s="2">
        <v>45</v>
      </c>
      <c r="G515" s="107"/>
      <c r="H515" s="2">
        <v>0</v>
      </c>
      <c r="I515" s="90">
        <f>I514-F515-F514</f>
        <v>60</v>
      </c>
      <c r="J515" s="99">
        <v>150</v>
      </c>
      <c r="K515" s="99">
        <v>150</v>
      </c>
      <c r="L515" s="47"/>
      <c r="M515" s="100">
        <v>20</v>
      </c>
      <c r="N515" s="91">
        <v>150</v>
      </c>
    </row>
    <row r="516" spans="2:14">
      <c r="B516" s="176"/>
      <c r="C516" s="174"/>
      <c r="D516" s="172"/>
      <c r="E516" s="23">
        <v>512</v>
      </c>
      <c r="F516" s="2">
        <v>38</v>
      </c>
      <c r="G516" s="107"/>
      <c r="H516" s="2">
        <v>0</v>
      </c>
      <c r="I516" s="90">
        <f>I515-F516</f>
        <v>22</v>
      </c>
      <c r="J516" s="99">
        <v>150</v>
      </c>
      <c r="K516" s="99">
        <v>150</v>
      </c>
      <c r="L516" s="101"/>
      <c r="M516" s="100">
        <v>20</v>
      </c>
      <c r="N516" s="91">
        <v>150</v>
      </c>
    </row>
    <row r="517" spans="2:14">
      <c r="B517" s="176"/>
      <c r="C517" s="174"/>
      <c r="D517" s="172"/>
      <c r="E517" s="23">
        <v>513</v>
      </c>
      <c r="F517" s="2">
        <v>30</v>
      </c>
      <c r="G517" s="107"/>
      <c r="H517" s="113">
        <v>22</v>
      </c>
      <c r="I517" s="109">
        <v>0</v>
      </c>
      <c r="J517" s="99">
        <v>150</v>
      </c>
      <c r="K517" s="99">
        <v>150</v>
      </c>
      <c r="L517" s="101"/>
      <c r="M517" s="100">
        <v>20</v>
      </c>
      <c r="N517" s="91">
        <v>150</v>
      </c>
    </row>
    <row r="518" spans="2:14">
      <c r="B518" s="176"/>
      <c r="C518" s="174"/>
      <c r="D518" s="172"/>
      <c r="E518" s="23">
        <v>514</v>
      </c>
      <c r="F518" s="2">
        <v>41</v>
      </c>
      <c r="G518" s="107"/>
      <c r="H518" s="113">
        <v>41</v>
      </c>
      <c r="I518" s="109">
        <v>0</v>
      </c>
      <c r="J518" s="99">
        <v>150</v>
      </c>
      <c r="K518" s="99">
        <v>150</v>
      </c>
      <c r="L518" s="101"/>
      <c r="M518" s="100">
        <v>20</v>
      </c>
      <c r="N518" s="91">
        <v>150</v>
      </c>
    </row>
    <row r="519" spans="2:14">
      <c r="B519" s="176"/>
      <c r="C519" s="174"/>
      <c r="D519" s="172"/>
      <c r="E519" s="23">
        <v>515</v>
      </c>
      <c r="F519" s="2">
        <v>37</v>
      </c>
      <c r="G519" s="107"/>
      <c r="H519" s="113">
        <v>37</v>
      </c>
      <c r="I519" s="109">
        <v>0</v>
      </c>
      <c r="J519" s="99">
        <v>150</v>
      </c>
      <c r="K519" s="99">
        <v>150</v>
      </c>
      <c r="L519" s="101"/>
      <c r="M519" s="100">
        <v>20</v>
      </c>
      <c r="N519" s="91">
        <v>150</v>
      </c>
    </row>
    <row r="520" spans="2:14">
      <c r="B520" s="176"/>
      <c r="C520" s="174"/>
      <c r="D520" s="173"/>
      <c r="E520" s="23">
        <v>516</v>
      </c>
      <c r="F520" s="2">
        <v>34</v>
      </c>
      <c r="G520" s="107"/>
      <c r="H520" s="113">
        <v>34</v>
      </c>
      <c r="I520" s="109">
        <v>0</v>
      </c>
      <c r="J520" s="99">
        <v>150</v>
      </c>
      <c r="K520" s="99">
        <v>150</v>
      </c>
      <c r="L520" s="101"/>
      <c r="M520" s="100">
        <v>20</v>
      </c>
      <c r="N520" s="91">
        <v>150</v>
      </c>
    </row>
    <row r="521" spans="2:14">
      <c r="B521" s="176"/>
      <c r="C521" s="174"/>
      <c r="D521" s="171" t="s">
        <v>47</v>
      </c>
      <c r="E521" s="23">
        <v>517</v>
      </c>
      <c r="F521" s="2">
        <v>39</v>
      </c>
      <c r="G521" s="107"/>
      <c r="H521" s="2">
        <v>0</v>
      </c>
      <c r="I521" s="109">
        <v>0</v>
      </c>
      <c r="J521" s="99">
        <v>150</v>
      </c>
      <c r="K521" s="99">
        <v>150</v>
      </c>
      <c r="L521" s="101"/>
      <c r="M521" s="100" t="str">
        <f>"10 - 10"</f>
        <v>10 - 10</v>
      </c>
      <c r="N521" s="91">
        <v>150</v>
      </c>
    </row>
    <row r="522" spans="2:14">
      <c r="B522" s="176"/>
      <c r="C522" s="174"/>
      <c r="D522" s="172"/>
      <c r="E522" s="23">
        <v>518</v>
      </c>
      <c r="F522" s="2">
        <v>32</v>
      </c>
      <c r="G522" s="107"/>
      <c r="H522" s="2">
        <v>0</v>
      </c>
      <c r="I522" s="110">
        <v>150</v>
      </c>
      <c r="J522" s="23"/>
      <c r="K522" s="99">
        <v>150</v>
      </c>
      <c r="L522" s="101"/>
      <c r="M522" s="100">
        <v>20</v>
      </c>
      <c r="N522" s="91">
        <v>150</v>
      </c>
    </row>
    <row r="523" spans="2:14">
      <c r="B523" s="176"/>
      <c r="C523" s="174"/>
      <c r="D523" s="172"/>
      <c r="E523" s="23">
        <v>519</v>
      </c>
      <c r="F523" s="2">
        <v>37</v>
      </c>
      <c r="G523" s="107"/>
      <c r="H523" s="2">
        <v>0</v>
      </c>
      <c r="I523" s="90">
        <f>I522-F523-F522</f>
        <v>81</v>
      </c>
      <c r="J523" s="99">
        <v>150</v>
      </c>
      <c r="K523" s="99">
        <v>150</v>
      </c>
      <c r="L523" s="101"/>
      <c r="M523" s="100">
        <v>20</v>
      </c>
      <c r="N523" s="91">
        <v>150</v>
      </c>
    </row>
    <row r="524" spans="2:14">
      <c r="B524" s="176"/>
      <c r="C524" s="174"/>
      <c r="D524" s="172"/>
      <c r="E524" s="23">
        <v>520</v>
      </c>
      <c r="F524" s="2">
        <v>40</v>
      </c>
      <c r="G524" s="107"/>
      <c r="H524" s="2">
        <v>0</v>
      </c>
      <c r="I524" s="90">
        <f>I523-F524</f>
        <v>41</v>
      </c>
      <c r="J524" s="99">
        <v>150</v>
      </c>
      <c r="K524" s="99">
        <v>150</v>
      </c>
      <c r="L524" s="101"/>
      <c r="M524" s="100">
        <v>20</v>
      </c>
      <c r="N524" s="91">
        <v>150</v>
      </c>
    </row>
    <row r="525" spans="2:14">
      <c r="B525" s="176"/>
      <c r="C525" s="174"/>
      <c r="D525" s="172"/>
      <c r="E525" s="23">
        <v>521</v>
      </c>
      <c r="F525" s="2">
        <v>49</v>
      </c>
      <c r="G525" s="107"/>
      <c r="H525" s="113">
        <v>47</v>
      </c>
      <c r="I525" s="109">
        <v>0</v>
      </c>
      <c r="J525" s="99">
        <v>150</v>
      </c>
      <c r="K525" s="99">
        <v>150</v>
      </c>
      <c r="L525" s="101"/>
      <c r="M525" s="100">
        <v>20</v>
      </c>
      <c r="N525" s="91">
        <v>150</v>
      </c>
    </row>
    <row r="526" spans="2:14">
      <c r="B526" s="176"/>
      <c r="C526" s="174"/>
      <c r="D526" s="172"/>
      <c r="E526" s="23">
        <v>522</v>
      </c>
      <c r="F526" s="2">
        <v>32</v>
      </c>
      <c r="G526" s="107"/>
      <c r="H526" s="113">
        <v>32</v>
      </c>
      <c r="I526" s="109">
        <v>0</v>
      </c>
      <c r="J526" s="99">
        <v>150</v>
      </c>
      <c r="K526" s="99">
        <v>150</v>
      </c>
      <c r="L526" s="101"/>
      <c r="M526" s="100">
        <v>20</v>
      </c>
      <c r="N526" s="91">
        <v>150</v>
      </c>
    </row>
    <row r="527" spans="2:14">
      <c r="B527" s="176"/>
      <c r="C527" s="174"/>
      <c r="D527" s="172"/>
      <c r="E527" s="23">
        <v>523</v>
      </c>
      <c r="F527" s="2">
        <v>32</v>
      </c>
      <c r="G527" s="107"/>
      <c r="H527" s="113">
        <v>32</v>
      </c>
      <c r="I527" s="109">
        <v>0</v>
      </c>
      <c r="J527" s="99">
        <v>150</v>
      </c>
      <c r="K527" s="99">
        <v>150</v>
      </c>
      <c r="L527" s="101"/>
      <c r="M527" s="100">
        <v>20</v>
      </c>
      <c r="N527" s="91">
        <v>150</v>
      </c>
    </row>
    <row r="528" spans="2:14">
      <c r="B528" s="176"/>
      <c r="C528" s="174"/>
      <c r="D528" s="172"/>
      <c r="E528" s="23">
        <v>524</v>
      </c>
      <c r="F528" s="2">
        <v>51</v>
      </c>
      <c r="G528" s="107"/>
      <c r="H528" s="113">
        <v>31</v>
      </c>
      <c r="I528" s="109">
        <v>0</v>
      </c>
      <c r="J528" s="99">
        <v>150</v>
      </c>
      <c r="K528" s="99">
        <v>150</v>
      </c>
      <c r="L528" s="101"/>
      <c r="M528" s="100">
        <v>20</v>
      </c>
      <c r="N528" s="91">
        <v>150</v>
      </c>
    </row>
    <row r="529" spans="2:14">
      <c r="B529" s="176"/>
      <c r="C529" s="174"/>
      <c r="D529" s="172"/>
      <c r="E529" s="23">
        <v>525</v>
      </c>
      <c r="F529" s="2">
        <v>42</v>
      </c>
      <c r="G529" s="107"/>
      <c r="H529" s="2">
        <v>0</v>
      </c>
      <c r="I529" s="109">
        <v>0</v>
      </c>
      <c r="J529" s="99">
        <v>150</v>
      </c>
      <c r="K529" s="99">
        <v>150</v>
      </c>
      <c r="L529" s="101"/>
      <c r="M529" s="100">
        <v>20</v>
      </c>
      <c r="N529" s="91">
        <v>150</v>
      </c>
    </row>
    <row r="530" spans="2:14">
      <c r="B530" s="176"/>
      <c r="C530" s="174"/>
      <c r="D530" s="172"/>
      <c r="E530" s="23">
        <v>526</v>
      </c>
      <c r="F530" s="2">
        <v>50</v>
      </c>
      <c r="G530" s="107"/>
      <c r="H530" s="2">
        <v>0</v>
      </c>
      <c r="I530" s="110">
        <v>150</v>
      </c>
      <c r="J530" s="23"/>
      <c r="K530" s="99">
        <v>150</v>
      </c>
      <c r="L530" s="101"/>
      <c r="M530" s="100">
        <v>20</v>
      </c>
      <c r="N530" s="91">
        <v>150</v>
      </c>
    </row>
    <row r="531" spans="2:14">
      <c r="B531" s="176"/>
      <c r="C531" s="174"/>
      <c r="D531" s="172"/>
      <c r="E531" s="23">
        <v>527</v>
      </c>
      <c r="F531" s="2">
        <v>44</v>
      </c>
      <c r="G531" s="107"/>
      <c r="H531" s="113">
        <v>6</v>
      </c>
      <c r="I531" s="90">
        <f>I530-F531-F530</f>
        <v>56</v>
      </c>
      <c r="J531" s="99">
        <v>150</v>
      </c>
      <c r="K531" s="99">
        <v>150</v>
      </c>
      <c r="L531" s="101"/>
      <c r="M531" s="100">
        <v>20</v>
      </c>
      <c r="N531" s="91">
        <v>150</v>
      </c>
    </row>
    <row r="532" spans="2:14">
      <c r="B532" s="176"/>
      <c r="C532" s="174"/>
      <c r="D532" s="172"/>
      <c r="E532" s="23">
        <v>528</v>
      </c>
      <c r="F532" s="2">
        <v>42</v>
      </c>
      <c r="G532" s="107"/>
      <c r="H532" s="113">
        <v>42</v>
      </c>
      <c r="I532" s="90">
        <f>I531-F532</f>
        <v>14</v>
      </c>
      <c r="J532" s="99">
        <v>150</v>
      </c>
      <c r="K532" s="99">
        <v>150</v>
      </c>
      <c r="L532" s="101"/>
      <c r="M532" s="100">
        <v>20</v>
      </c>
      <c r="N532" s="91">
        <v>150</v>
      </c>
    </row>
    <row r="533" spans="2:14">
      <c r="B533" s="176"/>
      <c r="C533" s="174"/>
      <c r="D533" s="172"/>
      <c r="E533" s="23">
        <v>529</v>
      </c>
      <c r="F533" s="2">
        <v>30</v>
      </c>
      <c r="G533" s="107"/>
      <c r="H533" s="113">
        <v>30</v>
      </c>
      <c r="I533" s="109">
        <v>0</v>
      </c>
      <c r="J533" s="99">
        <v>150</v>
      </c>
      <c r="K533" s="99">
        <v>150</v>
      </c>
      <c r="L533" s="101"/>
      <c r="M533" s="100">
        <v>20</v>
      </c>
      <c r="N533" s="91">
        <v>150</v>
      </c>
    </row>
    <row r="534" spans="2:14">
      <c r="B534" s="176"/>
      <c r="C534" s="174"/>
      <c r="D534" s="172"/>
      <c r="E534" s="23">
        <v>530</v>
      </c>
      <c r="F534" s="2">
        <v>40</v>
      </c>
      <c r="G534" s="107"/>
      <c r="H534" s="113">
        <v>40</v>
      </c>
      <c r="I534" s="109">
        <v>0</v>
      </c>
      <c r="J534" s="99">
        <v>150</v>
      </c>
      <c r="K534" s="99">
        <v>150</v>
      </c>
      <c r="L534" s="101"/>
      <c r="M534" s="100">
        <v>20</v>
      </c>
      <c r="N534" s="91">
        <v>150</v>
      </c>
    </row>
    <row r="535" spans="2:14">
      <c r="B535" s="176"/>
      <c r="C535" s="174"/>
      <c r="D535" s="172"/>
      <c r="E535" s="23">
        <v>531</v>
      </c>
      <c r="F535" s="2">
        <v>35</v>
      </c>
      <c r="G535" s="107"/>
      <c r="H535" s="113">
        <v>35</v>
      </c>
      <c r="I535" s="109">
        <v>0</v>
      </c>
      <c r="J535" s="99">
        <v>150</v>
      </c>
      <c r="K535" s="99">
        <v>150</v>
      </c>
      <c r="L535" s="101"/>
      <c r="M535" s="100">
        <v>20</v>
      </c>
      <c r="N535" s="91">
        <v>150</v>
      </c>
    </row>
    <row r="536" spans="2:14">
      <c r="B536" s="176"/>
      <c r="C536" s="174"/>
      <c r="D536" s="172"/>
      <c r="E536" s="23">
        <v>532</v>
      </c>
      <c r="F536" s="2">
        <v>39</v>
      </c>
      <c r="G536" s="107"/>
      <c r="H536" s="2">
        <v>0</v>
      </c>
      <c r="I536" s="109">
        <v>0</v>
      </c>
      <c r="J536" s="99">
        <v>150</v>
      </c>
      <c r="K536" s="99">
        <v>150</v>
      </c>
      <c r="L536" s="101"/>
      <c r="M536" s="100" t="str">
        <f>"10 - 10"</f>
        <v>10 - 10</v>
      </c>
      <c r="N536" s="91">
        <v>150</v>
      </c>
    </row>
    <row r="537" spans="2:14">
      <c r="B537" s="176"/>
      <c r="C537" s="174"/>
      <c r="D537" s="172"/>
      <c r="E537" s="23">
        <v>533</v>
      </c>
      <c r="F537" s="2">
        <v>50</v>
      </c>
      <c r="G537" s="107"/>
      <c r="H537" s="2">
        <v>0</v>
      </c>
      <c r="I537" s="109">
        <v>0</v>
      </c>
      <c r="J537" s="99">
        <v>150</v>
      </c>
      <c r="K537" s="99">
        <v>150</v>
      </c>
      <c r="L537" s="101"/>
      <c r="M537" s="100">
        <v>20</v>
      </c>
      <c r="N537" s="91">
        <v>150</v>
      </c>
    </row>
    <row r="538" spans="2:14">
      <c r="B538" s="176"/>
      <c r="C538" s="174"/>
      <c r="D538" s="172"/>
      <c r="E538" s="23">
        <v>534</v>
      </c>
      <c r="F538" s="2">
        <v>31</v>
      </c>
      <c r="G538" s="107"/>
      <c r="H538" s="2">
        <v>0</v>
      </c>
      <c r="I538" s="110">
        <v>150</v>
      </c>
      <c r="J538" s="23"/>
      <c r="K538" s="99">
        <v>150</v>
      </c>
      <c r="L538" s="101"/>
      <c r="M538" s="100">
        <v>20</v>
      </c>
      <c r="N538" s="91">
        <v>150</v>
      </c>
    </row>
    <row r="539" spans="2:14">
      <c r="B539" s="176"/>
      <c r="C539" s="174"/>
      <c r="D539" s="172"/>
      <c r="E539" s="23">
        <v>535</v>
      </c>
      <c r="F539" s="2">
        <v>51</v>
      </c>
      <c r="G539" s="107"/>
      <c r="H539" s="113">
        <v>21</v>
      </c>
      <c r="I539" s="90">
        <f>I538-F539-F538</f>
        <v>68</v>
      </c>
      <c r="J539" s="99">
        <v>150</v>
      </c>
      <c r="K539" s="99">
        <v>150</v>
      </c>
      <c r="L539" s="101"/>
      <c r="M539" s="100">
        <v>20</v>
      </c>
      <c r="N539" s="91">
        <v>150</v>
      </c>
    </row>
    <row r="540" spans="2:14">
      <c r="B540" s="176"/>
      <c r="C540" s="174"/>
      <c r="D540" s="172"/>
      <c r="E540" s="23">
        <v>536</v>
      </c>
      <c r="F540" s="2">
        <v>54</v>
      </c>
      <c r="G540" s="107"/>
      <c r="H540" s="113">
        <v>54</v>
      </c>
      <c r="I540" s="90">
        <f>I539-F540</f>
        <v>14</v>
      </c>
      <c r="J540" s="99">
        <v>150</v>
      </c>
      <c r="K540" s="99">
        <v>150</v>
      </c>
      <c r="L540" s="101"/>
      <c r="M540" s="100">
        <v>20</v>
      </c>
      <c r="N540" s="91">
        <v>150</v>
      </c>
    </row>
    <row r="541" spans="2:14">
      <c r="B541" s="176"/>
      <c r="C541" s="174"/>
      <c r="D541" s="172"/>
      <c r="E541" s="23">
        <v>537</v>
      </c>
      <c r="F541" s="2">
        <v>47</v>
      </c>
      <c r="G541" s="107"/>
      <c r="H541" s="113">
        <v>47</v>
      </c>
      <c r="I541" s="109">
        <v>0</v>
      </c>
      <c r="J541" s="99">
        <v>150</v>
      </c>
      <c r="K541" s="99">
        <v>150</v>
      </c>
      <c r="L541" s="101"/>
      <c r="M541" s="100">
        <v>20</v>
      </c>
      <c r="N541" s="91">
        <v>150</v>
      </c>
    </row>
    <row r="542" spans="2:14">
      <c r="B542" s="176"/>
      <c r="C542" s="174"/>
      <c r="D542" s="172"/>
      <c r="E542" s="23">
        <v>538</v>
      </c>
      <c r="F542" s="2">
        <v>42</v>
      </c>
      <c r="G542" s="107"/>
      <c r="H542" s="113">
        <v>42</v>
      </c>
      <c r="I542" s="109">
        <v>0</v>
      </c>
      <c r="J542" s="99">
        <v>150</v>
      </c>
      <c r="K542" s="99">
        <v>150</v>
      </c>
      <c r="L542" s="101"/>
      <c r="M542" s="100">
        <v>20</v>
      </c>
      <c r="N542" s="91">
        <v>150</v>
      </c>
    </row>
    <row r="543" spans="2:14">
      <c r="B543" s="176"/>
      <c r="C543" s="174"/>
      <c r="D543" s="172"/>
      <c r="E543" s="23">
        <v>539</v>
      </c>
      <c r="F543" s="2">
        <v>38</v>
      </c>
      <c r="G543" s="107"/>
      <c r="H543" s="113">
        <v>23</v>
      </c>
      <c r="I543" s="109">
        <v>0</v>
      </c>
      <c r="J543" s="99">
        <v>150</v>
      </c>
      <c r="K543" s="99">
        <v>150</v>
      </c>
      <c r="L543" s="101"/>
      <c r="M543" s="100">
        <v>20</v>
      </c>
      <c r="N543" s="91">
        <v>150</v>
      </c>
    </row>
    <row r="544" spans="2:14">
      <c r="B544" s="176"/>
      <c r="C544" s="174"/>
      <c r="D544" s="172"/>
      <c r="E544" s="23">
        <v>540</v>
      </c>
      <c r="F544" s="2">
        <v>50</v>
      </c>
      <c r="G544" s="107"/>
      <c r="H544" s="2">
        <v>0</v>
      </c>
      <c r="I544" s="109">
        <v>0</v>
      </c>
      <c r="J544" s="99">
        <v>150</v>
      </c>
      <c r="K544" s="99">
        <v>150</v>
      </c>
      <c r="L544" s="101"/>
      <c r="M544" s="100">
        <v>20</v>
      </c>
      <c r="N544" s="91">
        <v>150</v>
      </c>
    </row>
    <row r="545" spans="2:14">
      <c r="B545" s="176"/>
      <c r="C545" s="174"/>
      <c r="D545" s="172"/>
      <c r="E545" s="23">
        <v>541</v>
      </c>
      <c r="F545" s="2">
        <v>42</v>
      </c>
      <c r="G545" s="107"/>
      <c r="H545" s="2">
        <v>0</v>
      </c>
      <c r="I545" s="109">
        <v>0</v>
      </c>
      <c r="J545" s="99">
        <v>150</v>
      </c>
      <c r="K545" s="99">
        <v>150</v>
      </c>
      <c r="L545" s="101"/>
      <c r="M545" s="100">
        <v>20</v>
      </c>
      <c r="N545" s="91">
        <v>150</v>
      </c>
    </row>
    <row r="546" spans="2:14">
      <c r="B546" s="176"/>
      <c r="C546" s="174"/>
      <c r="D546" s="172"/>
      <c r="E546" s="23">
        <v>542</v>
      </c>
      <c r="F546" s="2">
        <v>42</v>
      </c>
      <c r="G546" s="107"/>
      <c r="H546" s="2">
        <v>0</v>
      </c>
      <c r="I546" s="110">
        <v>150</v>
      </c>
      <c r="J546" s="23"/>
      <c r="K546" s="99">
        <v>150</v>
      </c>
      <c r="L546" s="101"/>
      <c r="M546" s="100">
        <v>20</v>
      </c>
      <c r="N546" s="91">
        <v>150</v>
      </c>
    </row>
    <row r="547" spans="2:14">
      <c r="B547" s="176"/>
      <c r="C547" s="174"/>
      <c r="D547" s="172"/>
      <c r="E547" s="23">
        <v>543</v>
      </c>
      <c r="F547" s="2">
        <v>36</v>
      </c>
      <c r="G547" s="107"/>
      <c r="H547" s="113">
        <v>35</v>
      </c>
      <c r="I547" s="90">
        <f>I546-F547-F546</f>
        <v>72</v>
      </c>
      <c r="J547" s="99">
        <v>150</v>
      </c>
      <c r="K547" s="99">
        <v>150</v>
      </c>
      <c r="L547" s="101"/>
      <c r="M547" s="100">
        <v>20</v>
      </c>
      <c r="N547" s="91">
        <v>150</v>
      </c>
    </row>
    <row r="548" spans="2:14">
      <c r="B548" s="176"/>
      <c r="C548" s="174"/>
      <c r="D548" s="172"/>
      <c r="E548" s="23">
        <v>544</v>
      </c>
      <c r="F548" s="2">
        <v>37</v>
      </c>
      <c r="G548" s="107"/>
      <c r="H548" s="113">
        <v>37</v>
      </c>
      <c r="I548" s="90">
        <f>I547-F548</f>
        <v>35</v>
      </c>
      <c r="J548" s="99">
        <v>150</v>
      </c>
      <c r="K548" s="99">
        <v>150</v>
      </c>
      <c r="L548" s="101"/>
      <c r="M548" s="100">
        <v>20</v>
      </c>
      <c r="N548" s="91">
        <v>150</v>
      </c>
    </row>
    <row r="549" spans="2:14">
      <c r="B549" s="176"/>
      <c r="C549" s="174"/>
      <c r="D549" s="172"/>
      <c r="E549" s="23">
        <v>545</v>
      </c>
      <c r="F549" s="2">
        <v>40</v>
      </c>
      <c r="G549" s="107"/>
      <c r="H549" s="113">
        <v>40</v>
      </c>
      <c r="I549" s="109">
        <v>0</v>
      </c>
      <c r="J549" s="99">
        <v>150</v>
      </c>
      <c r="K549" s="99">
        <v>150</v>
      </c>
      <c r="L549" s="101"/>
      <c r="M549" s="100">
        <v>20</v>
      </c>
      <c r="N549" s="91">
        <v>150</v>
      </c>
    </row>
    <row r="550" spans="2:14">
      <c r="B550" s="176"/>
      <c r="C550" s="174"/>
      <c r="D550" s="173"/>
      <c r="E550" s="23">
        <v>546</v>
      </c>
      <c r="F550" s="2">
        <v>41</v>
      </c>
      <c r="G550" s="107"/>
      <c r="H550" s="113">
        <v>41</v>
      </c>
      <c r="I550" s="109">
        <v>0</v>
      </c>
      <c r="J550" s="99">
        <v>150</v>
      </c>
      <c r="K550" s="99">
        <v>150</v>
      </c>
      <c r="L550" s="101"/>
      <c r="M550" s="100">
        <v>20</v>
      </c>
      <c r="N550" s="91">
        <v>150</v>
      </c>
    </row>
    <row r="551" spans="2:14">
      <c r="B551" s="176"/>
      <c r="C551" s="174" t="s">
        <v>48</v>
      </c>
      <c r="D551" s="171" t="s">
        <v>49</v>
      </c>
      <c r="E551" s="23">
        <v>547</v>
      </c>
      <c r="F551" s="2">
        <v>38</v>
      </c>
      <c r="G551" s="107"/>
      <c r="H551" s="2">
        <v>0</v>
      </c>
      <c r="I551" s="109">
        <v>0</v>
      </c>
      <c r="J551" s="99">
        <v>150</v>
      </c>
      <c r="K551" s="99">
        <v>150</v>
      </c>
      <c r="L551" s="101"/>
      <c r="M551" s="100" t="str">
        <f>"10 - 10"</f>
        <v>10 - 10</v>
      </c>
      <c r="N551" s="91">
        <v>150</v>
      </c>
    </row>
    <row r="552" spans="2:14">
      <c r="B552" s="176"/>
      <c r="C552" s="174"/>
      <c r="D552" s="172"/>
      <c r="E552" s="23">
        <v>548</v>
      </c>
      <c r="F552" s="2">
        <v>34</v>
      </c>
      <c r="G552" s="107"/>
      <c r="H552" s="2">
        <v>0</v>
      </c>
      <c r="I552" s="109">
        <v>0</v>
      </c>
      <c r="J552" s="99">
        <v>150</v>
      </c>
      <c r="K552" s="99">
        <v>150</v>
      </c>
      <c r="L552" s="101"/>
      <c r="M552" s="100">
        <v>20</v>
      </c>
      <c r="N552" s="91">
        <v>150</v>
      </c>
    </row>
    <row r="553" spans="2:14">
      <c r="B553" s="176"/>
      <c r="C553" s="174"/>
      <c r="D553" s="172"/>
      <c r="E553" s="23">
        <v>549</v>
      </c>
      <c r="F553" s="2">
        <v>52</v>
      </c>
      <c r="G553" s="107"/>
      <c r="H553" s="2">
        <v>0</v>
      </c>
      <c r="I553" s="109">
        <v>0</v>
      </c>
      <c r="J553" s="99">
        <v>150</v>
      </c>
      <c r="K553" s="99">
        <v>150</v>
      </c>
      <c r="L553" s="101"/>
      <c r="M553" s="100">
        <v>20</v>
      </c>
      <c r="N553" s="91">
        <v>150</v>
      </c>
    </row>
    <row r="554" spans="2:14">
      <c r="B554" s="176"/>
      <c r="C554" s="174"/>
      <c r="D554" s="172"/>
      <c r="E554" s="23">
        <v>550</v>
      </c>
      <c r="F554" s="2">
        <v>38</v>
      </c>
      <c r="G554" s="107"/>
      <c r="H554" s="113">
        <v>12</v>
      </c>
      <c r="I554" s="110">
        <v>150</v>
      </c>
      <c r="J554" s="23"/>
      <c r="K554" s="99">
        <v>150</v>
      </c>
      <c r="L554" s="101"/>
      <c r="M554" s="100">
        <v>20</v>
      </c>
      <c r="N554" s="91">
        <v>150</v>
      </c>
    </row>
    <row r="555" spans="2:14">
      <c r="B555" s="176"/>
      <c r="C555" s="174"/>
      <c r="D555" s="172"/>
      <c r="E555" s="23">
        <v>551</v>
      </c>
      <c r="F555" s="2">
        <v>36</v>
      </c>
      <c r="G555" s="107"/>
      <c r="H555" s="113">
        <v>36</v>
      </c>
      <c r="I555" s="90">
        <f>I554-F555-F554</f>
        <v>76</v>
      </c>
      <c r="J555" s="99">
        <v>150</v>
      </c>
      <c r="K555" s="99">
        <v>150</v>
      </c>
      <c r="L555" s="47"/>
      <c r="M555" s="100">
        <v>20</v>
      </c>
      <c r="N555" s="91">
        <v>150</v>
      </c>
    </row>
    <row r="556" spans="2:14">
      <c r="B556" s="176"/>
      <c r="C556" s="174"/>
      <c r="D556" s="172"/>
      <c r="E556" s="23">
        <v>552</v>
      </c>
      <c r="F556" s="2">
        <v>33</v>
      </c>
      <c r="G556" s="107"/>
      <c r="H556" s="113">
        <v>33</v>
      </c>
      <c r="I556" s="90">
        <f>I555-F556</f>
        <v>43</v>
      </c>
      <c r="J556" s="99">
        <v>150</v>
      </c>
      <c r="K556" s="99">
        <v>150</v>
      </c>
      <c r="L556" s="101"/>
      <c r="M556" s="100">
        <v>20</v>
      </c>
      <c r="N556" s="91">
        <v>150</v>
      </c>
    </row>
    <row r="557" spans="2:14">
      <c r="B557" s="176"/>
      <c r="C557" s="174"/>
      <c r="D557" s="172"/>
      <c r="E557" s="23">
        <v>553</v>
      </c>
      <c r="F557" s="2">
        <v>35</v>
      </c>
      <c r="G557" s="107"/>
      <c r="H557" s="113">
        <v>35</v>
      </c>
      <c r="I557" s="90">
        <f>I556-F557</f>
        <v>8</v>
      </c>
      <c r="J557" s="99">
        <v>150</v>
      </c>
      <c r="K557" s="99">
        <v>150</v>
      </c>
      <c r="L557" s="101"/>
      <c r="M557" s="100">
        <v>20</v>
      </c>
      <c r="N557" s="91">
        <v>150</v>
      </c>
    </row>
    <row r="558" spans="2:14">
      <c r="B558" s="176"/>
      <c r="C558" s="174"/>
      <c r="D558" s="172"/>
      <c r="E558" s="23">
        <v>554</v>
      </c>
      <c r="F558" s="2">
        <v>30</v>
      </c>
      <c r="G558" s="107"/>
      <c r="H558" s="113">
        <v>15</v>
      </c>
      <c r="I558" s="109">
        <v>0</v>
      </c>
      <c r="J558" s="99">
        <v>150</v>
      </c>
      <c r="K558" s="99">
        <v>150</v>
      </c>
      <c r="L558" s="101"/>
      <c r="M558" s="100">
        <v>20</v>
      </c>
      <c r="N558" s="91">
        <v>150</v>
      </c>
    </row>
    <row r="559" spans="2:14">
      <c r="B559" s="176"/>
      <c r="C559" s="174"/>
      <c r="D559" s="172"/>
      <c r="E559" s="23">
        <v>555</v>
      </c>
      <c r="F559" s="2">
        <v>33</v>
      </c>
      <c r="G559" s="107"/>
      <c r="H559" s="2">
        <v>0</v>
      </c>
      <c r="I559" s="109">
        <v>0</v>
      </c>
      <c r="J559" s="99">
        <v>150</v>
      </c>
      <c r="K559" s="99">
        <v>150</v>
      </c>
      <c r="L559" s="101"/>
      <c r="M559" s="100">
        <v>20</v>
      </c>
      <c r="N559" s="91">
        <v>150</v>
      </c>
    </row>
    <row r="560" spans="2:14">
      <c r="B560" s="176"/>
      <c r="C560" s="174"/>
      <c r="D560" s="172"/>
      <c r="E560" s="23">
        <v>556</v>
      </c>
      <c r="F560" s="2">
        <v>49</v>
      </c>
      <c r="G560" s="107"/>
      <c r="H560" s="2">
        <v>0</v>
      </c>
      <c r="I560" s="109">
        <v>0</v>
      </c>
      <c r="J560" s="99">
        <v>150</v>
      </c>
      <c r="K560" s="99">
        <v>150</v>
      </c>
      <c r="L560" s="101"/>
      <c r="M560" s="100">
        <v>20</v>
      </c>
      <c r="N560" s="91">
        <v>150</v>
      </c>
    </row>
    <row r="561" spans="2:14">
      <c r="B561" s="176"/>
      <c r="C561" s="174"/>
      <c r="D561" s="172"/>
      <c r="E561" s="23">
        <v>557</v>
      </c>
      <c r="F561" s="2">
        <v>45</v>
      </c>
      <c r="G561" s="107"/>
      <c r="H561" s="2">
        <v>0</v>
      </c>
      <c r="I561" s="109">
        <v>0</v>
      </c>
      <c r="J561" s="99">
        <v>150</v>
      </c>
      <c r="K561" s="99">
        <v>150</v>
      </c>
      <c r="L561" s="101"/>
      <c r="M561" s="100">
        <v>20</v>
      </c>
      <c r="N561" s="91">
        <v>150</v>
      </c>
    </row>
    <row r="562" spans="2:14">
      <c r="B562" s="176"/>
      <c r="C562" s="174"/>
      <c r="D562" s="172"/>
      <c r="E562" s="23">
        <v>558</v>
      </c>
      <c r="F562" s="2">
        <v>38</v>
      </c>
      <c r="G562" s="107"/>
      <c r="H562" s="113">
        <v>30</v>
      </c>
      <c r="I562" s="110">
        <v>150</v>
      </c>
      <c r="J562" s="23"/>
      <c r="K562" s="99">
        <v>150</v>
      </c>
      <c r="L562" s="101"/>
      <c r="M562" s="100">
        <v>20</v>
      </c>
      <c r="N562" s="91">
        <v>150</v>
      </c>
    </row>
    <row r="563" spans="2:14">
      <c r="B563" s="176"/>
      <c r="C563" s="174"/>
      <c r="D563" s="172"/>
      <c r="E563" s="23">
        <v>559</v>
      </c>
      <c r="F563" s="2">
        <v>38</v>
      </c>
      <c r="G563" s="107"/>
      <c r="H563" s="113">
        <v>38</v>
      </c>
      <c r="I563" s="90">
        <f>I562-F563-F562</f>
        <v>74</v>
      </c>
      <c r="J563" s="99">
        <v>150</v>
      </c>
      <c r="K563" s="99">
        <v>150</v>
      </c>
      <c r="L563" s="101"/>
      <c r="M563" s="100">
        <v>20</v>
      </c>
      <c r="N563" s="91">
        <v>150</v>
      </c>
    </row>
    <row r="564" spans="2:14">
      <c r="B564" s="176"/>
      <c r="C564" s="174"/>
      <c r="D564" s="172"/>
      <c r="E564" s="23">
        <v>560</v>
      </c>
      <c r="F564" s="2">
        <v>30</v>
      </c>
      <c r="G564" s="107"/>
      <c r="H564" s="113">
        <v>30</v>
      </c>
      <c r="I564" s="90">
        <f>I563-F564</f>
        <v>44</v>
      </c>
      <c r="J564" s="99">
        <v>150</v>
      </c>
      <c r="K564" s="99">
        <v>150</v>
      </c>
      <c r="L564" s="101"/>
      <c r="M564" s="100">
        <v>20</v>
      </c>
      <c r="N564" s="91">
        <v>150</v>
      </c>
    </row>
    <row r="565" spans="2:14">
      <c r="B565" s="176"/>
      <c r="C565" s="174"/>
      <c r="D565" s="172"/>
      <c r="E565" s="23">
        <v>561</v>
      </c>
      <c r="F565" s="2">
        <v>51</v>
      </c>
      <c r="G565" s="107"/>
      <c r="H565" s="113">
        <v>51</v>
      </c>
      <c r="I565" s="109">
        <v>0</v>
      </c>
      <c r="J565" s="99">
        <v>150</v>
      </c>
      <c r="K565" s="99">
        <v>150</v>
      </c>
      <c r="L565" s="101"/>
      <c r="M565" s="100">
        <v>20</v>
      </c>
      <c r="N565" s="91">
        <v>150</v>
      </c>
    </row>
    <row r="566" spans="2:14">
      <c r="B566" s="176"/>
      <c r="C566" s="174"/>
      <c r="D566" s="172"/>
      <c r="E566" s="23">
        <v>562</v>
      </c>
      <c r="F566" s="2">
        <v>34</v>
      </c>
      <c r="G566" s="107"/>
      <c r="H566" s="2">
        <v>0</v>
      </c>
      <c r="I566" s="109">
        <v>0</v>
      </c>
      <c r="J566" s="99">
        <v>150</v>
      </c>
      <c r="K566" s="99">
        <v>150</v>
      </c>
      <c r="L566" s="101"/>
      <c r="M566" s="100" t="str">
        <f>"10 - 10"</f>
        <v>10 - 10</v>
      </c>
      <c r="N566" s="91">
        <v>150</v>
      </c>
    </row>
    <row r="567" spans="2:14">
      <c r="B567" s="176"/>
      <c r="C567" s="174"/>
      <c r="D567" s="172"/>
      <c r="E567" s="23">
        <v>563</v>
      </c>
      <c r="F567" s="2">
        <v>37</v>
      </c>
      <c r="G567" s="107"/>
      <c r="H567" s="2">
        <v>0</v>
      </c>
      <c r="I567" s="109">
        <v>0</v>
      </c>
      <c r="J567" s="99">
        <v>150</v>
      </c>
      <c r="K567" s="99">
        <v>150</v>
      </c>
      <c r="L567" s="101"/>
      <c r="M567" s="100">
        <v>20</v>
      </c>
      <c r="N567" s="91">
        <v>150</v>
      </c>
    </row>
    <row r="568" spans="2:14">
      <c r="B568" s="176"/>
      <c r="C568" s="174"/>
      <c r="D568" s="172"/>
      <c r="E568" s="23">
        <v>564</v>
      </c>
      <c r="F568" s="2">
        <v>28</v>
      </c>
      <c r="G568" s="107"/>
      <c r="H568" s="2">
        <v>0</v>
      </c>
      <c r="I568" s="109">
        <v>0</v>
      </c>
      <c r="J568" s="99">
        <v>150</v>
      </c>
      <c r="K568" s="99">
        <v>150</v>
      </c>
      <c r="L568" s="101"/>
      <c r="M568" s="100">
        <v>20</v>
      </c>
      <c r="N568" s="91">
        <v>150</v>
      </c>
    </row>
    <row r="569" spans="2:14">
      <c r="B569" s="176"/>
      <c r="C569" s="174"/>
      <c r="D569" s="172"/>
      <c r="E569" s="23">
        <v>565</v>
      </c>
      <c r="F569" s="2">
        <v>38</v>
      </c>
      <c r="G569" s="107"/>
      <c r="H569" s="2">
        <v>0</v>
      </c>
      <c r="I569" s="109">
        <v>0</v>
      </c>
      <c r="J569" s="99">
        <v>150</v>
      </c>
      <c r="K569" s="99">
        <v>150</v>
      </c>
      <c r="L569" s="101"/>
      <c r="M569" s="100">
        <v>20</v>
      </c>
      <c r="N569" s="91">
        <v>150</v>
      </c>
    </row>
    <row r="570" spans="2:14">
      <c r="B570" s="176"/>
      <c r="C570" s="174"/>
      <c r="D570" s="172"/>
      <c r="E570" s="23">
        <v>566</v>
      </c>
      <c r="F570" s="2">
        <v>40</v>
      </c>
      <c r="G570" s="107"/>
      <c r="H570" s="113">
        <v>27</v>
      </c>
      <c r="I570" s="110">
        <v>150</v>
      </c>
      <c r="J570" s="23"/>
      <c r="K570" s="99">
        <v>150</v>
      </c>
      <c r="L570" s="101"/>
      <c r="M570" s="100">
        <v>20</v>
      </c>
      <c r="N570" s="91">
        <v>150</v>
      </c>
    </row>
    <row r="571" spans="2:14">
      <c r="B571" s="176"/>
      <c r="C571" s="174"/>
      <c r="D571" s="172"/>
      <c r="E571" s="23">
        <v>567</v>
      </c>
      <c r="F571" s="2">
        <v>40</v>
      </c>
      <c r="G571" s="107"/>
      <c r="H571" s="113">
        <v>40</v>
      </c>
      <c r="I571" s="90">
        <f>I570-F571-F570</f>
        <v>70</v>
      </c>
      <c r="J571" s="99">
        <v>150</v>
      </c>
      <c r="K571" s="99">
        <v>150</v>
      </c>
      <c r="L571" s="101"/>
      <c r="M571" s="100">
        <v>20</v>
      </c>
      <c r="N571" s="91">
        <v>150</v>
      </c>
    </row>
    <row r="572" spans="2:14">
      <c r="B572" s="176"/>
      <c r="C572" s="174"/>
      <c r="D572" s="172"/>
      <c r="E572" s="23">
        <v>568</v>
      </c>
      <c r="F572" s="2">
        <v>33</v>
      </c>
      <c r="G572" s="107"/>
      <c r="H572" s="113">
        <v>33</v>
      </c>
      <c r="I572" s="90">
        <f>I571-F572</f>
        <v>37</v>
      </c>
      <c r="J572" s="99">
        <v>150</v>
      </c>
      <c r="K572" s="99">
        <v>150</v>
      </c>
      <c r="L572" s="101"/>
      <c r="M572" s="100">
        <v>20</v>
      </c>
      <c r="N572" s="91">
        <v>150</v>
      </c>
    </row>
    <row r="573" spans="2:14">
      <c r="B573" s="176"/>
      <c r="C573" s="174"/>
      <c r="D573" s="172"/>
      <c r="E573" s="23">
        <v>569</v>
      </c>
      <c r="F573" s="2">
        <v>34</v>
      </c>
      <c r="G573" s="107"/>
      <c r="H573" s="113">
        <v>16</v>
      </c>
      <c r="I573" s="90">
        <f>I572-F573</f>
        <v>3</v>
      </c>
      <c r="J573" s="99">
        <v>150</v>
      </c>
      <c r="K573" s="99">
        <v>150</v>
      </c>
      <c r="L573" s="101"/>
      <c r="M573" s="100">
        <v>20</v>
      </c>
      <c r="N573" s="91">
        <v>150</v>
      </c>
    </row>
    <row r="574" spans="2:14">
      <c r="B574" s="176"/>
      <c r="C574" s="174"/>
      <c r="D574" s="172"/>
      <c r="E574" s="23">
        <v>570</v>
      </c>
      <c r="F574" s="2">
        <v>44</v>
      </c>
      <c r="G574" s="107"/>
      <c r="H574" s="2">
        <v>0</v>
      </c>
      <c r="I574" s="109">
        <v>0</v>
      </c>
      <c r="J574" s="99">
        <v>150</v>
      </c>
      <c r="K574" s="99">
        <v>150</v>
      </c>
      <c r="L574" s="101"/>
      <c r="M574" s="100">
        <v>20</v>
      </c>
      <c r="N574" s="91">
        <v>150</v>
      </c>
    </row>
    <row r="575" spans="2:14">
      <c r="B575" s="176"/>
      <c r="C575" s="174"/>
      <c r="D575" s="172"/>
      <c r="E575" s="23">
        <v>571</v>
      </c>
      <c r="F575" s="2">
        <v>40</v>
      </c>
      <c r="G575" s="107"/>
      <c r="H575" s="2">
        <v>0</v>
      </c>
      <c r="I575" s="109">
        <v>0</v>
      </c>
      <c r="J575" s="99">
        <v>150</v>
      </c>
      <c r="K575" s="99">
        <v>150</v>
      </c>
      <c r="L575" s="101"/>
      <c r="M575" s="100">
        <v>20</v>
      </c>
      <c r="N575" s="91">
        <v>150</v>
      </c>
    </row>
    <row r="576" spans="2:14">
      <c r="B576" s="176"/>
      <c r="C576" s="174"/>
      <c r="D576" s="172"/>
      <c r="E576" s="23">
        <v>572</v>
      </c>
      <c r="F576" s="2">
        <v>34</v>
      </c>
      <c r="G576" s="107"/>
      <c r="H576" s="2">
        <v>0</v>
      </c>
      <c r="I576" s="109">
        <v>0</v>
      </c>
      <c r="J576" s="99">
        <v>150</v>
      </c>
      <c r="K576" s="99">
        <v>150</v>
      </c>
      <c r="L576" s="101"/>
      <c r="M576" s="100">
        <v>20</v>
      </c>
      <c r="N576" s="91">
        <v>150</v>
      </c>
    </row>
    <row r="577" spans="2:14">
      <c r="B577" s="176"/>
      <c r="C577" s="174"/>
      <c r="D577" s="172"/>
      <c r="E577" s="23">
        <v>573</v>
      </c>
      <c r="F577" s="2">
        <v>30</v>
      </c>
      <c r="G577" s="107"/>
      <c r="H577" s="113">
        <v>16</v>
      </c>
      <c r="I577" s="109">
        <v>0</v>
      </c>
      <c r="J577" s="99">
        <v>150</v>
      </c>
      <c r="K577" s="99">
        <v>150</v>
      </c>
      <c r="L577" s="101"/>
      <c r="M577" s="100">
        <v>20</v>
      </c>
      <c r="N577" s="91">
        <v>150</v>
      </c>
    </row>
    <row r="578" spans="2:14">
      <c r="B578" s="176"/>
      <c r="C578" s="174"/>
      <c r="D578" s="172"/>
      <c r="E578" s="23">
        <v>574</v>
      </c>
      <c r="F578" s="2">
        <v>30</v>
      </c>
      <c r="G578" s="107"/>
      <c r="H578" s="113">
        <v>30</v>
      </c>
      <c r="I578" s="110">
        <v>150</v>
      </c>
      <c r="J578" s="23"/>
      <c r="K578" s="99">
        <v>150</v>
      </c>
      <c r="L578" s="101"/>
      <c r="M578" s="100">
        <v>20</v>
      </c>
      <c r="N578" s="91">
        <v>150</v>
      </c>
    </row>
    <row r="579" spans="2:14">
      <c r="B579" s="176"/>
      <c r="C579" s="174"/>
      <c r="D579" s="172"/>
      <c r="E579" s="23">
        <v>575</v>
      </c>
      <c r="F579" s="2">
        <v>34</v>
      </c>
      <c r="G579" s="107"/>
      <c r="H579" s="113">
        <v>34</v>
      </c>
      <c r="I579" s="90">
        <f>I578-F579-F578</f>
        <v>86</v>
      </c>
      <c r="J579" s="99">
        <v>150</v>
      </c>
      <c r="K579" s="99">
        <v>150</v>
      </c>
      <c r="L579" s="101"/>
      <c r="M579" s="100">
        <v>20</v>
      </c>
      <c r="N579" s="91">
        <v>150</v>
      </c>
    </row>
    <row r="580" spans="2:14">
      <c r="B580" s="176"/>
      <c r="C580" s="174"/>
      <c r="D580" s="172"/>
      <c r="E580" s="23">
        <v>576</v>
      </c>
      <c r="F580" s="2">
        <v>36</v>
      </c>
      <c r="G580" s="107"/>
      <c r="H580" s="113">
        <v>36</v>
      </c>
      <c r="I580" s="90">
        <f>I579-F580</f>
        <v>50</v>
      </c>
      <c r="J580" s="99">
        <v>150</v>
      </c>
      <c r="K580" s="99">
        <v>150</v>
      </c>
      <c r="L580" s="101"/>
      <c r="M580" s="100">
        <v>20</v>
      </c>
      <c r="N580" s="91">
        <v>150</v>
      </c>
    </row>
    <row r="581" spans="2:14">
      <c r="B581" s="176"/>
      <c r="C581" s="174"/>
      <c r="D581" s="173"/>
      <c r="E581" s="23">
        <v>577</v>
      </c>
      <c r="F581" s="2">
        <v>32</v>
      </c>
      <c r="G581" s="107"/>
      <c r="H581" s="2">
        <v>0</v>
      </c>
      <c r="I581" s="90">
        <f>I580-F581</f>
        <v>18</v>
      </c>
      <c r="J581" s="99">
        <v>150</v>
      </c>
      <c r="K581" s="99">
        <v>150</v>
      </c>
      <c r="L581" s="101"/>
      <c r="M581" s="100" t="str">
        <f>"10 - 10"</f>
        <v>10 - 10</v>
      </c>
      <c r="N581" s="91">
        <v>150</v>
      </c>
    </row>
    <row r="582" spans="2:14">
      <c r="B582" s="176"/>
      <c r="C582" s="174"/>
      <c r="D582" s="171" t="s">
        <v>50</v>
      </c>
      <c r="E582" s="23">
        <v>578</v>
      </c>
      <c r="F582" s="2">
        <v>30</v>
      </c>
      <c r="G582" s="107"/>
      <c r="H582" s="2">
        <v>0</v>
      </c>
      <c r="I582" s="109">
        <v>0</v>
      </c>
      <c r="J582" s="99">
        <v>150</v>
      </c>
      <c r="K582" s="99">
        <v>150</v>
      </c>
      <c r="L582" s="101"/>
      <c r="M582" s="100">
        <v>20</v>
      </c>
      <c r="N582" s="91">
        <v>150</v>
      </c>
    </row>
    <row r="583" spans="2:14">
      <c r="B583" s="176"/>
      <c r="C583" s="174"/>
      <c r="D583" s="172"/>
      <c r="E583" s="23">
        <v>579</v>
      </c>
      <c r="F583" s="2">
        <v>29</v>
      </c>
      <c r="G583" s="107"/>
      <c r="H583" s="2">
        <v>0</v>
      </c>
      <c r="I583" s="109">
        <v>0</v>
      </c>
      <c r="J583" s="99">
        <v>150</v>
      </c>
      <c r="K583" s="99">
        <v>150</v>
      </c>
      <c r="L583" s="101"/>
      <c r="M583" s="100">
        <v>20</v>
      </c>
      <c r="N583" s="91">
        <v>150</v>
      </c>
    </row>
    <row r="584" spans="2:14">
      <c r="B584" s="176"/>
      <c r="C584" s="174"/>
      <c r="D584" s="172"/>
      <c r="E584" s="23">
        <v>580</v>
      </c>
      <c r="F584" s="2">
        <v>28</v>
      </c>
      <c r="G584" s="107"/>
      <c r="H584" s="2">
        <v>0</v>
      </c>
      <c r="I584" s="109">
        <v>0</v>
      </c>
      <c r="J584" s="99">
        <v>150</v>
      </c>
      <c r="K584" s="99">
        <v>150</v>
      </c>
      <c r="L584" s="101"/>
      <c r="M584" s="100">
        <v>20</v>
      </c>
      <c r="N584" s="91">
        <v>150</v>
      </c>
    </row>
    <row r="585" spans="2:14">
      <c r="B585" s="176"/>
      <c r="C585" s="174"/>
      <c r="D585" s="172"/>
      <c r="E585" s="23">
        <v>581</v>
      </c>
      <c r="F585" s="2">
        <v>37</v>
      </c>
      <c r="G585" s="107"/>
      <c r="H585" s="113">
        <v>6</v>
      </c>
      <c r="I585" s="109">
        <v>0</v>
      </c>
      <c r="J585" s="99">
        <v>150</v>
      </c>
      <c r="K585" s="99">
        <v>150</v>
      </c>
      <c r="L585" s="101"/>
      <c r="M585" s="100">
        <v>20</v>
      </c>
      <c r="N585" s="91">
        <v>150</v>
      </c>
    </row>
    <row r="586" spans="2:14">
      <c r="B586" s="176"/>
      <c r="C586" s="174"/>
      <c r="D586" s="172"/>
      <c r="E586" s="23">
        <v>582</v>
      </c>
      <c r="F586" s="2">
        <v>43</v>
      </c>
      <c r="G586" s="107"/>
      <c r="H586" s="113">
        <v>43</v>
      </c>
      <c r="I586" s="110">
        <v>150</v>
      </c>
      <c r="J586" s="23"/>
      <c r="K586" s="99">
        <v>150</v>
      </c>
      <c r="L586" s="101"/>
      <c r="M586" s="100">
        <v>20</v>
      </c>
      <c r="N586" s="91">
        <v>150</v>
      </c>
    </row>
    <row r="587" spans="2:14">
      <c r="B587" s="176"/>
      <c r="C587" s="174"/>
      <c r="D587" s="172"/>
      <c r="E587" s="23">
        <v>583</v>
      </c>
      <c r="F587" s="2">
        <v>39</v>
      </c>
      <c r="G587" s="107"/>
      <c r="H587" s="113">
        <v>39</v>
      </c>
      <c r="I587" s="90">
        <f>I586-F587-F586</f>
        <v>68</v>
      </c>
      <c r="J587" s="99">
        <v>150</v>
      </c>
      <c r="K587" s="99">
        <v>150</v>
      </c>
      <c r="L587" s="101"/>
      <c r="M587" s="100">
        <v>20</v>
      </c>
      <c r="N587" s="91">
        <v>150</v>
      </c>
    </row>
    <row r="588" spans="2:14">
      <c r="B588" s="176"/>
      <c r="C588" s="174"/>
      <c r="D588" s="172"/>
      <c r="E588" s="23">
        <v>584</v>
      </c>
      <c r="F588" s="2">
        <v>41</v>
      </c>
      <c r="G588" s="107"/>
      <c r="H588" s="113">
        <v>24</v>
      </c>
      <c r="I588" s="90">
        <f>I587-F588</f>
        <v>27</v>
      </c>
      <c r="J588" s="99">
        <v>150</v>
      </c>
      <c r="K588" s="99">
        <v>150</v>
      </c>
      <c r="L588" s="101"/>
      <c r="M588" s="100">
        <v>20</v>
      </c>
      <c r="N588" s="91">
        <v>150</v>
      </c>
    </row>
    <row r="589" spans="2:14">
      <c r="B589" s="176"/>
      <c r="C589" s="174"/>
      <c r="D589" s="172"/>
      <c r="E589" s="23">
        <v>585</v>
      </c>
      <c r="F589" s="2">
        <v>36</v>
      </c>
      <c r="G589" s="107"/>
      <c r="H589" s="2">
        <v>0</v>
      </c>
      <c r="I589" s="109">
        <v>0</v>
      </c>
      <c r="J589" s="99">
        <v>150</v>
      </c>
      <c r="K589" s="99">
        <v>150</v>
      </c>
      <c r="L589" s="101"/>
      <c r="M589" s="100">
        <v>20</v>
      </c>
      <c r="N589" s="91">
        <v>150</v>
      </c>
    </row>
    <row r="590" spans="2:14">
      <c r="B590" s="176"/>
      <c r="C590" s="174"/>
      <c r="D590" s="172"/>
      <c r="E590" s="23">
        <v>586</v>
      </c>
      <c r="F590" s="2">
        <v>34</v>
      </c>
      <c r="G590" s="107"/>
      <c r="H590" s="2">
        <v>0</v>
      </c>
      <c r="I590" s="109">
        <v>0</v>
      </c>
      <c r="J590" s="99">
        <v>150</v>
      </c>
      <c r="K590" s="99">
        <v>150</v>
      </c>
      <c r="L590" s="101"/>
      <c r="M590" s="100">
        <v>20</v>
      </c>
      <c r="N590" s="91">
        <v>150</v>
      </c>
    </row>
    <row r="591" spans="2:14">
      <c r="B591" s="176"/>
      <c r="C591" s="174"/>
      <c r="D591" s="172"/>
      <c r="E591" s="23">
        <v>587</v>
      </c>
      <c r="F591" s="2">
        <v>24</v>
      </c>
      <c r="G591" s="107"/>
      <c r="H591" s="2">
        <v>0</v>
      </c>
      <c r="I591" s="109">
        <v>0</v>
      </c>
      <c r="J591" s="99">
        <v>150</v>
      </c>
      <c r="K591" s="99">
        <v>150</v>
      </c>
      <c r="L591" s="101"/>
      <c r="M591" s="100">
        <v>20</v>
      </c>
      <c r="N591" s="91">
        <v>150</v>
      </c>
    </row>
    <row r="592" spans="2:14">
      <c r="B592" s="176"/>
      <c r="C592" s="174"/>
      <c r="D592" s="172"/>
      <c r="E592" s="23">
        <v>588</v>
      </c>
      <c r="F592" s="2">
        <v>39</v>
      </c>
      <c r="G592" s="107"/>
      <c r="H592" s="2">
        <v>0</v>
      </c>
      <c r="I592" s="109">
        <v>0</v>
      </c>
      <c r="J592" s="99">
        <v>150</v>
      </c>
      <c r="K592" s="99">
        <v>150</v>
      </c>
      <c r="L592" s="101"/>
      <c r="M592" s="100">
        <v>20</v>
      </c>
      <c r="N592" s="91">
        <v>150</v>
      </c>
    </row>
    <row r="593" spans="2:14">
      <c r="B593" s="176"/>
      <c r="C593" s="174"/>
      <c r="D593" s="172"/>
      <c r="E593" s="23">
        <v>589</v>
      </c>
      <c r="F593" s="2">
        <v>31</v>
      </c>
      <c r="G593" s="107"/>
      <c r="H593" s="113">
        <v>31</v>
      </c>
      <c r="I593" s="109">
        <v>0</v>
      </c>
      <c r="J593" s="99">
        <v>150</v>
      </c>
      <c r="K593" s="99">
        <v>150</v>
      </c>
      <c r="L593" s="101"/>
      <c r="M593" s="100">
        <v>20</v>
      </c>
      <c r="N593" s="91">
        <v>150</v>
      </c>
    </row>
    <row r="594" spans="2:14">
      <c r="B594" s="176"/>
      <c r="C594" s="174"/>
      <c r="D594" s="172"/>
      <c r="E594" s="23">
        <v>590</v>
      </c>
      <c r="F594" s="2">
        <v>31</v>
      </c>
      <c r="G594" s="107"/>
      <c r="H594" s="113">
        <v>31</v>
      </c>
      <c r="I594" s="110">
        <v>150</v>
      </c>
      <c r="J594" s="23"/>
      <c r="K594" s="99">
        <v>150</v>
      </c>
      <c r="L594" s="101"/>
      <c r="M594" s="100">
        <v>20</v>
      </c>
      <c r="N594" s="91">
        <v>150</v>
      </c>
    </row>
    <row r="595" spans="2:14">
      <c r="B595" s="176"/>
      <c r="C595" s="174"/>
      <c r="D595" s="172"/>
      <c r="E595" s="23">
        <v>591</v>
      </c>
      <c r="F595" s="2">
        <v>49</v>
      </c>
      <c r="G595" s="107"/>
      <c r="H595" s="113">
        <v>49</v>
      </c>
      <c r="I595" s="90">
        <f>I594-F595-F594</f>
        <v>70</v>
      </c>
      <c r="J595" s="99">
        <v>150</v>
      </c>
      <c r="K595" s="99">
        <v>150</v>
      </c>
      <c r="L595" s="47"/>
      <c r="M595" s="100">
        <v>20</v>
      </c>
      <c r="N595" s="91">
        <v>150</v>
      </c>
    </row>
    <row r="596" spans="2:14">
      <c r="B596" s="176"/>
      <c r="C596" s="174"/>
      <c r="D596" s="172"/>
      <c r="E596" s="23">
        <v>592</v>
      </c>
      <c r="F596" s="2">
        <v>35</v>
      </c>
      <c r="G596" s="107"/>
      <c r="H596" s="2">
        <v>0</v>
      </c>
      <c r="I596" s="90">
        <f>I595-F596</f>
        <v>35</v>
      </c>
      <c r="J596" s="99">
        <v>150</v>
      </c>
      <c r="K596" s="99">
        <v>150</v>
      </c>
      <c r="L596" s="101"/>
      <c r="M596" s="100" t="str">
        <f>"10 - 10"</f>
        <v>10 - 10</v>
      </c>
      <c r="N596" s="91">
        <v>150</v>
      </c>
    </row>
    <row r="597" spans="2:14">
      <c r="B597" s="176"/>
      <c r="C597" s="174"/>
      <c r="D597" s="172"/>
      <c r="E597" s="23">
        <v>593</v>
      </c>
      <c r="F597" s="2">
        <v>34</v>
      </c>
      <c r="G597" s="107"/>
      <c r="H597" s="2">
        <v>0</v>
      </c>
      <c r="I597" s="90">
        <f>I596-F597</f>
        <v>1</v>
      </c>
      <c r="J597" s="99">
        <v>150</v>
      </c>
      <c r="K597" s="99">
        <v>150</v>
      </c>
      <c r="L597" s="101"/>
      <c r="M597" s="100">
        <v>20</v>
      </c>
      <c r="N597" s="91">
        <v>150</v>
      </c>
    </row>
    <row r="598" spans="2:14">
      <c r="B598" s="176"/>
      <c r="C598" s="174"/>
      <c r="D598" s="172"/>
      <c r="E598" s="23">
        <v>594</v>
      </c>
      <c r="F598" s="2">
        <v>28</v>
      </c>
      <c r="G598" s="107"/>
      <c r="H598" s="2">
        <v>0</v>
      </c>
      <c r="I598" s="109">
        <v>0</v>
      </c>
      <c r="J598" s="99">
        <v>150</v>
      </c>
      <c r="K598" s="99">
        <v>150</v>
      </c>
      <c r="L598" s="101"/>
      <c r="M598" s="100">
        <v>20</v>
      </c>
      <c r="N598" s="91">
        <v>150</v>
      </c>
    </row>
    <row r="599" spans="2:14">
      <c r="B599" s="176"/>
      <c r="C599" s="174"/>
      <c r="D599" s="172"/>
      <c r="E599" s="23">
        <v>595</v>
      </c>
      <c r="F599" s="2">
        <v>36</v>
      </c>
      <c r="G599" s="107"/>
      <c r="H599" s="2">
        <v>0</v>
      </c>
      <c r="I599" s="109">
        <v>0</v>
      </c>
      <c r="J599" s="99">
        <v>150</v>
      </c>
      <c r="K599" s="99">
        <v>150</v>
      </c>
      <c r="L599" s="101"/>
      <c r="M599" s="100">
        <v>20</v>
      </c>
      <c r="N599" s="91">
        <v>150</v>
      </c>
    </row>
    <row r="600" spans="2:14">
      <c r="B600" s="176"/>
      <c r="C600" s="174"/>
      <c r="D600" s="172"/>
      <c r="E600" s="23">
        <v>596</v>
      </c>
      <c r="F600" s="2">
        <v>41</v>
      </c>
      <c r="G600" s="107"/>
      <c r="H600" s="113">
        <v>24</v>
      </c>
      <c r="I600" s="109">
        <v>0</v>
      </c>
      <c r="J600" s="99">
        <v>150</v>
      </c>
      <c r="K600" s="99">
        <v>150</v>
      </c>
      <c r="L600" s="101"/>
      <c r="M600" s="100">
        <v>20</v>
      </c>
      <c r="N600" s="91">
        <v>150</v>
      </c>
    </row>
    <row r="601" spans="2:14">
      <c r="B601" s="176"/>
      <c r="C601" s="174"/>
      <c r="D601" s="172"/>
      <c r="E601" s="23">
        <v>597</v>
      </c>
      <c r="F601" s="2">
        <v>35</v>
      </c>
      <c r="G601" s="107"/>
      <c r="H601" s="113">
        <v>35</v>
      </c>
      <c r="I601" s="109">
        <v>0</v>
      </c>
      <c r="J601" s="99">
        <v>150</v>
      </c>
      <c r="K601" s="99">
        <v>150</v>
      </c>
      <c r="L601" s="101"/>
      <c r="M601" s="100">
        <v>20</v>
      </c>
      <c r="N601" s="91">
        <v>150</v>
      </c>
    </row>
    <row r="602" spans="2:14">
      <c r="B602" s="176"/>
      <c r="C602" s="174"/>
      <c r="D602" s="172"/>
      <c r="E602" s="23">
        <v>598</v>
      </c>
      <c r="F602" s="2">
        <v>29</v>
      </c>
      <c r="G602" s="107"/>
      <c r="H602" s="113">
        <v>29</v>
      </c>
      <c r="I602" s="110">
        <v>150</v>
      </c>
      <c r="J602" s="23"/>
      <c r="K602" s="99">
        <v>150</v>
      </c>
      <c r="L602" s="101"/>
      <c r="M602" s="100">
        <v>20</v>
      </c>
      <c r="N602" s="91">
        <v>150</v>
      </c>
    </row>
    <row r="603" spans="2:14">
      <c r="B603" s="176"/>
      <c r="C603" s="174"/>
      <c r="D603" s="172"/>
      <c r="E603" s="23">
        <v>599</v>
      </c>
      <c r="F603" s="2">
        <v>30</v>
      </c>
      <c r="G603" s="107"/>
      <c r="H603" s="113">
        <v>16</v>
      </c>
      <c r="I603" s="90">
        <f>I602-F603-F602</f>
        <v>91</v>
      </c>
      <c r="J603" s="99">
        <v>150</v>
      </c>
      <c r="K603" s="99">
        <v>150</v>
      </c>
      <c r="L603" s="101"/>
      <c r="M603" s="100">
        <v>20</v>
      </c>
      <c r="N603" s="91">
        <v>150</v>
      </c>
    </row>
    <row r="604" spans="2:14">
      <c r="B604" s="176"/>
      <c r="C604" s="174"/>
      <c r="D604" s="172"/>
      <c r="E604" s="23">
        <v>600</v>
      </c>
      <c r="F604" s="2">
        <v>31</v>
      </c>
      <c r="G604" s="107"/>
      <c r="H604" s="2">
        <v>0</v>
      </c>
      <c r="I604" s="90">
        <f>I603-F604</f>
        <v>60</v>
      </c>
      <c r="J604" s="99">
        <v>150</v>
      </c>
      <c r="K604" s="99">
        <v>150</v>
      </c>
      <c r="L604" s="101"/>
      <c r="M604" s="100">
        <v>20</v>
      </c>
      <c r="N604" s="91">
        <v>150</v>
      </c>
    </row>
    <row r="605" spans="2:14">
      <c r="B605" s="176"/>
      <c r="C605" s="174"/>
      <c r="D605" s="172"/>
      <c r="E605" s="23">
        <v>601</v>
      </c>
      <c r="F605" s="2">
        <v>36</v>
      </c>
      <c r="G605" s="107"/>
      <c r="H605" s="2">
        <v>0</v>
      </c>
      <c r="I605" s="90">
        <f>I604-F605</f>
        <v>24</v>
      </c>
      <c r="J605" s="99">
        <v>150</v>
      </c>
      <c r="K605" s="99">
        <v>150</v>
      </c>
      <c r="L605" s="101"/>
      <c r="M605" s="100">
        <v>20</v>
      </c>
      <c r="N605" s="91">
        <v>150</v>
      </c>
    </row>
    <row r="606" spans="2:14">
      <c r="B606" s="176"/>
      <c r="C606" s="174"/>
      <c r="D606" s="172"/>
      <c r="E606" s="23">
        <v>602</v>
      </c>
      <c r="F606" s="2">
        <v>32</v>
      </c>
      <c r="G606" s="107"/>
      <c r="H606" s="2">
        <v>0</v>
      </c>
      <c r="I606" s="109">
        <v>0</v>
      </c>
      <c r="J606" s="99">
        <v>150</v>
      </c>
      <c r="K606" s="99">
        <v>150</v>
      </c>
      <c r="L606" s="101"/>
      <c r="M606" s="100">
        <v>20</v>
      </c>
      <c r="N606" s="91">
        <v>150</v>
      </c>
    </row>
    <row r="607" spans="2:14">
      <c r="B607" s="176"/>
      <c r="C607" s="174"/>
      <c r="D607" s="172"/>
      <c r="E607" s="23">
        <v>603</v>
      </c>
      <c r="F607" s="2">
        <v>30</v>
      </c>
      <c r="G607" s="107"/>
      <c r="H607" s="2">
        <v>0</v>
      </c>
      <c r="I607" s="109">
        <v>0</v>
      </c>
      <c r="J607" s="99">
        <v>150</v>
      </c>
      <c r="K607" s="99">
        <v>150</v>
      </c>
      <c r="L607" s="101"/>
      <c r="M607" s="100">
        <v>20</v>
      </c>
      <c r="N607" s="91">
        <v>150</v>
      </c>
    </row>
    <row r="608" spans="2:14">
      <c r="B608" s="176"/>
      <c r="C608" s="174"/>
      <c r="D608" s="172"/>
      <c r="E608" s="23">
        <v>604</v>
      </c>
      <c r="F608" s="2">
        <v>23</v>
      </c>
      <c r="G608" s="107"/>
      <c r="H608" s="113">
        <v>16</v>
      </c>
      <c r="I608" s="109">
        <v>0</v>
      </c>
      <c r="J608" s="99">
        <v>150</v>
      </c>
      <c r="K608" s="99">
        <v>150</v>
      </c>
      <c r="L608" s="101"/>
      <c r="M608" s="100">
        <v>20</v>
      </c>
      <c r="N608" s="91">
        <v>150</v>
      </c>
    </row>
    <row r="609" spans="2:14">
      <c r="B609" s="176"/>
      <c r="C609" s="174"/>
      <c r="D609" s="172"/>
      <c r="E609" s="23">
        <v>605</v>
      </c>
      <c r="F609" s="2">
        <v>36</v>
      </c>
      <c r="G609" s="107"/>
      <c r="H609" s="113">
        <v>36</v>
      </c>
      <c r="I609" s="109">
        <v>0</v>
      </c>
      <c r="J609" s="99">
        <v>150</v>
      </c>
      <c r="K609" s="99">
        <v>150</v>
      </c>
      <c r="L609" s="101"/>
      <c r="M609" s="100">
        <v>20</v>
      </c>
      <c r="N609" s="91">
        <v>150</v>
      </c>
    </row>
    <row r="610" spans="2:14">
      <c r="B610" s="176"/>
      <c r="C610" s="174"/>
      <c r="D610" s="172"/>
      <c r="E610" s="23">
        <v>606</v>
      </c>
      <c r="F610" s="2">
        <v>23</v>
      </c>
      <c r="G610" s="107"/>
      <c r="H610" s="113">
        <v>23</v>
      </c>
      <c r="I610" s="110">
        <v>150</v>
      </c>
      <c r="J610" s="23"/>
      <c r="K610" s="99">
        <v>150</v>
      </c>
      <c r="L610" s="101"/>
      <c r="M610" s="100">
        <v>20</v>
      </c>
      <c r="N610" s="91">
        <v>150</v>
      </c>
    </row>
    <row r="611" spans="2:14">
      <c r="B611" s="176"/>
      <c r="C611" s="174"/>
      <c r="D611" s="172"/>
      <c r="E611" s="23">
        <v>607</v>
      </c>
      <c r="F611" s="2">
        <v>35</v>
      </c>
      <c r="G611" s="107"/>
      <c r="H611" s="2">
        <v>0</v>
      </c>
      <c r="I611" s="90">
        <f>I610-F611-F610</f>
        <v>92</v>
      </c>
      <c r="J611" s="99">
        <v>150</v>
      </c>
      <c r="K611" s="99">
        <v>150</v>
      </c>
      <c r="L611" s="101"/>
      <c r="M611" s="100" t="str">
        <f>"10 - 10"</f>
        <v>10 - 10</v>
      </c>
      <c r="N611" s="91">
        <v>150</v>
      </c>
    </row>
    <row r="612" spans="2:14">
      <c r="B612" s="176"/>
      <c r="C612" s="174"/>
      <c r="D612" s="173"/>
      <c r="E612" s="23">
        <v>608</v>
      </c>
      <c r="F612" s="2">
        <v>41</v>
      </c>
      <c r="G612" s="107"/>
      <c r="H612" s="2">
        <v>0</v>
      </c>
      <c r="I612" s="90">
        <f>I611-F612</f>
        <v>51</v>
      </c>
      <c r="J612" s="99">
        <v>150</v>
      </c>
      <c r="K612" s="99">
        <v>150</v>
      </c>
      <c r="L612" s="101"/>
      <c r="M612" s="100">
        <v>20</v>
      </c>
      <c r="N612" s="91">
        <v>150</v>
      </c>
    </row>
    <row r="613" spans="2:14">
      <c r="B613" s="176"/>
      <c r="C613" s="174"/>
      <c r="D613" s="171" t="s">
        <v>51</v>
      </c>
      <c r="E613" s="23">
        <v>609</v>
      </c>
      <c r="F613" s="2">
        <v>29</v>
      </c>
      <c r="G613" s="107"/>
      <c r="H613" s="2">
        <v>0</v>
      </c>
      <c r="I613" s="90">
        <f>I612-F613</f>
        <v>22</v>
      </c>
      <c r="J613" s="99">
        <v>150</v>
      </c>
      <c r="K613" s="99">
        <v>150</v>
      </c>
      <c r="L613" s="101"/>
      <c r="M613" s="100">
        <v>20</v>
      </c>
      <c r="N613" s="91">
        <v>150</v>
      </c>
    </row>
    <row r="614" spans="2:14">
      <c r="B614" s="176"/>
      <c r="C614" s="174"/>
      <c r="D614" s="172"/>
      <c r="E614" s="23">
        <v>610</v>
      </c>
      <c r="F614" s="2">
        <v>29</v>
      </c>
      <c r="G614" s="107"/>
      <c r="H614" s="2">
        <v>0</v>
      </c>
      <c r="I614" s="109">
        <v>0</v>
      </c>
      <c r="J614" s="99">
        <v>150</v>
      </c>
      <c r="K614" s="99">
        <v>150</v>
      </c>
      <c r="L614" s="101"/>
      <c r="M614" s="100">
        <v>20</v>
      </c>
      <c r="N614" s="91">
        <v>150</v>
      </c>
    </row>
    <row r="615" spans="2:14">
      <c r="B615" s="176"/>
      <c r="C615" s="174"/>
      <c r="D615" s="172"/>
      <c r="E615" s="23">
        <v>611</v>
      </c>
      <c r="F615" s="2">
        <v>25</v>
      </c>
      <c r="G615" s="107"/>
      <c r="H615" s="2">
        <v>9</v>
      </c>
      <c r="I615" s="109">
        <v>0</v>
      </c>
      <c r="J615" s="99">
        <v>150</v>
      </c>
      <c r="K615" s="99">
        <v>150</v>
      </c>
      <c r="L615" s="101"/>
      <c r="M615" s="100">
        <v>20</v>
      </c>
      <c r="N615" s="91">
        <v>150</v>
      </c>
    </row>
    <row r="616" spans="2:14">
      <c r="B616" s="176"/>
      <c r="C616" s="174"/>
      <c r="D616" s="172"/>
      <c r="E616" s="23">
        <v>612</v>
      </c>
      <c r="F616" s="2">
        <v>24</v>
      </c>
      <c r="G616" s="107"/>
      <c r="H616" s="113">
        <v>24</v>
      </c>
      <c r="I616" s="109">
        <v>0</v>
      </c>
      <c r="J616" s="99">
        <v>150</v>
      </c>
      <c r="K616" s="99">
        <v>150</v>
      </c>
      <c r="L616" s="101"/>
      <c r="M616" s="100">
        <v>20</v>
      </c>
      <c r="N616" s="91">
        <v>150</v>
      </c>
    </row>
    <row r="617" spans="2:14">
      <c r="B617" s="176"/>
      <c r="C617" s="174"/>
      <c r="D617" s="172"/>
      <c r="E617" s="23">
        <v>613</v>
      </c>
      <c r="F617" s="2">
        <v>27</v>
      </c>
      <c r="G617" s="107"/>
      <c r="H617" s="113">
        <v>27</v>
      </c>
      <c r="I617" s="109">
        <v>0</v>
      </c>
      <c r="J617" s="99">
        <v>150</v>
      </c>
      <c r="K617" s="99">
        <v>150</v>
      </c>
      <c r="L617" s="101"/>
      <c r="M617" s="100">
        <v>20</v>
      </c>
      <c r="N617" s="91">
        <v>150</v>
      </c>
    </row>
    <row r="618" spans="2:14">
      <c r="B618" s="176"/>
      <c r="C618" s="174"/>
      <c r="D618" s="172"/>
      <c r="E618" s="23">
        <v>614</v>
      </c>
      <c r="F618" s="2">
        <v>30</v>
      </c>
      <c r="G618" s="107"/>
      <c r="H618" s="113">
        <v>14</v>
      </c>
      <c r="I618" s="110">
        <v>150</v>
      </c>
      <c r="J618" s="23"/>
      <c r="K618" s="99">
        <v>150</v>
      </c>
      <c r="L618" s="101"/>
      <c r="M618" s="100">
        <v>20</v>
      </c>
      <c r="N618" s="91">
        <v>150</v>
      </c>
    </row>
    <row r="619" spans="2:14">
      <c r="B619" s="176"/>
      <c r="C619" s="174"/>
      <c r="D619" s="172"/>
      <c r="E619" s="23">
        <v>615</v>
      </c>
      <c r="F619" s="2">
        <v>24</v>
      </c>
      <c r="G619" s="107"/>
      <c r="H619" s="2">
        <v>0</v>
      </c>
      <c r="I619" s="90">
        <f>I618-F619-F618</f>
        <v>96</v>
      </c>
      <c r="J619" s="99">
        <v>150</v>
      </c>
      <c r="K619" s="99">
        <v>150</v>
      </c>
      <c r="L619" s="101"/>
      <c r="M619" s="100">
        <v>20</v>
      </c>
      <c r="N619" s="91">
        <v>150</v>
      </c>
    </row>
    <row r="620" spans="2:14">
      <c r="B620" s="176"/>
      <c r="C620" s="174"/>
      <c r="D620" s="172"/>
      <c r="E620" s="23">
        <v>616</v>
      </c>
      <c r="F620" s="2">
        <v>36</v>
      </c>
      <c r="G620" s="107"/>
      <c r="H620" s="2">
        <v>0</v>
      </c>
      <c r="I620" s="90">
        <f>I619-F620</f>
        <v>60</v>
      </c>
      <c r="J620" s="99">
        <v>150</v>
      </c>
      <c r="K620" s="99">
        <v>150</v>
      </c>
      <c r="L620" s="101"/>
      <c r="M620" s="100">
        <v>20</v>
      </c>
      <c r="N620" s="91">
        <v>150</v>
      </c>
    </row>
    <row r="621" spans="2:14">
      <c r="B621" s="176"/>
      <c r="C621" s="174"/>
      <c r="D621" s="172"/>
      <c r="E621" s="23">
        <v>617</v>
      </c>
      <c r="F621" s="2">
        <v>38</v>
      </c>
      <c r="G621" s="107"/>
      <c r="H621" s="2">
        <v>0</v>
      </c>
      <c r="I621" s="90">
        <f>I620-F621</f>
        <v>22</v>
      </c>
      <c r="J621" s="99">
        <v>150</v>
      </c>
      <c r="K621" s="99">
        <v>150</v>
      </c>
      <c r="L621" s="101"/>
      <c r="M621" s="100">
        <v>20</v>
      </c>
      <c r="N621" s="91">
        <v>150</v>
      </c>
    </row>
    <row r="622" spans="2:14">
      <c r="B622" s="176"/>
      <c r="C622" s="174"/>
      <c r="D622" s="172"/>
      <c r="E622" s="23">
        <v>618</v>
      </c>
      <c r="F622" s="2">
        <v>28</v>
      </c>
      <c r="G622" s="107"/>
      <c r="H622" s="2">
        <v>0</v>
      </c>
      <c r="I622" s="109">
        <v>0</v>
      </c>
      <c r="J622" s="99">
        <v>150</v>
      </c>
      <c r="K622" s="99">
        <v>150</v>
      </c>
      <c r="L622" s="101"/>
      <c r="M622" s="100">
        <v>20</v>
      </c>
      <c r="N622" s="91">
        <v>150</v>
      </c>
    </row>
    <row r="623" spans="2:14">
      <c r="B623" s="176"/>
      <c r="C623" s="174"/>
      <c r="D623" s="172"/>
      <c r="E623" s="23">
        <v>619</v>
      </c>
      <c r="F623" s="2">
        <v>33</v>
      </c>
      <c r="G623" s="107"/>
      <c r="H623" s="113">
        <v>25</v>
      </c>
      <c r="I623" s="109">
        <v>0</v>
      </c>
      <c r="J623" s="99">
        <v>150</v>
      </c>
      <c r="K623" s="99">
        <v>150</v>
      </c>
      <c r="L623" s="101"/>
      <c r="M623" s="100">
        <v>20</v>
      </c>
      <c r="N623" s="91">
        <v>150</v>
      </c>
    </row>
    <row r="624" spans="2:14">
      <c r="B624" s="176"/>
      <c r="C624" s="174"/>
      <c r="D624" s="172"/>
      <c r="E624" s="23">
        <v>620</v>
      </c>
      <c r="F624" s="2">
        <v>34</v>
      </c>
      <c r="G624" s="107"/>
      <c r="H624" s="113">
        <v>34</v>
      </c>
      <c r="I624" s="109">
        <v>0</v>
      </c>
      <c r="J624" s="99">
        <v>150</v>
      </c>
      <c r="K624" s="99">
        <v>150</v>
      </c>
      <c r="L624" s="101"/>
      <c r="M624" s="100">
        <v>20</v>
      </c>
      <c r="N624" s="91">
        <v>150</v>
      </c>
    </row>
    <row r="625" spans="2:14">
      <c r="B625" s="176"/>
      <c r="C625" s="174"/>
      <c r="D625" s="172"/>
      <c r="E625" s="23">
        <v>621</v>
      </c>
      <c r="F625" s="2">
        <v>16</v>
      </c>
      <c r="G625" s="107"/>
      <c r="H625" s="113">
        <v>16</v>
      </c>
      <c r="I625" s="109">
        <v>0</v>
      </c>
      <c r="J625" s="99">
        <v>150</v>
      </c>
      <c r="K625" s="99">
        <v>150</v>
      </c>
      <c r="L625" s="101"/>
      <c r="M625" s="100">
        <v>20</v>
      </c>
      <c r="N625" s="91">
        <v>150</v>
      </c>
    </row>
    <row r="626" spans="2:14">
      <c r="B626" s="176"/>
      <c r="C626" s="174"/>
      <c r="D626" s="172"/>
      <c r="E626" s="23">
        <v>622</v>
      </c>
      <c r="F626" s="2">
        <v>31</v>
      </c>
      <c r="G626" s="107"/>
      <c r="H626" s="2">
        <v>0</v>
      </c>
      <c r="I626" s="110">
        <v>150</v>
      </c>
      <c r="J626" s="23"/>
      <c r="K626" s="99">
        <v>150</v>
      </c>
      <c r="L626" s="101"/>
      <c r="M626" s="100" t="str">
        <f>"10 - 10"</f>
        <v>10 - 10</v>
      </c>
      <c r="N626" s="91">
        <v>150</v>
      </c>
    </row>
    <row r="627" spans="2:14">
      <c r="B627" s="176"/>
      <c r="C627" s="174"/>
      <c r="D627" s="172"/>
      <c r="E627" s="23">
        <v>623</v>
      </c>
      <c r="F627" s="2">
        <v>31</v>
      </c>
      <c r="G627" s="107"/>
      <c r="H627" s="2">
        <v>0</v>
      </c>
      <c r="I627" s="90">
        <f>I626-F627-F626</f>
        <v>88</v>
      </c>
      <c r="J627" s="99">
        <v>150</v>
      </c>
      <c r="K627" s="99">
        <v>150</v>
      </c>
      <c r="L627" s="101"/>
      <c r="M627" s="100">
        <v>20</v>
      </c>
      <c r="N627" s="91">
        <v>150</v>
      </c>
    </row>
    <row r="628" spans="2:14">
      <c r="B628" s="176"/>
      <c r="C628" s="174"/>
      <c r="D628" s="172"/>
      <c r="E628" s="23">
        <v>624</v>
      </c>
      <c r="F628" s="2">
        <v>29</v>
      </c>
      <c r="G628" s="107"/>
      <c r="H628" s="2">
        <v>0</v>
      </c>
      <c r="I628" s="90">
        <f>I627-F628</f>
        <v>59</v>
      </c>
      <c r="J628" s="99">
        <v>150</v>
      </c>
      <c r="K628" s="99">
        <v>150</v>
      </c>
      <c r="L628" s="101"/>
      <c r="M628" s="100">
        <v>20</v>
      </c>
      <c r="N628" s="91">
        <v>150</v>
      </c>
    </row>
    <row r="629" spans="2:14">
      <c r="B629" s="176"/>
      <c r="C629" s="174"/>
      <c r="D629" s="172"/>
      <c r="E629" s="23">
        <v>625</v>
      </c>
      <c r="F629" s="2">
        <v>43</v>
      </c>
      <c r="G629" s="107"/>
      <c r="H629" s="2">
        <v>0</v>
      </c>
      <c r="I629" s="90">
        <f>I628-F629</f>
        <v>16</v>
      </c>
      <c r="J629" s="99">
        <v>150</v>
      </c>
      <c r="K629" s="99">
        <v>150</v>
      </c>
      <c r="L629" s="101"/>
      <c r="M629" s="100">
        <v>20</v>
      </c>
      <c r="N629" s="91">
        <v>150</v>
      </c>
    </row>
    <row r="630" spans="2:14">
      <c r="B630" s="176"/>
      <c r="C630" s="174"/>
      <c r="D630" s="172"/>
      <c r="E630" s="23">
        <v>626</v>
      </c>
      <c r="F630" s="2">
        <v>32</v>
      </c>
      <c r="G630" s="107"/>
      <c r="H630" s="113">
        <v>16</v>
      </c>
      <c r="I630" s="109">
        <v>0</v>
      </c>
      <c r="J630" s="99">
        <v>150</v>
      </c>
      <c r="K630" s="99">
        <v>150</v>
      </c>
      <c r="L630" s="101"/>
      <c r="M630" s="100">
        <v>20</v>
      </c>
      <c r="N630" s="91">
        <v>150</v>
      </c>
    </row>
    <row r="631" spans="2:14">
      <c r="B631" s="176"/>
      <c r="C631" s="174"/>
      <c r="D631" s="172"/>
      <c r="E631" s="23">
        <v>627</v>
      </c>
      <c r="F631" s="2">
        <v>29</v>
      </c>
      <c r="G631" s="107"/>
      <c r="H631" s="113">
        <v>29</v>
      </c>
      <c r="I631" s="109">
        <v>0</v>
      </c>
      <c r="J631" s="99">
        <v>150</v>
      </c>
      <c r="K631" s="99">
        <v>150</v>
      </c>
      <c r="L631" s="101"/>
      <c r="M631" s="100">
        <v>20</v>
      </c>
      <c r="N631" s="91">
        <v>150</v>
      </c>
    </row>
    <row r="632" spans="2:14">
      <c r="B632" s="176"/>
      <c r="C632" s="174"/>
      <c r="D632" s="172"/>
      <c r="E632" s="23">
        <v>628</v>
      </c>
      <c r="F632" s="2">
        <v>35</v>
      </c>
      <c r="G632" s="107"/>
      <c r="H632" s="113">
        <v>35</v>
      </c>
      <c r="I632" s="109">
        <v>0</v>
      </c>
      <c r="J632" s="99">
        <v>150</v>
      </c>
      <c r="K632" s="99">
        <v>150</v>
      </c>
      <c r="L632" s="101"/>
      <c r="M632" s="100">
        <v>20</v>
      </c>
      <c r="N632" s="91">
        <v>150</v>
      </c>
    </row>
    <row r="633" spans="2:14">
      <c r="B633" s="176"/>
      <c r="C633" s="174"/>
      <c r="D633" s="172"/>
      <c r="E633" s="23">
        <v>629</v>
      </c>
      <c r="F633" s="2">
        <v>34</v>
      </c>
      <c r="G633" s="107"/>
      <c r="H633" s="113">
        <v>15</v>
      </c>
      <c r="I633" s="109">
        <v>0</v>
      </c>
      <c r="J633" s="99">
        <v>150</v>
      </c>
      <c r="K633" s="99">
        <v>150</v>
      </c>
      <c r="L633" s="101"/>
      <c r="M633" s="100">
        <v>20</v>
      </c>
      <c r="N633" s="91">
        <v>150</v>
      </c>
    </row>
    <row r="634" spans="2:14">
      <c r="B634" s="176"/>
      <c r="C634" s="174"/>
      <c r="D634" s="172"/>
      <c r="E634" s="23">
        <v>630</v>
      </c>
      <c r="F634" s="2">
        <v>48</v>
      </c>
      <c r="G634" s="107"/>
      <c r="H634" s="2">
        <v>0</v>
      </c>
      <c r="I634" s="110">
        <v>150</v>
      </c>
      <c r="J634" s="23"/>
      <c r="K634" s="99">
        <v>150</v>
      </c>
      <c r="L634" s="101"/>
      <c r="M634" s="100">
        <v>20</v>
      </c>
      <c r="N634" s="91">
        <v>150</v>
      </c>
    </row>
    <row r="635" spans="2:14">
      <c r="B635" s="176"/>
      <c r="C635" s="174"/>
      <c r="D635" s="172"/>
      <c r="E635" s="23">
        <v>631</v>
      </c>
      <c r="F635" s="2">
        <v>38</v>
      </c>
      <c r="G635" s="107"/>
      <c r="H635" s="2">
        <v>0</v>
      </c>
      <c r="I635" s="90">
        <f>I634-F635-F634</f>
        <v>64</v>
      </c>
      <c r="J635" s="99">
        <v>150</v>
      </c>
      <c r="K635" s="99">
        <v>150</v>
      </c>
      <c r="L635" s="47"/>
      <c r="M635" s="100">
        <v>20</v>
      </c>
      <c r="N635" s="91">
        <v>150</v>
      </c>
    </row>
    <row r="636" spans="2:14">
      <c r="B636" s="176"/>
      <c r="C636" s="174"/>
      <c r="D636" s="172"/>
      <c r="E636" s="23">
        <v>632</v>
      </c>
      <c r="F636" s="2">
        <v>22</v>
      </c>
      <c r="G636" s="107"/>
      <c r="H636" s="2">
        <v>0</v>
      </c>
      <c r="I636" s="90">
        <f>I635-F636</f>
        <v>42</v>
      </c>
      <c r="J636" s="99">
        <v>150</v>
      </c>
      <c r="K636" s="99">
        <v>150</v>
      </c>
      <c r="L636" s="101"/>
      <c r="M636" s="100">
        <v>20</v>
      </c>
      <c r="N636" s="91">
        <v>150</v>
      </c>
    </row>
    <row r="637" spans="2:14">
      <c r="B637" s="176"/>
      <c r="C637" s="174"/>
      <c r="D637" s="172"/>
      <c r="E637" s="23">
        <v>633</v>
      </c>
      <c r="F637" s="2">
        <v>34</v>
      </c>
      <c r="G637" s="107"/>
      <c r="H637" s="113">
        <v>11</v>
      </c>
      <c r="I637" s="90">
        <f>I636-F637</f>
        <v>8</v>
      </c>
      <c r="J637" s="99">
        <v>150</v>
      </c>
      <c r="K637" s="99">
        <v>150</v>
      </c>
      <c r="L637" s="101"/>
      <c r="M637" s="100">
        <v>20</v>
      </c>
      <c r="N637" s="91">
        <v>150</v>
      </c>
    </row>
    <row r="638" spans="2:14">
      <c r="B638" s="176"/>
      <c r="C638" s="174"/>
      <c r="D638" s="172"/>
      <c r="E638" s="23">
        <v>634</v>
      </c>
      <c r="F638" s="2">
        <v>24</v>
      </c>
      <c r="G638" s="107"/>
      <c r="H638" s="113">
        <v>24</v>
      </c>
      <c r="I638" s="109">
        <v>0</v>
      </c>
      <c r="J638" s="99">
        <v>150</v>
      </c>
      <c r="K638" s="99">
        <v>150</v>
      </c>
      <c r="L638" s="101"/>
      <c r="M638" s="100">
        <v>20</v>
      </c>
      <c r="N638" s="91">
        <v>150</v>
      </c>
    </row>
    <row r="639" spans="2:14">
      <c r="B639" s="176"/>
      <c r="C639" s="174"/>
      <c r="D639" s="172"/>
      <c r="E639" s="23">
        <v>635</v>
      </c>
      <c r="F639" s="2">
        <v>29</v>
      </c>
      <c r="G639" s="107"/>
      <c r="H639" s="113">
        <v>29</v>
      </c>
      <c r="I639" s="109">
        <v>0</v>
      </c>
      <c r="J639" s="99">
        <v>150</v>
      </c>
      <c r="K639" s="99">
        <v>150</v>
      </c>
      <c r="L639" s="101"/>
      <c r="M639" s="100">
        <v>20</v>
      </c>
      <c r="N639" s="91">
        <v>150</v>
      </c>
    </row>
    <row r="640" spans="2:14">
      <c r="B640" s="176"/>
      <c r="C640" s="174"/>
      <c r="D640" s="172"/>
      <c r="E640" s="23">
        <v>636</v>
      </c>
      <c r="F640" s="2">
        <v>28</v>
      </c>
      <c r="G640" s="107"/>
      <c r="H640" s="113">
        <v>28</v>
      </c>
      <c r="I640" s="109">
        <v>0</v>
      </c>
      <c r="J640" s="99">
        <v>150</v>
      </c>
      <c r="K640" s="99">
        <v>150</v>
      </c>
      <c r="L640" s="101"/>
      <c r="M640" s="100">
        <v>20</v>
      </c>
      <c r="N640" s="91">
        <v>150</v>
      </c>
    </row>
    <row r="641" spans="2:14">
      <c r="B641" s="176"/>
      <c r="C641" s="174"/>
      <c r="D641" s="172"/>
      <c r="E641" s="23">
        <v>637</v>
      </c>
      <c r="F641" s="2">
        <v>30</v>
      </c>
      <c r="G641" s="107"/>
      <c r="H641" s="2">
        <v>0</v>
      </c>
      <c r="I641" s="109">
        <v>0</v>
      </c>
      <c r="J641" s="99">
        <v>150</v>
      </c>
      <c r="K641" s="99">
        <v>150</v>
      </c>
      <c r="L641" s="101"/>
      <c r="M641" s="100" t="str">
        <f>"10 - 10"</f>
        <v>10 - 10</v>
      </c>
      <c r="N641" s="91">
        <v>150</v>
      </c>
    </row>
    <row r="642" spans="2:14">
      <c r="B642" s="176"/>
      <c r="C642" s="174"/>
      <c r="D642" s="173"/>
      <c r="E642" s="23">
        <v>638</v>
      </c>
      <c r="F642" s="2">
        <v>31</v>
      </c>
      <c r="G642" s="107"/>
      <c r="H642" s="2">
        <v>0</v>
      </c>
      <c r="I642" s="110">
        <v>150</v>
      </c>
      <c r="J642" s="23"/>
      <c r="K642" s="99">
        <v>150</v>
      </c>
      <c r="L642" s="101"/>
      <c r="M642" s="100">
        <v>20</v>
      </c>
      <c r="N642" s="91">
        <v>150</v>
      </c>
    </row>
    <row r="643" spans="2:14">
      <c r="B643" s="176"/>
      <c r="C643" s="174" t="s">
        <v>52</v>
      </c>
      <c r="D643" s="171" t="s">
        <v>53</v>
      </c>
      <c r="E643" s="23">
        <v>639</v>
      </c>
      <c r="F643" s="2">
        <v>44</v>
      </c>
      <c r="G643" s="107"/>
      <c r="H643" s="2">
        <v>0</v>
      </c>
      <c r="I643" s="90">
        <f>I642-F643-F642</f>
        <v>75</v>
      </c>
      <c r="J643" s="99">
        <v>150</v>
      </c>
      <c r="K643" s="99">
        <v>150</v>
      </c>
      <c r="L643" s="101"/>
      <c r="M643" s="100">
        <v>20</v>
      </c>
      <c r="N643" s="91">
        <v>150</v>
      </c>
    </row>
    <row r="644" spans="2:14">
      <c r="B644" s="176"/>
      <c r="C644" s="174"/>
      <c r="D644" s="172"/>
      <c r="E644" s="23">
        <v>640</v>
      </c>
      <c r="F644" s="2">
        <v>37</v>
      </c>
      <c r="G644" s="107"/>
      <c r="H644" s="2">
        <v>0</v>
      </c>
      <c r="I644" s="90">
        <f>I643-F644</f>
        <v>38</v>
      </c>
      <c r="J644" s="99">
        <v>150</v>
      </c>
      <c r="K644" s="99">
        <v>150</v>
      </c>
      <c r="L644" s="101"/>
      <c r="M644" s="100">
        <v>20</v>
      </c>
      <c r="N644" s="91">
        <v>150</v>
      </c>
    </row>
    <row r="645" spans="2:14">
      <c r="B645" s="176"/>
      <c r="C645" s="174"/>
      <c r="D645" s="172"/>
      <c r="E645" s="23">
        <v>641</v>
      </c>
      <c r="F645" s="2">
        <v>46</v>
      </c>
      <c r="G645" s="107"/>
      <c r="H645" s="113">
        <v>38</v>
      </c>
      <c r="I645" s="109">
        <v>0</v>
      </c>
      <c r="J645" s="99">
        <v>150</v>
      </c>
      <c r="K645" s="99">
        <v>150</v>
      </c>
      <c r="L645" s="101"/>
      <c r="M645" s="100">
        <v>20</v>
      </c>
      <c r="N645" s="91">
        <v>150</v>
      </c>
    </row>
    <row r="646" spans="2:14">
      <c r="B646" s="176"/>
      <c r="C646" s="174"/>
      <c r="D646" s="172"/>
      <c r="E646" s="23">
        <v>642</v>
      </c>
      <c r="F646" s="2">
        <v>25</v>
      </c>
      <c r="G646" s="107"/>
      <c r="H646" s="113">
        <v>25</v>
      </c>
      <c r="I646" s="109">
        <v>0</v>
      </c>
      <c r="J646" s="99">
        <v>150</v>
      </c>
      <c r="K646" s="99">
        <v>150</v>
      </c>
      <c r="L646" s="101"/>
      <c r="M646" s="100">
        <v>20</v>
      </c>
      <c r="N646" s="91">
        <v>150</v>
      </c>
    </row>
    <row r="647" spans="2:14">
      <c r="B647" s="176"/>
      <c r="C647" s="174"/>
      <c r="D647" s="172"/>
      <c r="E647" s="23">
        <v>643</v>
      </c>
      <c r="F647" s="2">
        <v>36</v>
      </c>
      <c r="G647" s="107"/>
      <c r="H647" s="113">
        <v>36</v>
      </c>
      <c r="I647" s="109">
        <v>0</v>
      </c>
      <c r="J647" s="99">
        <v>150</v>
      </c>
      <c r="K647" s="99">
        <v>150</v>
      </c>
      <c r="L647" s="101"/>
      <c r="M647" s="100">
        <v>20</v>
      </c>
      <c r="N647" s="91">
        <v>150</v>
      </c>
    </row>
    <row r="648" spans="2:14">
      <c r="B648" s="176"/>
      <c r="C648" s="174"/>
      <c r="D648" s="172"/>
      <c r="E648" s="23">
        <v>644</v>
      </c>
      <c r="F648" s="2">
        <v>37</v>
      </c>
      <c r="G648" s="107"/>
      <c r="H648" s="113">
        <v>19</v>
      </c>
      <c r="I648" s="109">
        <v>0</v>
      </c>
      <c r="J648" s="99">
        <v>150</v>
      </c>
      <c r="K648" s="99">
        <v>150</v>
      </c>
      <c r="L648" s="101"/>
      <c r="M648" s="100">
        <v>20</v>
      </c>
      <c r="N648" s="91">
        <v>150</v>
      </c>
    </row>
    <row r="649" spans="2:14">
      <c r="B649" s="176"/>
      <c r="C649" s="174"/>
      <c r="D649" s="172"/>
      <c r="E649" s="23">
        <v>645</v>
      </c>
      <c r="F649" s="2">
        <v>33</v>
      </c>
      <c r="G649" s="107"/>
      <c r="H649" s="2">
        <v>0</v>
      </c>
      <c r="I649" s="109">
        <v>0</v>
      </c>
      <c r="J649" s="99">
        <v>150</v>
      </c>
      <c r="K649" s="99">
        <v>150</v>
      </c>
      <c r="L649" s="101"/>
      <c r="M649" s="100">
        <v>20</v>
      </c>
      <c r="N649" s="91">
        <v>150</v>
      </c>
    </row>
    <row r="650" spans="2:14">
      <c r="B650" s="176"/>
      <c r="C650" s="174"/>
      <c r="D650" s="172"/>
      <c r="E650" s="23">
        <v>646</v>
      </c>
      <c r="F650" s="2">
        <v>34</v>
      </c>
      <c r="G650" s="107"/>
      <c r="H650" s="2">
        <v>0</v>
      </c>
      <c r="I650" s="110">
        <v>150</v>
      </c>
      <c r="J650" s="23"/>
      <c r="K650" s="99">
        <v>150</v>
      </c>
      <c r="L650" s="101"/>
      <c r="M650" s="100">
        <v>20</v>
      </c>
      <c r="N650" s="91">
        <v>150</v>
      </c>
    </row>
    <row r="651" spans="2:14">
      <c r="B651" s="176"/>
      <c r="C651" s="174"/>
      <c r="D651" s="172"/>
      <c r="E651" s="23">
        <v>647</v>
      </c>
      <c r="F651" s="2">
        <v>23</v>
      </c>
      <c r="G651" s="107"/>
      <c r="H651" s="2">
        <v>0</v>
      </c>
      <c r="I651" s="90">
        <f>I650-F651-F650</f>
        <v>93</v>
      </c>
      <c r="J651" s="99">
        <v>150</v>
      </c>
      <c r="K651" s="99">
        <v>150</v>
      </c>
      <c r="L651" s="101"/>
      <c r="M651" s="100">
        <v>20</v>
      </c>
      <c r="N651" s="91">
        <v>150</v>
      </c>
    </row>
    <row r="652" spans="2:14">
      <c r="B652" s="176"/>
      <c r="C652" s="174"/>
      <c r="D652" s="172"/>
      <c r="E652" s="23">
        <v>648</v>
      </c>
      <c r="F652" s="2">
        <v>32</v>
      </c>
      <c r="G652" s="107"/>
      <c r="H652" s="2">
        <v>0</v>
      </c>
      <c r="I652" s="90">
        <f>I651-F652</f>
        <v>61</v>
      </c>
      <c r="J652" s="99">
        <v>150</v>
      </c>
      <c r="K652" s="99">
        <v>150</v>
      </c>
      <c r="L652" s="101"/>
      <c r="M652" s="100">
        <v>20</v>
      </c>
      <c r="N652" s="91">
        <v>150</v>
      </c>
    </row>
    <row r="653" spans="2:14">
      <c r="B653" s="176"/>
      <c r="C653" s="174"/>
      <c r="D653" s="172"/>
      <c r="E653" s="23">
        <v>649</v>
      </c>
      <c r="F653" s="2">
        <v>33</v>
      </c>
      <c r="G653" s="107"/>
      <c r="H653" s="113">
        <v>23</v>
      </c>
      <c r="I653" s="90">
        <f>I652-F653</f>
        <v>28</v>
      </c>
      <c r="J653" s="99">
        <v>150</v>
      </c>
      <c r="K653" s="99">
        <v>150</v>
      </c>
      <c r="L653" s="101"/>
      <c r="M653" s="100">
        <v>20</v>
      </c>
      <c r="N653" s="91">
        <v>150</v>
      </c>
    </row>
    <row r="654" spans="2:14">
      <c r="B654" s="176"/>
      <c r="C654" s="174"/>
      <c r="D654" s="172"/>
      <c r="E654" s="23">
        <v>650</v>
      </c>
      <c r="F654" s="2">
        <v>38</v>
      </c>
      <c r="G654" s="107"/>
      <c r="H654" s="113">
        <v>38</v>
      </c>
      <c r="I654" s="109">
        <v>0</v>
      </c>
      <c r="J654" s="99">
        <v>150</v>
      </c>
      <c r="K654" s="99">
        <v>150</v>
      </c>
      <c r="L654" s="101"/>
      <c r="M654" s="100">
        <v>20</v>
      </c>
      <c r="N654" s="91">
        <v>150</v>
      </c>
    </row>
    <row r="655" spans="2:14">
      <c r="B655" s="176"/>
      <c r="C655" s="174"/>
      <c r="D655" s="172"/>
      <c r="E655" s="23">
        <v>651</v>
      </c>
      <c r="F655" s="2">
        <v>36</v>
      </c>
      <c r="G655" s="107"/>
      <c r="H655" s="113">
        <v>36</v>
      </c>
      <c r="I655" s="109">
        <v>0</v>
      </c>
      <c r="J655" s="99">
        <v>150</v>
      </c>
      <c r="K655" s="99">
        <v>150</v>
      </c>
      <c r="L655" s="101"/>
      <c r="M655" s="100">
        <v>20</v>
      </c>
      <c r="N655" s="91">
        <v>150</v>
      </c>
    </row>
    <row r="656" spans="2:14">
      <c r="B656" s="176"/>
      <c r="C656" s="174"/>
      <c r="D656" s="172"/>
      <c r="E656" s="23">
        <v>652</v>
      </c>
      <c r="F656" s="2">
        <v>25</v>
      </c>
      <c r="G656" s="107"/>
      <c r="H656" s="2">
        <v>0</v>
      </c>
      <c r="I656" s="109">
        <v>0</v>
      </c>
      <c r="J656" s="99">
        <v>150</v>
      </c>
      <c r="K656" s="99">
        <v>150</v>
      </c>
      <c r="L656" s="101"/>
      <c r="M656" s="100" t="str">
        <f>"10 - 10"</f>
        <v>10 - 10</v>
      </c>
      <c r="N656" s="91">
        <v>150</v>
      </c>
    </row>
    <row r="657" spans="2:14">
      <c r="B657" s="176"/>
      <c r="C657" s="174"/>
      <c r="D657" s="172"/>
      <c r="E657" s="23">
        <v>653</v>
      </c>
      <c r="F657" s="2">
        <v>21</v>
      </c>
      <c r="G657" s="107"/>
      <c r="H657" s="2">
        <v>0</v>
      </c>
      <c r="I657" s="109">
        <v>0</v>
      </c>
      <c r="J657" s="99">
        <v>150</v>
      </c>
      <c r="K657" s="99">
        <v>150</v>
      </c>
      <c r="L657" s="101"/>
      <c r="M657" s="100">
        <v>20</v>
      </c>
      <c r="N657" s="91">
        <v>150</v>
      </c>
    </row>
    <row r="658" spans="2:14">
      <c r="B658" s="176"/>
      <c r="C658" s="174"/>
      <c r="D658" s="172"/>
      <c r="E658" s="23">
        <v>654</v>
      </c>
      <c r="F658" s="2">
        <v>46</v>
      </c>
      <c r="G658" s="107"/>
      <c r="H658" s="2">
        <v>0</v>
      </c>
      <c r="I658" s="110">
        <v>150</v>
      </c>
      <c r="J658" s="23"/>
      <c r="K658" s="99">
        <v>150</v>
      </c>
      <c r="L658" s="101"/>
      <c r="M658" s="100">
        <v>20</v>
      </c>
      <c r="N658" s="91">
        <v>150</v>
      </c>
    </row>
    <row r="659" spans="2:14">
      <c r="B659" s="176"/>
      <c r="C659" s="174"/>
      <c r="D659" s="172"/>
      <c r="E659" s="23">
        <v>655</v>
      </c>
      <c r="F659" s="2">
        <v>25</v>
      </c>
      <c r="G659" s="107"/>
      <c r="H659" s="2">
        <v>0</v>
      </c>
      <c r="I659" s="90">
        <f>I658-F659-F658</f>
        <v>79</v>
      </c>
      <c r="J659" s="99">
        <v>150</v>
      </c>
      <c r="K659" s="99">
        <v>150</v>
      </c>
      <c r="L659" s="101"/>
      <c r="M659" s="100">
        <v>20</v>
      </c>
      <c r="N659" s="91">
        <v>150</v>
      </c>
    </row>
    <row r="660" spans="2:14">
      <c r="B660" s="176"/>
      <c r="C660" s="174"/>
      <c r="D660" s="172"/>
      <c r="E660" s="23">
        <v>656</v>
      </c>
      <c r="F660" s="2">
        <v>44</v>
      </c>
      <c r="G660" s="107"/>
      <c r="H660" s="113">
        <v>11</v>
      </c>
      <c r="I660" s="90">
        <f>I659-F660</f>
        <v>35</v>
      </c>
      <c r="J660" s="99">
        <v>150</v>
      </c>
      <c r="K660" s="99">
        <v>150</v>
      </c>
      <c r="L660" s="101"/>
      <c r="M660" s="100">
        <v>20</v>
      </c>
      <c r="N660" s="91">
        <v>150</v>
      </c>
    </row>
    <row r="661" spans="2:14">
      <c r="B661" s="176"/>
      <c r="C661" s="174"/>
      <c r="D661" s="172"/>
      <c r="E661" s="23">
        <v>657</v>
      </c>
      <c r="F661" s="2">
        <v>30</v>
      </c>
      <c r="G661" s="107"/>
      <c r="H661" s="113">
        <v>30</v>
      </c>
      <c r="I661" s="90">
        <f>I660-F661</f>
        <v>5</v>
      </c>
      <c r="J661" s="99">
        <v>150</v>
      </c>
      <c r="K661" s="99">
        <v>150</v>
      </c>
      <c r="L661" s="101"/>
      <c r="M661" s="100">
        <v>20</v>
      </c>
      <c r="N661" s="91">
        <v>150</v>
      </c>
    </row>
    <row r="662" spans="2:14">
      <c r="B662" s="176"/>
      <c r="C662" s="174"/>
      <c r="D662" s="172"/>
      <c r="E662" s="23">
        <v>658</v>
      </c>
      <c r="F662" s="2">
        <v>35</v>
      </c>
      <c r="G662" s="107"/>
      <c r="H662" s="113">
        <v>35</v>
      </c>
      <c r="I662" s="109">
        <v>0</v>
      </c>
      <c r="J662" s="99">
        <v>150</v>
      </c>
      <c r="K662" s="99">
        <v>150</v>
      </c>
      <c r="L662" s="101"/>
      <c r="M662" s="100">
        <v>20</v>
      </c>
      <c r="N662" s="91">
        <v>150</v>
      </c>
    </row>
    <row r="663" spans="2:14">
      <c r="B663" s="176"/>
      <c r="C663" s="174"/>
      <c r="D663" s="172"/>
      <c r="E663" s="23">
        <v>659</v>
      </c>
      <c r="F663" s="2">
        <v>23</v>
      </c>
      <c r="G663" s="107"/>
      <c r="H663" s="113">
        <v>8</v>
      </c>
      <c r="I663" s="109">
        <v>0</v>
      </c>
      <c r="J663" s="99">
        <v>150</v>
      </c>
      <c r="K663" s="99">
        <v>150</v>
      </c>
      <c r="L663" s="101"/>
      <c r="M663" s="100">
        <v>20</v>
      </c>
      <c r="N663" s="91">
        <v>150</v>
      </c>
    </row>
    <row r="664" spans="2:14">
      <c r="B664" s="176"/>
      <c r="C664" s="174"/>
      <c r="D664" s="172"/>
      <c r="E664" s="23">
        <v>660</v>
      </c>
      <c r="F664" s="2">
        <v>36</v>
      </c>
      <c r="G664" s="107"/>
      <c r="H664" s="2">
        <v>0</v>
      </c>
      <c r="I664" s="109">
        <v>0</v>
      </c>
      <c r="J664" s="99">
        <v>150</v>
      </c>
      <c r="K664" s="99">
        <v>150</v>
      </c>
      <c r="L664" s="101"/>
      <c r="M664" s="100">
        <v>20</v>
      </c>
      <c r="N664" s="91">
        <v>150</v>
      </c>
    </row>
    <row r="665" spans="2:14">
      <c r="B665" s="176"/>
      <c r="C665" s="174"/>
      <c r="D665" s="172"/>
      <c r="E665" s="23">
        <v>661</v>
      </c>
      <c r="F665" s="2">
        <v>32</v>
      </c>
      <c r="G665" s="107"/>
      <c r="H665" s="2">
        <v>0</v>
      </c>
      <c r="I665" s="109">
        <v>0</v>
      </c>
      <c r="J665" s="99">
        <v>150</v>
      </c>
      <c r="K665" s="99">
        <v>150</v>
      </c>
      <c r="L665" s="101"/>
      <c r="M665" s="100">
        <v>20</v>
      </c>
      <c r="N665" s="91">
        <v>150</v>
      </c>
    </row>
    <row r="666" spans="2:14">
      <c r="B666" s="176"/>
      <c r="C666" s="174"/>
      <c r="D666" s="172"/>
      <c r="E666" s="23">
        <v>662</v>
      </c>
      <c r="F666" s="2">
        <v>45</v>
      </c>
      <c r="G666" s="107"/>
      <c r="H666" s="2">
        <v>0</v>
      </c>
      <c r="I666" s="110">
        <v>150</v>
      </c>
      <c r="J666" s="23"/>
      <c r="K666" s="99">
        <v>150</v>
      </c>
      <c r="L666" s="101"/>
      <c r="M666" s="100">
        <v>20</v>
      </c>
      <c r="N666" s="91">
        <v>150</v>
      </c>
    </row>
    <row r="667" spans="2:14">
      <c r="B667" s="176"/>
      <c r="C667" s="174"/>
      <c r="D667" s="172"/>
      <c r="E667" s="23">
        <v>663</v>
      </c>
      <c r="F667" s="2">
        <v>33</v>
      </c>
      <c r="G667" s="107"/>
      <c r="H667" s="113">
        <v>11</v>
      </c>
      <c r="I667" s="90">
        <f>I666-F667-F666</f>
        <v>72</v>
      </c>
      <c r="J667" s="99">
        <v>150</v>
      </c>
      <c r="K667" s="99">
        <v>150</v>
      </c>
      <c r="L667" s="101"/>
      <c r="M667" s="100">
        <v>20</v>
      </c>
      <c r="N667" s="91">
        <v>150</v>
      </c>
    </row>
    <row r="668" spans="2:14">
      <c r="B668" s="176"/>
      <c r="C668" s="174"/>
      <c r="D668" s="172"/>
      <c r="E668" s="23">
        <v>664</v>
      </c>
      <c r="F668" s="2">
        <v>33</v>
      </c>
      <c r="G668" s="107"/>
      <c r="H668" s="113">
        <v>33</v>
      </c>
      <c r="I668" s="90">
        <f>I667-F668</f>
        <v>39</v>
      </c>
      <c r="J668" s="99">
        <v>150</v>
      </c>
      <c r="K668" s="99">
        <v>150</v>
      </c>
      <c r="L668" s="101"/>
      <c r="M668" s="100">
        <v>20</v>
      </c>
      <c r="N668" s="91">
        <v>150</v>
      </c>
    </row>
    <row r="669" spans="2:14">
      <c r="B669" s="176"/>
      <c r="C669" s="174"/>
      <c r="D669" s="172"/>
      <c r="E669" s="23">
        <v>665</v>
      </c>
      <c r="F669" s="2">
        <v>27</v>
      </c>
      <c r="G669" s="107"/>
      <c r="H669" s="113">
        <v>27</v>
      </c>
      <c r="I669" s="90">
        <f>I668-F669</f>
        <v>12</v>
      </c>
      <c r="J669" s="99">
        <v>150</v>
      </c>
      <c r="K669" s="99">
        <v>150</v>
      </c>
      <c r="L669" s="101"/>
      <c r="M669" s="100">
        <v>20</v>
      </c>
      <c r="N669" s="91">
        <v>150</v>
      </c>
    </row>
    <row r="670" spans="2:14">
      <c r="B670" s="176"/>
      <c r="C670" s="174"/>
      <c r="D670" s="172"/>
      <c r="E670" s="23">
        <v>666</v>
      </c>
      <c r="F670" s="2">
        <v>35</v>
      </c>
      <c r="G670" s="107"/>
      <c r="H670" s="113">
        <v>35</v>
      </c>
      <c r="I670" s="109">
        <v>0</v>
      </c>
      <c r="J670" s="99">
        <v>150</v>
      </c>
      <c r="K670" s="99">
        <v>150</v>
      </c>
      <c r="L670" s="101"/>
      <c r="M670" s="100">
        <v>20</v>
      </c>
      <c r="N670" s="91">
        <v>150</v>
      </c>
    </row>
    <row r="671" spans="2:14">
      <c r="B671" s="176"/>
      <c r="C671" s="174"/>
      <c r="D671" s="172"/>
      <c r="E671" s="23">
        <v>667</v>
      </c>
      <c r="F671" s="2">
        <v>23</v>
      </c>
      <c r="G671" s="107"/>
      <c r="H671" s="2">
        <v>0</v>
      </c>
      <c r="I671" s="109">
        <v>0</v>
      </c>
      <c r="J671" s="99">
        <v>150</v>
      </c>
      <c r="K671" s="99">
        <v>150</v>
      </c>
      <c r="L671" s="101"/>
      <c r="M671" s="100" t="str">
        <f>"10 - 10"</f>
        <v>10 - 10</v>
      </c>
      <c r="N671" s="91">
        <v>150</v>
      </c>
    </row>
    <row r="672" spans="2:14">
      <c r="B672" s="176"/>
      <c r="C672" s="174"/>
      <c r="D672" s="172"/>
      <c r="E672" s="23">
        <v>668</v>
      </c>
      <c r="F672" s="2">
        <v>27</v>
      </c>
      <c r="G672" s="107"/>
      <c r="H672" s="2">
        <v>0</v>
      </c>
      <c r="I672" s="109">
        <v>0</v>
      </c>
      <c r="J672" s="99">
        <v>150</v>
      </c>
      <c r="K672" s="99">
        <v>150</v>
      </c>
      <c r="L672" s="101"/>
      <c r="M672" s="100">
        <v>20</v>
      </c>
      <c r="N672" s="91">
        <v>150</v>
      </c>
    </row>
    <row r="673" spans="2:14">
      <c r="B673" s="176"/>
      <c r="C673" s="174"/>
      <c r="D673" s="173"/>
      <c r="E673" s="23">
        <v>669</v>
      </c>
      <c r="F673" s="2">
        <v>34</v>
      </c>
      <c r="G673" s="107"/>
      <c r="H673" s="2">
        <v>0</v>
      </c>
      <c r="I673" s="109">
        <v>0</v>
      </c>
      <c r="J673" s="99">
        <v>150</v>
      </c>
      <c r="K673" s="99">
        <v>150</v>
      </c>
      <c r="L673" s="101"/>
      <c r="M673" s="100">
        <v>20</v>
      </c>
      <c r="N673" s="91">
        <v>150</v>
      </c>
    </row>
    <row r="674" spans="2:14">
      <c r="B674" s="176"/>
      <c r="C674" s="174"/>
      <c r="D674" s="171" t="s">
        <v>54</v>
      </c>
      <c r="E674" s="23">
        <v>670</v>
      </c>
      <c r="F674" s="2">
        <v>35</v>
      </c>
      <c r="G674" s="107"/>
      <c r="H674" s="2">
        <v>0</v>
      </c>
      <c r="I674" s="110">
        <v>150</v>
      </c>
      <c r="J674" s="23"/>
      <c r="K674" s="99">
        <v>150</v>
      </c>
      <c r="L674" s="101"/>
      <c r="M674" s="100">
        <v>20</v>
      </c>
      <c r="N674" s="91">
        <v>150</v>
      </c>
    </row>
    <row r="675" spans="2:14">
      <c r="B675" s="176"/>
      <c r="C675" s="174"/>
      <c r="D675" s="172"/>
      <c r="E675" s="23">
        <v>671</v>
      </c>
      <c r="F675" s="2">
        <v>37</v>
      </c>
      <c r="G675" s="107"/>
      <c r="H675" s="113">
        <v>6</v>
      </c>
      <c r="I675" s="90">
        <f>I674-F675-F674</f>
        <v>78</v>
      </c>
      <c r="J675" s="99">
        <v>150</v>
      </c>
      <c r="K675" s="99">
        <v>150</v>
      </c>
      <c r="L675" s="47"/>
      <c r="M675" s="100">
        <v>20</v>
      </c>
      <c r="N675" s="91">
        <v>150</v>
      </c>
    </row>
    <row r="676" spans="2:14">
      <c r="B676" s="176"/>
      <c r="C676" s="174"/>
      <c r="D676" s="172"/>
      <c r="E676" s="23">
        <v>672</v>
      </c>
      <c r="F676" s="2">
        <v>26</v>
      </c>
      <c r="G676" s="107"/>
      <c r="H676" s="113">
        <v>26</v>
      </c>
      <c r="I676" s="90">
        <f>I675-F676</f>
        <v>52</v>
      </c>
      <c r="J676" s="99">
        <v>150</v>
      </c>
      <c r="K676" s="99">
        <v>150</v>
      </c>
      <c r="L676" s="101"/>
      <c r="M676" s="100">
        <v>20</v>
      </c>
      <c r="N676" s="91">
        <v>150</v>
      </c>
    </row>
    <row r="677" spans="2:14">
      <c r="B677" s="176"/>
      <c r="C677" s="174"/>
      <c r="D677" s="172"/>
      <c r="E677" s="23">
        <v>673</v>
      </c>
      <c r="F677" s="2">
        <v>38</v>
      </c>
      <c r="G677" s="107"/>
      <c r="H677" s="113">
        <v>38</v>
      </c>
      <c r="I677" s="90">
        <f>I676-F677</f>
        <v>14</v>
      </c>
      <c r="J677" s="99">
        <v>150</v>
      </c>
      <c r="K677" s="99">
        <v>150</v>
      </c>
      <c r="L677" s="101"/>
      <c r="M677" s="100">
        <v>20</v>
      </c>
      <c r="N677" s="91">
        <v>150</v>
      </c>
    </row>
    <row r="678" spans="2:14">
      <c r="B678" s="176"/>
      <c r="C678" s="174"/>
      <c r="D678" s="172"/>
      <c r="E678" s="23">
        <v>674</v>
      </c>
      <c r="F678" s="2">
        <v>44</v>
      </c>
      <c r="G678" s="107"/>
      <c r="H678" s="113">
        <v>25</v>
      </c>
      <c r="I678" s="109">
        <v>0</v>
      </c>
      <c r="J678" s="99">
        <v>150</v>
      </c>
      <c r="K678" s="99">
        <v>150</v>
      </c>
      <c r="L678" s="101"/>
      <c r="M678" s="100">
        <v>20</v>
      </c>
      <c r="N678" s="91">
        <v>150</v>
      </c>
    </row>
    <row r="679" spans="2:14">
      <c r="B679" s="176"/>
      <c r="C679" s="174"/>
      <c r="D679" s="172"/>
      <c r="E679" s="23">
        <v>675</v>
      </c>
      <c r="F679" s="2">
        <v>21</v>
      </c>
      <c r="G679" s="107"/>
      <c r="H679" s="2">
        <v>0</v>
      </c>
      <c r="I679" s="109">
        <v>0</v>
      </c>
      <c r="J679" s="99">
        <v>150</v>
      </c>
      <c r="K679" s="99">
        <v>150</v>
      </c>
      <c r="L679" s="101"/>
      <c r="M679" s="100">
        <v>20</v>
      </c>
      <c r="N679" s="91">
        <v>150</v>
      </c>
    </row>
    <row r="680" spans="2:14">
      <c r="B680" s="176"/>
      <c r="C680" s="174"/>
      <c r="D680" s="172"/>
      <c r="E680" s="23">
        <v>676</v>
      </c>
      <c r="F680" s="2">
        <v>29</v>
      </c>
      <c r="G680" s="107"/>
      <c r="H680" s="2">
        <v>0</v>
      </c>
      <c r="I680" s="109">
        <v>0</v>
      </c>
      <c r="J680" s="99">
        <v>150</v>
      </c>
      <c r="K680" s="99">
        <v>150</v>
      </c>
      <c r="L680" s="101"/>
      <c r="M680" s="100">
        <v>20</v>
      </c>
      <c r="N680" s="91">
        <v>150</v>
      </c>
    </row>
    <row r="681" spans="2:14">
      <c r="B681" s="176"/>
      <c r="C681" s="174"/>
      <c r="D681" s="172"/>
      <c r="E681" s="23">
        <v>677</v>
      </c>
      <c r="F681" s="2">
        <v>48</v>
      </c>
      <c r="G681" s="107"/>
      <c r="H681" s="2">
        <v>0</v>
      </c>
      <c r="I681" s="109">
        <v>0</v>
      </c>
      <c r="J681" s="99">
        <v>150</v>
      </c>
      <c r="K681" s="99">
        <v>150</v>
      </c>
      <c r="L681" s="101"/>
      <c r="M681" s="100">
        <v>20</v>
      </c>
      <c r="N681" s="91">
        <v>150</v>
      </c>
    </row>
    <row r="682" spans="2:14">
      <c r="B682" s="176"/>
      <c r="C682" s="174"/>
      <c r="D682" s="172"/>
      <c r="E682" s="23">
        <v>678</v>
      </c>
      <c r="F682" s="2">
        <v>31</v>
      </c>
      <c r="G682" s="107"/>
      <c r="H682" s="2">
        <v>0</v>
      </c>
      <c r="I682" s="110">
        <v>150</v>
      </c>
      <c r="J682" s="23"/>
      <c r="K682" s="99">
        <v>150</v>
      </c>
      <c r="L682" s="101"/>
      <c r="M682" s="100">
        <v>20</v>
      </c>
      <c r="N682" s="91">
        <v>150</v>
      </c>
    </row>
    <row r="683" spans="2:14">
      <c r="B683" s="176"/>
      <c r="C683" s="174"/>
      <c r="D683" s="172"/>
      <c r="E683" s="23">
        <v>679</v>
      </c>
      <c r="F683" s="2">
        <v>41</v>
      </c>
      <c r="G683" s="107"/>
      <c r="H683" s="113">
        <v>39</v>
      </c>
      <c r="I683" s="90">
        <f>I682-F683-F682</f>
        <v>78</v>
      </c>
      <c r="J683" s="99">
        <v>150</v>
      </c>
      <c r="K683" s="99">
        <v>150</v>
      </c>
      <c r="L683" s="101"/>
      <c r="M683" s="100">
        <v>20</v>
      </c>
      <c r="N683" s="91">
        <v>150</v>
      </c>
    </row>
    <row r="684" spans="2:14">
      <c r="B684" s="176"/>
      <c r="C684" s="174"/>
      <c r="D684" s="172"/>
      <c r="E684" s="23">
        <v>680</v>
      </c>
      <c r="F684" s="2">
        <v>43</v>
      </c>
      <c r="G684" s="107"/>
      <c r="H684" s="113">
        <v>43</v>
      </c>
      <c r="I684" s="90">
        <f>I683-F684</f>
        <v>35</v>
      </c>
      <c r="J684" s="99">
        <v>150</v>
      </c>
      <c r="K684" s="99">
        <v>150</v>
      </c>
      <c r="L684" s="101"/>
      <c r="M684" s="100">
        <v>20</v>
      </c>
      <c r="N684" s="91">
        <v>150</v>
      </c>
    </row>
    <row r="685" spans="2:14">
      <c r="B685" s="176"/>
      <c r="C685" s="174"/>
      <c r="D685" s="172"/>
      <c r="E685" s="23">
        <v>681</v>
      </c>
      <c r="F685" s="2">
        <v>32</v>
      </c>
      <c r="G685" s="107"/>
      <c r="H685" s="113">
        <v>32</v>
      </c>
      <c r="I685" s="90">
        <f>I684-F685</f>
        <v>3</v>
      </c>
      <c r="J685" s="99">
        <v>150</v>
      </c>
      <c r="K685" s="99">
        <v>150</v>
      </c>
      <c r="L685" s="101"/>
      <c r="M685" s="100">
        <v>20</v>
      </c>
      <c r="N685" s="91">
        <v>150</v>
      </c>
    </row>
    <row r="686" spans="2:14">
      <c r="B686" s="176"/>
      <c r="C686" s="174"/>
      <c r="D686" s="172"/>
      <c r="E686" s="23">
        <v>682</v>
      </c>
      <c r="F686" s="2">
        <v>38</v>
      </c>
      <c r="G686" s="107"/>
      <c r="H686" s="2">
        <v>0</v>
      </c>
      <c r="I686" s="109">
        <v>0</v>
      </c>
      <c r="J686" s="99">
        <v>150</v>
      </c>
      <c r="K686" s="99">
        <v>150</v>
      </c>
      <c r="L686" s="101"/>
      <c r="M686" s="100" t="str">
        <f>"10 - 10"</f>
        <v>10 - 10</v>
      </c>
      <c r="N686" s="91">
        <v>150</v>
      </c>
    </row>
    <row r="687" spans="2:14">
      <c r="B687" s="176"/>
      <c r="C687" s="174"/>
      <c r="D687" s="172"/>
      <c r="E687" s="23">
        <v>683</v>
      </c>
      <c r="F687" s="2">
        <v>49</v>
      </c>
      <c r="G687" s="107"/>
      <c r="H687" s="2">
        <v>0</v>
      </c>
      <c r="I687" s="109">
        <v>0</v>
      </c>
      <c r="J687" s="99">
        <v>150</v>
      </c>
      <c r="K687" s="99">
        <v>150</v>
      </c>
      <c r="L687" s="101"/>
      <c r="M687" s="100">
        <v>20</v>
      </c>
      <c r="N687" s="91">
        <v>150</v>
      </c>
    </row>
    <row r="688" spans="2:14">
      <c r="B688" s="176"/>
      <c r="C688" s="174"/>
      <c r="D688" s="172"/>
      <c r="E688" s="23">
        <v>684</v>
      </c>
      <c r="F688" s="2">
        <v>43</v>
      </c>
      <c r="G688" s="107"/>
      <c r="H688" s="2">
        <v>0</v>
      </c>
      <c r="I688" s="109">
        <v>0</v>
      </c>
      <c r="J688" s="99">
        <v>150</v>
      </c>
      <c r="K688" s="99">
        <v>150</v>
      </c>
      <c r="L688" s="101"/>
      <c r="M688" s="100">
        <v>20</v>
      </c>
      <c r="N688" s="91">
        <v>150</v>
      </c>
    </row>
    <row r="689" spans="2:14">
      <c r="B689" s="176"/>
      <c r="C689" s="174"/>
      <c r="D689" s="172"/>
      <c r="E689" s="23">
        <v>685</v>
      </c>
      <c r="F689" s="2">
        <v>30</v>
      </c>
      <c r="G689" s="107"/>
      <c r="H689" s="113">
        <v>10</v>
      </c>
      <c r="I689" s="109">
        <v>0</v>
      </c>
      <c r="J689" s="99">
        <v>150</v>
      </c>
      <c r="K689" s="99">
        <v>150</v>
      </c>
      <c r="L689" s="101"/>
      <c r="M689" s="100">
        <v>20</v>
      </c>
      <c r="N689" s="91">
        <v>150</v>
      </c>
    </row>
    <row r="690" spans="2:14">
      <c r="B690" s="176"/>
      <c r="C690" s="174"/>
      <c r="D690" s="172"/>
      <c r="E690" s="23">
        <v>686</v>
      </c>
      <c r="F690" s="2">
        <v>33</v>
      </c>
      <c r="G690" s="107"/>
      <c r="H690" s="113">
        <v>33</v>
      </c>
      <c r="I690" s="110">
        <v>150</v>
      </c>
      <c r="J690" s="23"/>
      <c r="K690" s="99">
        <v>150</v>
      </c>
      <c r="L690" s="101"/>
      <c r="M690" s="100">
        <v>20</v>
      </c>
      <c r="N690" s="91">
        <v>150</v>
      </c>
    </row>
    <row r="691" spans="2:14">
      <c r="B691" s="176"/>
      <c r="C691" s="174"/>
      <c r="D691" s="172"/>
      <c r="E691" s="23">
        <v>687</v>
      </c>
      <c r="F691" s="2">
        <v>39</v>
      </c>
      <c r="G691" s="107"/>
      <c r="H691" s="113">
        <v>39</v>
      </c>
      <c r="I691" s="90">
        <f>I690-F691-F690</f>
        <v>78</v>
      </c>
      <c r="J691" s="99">
        <v>150</v>
      </c>
      <c r="K691" s="99">
        <v>150</v>
      </c>
      <c r="L691" s="101"/>
      <c r="M691" s="100">
        <v>20</v>
      </c>
      <c r="N691" s="91">
        <v>150</v>
      </c>
    </row>
    <row r="692" spans="2:14">
      <c r="B692" s="176"/>
      <c r="C692" s="174"/>
      <c r="D692" s="172"/>
      <c r="E692" s="23">
        <v>688</v>
      </c>
      <c r="F692" s="2">
        <v>29</v>
      </c>
      <c r="G692" s="107"/>
      <c r="H692" s="113">
        <v>29</v>
      </c>
      <c r="I692" s="90">
        <f>I691-F692</f>
        <v>49</v>
      </c>
      <c r="J692" s="99">
        <v>150</v>
      </c>
      <c r="K692" s="99">
        <v>150</v>
      </c>
      <c r="L692" s="101"/>
      <c r="M692" s="100">
        <v>20</v>
      </c>
      <c r="N692" s="91">
        <v>150</v>
      </c>
    </row>
    <row r="693" spans="2:14">
      <c r="B693" s="176"/>
      <c r="C693" s="174"/>
      <c r="D693" s="172"/>
      <c r="E693" s="23">
        <v>689</v>
      </c>
      <c r="F693" s="2">
        <v>35</v>
      </c>
      <c r="G693" s="107"/>
      <c r="H693" s="113">
        <v>20</v>
      </c>
      <c r="I693" s="90">
        <f>I692-F693</f>
        <v>14</v>
      </c>
      <c r="J693" s="99">
        <v>150</v>
      </c>
      <c r="K693" s="99">
        <v>150</v>
      </c>
      <c r="L693" s="101"/>
      <c r="M693" s="100">
        <v>20</v>
      </c>
      <c r="N693" s="91">
        <v>150</v>
      </c>
    </row>
    <row r="694" spans="2:14">
      <c r="B694" s="176"/>
      <c r="C694" s="174"/>
      <c r="D694" s="172"/>
      <c r="E694" s="23">
        <v>690</v>
      </c>
      <c r="F694" s="2">
        <v>31</v>
      </c>
      <c r="G694" s="107"/>
      <c r="H694" s="2">
        <v>0</v>
      </c>
      <c r="I694" s="109">
        <v>0</v>
      </c>
      <c r="J694" s="99">
        <v>150</v>
      </c>
      <c r="K694" s="99">
        <v>150</v>
      </c>
      <c r="L694" s="101"/>
      <c r="M694" s="100">
        <v>20</v>
      </c>
      <c r="N694" s="91">
        <v>150</v>
      </c>
    </row>
    <row r="695" spans="2:14">
      <c r="B695" s="176"/>
      <c r="C695" s="174"/>
      <c r="D695" s="172"/>
      <c r="E695" s="23">
        <v>691</v>
      </c>
      <c r="F695" s="2">
        <v>36</v>
      </c>
      <c r="G695" s="107"/>
      <c r="H695" s="2">
        <v>0</v>
      </c>
      <c r="I695" s="109">
        <v>0</v>
      </c>
      <c r="J695" s="99">
        <v>150</v>
      </c>
      <c r="K695" s="99">
        <v>150</v>
      </c>
      <c r="L695" s="101"/>
      <c r="M695" s="100">
        <v>20</v>
      </c>
      <c r="N695" s="91">
        <v>150</v>
      </c>
    </row>
    <row r="696" spans="2:14">
      <c r="B696" s="176"/>
      <c r="C696" s="174"/>
      <c r="D696" s="172"/>
      <c r="E696" s="23">
        <v>692</v>
      </c>
      <c r="F696" s="2">
        <v>40</v>
      </c>
      <c r="G696" s="107"/>
      <c r="H696" s="2">
        <v>0</v>
      </c>
      <c r="I696" s="109">
        <v>0</v>
      </c>
      <c r="J696" s="99">
        <v>150</v>
      </c>
      <c r="K696" s="99">
        <v>150</v>
      </c>
      <c r="L696" s="101"/>
      <c r="M696" s="100">
        <v>20</v>
      </c>
      <c r="N696" s="91">
        <v>150</v>
      </c>
    </row>
    <row r="697" spans="2:14">
      <c r="B697" s="176"/>
      <c r="C697" s="174"/>
      <c r="D697" s="172"/>
      <c r="E697" s="23">
        <v>693</v>
      </c>
      <c r="F697" s="2">
        <v>44</v>
      </c>
      <c r="G697" s="107"/>
      <c r="H697" s="113">
        <v>16</v>
      </c>
      <c r="I697" s="109">
        <v>0</v>
      </c>
      <c r="J697" s="99">
        <v>150</v>
      </c>
      <c r="K697" s="99">
        <v>150</v>
      </c>
      <c r="L697" s="101"/>
      <c r="M697" s="100">
        <v>20</v>
      </c>
      <c r="N697" s="91">
        <v>150</v>
      </c>
    </row>
    <row r="698" spans="2:14">
      <c r="B698" s="176"/>
      <c r="C698" s="174"/>
      <c r="D698" s="172"/>
      <c r="E698" s="23">
        <v>694</v>
      </c>
      <c r="F698" s="2">
        <v>30</v>
      </c>
      <c r="G698" s="107"/>
      <c r="H698" s="113">
        <v>30</v>
      </c>
      <c r="I698" s="110">
        <v>150</v>
      </c>
      <c r="J698" s="23"/>
      <c r="K698" s="99">
        <v>150</v>
      </c>
      <c r="L698" s="101"/>
      <c r="M698" s="100">
        <v>20</v>
      </c>
      <c r="N698" s="91">
        <v>150</v>
      </c>
    </row>
    <row r="699" spans="2:14">
      <c r="B699" s="176"/>
      <c r="C699" s="174"/>
      <c r="D699" s="172"/>
      <c r="E699" s="23">
        <v>695</v>
      </c>
      <c r="F699" s="2">
        <v>33</v>
      </c>
      <c r="G699" s="107"/>
      <c r="H699" s="113">
        <v>33</v>
      </c>
      <c r="I699" s="90">
        <f>I698-F699-F698</f>
        <v>87</v>
      </c>
      <c r="J699" s="99">
        <v>150</v>
      </c>
      <c r="K699" s="99">
        <v>150</v>
      </c>
      <c r="L699" s="101"/>
      <c r="M699" s="100">
        <v>20</v>
      </c>
      <c r="N699" s="91">
        <v>150</v>
      </c>
    </row>
    <row r="700" spans="2:14">
      <c r="B700" s="176"/>
      <c r="C700" s="174"/>
      <c r="D700" s="172"/>
      <c r="E700" s="23">
        <v>696</v>
      </c>
      <c r="F700" s="2">
        <v>47</v>
      </c>
      <c r="G700" s="107"/>
      <c r="H700" s="113">
        <v>47</v>
      </c>
      <c r="I700" s="90">
        <f>I699-F700</f>
        <v>40</v>
      </c>
      <c r="J700" s="99">
        <v>150</v>
      </c>
      <c r="K700" s="99">
        <v>150</v>
      </c>
      <c r="L700" s="101"/>
      <c r="M700" s="100">
        <v>20</v>
      </c>
      <c r="N700" s="91">
        <v>150</v>
      </c>
    </row>
    <row r="701" spans="2:14">
      <c r="B701" s="176"/>
      <c r="C701" s="174"/>
      <c r="D701" s="172"/>
      <c r="E701" s="23">
        <v>697</v>
      </c>
      <c r="F701" s="2">
        <v>24</v>
      </c>
      <c r="G701" s="107"/>
      <c r="H701" s="2">
        <v>0</v>
      </c>
      <c r="I701" s="90">
        <f>I700-F701</f>
        <v>16</v>
      </c>
      <c r="J701" s="99">
        <v>150</v>
      </c>
      <c r="K701" s="99">
        <v>150</v>
      </c>
      <c r="L701" s="101"/>
      <c r="M701" s="100" t="str">
        <f>"10 - 10"</f>
        <v>10 - 10</v>
      </c>
      <c r="N701" s="91">
        <v>150</v>
      </c>
    </row>
    <row r="702" spans="2:14">
      <c r="B702" s="176"/>
      <c r="C702" s="174"/>
      <c r="D702" s="172"/>
      <c r="E702" s="23">
        <v>698</v>
      </c>
      <c r="F702" s="2">
        <v>35</v>
      </c>
      <c r="G702" s="107"/>
      <c r="H702" s="2">
        <v>0</v>
      </c>
      <c r="I702" s="109">
        <v>0</v>
      </c>
      <c r="J702" s="99">
        <v>150</v>
      </c>
      <c r="K702" s="99">
        <v>150</v>
      </c>
      <c r="L702" s="101"/>
      <c r="M702" s="100">
        <v>20</v>
      </c>
      <c r="N702" s="91">
        <v>150</v>
      </c>
    </row>
    <row r="703" spans="2:14">
      <c r="B703" s="176"/>
      <c r="C703" s="174"/>
      <c r="D703" s="173"/>
      <c r="E703" s="23">
        <v>699</v>
      </c>
      <c r="F703" s="2">
        <v>43</v>
      </c>
      <c r="G703" s="107"/>
      <c r="H703" s="2">
        <v>0</v>
      </c>
      <c r="I703" s="109">
        <v>0</v>
      </c>
      <c r="J703" s="99">
        <v>150</v>
      </c>
      <c r="K703" s="99">
        <v>150</v>
      </c>
      <c r="L703" s="101"/>
      <c r="M703" s="100">
        <v>20</v>
      </c>
      <c r="N703" s="91">
        <v>150</v>
      </c>
    </row>
    <row r="704" spans="2:14">
      <c r="B704" s="176"/>
      <c r="C704" s="174"/>
      <c r="D704" s="171" t="s">
        <v>55</v>
      </c>
      <c r="E704" s="23">
        <v>700</v>
      </c>
      <c r="F704" s="2">
        <v>34</v>
      </c>
      <c r="G704" s="107"/>
      <c r="H704" s="2">
        <v>0</v>
      </c>
      <c r="I704" s="109">
        <v>0</v>
      </c>
      <c r="J704" s="99">
        <v>150</v>
      </c>
      <c r="K704" s="99">
        <v>150</v>
      </c>
      <c r="L704" s="101"/>
      <c r="M704" s="100">
        <v>20</v>
      </c>
      <c r="N704" s="91">
        <v>150</v>
      </c>
    </row>
    <row r="705" spans="2:14">
      <c r="B705" s="176"/>
      <c r="C705" s="174"/>
      <c r="D705" s="172"/>
      <c r="E705" s="23">
        <v>701</v>
      </c>
      <c r="F705" s="2">
        <v>26</v>
      </c>
      <c r="G705" s="107"/>
      <c r="H705" s="113">
        <v>12</v>
      </c>
      <c r="I705" s="109">
        <v>0</v>
      </c>
      <c r="J705" s="99">
        <v>150</v>
      </c>
      <c r="K705" s="99">
        <v>150</v>
      </c>
      <c r="L705" s="101"/>
      <c r="M705" s="100">
        <v>20</v>
      </c>
      <c r="N705" s="91">
        <v>150</v>
      </c>
    </row>
    <row r="706" spans="2:14">
      <c r="B706" s="176"/>
      <c r="C706" s="174"/>
      <c r="D706" s="172"/>
      <c r="E706" s="23">
        <v>702</v>
      </c>
      <c r="F706" s="2">
        <v>32</v>
      </c>
      <c r="G706" s="107"/>
      <c r="H706" s="113">
        <v>32</v>
      </c>
      <c r="I706" s="110">
        <v>150</v>
      </c>
      <c r="J706" s="23"/>
      <c r="K706" s="99">
        <v>150</v>
      </c>
      <c r="L706" s="101"/>
      <c r="M706" s="100">
        <v>20</v>
      </c>
      <c r="N706" s="91">
        <v>150</v>
      </c>
    </row>
    <row r="707" spans="2:14">
      <c r="B707" s="176"/>
      <c r="C707" s="174"/>
      <c r="D707" s="172"/>
      <c r="E707" s="23">
        <v>703</v>
      </c>
      <c r="F707" s="2">
        <v>35</v>
      </c>
      <c r="G707" s="107"/>
      <c r="H707" s="113">
        <v>35</v>
      </c>
      <c r="I707" s="90">
        <f>I706-F707-F706</f>
        <v>83</v>
      </c>
      <c r="J707" s="99">
        <v>150</v>
      </c>
      <c r="K707" s="99">
        <v>150</v>
      </c>
      <c r="L707" s="101"/>
      <c r="M707" s="100">
        <v>20</v>
      </c>
      <c r="N707" s="91">
        <v>150</v>
      </c>
    </row>
    <row r="708" spans="2:14">
      <c r="B708" s="176"/>
      <c r="C708" s="174"/>
      <c r="D708" s="172"/>
      <c r="E708" s="23">
        <v>704</v>
      </c>
      <c r="F708" s="2">
        <v>40</v>
      </c>
      <c r="G708" s="107"/>
      <c r="H708" s="113">
        <v>19</v>
      </c>
      <c r="I708" s="90">
        <f>I707-F708</f>
        <v>43</v>
      </c>
      <c r="J708" s="99">
        <v>150</v>
      </c>
      <c r="K708" s="99">
        <v>150</v>
      </c>
      <c r="L708" s="101"/>
      <c r="M708" s="100">
        <v>20</v>
      </c>
      <c r="N708" s="91">
        <v>150</v>
      </c>
    </row>
    <row r="709" spans="2:14">
      <c r="B709" s="176"/>
      <c r="C709" s="174"/>
      <c r="D709" s="172"/>
      <c r="E709" s="23">
        <v>705</v>
      </c>
      <c r="F709" s="2">
        <v>34</v>
      </c>
      <c r="G709" s="107"/>
      <c r="H709" s="2">
        <v>0</v>
      </c>
      <c r="I709" s="90">
        <f>I708-F709</f>
        <v>9</v>
      </c>
      <c r="J709" s="99">
        <v>150</v>
      </c>
      <c r="K709" s="99">
        <v>150</v>
      </c>
      <c r="L709" s="101"/>
      <c r="M709" s="100">
        <v>20</v>
      </c>
      <c r="N709" s="91">
        <v>150</v>
      </c>
    </row>
    <row r="710" spans="2:14">
      <c r="B710" s="176"/>
      <c r="C710" s="174"/>
      <c r="D710" s="172"/>
      <c r="E710" s="23">
        <v>706</v>
      </c>
      <c r="F710" s="2">
        <v>38</v>
      </c>
      <c r="G710" s="107"/>
      <c r="H710" s="2">
        <v>0</v>
      </c>
      <c r="I710" s="109">
        <v>0</v>
      </c>
      <c r="J710" s="99">
        <v>150</v>
      </c>
      <c r="K710" s="99">
        <v>150</v>
      </c>
      <c r="L710" s="101"/>
      <c r="M710" s="100">
        <v>20</v>
      </c>
      <c r="N710" s="91">
        <v>150</v>
      </c>
    </row>
    <row r="711" spans="2:14">
      <c r="B711" s="176"/>
      <c r="C711" s="174"/>
      <c r="D711" s="172"/>
      <c r="E711" s="23">
        <v>707</v>
      </c>
      <c r="F711" s="2">
        <v>37</v>
      </c>
      <c r="G711" s="107"/>
      <c r="H711" s="2">
        <v>0</v>
      </c>
      <c r="I711" s="109">
        <v>0</v>
      </c>
      <c r="J711" s="99">
        <v>150</v>
      </c>
      <c r="K711" s="99">
        <v>150</v>
      </c>
      <c r="L711" s="101"/>
      <c r="M711" s="100">
        <v>20</v>
      </c>
      <c r="N711" s="91">
        <v>150</v>
      </c>
    </row>
    <row r="712" spans="2:14">
      <c r="B712" s="176"/>
      <c r="C712" s="174"/>
      <c r="D712" s="172"/>
      <c r="E712" s="23">
        <v>708</v>
      </c>
      <c r="F712" s="2">
        <v>37</v>
      </c>
      <c r="G712" s="107"/>
      <c r="H712" s="113">
        <v>17</v>
      </c>
      <c r="I712" s="109">
        <v>0</v>
      </c>
      <c r="J712" s="99">
        <v>150</v>
      </c>
      <c r="K712" s="99">
        <v>150</v>
      </c>
      <c r="L712" s="101"/>
      <c r="M712" s="100">
        <v>20</v>
      </c>
      <c r="N712" s="91">
        <v>150</v>
      </c>
    </row>
    <row r="713" spans="2:14">
      <c r="B713" s="176"/>
      <c r="C713" s="174"/>
      <c r="D713" s="172"/>
      <c r="E713" s="23">
        <v>709</v>
      </c>
      <c r="F713" s="2">
        <v>37</v>
      </c>
      <c r="G713" s="107"/>
      <c r="H713" s="113">
        <v>37</v>
      </c>
      <c r="I713" s="109">
        <v>0</v>
      </c>
      <c r="J713" s="99">
        <v>150</v>
      </c>
      <c r="K713" s="99">
        <v>150</v>
      </c>
      <c r="L713" s="101"/>
      <c r="M713" s="100">
        <v>20</v>
      </c>
      <c r="N713" s="91">
        <v>150</v>
      </c>
    </row>
    <row r="714" spans="2:14">
      <c r="B714" s="176"/>
      <c r="C714" s="174"/>
      <c r="D714" s="172"/>
      <c r="E714" s="23">
        <v>710</v>
      </c>
      <c r="F714" s="2">
        <v>42</v>
      </c>
      <c r="G714" s="107"/>
      <c r="H714" s="113">
        <v>42</v>
      </c>
      <c r="I714" s="110">
        <v>150</v>
      </c>
      <c r="J714" s="23"/>
      <c r="K714" s="99">
        <v>150</v>
      </c>
      <c r="L714" s="101"/>
      <c r="M714" s="100">
        <v>20</v>
      </c>
      <c r="N714" s="91">
        <v>150</v>
      </c>
    </row>
    <row r="715" spans="2:14">
      <c r="B715" s="176"/>
      <c r="C715" s="174"/>
      <c r="D715" s="172"/>
      <c r="E715" s="23">
        <v>711</v>
      </c>
      <c r="F715" s="2">
        <v>49</v>
      </c>
      <c r="G715" s="107"/>
      <c r="H715" s="113">
        <v>49</v>
      </c>
      <c r="I715" s="90">
        <f>I714-F715-F714</f>
        <v>59</v>
      </c>
      <c r="J715" s="99">
        <v>150</v>
      </c>
      <c r="K715" s="99">
        <v>150</v>
      </c>
      <c r="L715" s="47"/>
      <c r="M715" s="100">
        <v>20</v>
      </c>
      <c r="N715" s="91">
        <v>150</v>
      </c>
    </row>
    <row r="716" spans="2:14">
      <c r="B716" s="176"/>
      <c r="C716" s="174"/>
      <c r="D716" s="172"/>
      <c r="E716" s="23">
        <v>712</v>
      </c>
      <c r="F716" s="2">
        <v>38</v>
      </c>
      <c r="G716" s="107"/>
      <c r="H716" s="2">
        <v>0</v>
      </c>
      <c r="I716" s="90">
        <f>I715-F716</f>
        <v>21</v>
      </c>
      <c r="J716" s="99">
        <v>150</v>
      </c>
      <c r="K716" s="99">
        <v>150</v>
      </c>
      <c r="L716" s="101"/>
      <c r="M716" s="100" t="str">
        <f>"10 - 10"</f>
        <v>10 - 10</v>
      </c>
      <c r="N716" s="91">
        <v>150</v>
      </c>
    </row>
    <row r="717" spans="2:14">
      <c r="B717" s="176"/>
      <c r="C717" s="174"/>
      <c r="D717" s="172"/>
      <c r="E717" s="23">
        <v>713</v>
      </c>
      <c r="F717" s="2">
        <v>38</v>
      </c>
      <c r="G717" s="107"/>
      <c r="H717" s="2">
        <v>0</v>
      </c>
      <c r="I717" s="109">
        <v>0</v>
      </c>
      <c r="J717" s="99">
        <v>150</v>
      </c>
      <c r="K717" s="99">
        <v>150</v>
      </c>
      <c r="L717" s="101"/>
      <c r="M717" s="114">
        <v>20</v>
      </c>
      <c r="N717" s="91">
        <v>150</v>
      </c>
    </row>
    <row r="718" spans="2:14">
      <c r="B718" s="176"/>
      <c r="C718" s="174"/>
      <c r="D718" s="172"/>
      <c r="E718" s="23">
        <v>714</v>
      </c>
      <c r="F718" s="2">
        <v>46</v>
      </c>
      <c r="G718" s="107"/>
      <c r="H718" s="2">
        <v>0</v>
      </c>
      <c r="I718" s="109">
        <v>0</v>
      </c>
      <c r="J718" s="99">
        <v>150</v>
      </c>
      <c r="K718" s="99">
        <v>150</v>
      </c>
      <c r="L718" s="101"/>
      <c r="M718" s="114">
        <v>20</v>
      </c>
      <c r="N718" s="91">
        <v>150</v>
      </c>
    </row>
    <row r="719" spans="2:14">
      <c r="B719" s="176"/>
      <c r="C719" s="174"/>
      <c r="D719" s="172"/>
      <c r="E719" s="23">
        <v>715</v>
      </c>
      <c r="F719" s="2">
        <v>31</v>
      </c>
      <c r="G719" s="107"/>
      <c r="H719" s="113">
        <v>3</v>
      </c>
      <c r="I719" s="109">
        <v>0</v>
      </c>
      <c r="J719" s="99">
        <v>150</v>
      </c>
      <c r="K719" s="99">
        <v>150</v>
      </c>
      <c r="L719" s="101"/>
      <c r="M719" s="114">
        <v>20</v>
      </c>
      <c r="N719" s="91">
        <v>150</v>
      </c>
    </row>
    <row r="720" spans="2:14" ht="15.75">
      <c r="B720" s="176"/>
      <c r="C720" s="174"/>
      <c r="D720" s="172"/>
      <c r="E720" s="23">
        <v>716</v>
      </c>
      <c r="F720" s="2">
        <v>38</v>
      </c>
      <c r="G720" s="107"/>
      <c r="H720" s="113">
        <v>38</v>
      </c>
      <c r="I720" s="109">
        <v>0</v>
      </c>
      <c r="J720" s="99">
        <v>150</v>
      </c>
      <c r="K720" s="99">
        <v>150</v>
      </c>
      <c r="L720" s="101"/>
      <c r="M720" s="117">
        <v>20</v>
      </c>
      <c r="N720" s="91">
        <v>150</v>
      </c>
    </row>
    <row r="721" spans="2:14" ht="15.75">
      <c r="B721" s="176"/>
      <c r="C721" s="174"/>
      <c r="D721" s="172"/>
      <c r="E721" s="23">
        <v>717</v>
      </c>
      <c r="F721" s="2">
        <v>31</v>
      </c>
      <c r="G721" s="107"/>
      <c r="H721" s="113">
        <v>31</v>
      </c>
      <c r="I721" s="109">
        <v>0</v>
      </c>
      <c r="J721" s="99">
        <v>150</v>
      </c>
      <c r="K721" s="99">
        <v>150</v>
      </c>
      <c r="L721" s="101"/>
      <c r="M721" s="117">
        <v>20</v>
      </c>
      <c r="N721" s="91">
        <v>150</v>
      </c>
    </row>
    <row r="722" spans="2:14" ht="15.75">
      <c r="B722" s="176"/>
      <c r="C722" s="174"/>
      <c r="D722" s="172"/>
      <c r="E722" s="23">
        <v>718</v>
      </c>
      <c r="F722" s="2">
        <v>38</v>
      </c>
      <c r="G722" s="107"/>
      <c r="H722" s="113">
        <v>38</v>
      </c>
      <c r="I722" s="110">
        <v>150</v>
      </c>
      <c r="J722" s="23"/>
      <c r="K722" s="99">
        <v>150</v>
      </c>
      <c r="L722" s="101"/>
      <c r="M722" s="117">
        <v>20</v>
      </c>
      <c r="N722" s="91">
        <v>150</v>
      </c>
    </row>
    <row r="723" spans="2:14" ht="15.75">
      <c r="B723" s="176"/>
      <c r="C723" s="174"/>
      <c r="D723" s="172"/>
      <c r="E723" s="23">
        <v>719</v>
      </c>
      <c r="F723" s="2">
        <v>34</v>
      </c>
      <c r="G723" s="107"/>
      <c r="H723" s="113">
        <v>14</v>
      </c>
      <c r="I723" s="90">
        <f>I722-F723-F722</f>
        <v>78</v>
      </c>
      <c r="J723" s="99">
        <v>150</v>
      </c>
      <c r="K723" s="99">
        <v>150</v>
      </c>
      <c r="L723" s="101"/>
      <c r="M723" s="117">
        <v>20</v>
      </c>
      <c r="N723" s="91">
        <v>150</v>
      </c>
    </row>
    <row r="724" spans="2:14">
      <c r="B724" s="176"/>
      <c r="C724" s="174"/>
      <c r="D724" s="172"/>
      <c r="E724" s="23">
        <v>720</v>
      </c>
      <c r="F724" s="2">
        <v>41</v>
      </c>
      <c r="G724" s="107"/>
      <c r="H724" s="2">
        <v>0</v>
      </c>
      <c r="I724" s="90">
        <f>I723-F724</f>
        <v>37</v>
      </c>
      <c r="J724" s="99">
        <v>150</v>
      </c>
      <c r="K724" s="99">
        <v>150</v>
      </c>
      <c r="L724" s="101"/>
      <c r="M724" s="100">
        <v>20</v>
      </c>
      <c r="N724" s="91">
        <v>150</v>
      </c>
    </row>
    <row r="725" spans="2:14">
      <c r="B725" s="176"/>
      <c r="C725" s="174"/>
      <c r="D725" s="172"/>
      <c r="E725" s="23">
        <v>721</v>
      </c>
      <c r="F725" s="2">
        <v>37</v>
      </c>
      <c r="G725" s="107"/>
      <c r="H725" s="2">
        <v>0</v>
      </c>
      <c r="I725" s="109">
        <v>0</v>
      </c>
      <c r="J725" s="99">
        <v>150</v>
      </c>
      <c r="K725" s="99">
        <v>150</v>
      </c>
      <c r="L725" s="101"/>
      <c r="M725" s="100">
        <v>20</v>
      </c>
      <c r="N725" s="91">
        <v>150</v>
      </c>
    </row>
    <row r="726" spans="2:14">
      <c r="B726" s="176"/>
      <c r="C726" s="174"/>
      <c r="D726" s="172"/>
      <c r="E726" s="23">
        <v>722</v>
      </c>
      <c r="F726" s="2">
        <v>29</v>
      </c>
      <c r="G726" s="107"/>
      <c r="H726" s="2">
        <v>0</v>
      </c>
      <c r="I726" s="109">
        <v>0</v>
      </c>
      <c r="J726" s="99">
        <v>150</v>
      </c>
      <c r="K726" s="99">
        <v>150</v>
      </c>
      <c r="L726" s="101"/>
      <c r="M726" s="100">
        <v>20</v>
      </c>
      <c r="N726" s="91">
        <v>150</v>
      </c>
    </row>
    <row r="727" spans="2:14">
      <c r="B727" s="176"/>
      <c r="C727" s="174"/>
      <c r="D727" s="172"/>
      <c r="E727" s="23">
        <v>723</v>
      </c>
      <c r="F727" s="2">
        <v>31</v>
      </c>
      <c r="G727" s="107"/>
      <c r="H727" s="113">
        <v>8</v>
      </c>
      <c r="I727" s="109">
        <v>0</v>
      </c>
      <c r="J727" s="99">
        <v>150</v>
      </c>
      <c r="K727" s="99">
        <v>150</v>
      </c>
      <c r="L727" s="101"/>
      <c r="M727" s="100">
        <v>20</v>
      </c>
      <c r="N727" s="91">
        <v>150</v>
      </c>
    </row>
    <row r="728" spans="2:14">
      <c r="B728" s="176"/>
      <c r="C728" s="174"/>
      <c r="D728" s="172"/>
      <c r="E728" s="23">
        <v>724</v>
      </c>
      <c r="F728" s="2">
        <v>36</v>
      </c>
      <c r="G728" s="107"/>
      <c r="H728" s="113">
        <v>36</v>
      </c>
      <c r="I728" s="109">
        <v>0</v>
      </c>
      <c r="J728" s="99">
        <v>150</v>
      </c>
      <c r="K728" s="99">
        <v>150</v>
      </c>
      <c r="L728" s="101"/>
      <c r="M728" s="100">
        <v>20</v>
      </c>
      <c r="N728" s="91">
        <v>150</v>
      </c>
    </row>
    <row r="729" spans="2:14">
      <c r="B729" s="176"/>
      <c r="C729" s="174"/>
      <c r="D729" s="172"/>
      <c r="E729" s="23">
        <v>725</v>
      </c>
      <c r="F729" s="2">
        <v>44</v>
      </c>
      <c r="G729" s="107"/>
      <c r="H729" s="113">
        <v>44</v>
      </c>
      <c r="I729" s="109">
        <v>0</v>
      </c>
      <c r="J729" s="99">
        <v>150</v>
      </c>
      <c r="K729" s="99">
        <v>150</v>
      </c>
      <c r="L729" s="101"/>
      <c r="M729" s="100">
        <v>20</v>
      </c>
      <c r="N729" s="91">
        <v>150</v>
      </c>
    </row>
    <row r="730" spans="2:14">
      <c r="B730" s="176"/>
      <c r="C730" s="174"/>
      <c r="D730" s="172"/>
      <c r="E730" s="23">
        <v>726</v>
      </c>
      <c r="F730" s="2">
        <v>31</v>
      </c>
      <c r="G730" s="107"/>
      <c r="H730" s="113">
        <v>31</v>
      </c>
      <c r="I730" s="110">
        <v>150</v>
      </c>
      <c r="J730" s="23"/>
      <c r="K730" s="99">
        <v>150</v>
      </c>
      <c r="L730" s="101"/>
      <c r="M730" s="100">
        <v>20</v>
      </c>
      <c r="N730" s="91">
        <v>150</v>
      </c>
    </row>
    <row r="731" spans="2:14">
      <c r="B731" s="176"/>
      <c r="C731" s="174"/>
      <c r="D731" s="172"/>
      <c r="E731" s="23">
        <v>727</v>
      </c>
      <c r="F731" s="2">
        <v>30</v>
      </c>
      <c r="G731" s="107"/>
      <c r="H731" s="2">
        <v>0</v>
      </c>
      <c r="I731" s="90">
        <f>I730-F731-F730</f>
        <v>89</v>
      </c>
      <c r="J731" s="99">
        <v>150</v>
      </c>
      <c r="K731" s="99">
        <v>150</v>
      </c>
      <c r="L731" s="101"/>
      <c r="M731" s="100" t="str">
        <f>"10 - 10"</f>
        <v>10 - 10</v>
      </c>
      <c r="N731" s="91">
        <v>150</v>
      </c>
    </row>
    <row r="732" spans="2:14">
      <c r="B732" s="176"/>
      <c r="C732" s="174"/>
      <c r="D732" s="172"/>
      <c r="E732" s="23">
        <v>728</v>
      </c>
      <c r="F732" s="2">
        <v>30</v>
      </c>
      <c r="G732" s="102"/>
      <c r="H732" s="2">
        <v>0</v>
      </c>
      <c r="I732" s="90">
        <f>I731-F732</f>
        <v>59</v>
      </c>
      <c r="J732" s="99">
        <v>150</v>
      </c>
      <c r="K732" s="99">
        <v>150</v>
      </c>
      <c r="L732" s="101"/>
      <c r="M732" s="114">
        <v>20</v>
      </c>
      <c r="N732" s="91">
        <v>150</v>
      </c>
    </row>
    <row r="733" spans="2:14">
      <c r="B733" s="176"/>
      <c r="C733" s="174"/>
      <c r="D733" s="172"/>
      <c r="E733" s="23">
        <v>729</v>
      </c>
      <c r="F733" s="2">
        <v>42</v>
      </c>
      <c r="G733" s="102"/>
      <c r="H733" s="2">
        <v>0</v>
      </c>
      <c r="I733" s="90">
        <f>I732-F733</f>
        <v>17</v>
      </c>
      <c r="J733" s="99">
        <v>150</v>
      </c>
      <c r="K733" s="99">
        <v>150</v>
      </c>
      <c r="L733" s="101"/>
      <c r="M733" s="114">
        <v>20</v>
      </c>
      <c r="N733" s="91">
        <v>150</v>
      </c>
    </row>
    <row r="734" spans="2:14">
      <c r="B734" s="177"/>
      <c r="C734" s="174"/>
      <c r="D734" s="173"/>
      <c r="E734" s="103">
        <v>730</v>
      </c>
      <c r="F734" s="92">
        <v>24</v>
      </c>
      <c r="G734" s="102"/>
      <c r="H734" s="2">
        <v>0</v>
      </c>
      <c r="I734" s="111">
        <v>0</v>
      </c>
      <c r="J734" s="103">
        <v>150</v>
      </c>
      <c r="K734" s="103">
        <v>150</v>
      </c>
      <c r="L734" s="101"/>
      <c r="M734" s="114">
        <v>20</v>
      </c>
      <c r="N734" s="91">
        <v>150</v>
      </c>
    </row>
  </sheetData>
  <mergeCells count="42">
    <mergeCell ref="D217:D247"/>
    <mergeCell ref="B370:B734"/>
    <mergeCell ref="C370:C459"/>
    <mergeCell ref="C460:C550"/>
    <mergeCell ref="C551:C642"/>
    <mergeCell ref="C643:C734"/>
    <mergeCell ref="D613:D642"/>
    <mergeCell ref="D643:D673"/>
    <mergeCell ref="D674:D703"/>
    <mergeCell ref="D704:D734"/>
    <mergeCell ref="D429:D459"/>
    <mergeCell ref="D460:D489"/>
    <mergeCell ref="D490:D520"/>
    <mergeCell ref="D521:D550"/>
    <mergeCell ref="D551:D581"/>
    <mergeCell ref="D582:D612"/>
    <mergeCell ref="C5:C94"/>
    <mergeCell ref="C95:C185"/>
    <mergeCell ref="C186:C277"/>
    <mergeCell ref="C278:C369"/>
    <mergeCell ref="B5:B369"/>
    <mergeCell ref="D370:D400"/>
    <mergeCell ref="D401:D428"/>
    <mergeCell ref="Q15:S15"/>
    <mergeCell ref="Q18:S18"/>
    <mergeCell ref="Q20:S20"/>
    <mergeCell ref="D248:D277"/>
    <mergeCell ref="D278:D308"/>
    <mergeCell ref="D309:D338"/>
    <mergeCell ref="D339:D369"/>
    <mergeCell ref="D5:D35"/>
    <mergeCell ref="D36:D63"/>
    <mergeCell ref="D64:D94"/>
    <mergeCell ref="D95:D124"/>
    <mergeCell ref="D125:D155"/>
    <mergeCell ref="D156:D185"/>
    <mergeCell ref="D186:D216"/>
    <mergeCell ref="Q3:S3"/>
    <mergeCell ref="Q5:S5"/>
    <mergeCell ref="Q7:S7"/>
    <mergeCell ref="Q10:S10"/>
    <mergeCell ref="Q12:S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1D203-7278-4AC5-A801-90FC5EA9B081}">
  <dimension ref="B1:AB737"/>
  <sheetViews>
    <sheetView zoomScale="68" zoomScaleNormal="68" workbookViewId="0">
      <pane ySplit="1" topLeftCell="A706" activePane="bottomLeft" state="frozen"/>
      <selection pane="bottomLeft" activeCell="M359" sqref="L359:M363"/>
      <selection activeCell="D1" sqref="D1"/>
    </sheetView>
  </sheetViews>
  <sheetFormatPr defaultColWidth="11.5703125" defaultRowHeight="15"/>
  <cols>
    <col min="1" max="2" width="11.5703125" style="18"/>
    <col min="3" max="3" width="13.85546875" style="18" bestFit="1" customWidth="1"/>
    <col min="4" max="4" width="11.5703125" style="18"/>
    <col min="5" max="5" width="5.85546875" style="18" bestFit="1" customWidth="1"/>
    <col min="6" max="6" width="12.28515625" style="18" bestFit="1" customWidth="1"/>
    <col min="7" max="7" width="2.28515625" style="18" customWidth="1"/>
    <col min="8" max="8" width="12.140625" style="18" bestFit="1" customWidth="1"/>
    <col min="9" max="9" width="10.28515625" style="18" bestFit="1" customWidth="1"/>
    <col min="10" max="10" width="15.28515625" style="18" bestFit="1" customWidth="1"/>
    <col min="11" max="11" width="2.42578125" style="18" customWidth="1"/>
    <col min="12" max="12" width="14" style="18" bestFit="1" customWidth="1"/>
    <col min="13" max="13" width="14.28515625" style="18" bestFit="1" customWidth="1"/>
    <col min="14" max="16" width="14.28515625" style="18" customWidth="1"/>
    <col min="17" max="19" width="11.5703125" style="18" customWidth="1"/>
    <col min="20" max="20" width="2" style="18" customWidth="1"/>
    <col min="21" max="21" width="11.42578125" style="18" bestFit="1" customWidth="1"/>
    <col min="22" max="22" width="9.7109375" style="18" bestFit="1" customWidth="1"/>
    <col min="23" max="23" width="14.140625" style="18" bestFit="1" customWidth="1"/>
    <col min="24" max="24" width="11.5703125" style="18" customWidth="1"/>
    <col min="25" max="25" width="18.7109375" style="18" customWidth="1"/>
    <col min="26" max="27" width="11.5703125" style="18" customWidth="1"/>
    <col min="28" max="28" width="8.28515625" style="18" bestFit="1" customWidth="1"/>
    <col min="29" max="16384" width="11.5703125" style="18"/>
  </cols>
  <sheetData>
    <row r="1" spans="2:26" ht="15.75" thickBot="1">
      <c r="B1" s="93" t="s">
        <v>0</v>
      </c>
      <c r="C1" s="93" t="s">
        <v>1</v>
      </c>
      <c r="D1" s="93" t="s">
        <v>2</v>
      </c>
      <c r="E1" s="93" t="s">
        <v>3</v>
      </c>
      <c r="F1" s="93" t="s">
        <v>4</v>
      </c>
      <c r="G1" s="94"/>
      <c r="H1" s="119" t="s">
        <v>6</v>
      </c>
      <c r="I1" s="120" t="s">
        <v>7</v>
      </c>
      <c r="J1" s="96" t="s">
        <v>8</v>
      </c>
      <c r="K1" s="94"/>
      <c r="L1" s="96" t="s">
        <v>9</v>
      </c>
      <c r="M1" s="145" t="s">
        <v>10</v>
      </c>
      <c r="N1" s="163"/>
      <c r="O1" s="163"/>
      <c r="P1" s="163"/>
      <c r="Y1" s="140" t="s">
        <v>56</v>
      </c>
      <c r="Z1" s="140" t="s">
        <v>57</v>
      </c>
    </row>
    <row r="2" spans="2:26">
      <c r="B2" s="122" t="s">
        <v>12</v>
      </c>
      <c r="C2" s="122" t="s">
        <v>12</v>
      </c>
      <c r="D2" s="122" t="s">
        <v>12</v>
      </c>
      <c r="E2" s="144">
        <v>730</v>
      </c>
      <c r="F2" s="144">
        <f>PRUEBA_HISTÓRICO!F734</f>
        <v>24</v>
      </c>
      <c r="G2" s="124"/>
      <c r="H2" s="122">
        <v>0</v>
      </c>
      <c r="I2" s="125">
        <v>150</v>
      </c>
      <c r="J2" s="99">
        <v>150</v>
      </c>
      <c r="K2" s="101"/>
      <c r="L2" s="99">
        <v>20</v>
      </c>
      <c r="M2" s="142">
        <v>1200</v>
      </c>
      <c r="Y2" s="146">
        <v>10.916666666666666</v>
      </c>
      <c r="Z2" s="170">
        <v>0</v>
      </c>
    </row>
    <row r="3" spans="2:26">
      <c r="B3" s="175">
        <v>2027</v>
      </c>
      <c r="C3" s="186" t="s">
        <v>13</v>
      </c>
      <c r="D3" s="171" t="s">
        <v>14</v>
      </c>
      <c r="E3" s="23">
        <v>731</v>
      </c>
      <c r="F3" s="23">
        <f>DEMANDA_PREVISIÓN!E735</f>
        <v>44</v>
      </c>
      <c r="G3" s="101"/>
      <c r="H3" s="93">
        <v>0</v>
      </c>
      <c r="I3" s="125">
        <v>150</v>
      </c>
      <c r="J3" s="99">
        <v>150</v>
      </c>
      <c r="K3" s="101"/>
      <c r="L3" s="99">
        <v>20</v>
      </c>
      <c r="M3" s="142">
        <v>1200</v>
      </c>
      <c r="Y3" s="146">
        <v>10.926273148148148</v>
      </c>
      <c r="Z3" s="170"/>
    </row>
    <row r="4" spans="2:26">
      <c r="B4" s="176"/>
      <c r="C4" s="186"/>
      <c r="D4" s="172"/>
      <c r="E4" s="23">
        <v>732</v>
      </c>
      <c r="F4" s="23">
        <f>DEMANDA_PREVISIÓN!E736</f>
        <v>41</v>
      </c>
      <c r="G4" s="101"/>
      <c r="H4" s="93">
        <v>0</v>
      </c>
      <c r="I4" s="125">
        <v>150</v>
      </c>
      <c r="J4" s="99">
        <v>150</v>
      </c>
      <c r="K4" s="101"/>
      <c r="L4" s="99">
        <v>20</v>
      </c>
      <c r="M4" s="142">
        <v>1200</v>
      </c>
      <c r="Y4" s="146">
        <v>10.9358796296296</v>
      </c>
      <c r="Z4" s="170"/>
    </row>
    <row r="5" spans="2:26">
      <c r="B5" s="176"/>
      <c r="C5" s="186"/>
      <c r="D5" s="172"/>
      <c r="E5" s="23">
        <v>733</v>
      </c>
      <c r="F5" s="23">
        <f>DEMANDA_PREVISIÓN!E737</f>
        <v>41</v>
      </c>
      <c r="G5" s="101"/>
      <c r="H5" s="93">
        <v>0</v>
      </c>
      <c r="I5" s="125">
        <v>150</v>
      </c>
      <c r="J5" s="99">
        <v>150</v>
      </c>
      <c r="K5" s="101"/>
      <c r="L5" s="99">
        <v>20</v>
      </c>
      <c r="M5" s="142">
        <v>1200</v>
      </c>
      <c r="Y5" s="146">
        <v>10.9454861111111</v>
      </c>
      <c r="Z5" s="170"/>
    </row>
    <row r="6" spans="2:26">
      <c r="B6" s="176"/>
      <c r="C6" s="186"/>
      <c r="D6" s="172"/>
      <c r="E6" s="23">
        <v>734</v>
      </c>
      <c r="F6" s="23">
        <f>DEMANDA_PREVISIÓN!E738</f>
        <v>54</v>
      </c>
      <c r="G6" s="101"/>
      <c r="H6" s="125">
        <v>150</v>
      </c>
      <c r="I6" s="46"/>
      <c r="J6" s="99">
        <v>150</v>
      </c>
      <c r="K6" s="47"/>
      <c r="L6" s="99">
        <v>20</v>
      </c>
      <c r="M6" s="142">
        <v>1200</v>
      </c>
      <c r="Y6" s="146">
        <v>10.955092592592599</v>
      </c>
      <c r="Z6" s="170"/>
    </row>
    <row r="7" spans="2:26">
      <c r="B7" s="176"/>
      <c r="C7" s="186"/>
      <c r="D7" s="172"/>
      <c r="E7" s="23">
        <v>735</v>
      </c>
      <c r="F7" s="23">
        <f>DEMANDA_PREVISIÓN!E739</f>
        <v>40</v>
      </c>
      <c r="G7" s="101"/>
      <c r="H7" s="93">
        <f>H6-F7</f>
        <v>110</v>
      </c>
      <c r="I7" s="99">
        <v>150</v>
      </c>
      <c r="J7" s="99">
        <v>150</v>
      </c>
      <c r="K7" s="101"/>
      <c r="L7" s="99">
        <v>20</v>
      </c>
      <c r="M7" s="142">
        <v>1200</v>
      </c>
      <c r="Y7" s="146">
        <v>10.964699074074099</v>
      </c>
      <c r="Z7" s="170"/>
    </row>
    <row r="8" spans="2:26">
      <c r="B8" s="176"/>
      <c r="C8" s="186"/>
      <c r="D8" s="172"/>
      <c r="E8" s="23">
        <v>736</v>
      </c>
      <c r="F8" s="23">
        <f>DEMANDA_PREVISIÓN!E740</f>
        <v>46</v>
      </c>
      <c r="G8" s="101"/>
      <c r="H8" s="93">
        <f>H7-F8</f>
        <v>64</v>
      </c>
      <c r="I8" s="99">
        <v>150</v>
      </c>
      <c r="J8" s="126">
        <v>200</v>
      </c>
      <c r="K8" s="101"/>
      <c r="L8" s="126">
        <v>20</v>
      </c>
      <c r="M8" s="142">
        <v>1200</v>
      </c>
      <c r="Y8" s="146">
        <v>10.974305555555601</v>
      </c>
      <c r="Z8" s="170"/>
    </row>
    <row r="9" spans="2:26">
      <c r="B9" s="176"/>
      <c r="C9" s="186"/>
      <c r="D9" s="172"/>
      <c r="E9" s="23">
        <v>737</v>
      </c>
      <c r="F9" s="23">
        <f>DEMANDA_PREVISIÓN!E741</f>
        <v>33</v>
      </c>
      <c r="G9" s="101"/>
      <c r="H9" s="93">
        <f>H8-F9</f>
        <v>31</v>
      </c>
      <c r="I9" s="99">
        <v>150</v>
      </c>
      <c r="J9" s="126">
        <v>200</v>
      </c>
      <c r="K9" s="101"/>
      <c r="L9" s="126">
        <v>20</v>
      </c>
      <c r="M9" s="142">
        <v>1200</v>
      </c>
      <c r="Y9" s="146">
        <v>10.983912037036999</v>
      </c>
      <c r="Z9" s="170"/>
    </row>
    <row r="10" spans="2:26">
      <c r="B10" s="176"/>
      <c r="C10" s="186"/>
      <c r="D10" s="172"/>
      <c r="E10" s="23">
        <v>738</v>
      </c>
      <c r="F10" s="23">
        <f>DEMANDA_PREVISIÓN!E742</f>
        <v>46</v>
      </c>
      <c r="G10" s="101"/>
      <c r="H10" s="127">
        <v>0</v>
      </c>
      <c r="I10" s="99">
        <v>150</v>
      </c>
      <c r="J10" s="126">
        <v>200</v>
      </c>
      <c r="K10" s="101"/>
      <c r="L10" s="126">
        <v>20</v>
      </c>
      <c r="M10" s="142">
        <v>1200</v>
      </c>
      <c r="Y10" s="146">
        <v>10.993518518518499</v>
      </c>
      <c r="Z10" s="170"/>
    </row>
    <row r="11" spans="2:26">
      <c r="B11" s="176"/>
      <c r="C11" s="186"/>
      <c r="D11" s="172"/>
      <c r="E11" s="23">
        <v>739</v>
      </c>
      <c r="F11" s="23">
        <f>DEMANDA_PREVISIÓN!E743</f>
        <v>37</v>
      </c>
      <c r="G11" s="101"/>
      <c r="H11" s="127">
        <v>0</v>
      </c>
      <c r="I11" s="99">
        <v>150</v>
      </c>
      <c r="J11" s="126">
        <v>200</v>
      </c>
      <c r="K11" s="101"/>
      <c r="L11" s="126">
        <v>20</v>
      </c>
      <c r="M11" s="142">
        <v>1200</v>
      </c>
      <c r="Y11" s="141">
        <v>11.003125000000001</v>
      </c>
      <c r="Z11" s="174">
        <v>1</v>
      </c>
    </row>
    <row r="12" spans="2:26">
      <c r="B12" s="176"/>
      <c r="C12" s="186"/>
      <c r="D12" s="172"/>
      <c r="E12" s="23">
        <v>740</v>
      </c>
      <c r="F12" s="23">
        <f>DEMANDA_PREVISIÓN!E744</f>
        <v>35</v>
      </c>
      <c r="G12" s="101"/>
      <c r="H12" s="127">
        <v>0</v>
      </c>
      <c r="I12" s="99">
        <v>150</v>
      </c>
      <c r="J12" s="126">
        <v>200</v>
      </c>
      <c r="K12" s="101"/>
      <c r="L12" s="126">
        <v>20</v>
      </c>
      <c r="M12" s="142">
        <v>1200</v>
      </c>
      <c r="Y12" s="141">
        <v>11.0127314814815</v>
      </c>
      <c r="Z12" s="174"/>
    </row>
    <row r="13" spans="2:26">
      <c r="B13" s="176"/>
      <c r="C13" s="186"/>
      <c r="D13" s="172"/>
      <c r="E13" s="23">
        <v>741</v>
      </c>
      <c r="F13" s="23">
        <f>DEMANDA_PREVISIÓN!E745</f>
        <v>37</v>
      </c>
      <c r="G13" s="101"/>
      <c r="H13" s="127">
        <v>0</v>
      </c>
      <c r="I13" s="99">
        <v>150</v>
      </c>
      <c r="J13" s="126">
        <v>200</v>
      </c>
      <c r="K13" s="101"/>
      <c r="L13" s="126">
        <v>20</v>
      </c>
      <c r="M13" s="142">
        <v>1200</v>
      </c>
      <c r="Y13" s="141">
        <v>11.022337962963</v>
      </c>
      <c r="Z13" s="174"/>
    </row>
    <row r="14" spans="2:26">
      <c r="B14" s="176"/>
      <c r="C14" s="186"/>
      <c r="D14" s="172"/>
      <c r="E14" s="23">
        <v>742</v>
      </c>
      <c r="F14" s="23">
        <f>DEMANDA_PREVISIÓN!E746</f>
        <v>31</v>
      </c>
      <c r="G14" s="101"/>
      <c r="H14" s="99">
        <v>150</v>
      </c>
      <c r="I14" s="23"/>
      <c r="J14" s="126">
        <v>200</v>
      </c>
      <c r="K14" s="101"/>
      <c r="L14" s="126">
        <v>20</v>
      </c>
      <c r="M14" s="142">
        <v>1200</v>
      </c>
      <c r="Y14" s="141">
        <v>11.0319444444445</v>
      </c>
      <c r="Z14" s="174"/>
    </row>
    <row r="15" spans="2:26">
      <c r="B15" s="176"/>
      <c r="C15" s="186"/>
      <c r="D15" s="172"/>
      <c r="E15" s="23">
        <v>743</v>
      </c>
      <c r="F15" s="23">
        <f>DEMANDA_PREVISIÓN!E747</f>
        <v>46</v>
      </c>
      <c r="G15" s="101"/>
      <c r="H15" s="23">
        <f>H14-F15</f>
        <v>104</v>
      </c>
      <c r="I15" s="23"/>
      <c r="J15" s="126">
        <v>200</v>
      </c>
      <c r="K15" s="101"/>
      <c r="L15" s="126">
        <v>20</v>
      </c>
      <c r="M15" s="142">
        <v>1200</v>
      </c>
      <c r="Y15" s="141">
        <v>11.0415509259259</v>
      </c>
      <c r="Z15" s="174"/>
    </row>
    <row r="16" spans="2:26">
      <c r="B16" s="176"/>
      <c r="C16" s="186"/>
      <c r="D16" s="172"/>
      <c r="E16" s="23">
        <v>744</v>
      </c>
      <c r="F16" s="23">
        <f>DEMANDA_PREVISIÓN!E748</f>
        <v>47</v>
      </c>
      <c r="G16" s="101"/>
      <c r="H16" s="23">
        <f>H15-F16</f>
        <v>57</v>
      </c>
      <c r="I16" s="23"/>
      <c r="J16" s="126">
        <v>200</v>
      </c>
      <c r="K16" s="101"/>
      <c r="L16" s="126">
        <v>20</v>
      </c>
      <c r="M16" s="142">
        <v>1200</v>
      </c>
      <c r="Y16" s="141">
        <v>11.0511574074074</v>
      </c>
      <c r="Z16" s="174"/>
    </row>
    <row r="17" spans="2:26">
      <c r="B17" s="176"/>
      <c r="C17" s="186"/>
      <c r="D17" s="172"/>
      <c r="E17" s="23">
        <v>745</v>
      </c>
      <c r="F17" s="23">
        <f>DEMANDA_PREVISIÓN!E749</f>
        <v>34</v>
      </c>
      <c r="G17" s="101"/>
      <c r="H17" s="23">
        <f>H16-F17</f>
        <v>23</v>
      </c>
      <c r="I17" s="126">
        <v>200</v>
      </c>
      <c r="J17" s="126">
        <v>200</v>
      </c>
      <c r="K17" s="101"/>
      <c r="L17" s="126">
        <v>20</v>
      </c>
      <c r="M17" s="142">
        <v>1200</v>
      </c>
      <c r="Y17" s="141">
        <v>11.0607638888889</v>
      </c>
      <c r="Z17" s="174"/>
    </row>
    <row r="18" spans="2:26">
      <c r="B18" s="176"/>
      <c r="C18" s="186"/>
      <c r="D18" s="172"/>
      <c r="E18" s="23">
        <v>746</v>
      </c>
      <c r="F18" s="23">
        <f>DEMANDA_PREVISIÓN!E750</f>
        <v>41</v>
      </c>
      <c r="G18" s="101"/>
      <c r="H18" s="127">
        <v>0</v>
      </c>
      <c r="I18" s="126">
        <v>200</v>
      </c>
      <c r="J18" s="128">
        <v>200</v>
      </c>
      <c r="K18" s="101"/>
      <c r="L18" s="128">
        <v>200</v>
      </c>
      <c r="M18" s="142">
        <v>1200</v>
      </c>
      <c r="Y18" s="141">
        <v>11.0703703703704</v>
      </c>
      <c r="Z18" s="174"/>
    </row>
    <row r="19" spans="2:26">
      <c r="B19" s="176"/>
      <c r="C19" s="186"/>
      <c r="D19" s="172"/>
      <c r="E19" s="23">
        <v>747</v>
      </c>
      <c r="F19" s="23">
        <f>DEMANDA_PREVISIÓN!E751</f>
        <v>40</v>
      </c>
      <c r="G19" s="101"/>
      <c r="H19" s="127">
        <v>0</v>
      </c>
      <c r="I19" s="126">
        <v>200</v>
      </c>
      <c r="J19" s="128">
        <v>200</v>
      </c>
      <c r="K19" s="101"/>
      <c r="L19" s="128">
        <v>200</v>
      </c>
      <c r="M19" s="142">
        <v>1200</v>
      </c>
      <c r="Y19" s="141">
        <v>11.0799768518519</v>
      </c>
      <c r="Z19" s="174"/>
    </row>
    <row r="20" spans="2:26">
      <c r="B20" s="176"/>
      <c r="C20" s="186"/>
      <c r="D20" s="172"/>
      <c r="E20" s="23">
        <v>748</v>
      </c>
      <c r="F20" s="23">
        <f>DEMANDA_PREVISIÓN!E752</f>
        <v>28</v>
      </c>
      <c r="G20" s="101"/>
      <c r="H20" s="127">
        <v>0</v>
      </c>
      <c r="I20" s="126">
        <v>200</v>
      </c>
      <c r="J20" s="128">
        <v>200</v>
      </c>
      <c r="K20" s="101"/>
      <c r="L20" s="128">
        <v>200</v>
      </c>
      <c r="M20" s="142">
        <v>1200</v>
      </c>
      <c r="Y20" s="141">
        <v>11.0895833333333</v>
      </c>
      <c r="Z20" s="174"/>
    </row>
    <row r="21" spans="2:26">
      <c r="B21" s="176"/>
      <c r="C21" s="186"/>
      <c r="D21" s="172"/>
      <c r="E21" s="23">
        <v>749</v>
      </c>
      <c r="F21" s="23">
        <f>DEMANDA_PREVISIÓN!E753</f>
        <v>42</v>
      </c>
      <c r="G21" s="101"/>
      <c r="H21" s="127">
        <v>0</v>
      </c>
      <c r="I21" s="126">
        <v>200</v>
      </c>
      <c r="J21" s="128">
        <v>200</v>
      </c>
      <c r="K21" s="101"/>
      <c r="L21" s="128">
        <v>200</v>
      </c>
      <c r="M21" s="142">
        <v>1200</v>
      </c>
      <c r="Y21" s="141">
        <v>11.0991898148148</v>
      </c>
      <c r="Z21" s="174"/>
    </row>
    <row r="22" spans="2:26">
      <c r="B22" s="176"/>
      <c r="C22" s="186"/>
      <c r="D22" s="172"/>
      <c r="E22" s="23">
        <v>750</v>
      </c>
      <c r="F22" s="23">
        <f>DEMANDA_PREVISIÓN!E754</f>
        <v>32</v>
      </c>
      <c r="G22" s="101"/>
      <c r="H22" s="127">
        <v>0</v>
      </c>
      <c r="I22" s="126">
        <v>200</v>
      </c>
      <c r="J22" s="128">
        <v>200</v>
      </c>
      <c r="K22" s="101"/>
      <c r="L22" s="128">
        <v>200</v>
      </c>
      <c r="M22" s="142">
        <v>1200</v>
      </c>
      <c r="Y22" s="141">
        <v>11.108796296296299</v>
      </c>
      <c r="Z22" s="174"/>
    </row>
    <row r="23" spans="2:26">
      <c r="B23" s="176"/>
      <c r="C23" s="186"/>
      <c r="D23" s="172"/>
      <c r="E23" s="23">
        <v>751</v>
      </c>
      <c r="F23" s="23">
        <f>DEMANDA_PREVISIÓN!E755</f>
        <v>48</v>
      </c>
      <c r="G23" s="101"/>
      <c r="H23" s="127">
        <v>0</v>
      </c>
      <c r="I23" s="126">
        <v>200</v>
      </c>
      <c r="J23" s="128">
        <v>200</v>
      </c>
      <c r="K23" s="101"/>
      <c r="L23" s="128">
        <v>200</v>
      </c>
      <c r="M23" s="142">
        <v>1200</v>
      </c>
      <c r="Y23" s="141">
        <v>11.118402777777799</v>
      </c>
      <c r="Z23" s="174"/>
    </row>
    <row r="24" spans="2:26">
      <c r="B24" s="176"/>
      <c r="C24" s="186"/>
      <c r="D24" s="172"/>
      <c r="E24" s="23">
        <v>752</v>
      </c>
      <c r="F24" s="23">
        <f>DEMANDA_PREVISIÓN!E756</f>
        <v>31</v>
      </c>
      <c r="G24" s="101"/>
      <c r="H24" s="126">
        <v>200</v>
      </c>
      <c r="I24" s="23"/>
      <c r="J24" s="128">
        <v>200</v>
      </c>
      <c r="K24" s="101"/>
      <c r="L24" s="128">
        <v>200</v>
      </c>
      <c r="M24" s="142">
        <v>1200</v>
      </c>
      <c r="Y24" s="141">
        <v>11.128009259259301</v>
      </c>
      <c r="Z24" s="174"/>
    </row>
    <row r="25" spans="2:26">
      <c r="B25" s="176"/>
      <c r="C25" s="186"/>
      <c r="D25" s="172"/>
      <c r="E25" s="23">
        <v>753</v>
      </c>
      <c r="F25" s="23">
        <f>DEMANDA_PREVISIÓN!E757</f>
        <v>48</v>
      </c>
      <c r="G25" s="101"/>
      <c r="H25" s="23">
        <f>H24-F25</f>
        <v>152</v>
      </c>
      <c r="I25" s="23"/>
      <c r="J25" s="128">
        <v>200</v>
      </c>
      <c r="K25" s="101"/>
      <c r="L25" s="128">
        <v>200</v>
      </c>
      <c r="M25" s="142">
        <v>1200</v>
      </c>
      <c r="Y25" s="141">
        <v>11.137615740740801</v>
      </c>
      <c r="Z25" s="174"/>
    </row>
    <row r="26" spans="2:26">
      <c r="B26" s="176"/>
      <c r="C26" s="186"/>
      <c r="D26" s="172"/>
      <c r="E26" s="23">
        <v>754</v>
      </c>
      <c r="F26" s="23">
        <f>DEMANDA_PREVISIÓN!E758</f>
        <v>50</v>
      </c>
      <c r="G26" s="101"/>
      <c r="H26" s="23">
        <f>H25-F26</f>
        <v>102</v>
      </c>
      <c r="I26" s="23"/>
      <c r="J26" s="128">
        <v>200</v>
      </c>
      <c r="K26" s="101"/>
      <c r="L26" s="128">
        <v>200</v>
      </c>
      <c r="M26" s="142">
        <v>1200</v>
      </c>
      <c r="Y26" s="141">
        <v>11.147222222222201</v>
      </c>
      <c r="Z26" s="174"/>
    </row>
    <row r="27" spans="2:26">
      <c r="B27" s="176"/>
      <c r="C27" s="186"/>
      <c r="D27" s="172"/>
      <c r="E27" s="23">
        <v>755</v>
      </c>
      <c r="F27" s="23">
        <f>DEMANDA_PREVISIÓN!E759</f>
        <v>38</v>
      </c>
      <c r="G27" s="101"/>
      <c r="H27" s="23">
        <f>H26-F27</f>
        <v>64</v>
      </c>
      <c r="I27" s="128">
        <v>200</v>
      </c>
      <c r="J27" s="128">
        <v>200</v>
      </c>
      <c r="K27" s="101"/>
      <c r="L27" s="128">
        <v>200</v>
      </c>
      <c r="M27" s="142">
        <v>1200</v>
      </c>
      <c r="Y27" s="141">
        <v>11.156828703703701</v>
      </c>
      <c r="Z27" s="174"/>
    </row>
    <row r="28" spans="2:26">
      <c r="B28" s="176"/>
      <c r="C28" s="186"/>
      <c r="D28" s="172"/>
      <c r="E28" s="23">
        <v>756</v>
      </c>
      <c r="F28" s="23">
        <f>DEMANDA_PREVISIÓN!E760</f>
        <v>31</v>
      </c>
      <c r="G28" s="101"/>
      <c r="H28" s="23">
        <f>H27-F28</f>
        <v>33</v>
      </c>
      <c r="I28" s="128">
        <v>200</v>
      </c>
      <c r="J28" s="129">
        <v>200</v>
      </c>
      <c r="K28" s="101"/>
      <c r="L28" s="129">
        <v>20</v>
      </c>
      <c r="M28" s="142">
        <v>1200</v>
      </c>
      <c r="Y28" s="141">
        <v>11.1664351851852</v>
      </c>
      <c r="Z28" s="174"/>
    </row>
    <row r="29" spans="2:26">
      <c r="B29" s="176"/>
      <c r="C29" s="186"/>
      <c r="D29" s="172"/>
      <c r="E29" s="23">
        <v>757</v>
      </c>
      <c r="F29" s="23">
        <f>DEMANDA_PREVISIÓN!E761</f>
        <v>41</v>
      </c>
      <c r="G29" s="101"/>
      <c r="H29" s="127">
        <v>0</v>
      </c>
      <c r="I29" s="128">
        <v>200</v>
      </c>
      <c r="J29" s="129">
        <v>200</v>
      </c>
      <c r="K29" s="101"/>
      <c r="L29" s="129">
        <v>20</v>
      </c>
      <c r="M29" s="142">
        <v>1200</v>
      </c>
      <c r="Y29" s="141">
        <v>11.1760416666667</v>
      </c>
      <c r="Z29" s="174"/>
    </row>
    <row r="30" spans="2:26">
      <c r="B30" s="176"/>
      <c r="C30" s="186"/>
      <c r="D30" s="172"/>
      <c r="E30" s="23">
        <v>758</v>
      </c>
      <c r="F30" s="23">
        <f>DEMANDA_PREVISIÓN!E762</f>
        <v>44</v>
      </c>
      <c r="G30" s="101"/>
      <c r="H30" s="127">
        <v>0</v>
      </c>
      <c r="I30" s="128">
        <v>200</v>
      </c>
      <c r="J30" s="129">
        <v>200</v>
      </c>
      <c r="K30" s="101"/>
      <c r="L30" s="129">
        <v>20</v>
      </c>
      <c r="M30" s="142">
        <v>1200</v>
      </c>
      <c r="Y30" s="141">
        <v>11.1856481481482</v>
      </c>
      <c r="Z30" s="174"/>
    </row>
    <row r="31" spans="2:26">
      <c r="B31" s="176"/>
      <c r="C31" s="186"/>
      <c r="D31" s="172"/>
      <c r="E31" s="23">
        <v>759</v>
      </c>
      <c r="F31" s="23">
        <f>DEMANDA_PREVISIÓN!E763</f>
        <v>34</v>
      </c>
      <c r="G31" s="101"/>
      <c r="H31" s="127">
        <v>0</v>
      </c>
      <c r="I31" s="128">
        <v>200</v>
      </c>
      <c r="J31" s="129">
        <v>200</v>
      </c>
      <c r="K31" s="101"/>
      <c r="L31" s="129">
        <v>20</v>
      </c>
      <c r="M31" s="142">
        <v>1200</v>
      </c>
      <c r="Y31" s="141">
        <v>11.1952546296296</v>
      </c>
      <c r="Z31" s="174"/>
    </row>
    <row r="32" spans="2:26">
      <c r="B32" s="176"/>
      <c r="C32" s="186"/>
      <c r="D32" s="172"/>
      <c r="E32" s="23">
        <v>760</v>
      </c>
      <c r="F32" s="23">
        <f>DEMANDA_PREVISIÓN!E764</f>
        <v>34</v>
      </c>
      <c r="G32" s="101"/>
      <c r="H32" s="127">
        <v>0</v>
      </c>
      <c r="I32" s="128">
        <v>200</v>
      </c>
      <c r="J32" s="129">
        <v>200</v>
      </c>
      <c r="K32" s="101"/>
      <c r="L32" s="129">
        <v>20</v>
      </c>
      <c r="M32" s="142">
        <v>1200</v>
      </c>
      <c r="Y32" s="141">
        <v>11.2048611111111</v>
      </c>
      <c r="Z32" s="174"/>
    </row>
    <row r="33" spans="2:26">
      <c r="B33" s="176"/>
      <c r="C33" s="186"/>
      <c r="D33" s="173"/>
      <c r="E33" s="23">
        <v>761</v>
      </c>
      <c r="F33" s="23">
        <f>DEMANDA_PREVISIÓN!E765</f>
        <v>49</v>
      </c>
      <c r="G33" s="101"/>
      <c r="H33" s="127">
        <v>0</v>
      </c>
      <c r="I33" s="128">
        <v>200</v>
      </c>
      <c r="J33" s="129">
        <v>200</v>
      </c>
      <c r="K33" s="101"/>
      <c r="L33" s="129">
        <v>20</v>
      </c>
      <c r="M33" s="142">
        <v>1200</v>
      </c>
      <c r="Y33" s="141">
        <v>11.2144675925926</v>
      </c>
      <c r="Z33" s="174"/>
    </row>
    <row r="34" spans="2:26">
      <c r="B34" s="176"/>
      <c r="C34" s="186"/>
      <c r="D34" s="171" t="s">
        <v>42</v>
      </c>
      <c r="E34" s="23">
        <v>762</v>
      </c>
      <c r="F34" s="23">
        <f>DEMANDA_PREVISIÓN!E766</f>
        <v>41</v>
      </c>
      <c r="G34" s="101"/>
      <c r="H34" s="128">
        <v>200</v>
      </c>
      <c r="I34" s="23"/>
      <c r="J34" s="129">
        <v>200</v>
      </c>
      <c r="K34" s="101"/>
      <c r="L34" s="129">
        <v>20</v>
      </c>
      <c r="M34" s="142">
        <v>1200</v>
      </c>
      <c r="Y34" s="141">
        <v>11.2240740740741</v>
      </c>
      <c r="Z34" s="174"/>
    </row>
    <row r="35" spans="2:26">
      <c r="B35" s="176"/>
      <c r="C35" s="186"/>
      <c r="D35" s="172"/>
      <c r="E35" s="23">
        <v>763</v>
      </c>
      <c r="F35" s="23">
        <f>DEMANDA_PREVISIÓN!E767</f>
        <v>40</v>
      </c>
      <c r="G35" s="101"/>
      <c r="H35" s="23">
        <f>H34-F35</f>
        <v>160</v>
      </c>
      <c r="I35" s="23"/>
      <c r="J35" s="129">
        <v>200</v>
      </c>
      <c r="K35" s="101"/>
      <c r="L35" s="129">
        <v>20</v>
      </c>
      <c r="M35" s="142">
        <v>1200</v>
      </c>
      <c r="Y35" s="141">
        <v>11.233680555555599</v>
      </c>
      <c r="Z35" s="174"/>
    </row>
    <row r="36" spans="2:26">
      <c r="B36" s="176"/>
      <c r="C36" s="186"/>
      <c r="D36" s="172"/>
      <c r="E36" s="23">
        <v>764</v>
      </c>
      <c r="F36" s="23">
        <f>DEMANDA_PREVISIÓN!E768</f>
        <v>46</v>
      </c>
      <c r="G36" s="101"/>
      <c r="H36" s="23">
        <f>H35-F36</f>
        <v>114</v>
      </c>
      <c r="I36" s="23"/>
      <c r="J36" s="129">
        <v>200</v>
      </c>
      <c r="K36" s="101"/>
      <c r="L36" s="129">
        <v>20</v>
      </c>
      <c r="M36" s="142">
        <v>1200</v>
      </c>
      <c r="Y36" s="141">
        <v>11.243287037037099</v>
      </c>
      <c r="Z36" s="174"/>
    </row>
    <row r="37" spans="2:26" ht="16.149999999999999" customHeight="1">
      <c r="B37" s="176"/>
      <c r="C37" s="186"/>
      <c r="D37" s="172"/>
      <c r="E37" s="23">
        <v>765</v>
      </c>
      <c r="F37" s="23">
        <f>DEMANDA_PREVISIÓN!E769</f>
        <v>31</v>
      </c>
      <c r="G37" s="101"/>
      <c r="H37" s="23">
        <f>H36-F37</f>
        <v>83</v>
      </c>
      <c r="I37" s="129">
        <v>200</v>
      </c>
      <c r="J37" s="129">
        <v>200</v>
      </c>
      <c r="K37" s="101"/>
      <c r="L37" s="129">
        <v>20</v>
      </c>
      <c r="M37" s="142">
        <v>1200</v>
      </c>
      <c r="Y37" s="141">
        <v>11.2528935185185</v>
      </c>
      <c r="Z37" s="174"/>
    </row>
    <row r="38" spans="2:26">
      <c r="B38" s="176"/>
      <c r="C38" s="186"/>
      <c r="D38" s="172"/>
      <c r="E38" s="23">
        <v>766</v>
      </c>
      <c r="F38" s="23">
        <f>DEMANDA_PREVISIÓN!E770</f>
        <v>38</v>
      </c>
      <c r="G38" s="101"/>
      <c r="H38" s="23">
        <f>H37-F38</f>
        <v>45</v>
      </c>
      <c r="I38" s="129">
        <v>200</v>
      </c>
      <c r="J38" s="131">
        <v>200</v>
      </c>
      <c r="K38" s="101"/>
      <c r="L38" s="131">
        <v>20</v>
      </c>
      <c r="M38" s="142">
        <v>1200</v>
      </c>
      <c r="Y38" s="141">
        <v>11.262499999999999</v>
      </c>
      <c r="Z38" s="174"/>
    </row>
    <row r="39" spans="2:26">
      <c r="B39" s="176"/>
      <c r="C39" s="186"/>
      <c r="D39" s="172"/>
      <c r="E39" s="23">
        <v>767</v>
      </c>
      <c r="F39" s="23">
        <f>DEMANDA_PREVISIÓN!E771</f>
        <v>39</v>
      </c>
      <c r="G39" s="101"/>
      <c r="H39" s="23">
        <f>H38-F39</f>
        <v>6</v>
      </c>
      <c r="I39" s="129">
        <v>200</v>
      </c>
      <c r="J39" s="131">
        <v>200</v>
      </c>
      <c r="K39" s="101"/>
      <c r="L39" s="131">
        <v>20</v>
      </c>
      <c r="M39" s="142">
        <v>1200</v>
      </c>
      <c r="Y39" s="141">
        <v>11.272106481481501</v>
      </c>
      <c r="Z39" s="174"/>
    </row>
    <row r="40" spans="2:26" ht="16.149999999999999" customHeight="1">
      <c r="B40" s="176"/>
      <c r="C40" s="186"/>
      <c r="D40" s="172"/>
      <c r="E40" s="23">
        <v>768</v>
      </c>
      <c r="F40" s="23">
        <f>DEMANDA_PREVISIÓN!E772</f>
        <v>40</v>
      </c>
      <c r="G40" s="101"/>
      <c r="H40" s="127">
        <v>0</v>
      </c>
      <c r="I40" s="129">
        <v>200</v>
      </c>
      <c r="J40" s="131">
        <v>200</v>
      </c>
      <c r="K40" s="101"/>
      <c r="L40" s="131">
        <v>20</v>
      </c>
      <c r="M40" s="142">
        <v>1200</v>
      </c>
      <c r="Y40" s="141">
        <v>11.281712962963001</v>
      </c>
      <c r="Z40" s="174"/>
    </row>
    <row r="41" spans="2:26">
      <c r="B41" s="176"/>
      <c r="C41" s="186"/>
      <c r="D41" s="172"/>
      <c r="E41" s="23">
        <v>769</v>
      </c>
      <c r="F41" s="23">
        <f>DEMANDA_PREVISIÓN!E773</f>
        <v>48</v>
      </c>
      <c r="G41" s="101"/>
      <c r="H41" s="127">
        <v>0</v>
      </c>
      <c r="I41" s="129">
        <v>200</v>
      </c>
      <c r="J41" s="131">
        <v>200</v>
      </c>
      <c r="K41" s="101"/>
      <c r="L41" s="131">
        <v>20</v>
      </c>
      <c r="M41" s="142">
        <v>1200</v>
      </c>
      <c r="Y41" s="141">
        <v>11.2913194444445</v>
      </c>
      <c r="Z41" s="174"/>
    </row>
    <row r="42" spans="2:26" ht="16.149999999999999" customHeight="1">
      <c r="B42" s="176"/>
      <c r="C42" s="186"/>
      <c r="D42" s="172"/>
      <c r="E42" s="23">
        <v>770</v>
      </c>
      <c r="F42" s="23">
        <f>DEMANDA_PREVISIÓN!E774</f>
        <v>39</v>
      </c>
      <c r="G42" s="101"/>
      <c r="H42" s="127">
        <v>0</v>
      </c>
      <c r="I42" s="129">
        <v>200</v>
      </c>
      <c r="J42" s="131">
        <v>200</v>
      </c>
      <c r="K42" s="101"/>
      <c r="L42" s="131">
        <v>20</v>
      </c>
      <c r="M42" s="142">
        <v>1200</v>
      </c>
      <c r="Y42" s="141">
        <v>11.300925925925901</v>
      </c>
      <c r="Z42" s="174"/>
    </row>
    <row r="43" spans="2:26">
      <c r="B43" s="176"/>
      <c r="C43" s="186"/>
      <c r="D43" s="172"/>
      <c r="E43" s="23">
        <v>771</v>
      </c>
      <c r="F43" s="23">
        <f>DEMANDA_PREVISIÓN!E775</f>
        <v>42</v>
      </c>
      <c r="G43" s="101"/>
      <c r="H43" s="127">
        <v>0</v>
      </c>
      <c r="I43" s="129">
        <v>200</v>
      </c>
      <c r="J43" s="131">
        <v>200</v>
      </c>
      <c r="K43" s="101"/>
      <c r="L43" s="131">
        <v>20</v>
      </c>
      <c r="M43" s="142">
        <v>1200</v>
      </c>
      <c r="Y43" s="141">
        <v>11.310532407407401</v>
      </c>
      <c r="Z43" s="174"/>
    </row>
    <row r="44" spans="2:26">
      <c r="B44" s="176"/>
      <c r="C44" s="186"/>
      <c r="D44" s="172"/>
      <c r="E44" s="23">
        <v>772</v>
      </c>
      <c r="F44" s="23">
        <f>DEMANDA_PREVISIÓN!E776</f>
        <v>43</v>
      </c>
      <c r="G44" s="101"/>
      <c r="H44" s="129">
        <v>200</v>
      </c>
      <c r="I44" s="23"/>
      <c r="J44" s="131">
        <v>200</v>
      </c>
      <c r="K44" s="101"/>
      <c r="L44" s="131">
        <v>20</v>
      </c>
      <c r="M44" s="142">
        <v>1200</v>
      </c>
      <c r="Y44" s="141">
        <v>11.3201388888889</v>
      </c>
      <c r="Z44" s="174"/>
    </row>
    <row r="45" spans="2:26" ht="16.149999999999999" customHeight="1">
      <c r="B45" s="176"/>
      <c r="C45" s="186"/>
      <c r="D45" s="172"/>
      <c r="E45" s="23">
        <v>773</v>
      </c>
      <c r="F45" s="23">
        <f>DEMANDA_PREVISIÓN!E777</f>
        <v>48</v>
      </c>
      <c r="G45" s="101"/>
      <c r="H45" s="23">
        <f>H44-F45</f>
        <v>152</v>
      </c>
      <c r="I45" s="23"/>
      <c r="J45" s="131">
        <v>200</v>
      </c>
      <c r="K45" s="101"/>
      <c r="L45" s="131">
        <v>20</v>
      </c>
      <c r="M45" s="142">
        <v>1200</v>
      </c>
      <c r="Y45" s="141">
        <v>11.3297453703704</v>
      </c>
      <c r="Z45" s="174"/>
    </row>
    <row r="46" spans="2:26">
      <c r="B46" s="176"/>
      <c r="C46" s="186"/>
      <c r="D46" s="172"/>
      <c r="E46" s="23">
        <v>774</v>
      </c>
      <c r="F46" s="23">
        <f>DEMANDA_PREVISIÓN!E778</f>
        <v>45</v>
      </c>
      <c r="G46" s="101"/>
      <c r="H46" s="23">
        <f>H45-F46</f>
        <v>107</v>
      </c>
      <c r="I46" s="23"/>
      <c r="J46" s="131">
        <v>200</v>
      </c>
      <c r="K46" s="101"/>
      <c r="L46" s="131">
        <v>20</v>
      </c>
      <c r="M46" s="142">
        <v>1200</v>
      </c>
      <c r="Y46" s="141">
        <v>11.3393518518519</v>
      </c>
      <c r="Z46" s="174"/>
    </row>
    <row r="47" spans="2:26">
      <c r="B47" s="176"/>
      <c r="C47" s="186"/>
      <c r="D47" s="172"/>
      <c r="E47" s="23">
        <v>775</v>
      </c>
      <c r="F47" s="23">
        <f>DEMANDA_PREVISIÓN!E779</f>
        <v>53</v>
      </c>
      <c r="G47" s="101"/>
      <c r="H47" s="23">
        <f>H46-F47</f>
        <v>54</v>
      </c>
      <c r="I47" s="131">
        <v>200</v>
      </c>
      <c r="J47" s="131">
        <v>200</v>
      </c>
      <c r="K47" s="101"/>
      <c r="L47" s="131">
        <v>20</v>
      </c>
      <c r="M47" s="142">
        <v>1200</v>
      </c>
      <c r="Y47" s="141">
        <v>11.3489583333334</v>
      </c>
      <c r="Z47" s="174"/>
    </row>
    <row r="48" spans="2:26" ht="16.149999999999999" customHeight="1">
      <c r="B48" s="176"/>
      <c r="C48" s="186"/>
      <c r="D48" s="172"/>
      <c r="E48" s="23">
        <v>776</v>
      </c>
      <c r="F48" s="23">
        <f>DEMANDA_PREVISIÓN!E780</f>
        <v>27</v>
      </c>
      <c r="G48" s="101"/>
      <c r="H48" s="23">
        <f>H47-F48</f>
        <v>27</v>
      </c>
      <c r="I48" s="131">
        <v>200</v>
      </c>
      <c r="J48" s="126">
        <v>200</v>
      </c>
      <c r="K48" s="101"/>
      <c r="L48" s="126">
        <v>20</v>
      </c>
      <c r="M48" s="142">
        <v>1200</v>
      </c>
      <c r="Y48" s="141">
        <v>11.3585648148148</v>
      </c>
      <c r="Z48" s="174"/>
    </row>
    <row r="49" spans="2:26">
      <c r="B49" s="176"/>
      <c r="C49" s="186"/>
      <c r="D49" s="172"/>
      <c r="E49" s="23">
        <v>777</v>
      </c>
      <c r="F49" s="23">
        <f>DEMANDA_PREVISIÓN!E781</f>
        <v>38</v>
      </c>
      <c r="G49" s="101"/>
      <c r="H49" s="127">
        <v>0</v>
      </c>
      <c r="I49" s="131">
        <v>200</v>
      </c>
      <c r="J49" s="126">
        <v>200</v>
      </c>
      <c r="K49" s="101"/>
      <c r="L49" s="126">
        <v>20</v>
      </c>
      <c r="M49" s="142">
        <v>1200</v>
      </c>
      <c r="Y49" s="141">
        <v>11.3681712962963</v>
      </c>
      <c r="Z49" s="174"/>
    </row>
    <row r="50" spans="2:26">
      <c r="B50" s="176"/>
      <c r="C50" s="186"/>
      <c r="D50" s="172"/>
      <c r="E50" s="23">
        <v>778</v>
      </c>
      <c r="F50" s="23">
        <f>DEMANDA_PREVISIÓN!E782</f>
        <v>40</v>
      </c>
      <c r="G50" s="101"/>
      <c r="H50" s="127">
        <v>0</v>
      </c>
      <c r="I50" s="131">
        <v>200</v>
      </c>
      <c r="J50" s="126">
        <v>200</v>
      </c>
      <c r="K50" s="101"/>
      <c r="L50" s="126">
        <v>20</v>
      </c>
      <c r="M50" s="142">
        <v>1200</v>
      </c>
      <c r="Y50" s="141">
        <v>11.3777777777778</v>
      </c>
      <c r="Z50" s="174"/>
    </row>
    <row r="51" spans="2:26">
      <c r="B51" s="176"/>
      <c r="C51" s="186"/>
      <c r="D51" s="172"/>
      <c r="E51" s="23">
        <v>779</v>
      </c>
      <c r="F51" s="23">
        <f>DEMANDA_PREVISIÓN!E783</f>
        <v>38</v>
      </c>
      <c r="G51" s="101"/>
      <c r="H51" s="127">
        <v>0</v>
      </c>
      <c r="I51" s="131">
        <v>200</v>
      </c>
      <c r="J51" s="126">
        <v>200</v>
      </c>
      <c r="K51" s="101"/>
      <c r="L51" s="126">
        <v>20</v>
      </c>
      <c r="M51" s="142">
        <v>1200</v>
      </c>
      <c r="Y51" s="141">
        <v>11.387384259259299</v>
      </c>
      <c r="Z51" s="174"/>
    </row>
    <row r="52" spans="2:26">
      <c r="B52" s="176"/>
      <c r="C52" s="186"/>
      <c r="D52" s="172"/>
      <c r="E52" s="23">
        <v>780</v>
      </c>
      <c r="F52" s="23">
        <f>DEMANDA_PREVISIÓN!E784</f>
        <v>40</v>
      </c>
      <c r="G52" s="101"/>
      <c r="H52" s="127">
        <v>0</v>
      </c>
      <c r="I52" s="131">
        <v>200</v>
      </c>
      <c r="J52" s="126">
        <v>200</v>
      </c>
      <c r="K52" s="101"/>
      <c r="L52" s="126">
        <v>20</v>
      </c>
      <c r="M52" s="142">
        <v>1200</v>
      </c>
      <c r="Y52" s="141">
        <v>11.396990740740801</v>
      </c>
      <c r="Z52" s="174"/>
    </row>
    <row r="53" spans="2:26">
      <c r="B53" s="176"/>
      <c r="C53" s="186"/>
      <c r="D53" s="172"/>
      <c r="E53" s="23">
        <v>781</v>
      </c>
      <c r="F53" s="23">
        <f>DEMANDA_PREVISIÓN!E785</f>
        <v>36</v>
      </c>
      <c r="G53" s="101"/>
      <c r="H53" s="127">
        <v>0</v>
      </c>
      <c r="I53" s="131">
        <v>200</v>
      </c>
      <c r="J53" s="126">
        <v>200</v>
      </c>
      <c r="K53" s="101"/>
      <c r="L53" s="126">
        <v>20</v>
      </c>
      <c r="M53" s="142">
        <v>1200</v>
      </c>
      <c r="Y53" s="141">
        <v>11.406597222222199</v>
      </c>
      <c r="Z53" s="174"/>
    </row>
    <row r="54" spans="2:26">
      <c r="B54" s="176"/>
      <c r="C54" s="186"/>
      <c r="D54" s="172"/>
      <c r="E54" s="23">
        <v>782</v>
      </c>
      <c r="F54" s="23">
        <f>DEMANDA_PREVISIÓN!E786</f>
        <v>45</v>
      </c>
      <c r="G54" s="101"/>
      <c r="H54" s="131">
        <v>200</v>
      </c>
      <c r="I54" s="23"/>
      <c r="J54" s="126">
        <v>200</v>
      </c>
      <c r="K54" s="101"/>
      <c r="L54" s="126">
        <v>20</v>
      </c>
      <c r="M54" s="142">
        <v>1200</v>
      </c>
      <c r="Y54" s="141">
        <v>11.416203703703699</v>
      </c>
      <c r="Z54" s="174"/>
    </row>
    <row r="55" spans="2:26">
      <c r="B55" s="176"/>
      <c r="C55" s="186"/>
      <c r="D55" s="172"/>
      <c r="E55" s="23">
        <v>783</v>
      </c>
      <c r="F55" s="23">
        <f>DEMANDA_PREVISIÓN!E787</f>
        <v>38</v>
      </c>
      <c r="G55" s="101"/>
      <c r="H55" s="23">
        <f>H54-F55</f>
        <v>162</v>
      </c>
      <c r="I55" s="23"/>
      <c r="J55" s="126">
        <v>200</v>
      </c>
      <c r="K55" s="101"/>
      <c r="L55" s="126">
        <v>20</v>
      </c>
      <c r="M55" s="142">
        <v>1200</v>
      </c>
      <c r="Y55" s="141">
        <v>11.425810185185201</v>
      </c>
      <c r="Z55" s="174"/>
    </row>
    <row r="56" spans="2:26">
      <c r="B56" s="176"/>
      <c r="C56" s="186"/>
      <c r="D56" s="172"/>
      <c r="E56" s="23">
        <v>784</v>
      </c>
      <c r="F56" s="23">
        <f>DEMANDA_PREVISIÓN!E788</f>
        <v>36</v>
      </c>
      <c r="G56" s="101"/>
      <c r="H56" s="23">
        <f>H55-F56</f>
        <v>126</v>
      </c>
      <c r="I56" s="23"/>
      <c r="J56" s="126">
        <v>200</v>
      </c>
      <c r="K56" s="101"/>
      <c r="L56" s="126">
        <v>20</v>
      </c>
      <c r="M56" s="142">
        <v>1200</v>
      </c>
      <c r="Y56" s="141">
        <v>11.435416666666701</v>
      </c>
      <c r="Z56" s="174"/>
    </row>
    <row r="57" spans="2:26">
      <c r="B57" s="176"/>
      <c r="C57" s="186"/>
      <c r="D57" s="172"/>
      <c r="E57" s="23">
        <v>785</v>
      </c>
      <c r="F57" s="23">
        <f>DEMANDA_PREVISIÓN!E789</f>
        <v>51</v>
      </c>
      <c r="G57" s="101"/>
      <c r="H57" s="23">
        <f>H56-F57</f>
        <v>75</v>
      </c>
      <c r="I57" s="126">
        <v>200</v>
      </c>
      <c r="J57" s="126">
        <v>200</v>
      </c>
      <c r="K57" s="101"/>
      <c r="L57" s="126">
        <v>20</v>
      </c>
      <c r="M57" s="142">
        <v>1200</v>
      </c>
      <c r="Y57" s="141">
        <v>11.4450231481482</v>
      </c>
      <c r="Z57" s="174"/>
    </row>
    <row r="58" spans="2:26">
      <c r="B58" s="176"/>
      <c r="C58" s="186"/>
      <c r="D58" s="172"/>
      <c r="E58" s="23">
        <v>786</v>
      </c>
      <c r="F58" s="23">
        <f>DEMANDA_PREVISIÓN!E790</f>
        <v>45</v>
      </c>
      <c r="G58" s="101"/>
      <c r="H58" s="23">
        <f>H57-F58</f>
        <v>30</v>
      </c>
      <c r="I58" s="126">
        <v>200</v>
      </c>
      <c r="J58" s="132">
        <v>200</v>
      </c>
      <c r="K58" s="101"/>
      <c r="L58" s="132">
        <v>20</v>
      </c>
      <c r="M58" s="142">
        <v>1200</v>
      </c>
      <c r="Y58" s="141">
        <v>11.4546296296297</v>
      </c>
      <c r="Z58" s="174"/>
    </row>
    <row r="59" spans="2:26">
      <c r="B59" s="176"/>
      <c r="C59" s="186"/>
      <c r="D59" s="172"/>
      <c r="E59" s="23">
        <v>787</v>
      </c>
      <c r="F59" s="23">
        <f>DEMANDA_PREVISIÓN!E791</f>
        <v>36</v>
      </c>
      <c r="G59" s="101"/>
      <c r="H59" s="127">
        <v>0</v>
      </c>
      <c r="I59" s="126">
        <v>200</v>
      </c>
      <c r="J59" s="132">
        <v>200</v>
      </c>
      <c r="K59" s="101"/>
      <c r="L59" s="132">
        <v>20</v>
      </c>
      <c r="M59" s="142">
        <v>1200</v>
      </c>
      <c r="Y59" s="141">
        <v>11.4642361111111</v>
      </c>
      <c r="Z59" s="174"/>
    </row>
    <row r="60" spans="2:26">
      <c r="B60" s="176"/>
      <c r="C60" s="186"/>
      <c r="D60" s="172"/>
      <c r="E60" s="23">
        <v>788</v>
      </c>
      <c r="F60" s="23">
        <f>DEMANDA_PREVISIÓN!E792</f>
        <v>40</v>
      </c>
      <c r="G60" s="101"/>
      <c r="H60" s="127">
        <v>0</v>
      </c>
      <c r="I60" s="126">
        <v>200</v>
      </c>
      <c r="J60" s="132">
        <v>200</v>
      </c>
      <c r="K60" s="101"/>
      <c r="L60" s="132">
        <v>20</v>
      </c>
      <c r="M60" s="142">
        <v>1200</v>
      </c>
      <c r="Y60" s="141">
        <v>11.4738425925926</v>
      </c>
      <c r="Z60" s="174"/>
    </row>
    <row r="61" spans="2:26">
      <c r="B61" s="176"/>
      <c r="C61" s="186"/>
      <c r="D61" s="173"/>
      <c r="E61" s="23">
        <v>789</v>
      </c>
      <c r="F61" s="23">
        <f>DEMANDA_PREVISIÓN!E793</f>
        <v>42</v>
      </c>
      <c r="G61" s="101"/>
      <c r="H61" s="127">
        <v>0</v>
      </c>
      <c r="I61" s="126">
        <v>200</v>
      </c>
      <c r="J61" s="132">
        <v>200</v>
      </c>
      <c r="K61" s="101"/>
      <c r="L61" s="132">
        <v>20</v>
      </c>
      <c r="M61" s="142">
        <v>1200</v>
      </c>
      <c r="Y61" s="141">
        <v>11.4834490740741</v>
      </c>
      <c r="Z61" s="174"/>
    </row>
    <row r="62" spans="2:26">
      <c r="B62" s="176"/>
      <c r="C62" s="186"/>
      <c r="D62" s="171" t="s">
        <v>43</v>
      </c>
      <c r="E62" s="23">
        <v>790</v>
      </c>
      <c r="F62" s="23">
        <f>DEMANDA_PREVISIÓN!E794</f>
        <v>39</v>
      </c>
      <c r="G62" s="101"/>
      <c r="H62" s="127">
        <v>0</v>
      </c>
      <c r="I62" s="126">
        <v>200</v>
      </c>
      <c r="J62" s="132">
        <v>200</v>
      </c>
      <c r="K62" s="101"/>
      <c r="L62" s="132">
        <v>20</v>
      </c>
      <c r="M62" s="142">
        <v>1200</v>
      </c>
      <c r="Y62" s="141">
        <v>11.4930555555556</v>
      </c>
      <c r="Z62" s="174"/>
    </row>
    <row r="63" spans="2:26">
      <c r="B63" s="176"/>
      <c r="C63" s="186"/>
      <c r="D63" s="172"/>
      <c r="E63" s="23">
        <v>791</v>
      </c>
      <c r="F63" s="23">
        <f>DEMANDA_PREVISIÓN!E795</f>
        <v>37</v>
      </c>
      <c r="G63" s="101"/>
      <c r="H63" s="127">
        <v>0</v>
      </c>
      <c r="I63" s="126">
        <v>200</v>
      </c>
      <c r="J63" s="132">
        <v>200</v>
      </c>
      <c r="K63" s="101"/>
      <c r="L63" s="132">
        <v>20</v>
      </c>
      <c r="M63" s="142">
        <v>1200</v>
      </c>
      <c r="Y63" s="141">
        <v>11.5026620370371</v>
      </c>
      <c r="Z63" s="174"/>
    </row>
    <row r="64" spans="2:26">
      <c r="B64" s="176"/>
      <c r="C64" s="186"/>
      <c r="D64" s="172"/>
      <c r="E64" s="23">
        <v>792</v>
      </c>
      <c r="F64" s="23">
        <f>DEMANDA_PREVISIÓN!E796</f>
        <v>35</v>
      </c>
      <c r="G64" s="101"/>
      <c r="H64" s="126">
        <v>200</v>
      </c>
      <c r="I64" s="23"/>
      <c r="J64" s="132">
        <v>200</v>
      </c>
      <c r="K64" s="101"/>
      <c r="L64" s="132">
        <v>20</v>
      </c>
      <c r="M64" s="142">
        <v>1200</v>
      </c>
      <c r="Y64" s="141">
        <v>11.512268518518599</v>
      </c>
      <c r="Z64" s="174"/>
    </row>
    <row r="65" spans="2:26">
      <c r="B65" s="176"/>
      <c r="C65" s="186"/>
      <c r="D65" s="172"/>
      <c r="E65" s="23">
        <v>793</v>
      </c>
      <c r="F65" s="23">
        <f>DEMANDA_PREVISIÓN!E797</f>
        <v>39</v>
      </c>
      <c r="G65" s="101"/>
      <c r="H65" s="23">
        <f>H64-F65</f>
        <v>161</v>
      </c>
      <c r="I65" s="23"/>
      <c r="J65" s="132">
        <v>200</v>
      </c>
      <c r="K65" s="101"/>
      <c r="L65" s="132">
        <v>20</v>
      </c>
      <c r="M65" s="142">
        <v>1200</v>
      </c>
      <c r="Y65" s="141">
        <v>11.521875</v>
      </c>
      <c r="Z65" s="174"/>
    </row>
    <row r="66" spans="2:26">
      <c r="B66" s="176"/>
      <c r="C66" s="186"/>
      <c r="D66" s="172"/>
      <c r="E66" s="23">
        <v>794</v>
      </c>
      <c r="F66" s="23">
        <f>DEMANDA_PREVISIÓN!E798</f>
        <v>39</v>
      </c>
      <c r="G66" s="101"/>
      <c r="H66" s="23">
        <f>H65-F66</f>
        <v>122</v>
      </c>
      <c r="I66" s="23"/>
      <c r="J66" s="132">
        <v>200</v>
      </c>
      <c r="K66" s="101"/>
      <c r="L66" s="132">
        <v>20</v>
      </c>
      <c r="M66" s="142">
        <v>1200</v>
      </c>
      <c r="Y66" s="141">
        <v>11.531481481481499</v>
      </c>
      <c r="Z66" s="174"/>
    </row>
    <row r="67" spans="2:26">
      <c r="B67" s="176"/>
      <c r="C67" s="186"/>
      <c r="D67" s="172"/>
      <c r="E67" s="23">
        <v>795</v>
      </c>
      <c r="F67" s="23">
        <f>DEMANDA_PREVISIÓN!E799</f>
        <v>45</v>
      </c>
      <c r="G67" s="101"/>
      <c r="H67" s="23">
        <f>H66-F67</f>
        <v>77</v>
      </c>
      <c r="I67" s="132">
        <v>200</v>
      </c>
      <c r="J67" s="132">
        <v>200</v>
      </c>
      <c r="K67" s="101"/>
      <c r="L67" s="132">
        <v>20</v>
      </c>
      <c r="M67" s="142">
        <v>1200</v>
      </c>
      <c r="Y67" s="141">
        <v>11.541087962962999</v>
      </c>
      <c r="Z67" s="174"/>
    </row>
    <row r="68" spans="2:26">
      <c r="B68" s="176"/>
      <c r="C68" s="186"/>
      <c r="D68" s="172"/>
      <c r="E68" s="23">
        <v>796</v>
      </c>
      <c r="F68" s="23">
        <f>DEMANDA_PREVISIÓN!E800</f>
        <v>34</v>
      </c>
      <c r="G68" s="101"/>
      <c r="H68" s="23">
        <f>H67-F68</f>
        <v>43</v>
      </c>
      <c r="I68" s="132">
        <v>200</v>
      </c>
      <c r="J68" s="128">
        <v>200</v>
      </c>
      <c r="K68" s="101"/>
      <c r="L68" s="128">
        <v>20</v>
      </c>
      <c r="M68" s="142">
        <v>1200</v>
      </c>
      <c r="Y68" s="141">
        <v>11.550694444444501</v>
      </c>
      <c r="Z68" s="174"/>
    </row>
    <row r="69" spans="2:26">
      <c r="B69" s="176"/>
      <c r="C69" s="186"/>
      <c r="D69" s="172"/>
      <c r="E69" s="23">
        <v>797</v>
      </c>
      <c r="F69" s="23">
        <f>DEMANDA_PREVISIÓN!E801</f>
        <v>51</v>
      </c>
      <c r="G69" s="101"/>
      <c r="H69" s="127">
        <v>0</v>
      </c>
      <c r="I69" s="132">
        <v>200</v>
      </c>
      <c r="J69" s="128">
        <v>200</v>
      </c>
      <c r="K69" s="101"/>
      <c r="L69" s="128">
        <v>20</v>
      </c>
      <c r="M69" s="142">
        <v>1200</v>
      </c>
      <c r="Y69" s="141">
        <v>11.560300925926001</v>
      </c>
      <c r="Z69" s="174"/>
    </row>
    <row r="70" spans="2:26">
      <c r="B70" s="176"/>
      <c r="C70" s="186"/>
      <c r="D70" s="172"/>
      <c r="E70" s="23">
        <v>798</v>
      </c>
      <c r="F70" s="23">
        <f>DEMANDA_PREVISIÓN!E802</f>
        <v>36</v>
      </c>
      <c r="G70" s="101"/>
      <c r="H70" s="127">
        <v>0</v>
      </c>
      <c r="I70" s="132">
        <v>200</v>
      </c>
      <c r="J70" s="128">
        <v>200</v>
      </c>
      <c r="K70" s="101"/>
      <c r="L70" s="128">
        <v>20</v>
      </c>
      <c r="M70" s="142">
        <v>1200</v>
      </c>
      <c r="Y70" s="141">
        <v>11.569907407407401</v>
      </c>
      <c r="Z70" s="174"/>
    </row>
    <row r="71" spans="2:26">
      <c r="B71" s="176"/>
      <c r="C71" s="186"/>
      <c r="D71" s="172"/>
      <c r="E71" s="23">
        <v>799</v>
      </c>
      <c r="F71" s="23">
        <f>DEMANDA_PREVISIÓN!E803</f>
        <v>37</v>
      </c>
      <c r="G71" s="101"/>
      <c r="H71" s="127">
        <v>0</v>
      </c>
      <c r="I71" s="132">
        <v>200</v>
      </c>
      <c r="J71" s="128">
        <v>200</v>
      </c>
      <c r="K71" s="101"/>
      <c r="L71" s="128">
        <v>20</v>
      </c>
      <c r="M71" s="142">
        <v>1200</v>
      </c>
      <c r="Y71" s="141">
        <v>11.579513888888901</v>
      </c>
      <c r="Z71" s="174"/>
    </row>
    <row r="72" spans="2:26">
      <c r="B72" s="176"/>
      <c r="C72" s="186"/>
      <c r="D72" s="172"/>
      <c r="E72" s="23">
        <v>800</v>
      </c>
      <c r="F72" s="23">
        <f>DEMANDA_PREVISIÓN!E804</f>
        <v>47</v>
      </c>
      <c r="G72" s="101"/>
      <c r="H72" s="127">
        <v>0</v>
      </c>
      <c r="I72" s="132">
        <v>200</v>
      </c>
      <c r="J72" s="128">
        <v>200</v>
      </c>
      <c r="K72" s="101"/>
      <c r="L72" s="128">
        <v>20</v>
      </c>
      <c r="M72" s="142">
        <v>1200</v>
      </c>
      <c r="Y72" s="141">
        <v>11.5891203703704</v>
      </c>
      <c r="Z72" s="174"/>
    </row>
    <row r="73" spans="2:26">
      <c r="B73" s="176"/>
      <c r="C73" s="186"/>
      <c r="D73" s="172"/>
      <c r="E73" s="23">
        <v>801</v>
      </c>
      <c r="F73" s="23">
        <f>DEMANDA_PREVISIÓN!E805</f>
        <v>41</v>
      </c>
      <c r="G73" s="101"/>
      <c r="H73" s="127">
        <v>0</v>
      </c>
      <c r="I73" s="132">
        <v>200</v>
      </c>
      <c r="J73" s="128">
        <v>200</v>
      </c>
      <c r="K73" s="101"/>
      <c r="L73" s="128">
        <v>20</v>
      </c>
      <c r="M73" s="142">
        <v>1200</v>
      </c>
      <c r="Y73" s="141">
        <v>11.5987268518519</v>
      </c>
      <c r="Z73" s="174"/>
    </row>
    <row r="74" spans="2:26">
      <c r="B74" s="176"/>
      <c r="C74" s="186"/>
      <c r="D74" s="172"/>
      <c r="E74" s="23">
        <v>802</v>
      </c>
      <c r="F74" s="23">
        <f>DEMANDA_PREVISIÓN!E806</f>
        <v>41</v>
      </c>
      <c r="G74" s="101"/>
      <c r="H74" s="132">
        <v>200</v>
      </c>
      <c r="I74" s="23"/>
      <c r="J74" s="128">
        <v>200</v>
      </c>
      <c r="K74" s="101"/>
      <c r="L74" s="128">
        <v>20</v>
      </c>
      <c r="M74" s="142">
        <v>1200</v>
      </c>
      <c r="Y74" s="141">
        <v>11.6083333333334</v>
      </c>
      <c r="Z74" s="174"/>
    </row>
    <row r="75" spans="2:26">
      <c r="B75" s="176"/>
      <c r="C75" s="186"/>
      <c r="D75" s="172"/>
      <c r="E75" s="23">
        <v>803</v>
      </c>
      <c r="F75" s="23">
        <f>DEMANDA_PREVISIÓN!E807</f>
        <v>42</v>
      </c>
      <c r="G75" s="101"/>
      <c r="H75" s="23">
        <f>H74-F75</f>
        <v>158</v>
      </c>
      <c r="I75" s="23"/>
      <c r="J75" s="128">
        <v>200</v>
      </c>
      <c r="K75" s="101"/>
      <c r="L75" s="128">
        <v>20</v>
      </c>
      <c r="M75" s="142">
        <v>1200</v>
      </c>
      <c r="Y75" s="141">
        <v>11.6179398148149</v>
      </c>
      <c r="Z75" s="174"/>
    </row>
    <row r="76" spans="2:26">
      <c r="B76" s="176"/>
      <c r="C76" s="186"/>
      <c r="D76" s="172"/>
      <c r="E76" s="23">
        <v>804</v>
      </c>
      <c r="F76" s="23">
        <f>DEMANDA_PREVISIÓN!E808</f>
        <v>48</v>
      </c>
      <c r="G76" s="101"/>
      <c r="H76" s="23">
        <f>H75-F76</f>
        <v>110</v>
      </c>
      <c r="I76" s="23"/>
      <c r="J76" s="128">
        <v>200</v>
      </c>
      <c r="K76" s="101"/>
      <c r="L76" s="128">
        <v>20</v>
      </c>
      <c r="M76" s="142">
        <v>1200</v>
      </c>
      <c r="Y76" s="141">
        <v>11.6275462962963</v>
      </c>
      <c r="Z76" s="174"/>
    </row>
    <row r="77" spans="2:26">
      <c r="B77" s="176"/>
      <c r="C77" s="186"/>
      <c r="D77" s="172"/>
      <c r="E77" s="23">
        <v>805</v>
      </c>
      <c r="F77" s="23">
        <f>DEMANDA_PREVISIÓN!E809</f>
        <v>55</v>
      </c>
      <c r="G77" s="101"/>
      <c r="H77" s="23">
        <f>H76-F77</f>
        <v>55</v>
      </c>
      <c r="I77" s="128">
        <v>200</v>
      </c>
      <c r="J77" s="128">
        <v>200</v>
      </c>
      <c r="K77" s="101"/>
      <c r="L77" s="128">
        <v>20</v>
      </c>
      <c r="M77" s="142">
        <v>1200</v>
      </c>
      <c r="Y77" s="141">
        <v>11.6371527777778</v>
      </c>
      <c r="Z77" s="174"/>
    </row>
    <row r="78" spans="2:26">
      <c r="B78" s="176"/>
      <c r="C78" s="186"/>
      <c r="D78" s="172"/>
      <c r="E78" s="23">
        <v>806</v>
      </c>
      <c r="F78" s="23">
        <f>DEMANDA_PREVISIÓN!E810</f>
        <v>50</v>
      </c>
      <c r="G78" s="101"/>
      <c r="H78" s="23">
        <f>H77-F78</f>
        <v>5</v>
      </c>
      <c r="I78" s="128">
        <v>200</v>
      </c>
      <c r="J78" s="133">
        <v>200</v>
      </c>
      <c r="K78" s="101"/>
      <c r="L78" s="133">
        <v>20</v>
      </c>
      <c r="M78" s="142">
        <v>1200</v>
      </c>
      <c r="Y78" s="141">
        <v>11.6467592592593</v>
      </c>
      <c r="Z78" s="174"/>
    </row>
    <row r="79" spans="2:26">
      <c r="B79" s="176"/>
      <c r="C79" s="186"/>
      <c r="D79" s="172"/>
      <c r="E79" s="23">
        <v>807</v>
      </c>
      <c r="F79" s="23">
        <f>DEMANDA_PREVISIÓN!E811</f>
        <v>44</v>
      </c>
      <c r="G79" s="101"/>
      <c r="H79" s="127">
        <v>0</v>
      </c>
      <c r="I79" s="128">
        <v>200</v>
      </c>
      <c r="J79" s="133">
        <v>200</v>
      </c>
      <c r="K79" s="101"/>
      <c r="L79" s="133">
        <v>20</v>
      </c>
      <c r="M79" s="142">
        <v>1200</v>
      </c>
      <c r="Y79" s="141">
        <v>11.656365740740799</v>
      </c>
      <c r="Z79" s="174"/>
    </row>
    <row r="80" spans="2:26">
      <c r="B80" s="176"/>
      <c r="C80" s="186"/>
      <c r="D80" s="172"/>
      <c r="E80" s="23">
        <v>808</v>
      </c>
      <c r="F80" s="23">
        <f>DEMANDA_PREVISIÓN!E812</f>
        <v>41</v>
      </c>
      <c r="G80" s="101"/>
      <c r="H80" s="127">
        <v>0</v>
      </c>
      <c r="I80" s="128">
        <v>200</v>
      </c>
      <c r="J80" s="133">
        <v>200</v>
      </c>
      <c r="K80" s="101"/>
      <c r="L80" s="133">
        <v>20</v>
      </c>
      <c r="M80" s="142">
        <v>1200</v>
      </c>
      <c r="Y80" s="141">
        <v>11.665972222222299</v>
      </c>
      <c r="Z80" s="174"/>
    </row>
    <row r="81" spans="2:26">
      <c r="B81" s="176"/>
      <c r="C81" s="186"/>
      <c r="D81" s="172"/>
      <c r="E81" s="23">
        <v>809</v>
      </c>
      <c r="F81" s="23">
        <f>DEMANDA_PREVISIÓN!E813</f>
        <v>38</v>
      </c>
      <c r="G81" s="101"/>
      <c r="H81" s="127">
        <v>0</v>
      </c>
      <c r="I81" s="128">
        <v>200</v>
      </c>
      <c r="J81" s="133">
        <v>200</v>
      </c>
      <c r="K81" s="101"/>
      <c r="L81" s="133">
        <v>20</v>
      </c>
      <c r="M81" s="142">
        <v>1200</v>
      </c>
      <c r="Y81" s="141">
        <v>11.6755787037037</v>
      </c>
      <c r="Z81" s="174"/>
    </row>
    <row r="82" spans="2:26">
      <c r="B82" s="176"/>
      <c r="C82" s="186"/>
      <c r="D82" s="172"/>
      <c r="E82" s="23">
        <v>810</v>
      </c>
      <c r="F82" s="23">
        <f>DEMANDA_PREVISIÓN!E814</f>
        <v>44</v>
      </c>
      <c r="G82" s="101"/>
      <c r="H82" s="127">
        <v>0</v>
      </c>
      <c r="I82" s="128">
        <v>200</v>
      </c>
      <c r="J82" s="133">
        <v>200</v>
      </c>
      <c r="K82" s="101"/>
      <c r="L82" s="133">
        <v>20</v>
      </c>
      <c r="M82" s="142">
        <v>1200</v>
      </c>
      <c r="Y82" s="141">
        <v>11.685185185185199</v>
      </c>
      <c r="Z82" s="174"/>
    </row>
    <row r="83" spans="2:26">
      <c r="B83" s="176"/>
      <c r="C83" s="186"/>
      <c r="D83" s="172"/>
      <c r="E83" s="23">
        <v>811</v>
      </c>
      <c r="F83" s="23">
        <f>DEMANDA_PREVISIÓN!E815</f>
        <v>39</v>
      </c>
      <c r="G83" s="101"/>
      <c r="H83" s="127">
        <v>0</v>
      </c>
      <c r="I83" s="128">
        <v>200</v>
      </c>
      <c r="J83" s="133">
        <v>200</v>
      </c>
      <c r="K83" s="101"/>
      <c r="L83" s="133">
        <v>20</v>
      </c>
      <c r="M83" s="142">
        <v>1200</v>
      </c>
      <c r="Y83" s="141">
        <v>11.694791666666699</v>
      </c>
      <c r="Z83" s="174"/>
    </row>
    <row r="84" spans="2:26">
      <c r="B84" s="176"/>
      <c r="C84" s="186"/>
      <c r="D84" s="172"/>
      <c r="E84" s="23">
        <v>812</v>
      </c>
      <c r="F84" s="23">
        <f>DEMANDA_PREVISIÓN!E816</f>
        <v>52</v>
      </c>
      <c r="G84" s="101"/>
      <c r="H84" s="128">
        <v>200</v>
      </c>
      <c r="I84" s="23"/>
      <c r="J84" s="133">
        <v>200</v>
      </c>
      <c r="K84" s="101"/>
      <c r="L84" s="133">
        <v>20</v>
      </c>
      <c r="M84" s="142">
        <v>1200</v>
      </c>
      <c r="Y84" s="141">
        <v>11.704398148148201</v>
      </c>
      <c r="Z84" s="174"/>
    </row>
    <row r="85" spans="2:26">
      <c r="B85" s="176"/>
      <c r="C85" s="186"/>
      <c r="D85" s="172"/>
      <c r="E85" s="23">
        <v>813</v>
      </c>
      <c r="F85" s="23">
        <f>DEMANDA_PREVISIÓN!E817</f>
        <v>47</v>
      </c>
      <c r="G85" s="101"/>
      <c r="H85" s="23">
        <f>H84-F85</f>
        <v>153</v>
      </c>
      <c r="I85" s="23"/>
      <c r="J85" s="133">
        <v>200</v>
      </c>
      <c r="K85" s="101"/>
      <c r="L85" s="133">
        <v>20</v>
      </c>
      <c r="M85" s="142">
        <v>1200</v>
      </c>
      <c r="Y85" s="141">
        <v>11.7140046296297</v>
      </c>
      <c r="Z85" s="174"/>
    </row>
    <row r="86" spans="2:26">
      <c r="B86" s="176"/>
      <c r="C86" s="186"/>
      <c r="D86" s="172"/>
      <c r="E86" s="23">
        <v>814</v>
      </c>
      <c r="F86" s="23">
        <f>DEMANDA_PREVISIÓN!E818</f>
        <v>43</v>
      </c>
      <c r="G86" s="101"/>
      <c r="H86" s="23">
        <f>H85-F86</f>
        <v>110</v>
      </c>
      <c r="I86" s="23"/>
      <c r="J86" s="133">
        <v>200</v>
      </c>
      <c r="K86" s="101"/>
      <c r="L86" s="133">
        <v>20</v>
      </c>
      <c r="M86" s="142">
        <v>1200</v>
      </c>
      <c r="Y86" s="141">
        <v>11.7236111111112</v>
      </c>
      <c r="Z86" s="174"/>
    </row>
    <row r="87" spans="2:26">
      <c r="B87" s="176"/>
      <c r="C87" s="186"/>
      <c r="D87" s="172"/>
      <c r="E87" s="23">
        <v>815</v>
      </c>
      <c r="F87" s="23">
        <f>DEMANDA_PREVISIÓN!E819</f>
        <v>56</v>
      </c>
      <c r="G87" s="101"/>
      <c r="H87" s="23">
        <f>H86-F87</f>
        <v>54</v>
      </c>
      <c r="I87" s="133">
        <v>200</v>
      </c>
      <c r="J87" s="133">
        <v>200</v>
      </c>
      <c r="K87" s="101"/>
      <c r="L87" s="133">
        <v>20</v>
      </c>
      <c r="M87" s="142">
        <v>1200</v>
      </c>
      <c r="Y87" s="141">
        <v>11.733217592592601</v>
      </c>
      <c r="Z87" s="174"/>
    </row>
    <row r="88" spans="2:26">
      <c r="B88" s="176"/>
      <c r="C88" s="186"/>
      <c r="D88" s="172"/>
      <c r="E88" s="23">
        <v>816</v>
      </c>
      <c r="F88" s="23">
        <f>DEMANDA_PREVISIÓN!E820</f>
        <v>45</v>
      </c>
      <c r="G88" s="101"/>
      <c r="H88" s="23">
        <f>H87-F88</f>
        <v>9</v>
      </c>
      <c r="I88" s="133">
        <v>200</v>
      </c>
      <c r="J88" s="134">
        <v>200</v>
      </c>
      <c r="K88" s="101"/>
      <c r="L88" s="134">
        <v>20</v>
      </c>
      <c r="M88" s="142">
        <v>1200</v>
      </c>
      <c r="Y88" s="141">
        <v>11.7428240740741</v>
      </c>
      <c r="Z88" s="174"/>
    </row>
    <row r="89" spans="2:26">
      <c r="B89" s="176"/>
      <c r="C89" s="186"/>
      <c r="D89" s="172"/>
      <c r="E89" s="23">
        <v>817</v>
      </c>
      <c r="F89" s="23">
        <f>DEMANDA_PREVISIÓN!E821</f>
        <v>49</v>
      </c>
      <c r="G89" s="101"/>
      <c r="H89" s="127">
        <v>0</v>
      </c>
      <c r="I89" s="133">
        <v>200</v>
      </c>
      <c r="J89" s="134">
        <v>200</v>
      </c>
      <c r="K89" s="101"/>
      <c r="L89" s="134">
        <v>20</v>
      </c>
      <c r="M89" s="142">
        <v>1200</v>
      </c>
      <c r="Y89" s="141">
        <v>11.7524305555556</v>
      </c>
      <c r="Z89" s="174"/>
    </row>
    <row r="90" spans="2:26">
      <c r="B90" s="176"/>
      <c r="C90" s="186"/>
      <c r="D90" s="172"/>
      <c r="E90" s="23">
        <v>818</v>
      </c>
      <c r="F90" s="23">
        <f>DEMANDA_PREVISIÓN!E822</f>
        <v>43</v>
      </c>
      <c r="G90" s="101"/>
      <c r="H90" s="127">
        <v>0</v>
      </c>
      <c r="I90" s="133">
        <v>200</v>
      </c>
      <c r="J90" s="134">
        <v>200</v>
      </c>
      <c r="K90" s="101"/>
      <c r="L90" s="134">
        <v>20</v>
      </c>
      <c r="M90" s="142">
        <v>1200</v>
      </c>
      <c r="Y90" s="141">
        <v>11.7620370370371</v>
      </c>
      <c r="Z90" s="174"/>
    </row>
    <row r="91" spans="2:26">
      <c r="B91" s="176"/>
      <c r="C91" s="186"/>
      <c r="D91" s="172"/>
      <c r="E91" s="23">
        <v>819</v>
      </c>
      <c r="F91" s="23">
        <f>DEMANDA_PREVISIÓN!E823</f>
        <v>47</v>
      </c>
      <c r="G91" s="101"/>
      <c r="H91" s="127">
        <v>0</v>
      </c>
      <c r="I91" s="133">
        <v>200</v>
      </c>
      <c r="J91" s="134">
        <v>200</v>
      </c>
      <c r="K91" s="101"/>
      <c r="L91" s="134">
        <v>20</v>
      </c>
      <c r="M91" s="142">
        <v>1200</v>
      </c>
      <c r="Y91" s="141">
        <v>11.7716435185186</v>
      </c>
      <c r="Z91" s="174"/>
    </row>
    <row r="92" spans="2:26">
      <c r="B92" s="176"/>
      <c r="C92" s="186"/>
      <c r="D92" s="173"/>
      <c r="E92" s="135">
        <v>820</v>
      </c>
      <c r="F92" s="136">
        <f>DEMANDA_PREVISIÓN!E824</f>
        <v>44</v>
      </c>
      <c r="G92" s="101"/>
      <c r="H92" s="127">
        <v>0</v>
      </c>
      <c r="I92" s="133">
        <v>200</v>
      </c>
      <c r="J92" s="134">
        <v>200</v>
      </c>
      <c r="K92" s="101"/>
      <c r="L92" s="134">
        <v>20</v>
      </c>
      <c r="M92" s="142">
        <v>1200</v>
      </c>
      <c r="Y92" s="141">
        <v>11.78125</v>
      </c>
      <c r="Z92" s="174"/>
    </row>
    <row r="93" spans="2:26">
      <c r="B93" s="176"/>
      <c r="C93" s="186" t="s">
        <v>44</v>
      </c>
      <c r="D93" s="171" t="s">
        <v>45</v>
      </c>
      <c r="E93" s="23">
        <v>821</v>
      </c>
      <c r="F93" s="23">
        <f>DEMANDA_PREVISIÓN!E825</f>
        <v>42</v>
      </c>
      <c r="G93" s="101"/>
      <c r="H93" s="127">
        <v>0</v>
      </c>
      <c r="I93" s="133">
        <v>200</v>
      </c>
      <c r="J93" s="134">
        <v>200</v>
      </c>
      <c r="K93" s="101"/>
      <c r="L93" s="134">
        <v>20</v>
      </c>
      <c r="M93" s="142">
        <v>1200</v>
      </c>
      <c r="Y93" s="141">
        <v>11.7908564814815</v>
      </c>
      <c r="Z93" s="174"/>
    </row>
    <row r="94" spans="2:26">
      <c r="B94" s="176"/>
      <c r="C94" s="186"/>
      <c r="D94" s="172"/>
      <c r="E94" s="23">
        <v>822</v>
      </c>
      <c r="F94" s="23">
        <f>DEMANDA_PREVISIÓN!E826</f>
        <v>49</v>
      </c>
      <c r="G94" s="101"/>
      <c r="H94" s="133">
        <f>I93</f>
        <v>200</v>
      </c>
      <c r="I94" s="23"/>
      <c r="J94" s="134">
        <v>200</v>
      </c>
      <c r="K94" s="101"/>
      <c r="L94" s="134">
        <v>20</v>
      </c>
      <c r="M94" s="142">
        <v>1200</v>
      </c>
      <c r="Y94" s="141">
        <v>11.800462962963</v>
      </c>
      <c r="Z94" s="174"/>
    </row>
    <row r="95" spans="2:26">
      <c r="B95" s="176"/>
      <c r="C95" s="186"/>
      <c r="D95" s="172"/>
      <c r="E95" s="23">
        <v>823</v>
      </c>
      <c r="F95" s="23">
        <f>DEMANDA_PREVISIÓN!E827</f>
        <v>43</v>
      </c>
      <c r="G95" s="101"/>
      <c r="H95" s="23">
        <f>H94-F95</f>
        <v>157</v>
      </c>
      <c r="I95" s="23"/>
      <c r="J95" s="134">
        <v>200</v>
      </c>
      <c r="K95" s="101"/>
      <c r="L95" s="134">
        <v>20</v>
      </c>
      <c r="M95" s="142">
        <v>1200</v>
      </c>
      <c r="Y95" s="141">
        <v>11.810069444444499</v>
      </c>
      <c r="Z95" s="174"/>
    </row>
    <row r="96" spans="2:26">
      <c r="B96" s="176"/>
      <c r="C96" s="186"/>
      <c r="D96" s="172"/>
      <c r="E96" s="23">
        <v>824</v>
      </c>
      <c r="F96" s="23">
        <f>DEMANDA_PREVISIÓN!E828</f>
        <v>29</v>
      </c>
      <c r="G96" s="101"/>
      <c r="H96" s="23">
        <f>H95-F96</f>
        <v>128</v>
      </c>
      <c r="I96" s="23"/>
      <c r="J96" s="134">
        <v>200</v>
      </c>
      <c r="K96" s="101"/>
      <c r="L96" s="134">
        <v>20</v>
      </c>
      <c r="M96" s="142">
        <v>1200</v>
      </c>
      <c r="Y96" s="141">
        <v>11.819675925925999</v>
      </c>
      <c r="Z96" s="174"/>
    </row>
    <row r="97" spans="2:26">
      <c r="B97" s="176"/>
      <c r="C97" s="186"/>
      <c r="D97" s="172"/>
      <c r="E97" s="23">
        <v>825</v>
      </c>
      <c r="F97" s="23">
        <f>DEMANDA_PREVISIÓN!E829</f>
        <v>32</v>
      </c>
      <c r="G97" s="101"/>
      <c r="H97" s="23">
        <f>H96-F97</f>
        <v>96</v>
      </c>
      <c r="I97" s="134">
        <v>200</v>
      </c>
      <c r="J97" s="134">
        <v>200</v>
      </c>
      <c r="K97" s="101"/>
      <c r="L97" s="134">
        <v>20</v>
      </c>
      <c r="M97" s="142">
        <v>1200</v>
      </c>
      <c r="Y97" s="141">
        <v>11.829282407407501</v>
      </c>
      <c r="Z97" s="174"/>
    </row>
    <row r="98" spans="2:26">
      <c r="B98" s="176"/>
      <c r="C98" s="186"/>
      <c r="D98" s="172"/>
      <c r="E98" s="23">
        <v>826</v>
      </c>
      <c r="F98" s="23">
        <f>DEMANDA_PREVISIÓN!E830</f>
        <v>36</v>
      </c>
      <c r="G98" s="101"/>
      <c r="H98" s="23">
        <f>H97-F98</f>
        <v>60</v>
      </c>
      <c r="I98" s="134">
        <v>200</v>
      </c>
      <c r="J98" s="128">
        <v>400</v>
      </c>
      <c r="K98" s="101"/>
      <c r="L98" s="128">
        <v>50</v>
      </c>
      <c r="M98" s="142">
        <v>1200</v>
      </c>
      <c r="Y98" s="141">
        <v>11.838888888888899</v>
      </c>
      <c r="Z98" s="174"/>
    </row>
    <row r="99" spans="2:26">
      <c r="B99" s="176"/>
      <c r="C99" s="186"/>
      <c r="D99" s="172"/>
      <c r="E99" s="23">
        <v>827</v>
      </c>
      <c r="F99" s="23">
        <f>DEMANDA_PREVISIÓN!E831</f>
        <v>51</v>
      </c>
      <c r="G99" s="101"/>
      <c r="H99" s="23">
        <f>H98-F99</f>
        <v>9</v>
      </c>
      <c r="I99" s="134">
        <v>200</v>
      </c>
      <c r="J99" s="128">
        <v>400</v>
      </c>
      <c r="K99" s="101"/>
      <c r="L99" s="128">
        <v>50</v>
      </c>
      <c r="M99" s="142">
        <v>1200</v>
      </c>
      <c r="Y99" s="141">
        <v>11.848495370370401</v>
      </c>
      <c r="Z99" s="174"/>
    </row>
    <row r="100" spans="2:26">
      <c r="B100" s="176"/>
      <c r="C100" s="186"/>
      <c r="D100" s="172"/>
      <c r="E100" s="23">
        <v>828</v>
      </c>
      <c r="F100" s="23">
        <f>DEMANDA_PREVISIÓN!E832</f>
        <v>44</v>
      </c>
      <c r="G100" s="101"/>
      <c r="H100" s="127">
        <v>0</v>
      </c>
      <c r="I100" s="134">
        <v>200</v>
      </c>
      <c r="J100" s="128">
        <v>400</v>
      </c>
      <c r="K100" s="101"/>
      <c r="L100" s="128">
        <v>50</v>
      </c>
      <c r="M100" s="142">
        <v>1200</v>
      </c>
      <c r="Y100" s="141">
        <v>11.858101851851901</v>
      </c>
      <c r="Z100" s="174"/>
    </row>
    <row r="101" spans="2:26">
      <c r="B101" s="176"/>
      <c r="C101" s="186"/>
      <c r="D101" s="172"/>
      <c r="E101" s="23">
        <v>829</v>
      </c>
      <c r="F101" s="23">
        <f>DEMANDA_PREVISIÓN!E833</f>
        <v>40</v>
      </c>
      <c r="G101" s="101"/>
      <c r="H101" s="127">
        <v>0</v>
      </c>
      <c r="I101" s="134">
        <v>200</v>
      </c>
      <c r="J101" s="128">
        <v>400</v>
      </c>
      <c r="K101" s="101"/>
      <c r="L101" s="128">
        <v>50</v>
      </c>
      <c r="M101" s="142">
        <v>1200</v>
      </c>
      <c r="Y101" s="141">
        <v>11.8677083333334</v>
      </c>
      <c r="Z101" s="174"/>
    </row>
    <row r="102" spans="2:26">
      <c r="B102" s="176"/>
      <c r="C102" s="186"/>
      <c r="D102" s="172"/>
      <c r="E102" s="23">
        <v>830</v>
      </c>
      <c r="F102" s="23">
        <f>DEMANDA_PREVISIÓN!E834</f>
        <v>46</v>
      </c>
      <c r="G102" s="101"/>
      <c r="H102" s="127">
        <v>0</v>
      </c>
      <c r="I102" s="134">
        <v>200</v>
      </c>
      <c r="J102" s="128">
        <v>400</v>
      </c>
      <c r="K102" s="101"/>
      <c r="L102" s="128">
        <v>50</v>
      </c>
      <c r="M102" s="142">
        <v>1200</v>
      </c>
      <c r="Y102" s="141">
        <v>11.8773148148149</v>
      </c>
      <c r="Z102" s="174"/>
    </row>
    <row r="103" spans="2:26">
      <c r="B103" s="176"/>
      <c r="C103" s="186"/>
      <c r="D103" s="172"/>
      <c r="E103" s="23">
        <v>831</v>
      </c>
      <c r="F103" s="23">
        <f>DEMANDA_PREVISIÓN!E835</f>
        <v>30</v>
      </c>
      <c r="G103" s="101"/>
      <c r="H103" s="127">
        <v>0</v>
      </c>
      <c r="I103" s="134">
        <v>200</v>
      </c>
      <c r="J103" s="128">
        <v>400</v>
      </c>
      <c r="K103" s="101"/>
      <c r="L103" s="128">
        <v>50</v>
      </c>
      <c r="M103" s="142">
        <v>1200</v>
      </c>
      <c r="Y103" s="141">
        <v>11.8869212962964</v>
      </c>
      <c r="Z103" s="174"/>
    </row>
    <row r="104" spans="2:26">
      <c r="B104" s="176"/>
      <c r="C104" s="186"/>
      <c r="D104" s="172"/>
      <c r="E104" s="23">
        <v>832</v>
      </c>
      <c r="F104" s="23">
        <f>DEMANDA_PREVISIÓN!E836</f>
        <v>45</v>
      </c>
      <c r="G104" s="101"/>
      <c r="H104" s="134">
        <v>200</v>
      </c>
      <c r="I104" s="23"/>
      <c r="J104" s="128">
        <v>400</v>
      </c>
      <c r="K104" s="101"/>
      <c r="L104" s="128">
        <v>50</v>
      </c>
      <c r="M104" s="142">
        <v>1200</v>
      </c>
      <c r="Y104" s="141">
        <v>11.8965277777778</v>
      </c>
      <c r="Z104" s="174"/>
    </row>
    <row r="105" spans="2:26">
      <c r="B105" s="176"/>
      <c r="C105" s="186"/>
      <c r="D105" s="172"/>
      <c r="E105" s="23">
        <v>833</v>
      </c>
      <c r="F105" s="23">
        <f>DEMANDA_PREVISIÓN!E837</f>
        <v>43</v>
      </c>
      <c r="G105" s="101"/>
      <c r="H105" s="23">
        <f>H104-F105</f>
        <v>157</v>
      </c>
      <c r="I105" s="128">
        <v>400</v>
      </c>
      <c r="J105" s="128">
        <v>400</v>
      </c>
      <c r="K105" s="101"/>
      <c r="L105" s="128">
        <v>50</v>
      </c>
      <c r="M105" s="142">
        <v>1200</v>
      </c>
      <c r="Y105" s="141">
        <v>11.9061342592593</v>
      </c>
      <c r="Z105" s="174"/>
    </row>
    <row r="106" spans="2:26">
      <c r="B106" s="176"/>
      <c r="C106" s="186"/>
      <c r="D106" s="172"/>
      <c r="E106" s="23">
        <v>834</v>
      </c>
      <c r="F106" s="23">
        <f>DEMANDA_PREVISIÓN!E838</f>
        <v>47</v>
      </c>
      <c r="G106" s="101"/>
      <c r="H106" s="23">
        <f>H105-F106</f>
        <v>110</v>
      </c>
      <c r="I106" s="128">
        <v>400</v>
      </c>
      <c r="J106" s="129">
        <v>400</v>
      </c>
      <c r="K106" s="101"/>
      <c r="L106" s="129">
        <v>50</v>
      </c>
      <c r="M106" s="142">
        <v>1200</v>
      </c>
      <c r="Y106" s="141">
        <v>11.9157407407408</v>
      </c>
      <c r="Z106" s="174"/>
    </row>
    <row r="107" spans="2:26">
      <c r="B107" s="176"/>
      <c r="C107" s="186"/>
      <c r="D107" s="172"/>
      <c r="E107" s="23">
        <v>835</v>
      </c>
      <c r="F107" s="23">
        <f>DEMANDA_PREVISIÓN!E839</f>
        <v>50</v>
      </c>
      <c r="G107" s="101"/>
      <c r="H107" s="23">
        <f>H106-F107</f>
        <v>60</v>
      </c>
      <c r="I107" s="128">
        <v>400</v>
      </c>
      <c r="J107" s="129">
        <v>400</v>
      </c>
      <c r="K107" s="101"/>
      <c r="L107" s="129">
        <v>50</v>
      </c>
      <c r="M107" s="142">
        <v>1200</v>
      </c>
      <c r="Y107" s="141">
        <v>11.9253472222223</v>
      </c>
      <c r="Z107" s="174"/>
    </row>
    <row r="108" spans="2:26">
      <c r="B108" s="176"/>
      <c r="C108" s="186"/>
      <c r="D108" s="172"/>
      <c r="E108" s="23">
        <v>836</v>
      </c>
      <c r="F108" s="23">
        <f>DEMANDA_PREVISIÓN!E840</f>
        <v>49</v>
      </c>
      <c r="G108" s="101"/>
      <c r="H108" s="23">
        <f>H107-F108</f>
        <v>11</v>
      </c>
      <c r="I108" s="128">
        <v>400</v>
      </c>
      <c r="J108" s="129">
        <v>400</v>
      </c>
      <c r="K108" s="101"/>
      <c r="L108" s="129">
        <v>50</v>
      </c>
      <c r="M108" s="142">
        <v>1200</v>
      </c>
      <c r="Y108" s="141">
        <v>11.934953703703799</v>
      </c>
      <c r="Z108" s="174"/>
    </row>
    <row r="109" spans="2:26">
      <c r="B109" s="176"/>
      <c r="C109" s="186"/>
      <c r="D109" s="172"/>
      <c r="E109" s="23">
        <v>837</v>
      </c>
      <c r="F109" s="23">
        <f>DEMANDA_PREVISIÓN!E841</f>
        <v>42</v>
      </c>
      <c r="G109" s="101"/>
      <c r="H109" s="127">
        <v>0</v>
      </c>
      <c r="I109" s="128">
        <v>400</v>
      </c>
      <c r="J109" s="129">
        <v>400</v>
      </c>
      <c r="K109" s="101"/>
      <c r="L109" s="129">
        <v>50</v>
      </c>
      <c r="M109" s="142">
        <v>1200</v>
      </c>
      <c r="Y109" s="141">
        <v>11.9445601851852</v>
      </c>
      <c r="Z109" s="174"/>
    </row>
    <row r="110" spans="2:26">
      <c r="B110" s="176"/>
      <c r="C110" s="186"/>
      <c r="D110" s="172"/>
      <c r="E110" s="23">
        <v>838</v>
      </c>
      <c r="F110" s="23">
        <f>DEMANDA_PREVISIÓN!E842</f>
        <v>37</v>
      </c>
      <c r="G110" s="101"/>
      <c r="H110" s="127">
        <v>0</v>
      </c>
      <c r="I110" s="128">
        <v>400</v>
      </c>
      <c r="J110" s="129">
        <v>400</v>
      </c>
      <c r="K110" s="101"/>
      <c r="L110" s="129">
        <v>50</v>
      </c>
      <c r="M110" s="142">
        <v>1200</v>
      </c>
      <c r="Y110" s="141">
        <v>11.954166666666699</v>
      </c>
      <c r="Z110" s="174"/>
    </row>
    <row r="111" spans="2:26">
      <c r="B111" s="176"/>
      <c r="C111" s="186"/>
      <c r="D111" s="172"/>
      <c r="E111" s="23">
        <v>839</v>
      </c>
      <c r="F111" s="23">
        <f>DEMANDA_PREVISIÓN!E843</f>
        <v>46</v>
      </c>
      <c r="G111" s="101"/>
      <c r="H111" s="127">
        <v>0</v>
      </c>
      <c r="I111" s="128">
        <v>400</v>
      </c>
      <c r="J111" s="129">
        <v>400</v>
      </c>
      <c r="K111" s="101"/>
      <c r="L111" s="129">
        <v>50</v>
      </c>
      <c r="M111" s="142">
        <v>1200</v>
      </c>
      <c r="Y111" s="141">
        <v>11.963773148148199</v>
      </c>
      <c r="Z111" s="174"/>
    </row>
    <row r="112" spans="2:26">
      <c r="B112" s="176"/>
      <c r="C112" s="186"/>
      <c r="D112" s="172"/>
      <c r="E112" s="23">
        <v>840</v>
      </c>
      <c r="F112" s="23">
        <f>DEMANDA_PREVISIÓN!E844</f>
        <v>40</v>
      </c>
      <c r="G112" s="101"/>
      <c r="H112" s="128">
        <f>I111+H111</f>
        <v>400</v>
      </c>
      <c r="J112" s="129">
        <v>400</v>
      </c>
      <c r="K112" s="47"/>
      <c r="L112" s="129">
        <v>50</v>
      </c>
      <c r="M112" s="142">
        <v>1200</v>
      </c>
      <c r="Y112" s="141">
        <v>11.973379629629701</v>
      </c>
      <c r="Z112" s="174"/>
    </row>
    <row r="113" spans="2:26">
      <c r="B113" s="176"/>
      <c r="C113" s="186"/>
      <c r="D113" s="172"/>
      <c r="E113" s="23">
        <v>841</v>
      </c>
      <c r="F113" s="23">
        <f>DEMANDA_PREVISIÓN!E845</f>
        <v>39</v>
      </c>
      <c r="G113" s="101"/>
      <c r="H113" s="23">
        <f t="shared" ref="H113:H119" si="0">H112-F113</f>
        <v>361</v>
      </c>
      <c r="I113" s="129">
        <v>400</v>
      </c>
      <c r="J113" s="129">
        <v>400</v>
      </c>
      <c r="K113" s="101"/>
      <c r="L113" s="129">
        <v>50</v>
      </c>
      <c r="M113" s="142">
        <v>1200</v>
      </c>
      <c r="Y113" s="141">
        <v>11.982986111111201</v>
      </c>
      <c r="Z113" s="174"/>
    </row>
    <row r="114" spans="2:26">
      <c r="B114" s="176"/>
      <c r="C114" s="186"/>
      <c r="D114" s="172"/>
      <c r="E114" s="23">
        <v>842</v>
      </c>
      <c r="F114" s="23">
        <f>DEMANDA_PREVISIÓN!E846</f>
        <v>46</v>
      </c>
      <c r="G114" s="101"/>
      <c r="H114" s="23">
        <f t="shared" si="0"/>
        <v>315</v>
      </c>
      <c r="I114" s="129">
        <v>400</v>
      </c>
      <c r="J114" s="137">
        <v>400</v>
      </c>
      <c r="K114" s="101"/>
      <c r="L114" s="137">
        <v>50</v>
      </c>
      <c r="M114" s="142">
        <v>1200</v>
      </c>
      <c r="Y114" s="141">
        <v>11.9925925925927</v>
      </c>
      <c r="Z114" s="174"/>
    </row>
    <row r="115" spans="2:26">
      <c r="B115" s="176"/>
      <c r="C115" s="186"/>
      <c r="D115" s="172"/>
      <c r="E115" s="23">
        <v>843</v>
      </c>
      <c r="F115" s="23">
        <f>DEMANDA_PREVISIÓN!E847</f>
        <v>41</v>
      </c>
      <c r="G115" s="101"/>
      <c r="H115" s="23">
        <f t="shared" si="0"/>
        <v>274</v>
      </c>
      <c r="I115" s="129">
        <v>400</v>
      </c>
      <c r="J115" s="137">
        <v>400</v>
      </c>
      <c r="K115" s="101"/>
      <c r="L115" s="137">
        <v>50</v>
      </c>
      <c r="M115" s="142">
        <v>1200</v>
      </c>
      <c r="Y115" s="141">
        <v>12.002199074074101</v>
      </c>
      <c r="Z115" s="178">
        <v>2</v>
      </c>
    </row>
    <row r="116" spans="2:26">
      <c r="B116" s="176"/>
      <c r="C116" s="186"/>
      <c r="D116" s="172"/>
      <c r="E116" s="23">
        <v>844</v>
      </c>
      <c r="F116" s="23">
        <f>DEMANDA_PREVISIÓN!E848</f>
        <v>53</v>
      </c>
      <c r="G116" s="101"/>
      <c r="H116" s="23">
        <f t="shared" si="0"/>
        <v>221</v>
      </c>
      <c r="I116" s="129">
        <v>400</v>
      </c>
      <c r="J116" s="137">
        <v>400</v>
      </c>
      <c r="K116" s="101"/>
      <c r="L116" s="137">
        <v>50</v>
      </c>
      <c r="M116" s="142">
        <v>1200</v>
      </c>
      <c r="Y116" s="141">
        <v>12.0118055555556</v>
      </c>
      <c r="Z116" s="179"/>
    </row>
    <row r="117" spans="2:26">
      <c r="B117" s="176"/>
      <c r="C117" s="186"/>
      <c r="D117" s="172"/>
      <c r="E117" s="23">
        <v>845</v>
      </c>
      <c r="F117" s="23">
        <f>DEMANDA_PREVISIÓN!E849</f>
        <v>42</v>
      </c>
      <c r="G117" s="101"/>
      <c r="H117" s="23">
        <f t="shared" si="0"/>
        <v>179</v>
      </c>
      <c r="I117" s="129">
        <v>400</v>
      </c>
      <c r="J117" s="137">
        <v>400</v>
      </c>
      <c r="K117" s="101"/>
      <c r="L117" s="137">
        <v>50</v>
      </c>
      <c r="M117" s="142">
        <v>1200</v>
      </c>
      <c r="Y117" s="141">
        <v>12.0214120370371</v>
      </c>
      <c r="Z117" s="179"/>
    </row>
    <row r="118" spans="2:26">
      <c r="B118" s="176"/>
      <c r="C118" s="186"/>
      <c r="D118" s="172"/>
      <c r="E118" s="23">
        <v>846</v>
      </c>
      <c r="F118" s="23">
        <f>DEMANDA_PREVISIÓN!E850</f>
        <v>35</v>
      </c>
      <c r="G118" s="101"/>
      <c r="H118" s="23">
        <f t="shared" si="0"/>
        <v>144</v>
      </c>
      <c r="I118" s="129">
        <v>400</v>
      </c>
      <c r="J118" s="137">
        <v>400</v>
      </c>
      <c r="K118" s="101"/>
      <c r="L118" s="137">
        <v>50</v>
      </c>
      <c r="M118" s="142">
        <v>1200</v>
      </c>
      <c r="Y118" s="141">
        <v>12.0310185185186</v>
      </c>
      <c r="Z118" s="179"/>
    </row>
    <row r="119" spans="2:26">
      <c r="B119" s="176"/>
      <c r="C119" s="186"/>
      <c r="D119" s="172"/>
      <c r="E119" s="23">
        <v>847</v>
      </c>
      <c r="F119" s="23">
        <f>DEMANDA_PREVISIÓN!E851</f>
        <v>55</v>
      </c>
      <c r="G119" s="101"/>
      <c r="H119" s="23">
        <f t="shared" si="0"/>
        <v>89</v>
      </c>
      <c r="I119" s="129">
        <v>400</v>
      </c>
      <c r="J119" s="137">
        <v>400</v>
      </c>
      <c r="K119" s="101"/>
      <c r="L119" s="137">
        <v>50</v>
      </c>
      <c r="M119" s="142">
        <v>1200</v>
      </c>
      <c r="Y119" s="141">
        <v>12.0406250000001</v>
      </c>
      <c r="Z119" s="179"/>
    </row>
    <row r="120" spans="2:26">
      <c r="B120" s="176"/>
      <c r="C120" s="186"/>
      <c r="D120" s="172"/>
      <c r="E120" s="144">
        <v>848</v>
      </c>
      <c r="F120" s="144">
        <f>DEMANDA_PREVISIÓN!E852</f>
        <v>49</v>
      </c>
      <c r="G120" s="101"/>
      <c r="H120" s="129">
        <f>I119+H119-F120</f>
        <v>440</v>
      </c>
      <c r="I120" s="23"/>
      <c r="J120" s="137">
        <v>400</v>
      </c>
      <c r="K120" s="101"/>
      <c r="L120" s="137">
        <v>50</v>
      </c>
      <c r="M120" s="142">
        <v>1200</v>
      </c>
      <c r="Y120" s="141">
        <v>12.0502314814815</v>
      </c>
      <c r="Z120" s="179"/>
    </row>
    <row r="121" spans="2:26">
      <c r="B121" s="176"/>
      <c r="C121" s="186"/>
      <c r="D121" s="172"/>
      <c r="E121" s="23">
        <v>849</v>
      </c>
      <c r="F121" s="23">
        <f>DEMANDA_PREVISIÓN!E853</f>
        <v>53</v>
      </c>
      <c r="G121" s="101"/>
      <c r="H121" s="23">
        <f t="shared" ref="H121:H127" si="1">H120-F121</f>
        <v>387</v>
      </c>
      <c r="I121" s="137">
        <v>400</v>
      </c>
      <c r="J121" s="137">
        <v>400</v>
      </c>
      <c r="K121" s="101"/>
      <c r="L121" s="137">
        <v>50</v>
      </c>
      <c r="M121" s="142">
        <v>1200</v>
      </c>
      <c r="Y121" s="141">
        <v>12.059837962963</v>
      </c>
      <c r="Z121" s="179"/>
    </row>
    <row r="122" spans="2:26">
      <c r="B122" s="176"/>
      <c r="C122" s="186"/>
      <c r="D122" s="173"/>
      <c r="E122" s="23">
        <v>850</v>
      </c>
      <c r="F122" s="23">
        <f>DEMANDA_PREVISIÓN!E854</f>
        <v>48</v>
      </c>
      <c r="G122" s="101"/>
      <c r="H122" s="23">
        <f t="shared" si="1"/>
        <v>339</v>
      </c>
      <c r="I122" s="137">
        <v>400</v>
      </c>
      <c r="J122" s="138">
        <v>400</v>
      </c>
      <c r="K122" s="101"/>
      <c r="L122" s="138">
        <v>50</v>
      </c>
      <c r="M122" s="142">
        <v>1200</v>
      </c>
      <c r="Y122" s="141">
        <v>12.0694444444445</v>
      </c>
      <c r="Z122" s="179"/>
    </row>
    <row r="123" spans="2:26">
      <c r="B123" s="176"/>
      <c r="C123" s="186"/>
      <c r="D123" s="171" t="s">
        <v>46</v>
      </c>
      <c r="E123" s="23">
        <v>851</v>
      </c>
      <c r="F123" s="23">
        <f>DEMANDA_PREVISIÓN!E855</f>
        <v>49</v>
      </c>
      <c r="G123" s="101"/>
      <c r="H123" s="23">
        <f t="shared" si="1"/>
        <v>290</v>
      </c>
      <c r="I123" s="137">
        <v>400</v>
      </c>
      <c r="J123" s="138">
        <v>400</v>
      </c>
      <c r="K123" s="101"/>
      <c r="L123" s="138">
        <v>50</v>
      </c>
      <c r="M123" s="142">
        <v>1200</v>
      </c>
      <c r="Y123" s="141">
        <v>12.079050925925999</v>
      </c>
      <c r="Z123" s="179"/>
    </row>
    <row r="124" spans="2:26">
      <c r="B124" s="176"/>
      <c r="C124" s="186"/>
      <c r="D124" s="172"/>
      <c r="E124" s="23">
        <v>852</v>
      </c>
      <c r="F124" s="23">
        <f>DEMANDA_PREVISIÓN!E856</f>
        <v>42</v>
      </c>
      <c r="G124" s="101"/>
      <c r="H124" s="23">
        <f t="shared" si="1"/>
        <v>248</v>
      </c>
      <c r="I124" s="137">
        <v>400</v>
      </c>
      <c r="J124" s="138">
        <v>400</v>
      </c>
      <c r="K124" s="101"/>
      <c r="L124" s="138">
        <v>50</v>
      </c>
      <c r="M124" s="142">
        <v>1200</v>
      </c>
      <c r="Y124" s="141">
        <v>12.088657407407499</v>
      </c>
      <c r="Z124" s="179"/>
    </row>
    <row r="125" spans="2:26">
      <c r="B125" s="176"/>
      <c r="C125" s="186"/>
      <c r="D125" s="172"/>
      <c r="E125" s="23">
        <v>853</v>
      </c>
      <c r="F125" s="23">
        <f>DEMANDA_PREVISIÓN!E857</f>
        <v>45</v>
      </c>
      <c r="G125" s="101"/>
      <c r="H125" s="23">
        <f t="shared" si="1"/>
        <v>203</v>
      </c>
      <c r="I125" s="137">
        <v>400</v>
      </c>
      <c r="J125" s="138">
        <v>400</v>
      </c>
      <c r="K125" s="101"/>
      <c r="L125" s="138">
        <v>50</v>
      </c>
      <c r="M125" s="142">
        <v>1200</v>
      </c>
      <c r="Y125" s="141">
        <v>12.098263888889001</v>
      </c>
      <c r="Z125" s="179"/>
    </row>
    <row r="126" spans="2:26">
      <c r="B126" s="176"/>
      <c r="C126" s="186"/>
      <c r="D126" s="172"/>
      <c r="E126" s="23">
        <v>854</v>
      </c>
      <c r="F126" s="23">
        <f>DEMANDA_PREVISIÓN!E858</f>
        <v>41</v>
      </c>
      <c r="G126" s="101"/>
      <c r="H126" s="23">
        <f t="shared" si="1"/>
        <v>162</v>
      </c>
      <c r="I126" s="137">
        <v>400</v>
      </c>
      <c r="J126" s="138">
        <v>400</v>
      </c>
      <c r="K126" s="101"/>
      <c r="L126" s="138">
        <v>50</v>
      </c>
      <c r="M126" s="142">
        <v>1200</v>
      </c>
      <c r="Y126" s="141">
        <v>12.107870370370399</v>
      </c>
      <c r="Z126" s="179"/>
    </row>
    <row r="127" spans="2:26">
      <c r="B127" s="176"/>
      <c r="C127" s="186"/>
      <c r="D127" s="172"/>
      <c r="E127" s="23">
        <v>855</v>
      </c>
      <c r="F127" s="23">
        <f>DEMANDA_PREVISIÓN!E859</f>
        <v>43</v>
      </c>
      <c r="G127" s="101"/>
      <c r="H127" s="23">
        <f t="shared" si="1"/>
        <v>119</v>
      </c>
      <c r="I127" s="137">
        <v>400</v>
      </c>
      <c r="J127" s="138">
        <v>400</v>
      </c>
      <c r="K127" s="101"/>
      <c r="L127" s="138">
        <v>50</v>
      </c>
      <c r="M127" s="142">
        <v>1200</v>
      </c>
      <c r="Y127" s="141">
        <v>12.117476851851899</v>
      </c>
      <c r="Z127" s="179"/>
    </row>
    <row r="128" spans="2:26">
      <c r="B128" s="176"/>
      <c r="C128" s="186"/>
      <c r="D128" s="172"/>
      <c r="E128" s="23">
        <v>856</v>
      </c>
      <c r="F128" s="23">
        <f>DEMANDA_PREVISIÓN!E860</f>
        <v>43</v>
      </c>
      <c r="G128" s="101"/>
      <c r="H128" s="137">
        <f>I127+H127-F128</f>
        <v>476</v>
      </c>
      <c r="I128" s="23"/>
      <c r="J128" s="138">
        <v>400</v>
      </c>
      <c r="K128" s="101"/>
      <c r="L128" s="138">
        <v>50</v>
      </c>
      <c r="M128" s="142">
        <v>1200</v>
      </c>
      <c r="Y128" s="141">
        <v>12.127083333333401</v>
      </c>
      <c r="Z128" s="179"/>
    </row>
    <row r="129" spans="2:26">
      <c r="B129" s="176"/>
      <c r="C129" s="186"/>
      <c r="D129" s="172"/>
      <c r="E129" s="23">
        <v>857</v>
      </c>
      <c r="F129" s="23">
        <f>DEMANDA_PREVISIÓN!E861</f>
        <v>45</v>
      </c>
      <c r="G129" s="101"/>
      <c r="H129" s="23">
        <f t="shared" ref="H129:H135" si="2">H128-F129</f>
        <v>431</v>
      </c>
      <c r="I129" s="138">
        <v>400</v>
      </c>
      <c r="J129" s="138">
        <v>400</v>
      </c>
      <c r="K129" s="101"/>
      <c r="L129" s="138">
        <v>50</v>
      </c>
      <c r="M129" s="142">
        <v>1200</v>
      </c>
      <c r="Y129" s="141">
        <v>12.136689814814901</v>
      </c>
      <c r="Z129" s="179"/>
    </row>
    <row r="130" spans="2:26">
      <c r="B130" s="176"/>
      <c r="C130" s="186"/>
      <c r="D130" s="172"/>
      <c r="E130" s="23">
        <v>858</v>
      </c>
      <c r="F130" s="23">
        <f>DEMANDA_PREVISIÓN!E862</f>
        <v>35</v>
      </c>
      <c r="G130" s="101"/>
      <c r="H130" s="23">
        <f t="shared" si="2"/>
        <v>396</v>
      </c>
      <c r="I130" s="138">
        <v>400</v>
      </c>
      <c r="J130" s="134">
        <v>400</v>
      </c>
      <c r="K130" s="101"/>
      <c r="L130" s="134">
        <v>50</v>
      </c>
      <c r="M130" s="142">
        <v>1200</v>
      </c>
      <c r="Y130" s="141">
        <v>12.1462962962964</v>
      </c>
      <c r="Z130" s="179"/>
    </row>
    <row r="131" spans="2:26">
      <c r="B131" s="176"/>
      <c r="C131" s="186"/>
      <c r="D131" s="172"/>
      <c r="E131" s="23">
        <v>859</v>
      </c>
      <c r="F131" s="23">
        <f>DEMANDA_PREVISIÓN!E863</f>
        <v>42</v>
      </c>
      <c r="G131" s="101"/>
      <c r="H131" s="23">
        <f t="shared" si="2"/>
        <v>354</v>
      </c>
      <c r="I131" s="138">
        <v>400</v>
      </c>
      <c r="J131" s="134">
        <v>400</v>
      </c>
      <c r="K131" s="101"/>
      <c r="L131" s="134">
        <v>50</v>
      </c>
      <c r="M131" s="142">
        <v>1200</v>
      </c>
      <c r="Y131" s="141">
        <v>12.155902777777801</v>
      </c>
      <c r="Z131" s="179"/>
    </row>
    <row r="132" spans="2:26">
      <c r="B132" s="176"/>
      <c r="C132" s="186"/>
      <c r="D132" s="172"/>
      <c r="E132" s="23">
        <v>860</v>
      </c>
      <c r="F132" s="23">
        <f>DEMANDA_PREVISIÓN!E864</f>
        <v>42</v>
      </c>
      <c r="G132" s="101"/>
      <c r="H132" s="23">
        <f t="shared" si="2"/>
        <v>312</v>
      </c>
      <c r="I132" s="138">
        <v>400</v>
      </c>
      <c r="J132" s="134">
        <v>400</v>
      </c>
      <c r="K132" s="101"/>
      <c r="L132" s="134">
        <v>50</v>
      </c>
      <c r="M132" s="142">
        <v>1200</v>
      </c>
      <c r="Y132" s="141">
        <v>12.1655092592593</v>
      </c>
      <c r="Z132" s="179"/>
    </row>
    <row r="133" spans="2:26">
      <c r="B133" s="176"/>
      <c r="C133" s="186"/>
      <c r="D133" s="172"/>
      <c r="E133" s="23">
        <v>861</v>
      </c>
      <c r="F133" s="23">
        <f>DEMANDA_PREVISIÓN!E865</f>
        <v>38</v>
      </c>
      <c r="G133" s="101"/>
      <c r="H133" s="23">
        <f t="shared" si="2"/>
        <v>274</v>
      </c>
      <c r="I133" s="138">
        <v>400</v>
      </c>
      <c r="J133" s="134">
        <v>400</v>
      </c>
      <c r="K133" s="101"/>
      <c r="L133" s="134">
        <v>50</v>
      </c>
      <c r="M133" s="142">
        <v>1200</v>
      </c>
      <c r="Y133" s="141">
        <v>12.1751157407408</v>
      </c>
      <c r="Z133" s="179"/>
    </row>
    <row r="134" spans="2:26">
      <c r="B134" s="176"/>
      <c r="C134" s="186"/>
      <c r="D134" s="172"/>
      <c r="E134" s="23">
        <v>862</v>
      </c>
      <c r="F134" s="23">
        <f>DEMANDA_PREVISIÓN!E866</f>
        <v>51</v>
      </c>
      <c r="G134" s="101"/>
      <c r="H134" s="23">
        <f t="shared" si="2"/>
        <v>223</v>
      </c>
      <c r="I134" s="138">
        <v>400</v>
      </c>
      <c r="J134" s="134">
        <v>400</v>
      </c>
      <c r="K134" s="101"/>
      <c r="L134" s="134">
        <v>50</v>
      </c>
      <c r="M134" s="142">
        <v>1200</v>
      </c>
      <c r="Y134" s="141">
        <v>12.1847222222223</v>
      </c>
      <c r="Z134" s="179"/>
    </row>
    <row r="135" spans="2:26">
      <c r="B135" s="176"/>
      <c r="C135" s="186"/>
      <c r="D135" s="172"/>
      <c r="E135" s="23">
        <v>863</v>
      </c>
      <c r="F135" s="23">
        <f>DEMANDA_PREVISIÓN!E867</f>
        <v>32</v>
      </c>
      <c r="G135" s="101"/>
      <c r="H135" s="23">
        <f t="shared" si="2"/>
        <v>191</v>
      </c>
      <c r="I135" s="138">
        <v>400</v>
      </c>
      <c r="J135" s="134">
        <v>400</v>
      </c>
      <c r="K135" s="101"/>
      <c r="L135" s="134">
        <v>50</v>
      </c>
      <c r="M135" s="142">
        <v>1200</v>
      </c>
      <c r="Y135" s="141">
        <v>12.1943287037038</v>
      </c>
      <c r="Z135" s="179"/>
    </row>
    <row r="136" spans="2:26">
      <c r="B136" s="176"/>
      <c r="C136" s="186"/>
      <c r="D136" s="172"/>
      <c r="E136" s="23">
        <v>864</v>
      </c>
      <c r="F136" s="23">
        <f>DEMANDA_PREVISIÓN!E868</f>
        <v>39</v>
      </c>
      <c r="G136" s="101"/>
      <c r="H136" s="138">
        <f>I135+H135-F136</f>
        <v>552</v>
      </c>
      <c r="I136" s="23"/>
      <c r="J136" s="134">
        <v>400</v>
      </c>
      <c r="K136" s="101"/>
      <c r="L136" s="134">
        <v>50</v>
      </c>
      <c r="M136" s="142">
        <v>1200</v>
      </c>
      <c r="Y136" s="141">
        <v>12.2039351851853</v>
      </c>
      <c r="Z136" s="179"/>
    </row>
    <row r="137" spans="2:26">
      <c r="B137" s="176"/>
      <c r="C137" s="186"/>
      <c r="D137" s="172"/>
      <c r="E137" s="23">
        <v>865</v>
      </c>
      <c r="F137" s="23">
        <f>DEMANDA_PREVISIÓN!E869</f>
        <v>51</v>
      </c>
      <c r="G137" s="101"/>
      <c r="H137" s="23">
        <f t="shared" ref="H137:H143" si="3">H136-F137</f>
        <v>501</v>
      </c>
      <c r="I137" s="134">
        <v>400</v>
      </c>
      <c r="J137" s="134">
        <v>400</v>
      </c>
      <c r="K137" s="101"/>
      <c r="L137" s="134">
        <v>50</v>
      </c>
      <c r="M137" s="142">
        <v>1200</v>
      </c>
      <c r="Y137" s="141">
        <v>12.2135416666667</v>
      </c>
      <c r="Z137" s="179"/>
    </row>
    <row r="138" spans="2:26">
      <c r="B138" s="176"/>
      <c r="C138" s="186"/>
      <c r="D138" s="172"/>
      <c r="E138" s="23">
        <v>866</v>
      </c>
      <c r="F138" s="23">
        <f>DEMANDA_PREVISIÓN!E870</f>
        <v>41</v>
      </c>
      <c r="G138" s="101"/>
      <c r="H138" s="23">
        <f t="shared" si="3"/>
        <v>460</v>
      </c>
      <c r="I138" s="134">
        <v>400</v>
      </c>
      <c r="J138" s="128">
        <v>400</v>
      </c>
      <c r="K138" s="101"/>
      <c r="L138" s="128">
        <v>50</v>
      </c>
      <c r="M138" s="142">
        <v>1200</v>
      </c>
      <c r="Y138" s="141">
        <v>12.2231481481482</v>
      </c>
      <c r="Z138" s="179"/>
    </row>
    <row r="139" spans="2:26">
      <c r="B139" s="176"/>
      <c r="C139" s="186"/>
      <c r="D139" s="172"/>
      <c r="E139" s="23">
        <v>867</v>
      </c>
      <c r="F139" s="23">
        <f>DEMANDA_PREVISIÓN!E871</f>
        <v>44</v>
      </c>
      <c r="G139" s="101"/>
      <c r="H139" s="23">
        <f t="shared" si="3"/>
        <v>416</v>
      </c>
      <c r="I139" s="134">
        <v>400</v>
      </c>
      <c r="J139" s="128">
        <v>400</v>
      </c>
      <c r="K139" s="101"/>
      <c r="L139" s="128">
        <v>50</v>
      </c>
      <c r="M139" s="142">
        <v>1200</v>
      </c>
      <c r="Y139" s="141">
        <v>12.232754629629699</v>
      </c>
      <c r="Z139" s="179"/>
    </row>
    <row r="140" spans="2:26">
      <c r="B140" s="176"/>
      <c r="C140" s="186"/>
      <c r="D140" s="172"/>
      <c r="E140" s="23">
        <v>868</v>
      </c>
      <c r="F140" s="23">
        <f>DEMANDA_PREVISIÓN!E872</f>
        <v>38</v>
      </c>
      <c r="G140" s="101"/>
      <c r="H140" s="23">
        <f t="shared" si="3"/>
        <v>378</v>
      </c>
      <c r="I140" s="134">
        <v>400</v>
      </c>
      <c r="J140" s="128">
        <v>400</v>
      </c>
      <c r="K140" s="101"/>
      <c r="L140" s="128">
        <v>50</v>
      </c>
      <c r="M140" s="142">
        <v>1200</v>
      </c>
      <c r="Y140" s="141">
        <v>12.242361111111199</v>
      </c>
      <c r="Z140" s="179"/>
    </row>
    <row r="141" spans="2:26">
      <c r="B141" s="176"/>
      <c r="C141" s="186"/>
      <c r="D141" s="172"/>
      <c r="E141" s="23">
        <v>869</v>
      </c>
      <c r="F141" s="23">
        <f>DEMANDA_PREVISIÓN!E873</f>
        <v>41</v>
      </c>
      <c r="G141" s="101"/>
      <c r="H141" s="23">
        <f t="shared" si="3"/>
        <v>337</v>
      </c>
      <c r="I141" s="134">
        <v>400</v>
      </c>
      <c r="J141" s="128">
        <v>400</v>
      </c>
      <c r="K141" s="101"/>
      <c r="L141" s="128">
        <v>50</v>
      </c>
      <c r="M141" s="142">
        <v>1200</v>
      </c>
      <c r="Y141" s="141">
        <v>12.251967592592701</v>
      </c>
      <c r="Z141" s="179"/>
    </row>
    <row r="142" spans="2:26">
      <c r="B142" s="176"/>
      <c r="C142" s="186"/>
      <c r="D142" s="172"/>
      <c r="E142" s="144">
        <v>870</v>
      </c>
      <c r="F142" s="144">
        <f>DEMANDA_PREVISIÓN!E874</f>
        <v>45</v>
      </c>
      <c r="G142" s="101"/>
      <c r="H142" s="23">
        <f t="shared" si="3"/>
        <v>292</v>
      </c>
      <c r="I142" s="134">
        <v>400</v>
      </c>
      <c r="J142" s="128">
        <v>400</v>
      </c>
      <c r="K142" s="101"/>
      <c r="L142" s="128">
        <v>50</v>
      </c>
      <c r="M142" s="142">
        <v>1200</v>
      </c>
      <c r="Y142" s="141">
        <v>12.261574074074099</v>
      </c>
      <c r="Z142" s="179"/>
    </row>
    <row r="143" spans="2:26">
      <c r="B143" s="176"/>
      <c r="C143" s="186"/>
      <c r="D143" s="172"/>
      <c r="E143" s="23">
        <v>871</v>
      </c>
      <c r="F143" s="23">
        <f>DEMANDA_PREVISIÓN!E875</f>
        <v>46</v>
      </c>
      <c r="G143" s="101"/>
      <c r="H143" s="23">
        <f t="shared" si="3"/>
        <v>246</v>
      </c>
      <c r="I143" s="134">
        <v>400</v>
      </c>
      <c r="J143" s="128">
        <v>400</v>
      </c>
      <c r="K143" s="101"/>
      <c r="L143" s="128">
        <v>50</v>
      </c>
      <c r="M143" s="142">
        <v>1200</v>
      </c>
      <c r="Y143" s="141">
        <v>12.271180555555601</v>
      </c>
      <c r="Z143" s="179"/>
    </row>
    <row r="144" spans="2:26">
      <c r="B144" s="176"/>
      <c r="C144" s="186"/>
      <c r="D144" s="172"/>
      <c r="E144" s="23">
        <v>872</v>
      </c>
      <c r="F144" s="23">
        <f>DEMANDA_PREVISIÓN!E876</f>
        <v>45</v>
      </c>
      <c r="G144" s="101"/>
      <c r="H144" s="134">
        <f>I143+H143-F144</f>
        <v>601</v>
      </c>
      <c r="I144" s="23"/>
      <c r="J144" s="128">
        <v>400</v>
      </c>
      <c r="K144" s="101"/>
      <c r="L144" s="128">
        <v>50</v>
      </c>
      <c r="M144" s="142">
        <v>1200</v>
      </c>
      <c r="Y144" s="141">
        <v>12.280787037037101</v>
      </c>
      <c r="Z144" s="179"/>
    </row>
    <row r="145" spans="2:26">
      <c r="B145" s="176"/>
      <c r="C145" s="186"/>
      <c r="D145" s="172"/>
      <c r="E145" s="23">
        <v>873</v>
      </c>
      <c r="F145" s="23">
        <f>DEMANDA_PREVISIÓN!E877</f>
        <v>48</v>
      </c>
      <c r="G145" s="101"/>
      <c r="H145" s="23">
        <f>H144-F145</f>
        <v>553</v>
      </c>
      <c r="I145" s="128">
        <v>400</v>
      </c>
      <c r="J145" s="128">
        <v>400</v>
      </c>
      <c r="K145" s="101"/>
      <c r="L145" s="128">
        <v>50</v>
      </c>
      <c r="M145" s="142">
        <v>1200</v>
      </c>
      <c r="Y145" s="141">
        <v>12.2903935185186</v>
      </c>
      <c r="Z145" s="179"/>
    </row>
    <row r="146" spans="2:26">
      <c r="B146" s="176"/>
      <c r="C146" s="186"/>
      <c r="D146" s="172"/>
      <c r="E146" s="23">
        <v>874</v>
      </c>
      <c r="F146" s="23">
        <f>DEMANDA_PREVISIÓN!E878</f>
        <v>47</v>
      </c>
      <c r="G146" s="101"/>
      <c r="H146" s="23">
        <f>H145-F146</f>
        <v>506</v>
      </c>
      <c r="I146" s="128">
        <v>400</v>
      </c>
      <c r="J146" s="23"/>
      <c r="K146" s="101"/>
      <c r="L146" s="129">
        <v>0</v>
      </c>
      <c r="M146" s="142">
        <v>1200</v>
      </c>
      <c r="Y146" s="141">
        <v>12.3000000000001</v>
      </c>
      <c r="Z146" s="179"/>
    </row>
    <row r="147" spans="2:26">
      <c r="B147" s="176"/>
      <c r="C147" s="186"/>
      <c r="D147" s="172"/>
      <c r="E147" s="23">
        <v>875</v>
      </c>
      <c r="F147" s="23">
        <f>DEMANDA_PREVISIÓN!E879</f>
        <v>48</v>
      </c>
      <c r="G147" s="101"/>
      <c r="H147" s="23">
        <f>H146-F147</f>
        <v>458</v>
      </c>
      <c r="I147" s="128">
        <v>400</v>
      </c>
      <c r="J147" s="23"/>
      <c r="K147" s="101"/>
      <c r="L147" s="129">
        <v>0</v>
      </c>
      <c r="M147" s="142">
        <v>1200</v>
      </c>
      <c r="Y147" s="141">
        <v>12.3096064814816</v>
      </c>
      <c r="Z147" s="179"/>
    </row>
    <row r="148" spans="2:26">
      <c r="B148" s="176"/>
      <c r="C148" s="186"/>
      <c r="D148" s="172"/>
      <c r="E148" s="23">
        <v>876</v>
      </c>
      <c r="F148" s="23">
        <f>DEMANDA_PREVISIÓN!E880</f>
        <v>45</v>
      </c>
      <c r="G148" s="101"/>
      <c r="H148" s="23">
        <f>H147-F148</f>
        <v>413</v>
      </c>
      <c r="I148" s="128">
        <v>400</v>
      </c>
      <c r="J148" s="23"/>
      <c r="K148" s="101"/>
      <c r="L148" s="129">
        <v>0</v>
      </c>
      <c r="M148" s="142">
        <v>1200</v>
      </c>
      <c r="Y148" s="141">
        <v>12.319212962963</v>
      </c>
      <c r="Z148" s="179"/>
    </row>
    <row r="149" spans="2:26">
      <c r="B149" s="176"/>
      <c r="C149" s="186"/>
      <c r="D149" s="172"/>
      <c r="E149" s="23">
        <v>877</v>
      </c>
      <c r="F149" s="23">
        <f>DEMANDA_PREVISIÓN!E881</f>
        <v>35</v>
      </c>
      <c r="G149" s="101"/>
      <c r="H149" s="23">
        <f t="shared" ref="H149:H151" si="4">H148-F149</f>
        <v>378</v>
      </c>
      <c r="I149" s="128">
        <v>400</v>
      </c>
      <c r="J149" s="23"/>
      <c r="K149" s="101"/>
      <c r="L149" s="129">
        <v>0</v>
      </c>
      <c r="M149" s="142">
        <v>1200</v>
      </c>
      <c r="Y149" s="141">
        <v>12.3288194444445</v>
      </c>
      <c r="Z149" s="179"/>
    </row>
    <row r="150" spans="2:26">
      <c r="B150" s="176"/>
      <c r="C150" s="186"/>
      <c r="D150" s="172"/>
      <c r="E150" s="23">
        <v>878</v>
      </c>
      <c r="F150" s="23">
        <f>DEMANDA_PREVISIÓN!E882</f>
        <v>33</v>
      </c>
      <c r="G150" s="101"/>
      <c r="H150" s="23">
        <f t="shared" si="4"/>
        <v>345</v>
      </c>
      <c r="I150" s="128">
        <v>400</v>
      </c>
      <c r="J150" s="23"/>
      <c r="K150" s="101"/>
      <c r="L150" s="129">
        <v>0</v>
      </c>
      <c r="M150" s="142">
        <v>1200</v>
      </c>
      <c r="Y150" s="141">
        <v>12.338425925926</v>
      </c>
      <c r="Z150" s="179"/>
    </row>
    <row r="151" spans="2:26">
      <c r="B151" s="176"/>
      <c r="C151" s="186"/>
      <c r="D151" s="172"/>
      <c r="E151" s="23">
        <v>879</v>
      </c>
      <c r="F151" s="23">
        <f>DEMANDA_PREVISIÓN!E883</f>
        <v>41</v>
      </c>
      <c r="G151" s="101"/>
      <c r="H151" s="23">
        <f t="shared" si="4"/>
        <v>304</v>
      </c>
      <c r="I151" s="128">
        <v>400</v>
      </c>
      <c r="J151" s="23"/>
      <c r="K151" s="101"/>
      <c r="L151" s="129">
        <v>0</v>
      </c>
      <c r="M151" s="142">
        <v>1200</v>
      </c>
      <c r="Y151" s="141">
        <v>12.3480324074075</v>
      </c>
      <c r="Z151" s="179"/>
    </row>
    <row r="152" spans="2:26">
      <c r="B152" s="176"/>
      <c r="C152" s="186"/>
      <c r="D152" s="172"/>
      <c r="E152" s="23">
        <v>880</v>
      </c>
      <c r="F152" s="23">
        <f>DEMANDA_PREVISIÓN!E884</f>
        <v>37</v>
      </c>
      <c r="G152" s="101"/>
      <c r="H152" s="128">
        <f>I151+H151-F152</f>
        <v>667</v>
      </c>
      <c r="I152" s="23"/>
      <c r="J152" s="23"/>
      <c r="K152" s="47"/>
      <c r="L152" s="129">
        <v>0</v>
      </c>
      <c r="M152" s="142">
        <v>1200</v>
      </c>
      <c r="Y152" s="141">
        <v>12.357638888888999</v>
      </c>
      <c r="Z152" s="179"/>
    </row>
    <row r="153" spans="2:26">
      <c r="B153" s="176"/>
      <c r="C153" s="186"/>
      <c r="D153" s="173"/>
      <c r="E153" s="23">
        <v>881</v>
      </c>
      <c r="F153" s="23">
        <f>DEMANDA_PREVISIÓN!E885</f>
        <v>34</v>
      </c>
      <c r="G153" s="101"/>
      <c r="H153" s="23">
        <f t="shared" ref="H153:H159" si="5">H152-F153</f>
        <v>633</v>
      </c>
      <c r="I153" s="23"/>
      <c r="J153" s="23"/>
      <c r="K153" s="101"/>
      <c r="L153" s="129">
        <v>0</v>
      </c>
      <c r="M153" s="142">
        <v>1200</v>
      </c>
      <c r="Y153" s="141">
        <v>12.367245370370499</v>
      </c>
      <c r="Z153" s="179"/>
    </row>
    <row r="154" spans="2:26">
      <c r="B154" s="176"/>
      <c r="C154" s="186"/>
      <c r="D154" s="171" t="s">
        <v>47</v>
      </c>
      <c r="E154" s="144">
        <v>882</v>
      </c>
      <c r="F154" s="144">
        <f>DEMANDA_PREVISIÓN!E886</f>
        <v>35</v>
      </c>
      <c r="G154" s="101"/>
      <c r="H154" s="4">
        <f t="shared" si="5"/>
        <v>598</v>
      </c>
      <c r="I154" s="23"/>
      <c r="J154" s="137">
        <v>400</v>
      </c>
      <c r="K154" s="101"/>
      <c r="L154" s="137">
        <v>50</v>
      </c>
      <c r="M154" s="142">
        <v>1200</v>
      </c>
      <c r="Y154" s="141">
        <v>12.3768518518519</v>
      </c>
      <c r="Z154" s="179"/>
    </row>
    <row r="155" spans="2:26">
      <c r="B155" s="176"/>
      <c r="C155" s="186"/>
      <c r="D155" s="172"/>
      <c r="E155" s="23">
        <v>883</v>
      </c>
      <c r="F155" s="23">
        <f>DEMANDA_PREVISIÓN!E887</f>
        <v>31</v>
      </c>
      <c r="G155" s="101"/>
      <c r="H155" s="23">
        <f t="shared" si="5"/>
        <v>567</v>
      </c>
      <c r="I155" s="23"/>
      <c r="J155" s="137">
        <v>400</v>
      </c>
      <c r="K155" s="101"/>
      <c r="L155" s="137">
        <v>50</v>
      </c>
      <c r="M155" s="142">
        <v>1200</v>
      </c>
      <c r="Y155" s="141">
        <v>12.386458333333399</v>
      </c>
      <c r="Z155" s="179"/>
    </row>
    <row r="156" spans="2:26">
      <c r="B156" s="176"/>
      <c r="C156" s="186"/>
      <c r="D156" s="172"/>
      <c r="E156" s="23">
        <v>884</v>
      </c>
      <c r="F156" s="23">
        <f>DEMANDA_PREVISIÓN!E888</f>
        <v>37</v>
      </c>
      <c r="G156" s="101"/>
      <c r="H156" s="23">
        <f t="shared" si="5"/>
        <v>530</v>
      </c>
      <c r="I156" s="23"/>
      <c r="J156" s="137">
        <v>400</v>
      </c>
      <c r="K156" s="101"/>
      <c r="L156" s="137">
        <v>50</v>
      </c>
      <c r="M156" s="142">
        <v>1200</v>
      </c>
      <c r="Y156" s="141">
        <v>12.396064814814901</v>
      </c>
      <c r="Z156" s="179"/>
    </row>
    <row r="157" spans="2:26">
      <c r="B157" s="176"/>
      <c r="C157" s="186"/>
      <c r="D157" s="172"/>
      <c r="E157" s="23">
        <v>885</v>
      </c>
      <c r="F157" s="23">
        <f>DEMANDA_PREVISIÓN!E889</f>
        <v>38</v>
      </c>
      <c r="G157" s="101"/>
      <c r="H157" s="23">
        <f t="shared" si="5"/>
        <v>492</v>
      </c>
      <c r="I157" s="23"/>
      <c r="J157" s="137">
        <v>400</v>
      </c>
      <c r="K157" s="101"/>
      <c r="L157" s="137">
        <v>50</v>
      </c>
      <c r="M157" s="142">
        <v>1200</v>
      </c>
      <c r="Y157" s="141">
        <v>12.405671296296401</v>
      </c>
      <c r="Z157" s="179"/>
    </row>
    <row r="158" spans="2:26">
      <c r="B158" s="176"/>
      <c r="C158" s="186"/>
      <c r="D158" s="172"/>
      <c r="E158" s="23">
        <v>886</v>
      </c>
      <c r="F158" s="23">
        <f>DEMANDA_PREVISIÓN!E890</f>
        <v>46</v>
      </c>
      <c r="G158" s="101"/>
      <c r="H158" s="23">
        <f t="shared" si="5"/>
        <v>446</v>
      </c>
      <c r="I158" s="23"/>
      <c r="J158" s="137">
        <v>400</v>
      </c>
      <c r="K158" s="101"/>
      <c r="L158" s="137">
        <v>50</v>
      </c>
      <c r="M158" s="142">
        <v>1200</v>
      </c>
      <c r="Y158" s="141">
        <v>12.4152777777779</v>
      </c>
      <c r="Z158" s="179"/>
    </row>
    <row r="159" spans="2:26">
      <c r="B159" s="176"/>
      <c r="C159" s="186"/>
      <c r="D159" s="172"/>
      <c r="E159" s="23">
        <v>887</v>
      </c>
      <c r="F159" s="23">
        <f>DEMANDA_PREVISIÓN!E891</f>
        <v>34</v>
      </c>
      <c r="G159" s="101"/>
      <c r="H159" s="23">
        <f t="shared" si="5"/>
        <v>412</v>
      </c>
      <c r="I159" s="23"/>
      <c r="J159" s="137">
        <v>400</v>
      </c>
      <c r="K159" s="101"/>
      <c r="L159" s="137">
        <v>50</v>
      </c>
      <c r="M159" s="142">
        <v>1200</v>
      </c>
      <c r="Y159" s="141">
        <v>12.424884259259301</v>
      </c>
      <c r="Z159" s="179"/>
    </row>
    <row r="160" spans="2:26">
      <c r="B160" s="176"/>
      <c r="C160" s="186"/>
      <c r="D160" s="172"/>
      <c r="E160" s="23">
        <v>888</v>
      </c>
      <c r="F160" s="23">
        <f>DEMANDA_PREVISIÓN!E892</f>
        <v>34</v>
      </c>
      <c r="G160" s="101"/>
      <c r="H160" s="129">
        <f>I159+H159-F160</f>
        <v>378</v>
      </c>
      <c r="I160" s="23"/>
      <c r="J160" s="137">
        <v>400</v>
      </c>
      <c r="K160" s="101"/>
      <c r="L160" s="137">
        <v>50</v>
      </c>
      <c r="M160" s="142">
        <v>1200</v>
      </c>
      <c r="Y160" s="141">
        <v>12.434490740740801</v>
      </c>
      <c r="Z160" s="179"/>
    </row>
    <row r="161" spans="2:26">
      <c r="B161" s="176"/>
      <c r="C161" s="186"/>
      <c r="D161" s="172"/>
      <c r="E161" s="23">
        <v>889</v>
      </c>
      <c r="F161" s="23">
        <f>DEMANDA_PREVISIÓN!E893</f>
        <v>48</v>
      </c>
      <c r="G161" s="101"/>
      <c r="H161" s="23">
        <f t="shared" ref="H161:H167" si="6">H160-F161</f>
        <v>330</v>
      </c>
      <c r="I161" s="137">
        <v>400</v>
      </c>
      <c r="J161" s="137">
        <v>400</v>
      </c>
      <c r="K161" s="101"/>
      <c r="L161" s="137">
        <v>50</v>
      </c>
      <c r="M161" s="142">
        <v>1200</v>
      </c>
      <c r="Y161" s="141">
        <v>12.4440972222223</v>
      </c>
      <c r="Z161" s="179"/>
    </row>
    <row r="162" spans="2:26">
      <c r="B162" s="176"/>
      <c r="C162" s="186"/>
      <c r="D162" s="172"/>
      <c r="E162" s="23">
        <v>890</v>
      </c>
      <c r="F162" s="23">
        <f>DEMANDA_PREVISIÓN!E894</f>
        <v>37</v>
      </c>
      <c r="G162" s="101"/>
      <c r="H162" s="23">
        <f t="shared" si="6"/>
        <v>293</v>
      </c>
      <c r="I162" s="137">
        <v>400</v>
      </c>
      <c r="J162" s="138">
        <v>400</v>
      </c>
      <c r="K162" s="101"/>
      <c r="L162" s="138">
        <v>50</v>
      </c>
      <c r="M162" s="142">
        <v>1200</v>
      </c>
      <c r="Y162" s="141">
        <v>12.4537037037038</v>
      </c>
      <c r="Z162" s="179"/>
    </row>
    <row r="163" spans="2:26">
      <c r="B163" s="176"/>
      <c r="C163" s="186"/>
      <c r="D163" s="172"/>
      <c r="E163" s="23">
        <v>891</v>
      </c>
      <c r="F163" s="23">
        <f>DEMANDA_PREVISIÓN!E895</f>
        <v>47</v>
      </c>
      <c r="G163" s="101"/>
      <c r="H163" s="23">
        <f t="shared" si="6"/>
        <v>246</v>
      </c>
      <c r="I163" s="137">
        <v>400</v>
      </c>
      <c r="J163" s="138">
        <v>400</v>
      </c>
      <c r="K163" s="101"/>
      <c r="L163" s="138">
        <v>50</v>
      </c>
      <c r="M163" s="142">
        <v>1200</v>
      </c>
      <c r="Y163" s="141">
        <v>12.4633101851853</v>
      </c>
      <c r="Z163" s="179"/>
    </row>
    <row r="164" spans="2:26">
      <c r="B164" s="176"/>
      <c r="C164" s="186"/>
      <c r="D164" s="172"/>
      <c r="E164" s="23">
        <v>892</v>
      </c>
      <c r="F164" s="23">
        <f>DEMANDA_PREVISIÓN!E896</f>
        <v>44</v>
      </c>
      <c r="G164" s="101"/>
      <c r="H164" s="23">
        <f t="shared" si="6"/>
        <v>202</v>
      </c>
      <c r="I164" s="137">
        <v>400</v>
      </c>
      <c r="J164" s="138">
        <v>400</v>
      </c>
      <c r="K164" s="101"/>
      <c r="L164" s="138">
        <v>50</v>
      </c>
      <c r="M164" s="142">
        <v>1200</v>
      </c>
      <c r="Y164" s="141">
        <v>12.4729166666668</v>
      </c>
      <c r="Z164" s="179"/>
    </row>
    <row r="165" spans="2:26">
      <c r="B165" s="176"/>
      <c r="C165" s="186"/>
      <c r="D165" s="172"/>
      <c r="E165" s="23">
        <v>893</v>
      </c>
      <c r="F165" s="23">
        <f>DEMANDA_PREVISIÓN!E897</f>
        <v>42</v>
      </c>
      <c r="G165" s="101"/>
      <c r="H165" s="23">
        <f t="shared" si="6"/>
        <v>160</v>
      </c>
      <c r="I165" s="137">
        <v>400</v>
      </c>
      <c r="J165" s="138">
        <v>400</v>
      </c>
      <c r="K165" s="101"/>
      <c r="L165" s="138">
        <v>50</v>
      </c>
      <c r="M165" s="142">
        <v>1200</v>
      </c>
      <c r="Y165" s="141">
        <v>12.4825231481482</v>
      </c>
      <c r="Z165" s="179"/>
    </row>
    <row r="166" spans="2:26">
      <c r="B166" s="176"/>
      <c r="C166" s="186"/>
      <c r="D166" s="172"/>
      <c r="E166" s="23">
        <v>894</v>
      </c>
      <c r="F166" s="23">
        <f>DEMANDA_PREVISIÓN!E898</f>
        <v>31</v>
      </c>
      <c r="G166" s="101"/>
      <c r="H166" s="23">
        <f t="shared" si="6"/>
        <v>129</v>
      </c>
      <c r="I166" s="137">
        <v>400</v>
      </c>
      <c r="J166" s="138">
        <v>400</v>
      </c>
      <c r="K166" s="101"/>
      <c r="L166" s="138">
        <v>50</v>
      </c>
      <c r="M166" s="142">
        <v>1200</v>
      </c>
      <c r="Y166" s="141">
        <v>12.4921296296297</v>
      </c>
      <c r="Z166" s="179"/>
    </row>
    <row r="167" spans="2:26">
      <c r="B167" s="176"/>
      <c r="C167" s="186"/>
      <c r="D167" s="172"/>
      <c r="E167" s="23">
        <v>895</v>
      </c>
      <c r="F167" s="23">
        <f>DEMANDA_PREVISIÓN!E899</f>
        <v>41</v>
      </c>
      <c r="G167" s="101"/>
      <c r="H167" s="23">
        <f t="shared" si="6"/>
        <v>88</v>
      </c>
      <c r="I167" s="137">
        <v>400</v>
      </c>
      <c r="J167" s="138">
        <v>400</v>
      </c>
      <c r="K167" s="101"/>
      <c r="L167" s="138">
        <v>50</v>
      </c>
      <c r="M167" s="142">
        <v>1200</v>
      </c>
      <c r="Y167" s="141">
        <v>12.5017361111112</v>
      </c>
      <c r="Z167" s="179"/>
    </row>
    <row r="168" spans="2:26">
      <c r="B168" s="176"/>
      <c r="C168" s="186"/>
      <c r="D168" s="172"/>
      <c r="E168" s="23">
        <v>896</v>
      </c>
      <c r="F168" s="23">
        <f>DEMANDA_PREVISIÓN!E900</f>
        <v>38</v>
      </c>
      <c r="G168" s="101"/>
      <c r="H168" s="137">
        <f>I167+H167-F168</f>
        <v>450</v>
      </c>
      <c r="J168" s="138">
        <v>400</v>
      </c>
      <c r="K168" s="101"/>
      <c r="L168" s="138">
        <v>50</v>
      </c>
      <c r="M168" s="142">
        <v>1200</v>
      </c>
      <c r="Y168" s="141">
        <v>12.511342592592699</v>
      </c>
      <c r="Z168" s="179"/>
    </row>
    <row r="169" spans="2:26">
      <c r="B169" s="176"/>
      <c r="C169" s="186"/>
      <c r="D169" s="172"/>
      <c r="E169" s="23">
        <v>897</v>
      </c>
      <c r="F169" s="23">
        <f>DEMANDA_PREVISIÓN!E901</f>
        <v>37</v>
      </c>
      <c r="G169" s="101"/>
      <c r="H169" s="23">
        <f t="shared" ref="H169:H175" si="7">H168-F169</f>
        <v>413</v>
      </c>
      <c r="I169" s="138">
        <v>400</v>
      </c>
      <c r="J169" s="138">
        <v>400</v>
      </c>
      <c r="K169" s="101"/>
      <c r="L169" s="138">
        <v>50</v>
      </c>
      <c r="M169" s="142">
        <v>1200</v>
      </c>
      <c r="Y169" s="141">
        <v>12.520949074074201</v>
      </c>
      <c r="Z169" s="179"/>
    </row>
    <row r="170" spans="2:26">
      <c r="B170" s="176"/>
      <c r="C170" s="186"/>
      <c r="D170" s="172"/>
      <c r="E170" s="23">
        <v>898</v>
      </c>
      <c r="F170" s="23">
        <f>DEMANDA_PREVISIÓN!E902</f>
        <v>48</v>
      </c>
      <c r="G170" s="101"/>
      <c r="H170" s="23">
        <f t="shared" si="7"/>
        <v>365</v>
      </c>
      <c r="I170" s="138">
        <v>400</v>
      </c>
      <c r="J170" s="134">
        <v>400</v>
      </c>
      <c r="K170" s="101"/>
      <c r="L170" s="134">
        <v>50</v>
      </c>
      <c r="M170" s="142">
        <v>1200</v>
      </c>
      <c r="Y170" s="141">
        <v>12.530555555555599</v>
      </c>
      <c r="Z170" s="179"/>
    </row>
    <row r="171" spans="2:26">
      <c r="B171" s="176"/>
      <c r="C171" s="186"/>
      <c r="D171" s="172"/>
      <c r="E171" s="23">
        <v>899</v>
      </c>
      <c r="F171" s="23">
        <f>DEMANDA_PREVISIÓN!E903</f>
        <v>34</v>
      </c>
      <c r="G171" s="101"/>
      <c r="H171" s="23">
        <f t="shared" si="7"/>
        <v>331</v>
      </c>
      <c r="I171" s="138">
        <v>400</v>
      </c>
      <c r="J171" s="134">
        <v>400</v>
      </c>
      <c r="K171" s="101"/>
      <c r="L171" s="134">
        <v>50</v>
      </c>
      <c r="M171" s="142">
        <v>1200</v>
      </c>
      <c r="Y171" s="141">
        <v>12.540162037037099</v>
      </c>
      <c r="Z171" s="179"/>
    </row>
    <row r="172" spans="2:26">
      <c r="B172" s="176"/>
      <c r="C172" s="186"/>
      <c r="D172" s="172"/>
      <c r="E172" s="23">
        <v>900</v>
      </c>
      <c r="F172" s="23">
        <f>DEMANDA_PREVISIÓN!E904</f>
        <v>46</v>
      </c>
      <c r="G172" s="101"/>
      <c r="H172" s="23">
        <f t="shared" si="7"/>
        <v>285</v>
      </c>
      <c r="I172" s="138">
        <v>400</v>
      </c>
      <c r="J172" s="134">
        <v>400</v>
      </c>
      <c r="K172" s="101"/>
      <c r="L172" s="134">
        <v>50</v>
      </c>
      <c r="M172" s="142">
        <v>1200</v>
      </c>
      <c r="Y172" s="141">
        <v>12.549768518518601</v>
      </c>
      <c r="Z172" s="179"/>
    </row>
    <row r="173" spans="2:26">
      <c r="B173" s="176"/>
      <c r="C173" s="186"/>
      <c r="D173" s="172"/>
      <c r="E173" s="23">
        <v>901</v>
      </c>
      <c r="F173" s="23">
        <f>DEMANDA_PREVISIÓN!E905</f>
        <v>48</v>
      </c>
      <c r="G173" s="101"/>
      <c r="H173" s="23">
        <f t="shared" si="7"/>
        <v>237</v>
      </c>
      <c r="I173" s="138">
        <v>400</v>
      </c>
      <c r="J173" s="134">
        <v>400</v>
      </c>
      <c r="K173" s="101"/>
      <c r="L173" s="134">
        <v>50</v>
      </c>
      <c r="M173" s="142">
        <v>1200</v>
      </c>
      <c r="Y173" s="141">
        <v>12.559375000000101</v>
      </c>
      <c r="Z173" s="179"/>
    </row>
    <row r="174" spans="2:26">
      <c r="B174" s="176"/>
      <c r="C174" s="186"/>
      <c r="D174" s="172"/>
      <c r="E174" s="23">
        <v>902</v>
      </c>
      <c r="F174" s="23">
        <f>DEMANDA_PREVISIÓN!E906</f>
        <v>46</v>
      </c>
      <c r="G174" s="101"/>
      <c r="H174" s="23">
        <f t="shared" si="7"/>
        <v>191</v>
      </c>
      <c r="I174" s="138">
        <v>400</v>
      </c>
      <c r="J174" s="134">
        <v>400</v>
      </c>
      <c r="K174" s="101"/>
      <c r="L174" s="134">
        <v>50</v>
      </c>
      <c r="M174" s="142">
        <v>1200</v>
      </c>
      <c r="Y174" s="141">
        <v>12.5689814814816</v>
      </c>
      <c r="Z174" s="179"/>
    </row>
    <row r="175" spans="2:26">
      <c r="B175" s="176"/>
      <c r="C175" s="186"/>
      <c r="D175" s="172"/>
      <c r="E175" s="23">
        <v>903</v>
      </c>
      <c r="F175" s="23">
        <f>DEMANDA_PREVISIÓN!E907</f>
        <v>41</v>
      </c>
      <c r="G175" s="101"/>
      <c r="H175" s="23">
        <f t="shared" si="7"/>
        <v>150</v>
      </c>
      <c r="I175" s="138">
        <v>400</v>
      </c>
      <c r="J175" s="134">
        <v>400</v>
      </c>
      <c r="K175" s="101"/>
      <c r="L175" s="134">
        <v>50</v>
      </c>
      <c r="M175" s="142">
        <v>1200</v>
      </c>
      <c r="Y175" s="141">
        <v>12.5785879629631</v>
      </c>
      <c r="Z175" s="179"/>
    </row>
    <row r="176" spans="2:26">
      <c r="B176" s="176"/>
      <c r="C176" s="186"/>
      <c r="D176" s="172"/>
      <c r="E176" s="23">
        <v>904</v>
      </c>
      <c r="F176" s="23">
        <f>DEMANDA_PREVISIÓN!E908</f>
        <v>38</v>
      </c>
      <c r="G176" s="101"/>
      <c r="H176" s="138">
        <f>I175+H175-F176</f>
        <v>512</v>
      </c>
      <c r="I176" s="23"/>
      <c r="J176" s="134">
        <v>400</v>
      </c>
      <c r="K176" s="101"/>
      <c r="L176" s="134">
        <v>50</v>
      </c>
      <c r="M176" s="142">
        <v>1200</v>
      </c>
      <c r="Y176" s="141">
        <v>12.5881944444445</v>
      </c>
      <c r="Z176" s="179"/>
    </row>
    <row r="177" spans="2:26">
      <c r="B177" s="176"/>
      <c r="C177" s="186"/>
      <c r="D177" s="172"/>
      <c r="E177" s="4">
        <v>905</v>
      </c>
      <c r="F177" s="4">
        <f>DEMANDA_PREVISIÓN!E909</f>
        <v>48</v>
      </c>
      <c r="G177" s="101"/>
      <c r="H177" s="4">
        <f t="shared" ref="H177:H185" si="8">H176-F177</f>
        <v>464</v>
      </c>
      <c r="I177" s="134">
        <v>400</v>
      </c>
      <c r="J177" s="134">
        <v>400</v>
      </c>
      <c r="K177" s="101"/>
      <c r="L177" s="134">
        <v>50</v>
      </c>
      <c r="M177" s="142">
        <v>1200</v>
      </c>
      <c r="Y177" s="141">
        <v>12.597800925926</v>
      </c>
      <c r="Z177" s="179"/>
    </row>
    <row r="178" spans="2:26">
      <c r="B178" s="176"/>
      <c r="C178" s="186"/>
      <c r="D178" s="172"/>
      <c r="E178" s="23">
        <v>906</v>
      </c>
      <c r="F178" s="23">
        <f>DEMANDA_PREVISIÓN!E910</f>
        <v>43</v>
      </c>
      <c r="G178" s="101"/>
      <c r="H178" s="23">
        <f t="shared" si="8"/>
        <v>421</v>
      </c>
      <c r="I178" s="134">
        <v>400</v>
      </c>
      <c r="J178" s="128">
        <v>400</v>
      </c>
      <c r="K178" s="101"/>
      <c r="L178" s="128">
        <v>50</v>
      </c>
      <c r="M178" s="142">
        <v>1200</v>
      </c>
      <c r="Y178" s="141">
        <v>12.6074074074075</v>
      </c>
      <c r="Z178" s="179"/>
    </row>
    <row r="179" spans="2:26">
      <c r="B179" s="176"/>
      <c r="C179" s="186"/>
      <c r="D179" s="172"/>
      <c r="E179" s="23">
        <v>907</v>
      </c>
      <c r="F179" s="23">
        <f>DEMANDA_PREVISIÓN!E911</f>
        <v>43</v>
      </c>
      <c r="G179" s="101"/>
      <c r="H179" s="23">
        <f t="shared" si="8"/>
        <v>378</v>
      </c>
      <c r="I179" s="134">
        <v>400</v>
      </c>
      <c r="J179" s="128">
        <v>400</v>
      </c>
      <c r="K179" s="101"/>
      <c r="L179" s="128">
        <v>50</v>
      </c>
      <c r="M179" s="142">
        <v>1200</v>
      </c>
      <c r="Y179" s="141">
        <v>12.617013888889</v>
      </c>
      <c r="Z179" s="179"/>
    </row>
    <row r="180" spans="2:26">
      <c r="B180" s="176"/>
      <c r="C180" s="186"/>
      <c r="D180" s="172"/>
      <c r="E180" s="23">
        <v>908</v>
      </c>
      <c r="F180" s="23">
        <f>DEMANDA_PREVISIÓN!E912</f>
        <v>36</v>
      </c>
      <c r="G180" s="101"/>
      <c r="H180" s="23">
        <f t="shared" si="8"/>
        <v>342</v>
      </c>
      <c r="I180" s="134">
        <v>400</v>
      </c>
      <c r="J180" s="128">
        <v>400</v>
      </c>
      <c r="K180" s="101"/>
      <c r="L180" s="128">
        <v>50</v>
      </c>
      <c r="M180" s="142">
        <v>1200</v>
      </c>
      <c r="Y180" s="141">
        <v>12.6266203703705</v>
      </c>
      <c r="Z180" s="179"/>
    </row>
    <row r="181" spans="2:26">
      <c r="B181" s="176"/>
      <c r="C181" s="186"/>
      <c r="D181" s="172"/>
      <c r="E181" s="23">
        <v>909</v>
      </c>
      <c r="F181" s="23">
        <f>DEMANDA_PREVISIÓN!E913</f>
        <v>39</v>
      </c>
      <c r="G181" s="101"/>
      <c r="H181" s="23">
        <f t="shared" si="8"/>
        <v>303</v>
      </c>
      <c r="I181" s="134">
        <v>400</v>
      </c>
      <c r="J181" s="128">
        <v>400</v>
      </c>
      <c r="K181" s="101"/>
      <c r="L181" s="128">
        <v>50</v>
      </c>
      <c r="M181" s="142">
        <v>1200</v>
      </c>
      <c r="Y181" s="141">
        <v>12.6362268518519</v>
      </c>
      <c r="Z181" s="179"/>
    </row>
    <row r="182" spans="2:26">
      <c r="B182" s="176"/>
      <c r="C182" s="186"/>
      <c r="D182" s="172"/>
      <c r="E182" s="23">
        <v>910</v>
      </c>
      <c r="F182" s="23">
        <f>DEMANDA_PREVISIÓN!E914</f>
        <v>40</v>
      </c>
      <c r="G182" s="101"/>
      <c r="H182" s="23">
        <f t="shared" si="8"/>
        <v>263</v>
      </c>
      <c r="I182" s="134">
        <v>400</v>
      </c>
      <c r="J182" s="128">
        <v>400</v>
      </c>
      <c r="K182" s="101"/>
      <c r="L182" s="128">
        <v>50</v>
      </c>
      <c r="M182" s="142">
        <v>1200</v>
      </c>
      <c r="Y182" s="141">
        <v>12.6458333333334</v>
      </c>
      <c r="Z182" s="179"/>
    </row>
    <row r="183" spans="2:26">
      <c r="B183" s="176"/>
      <c r="C183" s="186"/>
      <c r="D183" s="173"/>
      <c r="E183" s="23">
        <v>911</v>
      </c>
      <c r="F183" s="23">
        <f>DEMANDA_PREVISIÓN!E915</f>
        <v>42</v>
      </c>
      <c r="G183" s="101"/>
      <c r="H183" s="23">
        <f t="shared" si="8"/>
        <v>221</v>
      </c>
      <c r="I183" s="134">
        <v>400</v>
      </c>
      <c r="J183" s="128">
        <v>400</v>
      </c>
      <c r="K183" s="101"/>
      <c r="L183" s="128">
        <v>50</v>
      </c>
      <c r="M183" s="142">
        <v>1200</v>
      </c>
      <c r="Y183" s="141">
        <v>12.655439814814899</v>
      </c>
      <c r="Z183" s="179"/>
    </row>
    <row r="184" spans="2:26">
      <c r="B184" s="176"/>
      <c r="C184" s="174" t="s">
        <v>48</v>
      </c>
      <c r="D184" s="171" t="s">
        <v>49</v>
      </c>
      <c r="E184" s="23">
        <v>912</v>
      </c>
      <c r="F184" s="23">
        <f>DEMANDA_PREVISIÓN!E916</f>
        <v>37</v>
      </c>
      <c r="G184" s="101"/>
      <c r="H184" s="134">
        <f>I183+H183-F184</f>
        <v>584</v>
      </c>
      <c r="I184" s="23"/>
      <c r="J184" s="128">
        <v>400</v>
      </c>
      <c r="K184" s="101"/>
      <c r="L184" s="128">
        <v>50</v>
      </c>
      <c r="M184" s="142">
        <v>1200</v>
      </c>
      <c r="Y184" s="141">
        <v>12.665046296296399</v>
      </c>
      <c r="Z184" s="179"/>
    </row>
    <row r="185" spans="2:26">
      <c r="B185" s="176"/>
      <c r="C185" s="174"/>
      <c r="D185" s="172"/>
      <c r="E185" s="23">
        <v>913</v>
      </c>
      <c r="F185" s="23">
        <f>DEMANDA_PREVISIÓN!E917</f>
        <v>33</v>
      </c>
      <c r="G185" s="101"/>
      <c r="H185" s="23">
        <f t="shared" si="8"/>
        <v>551</v>
      </c>
      <c r="I185" s="128">
        <v>400</v>
      </c>
      <c r="J185" s="128">
        <v>400</v>
      </c>
      <c r="K185" s="101"/>
      <c r="L185" s="128">
        <v>50</v>
      </c>
      <c r="M185" s="142">
        <v>1200</v>
      </c>
      <c r="Y185" s="141">
        <v>12.674652777777901</v>
      </c>
      <c r="Z185" s="179"/>
    </row>
    <row r="186" spans="2:26">
      <c r="B186" s="176"/>
      <c r="C186" s="174"/>
      <c r="D186" s="172"/>
      <c r="E186" s="23">
        <v>914</v>
      </c>
      <c r="F186" s="23">
        <f>DEMANDA_PREVISIÓN!E918</f>
        <v>46</v>
      </c>
      <c r="G186" s="101"/>
      <c r="H186" s="23">
        <f>H185-F186</f>
        <v>505</v>
      </c>
      <c r="I186" s="128">
        <v>400</v>
      </c>
      <c r="J186" s="129">
        <v>400</v>
      </c>
      <c r="K186" s="101"/>
      <c r="L186" s="129">
        <v>50</v>
      </c>
      <c r="M186" s="142">
        <v>1200</v>
      </c>
      <c r="Y186" s="141">
        <v>12.684259259259401</v>
      </c>
      <c r="Z186" s="179"/>
    </row>
    <row r="187" spans="2:26">
      <c r="B187" s="176"/>
      <c r="C187" s="174"/>
      <c r="D187" s="172"/>
      <c r="E187" s="23">
        <v>915</v>
      </c>
      <c r="F187" s="23">
        <f>DEMANDA_PREVISIÓN!E919</f>
        <v>36</v>
      </c>
      <c r="G187" s="101"/>
      <c r="H187" s="23">
        <f t="shared" ref="H187:H191" si="9">H186-F187</f>
        <v>469</v>
      </c>
      <c r="I187" s="128">
        <v>400</v>
      </c>
      <c r="J187" s="129">
        <v>400</v>
      </c>
      <c r="K187" s="101"/>
      <c r="L187" s="129">
        <v>50</v>
      </c>
      <c r="M187" s="142">
        <v>1200</v>
      </c>
      <c r="Y187" s="141">
        <v>12.693865740740801</v>
      </c>
      <c r="Z187" s="179"/>
    </row>
    <row r="188" spans="2:26">
      <c r="B188" s="176"/>
      <c r="C188" s="174"/>
      <c r="D188" s="172"/>
      <c r="E188" s="23">
        <v>916</v>
      </c>
      <c r="F188" s="23">
        <f>DEMANDA_PREVISIÓN!E920</f>
        <v>33</v>
      </c>
      <c r="G188" s="101"/>
      <c r="H188" s="23">
        <f t="shared" si="9"/>
        <v>436</v>
      </c>
      <c r="I188" s="128">
        <v>400</v>
      </c>
      <c r="J188" s="129">
        <v>400</v>
      </c>
      <c r="K188" s="101"/>
      <c r="L188" s="129">
        <v>50</v>
      </c>
      <c r="M188" s="142">
        <v>1200</v>
      </c>
      <c r="Y188" s="141">
        <v>12.703472222222301</v>
      </c>
      <c r="Z188" s="179"/>
    </row>
    <row r="189" spans="2:26">
      <c r="B189" s="176"/>
      <c r="C189" s="174"/>
      <c r="D189" s="172"/>
      <c r="E189" s="23">
        <v>917</v>
      </c>
      <c r="F189" s="23">
        <f>DEMANDA_PREVISIÓN!E921</f>
        <v>33</v>
      </c>
      <c r="G189" s="101"/>
      <c r="H189" s="23">
        <f t="shared" si="9"/>
        <v>403</v>
      </c>
      <c r="I189" s="128">
        <v>400</v>
      </c>
      <c r="J189" s="129">
        <v>400</v>
      </c>
      <c r="K189" s="101"/>
      <c r="L189" s="129">
        <v>50</v>
      </c>
      <c r="M189" s="142">
        <v>1200</v>
      </c>
      <c r="Y189" s="141">
        <v>12.7130787037038</v>
      </c>
      <c r="Z189" s="179"/>
    </row>
    <row r="190" spans="2:26">
      <c r="B190" s="176"/>
      <c r="C190" s="174"/>
      <c r="D190" s="172"/>
      <c r="E190" s="23">
        <v>918</v>
      </c>
      <c r="F190" s="23">
        <f>DEMANDA_PREVISIÓN!E922</f>
        <v>37</v>
      </c>
      <c r="G190" s="101"/>
      <c r="H190" s="23">
        <f t="shared" si="9"/>
        <v>366</v>
      </c>
      <c r="I190" s="128">
        <v>400</v>
      </c>
      <c r="J190" s="129">
        <v>400</v>
      </c>
      <c r="K190" s="101"/>
      <c r="L190" s="129">
        <v>50</v>
      </c>
      <c r="M190" s="142">
        <v>1200</v>
      </c>
      <c r="Y190" s="141">
        <v>12.7226851851853</v>
      </c>
      <c r="Z190" s="179"/>
    </row>
    <row r="191" spans="2:26">
      <c r="B191" s="176"/>
      <c r="C191" s="174"/>
      <c r="D191" s="172"/>
      <c r="E191" s="23">
        <v>919</v>
      </c>
      <c r="F191" s="23">
        <f>DEMANDA_PREVISIÓN!E923</f>
        <v>38</v>
      </c>
      <c r="G191" s="101"/>
      <c r="H191" s="23">
        <f t="shared" si="9"/>
        <v>328</v>
      </c>
      <c r="I191" s="128">
        <v>400</v>
      </c>
      <c r="J191" s="129">
        <v>400</v>
      </c>
      <c r="K191" s="101"/>
      <c r="L191" s="129">
        <v>50</v>
      </c>
      <c r="M191" s="142">
        <v>1200</v>
      </c>
      <c r="Y191" s="141">
        <v>12.7322916666668</v>
      </c>
      <c r="Z191" s="179"/>
    </row>
    <row r="192" spans="2:26">
      <c r="B192" s="176"/>
      <c r="C192" s="174"/>
      <c r="D192" s="172"/>
      <c r="E192" s="23">
        <v>920</v>
      </c>
      <c r="F192" s="23">
        <f>DEMANDA_PREVISIÓN!E924</f>
        <v>36</v>
      </c>
      <c r="G192" s="101"/>
      <c r="H192" s="128">
        <f>I191+H191-F192</f>
        <v>692</v>
      </c>
      <c r="I192" s="23"/>
      <c r="J192" s="129">
        <v>400</v>
      </c>
      <c r="K192" s="47"/>
      <c r="L192" s="129">
        <v>50</v>
      </c>
      <c r="M192" s="142">
        <v>1200</v>
      </c>
      <c r="Y192" s="141">
        <v>12.7418981481482</v>
      </c>
      <c r="Z192" s="179"/>
    </row>
    <row r="193" spans="2:26">
      <c r="B193" s="176"/>
      <c r="C193" s="174"/>
      <c r="D193" s="172"/>
      <c r="E193" s="23">
        <v>921</v>
      </c>
      <c r="F193" s="23">
        <f>DEMANDA_PREVISIÓN!E925</f>
        <v>40</v>
      </c>
      <c r="G193" s="101"/>
      <c r="H193" s="23">
        <f t="shared" ref="H193:H199" si="10">H192-F193</f>
        <v>652</v>
      </c>
      <c r="I193" s="129">
        <v>400</v>
      </c>
      <c r="J193" s="129">
        <v>400</v>
      </c>
      <c r="K193" s="101"/>
      <c r="L193" s="129">
        <v>50</v>
      </c>
      <c r="M193" s="142">
        <v>1200</v>
      </c>
      <c r="Y193" s="141">
        <v>12.7515046296297</v>
      </c>
      <c r="Z193" s="179"/>
    </row>
    <row r="194" spans="2:26">
      <c r="B194" s="176"/>
      <c r="C194" s="174"/>
      <c r="D194" s="172"/>
      <c r="E194" s="23">
        <v>922</v>
      </c>
      <c r="F194" s="23">
        <f>DEMANDA_PREVISIÓN!E926</f>
        <v>39</v>
      </c>
      <c r="G194" s="101"/>
      <c r="H194" s="23">
        <f t="shared" si="10"/>
        <v>613</v>
      </c>
      <c r="I194" s="129">
        <v>400</v>
      </c>
      <c r="J194" s="137">
        <v>400</v>
      </c>
      <c r="K194" s="101"/>
      <c r="L194" s="137">
        <v>50</v>
      </c>
      <c r="M194" s="142">
        <v>1200</v>
      </c>
      <c r="Y194" s="141">
        <v>12.7611111111112</v>
      </c>
      <c r="Z194" s="179"/>
    </row>
    <row r="195" spans="2:26">
      <c r="B195" s="176"/>
      <c r="C195" s="174"/>
      <c r="D195" s="172"/>
      <c r="E195" s="23">
        <v>923</v>
      </c>
      <c r="F195" s="23">
        <f>DEMANDA_PREVISIÓN!E927</f>
        <v>34</v>
      </c>
      <c r="G195" s="101"/>
      <c r="H195" s="23">
        <f t="shared" si="10"/>
        <v>579</v>
      </c>
      <c r="I195" s="129">
        <v>400</v>
      </c>
      <c r="J195" s="137">
        <v>400</v>
      </c>
      <c r="K195" s="101"/>
      <c r="L195" s="137">
        <v>50</v>
      </c>
      <c r="M195" s="142">
        <v>1200</v>
      </c>
      <c r="Y195" s="141">
        <v>12.7707175925927</v>
      </c>
      <c r="Z195" s="179"/>
    </row>
    <row r="196" spans="2:26">
      <c r="B196" s="176"/>
      <c r="C196" s="174"/>
      <c r="D196" s="172"/>
      <c r="E196" s="23">
        <v>924</v>
      </c>
      <c r="F196" s="23">
        <f>DEMANDA_PREVISIÓN!E928</f>
        <v>40</v>
      </c>
      <c r="G196" s="101"/>
      <c r="H196" s="23">
        <f t="shared" si="10"/>
        <v>539</v>
      </c>
      <c r="I196" s="129">
        <v>400</v>
      </c>
      <c r="J196" s="137">
        <v>400</v>
      </c>
      <c r="K196" s="101"/>
      <c r="L196" s="137">
        <v>50</v>
      </c>
      <c r="M196" s="142">
        <v>1200</v>
      </c>
      <c r="Y196" s="141">
        <v>12.780324074074199</v>
      </c>
      <c r="Z196" s="179"/>
    </row>
    <row r="197" spans="2:26">
      <c r="B197" s="176"/>
      <c r="C197" s="174"/>
      <c r="D197" s="172"/>
      <c r="E197" s="23">
        <v>925</v>
      </c>
      <c r="F197" s="23">
        <f>DEMANDA_PREVISIÓN!E929</f>
        <v>28</v>
      </c>
      <c r="G197" s="101"/>
      <c r="H197" s="23">
        <f t="shared" si="10"/>
        <v>511</v>
      </c>
      <c r="I197" s="129">
        <v>400</v>
      </c>
      <c r="J197" s="137">
        <v>400</v>
      </c>
      <c r="K197" s="101"/>
      <c r="L197" s="137">
        <v>50</v>
      </c>
      <c r="M197" s="142">
        <v>1200</v>
      </c>
      <c r="Y197" s="141">
        <v>12.789930555555699</v>
      </c>
      <c r="Z197" s="179"/>
    </row>
    <row r="198" spans="2:26">
      <c r="B198" s="176"/>
      <c r="C198" s="174"/>
      <c r="D198" s="172"/>
      <c r="E198" s="23">
        <v>926</v>
      </c>
      <c r="F198" s="23">
        <f>DEMANDA_PREVISIÓN!E930</f>
        <v>49</v>
      </c>
      <c r="G198" s="101"/>
      <c r="H198" s="23">
        <f t="shared" si="10"/>
        <v>462</v>
      </c>
      <c r="I198" s="129">
        <v>400</v>
      </c>
      <c r="J198" s="137">
        <v>400</v>
      </c>
      <c r="K198" s="101"/>
      <c r="L198" s="137">
        <v>50</v>
      </c>
      <c r="M198" s="142">
        <v>1200</v>
      </c>
      <c r="Y198" s="141">
        <v>12.7995370370371</v>
      </c>
      <c r="Z198" s="179"/>
    </row>
    <row r="199" spans="2:26">
      <c r="B199" s="176"/>
      <c r="C199" s="174"/>
      <c r="D199" s="172"/>
      <c r="E199" s="23">
        <v>927</v>
      </c>
      <c r="F199" s="23">
        <f>DEMANDA_PREVISIÓN!E931</f>
        <v>39</v>
      </c>
      <c r="G199" s="101"/>
      <c r="H199" s="23">
        <f t="shared" si="10"/>
        <v>423</v>
      </c>
      <c r="I199" s="129">
        <v>400</v>
      </c>
      <c r="J199" s="137">
        <v>400</v>
      </c>
      <c r="K199" s="101"/>
      <c r="L199" s="137">
        <v>50</v>
      </c>
      <c r="M199" s="142">
        <v>1200</v>
      </c>
      <c r="Y199" s="141">
        <v>12.809143518518599</v>
      </c>
      <c r="Z199" s="179"/>
    </row>
    <row r="200" spans="2:26">
      <c r="B200" s="176"/>
      <c r="C200" s="174"/>
      <c r="D200" s="172"/>
      <c r="E200" s="23">
        <v>928</v>
      </c>
      <c r="F200" s="23">
        <f>DEMANDA_PREVISIÓN!E932</f>
        <v>34</v>
      </c>
      <c r="G200" s="101"/>
      <c r="H200" s="129">
        <f>I199+H199-F200</f>
        <v>789</v>
      </c>
      <c r="I200" s="23"/>
      <c r="J200" s="137">
        <v>400</v>
      </c>
      <c r="K200" s="101"/>
      <c r="L200" s="137">
        <v>50</v>
      </c>
      <c r="M200" s="142">
        <v>1200</v>
      </c>
      <c r="Y200" s="141">
        <v>12.818750000000099</v>
      </c>
      <c r="Z200" s="179"/>
    </row>
    <row r="201" spans="2:26">
      <c r="B201" s="176"/>
      <c r="C201" s="174"/>
      <c r="D201" s="172"/>
      <c r="E201" s="4">
        <v>929</v>
      </c>
      <c r="F201" s="4">
        <f>DEMANDA_PREVISIÓN!E933</f>
        <v>27</v>
      </c>
      <c r="G201" s="101"/>
      <c r="H201" s="4">
        <f t="shared" ref="H201:H207" si="11">H200-F201</f>
        <v>762</v>
      </c>
      <c r="I201" s="137">
        <v>400</v>
      </c>
      <c r="J201" s="137">
        <v>400</v>
      </c>
      <c r="K201" s="101"/>
      <c r="L201" s="137">
        <v>50</v>
      </c>
      <c r="M201" s="142">
        <v>1200</v>
      </c>
      <c r="Y201" s="141">
        <v>12.828356481481601</v>
      </c>
      <c r="Z201" s="179"/>
    </row>
    <row r="202" spans="2:26">
      <c r="B202" s="176"/>
      <c r="C202" s="174"/>
      <c r="D202" s="172"/>
      <c r="E202" s="23">
        <v>930</v>
      </c>
      <c r="F202" s="23">
        <f>DEMANDA_PREVISIÓN!E934</f>
        <v>39</v>
      </c>
      <c r="G202" s="101"/>
      <c r="H202" s="23">
        <f t="shared" si="11"/>
        <v>723</v>
      </c>
      <c r="I202" s="137">
        <v>400</v>
      </c>
      <c r="J202" s="138">
        <v>400</v>
      </c>
      <c r="K202" s="101"/>
      <c r="L202" s="138">
        <v>50</v>
      </c>
      <c r="M202" s="142">
        <v>1200</v>
      </c>
      <c r="Y202" s="141">
        <v>12.8379629629631</v>
      </c>
      <c r="Z202" s="179"/>
    </row>
    <row r="203" spans="2:26">
      <c r="B203" s="176"/>
      <c r="C203" s="174"/>
      <c r="D203" s="172"/>
      <c r="E203" s="23">
        <v>931</v>
      </c>
      <c r="F203" s="23">
        <f>DEMANDA_PREVISIÓN!E935</f>
        <v>46</v>
      </c>
      <c r="G203" s="101"/>
      <c r="H203" s="23">
        <f t="shared" si="11"/>
        <v>677</v>
      </c>
      <c r="I203" s="137">
        <v>400</v>
      </c>
      <c r="J203" s="138">
        <v>400</v>
      </c>
      <c r="K203" s="101"/>
      <c r="L203" s="138">
        <v>50</v>
      </c>
      <c r="M203" s="142">
        <v>1200</v>
      </c>
      <c r="Y203" s="141">
        <v>12.8475694444446</v>
      </c>
      <c r="Z203" s="179"/>
    </row>
    <row r="204" spans="2:26">
      <c r="B204" s="176"/>
      <c r="C204" s="174"/>
      <c r="D204" s="172"/>
      <c r="E204" s="23">
        <v>932</v>
      </c>
      <c r="F204" s="23">
        <f>DEMANDA_PREVISIÓN!E936</f>
        <v>41</v>
      </c>
      <c r="G204" s="101"/>
      <c r="H204" s="23">
        <f t="shared" si="11"/>
        <v>636</v>
      </c>
      <c r="I204" s="137">
        <v>400</v>
      </c>
      <c r="J204" s="138">
        <v>400</v>
      </c>
      <c r="K204" s="101"/>
      <c r="L204" s="138">
        <v>50</v>
      </c>
      <c r="M204" s="142">
        <v>1200</v>
      </c>
      <c r="Y204" s="141">
        <v>12.857175925926001</v>
      </c>
      <c r="Z204" s="179"/>
    </row>
    <row r="205" spans="2:26">
      <c r="B205" s="176"/>
      <c r="C205" s="174"/>
      <c r="D205" s="172"/>
      <c r="E205" s="23">
        <v>933</v>
      </c>
      <c r="F205" s="23">
        <f>DEMANDA_PREVISIÓN!E937</f>
        <v>32</v>
      </c>
      <c r="G205" s="101"/>
      <c r="H205" s="23">
        <f t="shared" si="11"/>
        <v>604</v>
      </c>
      <c r="I205" s="137">
        <v>400</v>
      </c>
      <c r="J205" s="138">
        <v>400</v>
      </c>
      <c r="K205" s="101"/>
      <c r="L205" s="138">
        <v>50</v>
      </c>
      <c r="M205" s="142">
        <v>1200</v>
      </c>
      <c r="Y205" s="141">
        <v>12.8667824074075</v>
      </c>
      <c r="Z205" s="179"/>
    </row>
    <row r="206" spans="2:26">
      <c r="B206" s="176"/>
      <c r="C206" s="174"/>
      <c r="D206" s="172"/>
      <c r="E206" s="23">
        <v>934</v>
      </c>
      <c r="F206" s="23">
        <f>DEMANDA_PREVISIÓN!E938</f>
        <v>43</v>
      </c>
      <c r="G206" s="101"/>
      <c r="H206" s="23">
        <f t="shared" si="11"/>
        <v>561</v>
      </c>
      <c r="I206" s="137">
        <v>400</v>
      </c>
      <c r="J206" s="138">
        <v>400</v>
      </c>
      <c r="K206" s="101"/>
      <c r="L206" s="138">
        <v>50</v>
      </c>
      <c r="M206" s="142">
        <v>1200</v>
      </c>
      <c r="Y206" s="141">
        <v>12.876388888889</v>
      </c>
      <c r="Z206" s="179"/>
    </row>
    <row r="207" spans="2:26">
      <c r="B207" s="176"/>
      <c r="C207" s="174"/>
      <c r="D207" s="172"/>
      <c r="E207" s="23">
        <v>935</v>
      </c>
      <c r="F207" s="23">
        <f>DEMANDA_PREVISIÓN!E939</f>
        <v>44</v>
      </c>
      <c r="G207" s="101"/>
      <c r="H207" s="23">
        <f t="shared" si="11"/>
        <v>517</v>
      </c>
      <c r="I207" s="137">
        <v>400</v>
      </c>
      <c r="J207" s="138">
        <v>400</v>
      </c>
      <c r="K207" s="101"/>
      <c r="L207" s="138">
        <v>50</v>
      </c>
      <c r="M207" s="142">
        <v>1200</v>
      </c>
      <c r="Y207" s="141">
        <v>12.8859953703705</v>
      </c>
      <c r="Z207" s="179"/>
    </row>
    <row r="208" spans="2:26">
      <c r="B208" s="176"/>
      <c r="C208" s="174"/>
      <c r="D208" s="172"/>
      <c r="E208" s="23">
        <v>936</v>
      </c>
      <c r="F208" s="23">
        <f>DEMANDA_PREVISIÓN!E940</f>
        <v>36</v>
      </c>
      <c r="G208" s="101"/>
      <c r="H208" s="137">
        <f>I207+H207-F208</f>
        <v>881</v>
      </c>
      <c r="I208" s="23"/>
      <c r="J208" s="138">
        <v>400</v>
      </c>
      <c r="K208" s="101"/>
      <c r="L208" s="138">
        <v>50</v>
      </c>
      <c r="M208" s="142">
        <v>1200</v>
      </c>
      <c r="Y208" s="141">
        <v>12.895601851852</v>
      </c>
      <c r="Z208" s="179"/>
    </row>
    <row r="209" spans="2:26">
      <c r="B209" s="176"/>
      <c r="C209" s="174"/>
      <c r="D209" s="172"/>
      <c r="E209" s="23">
        <v>937</v>
      </c>
      <c r="F209" s="23">
        <f>DEMANDA_PREVISIÓN!E941</f>
        <v>29</v>
      </c>
      <c r="G209" s="101"/>
      <c r="H209" s="23">
        <f t="shared" ref="H209:H215" si="12">H208-F209</f>
        <v>852</v>
      </c>
      <c r="I209" s="138">
        <v>400</v>
      </c>
      <c r="J209" s="138">
        <v>400</v>
      </c>
      <c r="K209" s="101"/>
      <c r="L209" s="138">
        <v>50</v>
      </c>
      <c r="M209" s="142">
        <v>1200</v>
      </c>
      <c r="Y209" s="141">
        <v>12.9052083333334</v>
      </c>
      <c r="Z209" s="179"/>
    </row>
    <row r="210" spans="2:26">
      <c r="B210" s="176"/>
      <c r="C210" s="174"/>
      <c r="D210" s="172"/>
      <c r="E210" s="23">
        <v>938</v>
      </c>
      <c r="F210" s="23">
        <f>DEMANDA_PREVISIÓN!E942</f>
        <v>39</v>
      </c>
      <c r="G210" s="101"/>
      <c r="H210" s="23">
        <f t="shared" si="12"/>
        <v>813</v>
      </c>
      <c r="I210" s="138">
        <v>400</v>
      </c>
      <c r="J210" s="134">
        <v>400</v>
      </c>
      <c r="K210" s="101"/>
      <c r="L210" s="134">
        <v>50</v>
      </c>
      <c r="M210" s="142">
        <v>1200</v>
      </c>
      <c r="Y210" s="141">
        <v>12.9148148148149</v>
      </c>
      <c r="Z210" s="179"/>
    </row>
    <row r="211" spans="2:26">
      <c r="B211" s="176"/>
      <c r="C211" s="174"/>
      <c r="D211" s="172"/>
      <c r="E211" s="23">
        <v>939</v>
      </c>
      <c r="F211" s="23">
        <f>DEMANDA_PREVISIÓN!E943</f>
        <v>30</v>
      </c>
      <c r="G211" s="101"/>
      <c r="H211" s="23">
        <f t="shared" si="12"/>
        <v>783</v>
      </c>
      <c r="I211" s="138">
        <v>400</v>
      </c>
      <c r="J211" s="134">
        <v>400</v>
      </c>
      <c r="K211" s="101"/>
      <c r="L211" s="134">
        <v>50</v>
      </c>
      <c r="M211" s="142">
        <v>1200</v>
      </c>
      <c r="Y211" s="141">
        <v>12.9244212962964</v>
      </c>
      <c r="Z211" s="179"/>
    </row>
    <row r="212" spans="2:26">
      <c r="B212" s="176"/>
      <c r="C212" s="174"/>
      <c r="D212" s="172"/>
      <c r="E212" s="23">
        <v>940</v>
      </c>
      <c r="F212" s="23">
        <f>DEMANDA_PREVISIÓN!E944</f>
        <v>24</v>
      </c>
      <c r="G212" s="101"/>
      <c r="H212" s="23">
        <f t="shared" si="12"/>
        <v>759</v>
      </c>
      <c r="I212" s="138">
        <v>400</v>
      </c>
      <c r="J212" s="134">
        <v>400</v>
      </c>
      <c r="K212" s="101"/>
      <c r="L212" s="134">
        <v>50</v>
      </c>
      <c r="M212" s="142">
        <v>1200</v>
      </c>
      <c r="Y212" s="141">
        <v>12.934027777777899</v>
      </c>
      <c r="Z212" s="179"/>
    </row>
    <row r="213" spans="2:26">
      <c r="B213" s="176"/>
      <c r="C213" s="174"/>
      <c r="D213" s="172"/>
      <c r="E213" s="23">
        <v>941</v>
      </c>
      <c r="F213" s="23">
        <f>DEMANDA_PREVISIÓN!E945</f>
        <v>39</v>
      </c>
      <c r="G213" s="101"/>
      <c r="H213" s="23">
        <f t="shared" si="12"/>
        <v>720</v>
      </c>
      <c r="I213" s="138">
        <v>400</v>
      </c>
      <c r="J213" s="134">
        <v>400</v>
      </c>
      <c r="K213" s="101"/>
      <c r="L213" s="134">
        <v>50</v>
      </c>
      <c r="M213" s="142">
        <v>1200</v>
      </c>
      <c r="Y213" s="141">
        <v>12.943634259259399</v>
      </c>
      <c r="Z213" s="179"/>
    </row>
    <row r="214" spans="2:26">
      <c r="B214" s="176"/>
      <c r="C214" s="174"/>
      <c r="D214" s="173"/>
      <c r="E214" s="23">
        <v>942</v>
      </c>
      <c r="F214" s="23">
        <f>DEMANDA_PREVISIÓN!E946</f>
        <v>33</v>
      </c>
      <c r="G214" s="101"/>
      <c r="H214" s="23">
        <f t="shared" si="12"/>
        <v>687</v>
      </c>
      <c r="I214" s="138">
        <v>400</v>
      </c>
      <c r="J214" s="134">
        <v>400</v>
      </c>
      <c r="K214" s="101"/>
      <c r="L214" s="134">
        <v>50</v>
      </c>
      <c r="M214" s="142">
        <v>1200</v>
      </c>
      <c r="Y214" s="141">
        <v>12.953240740740901</v>
      </c>
      <c r="Z214" s="179"/>
    </row>
    <row r="215" spans="2:26">
      <c r="B215" s="176"/>
      <c r="C215" s="174"/>
      <c r="D215" s="171" t="s">
        <v>50</v>
      </c>
      <c r="E215" s="23">
        <v>943</v>
      </c>
      <c r="F215" s="23">
        <f>DEMANDA_PREVISIÓN!E947</f>
        <v>29</v>
      </c>
      <c r="G215" s="101"/>
      <c r="H215" s="23">
        <f t="shared" si="12"/>
        <v>658</v>
      </c>
      <c r="I215" s="138">
        <v>400</v>
      </c>
      <c r="J215" s="134">
        <v>400</v>
      </c>
      <c r="K215" s="101"/>
      <c r="L215" s="134">
        <v>50</v>
      </c>
      <c r="M215" s="142">
        <v>1200</v>
      </c>
      <c r="Y215" s="141">
        <v>12.962847222222299</v>
      </c>
      <c r="Z215" s="179"/>
    </row>
    <row r="216" spans="2:26">
      <c r="B216" s="176"/>
      <c r="C216" s="174"/>
      <c r="D216" s="172"/>
      <c r="E216" s="23">
        <v>944</v>
      </c>
      <c r="F216" s="23">
        <f>DEMANDA_PREVISIÓN!E948</f>
        <v>41</v>
      </c>
      <c r="G216" s="101"/>
      <c r="H216" s="138">
        <f>I215+H215-F216</f>
        <v>1017</v>
      </c>
      <c r="I216" s="23"/>
      <c r="J216" s="134">
        <v>400</v>
      </c>
      <c r="K216" s="101"/>
      <c r="L216" s="134">
        <v>50</v>
      </c>
      <c r="M216" s="142">
        <v>1200</v>
      </c>
      <c r="Y216" s="141">
        <v>12.972453703703801</v>
      </c>
      <c r="Z216" s="179"/>
    </row>
    <row r="217" spans="2:26">
      <c r="B217" s="176"/>
      <c r="C217" s="174"/>
      <c r="D217" s="172"/>
      <c r="E217" s="23">
        <v>945</v>
      </c>
      <c r="F217" s="23">
        <f>DEMANDA_PREVISIÓN!E949</f>
        <v>27</v>
      </c>
      <c r="G217" s="101"/>
      <c r="H217" s="23">
        <f t="shared" ref="H217:H223" si="13">H216-F217</f>
        <v>990</v>
      </c>
      <c r="I217" s="134">
        <v>400</v>
      </c>
      <c r="J217" s="134">
        <v>400</v>
      </c>
      <c r="K217" s="101"/>
      <c r="L217" s="134">
        <v>50</v>
      </c>
      <c r="M217" s="142">
        <v>1200</v>
      </c>
      <c r="Y217" s="141">
        <v>12.982060185185301</v>
      </c>
      <c r="Z217" s="179"/>
    </row>
    <row r="218" spans="2:26">
      <c r="B218" s="176"/>
      <c r="C218" s="174"/>
      <c r="D218" s="172"/>
      <c r="E218" s="23">
        <v>946</v>
      </c>
      <c r="F218" s="23">
        <f>DEMANDA_PREVISIÓN!E950</f>
        <v>38</v>
      </c>
      <c r="G218" s="101"/>
      <c r="H218" s="23">
        <f t="shared" si="13"/>
        <v>952</v>
      </c>
      <c r="I218" s="134">
        <v>400</v>
      </c>
      <c r="J218" s="128">
        <v>400</v>
      </c>
      <c r="K218" s="101"/>
      <c r="L218" s="128">
        <v>50</v>
      </c>
      <c r="M218" s="142">
        <v>1200</v>
      </c>
      <c r="Y218" s="141">
        <v>12.9916666666668</v>
      </c>
      <c r="Z218" s="180"/>
    </row>
    <row r="219" spans="2:26">
      <c r="B219" s="176"/>
      <c r="C219" s="174"/>
      <c r="D219" s="172"/>
      <c r="E219" s="23">
        <v>947</v>
      </c>
      <c r="F219" s="23">
        <f>DEMANDA_PREVISIÓN!E951</f>
        <v>38</v>
      </c>
      <c r="G219" s="101"/>
      <c r="H219" s="23">
        <f t="shared" si="13"/>
        <v>914</v>
      </c>
      <c r="I219" s="134">
        <v>400</v>
      </c>
      <c r="J219" s="128">
        <v>400</v>
      </c>
      <c r="K219" s="101"/>
      <c r="L219" s="128">
        <v>50</v>
      </c>
      <c r="M219" s="142">
        <v>1200</v>
      </c>
      <c r="Y219" s="141">
        <v>13.0012731481483</v>
      </c>
      <c r="Z219" s="178">
        <v>3</v>
      </c>
    </row>
    <row r="220" spans="2:26">
      <c r="B220" s="176"/>
      <c r="C220" s="174"/>
      <c r="D220" s="172"/>
      <c r="E220" s="23">
        <v>948</v>
      </c>
      <c r="F220" s="23">
        <f>DEMANDA_PREVISIÓN!E952</f>
        <v>38</v>
      </c>
      <c r="G220" s="101"/>
      <c r="H220" s="23">
        <f t="shared" si="13"/>
        <v>876</v>
      </c>
      <c r="I220" s="134">
        <v>400</v>
      </c>
      <c r="J220" s="128">
        <v>400</v>
      </c>
      <c r="K220" s="101"/>
      <c r="L220" s="128">
        <v>50</v>
      </c>
      <c r="M220" s="142">
        <v>1200</v>
      </c>
      <c r="Y220" s="141">
        <v>13.0108796296297</v>
      </c>
      <c r="Z220" s="179"/>
    </row>
    <row r="221" spans="2:26">
      <c r="B221" s="176"/>
      <c r="C221" s="174"/>
      <c r="D221" s="172"/>
      <c r="E221" s="23">
        <v>949</v>
      </c>
      <c r="F221" s="23">
        <f>DEMANDA_PREVISIÓN!E953</f>
        <v>42</v>
      </c>
      <c r="G221" s="101"/>
      <c r="H221" s="23">
        <f t="shared" si="13"/>
        <v>834</v>
      </c>
      <c r="I221" s="134">
        <v>400</v>
      </c>
      <c r="J221" s="128">
        <v>400</v>
      </c>
      <c r="K221" s="101"/>
      <c r="L221" s="128">
        <v>50</v>
      </c>
      <c r="M221" s="142">
        <v>1200</v>
      </c>
      <c r="Y221" s="141">
        <v>13.0204861111112</v>
      </c>
      <c r="Z221" s="179"/>
    </row>
    <row r="222" spans="2:26">
      <c r="B222" s="176"/>
      <c r="C222" s="174"/>
      <c r="D222" s="172"/>
      <c r="E222" s="23">
        <v>950</v>
      </c>
      <c r="F222" s="23">
        <f>DEMANDA_PREVISIÓN!E954</f>
        <v>35</v>
      </c>
      <c r="G222" s="101"/>
      <c r="H222" s="23">
        <f t="shared" si="13"/>
        <v>799</v>
      </c>
      <c r="I222" s="134">
        <v>400</v>
      </c>
      <c r="J222" s="128">
        <v>400</v>
      </c>
      <c r="K222" s="101"/>
      <c r="L222" s="128">
        <v>50</v>
      </c>
      <c r="M222" s="142">
        <v>1200</v>
      </c>
      <c r="Y222" s="141">
        <v>13.0300925925927</v>
      </c>
      <c r="Z222" s="179"/>
    </row>
    <row r="223" spans="2:26">
      <c r="B223" s="176"/>
      <c r="C223" s="174"/>
      <c r="D223" s="172"/>
      <c r="E223" s="23">
        <v>951</v>
      </c>
      <c r="F223" s="23">
        <f>DEMANDA_PREVISIÓN!E955</f>
        <v>32</v>
      </c>
      <c r="G223" s="101"/>
      <c r="H223" s="23">
        <f t="shared" si="13"/>
        <v>767</v>
      </c>
      <c r="I223" s="134">
        <v>400</v>
      </c>
      <c r="J223" s="128">
        <v>400</v>
      </c>
      <c r="K223" s="101"/>
      <c r="L223" s="128">
        <v>50</v>
      </c>
      <c r="M223" s="142">
        <v>1200</v>
      </c>
      <c r="Y223" s="141">
        <v>13.0396990740742</v>
      </c>
      <c r="Z223" s="179"/>
    </row>
    <row r="224" spans="2:26">
      <c r="B224" s="176"/>
      <c r="C224" s="174"/>
      <c r="D224" s="172"/>
      <c r="E224" s="23">
        <v>952</v>
      </c>
      <c r="F224" s="23">
        <f>DEMANDA_PREVISIÓN!E956</f>
        <v>28</v>
      </c>
      <c r="G224" s="101"/>
      <c r="H224" s="134">
        <f>I223+H223-F224</f>
        <v>1139</v>
      </c>
      <c r="I224" s="23"/>
      <c r="J224" s="128">
        <v>400</v>
      </c>
      <c r="K224" s="101"/>
      <c r="L224" s="128">
        <v>50</v>
      </c>
      <c r="M224" s="142">
        <v>1200</v>
      </c>
      <c r="Y224" s="141">
        <v>13.0493055555557</v>
      </c>
      <c r="Z224" s="179"/>
    </row>
    <row r="225" spans="2:26">
      <c r="B225" s="176"/>
      <c r="C225" s="174"/>
      <c r="D225" s="172"/>
      <c r="E225" s="23">
        <v>953</v>
      </c>
      <c r="F225" s="23">
        <f>DEMANDA_PREVISIÓN!E957</f>
        <v>30</v>
      </c>
      <c r="G225" s="101"/>
      <c r="H225" s="23">
        <f>H224-F225</f>
        <v>1109</v>
      </c>
      <c r="I225" s="128">
        <v>400</v>
      </c>
      <c r="J225" s="128">
        <v>400</v>
      </c>
      <c r="K225" s="101"/>
      <c r="L225" s="128">
        <v>50</v>
      </c>
      <c r="M225" s="142">
        <v>1200</v>
      </c>
      <c r="Y225" s="141">
        <v>13.058912037037199</v>
      </c>
      <c r="Z225" s="179"/>
    </row>
    <row r="226" spans="2:26">
      <c r="B226" s="176"/>
      <c r="C226" s="174"/>
      <c r="D226" s="172"/>
      <c r="E226" s="23">
        <v>954</v>
      </c>
      <c r="F226" s="23">
        <f>DEMANDA_PREVISIÓN!E958</f>
        <v>33</v>
      </c>
      <c r="G226" s="101"/>
      <c r="H226" s="23">
        <f>H225-F226</f>
        <v>1076</v>
      </c>
      <c r="I226" s="147">
        <v>400</v>
      </c>
      <c r="J226" s="4"/>
      <c r="K226" s="148"/>
      <c r="L226" s="129">
        <v>0</v>
      </c>
      <c r="M226" s="142">
        <v>1200</v>
      </c>
      <c r="Y226" s="141">
        <v>13.0685185185186</v>
      </c>
      <c r="Z226" s="179"/>
    </row>
    <row r="227" spans="2:26">
      <c r="B227" s="176"/>
      <c r="C227" s="174"/>
      <c r="D227" s="172"/>
      <c r="E227" s="23">
        <v>955</v>
      </c>
      <c r="F227" s="23">
        <f>DEMANDA_PREVISIÓN!E959</f>
        <v>32</v>
      </c>
      <c r="G227" s="101"/>
      <c r="H227" s="23">
        <f>H226-F227</f>
        <v>1044</v>
      </c>
      <c r="I227" s="147">
        <v>400</v>
      </c>
      <c r="J227" s="4"/>
      <c r="K227" s="148"/>
      <c r="L227" s="129">
        <v>0</v>
      </c>
      <c r="M227" s="142">
        <v>1200</v>
      </c>
      <c r="Y227" s="141">
        <v>13.078125000000099</v>
      </c>
      <c r="Z227" s="179"/>
    </row>
    <row r="228" spans="2:26">
      <c r="B228" s="176"/>
      <c r="C228" s="174"/>
      <c r="D228" s="172"/>
      <c r="E228" s="23">
        <v>956</v>
      </c>
      <c r="F228" s="23">
        <f>DEMANDA_PREVISIÓN!E960</f>
        <v>50</v>
      </c>
      <c r="G228" s="101"/>
      <c r="H228" s="23">
        <f>H227-F228</f>
        <v>994</v>
      </c>
      <c r="I228" s="147">
        <v>400</v>
      </c>
      <c r="J228" s="4"/>
      <c r="K228" s="148"/>
      <c r="L228" s="129">
        <v>0</v>
      </c>
      <c r="M228" s="142">
        <v>1200</v>
      </c>
      <c r="Y228" s="141">
        <v>13.087731481481599</v>
      </c>
      <c r="Z228" s="179"/>
    </row>
    <row r="229" spans="2:26">
      <c r="B229" s="176"/>
      <c r="C229" s="174"/>
      <c r="D229" s="172"/>
      <c r="E229" s="23">
        <v>957</v>
      </c>
      <c r="F229" s="23">
        <f>DEMANDA_PREVISIÓN!E961</f>
        <v>36</v>
      </c>
      <c r="G229" s="101"/>
      <c r="H229" s="23">
        <f t="shared" ref="H229:H231" si="14">H228-F229</f>
        <v>958</v>
      </c>
      <c r="I229" s="147">
        <v>400</v>
      </c>
      <c r="J229" s="4"/>
      <c r="K229" s="148"/>
      <c r="L229" s="129">
        <v>0</v>
      </c>
      <c r="M229" s="142">
        <v>1200</v>
      </c>
      <c r="Y229" s="141">
        <v>13.097337962963101</v>
      </c>
      <c r="Z229" s="179"/>
    </row>
    <row r="230" spans="2:26">
      <c r="B230" s="176"/>
      <c r="C230" s="174"/>
      <c r="D230" s="172"/>
      <c r="E230" s="23">
        <v>958</v>
      </c>
      <c r="F230" s="23">
        <f>DEMANDA_PREVISIÓN!E962</f>
        <v>31</v>
      </c>
      <c r="G230" s="101"/>
      <c r="H230" s="23">
        <f t="shared" si="14"/>
        <v>927</v>
      </c>
      <c r="I230" s="147">
        <v>400</v>
      </c>
      <c r="J230" s="4"/>
      <c r="K230" s="148"/>
      <c r="L230" s="129">
        <v>0</v>
      </c>
      <c r="M230" s="142">
        <v>1200</v>
      </c>
      <c r="Y230" s="141">
        <v>13.106944444444601</v>
      </c>
      <c r="Z230" s="179"/>
    </row>
    <row r="231" spans="2:26">
      <c r="B231" s="176"/>
      <c r="C231" s="174"/>
      <c r="D231" s="172"/>
      <c r="E231" s="23">
        <v>959</v>
      </c>
      <c r="F231" s="23">
        <f>DEMANDA_PREVISIÓN!E963</f>
        <v>29</v>
      </c>
      <c r="G231" s="101"/>
      <c r="H231" s="23">
        <f t="shared" si="14"/>
        <v>898</v>
      </c>
      <c r="I231" s="147">
        <v>400</v>
      </c>
      <c r="J231" s="4"/>
      <c r="K231" s="148"/>
      <c r="L231" s="129">
        <v>0</v>
      </c>
      <c r="M231" s="142">
        <v>1200</v>
      </c>
      <c r="Y231" s="141">
        <v>13.116550925925999</v>
      </c>
      <c r="Z231" s="179"/>
    </row>
    <row r="232" spans="2:26">
      <c r="B232" s="176"/>
      <c r="C232" s="174"/>
      <c r="D232" s="172"/>
      <c r="E232" s="23">
        <v>960</v>
      </c>
      <c r="F232" s="23">
        <f>DEMANDA_PREVISIÓN!E964</f>
        <v>38</v>
      </c>
      <c r="G232" s="101"/>
      <c r="H232" s="128">
        <f>I231+H231-F232</f>
        <v>1260</v>
      </c>
      <c r="I232" s="4"/>
      <c r="J232" s="4"/>
      <c r="K232" s="47"/>
      <c r="L232" s="129">
        <v>0</v>
      </c>
      <c r="M232" s="142">
        <v>1200</v>
      </c>
      <c r="Y232" s="141">
        <v>13.126157407407501</v>
      </c>
      <c r="Z232" s="179"/>
    </row>
    <row r="233" spans="2:26">
      <c r="B233" s="176"/>
      <c r="C233" s="174"/>
      <c r="D233" s="172"/>
      <c r="E233" s="23">
        <v>961</v>
      </c>
      <c r="F233" s="23">
        <f>DEMANDA_PREVISIÓN!E965</f>
        <v>40</v>
      </c>
      <c r="G233" s="101"/>
      <c r="H233" s="23">
        <f t="shared" ref="H233:H239" si="15">H232-F233</f>
        <v>1220</v>
      </c>
      <c r="I233" s="4"/>
      <c r="J233" s="4"/>
      <c r="K233" s="148"/>
      <c r="L233" s="129">
        <v>0</v>
      </c>
      <c r="M233" s="142">
        <v>1200</v>
      </c>
      <c r="Y233" s="141">
        <v>13.135763888889</v>
      </c>
      <c r="Z233" s="179"/>
    </row>
    <row r="234" spans="2:26">
      <c r="B234" s="176"/>
      <c r="C234" s="174"/>
      <c r="D234" s="172"/>
      <c r="E234" s="23">
        <v>962</v>
      </c>
      <c r="F234" s="23">
        <f>DEMANDA_PREVISIÓN!E966</f>
        <v>33</v>
      </c>
      <c r="G234" s="101"/>
      <c r="H234" s="23">
        <f t="shared" si="15"/>
        <v>1187</v>
      </c>
      <c r="I234" s="4"/>
      <c r="J234" s="4"/>
      <c r="K234" s="148"/>
      <c r="L234" s="137">
        <v>50</v>
      </c>
      <c r="M234" s="142">
        <v>1200</v>
      </c>
      <c r="Y234" s="141">
        <v>13.1453703703705</v>
      </c>
      <c r="Z234" s="179"/>
    </row>
    <row r="235" spans="2:26">
      <c r="B235" s="176"/>
      <c r="C235" s="174"/>
      <c r="D235" s="172"/>
      <c r="E235" s="23">
        <v>963</v>
      </c>
      <c r="F235" s="23">
        <f>DEMANDA_PREVISIÓN!E967</f>
        <v>34</v>
      </c>
      <c r="G235" s="101"/>
      <c r="H235" s="23">
        <f t="shared" si="15"/>
        <v>1153</v>
      </c>
      <c r="I235" s="4"/>
      <c r="J235" s="4"/>
      <c r="K235" s="148"/>
      <c r="L235" s="137">
        <v>50</v>
      </c>
      <c r="M235" s="142">
        <v>1200</v>
      </c>
      <c r="Y235" s="141">
        <v>13.154976851852</v>
      </c>
      <c r="Z235" s="179"/>
    </row>
    <row r="236" spans="2:26">
      <c r="B236" s="176"/>
      <c r="C236" s="174"/>
      <c r="D236" s="172"/>
      <c r="E236" s="23">
        <v>964</v>
      </c>
      <c r="F236" s="23">
        <f>DEMANDA_PREVISIÓN!E968</f>
        <v>33</v>
      </c>
      <c r="G236" s="101"/>
      <c r="H236" s="23">
        <f t="shared" si="15"/>
        <v>1120</v>
      </c>
      <c r="I236" s="4"/>
      <c r="J236" s="4"/>
      <c r="K236" s="148"/>
      <c r="L236" s="137">
        <v>50</v>
      </c>
      <c r="M236" s="142">
        <v>1200</v>
      </c>
      <c r="Y236" s="141">
        <v>13.1645833333335</v>
      </c>
      <c r="Z236" s="179"/>
    </row>
    <row r="237" spans="2:26">
      <c r="B237" s="176"/>
      <c r="C237" s="174"/>
      <c r="D237" s="172"/>
      <c r="E237" s="23">
        <v>965</v>
      </c>
      <c r="F237" s="23">
        <f>DEMANDA_PREVISIÓN!E969</f>
        <v>32</v>
      </c>
      <c r="G237" s="101"/>
      <c r="H237" s="23">
        <f t="shared" si="15"/>
        <v>1088</v>
      </c>
      <c r="I237" s="4"/>
      <c r="J237" s="4"/>
      <c r="K237" s="148"/>
      <c r="L237" s="137">
        <v>50</v>
      </c>
      <c r="M237" s="142">
        <v>1200</v>
      </c>
      <c r="Y237" s="141">
        <v>13.1741898148149</v>
      </c>
      <c r="Z237" s="179"/>
    </row>
    <row r="238" spans="2:26">
      <c r="B238" s="176"/>
      <c r="C238" s="174"/>
      <c r="D238" s="172"/>
      <c r="E238" s="23">
        <v>966</v>
      </c>
      <c r="F238" s="23">
        <f>DEMANDA_PREVISIÓN!E970</f>
        <v>39</v>
      </c>
      <c r="G238" s="101"/>
      <c r="H238" s="23">
        <f t="shared" si="15"/>
        <v>1049</v>
      </c>
      <c r="I238" s="4"/>
      <c r="J238" s="4"/>
      <c r="K238" s="148"/>
      <c r="L238" s="137">
        <v>50</v>
      </c>
      <c r="M238" s="142">
        <v>1200</v>
      </c>
      <c r="Y238" s="141">
        <v>13.1837962962964</v>
      </c>
      <c r="Z238" s="179"/>
    </row>
    <row r="239" spans="2:26">
      <c r="B239" s="176"/>
      <c r="C239" s="174"/>
      <c r="D239" s="172"/>
      <c r="E239" s="23">
        <v>967</v>
      </c>
      <c r="F239" s="23">
        <f>DEMANDA_PREVISIÓN!E971</f>
        <v>32</v>
      </c>
      <c r="G239" s="101"/>
      <c r="H239" s="23">
        <f t="shared" si="15"/>
        <v>1017</v>
      </c>
      <c r="I239" s="4"/>
      <c r="J239" s="4"/>
      <c r="K239" s="148"/>
      <c r="L239" s="137">
        <v>50</v>
      </c>
      <c r="M239" s="142">
        <v>1200</v>
      </c>
      <c r="Y239" s="141">
        <v>13.1934027777779</v>
      </c>
      <c r="Z239" s="179"/>
    </row>
    <row r="240" spans="2:26">
      <c r="B240" s="176"/>
      <c r="C240" s="174"/>
      <c r="D240" s="172"/>
      <c r="E240" s="23">
        <v>968</v>
      </c>
      <c r="F240" s="23">
        <f>DEMANDA_PREVISIÓN!E972</f>
        <v>34</v>
      </c>
      <c r="G240" s="101"/>
      <c r="H240" s="129">
        <f>I239+H239-F240</f>
        <v>983</v>
      </c>
      <c r="I240" s="4"/>
      <c r="J240" s="4"/>
      <c r="K240" s="148"/>
      <c r="L240" s="137">
        <v>50</v>
      </c>
      <c r="M240" s="142">
        <v>1200</v>
      </c>
      <c r="Y240" s="141">
        <v>13.203009259259399</v>
      </c>
      <c r="Z240" s="179"/>
    </row>
    <row r="241" spans="2:26">
      <c r="B241" s="176"/>
      <c r="C241" s="174"/>
      <c r="D241" s="172"/>
      <c r="E241" s="23">
        <v>969</v>
      </c>
      <c r="F241" s="23">
        <f>DEMANDA_PREVISIÓN!E973</f>
        <v>29</v>
      </c>
      <c r="G241" s="101"/>
      <c r="H241" s="23">
        <f t="shared" ref="H241:H247" si="16">H240-F241</f>
        <v>954</v>
      </c>
      <c r="I241" s="4"/>
      <c r="J241" s="4"/>
      <c r="K241" s="148"/>
      <c r="L241" s="137">
        <v>50</v>
      </c>
      <c r="M241" s="142">
        <v>1200</v>
      </c>
      <c r="Y241" s="141">
        <v>13.212615740740899</v>
      </c>
      <c r="Z241" s="179"/>
    </row>
    <row r="242" spans="2:26">
      <c r="B242" s="176"/>
      <c r="C242" s="174"/>
      <c r="D242" s="172"/>
      <c r="E242" s="23">
        <v>970</v>
      </c>
      <c r="F242" s="23">
        <f>DEMANDA_PREVISIÓN!E974</f>
        <v>36</v>
      </c>
      <c r="G242" s="101"/>
      <c r="H242" s="23">
        <f t="shared" si="16"/>
        <v>918</v>
      </c>
      <c r="I242" s="4"/>
      <c r="J242" s="4"/>
      <c r="K242" s="101"/>
      <c r="L242" s="138">
        <v>50</v>
      </c>
      <c r="M242" s="142">
        <v>1200</v>
      </c>
      <c r="Y242" s="141">
        <v>13.222222222222401</v>
      </c>
      <c r="Z242" s="179"/>
    </row>
    <row r="243" spans="2:26">
      <c r="B243" s="176"/>
      <c r="C243" s="174"/>
      <c r="D243" s="172"/>
      <c r="E243" s="23">
        <v>971</v>
      </c>
      <c r="F243" s="23">
        <f>DEMANDA_PREVISIÓN!E975</f>
        <v>30</v>
      </c>
      <c r="G243" s="101"/>
      <c r="H243" s="23">
        <f t="shared" si="16"/>
        <v>888</v>
      </c>
      <c r="I243" s="4"/>
      <c r="J243" s="4"/>
      <c r="K243" s="101"/>
      <c r="L243" s="138">
        <v>50</v>
      </c>
      <c r="M243" s="142">
        <v>1200</v>
      </c>
      <c r="Y243" s="141">
        <v>13.231828703703799</v>
      </c>
      <c r="Z243" s="179"/>
    </row>
    <row r="244" spans="2:26">
      <c r="B244" s="176"/>
      <c r="C244" s="174"/>
      <c r="D244" s="172"/>
      <c r="E244" s="23">
        <v>972</v>
      </c>
      <c r="F244" s="23">
        <f>DEMANDA_PREVISIÓN!E976</f>
        <v>37</v>
      </c>
      <c r="G244" s="101"/>
      <c r="H244" s="23">
        <f t="shared" si="16"/>
        <v>851</v>
      </c>
      <c r="I244" s="4"/>
      <c r="J244" s="4"/>
      <c r="K244" s="101"/>
      <c r="L244" s="138">
        <v>50</v>
      </c>
      <c r="M244" s="142">
        <v>1200</v>
      </c>
      <c r="Y244" s="141">
        <v>13.241435185185299</v>
      </c>
      <c r="Z244" s="179"/>
    </row>
    <row r="245" spans="2:26">
      <c r="B245" s="176"/>
      <c r="C245" s="174"/>
      <c r="D245" s="173"/>
      <c r="E245" s="23">
        <v>973</v>
      </c>
      <c r="F245" s="23">
        <f>DEMANDA_PREVISIÓN!E977</f>
        <v>39</v>
      </c>
      <c r="G245" s="101"/>
      <c r="H245" s="23">
        <f t="shared" si="16"/>
        <v>812</v>
      </c>
      <c r="I245" s="4"/>
      <c r="J245" s="4"/>
      <c r="K245" s="101"/>
      <c r="L245" s="138">
        <v>50</v>
      </c>
      <c r="M245" s="142">
        <v>1200</v>
      </c>
      <c r="Y245" s="141">
        <v>13.251041666666801</v>
      </c>
      <c r="Z245" s="179"/>
    </row>
    <row r="246" spans="2:26">
      <c r="B246" s="176"/>
      <c r="C246" s="174"/>
      <c r="D246" s="171" t="s">
        <v>51</v>
      </c>
      <c r="E246" s="23">
        <v>974</v>
      </c>
      <c r="F246" s="23">
        <f>DEMANDA_PREVISIÓN!E978</f>
        <v>25</v>
      </c>
      <c r="G246" s="101"/>
      <c r="H246" s="23">
        <f t="shared" si="16"/>
        <v>787</v>
      </c>
      <c r="I246" s="4"/>
      <c r="J246" s="4"/>
      <c r="K246" s="101"/>
      <c r="L246" s="138">
        <v>50</v>
      </c>
      <c r="M246" s="142">
        <v>1200</v>
      </c>
      <c r="Y246" s="141">
        <v>13.260648148148301</v>
      </c>
      <c r="Z246" s="179"/>
    </row>
    <row r="247" spans="2:26">
      <c r="B247" s="176"/>
      <c r="C247" s="174"/>
      <c r="D247" s="172"/>
      <c r="E247" s="23">
        <v>975</v>
      </c>
      <c r="F247" s="23">
        <f>DEMANDA_PREVISIÓN!E979</f>
        <v>33</v>
      </c>
      <c r="G247" s="101"/>
      <c r="H247" s="23">
        <f t="shared" si="16"/>
        <v>754</v>
      </c>
      <c r="I247" s="4"/>
      <c r="J247" s="4"/>
      <c r="K247" s="101"/>
      <c r="L247" s="138">
        <v>50</v>
      </c>
      <c r="M247" s="142">
        <v>1200</v>
      </c>
      <c r="Y247" s="141">
        <v>13.2702546296298</v>
      </c>
      <c r="Z247" s="179"/>
    </row>
    <row r="248" spans="2:26">
      <c r="B248" s="176"/>
      <c r="C248" s="174"/>
      <c r="D248" s="172"/>
      <c r="E248" s="23">
        <v>976</v>
      </c>
      <c r="F248" s="23">
        <f>DEMANDA_PREVISIÓN!E980</f>
        <v>23</v>
      </c>
      <c r="G248" s="101"/>
      <c r="H248" s="137">
        <f>I247+H247-F248</f>
        <v>731</v>
      </c>
      <c r="I248" s="4"/>
      <c r="J248" s="4"/>
      <c r="K248" s="101"/>
      <c r="L248" s="138">
        <v>50</v>
      </c>
      <c r="M248" s="142">
        <v>1200</v>
      </c>
      <c r="Y248" s="141">
        <v>13.279861111111201</v>
      </c>
      <c r="Z248" s="179"/>
    </row>
    <row r="249" spans="2:26">
      <c r="B249" s="176"/>
      <c r="C249" s="174"/>
      <c r="D249" s="172"/>
      <c r="E249" s="23">
        <v>977</v>
      </c>
      <c r="F249" s="23">
        <f>DEMANDA_PREVISIÓN!E981</f>
        <v>28</v>
      </c>
      <c r="G249" s="101"/>
      <c r="H249" s="23">
        <f t="shared" ref="H249:H255" si="17">H248-F249</f>
        <v>703</v>
      </c>
      <c r="I249" s="4"/>
      <c r="J249" s="4"/>
      <c r="K249" s="101"/>
      <c r="L249" s="138">
        <v>50</v>
      </c>
      <c r="M249" s="142">
        <v>1200</v>
      </c>
      <c r="Y249" s="141">
        <v>13.2894675925927</v>
      </c>
      <c r="Z249" s="179"/>
    </row>
    <row r="250" spans="2:26">
      <c r="B250" s="176"/>
      <c r="C250" s="174"/>
      <c r="D250" s="172"/>
      <c r="E250" s="23">
        <v>978</v>
      </c>
      <c r="F250" s="23">
        <f>DEMANDA_PREVISIÓN!E982</f>
        <v>29</v>
      </c>
      <c r="G250" s="101"/>
      <c r="H250" s="23">
        <f t="shared" si="17"/>
        <v>674</v>
      </c>
      <c r="I250" s="4"/>
      <c r="J250" s="134">
        <v>400</v>
      </c>
      <c r="K250" s="101"/>
      <c r="L250" s="134">
        <v>50</v>
      </c>
      <c r="M250" s="142">
        <v>1200</v>
      </c>
      <c r="Y250" s="141">
        <v>13.2990740740742</v>
      </c>
      <c r="Z250" s="179"/>
    </row>
    <row r="251" spans="2:26">
      <c r="B251" s="176"/>
      <c r="C251" s="174"/>
      <c r="D251" s="172"/>
      <c r="E251" s="23">
        <v>979</v>
      </c>
      <c r="F251" s="23">
        <f>DEMANDA_PREVISIÓN!E983</f>
        <v>33</v>
      </c>
      <c r="G251" s="101"/>
      <c r="H251" s="23">
        <f t="shared" si="17"/>
        <v>641</v>
      </c>
      <c r="I251" s="4"/>
      <c r="J251" s="134">
        <v>400</v>
      </c>
      <c r="K251" s="101"/>
      <c r="L251" s="134">
        <v>50</v>
      </c>
      <c r="M251" s="142">
        <v>1200</v>
      </c>
      <c r="Y251" s="141">
        <v>13.3086805555557</v>
      </c>
      <c r="Z251" s="179"/>
    </row>
    <row r="252" spans="2:26">
      <c r="B252" s="176"/>
      <c r="C252" s="174"/>
      <c r="D252" s="172"/>
      <c r="E252" s="23">
        <v>980</v>
      </c>
      <c r="F252" s="23">
        <f>DEMANDA_PREVISIÓN!E984</f>
        <v>29</v>
      </c>
      <c r="G252" s="101"/>
      <c r="H252" s="23">
        <f t="shared" si="17"/>
        <v>612</v>
      </c>
      <c r="I252" s="4"/>
      <c r="J252" s="134">
        <v>400</v>
      </c>
      <c r="K252" s="101"/>
      <c r="L252" s="134">
        <v>50</v>
      </c>
      <c r="M252" s="142">
        <v>1200</v>
      </c>
      <c r="Y252" s="141">
        <v>13.3182870370372</v>
      </c>
      <c r="Z252" s="179"/>
    </row>
    <row r="253" spans="2:26">
      <c r="B253" s="176"/>
      <c r="C253" s="174"/>
      <c r="D253" s="172"/>
      <c r="E253" s="23">
        <v>981</v>
      </c>
      <c r="F253" s="23">
        <f>DEMANDA_PREVISIÓN!E985</f>
        <v>35</v>
      </c>
      <c r="G253" s="101"/>
      <c r="H253" s="23">
        <f t="shared" si="17"/>
        <v>577</v>
      </c>
      <c r="I253" s="4"/>
      <c r="J253" s="134">
        <v>400</v>
      </c>
      <c r="K253" s="101"/>
      <c r="L253" s="134">
        <v>50</v>
      </c>
      <c r="M253" s="142">
        <v>1200</v>
      </c>
      <c r="Y253" s="141">
        <v>13.3278935185187</v>
      </c>
      <c r="Z253" s="179"/>
    </row>
    <row r="254" spans="2:26">
      <c r="B254" s="176"/>
      <c r="C254" s="174"/>
      <c r="D254" s="172"/>
      <c r="E254" s="23">
        <v>982</v>
      </c>
      <c r="F254" s="23">
        <f>DEMANDA_PREVISIÓN!E986</f>
        <v>38</v>
      </c>
      <c r="G254" s="101"/>
      <c r="H254" s="23">
        <f t="shared" si="17"/>
        <v>539</v>
      </c>
      <c r="I254" s="4"/>
      <c r="J254" s="134">
        <v>400</v>
      </c>
      <c r="K254" s="101"/>
      <c r="L254" s="134">
        <v>50</v>
      </c>
      <c r="M254" s="142">
        <v>1200</v>
      </c>
      <c r="Y254" s="141">
        <v>13.3375000000001</v>
      </c>
      <c r="Z254" s="179"/>
    </row>
    <row r="255" spans="2:26">
      <c r="B255" s="176"/>
      <c r="C255" s="174"/>
      <c r="D255" s="172"/>
      <c r="E255" s="23">
        <v>983</v>
      </c>
      <c r="F255" s="23">
        <f>DEMANDA_PREVISIÓN!E987</f>
        <v>19</v>
      </c>
      <c r="G255" s="101"/>
      <c r="H255" s="23">
        <f t="shared" si="17"/>
        <v>520</v>
      </c>
      <c r="I255" s="4"/>
      <c r="J255" s="134">
        <v>400</v>
      </c>
      <c r="K255" s="101"/>
      <c r="L255" s="134">
        <v>50</v>
      </c>
      <c r="M255" s="142">
        <v>1200</v>
      </c>
      <c r="Y255" s="141">
        <v>13.3471064814816</v>
      </c>
      <c r="Z255" s="179"/>
    </row>
    <row r="256" spans="2:26">
      <c r="B256" s="176"/>
      <c r="C256" s="174"/>
      <c r="D256" s="172"/>
      <c r="E256" s="23">
        <v>984</v>
      </c>
      <c r="F256" s="23">
        <f>DEMANDA_PREVISIÓN!E988</f>
        <v>34</v>
      </c>
      <c r="G256" s="101"/>
      <c r="H256" s="138">
        <f>I255+H255-F256</f>
        <v>486</v>
      </c>
      <c r="I256" s="23"/>
      <c r="J256" s="134">
        <v>400</v>
      </c>
      <c r="K256" s="101"/>
      <c r="L256" s="134">
        <v>50</v>
      </c>
      <c r="M256" s="142">
        <v>1200</v>
      </c>
      <c r="Y256" s="141">
        <v>13.356712962963099</v>
      </c>
      <c r="Z256" s="179"/>
    </row>
    <row r="257" spans="2:26">
      <c r="B257" s="176"/>
      <c r="C257" s="174"/>
      <c r="D257" s="172"/>
      <c r="E257" s="23">
        <v>985</v>
      </c>
      <c r="F257" s="23">
        <f>DEMANDA_PREVISIÓN!E989</f>
        <v>29</v>
      </c>
      <c r="G257" s="101"/>
      <c r="H257" s="23">
        <f t="shared" ref="H257:H263" si="18">H256-F257</f>
        <v>457</v>
      </c>
      <c r="I257" s="134">
        <v>400</v>
      </c>
      <c r="J257" s="134">
        <v>400</v>
      </c>
      <c r="K257" s="101"/>
      <c r="L257" s="134">
        <v>50</v>
      </c>
      <c r="M257" s="142">
        <v>1200</v>
      </c>
      <c r="Y257" s="141">
        <v>13.366319444444599</v>
      </c>
      <c r="Z257" s="179"/>
    </row>
    <row r="258" spans="2:26">
      <c r="B258" s="176"/>
      <c r="C258" s="174"/>
      <c r="D258" s="172"/>
      <c r="E258" s="23">
        <v>986</v>
      </c>
      <c r="F258" s="23">
        <f>DEMANDA_PREVISIÓN!E990</f>
        <v>25</v>
      </c>
      <c r="G258" s="101"/>
      <c r="H258" s="23">
        <f t="shared" si="18"/>
        <v>432</v>
      </c>
      <c r="I258" s="134">
        <v>400</v>
      </c>
      <c r="J258" s="128">
        <v>400</v>
      </c>
      <c r="K258" s="101"/>
      <c r="L258" s="128">
        <v>50</v>
      </c>
      <c r="M258" s="142">
        <v>1200</v>
      </c>
      <c r="Y258" s="141">
        <v>13.375925925926101</v>
      </c>
      <c r="Z258" s="179"/>
    </row>
    <row r="259" spans="2:26">
      <c r="B259" s="176"/>
      <c r="C259" s="174"/>
      <c r="D259" s="172"/>
      <c r="E259" s="23">
        <v>987</v>
      </c>
      <c r="F259" s="23">
        <f>DEMANDA_PREVISIÓN!E991</f>
        <v>32</v>
      </c>
      <c r="G259" s="101"/>
      <c r="H259" s="23">
        <f t="shared" si="18"/>
        <v>400</v>
      </c>
      <c r="I259" s="134">
        <v>400</v>
      </c>
      <c r="J259" s="128">
        <v>400</v>
      </c>
      <c r="K259" s="101"/>
      <c r="L259" s="128">
        <v>50</v>
      </c>
      <c r="M259" s="142">
        <v>1200</v>
      </c>
      <c r="Y259" s="141">
        <v>13.385532407407499</v>
      </c>
      <c r="Z259" s="179"/>
    </row>
    <row r="260" spans="2:26">
      <c r="B260" s="176"/>
      <c r="C260" s="174"/>
      <c r="D260" s="172"/>
      <c r="E260" s="23">
        <v>988</v>
      </c>
      <c r="F260" s="23">
        <f>DEMANDA_PREVISIÓN!E992</f>
        <v>38</v>
      </c>
      <c r="G260" s="101"/>
      <c r="H260" s="23">
        <f t="shared" si="18"/>
        <v>362</v>
      </c>
      <c r="I260" s="134">
        <v>400</v>
      </c>
      <c r="J260" s="128">
        <v>400</v>
      </c>
      <c r="K260" s="101"/>
      <c r="L260" s="128">
        <v>50</v>
      </c>
      <c r="M260" s="142">
        <v>1200</v>
      </c>
      <c r="Y260" s="141">
        <v>13.395138888889001</v>
      </c>
      <c r="Z260" s="179"/>
    </row>
    <row r="261" spans="2:26">
      <c r="B261" s="176"/>
      <c r="C261" s="174"/>
      <c r="D261" s="172"/>
      <c r="E261" s="23">
        <v>989</v>
      </c>
      <c r="F261" s="23">
        <f>DEMANDA_PREVISIÓN!E993</f>
        <v>24</v>
      </c>
      <c r="G261" s="101"/>
      <c r="H261" s="23">
        <f t="shared" si="18"/>
        <v>338</v>
      </c>
      <c r="I261" s="134">
        <v>400</v>
      </c>
      <c r="J261" s="128">
        <v>400</v>
      </c>
      <c r="K261" s="101"/>
      <c r="L261" s="128">
        <v>50</v>
      </c>
      <c r="M261" s="142">
        <v>1200</v>
      </c>
      <c r="Y261" s="141">
        <v>13.404745370370501</v>
      </c>
      <c r="Z261" s="179"/>
    </row>
    <row r="262" spans="2:26">
      <c r="B262" s="176"/>
      <c r="C262" s="174"/>
      <c r="D262" s="172"/>
      <c r="E262" s="23">
        <v>990</v>
      </c>
      <c r="F262" s="23">
        <f>DEMANDA_PREVISIÓN!E994</f>
        <v>39</v>
      </c>
      <c r="G262" s="101"/>
      <c r="H262" s="23">
        <f t="shared" si="18"/>
        <v>299</v>
      </c>
      <c r="I262" s="134">
        <v>400</v>
      </c>
      <c r="J262" s="128">
        <v>400</v>
      </c>
      <c r="K262" s="101"/>
      <c r="L262" s="128">
        <v>50</v>
      </c>
      <c r="M262" s="142">
        <v>1200</v>
      </c>
      <c r="Y262" s="141">
        <v>13.414351851852</v>
      </c>
      <c r="Z262" s="179"/>
    </row>
    <row r="263" spans="2:26">
      <c r="B263" s="176"/>
      <c r="C263" s="174"/>
      <c r="D263" s="172"/>
      <c r="E263" s="23">
        <v>991</v>
      </c>
      <c r="F263" s="23">
        <f>DEMANDA_PREVISIÓN!E995</f>
        <v>30</v>
      </c>
      <c r="G263" s="101"/>
      <c r="H263" s="23">
        <f t="shared" si="18"/>
        <v>269</v>
      </c>
      <c r="I263" s="134">
        <v>400</v>
      </c>
      <c r="J263" s="128">
        <v>400</v>
      </c>
      <c r="K263" s="101"/>
      <c r="L263" s="128">
        <v>50</v>
      </c>
      <c r="M263" s="142">
        <v>1200</v>
      </c>
      <c r="Y263" s="141">
        <v>13.4239583333335</v>
      </c>
      <c r="Z263" s="179"/>
    </row>
    <row r="264" spans="2:26">
      <c r="B264" s="176"/>
      <c r="C264" s="174"/>
      <c r="D264" s="172"/>
      <c r="E264" s="23">
        <v>992</v>
      </c>
      <c r="F264" s="23">
        <f>DEMANDA_PREVISIÓN!E996</f>
        <v>32</v>
      </c>
      <c r="G264" s="101"/>
      <c r="H264" s="134">
        <f>I263+H263-F264</f>
        <v>637</v>
      </c>
      <c r="I264" s="23"/>
      <c r="J264" s="128">
        <v>400</v>
      </c>
      <c r="K264" s="101"/>
      <c r="L264" s="128">
        <v>50</v>
      </c>
      <c r="M264" s="142">
        <v>1200</v>
      </c>
      <c r="Y264" s="141">
        <v>13.433564814815</v>
      </c>
      <c r="Z264" s="179"/>
    </row>
    <row r="265" spans="2:26">
      <c r="B265" s="176"/>
      <c r="C265" s="174"/>
      <c r="D265" s="172"/>
      <c r="E265" s="23">
        <v>993</v>
      </c>
      <c r="F265" s="23">
        <f>DEMANDA_PREVISIÓN!E997</f>
        <v>32</v>
      </c>
      <c r="G265" s="101"/>
      <c r="H265" s="23">
        <f>H264-F265</f>
        <v>605</v>
      </c>
      <c r="I265" s="128">
        <v>400</v>
      </c>
      <c r="J265" s="128">
        <v>400</v>
      </c>
      <c r="K265" s="101"/>
      <c r="L265" s="128">
        <v>50</v>
      </c>
      <c r="M265" s="142">
        <v>1200</v>
      </c>
      <c r="Y265" s="141">
        <v>13.4431712962964</v>
      </c>
      <c r="Z265" s="179"/>
    </row>
    <row r="266" spans="2:26">
      <c r="B266" s="176"/>
      <c r="C266" s="174"/>
      <c r="D266" s="172"/>
      <c r="E266" s="23">
        <v>994</v>
      </c>
      <c r="F266" s="23">
        <f>DEMANDA_PREVISIÓN!E998</f>
        <v>31</v>
      </c>
      <c r="G266" s="101"/>
      <c r="H266" s="23">
        <f>H265-F266</f>
        <v>574</v>
      </c>
      <c r="I266" s="128">
        <v>400</v>
      </c>
      <c r="J266" s="129">
        <v>400</v>
      </c>
      <c r="K266" s="101"/>
      <c r="L266" s="129">
        <v>50</v>
      </c>
      <c r="M266" s="142">
        <v>1200</v>
      </c>
      <c r="Y266" s="141">
        <v>13.4527777777779</v>
      </c>
      <c r="Z266" s="179"/>
    </row>
    <row r="267" spans="2:26">
      <c r="B267" s="176"/>
      <c r="C267" s="174"/>
      <c r="D267" s="172"/>
      <c r="E267" s="23">
        <v>995</v>
      </c>
      <c r="F267" s="23">
        <f>DEMANDA_PREVISIÓN!E999</f>
        <v>40</v>
      </c>
      <c r="G267" s="101"/>
      <c r="H267" s="23">
        <f>H266-F267</f>
        <v>534</v>
      </c>
      <c r="I267" s="128">
        <v>400</v>
      </c>
      <c r="J267" s="129">
        <v>400</v>
      </c>
      <c r="K267" s="101"/>
      <c r="L267" s="129">
        <v>50</v>
      </c>
      <c r="M267" s="142">
        <v>1200</v>
      </c>
      <c r="Y267" s="141">
        <v>13.4623842592594</v>
      </c>
      <c r="Z267" s="179"/>
    </row>
    <row r="268" spans="2:26">
      <c r="B268" s="176"/>
      <c r="C268" s="174"/>
      <c r="D268" s="172"/>
      <c r="E268" s="23">
        <v>996</v>
      </c>
      <c r="F268" s="23">
        <f>DEMANDA_PREVISIÓN!E1000</f>
        <v>37</v>
      </c>
      <c r="G268" s="101"/>
      <c r="H268" s="23">
        <f>H267-F268</f>
        <v>497</v>
      </c>
      <c r="I268" s="128">
        <v>400</v>
      </c>
      <c r="J268" s="129">
        <v>400</v>
      </c>
      <c r="K268" s="101"/>
      <c r="L268" s="129">
        <v>50</v>
      </c>
      <c r="M268" s="142">
        <v>1200</v>
      </c>
      <c r="Y268" s="141">
        <v>13.4719907407409</v>
      </c>
      <c r="Z268" s="179"/>
    </row>
    <row r="269" spans="2:26">
      <c r="B269" s="176"/>
      <c r="C269" s="174"/>
      <c r="D269" s="172"/>
      <c r="E269" s="23">
        <v>997</v>
      </c>
      <c r="F269" s="23">
        <f>DEMANDA_PREVISIÓN!E1001</f>
        <v>29</v>
      </c>
      <c r="G269" s="101"/>
      <c r="H269" s="23">
        <f t="shared" ref="H269:H271" si="19">H268-F269</f>
        <v>468</v>
      </c>
      <c r="I269" s="128">
        <v>400</v>
      </c>
      <c r="J269" s="129">
        <v>400</v>
      </c>
      <c r="K269" s="101"/>
      <c r="L269" s="129">
        <v>50</v>
      </c>
      <c r="M269" s="142">
        <v>1200</v>
      </c>
      <c r="Y269" s="141">
        <v>13.481597222222399</v>
      </c>
      <c r="Z269" s="179"/>
    </row>
    <row r="270" spans="2:26">
      <c r="B270" s="176"/>
      <c r="C270" s="174"/>
      <c r="D270" s="172"/>
      <c r="E270" s="23">
        <v>998</v>
      </c>
      <c r="F270" s="23">
        <f>DEMANDA_PREVISIÓN!E1002</f>
        <v>33</v>
      </c>
      <c r="G270" s="101"/>
      <c r="H270" s="23">
        <f t="shared" si="19"/>
        <v>435</v>
      </c>
      <c r="I270" s="128">
        <v>400</v>
      </c>
      <c r="J270" s="129">
        <v>400</v>
      </c>
      <c r="K270" s="101"/>
      <c r="L270" s="129">
        <v>50</v>
      </c>
      <c r="M270" s="142">
        <v>1200</v>
      </c>
      <c r="Y270" s="141">
        <v>13.4912037037038</v>
      </c>
      <c r="Z270" s="179"/>
    </row>
    <row r="271" spans="2:26">
      <c r="B271" s="176"/>
      <c r="C271" s="174"/>
      <c r="D271" s="172"/>
      <c r="E271" s="23">
        <v>999</v>
      </c>
      <c r="F271" s="23">
        <f>DEMANDA_PREVISIÓN!E1003</f>
        <v>28</v>
      </c>
      <c r="G271" s="101"/>
      <c r="H271" s="23">
        <f t="shared" si="19"/>
        <v>407</v>
      </c>
      <c r="I271" s="128">
        <v>400</v>
      </c>
      <c r="J271" s="129">
        <v>400</v>
      </c>
      <c r="K271" s="101"/>
      <c r="L271" s="129">
        <v>50</v>
      </c>
      <c r="M271" s="142">
        <v>1200</v>
      </c>
      <c r="Y271" s="141">
        <v>13.5008101851853</v>
      </c>
      <c r="Z271" s="179"/>
    </row>
    <row r="272" spans="2:26">
      <c r="B272" s="176"/>
      <c r="C272" s="174"/>
      <c r="D272" s="172"/>
      <c r="E272" s="23">
        <v>1000</v>
      </c>
      <c r="F272" s="23">
        <f>DEMANDA_PREVISIÓN!E1004</f>
        <v>25</v>
      </c>
      <c r="G272" s="101"/>
      <c r="H272" s="128">
        <f>I271+H271-F272</f>
        <v>782</v>
      </c>
      <c r="J272" s="129">
        <v>400</v>
      </c>
      <c r="K272" s="47"/>
      <c r="L272" s="129">
        <v>50</v>
      </c>
      <c r="M272" s="142">
        <v>1200</v>
      </c>
      <c r="Y272" s="141">
        <v>13.510416666666799</v>
      </c>
      <c r="Z272" s="179"/>
    </row>
    <row r="273" spans="2:26">
      <c r="B273" s="176"/>
      <c r="C273" s="174"/>
      <c r="D273" s="172"/>
      <c r="E273" s="23">
        <v>1001</v>
      </c>
      <c r="F273" s="23">
        <f>DEMANDA_PREVISIÓN!E1005</f>
        <v>29</v>
      </c>
      <c r="G273" s="101"/>
      <c r="H273" s="23">
        <f t="shared" ref="H273:H279" si="20">H272-F273</f>
        <v>753</v>
      </c>
      <c r="I273" s="129">
        <v>400</v>
      </c>
      <c r="J273" s="129">
        <v>400</v>
      </c>
      <c r="K273" s="101"/>
      <c r="L273" s="129">
        <v>50</v>
      </c>
      <c r="M273" s="142">
        <v>1200</v>
      </c>
      <c r="Y273" s="141">
        <v>13.520023148148301</v>
      </c>
      <c r="Z273" s="179"/>
    </row>
    <row r="274" spans="2:26">
      <c r="B274" s="176"/>
      <c r="C274" s="174"/>
      <c r="D274" s="172"/>
      <c r="E274" s="23">
        <v>1002</v>
      </c>
      <c r="F274" s="23">
        <f>DEMANDA_PREVISIÓN!E1006</f>
        <v>32</v>
      </c>
      <c r="G274" s="101"/>
      <c r="H274" s="23">
        <f t="shared" si="20"/>
        <v>721</v>
      </c>
      <c r="I274" s="129">
        <v>400</v>
      </c>
      <c r="J274" s="137">
        <v>400</v>
      </c>
      <c r="K274" s="101"/>
      <c r="L274" s="137">
        <v>50</v>
      </c>
      <c r="M274" s="142">
        <v>1200</v>
      </c>
      <c r="Y274" s="141">
        <v>13.529629629629801</v>
      </c>
      <c r="Z274" s="179"/>
    </row>
    <row r="275" spans="2:26">
      <c r="B275" s="176"/>
      <c r="C275" s="174"/>
      <c r="D275" s="173"/>
      <c r="E275" s="23">
        <v>1003</v>
      </c>
      <c r="F275" s="23">
        <f>DEMANDA_PREVISIÓN!E1007</f>
        <v>36</v>
      </c>
      <c r="G275" s="101"/>
      <c r="H275" s="23">
        <f t="shared" si="20"/>
        <v>685</v>
      </c>
      <c r="I275" s="129">
        <v>400</v>
      </c>
      <c r="J275" s="137">
        <v>400</v>
      </c>
      <c r="K275" s="101"/>
      <c r="L275" s="137">
        <v>50</v>
      </c>
      <c r="M275" s="142">
        <v>1200</v>
      </c>
      <c r="Y275" s="141">
        <v>13.5392361111113</v>
      </c>
      <c r="Z275" s="179"/>
    </row>
    <row r="276" spans="2:26">
      <c r="B276" s="176"/>
      <c r="C276" s="174" t="s">
        <v>52</v>
      </c>
      <c r="D276" s="171" t="s">
        <v>53</v>
      </c>
      <c r="E276" s="23">
        <v>1004</v>
      </c>
      <c r="F276" s="23">
        <f>DEMANDA_PREVISIÓN!E1008</f>
        <v>42</v>
      </c>
      <c r="G276" s="101"/>
      <c r="H276" s="23">
        <f t="shared" si="20"/>
        <v>643</v>
      </c>
      <c r="I276" s="129">
        <v>400</v>
      </c>
      <c r="J276" s="137">
        <v>400</v>
      </c>
      <c r="K276" s="101"/>
      <c r="L276" s="137">
        <v>50</v>
      </c>
      <c r="M276" s="142">
        <v>1200</v>
      </c>
      <c r="Y276" s="141">
        <v>13.548842592592701</v>
      </c>
      <c r="Z276" s="179"/>
    </row>
    <row r="277" spans="2:26">
      <c r="B277" s="176"/>
      <c r="C277" s="174"/>
      <c r="D277" s="172"/>
      <c r="E277" s="23">
        <v>1005</v>
      </c>
      <c r="F277" s="23">
        <f>DEMANDA_PREVISIÓN!E1009</f>
        <v>35</v>
      </c>
      <c r="G277" s="101"/>
      <c r="H277" s="23">
        <f t="shared" si="20"/>
        <v>608</v>
      </c>
      <c r="I277" s="129">
        <v>400</v>
      </c>
      <c r="J277" s="137">
        <v>400</v>
      </c>
      <c r="K277" s="101"/>
      <c r="L277" s="137">
        <v>50</v>
      </c>
      <c r="M277" s="142">
        <v>1200</v>
      </c>
      <c r="Y277" s="141">
        <v>13.558449074074201</v>
      </c>
      <c r="Z277" s="179"/>
    </row>
    <row r="278" spans="2:26">
      <c r="B278" s="176"/>
      <c r="C278" s="174"/>
      <c r="D278" s="172"/>
      <c r="E278" s="23">
        <v>1006</v>
      </c>
      <c r="F278" s="23">
        <f>DEMANDA_PREVISIÓN!E1010</f>
        <v>41</v>
      </c>
      <c r="G278" s="101"/>
      <c r="H278" s="23">
        <f t="shared" si="20"/>
        <v>567</v>
      </c>
      <c r="I278" s="129">
        <v>400</v>
      </c>
      <c r="J278" s="137">
        <v>400</v>
      </c>
      <c r="K278" s="101"/>
      <c r="L278" s="137">
        <v>50</v>
      </c>
      <c r="M278" s="142">
        <v>1200</v>
      </c>
      <c r="Y278" s="141">
        <v>13.5680555555557</v>
      </c>
      <c r="Z278" s="179"/>
    </row>
    <row r="279" spans="2:26">
      <c r="B279" s="176"/>
      <c r="C279" s="174"/>
      <c r="D279" s="172"/>
      <c r="E279" s="23">
        <v>1007</v>
      </c>
      <c r="F279" s="23">
        <f>DEMANDA_PREVISIÓN!E1011</f>
        <v>25</v>
      </c>
      <c r="G279" s="101"/>
      <c r="H279" s="23">
        <f t="shared" si="20"/>
        <v>542</v>
      </c>
      <c r="I279" s="129">
        <v>400</v>
      </c>
      <c r="J279" s="137">
        <v>400</v>
      </c>
      <c r="K279" s="101"/>
      <c r="L279" s="137">
        <v>50</v>
      </c>
      <c r="M279" s="142">
        <v>1200</v>
      </c>
      <c r="Y279" s="141">
        <v>13.5776620370372</v>
      </c>
      <c r="Z279" s="179"/>
    </row>
    <row r="280" spans="2:26">
      <c r="B280" s="176"/>
      <c r="C280" s="174"/>
      <c r="D280" s="172"/>
      <c r="E280" s="23">
        <v>1008</v>
      </c>
      <c r="F280" s="23">
        <f>DEMANDA_PREVISIÓN!E1012</f>
        <v>28</v>
      </c>
      <c r="G280" s="101"/>
      <c r="H280" s="129">
        <f>I279+H279-F280</f>
        <v>914</v>
      </c>
      <c r="I280" s="23"/>
      <c r="J280" s="137">
        <v>400</v>
      </c>
      <c r="K280" s="101"/>
      <c r="L280" s="137">
        <v>50</v>
      </c>
      <c r="M280" s="142">
        <v>1200</v>
      </c>
      <c r="Y280" s="141">
        <v>13.5872685185187</v>
      </c>
      <c r="Z280" s="179"/>
    </row>
    <row r="281" spans="2:26">
      <c r="B281" s="176"/>
      <c r="C281" s="174"/>
      <c r="D281" s="172"/>
      <c r="E281" s="23">
        <v>1009</v>
      </c>
      <c r="F281" s="23">
        <f>DEMANDA_PREVISIÓN!E1013</f>
        <v>31</v>
      </c>
      <c r="G281" s="101"/>
      <c r="H281" s="23">
        <f t="shared" ref="H281:H287" si="21">H280-F281</f>
        <v>883</v>
      </c>
      <c r="I281" s="137">
        <v>400</v>
      </c>
      <c r="J281" s="137">
        <v>400</v>
      </c>
      <c r="K281" s="101"/>
      <c r="L281" s="137">
        <v>50</v>
      </c>
      <c r="M281" s="142">
        <v>1200</v>
      </c>
      <c r="Y281" s="141">
        <v>13.5968750000001</v>
      </c>
      <c r="Z281" s="179"/>
    </row>
    <row r="282" spans="2:26">
      <c r="B282" s="176"/>
      <c r="C282" s="174"/>
      <c r="D282" s="172"/>
      <c r="E282" s="23">
        <v>1010</v>
      </c>
      <c r="F282" s="23">
        <f>DEMANDA_PREVISIÓN!E1014</f>
        <v>28</v>
      </c>
      <c r="G282" s="101"/>
      <c r="H282" s="23">
        <f t="shared" si="21"/>
        <v>855</v>
      </c>
      <c r="I282" s="137">
        <v>400</v>
      </c>
      <c r="J282" s="23"/>
      <c r="K282" s="101"/>
      <c r="L282" s="138">
        <v>50</v>
      </c>
      <c r="M282" s="142">
        <v>1200</v>
      </c>
      <c r="Y282" s="141">
        <v>13.6064814814816</v>
      </c>
      <c r="Z282" s="179"/>
    </row>
    <row r="283" spans="2:26">
      <c r="B283" s="176"/>
      <c r="C283" s="174"/>
      <c r="D283" s="172"/>
      <c r="E283" s="23">
        <v>1011</v>
      </c>
      <c r="F283" s="23">
        <f>DEMANDA_PREVISIÓN!E1015</f>
        <v>36</v>
      </c>
      <c r="G283" s="101"/>
      <c r="H283" s="23">
        <f t="shared" si="21"/>
        <v>819</v>
      </c>
      <c r="I283" s="137">
        <v>400</v>
      </c>
      <c r="J283" s="23"/>
      <c r="K283" s="101"/>
      <c r="L283" s="138">
        <v>50</v>
      </c>
      <c r="M283" s="142">
        <v>1200</v>
      </c>
      <c r="Y283" s="141">
        <v>13.6160879629631</v>
      </c>
      <c r="Z283" s="179"/>
    </row>
    <row r="284" spans="2:26">
      <c r="B284" s="176"/>
      <c r="C284" s="174"/>
      <c r="D284" s="172"/>
      <c r="E284" s="23">
        <v>1012</v>
      </c>
      <c r="F284" s="23">
        <f>DEMANDA_PREVISIÓN!E1016</f>
        <v>29</v>
      </c>
      <c r="G284" s="101"/>
      <c r="H284" s="23">
        <f t="shared" si="21"/>
        <v>790</v>
      </c>
      <c r="I284" s="137">
        <v>400</v>
      </c>
      <c r="J284" s="23"/>
      <c r="K284" s="101"/>
      <c r="L284" s="138">
        <v>50</v>
      </c>
      <c r="M284" s="142">
        <v>1200</v>
      </c>
      <c r="Y284" s="141">
        <v>13.6256944444446</v>
      </c>
      <c r="Z284" s="179"/>
    </row>
    <row r="285" spans="2:26">
      <c r="B285" s="176"/>
      <c r="C285" s="174"/>
      <c r="D285" s="172"/>
      <c r="E285" s="23">
        <v>1013</v>
      </c>
      <c r="F285" s="23">
        <f>DEMANDA_PREVISIÓN!E1017</f>
        <v>39</v>
      </c>
      <c r="G285" s="101"/>
      <c r="H285" s="23">
        <f t="shared" si="21"/>
        <v>751</v>
      </c>
      <c r="I285" s="137">
        <v>400</v>
      </c>
      <c r="J285" s="23"/>
      <c r="K285" s="101"/>
      <c r="L285" s="138">
        <v>50</v>
      </c>
      <c r="M285" s="142">
        <v>1200</v>
      </c>
      <c r="Y285" s="141">
        <v>13.635300925926099</v>
      </c>
      <c r="Z285" s="179"/>
    </row>
    <row r="286" spans="2:26">
      <c r="B286" s="176"/>
      <c r="C286" s="174"/>
      <c r="D286" s="172"/>
      <c r="E286" s="23">
        <v>1014</v>
      </c>
      <c r="F286" s="23">
        <f>DEMANDA_PREVISIÓN!E1018</f>
        <v>33</v>
      </c>
      <c r="G286" s="101"/>
      <c r="H286" s="23">
        <f t="shared" si="21"/>
        <v>718</v>
      </c>
      <c r="I286" s="137">
        <v>400</v>
      </c>
      <c r="J286" s="23"/>
      <c r="K286" s="101"/>
      <c r="L286" s="138">
        <v>50</v>
      </c>
      <c r="M286" s="142">
        <v>1200</v>
      </c>
      <c r="Y286" s="141">
        <v>13.644907407407601</v>
      </c>
      <c r="Z286" s="179"/>
    </row>
    <row r="287" spans="2:26">
      <c r="B287" s="176"/>
      <c r="C287" s="174"/>
      <c r="D287" s="172"/>
      <c r="E287" s="23">
        <v>1015</v>
      </c>
      <c r="F287" s="23">
        <f>DEMANDA_PREVISIÓN!E1019</f>
        <v>31</v>
      </c>
      <c r="G287" s="101"/>
      <c r="H287" s="23">
        <f t="shared" si="21"/>
        <v>687</v>
      </c>
      <c r="I287" s="137">
        <v>400</v>
      </c>
      <c r="J287" s="23"/>
      <c r="K287" s="101"/>
      <c r="L287" s="138">
        <v>50</v>
      </c>
      <c r="M287" s="142">
        <v>1200</v>
      </c>
      <c r="Y287" s="141">
        <v>13.654513888888999</v>
      </c>
      <c r="Z287" s="179"/>
    </row>
    <row r="288" spans="2:26">
      <c r="B288" s="176"/>
      <c r="C288" s="174"/>
      <c r="D288" s="172"/>
      <c r="E288" s="23">
        <v>1016</v>
      </c>
      <c r="F288" s="23">
        <f>DEMANDA_PREVISIÓN!E1020</f>
        <v>39</v>
      </c>
      <c r="G288" s="101"/>
      <c r="H288" s="137">
        <f>I287+H287-F288</f>
        <v>1048</v>
      </c>
      <c r="I288" s="23"/>
      <c r="J288" s="23"/>
      <c r="K288" s="101"/>
      <c r="L288" s="138">
        <v>50</v>
      </c>
      <c r="M288" s="142">
        <v>1200</v>
      </c>
      <c r="Y288" s="141">
        <v>13.664120370370499</v>
      </c>
      <c r="Z288" s="179"/>
    </row>
    <row r="289" spans="2:26">
      <c r="B289" s="176"/>
      <c r="C289" s="174"/>
      <c r="D289" s="172"/>
      <c r="E289" s="23">
        <v>1017</v>
      </c>
      <c r="F289" s="23">
        <f>DEMANDA_PREVISIÓN!E1021</f>
        <v>29</v>
      </c>
      <c r="G289" s="101"/>
      <c r="H289" s="23">
        <f t="shared" ref="H289:H295" si="22">H288-F289</f>
        <v>1019</v>
      </c>
      <c r="I289" s="23"/>
      <c r="J289" s="23"/>
      <c r="K289" s="101"/>
      <c r="L289" s="138">
        <v>50</v>
      </c>
      <c r="M289" s="142">
        <v>1200</v>
      </c>
      <c r="Y289" s="141">
        <v>13.673726851852001</v>
      </c>
      <c r="Z289" s="179"/>
    </row>
    <row r="290" spans="2:26">
      <c r="B290" s="176"/>
      <c r="C290" s="174"/>
      <c r="D290" s="172"/>
      <c r="E290" s="23">
        <v>1018</v>
      </c>
      <c r="F290" s="23">
        <f>DEMANDA_PREVISIÓN!E1022</f>
        <v>22</v>
      </c>
      <c r="G290" s="101"/>
      <c r="H290" s="23">
        <f t="shared" si="22"/>
        <v>997</v>
      </c>
      <c r="I290" s="23"/>
      <c r="J290" s="23"/>
      <c r="K290" s="101"/>
      <c r="L290" s="134">
        <v>50</v>
      </c>
      <c r="M290" s="142">
        <v>1200</v>
      </c>
      <c r="Y290" s="141">
        <v>13.683333333333501</v>
      </c>
      <c r="Z290" s="179"/>
    </row>
    <row r="291" spans="2:26">
      <c r="B291" s="176"/>
      <c r="C291" s="174"/>
      <c r="D291" s="172"/>
      <c r="E291" s="23">
        <v>1019</v>
      </c>
      <c r="F291" s="23">
        <f>DEMANDA_PREVISIÓN!E1023</f>
        <v>40</v>
      </c>
      <c r="G291" s="101"/>
      <c r="H291" s="23">
        <f t="shared" si="22"/>
        <v>957</v>
      </c>
      <c r="I291" s="23"/>
      <c r="J291" s="23"/>
      <c r="K291" s="101"/>
      <c r="L291" s="134">
        <v>50</v>
      </c>
      <c r="M291" s="142">
        <v>1200</v>
      </c>
      <c r="Y291" s="141">
        <v>13.692939814815</v>
      </c>
      <c r="Z291" s="179"/>
    </row>
    <row r="292" spans="2:26">
      <c r="B292" s="176"/>
      <c r="C292" s="174"/>
      <c r="D292" s="172"/>
      <c r="E292" s="23">
        <v>1020</v>
      </c>
      <c r="F292" s="23">
        <f>DEMANDA_PREVISIÓN!E1024</f>
        <v>30</v>
      </c>
      <c r="G292" s="101"/>
      <c r="H292" s="23">
        <f t="shared" si="22"/>
        <v>927</v>
      </c>
      <c r="I292" s="23"/>
      <c r="J292" s="23"/>
      <c r="K292" s="101"/>
      <c r="L292" s="134">
        <v>50</v>
      </c>
      <c r="M292" s="142">
        <v>1200</v>
      </c>
      <c r="Y292" s="141">
        <v>13.7025462962965</v>
      </c>
      <c r="Z292" s="179"/>
    </row>
    <row r="293" spans="2:26">
      <c r="B293" s="176"/>
      <c r="C293" s="174"/>
      <c r="D293" s="172"/>
      <c r="E293" s="23">
        <v>1021</v>
      </c>
      <c r="F293" s="23">
        <f>DEMANDA_PREVISIÓN!E1025</f>
        <v>34</v>
      </c>
      <c r="G293" s="101"/>
      <c r="H293" s="23">
        <f t="shared" si="22"/>
        <v>893</v>
      </c>
      <c r="I293" s="23"/>
      <c r="J293" s="23"/>
      <c r="K293" s="101"/>
      <c r="L293" s="134">
        <v>50</v>
      </c>
      <c r="M293" s="142">
        <v>1200</v>
      </c>
      <c r="Y293" s="141">
        <v>13.7121527777779</v>
      </c>
      <c r="Z293" s="179"/>
    </row>
    <row r="294" spans="2:26">
      <c r="B294" s="176"/>
      <c r="C294" s="174"/>
      <c r="D294" s="172"/>
      <c r="E294" s="23">
        <v>1022</v>
      </c>
      <c r="F294" s="23">
        <f>DEMANDA_PREVISIÓN!E1026</f>
        <v>35</v>
      </c>
      <c r="G294" s="101"/>
      <c r="H294" s="23">
        <f t="shared" si="22"/>
        <v>858</v>
      </c>
      <c r="I294" s="23"/>
      <c r="J294" s="23"/>
      <c r="K294" s="101"/>
      <c r="L294" s="134">
        <v>50</v>
      </c>
      <c r="M294" s="142">
        <v>1200</v>
      </c>
      <c r="Y294" s="141">
        <v>13.7217592592594</v>
      </c>
      <c r="Z294" s="179"/>
    </row>
    <row r="295" spans="2:26">
      <c r="B295" s="176"/>
      <c r="C295" s="174"/>
      <c r="D295" s="172"/>
      <c r="E295" s="23">
        <v>1023</v>
      </c>
      <c r="F295" s="23">
        <f>DEMANDA_PREVISIÓN!E1027</f>
        <v>41</v>
      </c>
      <c r="G295" s="101"/>
      <c r="H295" s="23">
        <f t="shared" si="22"/>
        <v>817</v>
      </c>
      <c r="I295" s="23"/>
      <c r="J295" s="23"/>
      <c r="K295" s="101"/>
      <c r="L295" s="134">
        <v>50</v>
      </c>
      <c r="M295" s="142">
        <v>1200</v>
      </c>
      <c r="Y295" s="141">
        <v>13.7313657407409</v>
      </c>
      <c r="Z295" s="179"/>
    </row>
    <row r="296" spans="2:26">
      <c r="B296" s="176"/>
      <c r="C296" s="174"/>
      <c r="D296" s="172"/>
      <c r="E296" s="23">
        <v>1024</v>
      </c>
      <c r="F296" s="23">
        <f>DEMANDA_PREVISIÓN!E1028</f>
        <v>26</v>
      </c>
      <c r="G296" s="101"/>
      <c r="H296" s="138">
        <f>I295+H295-F296</f>
        <v>791</v>
      </c>
      <c r="I296" s="23"/>
      <c r="J296" s="23"/>
      <c r="K296" s="101"/>
      <c r="L296" s="134">
        <v>50</v>
      </c>
      <c r="M296" s="142">
        <v>1200</v>
      </c>
      <c r="Y296" s="141">
        <v>13.7409722222224</v>
      </c>
      <c r="Z296" s="179"/>
    </row>
    <row r="297" spans="2:26">
      <c r="B297" s="176"/>
      <c r="C297" s="174"/>
      <c r="D297" s="172"/>
      <c r="E297" s="23">
        <v>1025</v>
      </c>
      <c r="F297" s="23">
        <f>DEMANDA_PREVISIÓN!E1029</f>
        <v>34</v>
      </c>
      <c r="G297" s="101"/>
      <c r="H297" s="23">
        <f t="shared" ref="H297:H303" si="23">H296-F297</f>
        <v>757</v>
      </c>
      <c r="I297" s="23"/>
      <c r="J297" s="23"/>
      <c r="K297" s="101"/>
      <c r="L297" s="134">
        <v>50</v>
      </c>
      <c r="M297" s="142">
        <v>1200</v>
      </c>
      <c r="Y297" s="141">
        <v>13.7505787037039</v>
      </c>
      <c r="Z297" s="179"/>
    </row>
    <row r="298" spans="2:26">
      <c r="B298" s="176"/>
      <c r="C298" s="174"/>
      <c r="D298" s="172"/>
      <c r="E298" s="23">
        <v>1026</v>
      </c>
      <c r="F298" s="23">
        <f>DEMANDA_PREVISIÓN!E1030</f>
        <v>35</v>
      </c>
      <c r="G298" s="101"/>
      <c r="H298" s="23">
        <f t="shared" si="23"/>
        <v>722</v>
      </c>
      <c r="I298" s="23"/>
      <c r="J298" s="128">
        <v>400</v>
      </c>
      <c r="K298" s="101"/>
      <c r="L298" s="128">
        <v>50</v>
      </c>
      <c r="M298" s="142">
        <v>1200</v>
      </c>
      <c r="Y298" s="141">
        <v>13.7601851851853</v>
      </c>
      <c r="Z298" s="179"/>
    </row>
    <row r="299" spans="2:26">
      <c r="B299" s="176"/>
      <c r="C299" s="174"/>
      <c r="D299" s="172"/>
      <c r="E299" s="23">
        <v>1027</v>
      </c>
      <c r="F299" s="23">
        <f>DEMANDA_PREVISIÓN!E1031</f>
        <v>39</v>
      </c>
      <c r="G299" s="101"/>
      <c r="H299" s="23">
        <f t="shared" si="23"/>
        <v>683</v>
      </c>
      <c r="I299" s="23"/>
      <c r="J299" s="128">
        <v>400</v>
      </c>
      <c r="K299" s="101"/>
      <c r="L299" s="128">
        <v>50</v>
      </c>
      <c r="M299" s="142">
        <v>1200</v>
      </c>
      <c r="Y299" s="141">
        <v>13.7697916666668</v>
      </c>
      <c r="Z299" s="179"/>
    </row>
    <row r="300" spans="2:26">
      <c r="B300" s="176"/>
      <c r="C300" s="174"/>
      <c r="D300" s="172"/>
      <c r="E300" s="23">
        <v>1028</v>
      </c>
      <c r="F300" s="23">
        <f>DEMANDA_PREVISIÓN!E1032</f>
        <v>37</v>
      </c>
      <c r="G300" s="101"/>
      <c r="H300" s="23">
        <f t="shared" si="23"/>
        <v>646</v>
      </c>
      <c r="I300" s="23"/>
      <c r="J300" s="128">
        <v>400</v>
      </c>
      <c r="K300" s="101"/>
      <c r="L300" s="128">
        <v>50</v>
      </c>
      <c r="M300" s="142">
        <v>1200</v>
      </c>
      <c r="Y300" s="141">
        <v>13.779398148148299</v>
      </c>
      <c r="Z300" s="179"/>
    </row>
    <row r="301" spans="2:26">
      <c r="B301" s="176"/>
      <c r="C301" s="174"/>
      <c r="D301" s="172"/>
      <c r="E301" s="23">
        <v>1029</v>
      </c>
      <c r="F301" s="23">
        <f>DEMANDA_PREVISIÓN!E1033</f>
        <v>36</v>
      </c>
      <c r="G301" s="101"/>
      <c r="H301" s="23">
        <f t="shared" si="23"/>
        <v>610</v>
      </c>
      <c r="I301" s="23"/>
      <c r="J301" s="128">
        <v>400</v>
      </c>
      <c r="K301" s="101"/>
      <c r="L301" s="128">
        <v>50</v>
      </c>
      <c r="M301" s="142">
        <v>1200</v>
      </c>
      <c r="Y301" s="141">
        <v>13.789004629629799</v>
      </c>
      <c r="Z301" s="179"/>
    </row>
    <row r="302" spans="2:26">
      <c r="B302" s="176"/>
      <c r="C302" s="174"/>
      <c r="D302" s="172"/>
      <c r="E302" s="23">
        <v>1030</v>
      </c>
      <c r="F302" s="23">
        <f>DEMANDA_PREVISIÓN!E1034</f>
        <v>33</v>
      </c>
      <c r="G302" s="101"/>
      <c r="H302" s="23">
        <f t="shared" si="23"/>
        <v>577</v>
      </c>
      <c r="I302" s="23"/>
      <c r="J302" s="128">
        <v>400</v>
      </c>
      <c r="K302" s="101"/>
      <c r="L302" s="128">
        <v>50</v>
      </c>
      <c r="M302" s="142">
        <v>1200</v>
      </c>
      <c r="Y302" s="141">
        <v>13.798611111111301</v>
      </c>
      <c r="Z302" s="179"/>
    </row>
    <row r="303" spans="2:26">
      <c r="B303" s="176"/>
      <c r="C303" s="174"/>
      <c r="D303" s="172"/>
      <c r="E303" s="23">
        <v>1031</v>
      </c>
      <c r="F303" s="23">
        <f>DEMANDA_PREVISIÓN!E1035</f>
        <v>32</v>
      </c>
      <c r="G303" s="101"/>
      <c r="H303" s="23">
        <f t="shared" si="23"/>
        <v>545</v>
      </c>
      <c r="I303" s="23"/>
      <c r="J303" s="128">
        <v>400</v>
      </c>
      <c r="K303" s="101"/>
      <c r="L303" s="128">
        <v>50</v>
      </c>
      <c r="M303" s="142">
        <v>1200</v>
      </c>
      <c r="Y303" s="141">
        <v>13.808217592592801</v>
      </c>
      <c r="Z303" s="179"/>
    </row>
    <row r="304" spans="2:26">
      <c r="B304" s="176"/>
      <c r="C304" s="174"/>
      <c r="D304" s="172"/>
      <c r="E304" s="23">
        <v>1032</v>
      </c>
      <c r="F304" s="23">
        <f>DEMANDA_PREVISIÓN!E1036</f>
        <v>34</v>
      </c>
      <c r="G304" s="101"/>
      <c r="H304" s="134">
        <f>I303+H303-F304</f>
        <v>511</v>
      </c>
      <c r="I304" s="23"/>
      <c r="J304" s="128">
        <v>400</v>
      </c>
      <c r="K304" s="101"/>
      <c r="L304" s="128">
        <v>50</v>
      </c>
      <c r="M304" s="142">
        <v>1200</v>
      </c>
      <c r="Y304" s="141">
        <v>13.817824074074201</v>
      </c>
      <c r="Z304" s="179"/>
    </row>
    <row r="305" spans="2:26">
      <c r="B305" s="176"/>
      <c r="C305" s="174"/>
      <c r="D305" s="172"/>
      <c r="E305" s="23">
        <v>1033</v>
      </c>
      <c r="F305" s="23">
        <f>DEMANDA_PREVISIÓN!E1037</f>
        <v>34</v>
      </c>
      <c r="G305" s="101"/>
      <c r="H305" s="23">
        <f>H304-F305</f>
        <v>477</v>
      </c>
      <c r="I305" s="128">
        <v>400</v>
      </c>
      <c r="J305" s="128">
        <v>400</v>
      </c>
      <c r="K305" s="101"/>
      <c r="L305" s="128">
        <v>50</v>
      </c>
      <c r="M305" s="142">
        <v>1200</v>
      </c>
      <c r="Y305" s="141">
        <v>13.827430555555701</v>
      </c>
      <c r="Z305" s="179"/>
    </row>
    <row r="306" spans="2:26">
      <c r="B306" s="176"/>
      <c r="C306" s="174"/>
      <c r="D306" s="173"/>
      <c r="E306" s="23">
        <v>1034</v>
      </c>
      <c r="F306" s="23">
        <f>DEMANDA_PREVISIÓN!E1038</f>
        <v>30</v>
      </c>
      <c r="G306" s="101"/>
      <c r="H306" s="23">
        <f>H305-F306</f>
        <v>447</v>
      </c>
      <c r="I306" s="128">
        <v>400</v>
      </c>
      <c r="J306" s="129">
        <v>400</v>
      </c>
      <c r="K306" s="101"/>
      <c r="L306" s="129">
        <v>50</v>
      </c>
      <c r="M306" s="142">
        <v>1200</v>
      </c>
      <c r="Y306" s="141">
        <v>13.8370370370372</v>
      </c>
      <c r="Z306" s="179"/>
    </row>
    <row r="307" spans="2:26">
      <c r="B307" s="176"/>
      <c r="C307" s="174"/>
      <c r="D307" s="171" t="s">
        <v>54</v>
      </c>
      <c r="E307" s="23">
        <v>1035</v>
      </c>
      <c r="F307" s="23">
        <f>DEMANDA_PREVISIÓN!E1039</f>
        <v>25</v>
      </c>
      <c r="G307" s="101"/>
      <c r="H307" s="23">
        <f>H306-F307</f>
        <v>422</v>
      </c>
      <c r="I307" s="128">
        <v>400</v>
      </c>
      <c r="J307" s="129">
        <v>400</v>
      </c>
      <c r="K307" s="101"/>
      <c r="L307" s="129">
        <v>50</v>
      </c>
      <c r="M307" s="142">
        <v>1200</v>
      </c>
      <c r="Y307" s="141">
        <v>13.8466435185187</v>
      </c>
      <c r="Z307" s="179"/>
    </row>
    <row r="308" spans="2:26">
      <c r="B308" s="176"/>
      <c r="C308" s="174"/>
      <c r="D308" s="172"/>
      <c r="E308" s="23">
        <v>1036</v>
      </c>
      <c r="F308" s="23">
        <f>DEMANDA_PREVISIÓN!E1040</f>
        <v>36</v>
      </c>
      <c r="G308" s="101"/>
      <c r="H308" s="23">
        <f>H307-F308</f>
        <v>386</v>
      </c>
      <c r="I308" s="128">
        <v>400</v>
      </c>
      <c r="J308" s="129">
        <v>400</v>
      </c>
      <c r="K308" s="101"/>
      <c r="L308" s="129">
        <v>50</v>
      </c>
      <c r="M308" s="142">
        <v>1200</v>
      </c>
      <c r="Y308" s="141">
        <v>13.8562500000002</v>
      </c>
      <c r="Z308" s="179"/>
    </row>
    <row r="309" spans="2:26">
      <c r="B309" s="176"/>
      <c r="C309" s="174"/>
      <c r="D309" s="172"/>
      <c r="E309" s="23">
        <v>1037</v>
      </c>
      <c r="F309" s="23">
        <f>DEMANDA_PREVISIÓN!E1041</f>
        <v>35</v>
      </c>
      <c r="G309" s="101"/>
      <c r="H309" s="23">
        <f t="shared" ref="H309:H311" si="24">H308-F309</f>
        <v>351</v>
      </c>
      <c r="I309" s="128">
        <v>400</v>
      </c>
      <c r="J309" s="129">
        <v>400</v>
      </c>
      <c r="K309" s="101"/>
      <c r="L309" s="129">
        <v>50</v>
      </c>
      <c r="M309" s="142">
        <v>1200</v>
      </c>
      <c r="Y309" s="141">
        <v>13.8658564814816</v>
      </c>
      <c r="Z309" s="179"/>
    </row>
    <row r="310" spans="2:26">
      <c r="B310" s="176"/>
      <c r="C310" s="174"/>
      <c r="D310" s="172"/>
      <c r="E310" s="23">
        <v>1038</v>
      </c>
      <c r="F310" s="23">
        <f>DEMANDA_PREVISIÓN!E1042</f>
        <v>35</v>
      </c>
      <c r="G310" s="101"/>
      <c r="H310" s="23">
        <f t="shared" si="24"/>
        <v>316</v>
      </c>
      <c r="I310" s="128">
        <v>400</v>
      </c>
      <c r="J310" s="129">
        <v>400</v>
      </c>
      <c r="K310" s="101"/>
      <c r="L310" s="129">
        <v>50</v>
      </c>
      <c r="M310" s="142">
        <v>1200</v>
      </c>
      <c r="Y310" s="141">
        <v>13.8754629629631</v>
      </c>
      <c r="Z310" s="179"/>
    </row>
    <row r="311" spans="2:26">
      <c r="B311" s="176"/>
      <c r="C311" s="174"/>
      <c r="D311" s="172"/>
      <c r="E311" s="23">
        <v>1039</v>
      </c>
      <c r="F311" s="23">
        <f>DEMANDA_PREVISIÓN!E1043</f>
        <v>39</v>
      </c>
      <c r="G311" s="101"/>
      <c r="H311" s="23">
        <f t="shared" si="24"/>
        <v>277</v>
      </c>
      <c r="I311" s="128">
        <v>400</v>
      </c>
      <c r="J311" s="129">
        <v>400</v>
      </c>
      <c r="K311" s="101"/>
      <c r="L311" s="129">
        <v>50</v>
      </c>
      <c r="M311" s="142">
        <v>1200</v>
      </c>
      <c r="Y311" s="141">
        <v>13.8850694444446</v>
      </c>
      <c r="Z311" s="179"/>
    </row>
    <row r="312" spans="2:26">
      <c r="B312" s="176"/>
      <c r="C312" s="174"/>
      <c r="D312" s="172"/>
      <c r="E312" s="23">
        <v>1040</v>
      </c>
      <c r="F312" s="23">
        <f>DEMANDA_PREVISIÓN!E1044</f>
        <v>24</v>
      </c>
      <c r="G312" s="101"/>
      <c r="H312" s="128">
        <f>I311+H311-F312</f>
        <v>653</v>
      </c>
      <c r="J312" s="129">
        <v>400</v>
      </c>
      <c r="K312" s="47"/>
      <c r="L312" s="129">
        <v>50</v>
      </c>
      <c r="M312" s="142">
        <v>1200</v>
      </c>
      <c r="Y312" s="141">
        <v>13.8946759259261</v>
      </c>
      <c r="Z312" s="179"/>
    </row>
    <row r="313" spans="2:26">
      <c r="B313" s="176"/>
      <c r="C313" s="174"/>
      <c r="D313" s="172"/>
      <c r="E313" s="23">
        <v>1041</v>
      </c>
      <c r="F313" s="23">
        <f>DEMANDA_PREVISIÓN!E1045</f>
        <v>29</v>
      </c>
      <c r="G313" s="101"/>
      <c r="H313" s="23">
        <f t="shared" ref="H313:H319" si="25">H312-F313</f>
        <v>624</v>
      </c>
      <c r="I313" s="129">
        <v>400</v>
      </c>
      <c r="J313" s="129">
        <v>400</v>
      </c>
      <c r="K313" s="101"/>
      <c r="L313" s="129">
        <v>50</v>
      </c>
      <c r="M313" s="142">
        <v>1200</v>
      </c>
      <c r="Y313" s="141">
        <v>13.904282407407599</v>
      </c>
      <c r="Z313" s="179"/>
    </row>
    <row r="314" spans="2:26">
      <c r="B314" s="176"/>
      <c r="C314" s="174"/>
      <c r="D314" s="172"/>
      <c r="E314" s="23">
        <v>1042</v>
      </c>
      <c r="F314" s="23">
        <f>DEMANDA_PREVISIÓN!E1046</f>
        <v>43</v>
      </c>
      <c r="G314" s="101"/>
      <c r="H314" s="23">
        <f t="shared" si="25"/>
        <v>581</v>
      </c>
      <c r="I314" s="129">
        <v>400</v>
      </c>
      <c r="J314" s="137">
        <v>400</v>
      </c>
      <c r="K314" s="101"/>
      <c r="L314" s="137">
        <v>50</v>
      </c>
      <c r="M314" s="142">
        <v>1200</v>
      </c>
      <c r="Y314" s="141">
        <v>13.913888888889099</v>
      </c>
      <c r="Z314" s="179"/>
    </row>
    <row r="315" spans="2:26">
      <c r="B315" s="176"/>
      <c r="C315" s="174"/>
      <c r="D315" s="172"/>
      <c r="E315" s="23">
        <v>1043</v>
      </c>
      <c r="F315" s="23">
        <f>DEMANDA_PREVISIÓN!E1047</f>
        <v>30</v>
      </c>
      <c r="G315" s="101"/>
      <c r="H315" s="23">
        <f t="shared" si="25"/>
        <v>551</v>
      </c>
      <c r="I315" s="129">
        <v>400</v>
      </c>
      <c r="J315" s="137">
        <v>400</v>
      </c>
      <c r="K315" s="101"/>
      <c r="L315" s="137">
        <v>50</v>
      </c>
      <c r="M315" s="142">
        <v>1200</v>
      </c>
      <c r="Y315" s="141">
        <v>13.9234953703705</v>
      </c>
      <c r="Z315" s="179"/>
    </row>
    <row r="316" spans="2:26">
      <c r="B316" s="176"/>
      <c r="C316" s="174"/>
      <c r="D316" s="172"/>
      <c r="E316" s="23">
        <v>1044</v>
      </c>
      <c r="F316" s="23">
        <f>DEMANDA_PREVISIÓN!E1048</f>
        <v>38</v>
      </c>
      <c r="G316" s="101"/>
      <c r="H316" s="23">
        <f t="shared" si="25"/>
        <v>513</v>
      </c>
      <c r="I316" s="129">
        <v>400</v>
      </c>
      <c r="J316" s="137">
        <v>400</v>
      </c>
      <c r="K316" s="101"/>
      <c r="L316" s="137">
        <v>50</v>
      </c>
      <c r="M316" s="142">
        <v>1200</v>
      </c>
      <c r="Y316" s="141">
        <v>13.933101851851999</v>
      </c>
      <c r="Z316" s="179"/>
    </row>
    <row r="317" spans="2:26">
      <c r="B317" s="176"/>
      <c r="C317" s="174"/>
      <c r="D317" s="172"/>
      <c r="E317" s="23">
        <v>1045</v>
      </c>
      <c r="F317" s="23">
        <f>DEMANDA_PREVISIÓN!E1049</f>
        <v>39</v>
      </c>
      <c r="G317" s="101"/>
      <c r="H317" s="23">
        <f t="shared" si="25"/>
        <v>474</v>
      </c>
      <c r="I317" s="129">
        <v>400</v>
      </c>
      <c r="J317" s="137">
        <v>400</v>
      </c>
      <c r="K317" s="101"/>
      <c r="L317" s="137">
        <v>50</v>
      </c>
      <c r="M317" s="142">
        <v>1200</v>
      </c>
      <c r="Y317" s="141">
        <v>13.942708333333499</v>
      </c>
      <c r="Z317" s="179"/>
    </row>
    <row r="318" spans="2:26">
      <c r="B318" s="176"/>
      <c r="C318" s="174"/>
      <c r="D318" s="172"/>
      <c r="E318" s="23">
        <v>1046</v>
      </c>
      <c r="F318" s="23">
        <f>DEMANDA_PREVISIÓN!E1050</f>
        <v>32</v>
      </c>
      <c r="G318" s="101"/>
      <c r="H318" s="23">
        <f t="shared" si="25"/>
        <v>442</v>
      </c>
      <c r="I318" s="129">
        <v>400</v>
      </c>
      <c r="J318" s="137">
        <v>400</v>
      </c>
      <c r="K318" s="101"/>
      <c r="L318" s="137">
        <v>50</v>
      </c>
      <c r="M318" s="142">
        <v>1200</v>
      </c>
      <c r="Y318" s="141">
        <v>13.952314814815001</v>
      </c>
      <c r="Z318" s="179"/>
    </row>
    <row r="319" spans="2:26">
      <c r="B319" s="176"/>
      <c r="C319" s="174"/>
      <c r="D319" s="172"/>
      <c r="E319" s="23">
        <v>1047</v>
      </c>
      <c r="F319" s="23">
        <f>DEMANDA_PREVISIÓN!E1051</f>
        <v>39</v>
      </c>
      <c r="G319" s="101"/>
      <c r="H319" s="23">
        <f t="shared" si="25"/>
        <v>403</v>
      </c>
      <c r="I319" s="129">
        <v>400</v>
      </c>
      <c r="J319" s="137">
        <v>400</v>
      </c>
      <c r="K319" s="101"/>
      <c r="L319" s="137">
        <v>50</v>
      </c>
      <c r="M319" s="142">
        <v>1200</v>
      </c>
      <c r="Y319" s="141">
        <v>13.9619212962965</v>
      </c>
      <c r="Z319" s="179"/>
    </row>
    <row r="320" spans="2:26">
      <c r="B320" s="176"/>
      <c r="C320" s="174"/>
      <c r="D320" s="172"/>
      <c r="E320" s="23">
        <v>1048</v>
      </c>
      <c r="F320" s="23">
        <f>DEMANDA_PREVISIÓN!E1052</f>
        <v>49</v>
      </c>
      <c r="G320" s="101"/>
      <c r="H320" s="129">
        <f>I319+H319-F320</f>
        <v>754</v>
      </c>
      <c r="I320" s="23"/>
      <c r="J320" s="137">
        <v>400</v>
      </c>
      <c r="K320" s="101"/>
      <c r="L320" s="137">
        <v>50</v>
      </c>
      <c r="M320" s="142">
        <v>1200</v>
      </c>
      <c r="Y320" s="141">
        <v>13.971527777777901</v>
      </c>
      <c r="Z320" s="179"/>
    </row>
    <row r="321" spans="2:26">
      <c r="B321" s="176"/>
      <c r="C321" s="174"/>
      <c r="D321" s="172"/>
      <c r="E321" s="23">
        <v>1049</v>
      </c>
      <c r="F321" s="23">
        <f>DEMANDA_PREVISIÓN!E1053</f>
        <v>41</v>
      </c>
      <c r="G321" s="101"/>
      <c r="H321" s="23">
        <f t="shared" ref="H321:H327" si="26">H320-F321</f>
        <v>713</v>
      </c>
      <c r="I321" s="137">
        <v>400</v>
      </c>
      <c r="J321" s="137">
        <v>400</v>
      </c>
      <c r="K321" s="101"/>
      <c r="L321" s="137">
        <v>50</v>
      </c>
      <c r="M321" s="142">
        <v>1200</v>
      </c>
      <c r="Y321" s="141">
        <v>13.981134259259401</v>
      </c>
      <c r="Z321" s="179"/>
    </row>
    <row r="322" spans="2:26">
      <c r="B322" s="176"/>
      <c r="C322" s="174"/>
      <c r="D322" s="172"/>
      <c r="E322" s="23">
        <v>1050</v>
      </c>
      <c r="F322" s="23">
        <f>DEMANDA_PREVISIÓN!E1054</f>
        <v>33</v>
      </c>
      <c r="G322" s="101"/>
      <c r="H322" s="23">
        <f t="shared" si="26"/>
        <v>680</v>
      </c>
      <c r="I322" s="137">
        <v>400</v>
      </c>
      <c r="J322" s="138">
        <v>400</v>
      </c>
      <c r="K322" s="101"/>
      <c r="L322" s="138">
        <v>50</v>
      </c>
      <c r="M322" s="142">
        <v>1200</v>
      </c>
      <c r="Y322" s="141">
        <v>13.9907407407409</v>
      </c>
      <c r="Z322" s="180"/>
    </row>
    <row r="323" spans="2:26">
      <c r="B323" s="176"/>
      <c r="C323" s="174"/>
      <c r="D323" s="172"/>
      <c r="E323" s="23">
        <v>1051</v>
      </c>
      <c r="F323" s="23">
        <f>DEMANDA_PREVISIÓN!E1055</f>
        <v>36</v>
      </c>
      <c r="G323" s="101"/>
      <c r="H323" s="23">
        <f t="shared" si="26"/>
        <v>644</v>
      </c>
      <c r="I323" s="137">
        <v>400</v>
      </c>
      <c r="J323" s="138">
        <v>400</v>
      </c>
      <c r="K323" s="101"/>
      <c r="L323" s="138">
        <v>50</v>
      </c>
      <c r="M323" s="142">
        <v>1200</v>
      </c>
      <c r="Y323" s="141">
        <v>14.0003472222224</v>
      </c>
      <c r="Z323" s="174">
        <v>4</v>
      </c>
    </row>
    <row r="324" spans="2:26">
      <c r="B324" s="176"/>
      <c r="C324" s="174"/>
      <c r="D324" s="172"/>
      <c r="E324" s="23">
        <v>1052</v>
      </c>
      <c r="F324" s="23">
        <f>DEMANDA_PREVISIÓN!E1056</f>
        <v>37</v>
      </c>
      <c r="G324" s="101"/>
      <c r="H324" s="23">
        <f t="shared" si="26"/>
        <v>607</v>
      </c>
      <c r="I324" s="137">
        <v>400</v>
      </c>
      <c r="J324" s="138">
        <v>400</v>
      </c>
      <c r="K324" s="101"/>
      <c r="L324" s="138">
        <v>50</v>
      </c>
      <c r="M324" s="142">
        <v>1200</v>
      </c>
      <c r="Y324" s="141">
        <v>14.0099537037039</v>
      </c>
      <c r="Z324" s="174"/>
    </row>
    <row r="325" spans="2:26">
      <c r="B325" s="176"/>
      <c r="C325" s="174"/>
      <c r="D325" s="172"/>
      <c r="E325" s="23">
        <v>1053</v>
      </c>
      <c r="F325" s="23">
        <f>DEMANDA_PREVISIÓN!E1057</f>
        <v>30</v>
      </c>
      <c r="G325" s="101"/>
      <c r="H325" s="23">
        <f t="shared" si="26"/>
        <v>577</v>
      </c>
      <c r="I325" s="137">
        <v>400</v>
      </c>
      <c r="J325" s="138">
        <v>400</v>
      </c>
      <c r="K325" s="101"/>
      <c r="L325" s="138">
        <v>50</v>
      </c>
      <c r="M325" s="142">
        <v>1200</v>
      </c>
      <c r="Y325" s="141">
        <v>14.0195601851854</v>
      </c>
      <c r="Z325" s="174"/>
    </row>
    <row r="326" spans="2:26">
      <c r="B326" s="176"/>
      <c r="C326" s="174"/>
      <c r="D326" s="172"/>
      <c r="E326" s="23">
        <v>1054</v>
      </c>
      <c r="F326" s="23">
        <f>DEMANDA_PREVISIÓN!E1058</f>
        <v>39</v>
      </c>
      <c r="G326" s="101"/>
      <c r="H326" s="23">
        <f t="shared" si="26"/>
        <v>538</v>
      </c>
      <c r="I326" s="137">
        <v>400</v>
      </c>
      <c r="J326" s="138">
        <v>400</v>
      </c>
      <c r="K326" s="101"/>
      <c r="L326" s="138">
        <v>50</v>
      </c>
      <c r="M326" s="142">
        <v>1200</v>
      </c>
      <c r="Y326" s="141">
        <v>14.0291666666668</v>
      </c>
      <c r="Z326" s="174"/>
    </row>
    <row r="327" spans="2:26">
      <c r="B327" s="176"/>
      <c r="C327" s="174"/>
      <c r="D327" s="172"/>
      <c r="E327" s="23">
        <v>1055</v>
      </c>
      <c r="F327" s="23">
        <f>DEMANDA_PREVISIÓN!E1059</f>
        <v>32</v>
      </c>
      <c r="G327" s="101"/>
      <c r="H327" s="23">
        <f t="shared" si="26"/>
        <v>506</v>
      </c>
      <c r="I327" s="137">
        <v>400</v>
      </c>
      <c r="J327" s="138">
        <v>400</v>
      </c>
      <c r="K327" s="101"/>
      <c r="L327" s="138">
        <v>50</v>
      </c>
      <c r="M327" s="142">
        <v>1200</v>
      </c>
      <c r="Y327" s="141">
        <v>14.0387731481483</v>
      </c>
      <c r="Z327" s="174"/>
    </row>
    <row r="328" spans="2:26">
      <c r="B328" s="176"/>
      <c r="C328" s="174"/>
      <c r="D328" s="172"/>
      <c r="E328" s="23">
        <v>1056</v>
      </c>
      <c r="F328" s="23">
        <f>DEMANDA_PREVISIÓN!E1060</f>
        <v>38</v>
      </c>
      <c r="G328" s="101"/>
      <c r="H328" s="137">
        <f>I327+H327-F328</f>
        <v>868</v>
      </c>
      <c r="I328" s="23"/>
      <c r="J328" s="138">
        <v>400</v>
      </c>
      <c r="K328" s="101"/>
      <c r="L328" s="138">
        <v>50</v>
      </c>
      <c r="M328" s="142">
        <v>1200</v>
      </c>
      <c r="Y328" s="141">
        <v>14.0483796296298</v>
      </c>
      <c r="Z328" s="174"/>
    </row>
    <row r="329" spans="2:26">
      <c r="B329" s="176"/>
      <c r="C329" s="174"/>
      <c r="D329" s="172"/>
      <c r="E329" s="23">
        <v>1057</v>
      </c>
      <c r="F329" s="23">
        <f>DEMANDA_PREVISIÓN!E1061</f>
        <v>39</v>
      </c>
      <c r="G329" s="101"/>
      <c r="H329" s="23">
        <f t="shared" ref="H329:H335" si="27">H328-F329</f>
        <v>829</v>
      </c>
      <c r="I329" s="138">
        <v>400</v>
      </c>
      <c r="J329" s="138">
        <v>400</v>
      </c>
      <c r="K329" s="101"/>
      <c r="L329" s="138">
        <v>50</v>
      </c>
      <c r="M329" s="142">
        <v>1200</v>
      </c>
      <c r="Y329" s="141">
        <v>14.057986111111299</v>
      </c>
      <c r="Z329" s="174"/>
    </row>
    <row r="330" spans="2:26">
      <c r="B330" s="176"/>
      <c r="C330" s="174"/>
      <c r="D330" s="172"/>
      <c r="E330" s="23">
        <v>1058</v>
      </c>
      <c r="F330" s="23">
        <f>DEMANDA_PREVISIÓN!E1062</f>
        <v>43</v>
      </c>
      <c r="G330" s="101"/>
      <c r="H330" s="23">
        <f t="shared" si="27"/>
        <v>786</v>
      </c>
      <c r="I330" s="138">
        <v>400</v>
      </c>
      <c r="J330" s="134">
        <v>400</v>
      </c>
      <c r="K330" s="101"/>
      <c r="L330" s="134">
        <v>50</v>
      </c>
      <c r="M330" s="142">
        <v>1200</v>
      </c>
      <c r="Y330" s="141">
        <v>14.067592592592799</v>
      </c>
      <c r="Z330" s="174"/>
    </row>
    <row r="331" spans="2:26">
      <c r="B331" s="176"/>
      <c r="C331" s="174"/>
      <c r="D331" s="172"/>
      <c r="E331" s="23">
        <v>1059</v>
      </c>
      <c r="F331" s="23">
        <f>DEMANDA_PREVISIÓN!E1063</f>
        <v>35</v>
      </c>
      <c r="G331" s="101"/>
      <c r="H331" s="23">
        <f t="shared" si="27"/>
        <v>751</v>
      </c>
      <c r="I331" s="138">
        <v>400</v>
      </c>
      <c r="J331" s="134">
        <v>400</v>
      </c>
      <c r="K331" s="101"/>
      <c r="L331" s="134">
        <v>50</v>
      </c>
      <c r="M331" s="142">
        <v>1200</v>
      </c>
      <c r="Y331" s="141">
        <v>14.077199074074199</v>
      </c>
      <c r="Z331" s="174"/>
    </row>
    <row r="332" spans="2:26">
      <c r="B332" s="176"/>
      <c r="C332" s="174"/>
      <c r="D332" s="172"/>
      <c r="E332" s="23">
        <v>1060</v>
      </c>
      <c r="F332" s="23">
        <f>DEMANDA_PREVISIÓN!E1064</f>
        <v>37</v>
      </c>
      <c r="G332" s="101"/>
      <c r="H332" s="23">
        <f t="shared" si="27"/>
        <v>714</v>
      </c>
      <c r="I332" s="138">
        <v>400</v>
      </c>
      <c r="J332" s="134">
        <v>400</v>
      </c>
      <c r="K332" s="101"/>
      <c r="L332" s="134">
        <v>50</v>
      </c>
      <c r="M332" s="142">
        <v>1200</v>
      </c>
      <c r="Y332" s="141">
        <v>14.086805555555699</v>
      </c>
      <c r="Z332" s="174"/>
    </row>
    <row r="333" spans="2:26">
      <c r="B333" s="176"/>
      <c r="C333" s="174"/>
      <c r="D333" s="172"/>
      <c r="E333" s="23">
        <v>1061</v>
      </c>
      <c r="F333" s="23">
        <f>DEMANDA_PREVISIÓN!E1065</f>
        <v>35</v>
      </c>
      <c r="G333" s="101"/>
      <c r="H333" s="23">
        <f t="shared" si="27"/>
        <v>679</v>
      </c>
      <c r="I333" s="138">
        <v>400</v>
      </c>
      <c r="J333" s="134">
        <v>400</v>
      </c>
      <c r="K333" s="101"/>
      <c r="L333" s="134">
        <v>50</v>
      </c>
      <c r="M333" s="142">
        <v>1200</v>
      </c>
      <c r="Y333" s="141">
        <v>14.096412037037201</v>
      </c>
      <c r="Z333" s="174"/>
    </row>
    <row r="334" spans="2:26">
      <c r="B334" s="176"/>
      <c r="C334" s="174"/>
      <c r="D334" s="172"/>
      <c r="E334" s="23">
        <v>1062</v>
      </c>
      <c r="F334" s="23">
        <f>DEMANDA_PREVISIÓN!E1066</f>
        <v>30</v>
      </c>
      <c r="G334" s="101"/>
      <c r="H334" s="23">
        <f t="shared" si="27"/>
        <v>649</v>
      </c>
      <c r="I334" s="138">
        <v>400</v>
      </c>
      <c r="J334" s="134">
        <v>400</v>
      </c>
      <c r="K334" s="101"/>
      <c r="L334" s="134">
        <v>50</v>
      </c>
      <c r="M334" s="142">
        <v>1200</v>
      </c>
      <c r="Y334" s="141">
        <v>14.106018518518701</v>
      </c>
      <c r="Z334" s="174"/>
    </row>
    <row r="335" spans="2:26">
      <c r="B335" s="176"/>
      <c r="C335" s="174"/>
      <c r="D335" s="172"/>
      <c r="E335" s="23">
        <v>1063</v>
      </c>
      <c r="F335" s="23">
        <f>DEMANDA_PREVISIÓN!E1067</f>
        <v>38</v>
      </c>
      <c r="G335" s="101"/>
      <c r="H335" s="23">
        <f t="shared" si="27"/>
        <v>611</v>
      </c>
      <c r="I335" s="138">
        <v>400</v>
      </c>
      <c r="J335" s="134">
        <v>400</v>
      </c>
      <c r="K335" s="101"/>
      <c r="L335" s="134">
        <v>50</v>
      </c>
      <c r="M335" s="142">
        <v>1200</v>
      </c>
      <c r="Y335" s="141">
        <v>14.1156250000002</v>
      </c>
      <c r="Z335" s="174"/>
    </row>
    <row r="336" spans="2:26">
      <c r="B336" s="176"/>
      <c r="C336" s="174"/>
      <c r="D336" s="173"/>
      <c r="E336" s="23">
        <v>1064</v>
      </c>
      <c r="F336" s="23">
        <f>DEMANDA_PREVISIÓN!E1068</f>
        <v>40</v>
      </c>
      <c r="G336" s="101"/>
      <c r="H336" s="138">
        <f>I335+H335-F336</f>
        <v>971</v>
      </c>
      <c r="I336" s="23"/>
      <c r="J336" s="134">
        <v>400</v>
      </c>
      <c r="K336" s="101"/>
      <c r="L336" s="134">
        <v>50</v>
      </c>
      <c r="M336" s="142">
        <v>1200</v>
      </c>
      <c r="Y336" s="141">
        <v>14.1252314814817</v>
      </c>
      <c r="Z336" s="174"/>
    </row>
    <row r="337" spans="2:26">
      <c r="B337" s="176"/>
      <c r="C337" s="174"/>
      <c r="D337" s="171" t="s">
        <v>55</v>
      </c>
      <c r="E337" s="23">
        <v>1065</v>
      </c>
      <c r="F337" s="23">
        <f>DEMANDA_PREVISIÓN!E1069</f>
        <v>36</v>
      </c>
      <c r="G337" s="101"/>
      <c r="H337" s="23">
        <f t="shared" ref="H337:H343" si="28">H336-F337</f>
        <v>935</v>
      </c>
      <c r="I337" s="134">
        <v>400</v>
      </c>
      <c r="J337" s="134">
        <v>400</v>
      </c>
      <c r="K337" s="101"/>
      <c r="L337" s="134">
        <v>50</v>
      </c>
      <c r="M337" s="142">
        <v>1200</v>
      </c>
      <c r="Y337" s="141">
        <v>14.1348379629631</v>
      </c>
      <c r="Z337" s="174"/>
    </row>
    <row r="338" spans="2:26">
      <c r="B338" s="176"/>
      <c r="C338" s="174"/>
      <c r="D338" s="172"/>
      <c r="E338" s="23">
        <v>1066</v>
      </c>
      <c r="F338" s="23">
        <f>DEMANDA_PREVISIÓN!E1070</f>
        <v>31</v>
      </c>
      <c r="G338" s="101"/>
      <c r="H338" s="23">
        <f t="shared" si="28"/>
        <v>904</v>
      </c>
      <c r="I338" s="134">
        <v>400</v>
      </c>
      <c r="J338" s="128">
        <v>400</v>
      </c>
      <c r="K338" s="101"/>
      <c r="L338" s="128">
        <v>50</v>
      </c>
      <c r="M338" s="142">
        <v>1200</v>
      </c>
      <c r="Y338" s="141">
        <v>14.1444444444446</v>
      </c>
      <c r="Z338" s="174"/>
    </row>
    <row r="339" spans="2:26">
      <c r="B339" s="176"/>
      <c r="C339" s="174"/>
      <c r="D339" s="172"/>
      <c r="E339" s="23">
        <v>1067</v>
      </c>
      <c r="F339" s="23">
        <f>DEMANDA_PREVISIÓN!E1071</f>
        <v>32</v>
      </c>
      <c r="G339" s="101"/>
      <c r="H339" s="23">
        <f t="shared" si="28"/>
        <v>872</v>
      </c>
      <c r="I339" s="134">
        <v>400</v>
      </c>
      <c r="J339" s="128">
        <v>400</v>
      </c>
      <c r="K339" s="101"/>
      <c r="L339" s="128">
        <v>50</v>
      </c>
      <c r="M339" s="142">
        <v>1200</v>
      </c>
      <c r="Y339" s="141">
        <v>14.1540509259261</v>
      </c>
      <c r="Z339" s="174"/>
    </row>
    <row r="340" spans="2:26">
      <c r="B340" s="176"/>
      <c r="C340" s="174"/>
      <c r="D340" s="172"/>
      <c r="E340" s="23">
        <v>1068</v>
      </c>
      <c r="F340" s="23">
        <f>DEMANDA_PREVISIÓN!E1072</f>
        <v>41</v>
      </c>
      <c r="G340" s="101"/>
      <c r="H340" s="23">
        <f t="shared" si="28"/>
        <v>831</v>
      </c>
      <c r="I340" s="134">
        <v>400</v>
      </c>
      <c r="J340" s="128">
        <v>400</v>
      </c>
      <c r="K340" s="101"/>
      <c r="L340" s="128">
        <v>50</v>
      </c>
      <c r="M340" s="142">
        <v>1200</v>
      </c>
      <c r="Y340" s="141">
        <v>14.1636574074076</v>
      </c>
      <c r="Z340" s="174"/>
    </row>
    <row r="341" spans="2:26">
      <c r="B341" s="176"/>
      <c r="C341" s="174"/>
      <c r="D341" s="172"/>
      <c r="E341" s="23">
        <v>1069</v>
      </c>
      <c r="F341" s="23">
        <f>DEMANDA_PREVISIÓN!E1073</f>
        <v>46</v>
      </c>
      <c r="G341" s="101"/>
      <c r="H341" s="23">
        <f t="shared" si="28"/>
        <v>785</v>
      </c>
      <c r="I341" s="134">
        <v>400</v>
      </c>
      <c r="J341" s="128">
        <v>400</v>
      </c>
      <c r="K341" s="101"/>
      <c r="L341" s="128">
        <v>50</v>
      </c>
      <c r="M341" s="142">
        <v>1200</v>
      </c>
      <c r="Y341" s="141">
        <v>14.1732638888891</v>
      </c>
      <c r="Z341" s="174"/>
    </row>
    <row r="342" spans="2:26">
      <c r="B342" s="176"/>
      <c r="C342" s="174"/>
      <c r="D342" s="172"/>
      <c r="E342" s="23">
        <v>1070</v>
      </c>
      <c r="F342" s="23">
        <f>DEMANDA_PREVISIÓN!E1074</f>
        <v>33</v>
      </c>
      <c r="G342" s="101"/>
      <c r="H342" s="23">
        <f t="shared" si="28"/>
        <v>752</v>
      </c>
      <c r="I342" s="134">
        <v>400</v>
      </c>
      <c r="J342" s="128">
        <v>400</v>
      </c>
      <c r="K342" s="101"/>
      <c r="L342" s="128">
        <v>50</v>
      </c>
      <c r="M342" s="142">
        <v>1200</v>
      </c>
      <c r="Y342" s="141">
        <v>14.182870370370599</v>
      </c>
      <c r="Z342" s="174"/>
    </row>
    <row r="343" spans="2:26">
      <c r="B343" s="176"/>
      <c r="C343" s="174"/>
      <c r="D343" s="172"/>
      <c r="E343" s="23">
        <v>1071</v>
      </c>
      <c r="F343" s="23">
        <f>DEMANDA_PREVISIÓN!E1075</f>
        <v>34</v>
      </c>
      <c r="G343" s="101"/>
      <c r="H343" s="23">
        <f t="shared" si="28"/>
        <v>718</v>
      </c>
      <c r="I343" s="134">
        <v>400</v>
      </c>
      <c r="J343" s="128">
        <v>400</v>
      </c>
      <c r="K343" s="101"/>
      <c r="L343" s="128">
        <v>50</v>
      </c>
      <c r="M343" s="142">
        <v>1200</v>
      </c>
      <c r="Y343" s="141">
        <v>14.192476851852</v>
      </c>
      <c r="Z343" s="174"/>
    </row>
    <row r="344" spans="2:26">
      <c r="B344" s="176"/>
      <c r="C344" s="174"/>
      <c r="D344" s="172"/>
      <c r="E344" s="23">
        <v>1072</v>
      </c>
      <c r="F344" s="23">
        <f>DEMANDA_PREVISIÓN!E1076</f>
        <v>33</v>
      </c>
      <c r="G344" s="101"/>
      <c r="H344" s="134">
        <f>I343+H343-F344</f>
        <v>1085</v>
      </c>
      <c r="I344" s="23"/>
      <c r="J344" s="128">
        <v>400</v>
      </c>
      <c r="K344" s="101"/>
      <c r="L344" s="128">
        <v>50</v>
      </c>
      <c r="M344" s="142">
        <v>1200</v>
      </c>
      <c r="Y344" s="141">
        <v>14.202083333333499</v>
      </c>
      <c r="Z344" s="174"/>
    </row>
    <row r="345" spans="2:26">
      <c r="B345" s="176"/>
      <c r="C345" s="174"/>
      <c r="D345" s="172"/>
      <c r="E345" s="23">
        <v>1073</v>
      </c>
      <c r="F345" s="23">
        <f>DEMANDA_PREVISIÓN!E1077</f>
        <v>38</v>
      </c>
      <c r="G345" s="101"/>
      <c r="H345" s="23">
        <f>H344-F345</f>
        <v>1047</v>
      </c>
      <c r="I345" s="128">
        <v>400</v>
      </c>
      <c r="J345" s="128">
        <v>400</v>
      </c>
      <c r="K345" s="101"/>
      <c r="L345" s="128">
        <v>50</v>
      </c>
      <c r="M345" s="142">
        <v>1200</v>
      </c>
      <c r="Y345" s="141">
        <v>14.211689814814999</v>
      </c>
      <c r="Z345" s="174"/>
    </row>
    <row r="346" spans="2:26">
      <c r="B346" s="176"/>
      <c r="C346" s="174"/>
      <c r="D346" s="172"/>
      <c r="E346" s="23">
        <v>1074</v>
      </c>
      <c r="F346" s="23">
        <f>DEMANDA_PREVISIÓN!E1078</f>
        <v>40</v>
      </c>
      <c r="G346" s="101"/>
      <c r="H346" s="23">
        <f>H345-F346</f>
        <v>1007</v>
      </c>
      <c r="I346" s="128">
        <v>400</v>
      </c>
      <c r="J346" s="129">
        <v>400</v>
      </c>
      <c r="K346" s="101"/>
      <c r="L346" s="129">
        <v>50</v>
      </c>
      <c r="M346" s="142">
        <v>1200</v>
      </c>
      <c r="Y346" s="141">
        <v>14.221296296296501</v>
      </c>
      <c r="Z346" s="174"/>
    </row>
    <row r="347" spans="2:26">
      <c r="B347" s="176"/>
      <c r="C347" s="174"/>
      <c r="D347" s="172"/>
      <c r="E347" s="23">
        <v>1075</v>
      </c>
      <c r="F347" s="23">
        <f>DEMANDA_PREVISIÓN!E1079</f>
        <v>40</v>
      </c>
      <c r="G347" s="101"/>
      <c r="H347" s="23">
        <f>H346-F347</f>
        <v>967</v>
      </c>
      <c r="I347" s="128">
        <v>400</v>
      </c>
      <c r="J347" s="129">
        <v>400</v>
      </c>
      <c r="K347" s="101"/>
      <c r="L347" s="129">
        <v>50</v>
      </c>
      <c r="M347" s="142">
        <v>1200</v>
      </c>
      <c r="Y347" s="141">
        <v>14.230902777778001</v>
      </c>
      <c r="Z347" s="174"/>
    </row>
    <row r="348" spans="2:26">
      <c r="B348" s="176"/>
      <c r="C348" s="174"/>
      <c r="D348" s="172"/>
      <c r="E348" s="23">
        <v>1076</v>
      </c>
      <c r="F348" s="23">
        <f>DEMANDA_PREVISIÓN!E1080</f>
        <v>41</v>
      </c>
      <c r="G348" s="101"/>
      <c r="H348" s="23">
        <f>H347-F348</f>
        <v>926</v>
      </c>
      <c r="I348" s="128">
        <v>400</v>
      </c>
      <c r="J348" s="129">
        <v>400</v>
      </c>
      <c r="K348" s="101"/>
      <c r="L348" s="129">
        <v>50</v>
      </c>
      <c r="M348" s="142">
        <v>1200</v>
      </c>
      <c r="Y348" s="141">
        <v>14.240509259259399</v>
      </c>
      <c r="Z348" s="174"/>
    </row>
    <row r="349" spans="2:26">
      <c r="B349" s="176"/>
      <c r="C349" s="174"/>
      <c r="D349" s="172"/>
      <c r="E349" s="23">
        <v>1077</v>
      </c>
      <c r="F349" s="23">
        <f>DEMANDA_PREVISIÓN!E1081</f>
        <v>38</v>
      </c>
      <c r="G349" s="101"/>
      <c r="H349" s="23">
        <f t="shared" ref="H349:H351" si="29">H348-F349</f>
        <v>888</v>
      </c>
      <c r="I349" s="128">
        <v>400</v>
      </c>
      <c r="J349" s="129">
        <v>400</v>
      </c>
      <c r="K349" s="101"/>
      <c r="L349" s="129">
        <v>50</v>
      </c>
      <c r="M349" s="142">
        <v>1200</v>
      </c>
      <c r="Y349" s="141">
        <v>14.250115740740901</v>
      </c>
      <c r="Z349" s="174"/>
    </row>
    <row r="350" spans="2:26">
      <c r="B350" s="176"/>
      <c r="C350" s="174"/>
      <c r="D350" s="172"/>
      <c r="E350" s="23">
        <v>1078</v>
      </c>
      <c r="F350" s="23">
        <f>DEMANDA_PREVISIÓN!E1082</f>
        <v>44</v>
      </c>
      <c r="G350" s="101"/>
      <c r="H350" s="23">
        <f t="shared" si="29"/>
        <v>844</v>
      </c>
      <c r="I350" s="128">
        <v>400</v>
      </c>
      <c r="J350" s="129">
        <v>400</v>
      </c>
      <c r="K350" s="101"/>
      <c r="L350" s="129">
        <v>50</v>
      </c>
      <c r="M350" s="142">
        <v>1200</v>
      </c>
      <c r="Y350" s="141">
        <v>14.2597222222224</v>
      </c>
      <c r="Z350" s="174"/>
    </row>
    <row r="351" spans="2:26">
      <c r="B351" s="176"/>
      <c r="C351" s="174"/>
      <c r="D351" s="172"/>
      <c r="E351" s="23">
        <v>1079</v>
      </c>
      <c r="F351" s="23">
        <f>DEMANDA_PREVISIÓN!E1083</f>
        <v>41</v>
      </c>
      <c r="G351" s="101"/>
      <c r="H351" s="23">
        <f t="shared" si="29"/>
        <v>803</v>
      </c>
      <c r="I351" s="128">
        <v>400</v>
      </c>
      <c r="J351" s="129">
        <v>400</v>
      </c>
      <c r="K351" s="101"/>
      <c r="L351" s="129">
        <v>50</v>
      </c>
      <c r="M351" s="142">
        <v>1200</v>
      </c>
      <c r="Y351" s="141">
        <v>14.2693287037039</v>
      </c>
      <c r="Z351" s="174"/>
    </row>
    <row r="352" spans="2:26">
      <c r="B352" s="176"/>
      <c r="C352" s="174"/>
      <c r="D352" s="172"/>
      <c r="E352" s="23">
        <v>1080</v>
      </c>
      <c r="F352" s="23">
        <f>DEMANDA_PREVISIÓN!E1084</f>
        <v>36</v>
      </c>
      <c r="G352" s="101"/>
      <c r="H352" s="128">
        <f>I351+H351-F352</f>
        <v>1167</v>
      </c>
      <c r="J352" s="129">
        <v>400</v>
      </c>
      <c r="K352" s="47"/>
      <c r="L352" s="129">
        <v>50</v>
      </c>
      <c r="M352" s="142">
        <v>1200</v>
      </c>
      <c r="Y352" s="141">
        <v>14.2789351851854</v>
      </c>
      <c r="Z352" s="174"/>
    </row>
    <row r="353" spans="2:26">
      <c r="B353" s="176"/>
      <c r="C353" s="174"/>
      <c r="D353" s="172"/>
      <c r="E353" s="23">
        <v>1081</v>
      </c>
      <c r="F353" s="23">
        <f>DEMANDA_PREVISIÓN!E1085</f>
        <v>40</v>
      </c>
      <c r="G353" s="101"/>
      <c r="H353" s="23">
        <f t="shared" ref="H353:H359" si="30">H352-F353</f>
        <v>1127</v>
      </c>
      <c r="I353" s="129">
        <v>400</v>
      </c>
      <c r="J353" s="129">
        <v>400</v>
      </c>
      <c r="K353" s="101"/>
      <c r="L353" s="129">
        <v>50</v>
      </c>
      <c r="M353" s="142">
        <v>1200</v>
      </c>
      <c r="Y353" s="141">
        <v>14.2885416666669</v>
      </c>
      <c r="Z353" s="174"/>
    </row>
    <row r="354" spans="2:26">
      <c r="B354" s="176"/>
      <c r="C354" s="174"/>
      <c r="D354" s="172"/>
      <c r="E354" s="23">
        <v>1082</v>
      </c>
      <c r="F354" s="23">
        <f>DEMANDA_PREVISIÓN!E1086</f>
        <v>39</v>
      </c>
      <c r="G354" s="101"/>
      <c r="H354" s="23">
        <f t="shared" si="30"/>
        <v>1088</v>
      </c>
      <c r="I354" s="129">
        <v>400</v>
      </c>
      <c r="J354" s="137">
        <v>400</v>
      </c>
      <c r="K354" s="101"/>
      <c r="L354" s="137">
        <v>50</v>
      </c>
      <c r="M354" s="142">
        <v>1200</v>
      </c>
      <c r="Y354" s="141">
        <v>14.2981481481483</v>
      </c>
      <c r="Z354" s="174"/>
    </row>
    <row r="355" spans="2:26">
      <c r="B355" s="176"/>
      <c r="C355" s="174"/>
      <c r="D355" s="172"/>
      <c r="E355" s="23">
        <v>1083</v>
      </c>
      <c r="F355" s="23">
        <f>DEMANDA_PREVISIÓN!E1087</f>
        <v>33</v>
      </c>
      <c r="G355" s="101"/>
      <c r="H355" s="23">
        <f t="shared" si="30"/>
        <v>1055</v>
      </c>
      <c r="I355" s="129">
        <v>400</v>
      </c>
      <c r="J355" s="137">
        <v>400</v>
      </c>
      <c r="K355" s="101"/>
      <c r="L355" s="137">
        <v>50</v>
      </c>
      <c r="M355" s="142">
        <v>1200</v>
      </c>
      <c r="Y355" s="141">
        <v>14.3077546296298</v>
      </c>
      <c r="Z355" s="174"/>
    </row>
    <row r="356" spans="2:26">
      <c r="B356" s="176"/>
      <c r="C356" s="174"/>
      <c r="D356" s="172"/>
      <c r="E356" s="23">
        <v>1084</v>
      </c>
      <c r="F356" s="23">
        <f>DEMANDA_PREVISIÓN!E1088</f>
        <v>36</v>
      </c>
      <c r="G356" s="101"/>
      <c r="H356" s="23">
        <f t="shared" si="30"/>
        <v>1019</v>
      </c>
      <c r="I356" s="129">
        <v>400</v>
      </c>
      <c r="J356" s="137">
        <v>400</v>
      </c>
      <c r="K356" s="101"/>
      <c r="L356" s="137">
        <v>50</v>
      </c>
      <c r="M356" s="142">
        <v>1200</v>
      </c>
      <c r="Y356" s="141">
        <v>14.3173611111113</v>
      </c>
      <c r="Z356" s="174"/>
    </row>
    <row r="357" spans="2:26">
      <c r="B357" s="176"/>
      <c r="C357" s="174"/>
      <c r="D357" s="172"/>
      <c r="E357" s="23">
        <v>1085</v>
      </c>
      <c r="F357" s="23">
        <f>DEMANDA_PREVISIÓN!E1089</f>
        <v>36</v>
      </c>
      <c r="G357" s="101"/>
      <c r="H357" s="23">
        <f t="shared" si="30"/>
        <v>983</v>
      </c>
      <c r="I357" s="129">
        <v>400</v>
      </c>
      <c r="J357" s="137">
        <v>400</v>
      </c>
      <c r="K357" s="101"/>
      <c r="L357" s="137">
        <v>50</v>
      </c>
      <c r="M357" s="142">
        <v>1200</v>
      </c>
      <c r="Y357" s="141">
        <v>14.3269675925928</v>
      </c>
      <c r="Z357" s="174"/>
    </row>
    <row r="358" spans="2:26">
      <c r="B358" s="176"/>
      <c r="C358" s="174"/>
      <c r="D358" s="172"/>
      <c r="E358" s="23">
        <v>1086</v>
      </c>
      <c r="F358" s="23">
        <f>DEMANDA_PREVISIÓN!E1090</f>
        <v>35</v>
      </c>
      <c r="G358" s="101"/>
      <c r="H358" s="23">
        <f t="shared" si="30"/>
        <v>948</v>
      </c>
      <c r="I358" s="129">
        <v>400</v>
      </c>
      <c r="J358" s="137">
        <v>400</v>
      </c>
      <c r="K358" s="101"/>
      <c r="L358" s="137">
        <v>50</v>
      </c>
      <c r="M358" s="142">
        <v>1200</v>
      </c>
      <c r="Y358" s="141">
        <v>14.336574074074299</v>
      </c>
      <c r="Z358" s="174"/>
    </row>
    <row r="359" spans="2:26">
      <c r="B359" s="176"/>
      <c r="C359" s="174"/>
      <c r="D359" s="172"/>
      <c r="E359" s="23">
        <v>1087</v>
      </c>
      <c r="F359" s="23">
        <f>DEMANDA_PREVISIÓN!E1091</f>
        <v>31</v>
      </c>
      <c r="G359" s="101"/>
      <c r="H359" s="23">
        <f t="shared" si="30"/>
        <v>917</v>
      </c>
      <c r="I359" s="129">
        <v>400</v>
      </c>
      <c r="J359" s="137">
        <v>400</v>
      </c>
      <c r="K359" s="101"/>
      <c r="L359" s="137">
        <v>50</v>
      </c>
      <c r="M359" s="142"/>
      <c r="Y359" s="141">
        <v>14.3461805555557</v>
      </c>
      <c r="Z359" s="174"/>
    </row>
    <row r="360" spans="2:26">
      <c r="B360" s="176"/>
      <c r="C360" s="174"/>
      <c r="D360" s="172"/>
      <c r="E360" s="23">
        <v>1088</v>
      </c>
      <c r="F360" s="23">
        <f>DEMANDA_PREVISIÓN!E1092</f>
        <v>32</v>
      </c>
      <c r="G360" s="101"/>
      <c r="H360" s="129">
        <f>I359+H359-F360</f>
        <v>1285</v>
      </c>
      <c r="I360" s="23"/>
      <c r="J360" s="137">
        <v>400</v>
      </c>
      <c r="K360" s="101"/>
      <c r="L360" s="137">
        <v>50</v>
      </c>
      <c r="M360" s="142">
        <v>1200</v>
      </c>
      <c r="Y360" s="141">
        <v>14.355787037037199</v>
      </c>
      <c r="Z360" s="174"/>
    </row>
    <row r="361" spans="2:26">
      <c r="B361" s="176"/>
      <c r="C361" s="174"/>
      <c r="D361" s="172"/>
      <c r="E361" s="23">
        <v>1089</v>
      </c>
      <c r="F361" s="23">
        <f>DEMANDA_PREVISIÓN!E1093</f>
        <v>37</v>
      </c>
      <c r="G361" s="101"/>
      <c r="H361" s="23">
        <f t="shared" ref="H361:H367" si="31">H360-F361</f>
        <v>1248</v>
      </c>
      <c r="I361" s="137">
        <v>400</v>
      </c>
      <c r="J361" s="137">
        <v>400</v>
      </c>
      <c r="K361" s="101"/>
      <c r="L361" s="137">
        <v>50</v>
      </c>
      <c r="M361" s="142">
        <v>1200</v>
      </c>
      <c r="Y361" s="141">
        <v>14.365393518518699</v>
      </c>
      <c r="Z361" s="174"/>
    </row>
    <row r="362" spans="2:26">
      <c r="B362" s="176"/>
      <c r="C362" s="174"/>
      <c r="D362" s="172"/>
      <c r="E362" s="23">
        <v>1090</v>
      </c>
      <c r="F362" s="23">
        <f>DEMANDA_PREVISIÓN!E1094</f>
        <v>37</v>
      </c>
      <c r="G362" s="101"/>
      <c r="H362" s="23">
        <f t="shared" si="31"/>
        <v>1211</v>
      </c>
      <c r="I362" s="137">
        <v>400</v>
      </c>
      <c r="J362" s="138">
        <v>400</v>
      </c>
      <c r="K362" s="101"/>
      <c r="L362" s="138">
        <v>50</v>
      </c>
      <c r="M362" s="142">
        <v>1200</v>
      </c>
      <c r="Y362" s="141">
        <v>14.375000000000201</v>
      </c>
      <c r="Z362" s="174"/>
    </row>
    <row r="363" spans="2:26">
      <c r="B363" s="176"/>
      <c r="C363" s="174"/>
      <c r="D363" s="172"/>
      <c r="E363" s="23">
        <v>1091</v>
      </c>
      <c r="F363" s="23">
        <f>DEMANDA_PREVISIÓN!E1095</f>
        <v>36</v>
      </c>
      <c r="G363" s="101"/>
      <c r="H363" s="23">
        <f t="shared" si="31"/>
        <v>1175</v>
      </c>
      <c r="I363" s="137">
        <v>400</v>
      </c>
      <c r="J363" s="138">
        <v>400</v>
      </c>
      <c r="K363" s="101"/>
      <c r="L363" s="138">
        <v>50</v>
      </c>
      <c r="M363" s="142">
        <v>1200</v>
      </c>
      <c r="Y363" s="141">
        <v>14.384606481481701</v>
      </c>
      <c r="Z363" s="174"/>
    </row>
    <row r="364" spans="2:26">
      <c r="B364" s="176"/>
      <c r="C364" s="174"/>
      <c r="D364" s="172"/>
      <c r="E364" s="23">
        <v>1092</v>
      </c>
      <c r="F364" s="23">
        <f>DEMANDA_PREVISIÓN!E1096</f>
        <v>32</v>
      </c>
      <c r="G364" s="101"/>
      <c r="H364" s="23">
        <f t="shared" si="31"/>
        <v>1143</v>
      </c>
      <c r="I364" s="137">
        <v>400</v>
      </c>
      <c r="J364" s="138">
        <v>400</v>
      </c>
      <c r="K364" s="101"/>
      <c r="L364" s="138">
        <v>50</v>
      </c>
      <c r="M364" s="142">
        <v>1200</v>
      </c>
      <c r="Y364" s="141">
        <v>14.3942129629632</v>
      </c>
      <c r="Z364" s="174"/>
    </row>
    <row r="365" spans="2:26">
      <c r="B365" s="176"/>
      <c r="C365" s="174"/>
      <c r="D365" s="172"/>
      <c r="E365" s="23">
        <v>1093</v>
      </c>
      <c r="F365" s="23">
        <f>DEMANDA_PREVISIÓN!E1097</f>
        <v>34</v>
      </c>
      <c r="G365" s="101"/>
      <c r="H365" s="23">
        <f t="shared" si="31"/>
        <v>1109</v>
      </c>
      <c r="I365" s="137">
        <v>400</v>
      </c>
      <c r="J365" s="138">
        <v>400</v>
      </c>
      <c r="K365" s="101"/>
      <c r="L365" s="138">
        <v>50</v>
      </c>
      <c r="M365" s="142">
        <v>1200</v>
      </c>
      <c r="Y365" s="141">
        <v>14.403819444444601</v>
      </c>
      <c r="Z365" s="174"/>
    </row>
    <row r="366" spans="2:26">
      <c r="B366" s="176"/>
      <c r="C366" s="174"/>
      <c r="D366" s="172"/>
      <c r="E366" s="23">
        <v>1094</v>
      </c>
      <c r="F366" s="23">
        <f>DEMANDA_PREVISIÓN!E1098</f>
        <v>38</v>
      </c>
      <c r="G366" s="101"/>
      <c r="H366" s="23">
        <f t="shared" si="31"/>
        <v>1071</v>
      </c>
      <c r="I366" s="137">
        <v>400</v>
      </c>
      <c r="J366" s="138">
        <v>400</v>
      </c>
      <c r="K366" s="101"/>
      <c r="L366" s="138">
        <v>50</v>
      </c>
      <c r="M366" s="142">
        <v>1200</v>
      </c>
      <c r="Y366" s="141">
        <v>14.4134259259261</v>
      </c>
      <c r="Z366" s="174"/>
    </row>
    <row r="367" spans="2:26">
      <c r="B367" s="177"/>
      <c r="C367" s="174"/>
      <c r="D367" s="173"/>
      <c r="E367" s="23">
        <v>1095</v>
      </c>
      <c r="F367" s="23">
        <f>DEMANDA_PREVISIÓN!E1099</f>
        <v>27</v>
      </c>
      <c r="G367" s="101"/>
      <c r="H367" s="23">
        <f t="shared" si="31"/>
        <v>1044</v>
      </c>
      <c r="I367" s="137">
        <v>400</v>
      </c>
      <c r="J367" s="138">
        <v>400</v>
      </c>
      <c r="K367" s="101"/>
      <c r="L367" s="138">
        <v>50</v>
      </c>
      <c r="M367" s="142">
        <v>1200</v>
      </c>
      <c r="Y367" s="141">
        <v>14.4230324074076</v>
      </c>
      <c r="Z367" s="174"/>
    </row>
    <row r="368" spans="2:26">
      <c r="B368" s="175">
        <v>2027</v>
      </c>
      <c r="C368" s="186" t="s">
        <v>13</v>
      </c>
      <c r="D368" s="171" t="s">
        <v>14</v>
      </c>
      <c r="E368" s="23">
        <v>1096</v>
      </c>
      <c r="F368" s="23">
        <f>DEMANDA_PREVISIÓN!E1100</f>
        <v>45</v>
      </c>
      <c r="G368" s="101"/>
      <c r="H368" s="137">
        <f>I367+H367</f>
        <v>1444</v>
      </c>
      <c r="I368" s="23"/>
      <c r="J368" s="138">
        <v>400</v>
      </c>
      <c r="K368" s="101"/>
      <c r="L368" s="138">
        <v>50</v>
      </c>
      <c r="M368" s="142"/>
      <c r="Q368" s="47"/>
      <c r="R368" s="47"/>
      <c r="S368" s="47"/>
      <c r="T368" s="47"/>
      <c r="U368" s="47"/>
      <c r="V368" s="47"/>
      <c r="W368" s="47"/>
      <c r="X368" s="47"/>
      <c r="Y368" s="141">
        <v>14.4326388888891</v>
      </c>
      <c r="Z368" s="174"/>
    </row>
    <row r="369" spans="2:26">
      <c r="B369" s="176"/>
      <c r="C369" s="186"/>
      <c r="D369" s="172"/>
      <c r="E369" s="23">
        <v>1097</v>
      </c>
      <c r="F369" s="23">
        <f>DEMANDA_PREVISIÓN!E1101</f>
        <v>42</v>
      </c>
      <c r="G369" s="101"/>
      <c r="H369" s="23">
        <f t="shared" ref="H369:H375" si="32">H368-F369</f>
        <v>1402</v>
      </c>
      <c r="I369" s="138">
        <v>400</v>
      </c>
      <c r="J369" s="138">
        <v>400</v>
      </c>
      <c r="K369" s="101"/>
      <c r="L369" s="138">
        <v>50</v>
      </c>
      <c r="M369" s="142"/>
      <c r="Y369" s="141">
        <v>14.4422453703706</v>
      </c>
      <c r="Z369" s="174"/>
    </row>
    <row r="370" spans="2:26">
      <c r="B370" s="176"/>
      <c r="C370" s="186"/>
      <c r="D370" s="172"/>
      <c r="E370" s="23">
        <v>1098</v>
      </c>
      <c r="F370" s="23">
        <f>DEMANDA_PREVISIÓN!E1102</f>
        <v>42</v>
      </c>
      <c r="G370" s="101"/>
      <c r="H370" s="23">
        <f t="shared" si="32"/>
        <v>1360</v>
      </c>
      <c r="I370" s="138">
        <v>400</v>
      </c>
      <c r="J370" s="134">
        <v>400</v>
      </c>
      <c r="K370" s="101"/>
      <c r="L370" s="134">
        <v>50</v>
      </c>
      <c r="M370" s="142"/>
      <c r="Y370" s="141">
        <v>14.451851851852</v>
      </c>
      <c r="Z370" s="174"/>
    </row>
    <row r="371" spans="2:26">
      <c r="B371" s="176"/>
      <c r="C371" s="186"/>
      <c r="D371" s="172"/>
      <c r="E371" s="23">
        <v>1099</v>
      </c>
      <c r="F371" s="23">
        <f>DEMANDA_PREVISIÓN!E1103</f>
        <v>55</v>
      </c>
      <c r="G371" s="101"/>
      <c r="H371" s="23">
        <f t="shared" si="32"/>
        <v>1305</v>
      </c>
      <c r="I371" s="138">
        <v>400</v>
      </c>
      <c r="J371" s="134">
        <v>400</v>
      </c>
      <c r="K371" s="101"/>
      <c r="L371" s="134">
        <v>50</v>
      </c>
      <c r="M371" s="142"/>
      <c r="Y371" s="141">
        <v>14.4614583333335</v>
      </c>
      <c r="Z371" s="174"/>
    </row>
    <row r="372" spans="2:26">
      <c r="B372" s="176"/>
      <c r="C372" s="186"/>
      <c r="D372" s="172"/>
      <c r="E372" s="23">
        <v>1100</v>
      </c>
      <c r="F372" s="23">
        <f>DEMANDA_PREVISIÓN!E1104</f>
        <v>41</v>
      </c>
      <c r="G372" s="101"/>
      <c r="H372" s="23">
        <f t="shared" si="32"/>
        <v>1264</v>
      </c>
      <c r="I372" s="138">
        <v>400</v>
      </c>
      <c r="J372" s="134">
        <v>400</v>
      </c>
      <c r="K372" s="101"/>
      <c r="L372" s="134">
        <v>50</v>
      </c>
      <c r="M372" s="142"/>
      <c r="Y372" s="141">
        <v>14.471064814815</v>
      </c>
      <c r="Z372" s="174"/>
    </row>
    <row r="373" spans="2:26">
      <c r="B373" s="176"/>
      <c r="C373" s="186"/>
      <c r="D373" s="172"/>
      <c r="E373" s="23">
        <v>1101</v>
      </c>
      <c r="F373" s="23">
        <f>DEMANDA_PREVISIÓN!E1105</f>
        <v>47</v>
      </c>
      <c r="G373" s="101"/>
      <c r="H373" s="23">
        <f t="shared" si="32"/>
        <v>1217</v>
      </c>
      <c r="I373" s="138">
        <v>400</v>
      </c>
      <c r="J373" s="134">
        <v>400</v>
      </c>
      <c r="K373" s="101"/>
      <c r="L373" s="134">
        <v>50</v>
      </c>
      <c r="M373" s="142"/>
      <c r="Y373" s="141">
        <v>14.480671296296499</v>
      </c>
      <c r="Z373" s="174"/>
    </row>
    <row r="374" spans="2:26">
      <c r="B374" s="176"/>
      <c r="C374" s="186"/>
      <c r="D374" s="172"/>
      <c r="E374" s="23">
        <v>1102</v>
      </c>
      <c r="F374" s="23">
        <f>DEMANDA_PREVISIÓN!E1106</f>
        <v>34</v>
      </c>
      <c r="G374" s="101"/>
      <c r="H374" s="23">
        <f t="shared" si="32"/>
        <v>1183</v>
      </c>
      <c r="I374" s="138">
        <v>400</v>
      </c>
      <c r="J374" s="134">
        <v>400</v>
      </c>
      <c r="K374" s="101"/>
      <c r="L374" s="134">
        <v>50</v>
      </c>
      <c r="M374" s="142"/>
      <c r="Y374" s="141">
        <v>14.490277777777999</v>
      </c>
      <c r="Z374" s="174"/>
    </row>
    <row r="375" spans="2:26">
      <c r="B375" s="176"/>
      <c r="C375" s="186"/>
      <c r="D375" s="172"/>
      <c r="E375" s="23">
        <v>1103</v>
      </c>
      <c r="F375" s="23">
        <f>DEMANDA_PREVISIÓN!E1107</f>
        <v>47</v>
      </c>
      <c r="G375" s="101"/>
      <c r="H375" s="23">
        <f t="shared" si="32"/>
        <v>1136</v>
      </c>
      <c r="I375" s="138">
        <v>400</v>
      </c>
      <c r="J375" s="134">
        <v>400</v>
      </c>
      <c r="K375" s="101"/>
      <c r="L375" s="134">
        <v>50</v>
      </c>
      <c r="M375" s="142"/>
      <c r="Y375" s="141">
        <v>14.499884259259501</v>
      </c>
      <c r="Z375" s="174"/>
    </row>
    <row r="376" spans="2:26">
      <c r="B376" s="176"/>
      <c r="C376" s="186"/>
      <c r="D376" s="172"/>
      <c r="E376" s="23">
        <v>1104</v>
      </c>
      <c r="F376" s="23">
        <f>DEMANDA_PREVISIÓN!E1108</f>
        <v>38</v>
      </c>
      <c r="G376" s="101"/>
      <c r="H376" s="138">
        <f>I375+H375</f>
        <v>1536</v>
      </c>
      <c r="I376" s="23"/>
      <c r="J376" s="134">
        <v>400</v>
      </c>
      <c r="K376" s="101"/>
      <c r="L376" s="134">
        <v>50</v>
      </c>
      <c r="M376" s="142"/>
      <c r="Y376" s="141">
        <v>14.509490740740899</v>
      </c>
      <c r="Z376" s="174"/>
    </row>
    <row r="377" spans="2:26">
      <c r="B377" s="176"/>
      <c r="C377" s="186"/>
      <c r="D377" s="172"/>
      <c r="E377" s="23">
        <v>1105</v>
      </c>
      <c r="F377" s="23">
        <f>DEMANDA_PREVISIÓN!E1109</f>
        <v>35</v>
      </c>
      <c r="G377" s="101"/>
      <c r="H377" s="23">
        <f t="shared" ref="H377:H383" si="33">H376-F377</f>
        <v>1501</v>
      </c>
      <c r="I377" s="134">
        <v>400</v>
      </c>
      <c r="J377" s="134">
        <v>400</v>
      </c>
      <c r="K377" s="101"/>
      <c r="L377" s="134">
        <v>50</v>
      </c>
      <c r="M377" s="142"/>
      <c r="Y377" s="141">
        <v>14.519097222222401</v>
      </c>
      <c r="Z377" s="174"/>
    </row>
    <row r="378" spans="2:26">
      <c r="B378" s="176"/>
      <c r="C378" s="186"/>
      <c r="D378" s="172"/>
      <c r="E378" s="23">
        <v>1106</v>
      </c>
      <c r="F378" s="23">
        <f>DEMANDA_PREVISIÓN!E1110</f>
        <v>37</v>
      </c>
      <c r="G378" s="101"/>
      <c r="H378" s="23">
        <f t="shared" si="33"/>
        <v>1464</v>
      </c>
      <c r="I378" s="134">
        <v>400</v>
      </c>
      <c r="J378" s="128">
        <v>400</v>
      </c>
      <c r="K378" s="101"/>
      <c r="L378" s="128">
        <v>50</v>
      </c>
      <c r="M378" s="142"/>
      <c r="Y378" s="141">
        <v>14.528703703703901</v>
      </c>
      <c r="Z378" s="174"/>
    </row>
    <row r="379" spans="2:26">
      <c r="B379" s="176"/>
      <c r="C379" s="186"/>
      <c r="D379" s="172"/>
      <c r="E379" s="23">
        <v>1107</v>
      </c>
      <c r="F379" s="23">
        <f>DEMANDA_PREVISIÓN!E1111</f>
        <v>32</v>
      </c>
      <c r="G379" s="101"/>
      <c r="H379" s="23">
        <f t="shared" si="33"/>
        <v>1432</v>
      </c>
      <c r="I379" s="134">
        <v>400</v>
      </c>
      <c r="J379" s="128">
        <v>400</v>
      </c>
      <c r="K379" s="101"/>
      <c r="L379" s="128">
        <v>50</v>
      </c>
      <c r="M379" s="142"/>
      <c r="Y379" s="141">
        <v>14.5383101851854</v>
      </c>
      <c r="Z379" s="174"/>
    </row>
    <row r="380" spans="2:26">
      <c r="B380" s="176"/>
      <c r="C380" s="186"/>
      <c r="D380" s="172"/>
      <c r="E380" s="23">
        <v>1108</v>
      </c>
      <c r="F380" s="23">
        <f>DEMANDA_PREVISIÓN!E1112</f>
        <v>47</v>
      </c>
      <c r="G380" s="101"/>
      <c r="H380" s="23">
        <f t="shared" si="33"/>
        <v>1385</v>
      </c>
      <c r="I380" s="134">
        <v>400</v>
      </c>
      <c r="J380" s="128">
        <v>400</v>
      </c>
      <c r="K380" s="101"/>
      <c r="L380" s="128">
        <v>50</v>
      </c>
      <c r="M380" s="142"/>
      <c r="Y380" s="141">
        <v>14.5479166666669</v>
      </c>
      <c r="Z380" s="174"/>
    </row>
    <row r="381" spans="2:26">
      <c r="B381" s="176"/>
      <c r="C381" s="186"/>
      <c r="D381" s="172"/>
      <c r="E381" s="23">
        <v>1109</v>
      </c>
      <c r="F381" s="23">
        <f>DEMANDA_PREVISIÓN!E1113</f>
        <v>47</v>
      </c>
      <c r="G381" s="101"/>
      <c r="H381" s="23">
        <f t="shared" si="33"/>
        <v>1338</v>
      </c>
      <c r="I381" s="134">
        <v>400</v>
      </c>
      <c r="J381" s="128">
        <v>400</v>
      </c>
      <c r="K381" s="101"/>
      <c r="L381" s="128">
        <v>50</v>
      </c>
      <c r="M381" s="142"/>
      <c r="Y381" s="141">
        <v>14.5575231481484</v>
      </c>
      <c r="Z381" s="174"/>
    </row>
    <row r="382" spans="2:26">
      <c r="B382" s="176"/>
      <c r="C382" s="186"/>
      <c r="D382" s="172"/>
      <c r="E382" s="23">
        <v>1110</v>
      </c>
      <c r="F382" s="23">
        <f>DEMANDA_PREVISIÓN!E1114</f>
        <v>35</v>
      </c>
      <c r="G382" s="101"/>
      <c r="H382" s="23">
        <f t="shared" si="33"/>
        <v>1303</v>
      </c>
      <c r="I382" s="134">
        <v>400</v>
      </c>
      <c r="J382" s="128">
        <v>400</v>
      </c>
      <c r="K382" s="101"/>
      <c r="L382" s="128">
        <v>50</v>
      </c>
      <c r="M382" s="142"/>
      <c r="Y382" s="141">
        <v>14.5671296296298</v>
      </c>
      <c r="Z382" s="174"/>
    </row>
    <row r="383" spans="2:26">
      <c r="B383" s="176"/>
      <c r="C383" s="186"/>
      <c r="D383" s="172"/>
      <c r="E383" s="23">
        <v>1111</v>
      </c>
      <c r="F383" s="23">
        <f>DEMANDA_PREVISIÓN!E1115</f>
        <v>42</v>
      </c>
      <c r="G383" s="101"/>
      <c r="H383" s="23">
        <f t="shared" si="33"/>
        <v>1261</v>
      </c>
      <c r="I383" s="134">
        <v>400</v>
      </c>
      <c r="J383" s="128">
        <v>400</v>
      </c>
      <c r="K383" s="101"/>
      <c r="L383" s="128">
        <v>50</v>
      </c>
      <c r="M383" s="142"/>
      <c r="Y383" s="141">
        <v>14.5767361111113</v>
      </c>
      <c r="Z383" s="174"/>
    </row>
    <row r="384" spans="2:26">
      <c r="B384" s="176"/>
      <c r="C384" s="186"/>
      <c r="D384" s="172"/>
      <c r="E384" s="23">
        <v>1112</v>
      </c>
      <c r="F384" s="23">
        <f>DEMANDA_PREVISIÓN!E1116</f>
        <v>41</v>
      </c>
      <c r="G384" s="101"/>
      <c r="H384" s="134">
        <f>I383+H383</f>
        <v>1661</v>
      </c>
      <c r="I384" s="23"/>
      <c r="J384" s="128">
        <v>400</v>
      </c>
      <c r="K384" s="101"/>
      <c r="L384" s="128">
        <v>50</v>
      </c>
      <c r="M384" s="142"/>
      <c r="Y384" s="141">
        <v>14.5863425925928</v>
      </c>
      <c r="Z384" s="174"/>
    </row>
    <row r="385" spans="2:26">
      <c r="B385" s="176"/>
      <c r="C385" s="186"/>
      <c r="D385" s="172"/>
      <c r="E385" s="23">
        <v>1113</v>
      </c>
      <c r="F385" s="23">
        <f>DEMANDA_PREVISIÓN!E1117</f>
        <v>28</v>
      </c>
      <c r="G385" s="101"/>
      <c r="H385" s="23">
        <f>H384-F385</f>
        <v>1633</v>
      </c>
      <c r="I385" s="128">
        <v>400</v>
      </c>
      <c r="J385" s="128">
        <v>400</v>
      </c>
      <c r="K385" s="101"/>
      <c r="L385" s="128">
        <v>50</v>
      </c>
      <c r="M385" s="142"/>
      <c r="Y385" s="141">
        <v>14.5959490740743</v>
      </c>
      <c r="Z385" s="174"/>
    </row>
    <row r="386" spans="2:26">
      <c r="B386" s="176"/>
      <c r="C386" s="186"/>
      <c r="D386" s="172"/>
      <c r="E386" s="23">
        <v>1114</v>
      </c>
      <c r="F386" s="23">
        <f>DEMANDA_PREVISIÓN!E1118</f>
        <v>42</v>
      </c>
      <c r="G386" s="101"/>
      <c r="H386" s="23">
        <f>H385-F386</f>
        <v>1591</v>
      </c>
      <c r="I386" s="128">
        <v>400</v>
      </c>
      <c r="J386" s="129">
        <v>400</v>
      </c>
      <c r="K386" s="101"/>
      <c r="L386" s="129">
        <v>50</v>
      </c>
      <c r="M386" s="142"/>
      <c r="Y386" s="141">
        <v>14.605555555555799</v>
      </c>
      <c r="Z386" s="174"/>
    </row>
    <row r="387" spans="2:26">
      <c r="B387" s="176"/>
      <c r="C387" s="186"/>
      <c r="D387" s="172"/>
      <c r="E387" s="23">
        <v>1115</v>
      </c>
      <c r="F387" s="23">
        <f>DEMANDA_PREVISIÓN!E1119</f>
        <v>33</v>
      </c>
      <c r="G387" s="101"/>
      <c r="H387" s="23">
        <f>H386-F387</f>
        <v>1558</v>
      </c>
      <c r="I387" s="128">
        <v>400</v>
      </c>
      <c r="J387" s="129">
        <v>400</v>
      </c>
      <c r="K387" s="101"/>
      <c r="L387" s="129">
        <v>50</v>
      </c>
      <c r="M387" s="142"/>
      <c r="Y387" s="141">
        <v>14.6151620370372</v>
      </c>
      <c r="Z387" s="174"/>
    </row>
    <row r="388" spans="2:26">
      <c r="B388" s="176"/>
      <c r="C388" s="186"/>
      <c r="D388" s="172"/>
      <c r="E388" s="23">
        <v>1116</v>
      </c>
      <c r="F388" s="23">
        <f>DEMANDA_PREVISIÓN!E1120</f>
        <v>48</v>
      </c>
      <c r="G388" s="101"/>
      <c r="H388" s="23">
        <f>H387-F388</f>
        <v>1510</v>
      </c>
      <c r="I388" s="128">
        <v>400</v>
      </c>
      <c r="J388" s="129">
        <v>400</v>
      </c>
      <c r="K388" s="101"/>
      <c r="L388" s="129">
        <v>50</v>
      </c>
      <c r="M388" s="142"/>
      <c r="Y388" s="141">
        <v>14.6247685185187</v>
      </c>
      <c r="Z388" s="174"/>
    </row>
    <row r="389" spans="2:26">
      <c r="B389" s="176"/>
      <c r="C389" s="186"/>
      <c r="D389" s="172"/>
      <c r="E389" s="23">
        <v>1117</v>
      </c>
      <c r="F389" s="23">
        <f>DEMANDA_PREVISIÓN!E1121</f>
        <v>31</v>
      </c>
      <c r="G389" s="101"/>
      <c r="H389" s="23">
        <f t="shared" ref="H389:H391" si="34">H388-F389</f>
        <v>1479</v>
      </c>
      <c r="I389" s="128">
        <v>400</v>
      </c>
      <c r="J389" s="129">
        <v>400</v>
      </c>
      <c r="K389" s="101"/>
      <c r="L389" s="129">
        <v>50</v>
      </c>
      <c r="M389" s="142"/>
      <c r="Y389" s="141">
        <v>14.634375000000199</v>
      </c>
      <c r="Z389" s="174"/>
    </row>
    <row r="390" spans="2:26">
      <c r="B390" s="176"/>
      <c r="C390" s="186"/>
      <c r="D390" s="172"/>
      <c r="E390" s="23">
        <v>1118</v>
      </c>
      <c r="F390" s="23">
        <f>DEMANDA_PREVISIÓN!E1122</f>
        <v>48</v>
      </c>
      <c r="G390" s="101"/>
      <c r="H390" s="23">
        <f t="shared" si="34"/>
        <v>1431</v>
      </c>
      <c r="I390" s="128">
        <v>400</v>
      </c>
      <c r="J390" s="129">
        <v>400</v>
      </c>
      <c r="K390" s="101"/>
      <c r="L390" s="129">
        <v>50</v>
      </c>
      <c r="M390" s="142"/>
      <c r="Y390" s="141">
        <v>14.643981481481701</v>
      </c>
      <c r="Z390" s="174"/>
    </row>
    <row r="391" spans="2:26">
      <c r="B391" s="176"/>
      <c r="C391" s="186"/>
      <c r="D391" s="172"/>
      <c r="E391" s="23">
        <v>1119</v>
      </c>
      <c r="F391" s="23">
        <f>DEMANDA_PREVISIÓN!E1123</f>
        <v>50</v>
      </c>
      <c r="G391" s="101"/>
      <c r="H391" s="23">
        <f t="shared" si="34"/>
        <v>1381</v>
      </c>
      <c r="I391" s="128">
        <v>400</v>
      </c>
      <c r="J391" s="129">
        <v>400</v>
      </c>
      <c r="K391" s="101"/>
      <c r="L391" s="129">
        <v>50</v>
      </c>
      <c r="M391" s="142"/>
      <c r="Y391" s="141">
        <v>14.653587962963201</v>
      </c>
      <c r="Z391" s="174"/>
    </row>
    <row r="392" spans="2:26">
      <c r="B392" s="176"/>
      <c r="C392" s="186"/>
      <c r="D392" s="172"/>
      <c r="E392" s="23">
        <v>1120</v>
      </c>
      <c r="F392" s="23">
        <f>DEMANDA_PREVISIÓN!E1124</f>
        <v>39</v>
      </c>
      <c r="G392" s="101"/>
      <c r="H392" s="128">
        <f>I391+H391</f>
        <v>1781</v>
      </c>
      <c r="J392" s="129">
        <v>400</v>
      </c>
      <c r="K392" s="47"/>
      <c r="L392" s="129">
        <v>50</v>
      </c>
      <c r="M392" s="142"/>
      <c r="Y392" s="141">
        <v>14.6631944444447</v>
      </c>
      <c r="Z392" s="174"/>
    </row>
    <row r="393" spans="2:26">
      <c r="B393" s="176"/>
      <c r="C393" s="186"/>
      <c r="D393" s="172"/>
      <c r="E393" s="23">
        <v>1121</v>
      </c>
      <c r="F393" s="23">
        <f>DEMANDA_PREVISIÓN!E1125</f>
        <v>32</v>
      </c>
      <c r="G393" s="101"/>
      <c r="H393" s="23">
        <f t="shared" ref="H393:H399" si="35">H392-F393</f>
        <v>1749</v>
      </c>
      <c r="I393" s="129">
        <v>400</v>
      </c>
      <c r="J393" s="129">
        <v>400</v>
      </c>
      <c r="K393" s="101"/>
      <c r="L393" s="129">
        <v>50</v>
      </c>
      <c r="M393" s="142"/>
      <c r="Y393" s="141">
        <v>14.672800925926101</v>
      </c>
      <c r="Z393" s="174"/>
    </row>
    <row r="394" spans="2:26">
      <c r="B394" s="176"/>
      <c r="C394" s="186"/>
      <c r="D394" s="172"/>
      <c r="E394" s="23">
        <v>1122</v>
      </c>
      <c r="F394" s="23">
        <f>DEMANDA_PREVISIÓN!E1126</f>
        <v>42</v>
      </c>
      <c r="G394" s="101"/>
      <c r="H394" s="23">
        <f t="shared" si="35"/>
        <v>1707</v>
      </c>
      <c r="I394" s="129">
        <v>400</v>
      </c>
      <c r="J394" s="137">
        <v>400</v>
      </c>
      <c r="K394" s="101"/>
      <c r="L394" s="137">
        <v>50</v>
      </c>
      <c r="M394" s="142"/>
      <c r="Y394" s="141">
        <v>14.682407407407601</v>
      </c>
      <c r="Z394" s="174"/>
    </row>
    <row r="395" spans="2:26">
      <c r="B395" s="176"/>
      <c r="C395" s="186"/>
      <c r="D395" s="172"/>
      <c r="E395" s="23">
        <v>1123</v>
      </c>
      <c r="F395" s="23">
        <f>DEMANDA_PREVISIÓN!E1127</f>
        <v>45</v>
      </c>
      <c r="G395" s="101"/>
      <c r="H395" s="23">
        <f t="shared" si="35"/>
        <v>1662</v>
      </c>
      <c r="I395" s="129">
        <v>400</v>
      </c>
      <c r="J395" s="137">
        <v>400</v>
      </c>
      <c r="K395" s="101"/>
      <c r="L395" s="137">
        <v>50</v>
      </c>
      <c r="M395" s="142"/>
      <c r="Y395" s="141">
        <v>14.6920138888891</v>
      </c>
      <c r="Z395" s="174"/>
    </row>
    <row r="396" spans="2:26">
      <c r="B396" s="176"/>
      <c r="C396" s="186"/>
      <c r="D396" s="172"/>
      <c r="E396" s="23">
        <v>1124</v>
      </c>
      <c r="F396" s="23">
        <f>DEMANDA_PREVISIÓN!E1128</f>
        <v>35</v>
      </c>
      <c r="G396" s="101"/>
      <c r="H396" s="23">
        <f t="shared" si="35"/>
        <v>1627</v>
      </c>
      <c r="I396" s="129">
        <v>400</v>
      </c>
      <c r="J396" s="137">
        <v>400</v>
      </c>
      <c r="K396" s="101"/>
      <c r="L396" s="137">
        <v>50</v>
      </c>
      <c r="M396" s="142"/>
      <c r="Y396" s="141">
        <v>14.7016203703706</v>
      </c>
      <c r="Z396" s="174"/>
    </row>
    <row r="397" spans="2:26">
      <c r="B397" s="176"/>
      <c r="C397" s="186"/>
      <c r="D397" s="172"/>
      <c r="E397" s="23">
        <v>1125</v>
      </c>
      <c r="F397" s="23">
        <f>DEMANDA_PREVISIÓN!E1129</f>
        <v>35</v>
      </c>
      <c r="G397" s="101"/>
      <c r="H397" s="23">
        <f t="shared" si="35"/>
        <v>1592</v>
      </c>
      <c r="I397" s="129">
        <v>400</v>
      </c>
      <c r="J397" s="137">
        <v>400</v>
      </c>
      <c r="K397" s="101"/>
      <c r="L397" s="137">
        <v>50</v>
      </c>
      <c r="M397" s="142"/>
      <c r="Y397" s="141">
        <v>14.7112268518521</v>
      </c>
      <c r="Z397" s="174"/>
    </row>
    <row r="398" spans="2:26">
      <c r="B398" s="176"/>
      <c r="C398" s="186"/>
      <c r="D398" s="173"/>
      <c r="E398" s="23">
        <v>1126</v>
      </c>
      <c r="F398" s="23">
        <f>DEMANDA_PREVISIÓN!E1130</f>
        <v>50</v>
      </c>
      <c r="G398" s="101"/>
      <c r="H398" s="23">
        <f t="shared" si="35"/>
        <v>1542</v>
      </c>
      <c r="I398" s="129">
        <v>400</v>
      </c>
      <c r="J398" s="137">
        <v>400</v>
      </c>
      <c r="K398" s="101"/>
      <c r="L398" s="137">
        <v>50</v>
      </c>
      <c r="M398" s="142"/>
      <c r="Y398" s="141">
        <v>14.7208333333335</v>
      </c>
      <c r="Z398" s="174"/>
    </row>
    <row r="399" spans="2:26">
      <c r="B399" s="176"/>
      <c r="C399" s="186"/>
      <c r="D399" s="171" t="s">
        <v>42</v>
      </c>
      <c r="E399" s="23">
        <v>1127</v>
      </c>
      <c r="F399" s="23">
        <f>DEMANDA_PREVISIÓN!E1131</f>
        <v>42</v>
      </c>
      <c r="G399" s="101"/>
      <c r="H399" s="23">
        <f t="shared" si="35"/>
        <v>1500</v>
      </c>
      <c r="I399" s="129">
        <v>400</v>
      </c>
      <c r="J399" s="137">
        <v>400</v>
      </c>
      <c r="K399" s="101"/>
      <c r="L399" s="137">
        <v>50</v>
      </c>
      <c r="M399" s="142"/>
      <c r="Y399" s="141">
        <v>14.730439814815</v>
      </c>
      <c r="Z399" s="174"/>
    </row>
    <row r="400" spans="2:26">
      <c r="B400" s="176"/>
      <c r="C400" s="186"/>
      <c r="D400" s="172"/>
      <c r="E400" s="23">
        <v>1128</v>
      </c>
      <c r="F400" s="23">
        <f>DEMANDA_PREVISIÓN!E1132</f>
        <v>41</v>
      </c>
      <c r="G400" s="101"/>
      <c r="H400" s="129">
        <f>I399+H399</f>
        <v>1900</v>
      </c>
      <c r="I400" s="23"/>
      <c r="J400" s="137">
        <v>400</v>
      </c>
      <c r="K400" s="101"/>
      <c r="L400" s="137">
        <v>50</v>
      </c>
      <c r="M400" s="142"/>
      <c r="Y400" s="141">
        <v>14.7400462962965</v>
      </c>
      <c r="Z400" s="174"/>
    </row>
    <row r="401" spans="2:26">
      <c r="B401" s="176"/>
      <c r="C401" s="186"/>
      <c r="D401" s="172"/>
      <c r="E401" s="23">
        <v>1129</v>
      </c>
      <c r="F401" s="23">
        <f>DEMANDA_PREVISIÓN!E1133</f>
        <v>47</v>
      </c>
      <c r="G401" s="101"/>
      <c r="H401" s="23">
        <f t="shared" ref="H401:H407" si="36">H400-F401</f>
        <v>1853</v>
      </c>
      <c r="I401" s="137">
        <v>400</v>
      </c>
      <c r="J401" s="137">
        <v>400</v>
      </c>
      <c r="K401" s="101"/>
      <c r="L401" s="137">
        <v>50</v>
      </c>
      <c r="M401" s="142"/>
      <c r="Y401" s="141">
        <v>14.749652777778</v>
      </c>
      <c r="Z401" s="174"/>
    </row>
    <row r="402" spans="2:26">
      <c r="B402" s="176"/>
      <c r="C402" s="186"/>
      <c r="D402" s="172"/>
      <c r="E402" s="23">
        <v>1130</v>
      </c>
      <c r="F402" s="23">
        <f>DEMANDA_PREVISIÓN!E1134</f>
        <v>32</v>
      </c>
      <c r="G402" s="101"/>
      <c r="H402" s="23">
        <f t="shared" si="36"/>
        <v>1821</v>
      </c>
      <c r="I402" s="137">
        <v>400</v>
      </c>
      <c r="J402" s="138">
        <v>400</v>
      </c>
      <c r="K402" s="101"/>
      <c r="L402" s="138">
        <v>50</v>
      </c>
      <c r="M402" s="142"/>
      <c r="Y402" s="141">
        <v>14.759259259259499</v>
      </c>
      <c r="Z402" s="174"/>
    </row>
    <row r="403" spans="2:26">
      <c r="B403" s="176"/>
      <c r="C403" s="186"/>
      <c r="D403" s="172"/>
      <c r="E403" s="23">
        <v>1131</v>
      </c>
      <c r="F403" s="23">
        <f>DEMANDA_PREVISIÓN!E1135</f>
        <v>39</v>
      </c>
      <c r="G403" s="101"/>
      <c r="H403" s="23">
        <f t="shared" si="36"/>
        <v>1782</v>
      </c>
      <c r="I403" s="137">
        <v>400</v>
      </c>
      <c r="J403" s="138">
        <v>400</v>
      </c>
      <c r="K403" s="101"/>
      <c r="L403" s="138">
        <v>50</v>
      </c>
      <c r="M403" s="142"/>
      <c r="Y403" s="141">
        <v>14.768865740740999</v>
      </c>
      <c r="Z403" s="174"/>
    </row>
    <row r="404" spans="2:26">
      <c r="B404" s="176"/>
      <c r="C404" s="186"/>
      <c r="D404" s="172"/>
      <c r="E404" s="23">
        <v>1132</v>
      </c>
      <c r="F404" s="23">
        <f>DEMANDA_PREVISIÓN!E1136</f>
        <v>39</v>
      </c>
      <c r="G404" s="101"/>
      <c r="H404" s="23">
        <f t="shared" si="36"/>
        <v>1743</v>
      </c>
      <c r="I404" s="137">
        <v>400</v>
      </c>
      <c r="J404" s="138">
        <v>400</v>
      </c>
      <c r="K404" s="101"/>
      <c r="L404" s="138">
        <v>50</v>
      </c>
      <c r="M404" s="142"/>
      <c r="Y404" s="141">
        <v>14.778472222222399</v>
      </c>
      <c r="Z404" s="174"/>
    </row>
    <row r="405" spans="2:26">
      <c r="B405" s="176"/>
      <c r="C405" s="186"/>
      <c r="D405" s="172"/>
      <c r="E405" s="23">
        <v>1133</v>
      </c>
      <c r="F405" s="23">
        <f>DEMANDA_PREVISIÓN!E1137</f>
        <v>41</v>
      </c>
      <c r="G405" s="101"/>
      <c r="H405" s="23">
        <f t="shared" si="36"/>
        <v>1702</v>
      </c>
      <c r="I405" s="137">
        <v>400</v>
      </c>
      <c r="J405" s="138">
        <v>400</v>
      </c>
      <c r="K405" s="101"/>
      <c r="L405" s="138">
        <v>50</v>
      </c>
      <c r="M405" s="142"/>
      <c r="Y405" s="141">
        <v>14.788078703703899</v>
      </c>
      <c r="Z405" s="174"/>
    </row>
    <row r="406" spans="2:26">
      <c r="B406" s="176"/>
      <c r="C406" s="186"/>
      <c r="D406" s="172"/>
      <c r="E406" s="23">
        <v>1134</v>
      </c>
      <c r="F406" s="23">
        <f>DEMANDA_PREVISIÓN!E1138</f>
        <v>49</v>
      </c>
      <c r="G406" s="101"/>
      <c r="H406" s="23">
        <f t="shared" si="36"/>
        <v>1653</v>
      </c>
      <c r="I406" s="137">
        <v>400</v>
      </c>
      <c r="J406" s="138">
        <v>400</v>
      </c>
      <c r="K406" s="101"/>
      <c r="L406" s="138">
        <v>50</v>
      </c>
      <c r="M406" s="142"/>
      <c r="Y406" s="141">
        <v>14.797685185185401</v>
      </c>
      <c r="Z406" s="174"/>
    </row>
    <row r="407" spans="2:26">
      <c r="B407" s="176"/>
      <c r="C407" s="186"/>
      <c r="D407" s="172"/>
      <c r="E407" s="23">
        <v>1135</v>
      </c>
      <c r="F407" s="23">
        <f>DEMANDA_PREVISIÓN!E1139</f>
        <v>39</v>
      </c>
      <c r="G407" s="101"/>
      <c r="H407" s="23">
        <f t="shared" si="36"/>
        <v>1614</v>
      </c>
      <c r="I407" s="137">
        <v>400</v>
      </c>
      <c r="J407" s="138">
        <v>400</v>
      </c>
      <c r="K407" s="101"/>
      <c r="L407" s="138">
        <v>50</v>
      </c>
      <c r="M407" s="142"/>
      <c r="Y407" s="141">
        <v>14.807291666666901</v>
      </c>
      <c r="Z407" s="174"/>
    </row>
    <row r="408" spans="2:26">
      <c r="B408" s="176"/>
      <c r="C408" s="186"/>
      <c r="D408" s="172"/>
      <c r="E408" s="23">
        <v>1136</v>
      </c>
      <c r="F408" s="23">
        <f>DEMANDA_PREVISIÓN!E1140</f>
        <v>43</v>
      </c>
      <c r="G408" s="101"/>
      <c r="H408" s="137">
        <f>I407+H407</f>
        <v>2014</v>
      </c>
      <c r="I408" s="23"/>
      <c r="J408" s="138">
        <v>400</v>
      </c>
      <c r="K408" s="101"/>
      <c r="L408" s="138">
        <v>50</v>
      </c>
      <c r="M408" s="142"/>
      <c r="Y408" s="141">
        <v>14.8168981481484</v>
      </c>
      <c r="Z408" s="174"/>
    </row>
    <row r="409" spans="2:26">
      <c r="B409" s="176"/>
      <c r="C409" s="186"/>
      <c r="D409" s="172"/>
      <c r="E409" s="23">
        <v>1137</v>
      </c>
      <c r="F409" s="23">
        <f>DEMANDA_PREVISIÓN!E1141</f>
        <v>44</v>
      </c>
      <c r="G409" s="101"/>
      <c r="H409" s="23">
        <f t="shared" ref="H409:H415" si="37">H408-F409</f>
        <v>1970</v>
      </c>
      <c r="I409" s="138">
        <v>400</v>
      </c>
      <c r="J409" s="138">
        <v>400</v>
      </c>
      <c r="K409" s="101"/>
      <c r="L409" s="138">
        <v>50</v>
      </c>
      <c r="M409" s="142"/>
      <c r="Y409" s="141">
        <v>14.826504629629801</v>
      </c>
      <c r="Z409" s="174"/>
    </row>
    <row r="410" spans="2:26">
      <c r="B410" s="176"/>
      <c r="C410" s="186"/>
      <c r="D410" s="172"/>
      <c r="E410" s="23">
        <v>1138</v>
      </c>
      <c r="F410" s="23">
        <f>DEMANDA_PREVISIÓN!E1142</f>
        <v>49</v>
      </c>
      <c r="G410" s="101"/>
      <c r="H410" s="23">
        <f t="shared" si="37"/>
        <v>1921</v>
      </c>
      <c r="I410" s="138">
        <v>400</v>
      </c>
      <c r="J410" s="134">
        <v>400</v>
      </c>
      <c r="K410" s="101"/>
      <c r="L410" s="134">
        <v>50</v>
      </c>
      <c r="M410" s="142"/>
      <c r="Y410" s="141">
        <v>14.8361111111113</v>
      </c>
      <c r="Z410" s="174"/>
    </row>
    <row r="411" spans="2:26">
      <c r="B411" s="176"/>
      <c r="C411" s="186"/>
      <c r="D411" s="172"/>
      <c r="E411" s="23">
        <v>1139</v>
      </c>
      <c r="F411" s="23">
        <f>DEMANDA_PREVISIÓN!E1143</f>
        <v>46</v>
      </c>
      <c r="G411" s="101"/>
      <c r="H411" s="23">
        <f t="shared" si="37"/>
        <v>1875</v>
      </c>
      <c r="I411" s="138">
        <v>400</v>
      </c>
      <c r="J411" s="134">
        <v>400</v>
      </c>
      <c r="K411" s="101"/>
      <c r="L411" s="134">
        <v>50</v>
      </c>
      <c r="M411" s="142"/>
      <c r="Y411" s="141">
        <v>14.8457175925928</v>
      </c>
      <c r="Z411" s="174"/>
    </row>
    <row r="412" spans="2:26">
      <c r="B412" s="176"/>
      <c r="C412" s="186"/>
      <c r="D412" s="172"/>
      <c r="E412" s="23">
        <v>1140</v>
      </c>
      <c r="F412" s="23">
        <f>DEMANDA_PREVISIÓN!E1144</f>
        <v>53</v>
      </c>
      <c r="G412" s="101"/>
      <c r="H412" s="23">
        <f t="shared" si="37"/>
        <v>1822</v>
      </c>
      <c r="I412" s="138">
        <v>400</v>
      </c>
      <c r="J412" s="134">
        <v>400</v>
      </c>
      <c r="K412" s="101"/>
      <c r="L412" s="134">
        <v>50</v>
      </c>
      <c r="M412" s="142"/>
      <c r="Y412" s="141">
        <v>14.8553240740743</v>
      </c>
      <c r="Z412" s="174"/>
    </row>
    <row r="413" spans="2:26">
      <c r="B413" s="176"/>
      <c r="C413" s="186"/>
      <c r="D413" s="172"/>
      <c r="E413" s="23">
        <v>1141</v>
      </c>
      <c r="F413" s="23">
        <f>DEMANDA_PREVISIÓN!E1145</f>
        <v>28</v>
      </c>
      <c r="G413" s="101"/>
      <c r="H413" s="23">
        <f t="shared" si="37"/>
        <v>1794</v>
      </c>
      <c r="I413" s="138">
        <v>400</v>
      </c>
      <c r="J413" s="134">
        <v>400</v>
      </c>
      <c r="K413" s="101"/>
      <c r="L413" s="134">
        <v>50</v>
      </c>
      <c r="M413" s="142"/>
      <c r="Y413" s="141">
        <v>14.8649305555558</v>
      </c>
      <c r="Z413" s="174"/>
    </row>
    <row r="414" spans="2:26">
      <c r="B414" s="176"/>
      <c r="C414" s="186"/>
      <c r="D414" s="172"/>
      <c r="E414" s="23">
        <v>1142</v>
      </c>
      <c r="F414" s="23">
        <f>DEMANDA_PREVISIÓN!E1146</f>
        <v>39</v>
      </c>
      <c r="G414" s="101"/>
      <c r="H414" s="23">
        <f t="shared" si="37"/>
        <v>1755</v>
      </c>
      <c r="I414" s="138">
        <v>400</v>
      </c>
      <c r="J414" s="134">
        <v>400</v>
      </c>
      <c r="K414" s="101"/>
      <c r="L414" s="134">
        <v>50</v>
      </c>
      <c r="M414" s="142"/>
      <c r="Y414" s="141">
        <v>14.8745370370373</v>
      </c>
      <c r="Z414" s="174"/>
    </row>
    <row r="415" spans="2:26">
      <c r="B415" s="176"/>
      <c r="C415" s="186"/>
      <c r="D415" s="172"/>
      <c r="E415" s="23">
        <v>1143</v>
      </c>
      <c r="F415" s="23">
        <f>DEMANDA_PREVISIÓN!E1147</f>
        <v>41</v>
      </c>
      <c r="G415" s="101"/>
      <c r="H415" s="23">
        <f t="shared" si="37"/>
        <v>1714</v>
      </c>
      <c r="I415" s="138">
        <v>400</v>
      </c>
      <c r="J415" s="134">
        <v>400</v>
      </c>
      <c r="K415" s="101"/>
      <c r="L415" s="134">
        <v>50</v>
      </c>
      <c r="M415" s="142"/>
      <c r="Y415" s="141">
        <v>14.8841435185187</v>
      </c>
      <c r="Z415" s="174"/>
    </row>
    <row r="416" spans="2:26">
      <c r="B416" s="176"/>
      <c r="C416" s="186"/>
      <c r="D416" s="172"/>
      <c r="E416" s="23">
        <v>1144</v>
      </c>
      <c r="F416" s="23">
        <f>DEMANDA_PREVISIÓN!E1148</f>
        <v>39</v>
      </c>
      <c r="G416" s="101"/>
      <c r="H416" s="138">
        <f>I415+H415</f>
        <v>2114</v>
      </c>
      <c r="I416" s="23"/>
      <c r="J416" s="134">
        <v>400</v>
      </c>
      <c r="K416" s="101"/>
      <c r="L416" s="134">
        <v>50</v>
      </c>
      <c r="M416" s="142"/>
      <c r="Y416" s="141">
        <v>14.8937500000002</v>
      </c>
      <c r="Z416" s="174"/>
    </row>
    <row r="417" spans="2:26">
      <c r="B417" s="176"/>
      <c r="C417" s="186"/>
      <c r="D417" s="172"/>
      <c r="E417" s="23">
        <v>1145</v>
      </c>
      <c r="F417" s="23">
        <f>DEMANDA_PREVISIÓN!E1149</f>
        <v>40</v>
      </c>
      <c r="G417" s="101"/>
      <c r="H417" s="23">
        <f t="shared" ref="H417:H423" si="38">H416-F417</f>
        <v>2074</v>
      </c>
      <c r="I417" s="134">
        <v>400</v>
      </c>
      <c r="J417" s="134">
        <v>400</v>
      </c>
      <c r="K417" s="101"/>
      <c r="L417" s="134">
        <v>50</v>
      </c>
      <c r="M417" s="142"/>
      <c r="Y417" s="141">
        <v>14.903356481481699</v>
      </c>
      <c r="Z417" s="174"/>
    </row>
    <row r="418" spans="2:26">
      <c r="B418" s="176"/>
      <c r="C418" s="186"/>
      <c r="D418" s="172"/>
      <c r="E418" s="23">
        <v>1146</v>
      </c>
      <c r="F418" s="23">
        <f>DEMANDA_PREVISIÓN!E1150</f>
        <v>37</v>
      </c>
      <c r="G418" s="101"/>
      <c r="H418" s="23">
        <f t="shared" si="38"/>
        <v>2037</v>
      </c>
      <c r="I418" s="134">
        <v>400</v>
      </c>
      <c r="J418" s="128">
        <v>400</v>
      </c>
      <c r="K418" s="101"/>
      <c r="L418" s="128">
        <v>50</v>
      </c>
      <c r="M418" s="142"/>
      <c r="Y418" s="141">
        <v>14.912962962963199</v>
      </c>
      <c r="Z418" s="174"/>
    </row>
    <row r="419" spans="2:26">
      <c r="B419" s="176"/>
      <c r="C419" s="186"/>
      <c r="D419" s="172"/>
      <c r="E419" s="23">
        <v>1147</v>
      </c>
      <c r="F419" s="23">
        <f>DEMANDA_PREVISIÓN!E1151</f>
        <v>45</v>
      </c>
      <c r="G419" s="101"/>
      <c r="H419" s="23">
        <f t="shared" si="38"/>
        <v>1992</v>
      </c>
      <c r="I419" s="134">
        <v>400</v>
      </c>
      <c r="J419" s="128">
        <v>400</v>
      </c>
      <c r="K419" s="101"/>
      <c r="L419" s="128">
        <v>50</v>
      </c>
      <c r="M419" s="142"/>
      <c r="Y419" s="141">
        <v>14.922569444444701</v>
      </c>
      <c r="Z419" s="174"/>
    </row>
    <row r="420" spans="2:26">
      <c r="B420" s="176"/>
      <c r="C420" s="186"/>
      <c r="D420" s="172"/>
      <c r="E420" s="23">
        <v>1148</v>
      </c>
      <c r="F420" s="23">
        <f>DEMANDA_PREVISIÓN!E1152</f>
        <v>39</v>
      </c>
      <c r="G420" s="101"/>
      <c r="H420" s="23">
        <f t="shared" si="38"/>
        <v>1953</v>
      </c>
      <c r="I420" s="134">
        <v>400</v>
      </c>
      <c r="J420" s="128">
        <v>400</v>
      </c>
      <c r="K420" s="101"/>
      <c r="L420" s="128">
        <v>50</v>
      </c>
      <c r="M420" s="142"/>
      <c r="Y420" s="141">
        <v>14.932175925926099</v>
      </c>
      <c r="Z420" s="174"/>
    </row>
    <row r="421" spans="2:26">
      <c r="B421" s="176"/>
      <c r="C421" s="186"/>
      <c r="D421" s="172"/>
      <c r="E421" s="23">
        <v>1149</v>
      </c>
      <c r="F421" s="23">
        <f>DEMANDA_PREVISIÓN!E1153</f>
        <v>37</v>
      </c>
      <c r="G421" s="101"/>
      <c r="H421" s="23">
        <f t="shared" si="38"/>
        <v>1916</v>
      </c>
      <c r="I421" s="134">
        <v>400</v>
      </c>
      <c r="J421" s="128">
        <v>400</v>
      </c>
      <c r="K421" s="101"/>
      <c r="L421" s="128">
        <v>50</v>
      </c>
      <c r="M421" s="142"/>
      <c r="Y421" s="141">
        <v>14.941782407407601</v>
      </c>
      <c r="Z421" s="174"/>
    </row>
    <row r="422" spans="2:26">
      <c r="B422" s="176"/>
      <c r="C422" s="186"/>
      <c r="D422" s="172"/>
      <c r="E422" s="23">
        <v>1150</v>
      </c>
      <c r="F422" s="23">
        <f>DEMANDA_PREVISIÓN!E1154</f>
        <v>51</v>
      </c>
      <c r="G422" s="101"/>
      <c r="H422" s="23">
        <f t="shared" si="38"/>
        <v>1865</v>
      </c>
      <c r="I422" s="134">
        <v>400</v>
      </c>
      <c r="J422" s="128">
        <v>400</v>
      </c>
      <c r="K422" s="101"/>
      <c r="L422" s="128">
        <v>50</v>
      </c>
      <c r="M422" s="142"/>
      <c r="Y422" s="141">
        <v>14.951388888889101</v>
      </c>
      <c r="Z422" s="174"/>
    </row>
    <row r="423" spans="2:26">
      <c r="B423" s="176"/>
      <c r="C423" s="186"/>
      <c r="D423" s="172"/>
      <c r="E423" s="23">
        <v>1151</v>
      </c>
      <c r="F423" s="23">
        <f>DEMANDA_PREVISIÓN!E1155</f>
        <v>45</v>
      </c>
      <c r="G423" s="101"/>
      <c r="H423" s="23">
        <f t="shared" si="38"/>
        <v>1820</v>
      </c>
      <c r="I423" s="134">
        <v>400</v>
      </c>
      <c r="J423" s="128">
        <v>400</v>
      </c>
      <c r="K423" s="101"/>
      <c r="L423" s="128">
        <v>50</v>
      </c>
      <c r="M423" s="142"/>
      <c r="Y423" s="141">
        <v>14.9609953703706</v>
      </c>
      <c r="Z423" s="174"/>
    </row>
    <row r="424" spans="2:26">
      <c r="B424" s="176"/>
      <c r="C424" s="186"/>
      <c r="D424" s="172"/>
      <c r="E424" s="23">
        <v>1152</v>
      </c>
      <c r="F424" s="23">
        <f>DEMANDA_PREVISIÓN!E1156</f>
        <v>36</v>
      </c>
      <c r="G424" s="101"/>
      <c r="H424" s="134">
        <f>I423+H423</f>
        <v>2220</v>
      </c>
      <c r="I424" s="23"/>
      <c r="J424" s="128">
        <v>400</v>
      </c>
      <c r="K424" s="101"/>
      <c r="L424" s="128">
        <v>50</v>
      </c>
      <c r="M424" s="142"/>
      <c r="Y424" s="141">
        <v>14.9706018518521</v>
      </c>
      <c r="Z424" s="174"/>
    </row>
    <row r="425" spans="2:26">
      <c r="B425" s="176"/>
      <c r="C425" s="186"/>
      <c r="D425" s="172"/>
      <c r="E425" s="23">
        <v>1153</v>
      </c>
      <c r="F425" s="23">
        <f>DEMANDA_PREVISIÓN!E1157</f>
        <v>41</v>
      </c>
      <c r="G425" s="101"/>
      <c r="H425" s="23">
        <f>H424-F425</f>
        <v>2179</v>
      </c>
      <c r="I425" s="128">
        <v>400</v>
      </c>
      <c r="J425" s="128">
        <v>400</v>
      </c>
      <c r="K425" s="101"/>
      <c r="L425" s="128">
        <v>50</v>
      </c>
      <c r="M425" s="142"/>
      <c r="Y425" s="141">
        <v>14.9802083333336</v>
      </c>
      <c r="Z425" s="174"/>
    </row>
    <row r="426" spans="2:26">
      <c r="B426" s="176"/>
      <c r="C426" s="186"/>
      <c r="D426" s="173"/>
      <c r="E426" s="23">
        <v>1154</v>
      </c>
      <c r="F426" s="23">
        <f>DEMANDA_PREVISIÓN!E1158</f>
        <v>43</v>
      </c>
      <c r="G426" s="101"/>
      <c r="H426" s="23">
        <f>H425-F426</f>
        <v>2136</v>
      </c>
      <c r="I426" s="128">
        <v>400</v>
      </c>
      <c r="J426" s="129">
        <v>400</v>
      </c>
      <c r="K426" s="101"/>
      <c r="L426" s="129">
        <v>50</v>
      </c>
      <c r="M426" s="142"/>
      <c r="Y426" s="141">
        <v>14.989814814815</v>
      </c>
      <c r="Z426" s="174"/>
    </row>
    <row r="427" spans="2:26">
      <c r="B427" s="176"/>
      <c r="C427" s="186"/>
      <c r="D427" s="171" t="s">
        <v>43</v>
      </c>
      <c r="E427" s="23">
        <v>1155</v>
      </c>
      <c r="F427" s="23">
        <f>DEMANDA_PREVISIÓN!E1159</f>
        <v>39</v>
      </c>
      <c r="G427" s="101"/>
      <c r="H427" s="23">
        <f>H426-F427</f>
        <v>2097</v>
      </c>
      <c r="I427" s="128">
        <v>400</v>
      </c>
      <c r="J427" s="129">
        <v>400</v>
      </c>
      <c r="K427" s="101"/>
      <c r="L427" s="129">
        <v>50</v>
      </c>
      <c r="M427" s="142"/>
      <c r="Y427" s="141">
        <v>14.9994212962965</v>
      </c>
      <c r="Z427" s="174"/>
    </row>
    <row r="428" spans="2:26">
      <c r="B428" s="176"/>
      <c r="C428" s="186"/>
      <c r="D428" s="172"/>
      <c r="E428" s="23">
        <v>1156</v>
      </c>
      <c r="F428" s="23">
        <f>DEMANDA_PREVISIÓN!E1160</f>
        <v>38</v>
      </c>
      <c r="G428" s="101"/>
      <c r="H428" s="23">
        <f>H427-F428</f>
        <v>2059</v>
      </c>
      <c r="I428" s="128">
        <v>400</v>
      </c>
      <c r="J428" s="129">
        <v>400</v>
      </c>
      <c r="K428" s="101"/>
      <c r="L428" s="129">
        <v>50</v>
      </c>
      <c r="M428" s="142"/>
      <c r="Y428" s="141">
        <v>15.009027777778</v>
      </c>
      <c r="Z428" s="174">
        <v>5</v>
      </c>
    </row>
    <row r="429" spans="2:26">
      <c r="B429" s="176"/>
      <c r="C429" s="186"/>
      <c r="D429" s="172"/>
      <c r="E429" s="23">
        <v>1157</v>
      </c>
      <c r="F429" s="23">
        <f>DEMANDA_PREVISIÓN!E1161</f>
        <v>36</v>
      </c>
      <c r="G429" s="101"/>
      <c r="H429" s="23">
        <f t="shared" ref="H429:H431" si="39">H428-F429</f>
        <v>2023</v>
      </c>
      <c r="I429" s="128">
        <v>400</v>
      </c>
      <c r="J429" s="129">
        <v>400</v>
      </c>
      <c r="K429" s="101"/>
      <c r="L429" s="129">
        <v>50</v>
      </c>
      <c r="M429" s="142"/>
      <c r="Y429" s="141">
        <v>15.0186342592595</v>
      </c>
      <c r="Z429" s="174"/>
    </row>
    <row r="430" spans="2:26">
      <c r="B430" s="176"/>
      <c r="C430" s="186"/>
      <c r="D430" s="172"/>
      <c r="E430" s="23">
        <v>1158</v>
      </c>
      <c r="F430" s="23">
        <f>DEMANDA_PREVISIÓN!E1162</f>
        <v>40</v>
      </c>
      <c r="G430" s="101"/>
      <c r="H430" s="23">
        <f t="shared" si="39"/>
        <v>1983</v>
      </c>
      <c r="I430" s="128">
        <v>400</v>
      </c>
      <c r="J430" s="129">
        <v>400</v>
      </c>
      <c r="K430" s="101"/>
      <c r="L430" s="129">
        <v>50</v>
      </c>
      <c r="M430" s="142"/>
      <c r="Y430" s="141">
        <v>15.028240740740999</v>
      </c>
      <c r="Z430" s="174"/>
    </row>
    <row r="431" spans="2:26">
      <c r="B431" s="176"/>
      <c r="C431" s="186"/>
      <c r="D431" s="172"/>
      <c r="E431" s="23">
        <v>1159</v>
      </c>
      <c r="F431" s="23">
        <f>DEMANDA_PREVISIÓN!E1163</f>
        <v>40</v>
      </c>
      <c r="G431" s="101"/>
      <c r="H431" s="23">
        <f t="shared" si="39"/>
        <v>1943</v>
      </c>
      <c r="I431" s="128">
        <v>400</v>
      </c>
      <c r="J431" s="129">
        <v>400</v>
      </c>
      <c r="K431" s="101"/>
      <c r="L431" s="129">
        <v>50</v>
      </c>
      <c r="M431" s="142"/>
      <c r="Y431" s="141">
        <v>15.037847222222499</v>
      </c>
      <c r="Z431" s="174"/>
    </row>
    <row r="432" spans="2:26">
      <c r="B432" s="176"/>
      <c r="C432" s="186"/>
      <c r="D432" s="172"/>
      <c r="E432" s="23">
        <v>1160</v>
      </c>
      <c r="F432" s="23">
        <f>DEMANDA_PREVISIÓN!E1164</f>
        <v>45</v>
      </c>
      <c r="G432" s="101"/>
      <c r="H432" s="128">
        <f>I431+H431</f>
        <v>2343</v>
      </c>
      <c r="J432" s="129">
        <v>400</v>
      </c>
      <c r="K432" s="47"/>
      <c r="L432" s="129">
        <v>50</v>
      </c>
      <c r="M432" s="142"/>
      <c r="Y432" s="141">
        <v>15.0474537037039</v>
      </c>
      <c r="Z432" s="174"/>
    </row>
    <row r="433" spans="2:26">
      <c r="B433" s="176"/>
      <c r="C433" s="186"/>
      <c r="D433" s="172"/>
      <c r="E433" s="23">
        <v>1161</v>
      </c>
      <c r="F433" s="23">
        <f>DEMANDA_PREVISIÓN!E1165</f>
        <v>34</v>
      </c>
      <c r="G433" s="101"/>
      <c r="H433" s="23">
        <f t="shared" ref="H433:H439" si="40">H432-F433</f>
        <v>2309</v>
      </c>
      <c r="I433" s="129">
        <v>400</v>
      </c>
      <c r="J433" s="129">
        <v>400</v>
      </c>
      <c r="K433" s="101"/>
      <c r="L433" s="129">
        <v>50</v>
      </c>
      <c r="M433" s="142"/>
      <c r="Y433" s="141">
        <v>15.057060185185399</v>
      </c>
      <c r="Z433" s="174"/>
    </row>
    <row r="434" spans="2:26">
      <c r="B434" s="176"/>
      <c r="C434" s="186"/>
      <c r="D434" s="172"/>
      <c r="E434" s="23">
        <v>1162</v>
      </c>
      <c r="F434" s="23">
        <f>DEMANDA_PREVISIÓN!E1166</f>
        <v>52</v>
      </c>
      <c r="G434" s="101"/>
      <c r="H434" s="23">
        <f t="shared" si="40"/>
        <v>2257</v>
      </c>
      <c r="I434" s="129">
        <v>400</v>
      </c>
      <c r="J434" s="137">
        <v>400</v>
      </c>
      <c r="K434" s="101"/>
      <c r="L434" s="137">
        <v>50</v>
      </c>
      <c r="M434" s="142"/>
      <c r="Y434" s="141">
        <v>15.066666666666899</v>
      </c>
      <c r="Z434" s="174"/>
    </row>
    <row r="435" spans="2:26">
      <c r="B435" s="176"/>
      <c r="C435" s="186"/>
      <c r="D435" s="172"/>
      <c r="E435" s="23">
        <v>1163</v>
      </c>
      <c r="F435" s="23">
        <f>DEMANDA_PREVISIÓN!E1167</f>
        <v>37</v>
      </c>
      <c r="G435" s="101"/>
      <c r="H435" s="23">
        <f t="shared" si="40"/>
        <v>2220</v>
      </c>
      <c r="I435" s="129">
        <v>400</v>
      </c>
      <c r="J435" s="137">
        <v>400</v>
      </c>
      <c r="K435" s="101"/>
      <c r="L435" s="137">
        <v>50</v>
      </c>
      <c r="M435" s="142"/>
      <c r="Y435" s="141">
        <v>15.076273148148401</v>
      </c>
      <c r="Z435" s="174"/>
    </row>
    <row r="436" spans="2:26">
      <c r="B436" s="176"/>
      <c r="C436" s="186"/>
      <c r="D436" s="172"/>
      <c r="E436" s="23">
        <v>1164</v>
      </c>
      <c r="F436" s="23">
        <f>DEMANDA_PREVISIÓN!E1168</f>
        <v>38</v>
      </c>
      <c r="G436" s="101"/>
      <c r="H436" s="23">
        <f t="shared" si="40"/>
        <v>2182</v>
      </c>
      <c r="I436" s="129">
        <v>400</v>
      </c>
      <c r="J436" s="137">
        <v>400</v>
      </c>
      <c r="K436" s="101"/>
      <c r="L436" s="137">
        <v>50</v>
      </c>
      <c r="M436" s="142"/>
      <c r="Y436" s="141">
        <v>15.0858796296299</v>
      </c>
      <c r="Z436" s="174"/>
    </row>
    <row r="437" spans="2:26">
      <c r="B437" s="176"/>
      <c r="C437" s="186"/>
      <c r="D437" s="172"/>
      <c r="E437" s="23">
        <v>1165</v>
      </c>
      <c r="F437" s="23">
        <f>DEMANDA_PREVISIÓN!E1169</f>
        <v>48</v>
      </c>
      <c r="G437" s="101"/>
      <c r="H437" s="23">
        <f t="shared" si="40"/>
        <v>2134</v>
      </c>
      <c r="I437" s="129">
        <v>400</v>
      </c>
      <c r="J437" s="137">
        <v>400</v>
      </c>
      <c r="K437" s="101"/>
      <c r="L437" s="137">
        <v>50</v>
      </c>
      <c r="M437" s="142"/>
      <c r="Y437" s="141">
        <v>15.095486111111301</v>
      </c>
      <c r="Z437" s="174"/>
    </row>
    <row r="438" spans="2:26">
      <c r="B438" s="176"/>
      <c r="C438" s="186"/>
      <c r="D438" s="172"/>
      <c r="E438" s="23">
        <v>1166</v>
      </c>
      <c r="F438" s="23">
        <f>DEMANDA_PREVISIÓN!E1170</f>
        <v>42</v>
      </c>
      <c r="G438" s="101"/>
      <c r="H438" s="23">
        <f t="shared" si="40"/>
        <v>2092</v>
      </c>
      <c r="I438" s="129">
        <v>400</v>
      </c>
      <c r="J438" s="137">
        <v>400</v>
      </c>
      <c r="K438" s="101"/>
      <c r="L438" s="137">
        <v>50</v>
      </c>
      <c r="M438" s="142"/>
      <c r="Y438" s="141">
        <v>15.105092592592801</v>
      </c>
      <c r="Z438" s="174"/>
    </row>
    <row r="439" spans="2:26">
      <c r="B439" s="176"/>
      <c r="C439" s="186"/>
      <c r="D439" s="172"/>
      <c r="E439" s="23">
        <v>1167</v>
      </c>
      <c r="F439" s="23">
        <f>DEMANDA_PREVISIÓN!E1171</f>
        <v>41</v>
      </c>
      <c r="G439" s="101"/>
      <c r="H439" s="23">
        <f t="shared" si="40"/>
        <v>2051</v>
      </c>
      <c r="I439" s="129">
        <v>400</v>
      </c>
      <c r="J439" s="137">
        <v>400</v>
      </c>
      <c r="K439" s="101"/>
      <c r="L439" s="137">
        <v>50</v>
      </c>
      <c r="M439" s="142"/>
      <c r="Y439" s="141">
        <v>15.1146990740743</v>
      </c>
      <c r="Z439" s="174"/>
    </row>
    <row r="440" spans="2:26">
      <c r="B440" s="176"/>
      <c r="C440" s="186"/>
      <c r="D440" s="172"/>
      <c r="E440" s="23">
        <v>1168</v>
      </c>
      <c r="F440" s="23">
        <f>DEMANDA_PREVISIÓN!E1172</f>
        <v>43</v>
      </c>
      <c r="G440" s="101"/>
      <c r="H440" s="129">
        <f>I439+H439</f>
        <v>2451</v>
      </c>
      <c r="I440" s="23"/>
      <c r="J440" s="137">
        <v>400</v>
      </c>
      <c r="K440" s="101"/>
      <c r="L440" s="137">
        <v>50</v>
      </c>
      <c r="M440" s="142"/>
      <c r="Y440" s="141">
        <v>15.1243055555558</v>
      </c>
      <c r="Z440" s="174"/>
    </row>
    <row r="441" spans="2:26">
      <c r="B441" s="176"/>
      <c r="C441" s="186"/>
      <c r="D441" s="172"/>
      <c r="E441" s="23">
        <v>1169</v>
      </c>
      <c r="F441" s="23">
        <f>DEMANDA_PREVISIÓN!E1173</f>
        <v>49</v>
      </c>
      <c r="G441" s="101"/>
      <c r="H441" s="23">
        <f t="shared" ref="H441:H447" si="41">H440-F441</f>
        <v>2402</v>
      </c>
      <c r="I441" s="137">
        <v>400</v>
      </c>
      <c r="J441" s="137">
        <v>400</v>
      </c>
      <c r="K441" s="101"/>
      <c r="L441" s="137">
        <v>50</v>
      </c>
      <c r="M441" s="142"/>
      <c r="Y441" s="141">
        <v>15.1339120370373</v>
      </c>
      <c r="Z441" s="174"/>
    </row>
    <row r="442" spans="2:26">
      <c r="B442" s="176"/>
      <c r="C442" s="186"/>
      <c r="D442" s="172"/>
      <c r="E442" s="23">
        <v>1170</v>
      </c>
      <c r="F442" s="23">
        <f>DEMANDA_PREVISIÓN!E1174</f>
        <v>55</v>
      </c>
      <c r="G442" s="101"/>
      <c r="H442" s="23">
        <f t="shared" si="41"/>
        <v>2347</v>
      </c>
      <c r="I442" s="137">
        <v>400</v>
      </c>
      <c r="J442" s="138">
        <v>400</v>
      </c>
      <c r="K442" s="101"/>
      <c r="L442" s="138">
        <v>50</v>
      </c>
      <c r="M442" s="142"/>
      <c r="Y442" s="141">
        <v>15.1435185185188</v>
      </c>
      <c r="Z442" s="174"/>
    </row>
    <row r="443" spans="2:26">
      <c r="B443" s="176"/>
      <c r="C443" s="186"/>
      <c r="D443" s="172"/>
      <c r="E443" s="23">
        <v>1171</v>
      </c>
      <c r="F443" s="23">
        <f>DEMANDA_PREVISIÓN!E1175</f>
        <v>51</v>
      </c>
      <c r="G443" s="101"/>
      <c r="H443" s="23">
        <f t="shared" si="41"/>
        <v>2296</v>
      </c>
      <c r="I443" s="137">
        <v>400</v>
      </c>
      <c r="J443" s="138">
        <v>400</v>
      </c>
      <c r="K443" s="101"/>
      <c r="L443" s="138">
        <v>50</v>
      </c>
      <c r="M443" s="142"/>
      <c r="Y443" s="141">
        <v>15.1531250000002</v>
      </c>
      <c r="Z443" s="174"/>
    </row>
    <row r="444" spans="2:26">
      <c r="B444" s="176"/>
      <c r="C444" s="186"/>
      <c r="D444" s="172"/>
      <c r="E444" s="23">
        <v>1172</v>
      </c>
      <c r="F444" s="23">
        <f>DEMANDA_PREVISIÓN!E1176</f>
        <v>44</v>
      </c>
      <c r="G444" s="101"/>
      <c r="H444" s="23">
        <f t="shared" si="41"/>
        <v>2252</v>
      </c>
      <c r="I444" s="137">
        <v>400</v>
      </c>
      <c r="J444" s="138">
        <v>400</v>
      </c>
      <c r="K444" s="101"/>
      <c r="L444" s="138">
        <v>50</v>
      </c>
      <c r="M444" s="142"/>
      <c r="Y444" s="141">
        <v>15.1627314814817</v>
      </c>
      <c r="Z444" s="174"/>
    </row>
    <row r="445" spans="2:26">
      <c r="B445" s="176"/>
      <c r="C445" s="186"/>
      <c r="D445" s="172"/>
      <c r="E445" s="23">
        <v>1173</v>
      </c>
      <c r="F445" s="23">
        <f>DEMANDA_PREVISIÓN!E1177</f>
        <v>41</v>
      </c>
      <c r="G445" s="101"/>
      <c r="H445" s="23">
        <f t="shared" si="41"/>
        <v>2211</v>
      </c>
      <c r="I445" s="137">
        <v>400</v>
      </c>
      <c r="J445" s="138">
        <v>400</v>
      </c>
      <c r="K445" s="101"/>
      <c r="L445" s="138">
        <v>50</v>
      </c>
      <c r="M445" s="142"/>
      <c r="Y445" s="141">
        <v>15.1723379629632</v>
      </c>
      <c r="Z445" s="174"/>
    </row>
    <row r="446" spans="2:26">
      <c r="B446" s="176"/>
      <c r="C446" s="186"/>
      <c r="D446" s="172"/>
      <c r="E446" s="23">
        <v>1174</v>
      </c>
      <c r="F446" s="23">
        <f>DEMANDA_PREVISIÓN!E1178</f>
        <v>39</v>
      </c>
      <c r="G446" s="101"/>
      <c r="H446" s="23">
        <f t="shared" si="41"/>
        <v>2172</v>
      </c>
      <c r="I446" s="137">
        <v>400</v>
      </c>
      <c r="J446" s="138">
        <v>400</v>
      </c>
      <c r="K446" s="101"/>
      <c r="L446" s="138">
        <v>50</v>
      </c>
      <c r="M446" s="142"/>
      <c r="Y446" s="141">
        <v>15.181944444444699</v>
      </c>
      <c r="Z446" s="174"/>
    </row>
    <row r="447" spans="2:26">
      <c r="B447" s="176"/>
      <c r="C447" s="186"/>
      <c r="D447" s="172"/>
      <c r="E447" s="23">
        <v>1175</v>
      </c>
      <c r="F447" s="23">
        <f>DEMANDA_PREVISIÓN!E1179</f>
        <v>45</v>
      </c>
      <c r="G447" s="101"/>
      <c r="H447" s="23">
        <f t="shared" si="41"/>
        <v>2127</v>
      </c>
      <c r="I447" s="137">
        <v>400</v>
      </c>
      <c r="J447" s="138">
        <v>400</v>
      </c>
      <c r="K447" s="101"/>
      <c r="L447" s="138">
        <v>50</v>
      </c>
      <c r="M447" s="142"/>
      <c r="Y447" s="141">
        <v>15.191550925926199</v>
      </c>
      <c r="Z447" s="174"/>
    </row>
    <row r="448" spans="2:26">
      <c r="B448" s="176"/>
      <c r="C448" s="186"/>
      <c r="D448" s="172"/>
      <c r="E448" s="23">
        <v>1176</v>
      </c>
      <c r="F448" s="23">
        <f>DEMANDA_PREVISIÓN!E1180</f>
        <v>40</v>
      </c>
      <c r="G448" s="101"/>
      <c r="H448" s="137">
        <f>I447+H447</f>
        <v>2527</v>
      </c>
      <c r="I448" s="23"/>
      <c r="J448" s="138">
        <v>400</v>
      </c>
      <c r="K448" s="101"/>
      <c r="L448" s="138">
        <v>50</v>
      </c>
      <c r="M448" s="142"/>
      <c r="Y448" s="141">
        <v>15.201157407407599</v>
      </c>
      <c r="Z448" s="174"/>
    </row>
    <row r="449" spans="2:26">
      <c r="B449" s="176"/>
      <c r="C449" s="186"/>
      <c r="D449" s="172"/>
      <c r="E449" s="23">
        <v>1177</v>
      </c>
      <c r="F449" s="23">
        <f>DEMANDA_PREVISIÓN!E1181</f>
        <v>53</v>
      </c>
      <c r="G449" s="101"/>
      <c r="H449" s="23">
        <f t="shared" ref="H449:H455" si="42">H448-F449</f>
        <v>2474</v>
      </c>
      <c r="I449" s="138">
        <v>400</v>
      </c>
      <c r="J449" s="138">
        <v>400</v>
      </c>
      <c r="K449" s="101"/>
      <c r="L449" s="138">
        <v>50</v>
      </c>
      <c r="M449" s="142"/>
      <c r="Y449" s="141">
        <v>15.210763888889099</v>
      </c>
      <c r="Z449" s="174"/>
    </row>
    <row r="450" spans="2:26">
      <c r="B450" s="176"/>
      <c r="C450" s="186"/>
      <c r="D450" s="172"/>
      <c r="E450" s="23">
        <v>1178</v>
      </c>
      <c r="F450" s="23">
        <f>DEMANDA_PREVISIÓN!E1182</f>
        <v>47</v>
      </c>
      <c r="G450" s="101"/>
      <c r="H450" s="23">
        <f t="shared" si="42"/>
        <v>2427</v>
      </c>
      <c r="I450" s="138">
        <v>400</v>
      </c>
      <c r="J450" s="134">
        <v>400</v>
      </c>
      <c r="K450" s="101"/>
      <c r="L450" s="134">
        <v>50</v>
      </c>
      <c r="M450" s="142"/>
      <c r="Y450" s="141">
        <v>15.220370370370601</v>
      </c>
      <c r="Z450" s="174"/>
    </row>
    <row r="451" spans="2:26">
      <c r="B451" s="176"/>
      <c r="C451" s="186"/>
      <c r="D451" s="172"/>
      <c r="E451" s="23">
        <v>1179</v>
      </c>
      <c r="F451" s="23">
        <f>DEMANDA_PREVISIÓN!E1183</f>
        <v>44</v>
      </c>
      <c r="G451" s="101"/>
      <c r="H451" s="23">
        <f t="shared" si="42"/>
        <v>2383</v>
      </c>
      <c r="I451" s="138">
        <v>400</v>
      </c>
      <c r="J451" s="134">
        <v>400</v>
      </c>
      <c r="K451" s="101"/>
      <c r="L451" s="134">
        <v>50</v>
      </c>
      <c r="M451" s="142"/>
      <c r="Y451" s="141">
        <v>15.229976851852101</v>
      </c>
      <c r="Z451" s="174"/>
    </row>
    <row r="452" spans="2:26">
      <c r="B452" s="176"/>
      <c r="C452" s="186"/>
      <c r="D452" s="172"/>
      <c r="E452" s="23">
        <v>1180</v>
      </c>
      <c r="F452" s="23">
        <f>DEMANDA_PREVISIÓN!E1184</f>
        <v>57</v>
      </c>
      <c r="G452" s="101"/>
      <c r="H452" s="23">
        <f t="shared" si="42"/>
        <v>2326</v>
      </c>
      <c r="I452" s="138">
        <v>400</v>
      </c>
      <c r="J452" s="134">
        <v>400</v>
      </c>
      <c r="K452" s="101"/>
      <c r="L452" s="134">
        <v>50</v>
      </c>
      <c r="M452" s="142"/>
      <c r="Y452" s="141">
        <v>15.2395833333336</v>
      </c>
      <c r="Z452" s="174"/>
    </row>
    <row r="453" spans="2:26">
      <c r="B453" s="176"/>
      <c r="C453" s="186"/>
      <c r="D453" s="172"/>
      <c r="E453" s="23">
        <v>1181</v>
      </c>
      <c r="F453" s="23">
        <f>DEMANDA_PREVISIÓN!E1185</f>
        <v>46</v>
      </c>
      <c r="G453" s="101"/>
      <c r="H453" s="23">
        <f t="shared" si="42"/>
        <v>2280</v>
      </c>
      <c r="I453" s="138">
        <v>400</v>
      </c>
      <c r="J453" s="134">
        <v>400</v>
      </c>
      <c r="K453" s="101"/>
      <c r="L453" s="134">
        <v>50</v>
      </c>
      <c r="M453" s="142"/>
      <c r="Y453" s="141">
        <v>15.2491898148151</v>
      </c>
      <c r="Z453" s="174"/>
    </row>
    <row r="454" spans="2:26">
      <c r="B454" s="176"/>
      <c r="C454" s="186"/>
      <c r="D454" s="172"/>
      <c r="E454" s="23">
        <v>1182</v>
      </c>
      <c r="F454" s="23">
        <f>DEMANDA_PREVISIÓN!E1186</f>
        <v>50</v>
      </c>
      <c r="G454" s="101"/>
      <c r="H454" s="23">
        <f t="shared" si="42"/>
        <v>2230</v>
      </c>
      <c r="I454" s="138">
        <v>400</v>
      </c>
      <c r="J454" s="134">
        <v>400</v>
      </c>
      <c r="K454" s="101"/>
      <c r="L454" s="134">
        <v>50</v>
      </c>
      <c r="M454" s="142"/>
      <c r="Y454" s="141">
        <v>15.2587962962965</v>
      </c>
      <c r="Z454" s="174"/>
    </row>
    <row r="455" spans="2:26">
      <c r="B455" s="176"/>
      <c r="C455" s="186"/>
      <c r="D455" s="172"/>
      <c r="E455" s="23">
        <v>1183</v>
      </c>
      <c r="F455" s="23">
        <f>DEMANDA_PREVISIÓN!E1187</f>
        <v>43</v>
      </c>
      <c r="G455" s="101"/>
      <c r="H455" s="23">
        <f t="shared" si="42"/>
        <v>2187</v>
      </c>
      <c r="I455" s="138">
        <v>400</v>
      </c>
      <c r="J455" s="134">
        <v>400</v>
      </c>
      <c r="K455" s="101"/>
      <c r="L455" s="134">
        <v>50</v>
      </c>
      <c r="M455" s="142"/>
      <c r="Y455" s="141">
        <v>15.268402777778</v>
      </c>
      <c r="Z455" s="174"/>
    </row>
    <row r="456" spans="2:26">
      <c r="B456" s="176"/>
      <c r="C456" s="186"/>
      <c r="D456" s="172"/>
      <c r="E456" s="23">
        <v>1184</v>
      </c>
      <c r="F456" s="23">
        <f>DEMANDA_PREVISIÓN!E1188</f>
        <v>47</v>
      </c>
      <c r="G456" s="101"/>
      <c r="H456" s="138">
        <f>I455+H455</f>
        <v>2587</v>
      </c>
      <c r="I456" s="23"/>
      <c r="J456" s="134">
        <v>400</v>
      </c>
      <c r="K456" s="101"/>
      <c r="L456" s="134">
        <v>50</v>
      </c>
      <c r="M456" s="142"/>
      <c r="Y456" s="141">
        <v>15.2780092592595</v>
      </c>
      <c r="Z456" s="174"/>
    </row>
    <row r="457" spans="2:26">
      <c r="B457" s="176"/>
      <c r="C457" s="186"/>
      <c r="D457" s="173"/>
      <c r="E457" s="23">
        <v>1185</v>
      </c>
      <c r="F457" s="23">
        <f>DEMANDA_PREVISIÓN!E1189</f>
        <v>45</v>
      </c>
      <c r="G457" s="101"/>
      <c r="H457" s="23">
        <f t="shared" ref="H457:H463" si="43">H456-F457</f>
        <v>2542</v>
      </c>
      <c r="I457" s="134">
        <v>400</v>
      </c>
      <c r="J457" s="134">
        <v>400</v>
      </c>
      <c r="K457" s="101"/>
      <c r="L457" s="134">
        <v>50</v>
      </c>
      <c r="M457" s="142"/>
      <c r="Y457" s="141">
        <v>15.287615740741</v>
      </c>
      <c r="Z457" s="174"/>
    </row>
    <row r="458" spans="2:26">
      <c r="B458" s="176"/>
      <c r="C458" s="186" t="s">
        <v>44</v>
      </c>
      <c r="D458" s="171" t="s">
        <v>45</v>
      </c>
      <c r="E458" s="23">
        <v>1186</v>
      </c>
      <c r="F458" s="23">
        <f>DEMANDA_PREVISIÓN!E1190</f>
        <v>43</v>
      </c>
      <c r="G458" s="101"/>
      <c r="H458" s="23">
        <f t="shared" si="43"/>
        <v>2499</v>
      </c>
      <c r="I458" s="134">
        <v>400</v>
      </c>
      <c r="J458" s="128">
        <v>400</v>
      </c>
      <c r="K458" s="101"/>
      <c r="L458" s="128">
        <v>50</v>
      </c>
      <c r="M458" s="142"/>
      <c r="Y458" s="141">
        <v>15.2972222222225</v>
      </c>
      <c r="Z458" s="174"/>
    </row>
    <row r="459" spans="2:26">
      <c r="B459" s="176"/>
      <c r="C459" s="186"/>
      <c r="D459" s="172"/>
      <c r="E459" s="23">
        <v>1187</v>
      </c>
      <c r="F459" s="23">
        <f>DEMANDA_PREVISIÓN!E1191</f>
        <v>50</v>
      </c>
      <c r="G459" s="101"/>
      <c r="H459" s="23">
        <f t="shared" si="43"/>
        <v>2449</v>
      </c>
      <c r="I459" s="134">
        <v>400</v>
      </c>
      <c r="J459" s="128">
        <v>400</v>
      </c>
      <c r="K459" s="101"/>
      <c r="L459" s="128">
        <v>50</v>
      </c>
      <c r="M459" s="142"/>
      <c r="Y459" s="141">
        <v>15.3068287037039</v>
      </c>
      <c r="Z459" s="174"/>
    </row>
    <row r="460" spans="2:26">
      <c r="B460" s="176"/>
      <c r="C460" s="186"/>
      <c r="D460" s="172"/>
      <c r="E460" s="23">
        <v>1188</v>
      </c>
      <c r="F460" s="23">
        <f>DEMANDA_PREVISIÓN!E1192</f>
        <v>44</v>
      </c>
      <c r="G460" s="101"/>
      <c r="H460" s="23">
        <f t="shared" si="43"/>
        <v>2405</v>
      </c>
      <c r="I460" s="134">
        <v>400</v>
      </c>
      <c r="J460" s="128">
        <v>400</v>
      </c>
      <c r="K460" s="101"/>
      <c r="L460" s="128">
        <v>50</v>
      </c>
      <c r="M460" s="142"/>
      <c r="Y460" s="141">
        <v>15.3164351851854</v>
      </c>
      <c r="Z460" s="174"/>
    </row>
    <row r="461" spans="2:26">
      <c r="B461" s="176"/>
      <c r="C461" s="186"/>
      <c r="D461" s="172"/>
      <c r="E461" s="23">
        <v>1189</v>
      </c>
      <c r="F461" s="23">
        <f>DEMANDA_PREVISIÓN!E1193</f>
        <v>30</v>
      </c>
      <c r="G461" s="101"/>
      <c r="H461" s="23">
        <f t="shared" si="43"/>
        <v>2375</v>
      </c>
      <c r="I461" s="134">
        <v>400</v>
      </c>
      <c r="J461" s="128">
        <v>400</v>
      </c>
      <c r="K461" s="101"/>
      <c r="L461" s="128">
        <v>50</v>
      </c>
      <c r="M461" s="142"/>
      <c r="Y461" s="141">
        <v>15.326041666666899</v>
      </c>
      <c r="Z461" s="174"/>
    </row>
    <row r="462" spans="2:26">
      <c r="B462" s="176"/>
      <c r="C462" s="186"/>
      <c r="D462" s="172"/>
      <c r="E462" s="23">
        <v>1190</v>
      </c>
      <c r="F462" s="23">
        <f>DEMANDA_PREVISIÓN!E1194</f>
        <v>33</v>
      </c>
      <c r="G462" s="101"/>
      <c r="H462" s="23">
        <f t="shared" si="43"/>
        <v>2342</v>
      </c>
      <c r="I462" s="134">
        <v>400</v>
      </c>
      <c r="J462" s="128">
        <v>400</v>
      </c>
      <c r="K462" s="101"/>
      <c r="L462" s="128">
        <v>50</v>
      </c>
      <c r="M462" s="142"/>
      <c r="Y462" s="141">
        <v>15.335648148148399</v>
      </c>
      <c r="Z462" s="174"/>
    </row>
    <row r="463" spans="2:26">
      <c r="B463" s="176"/>
      <c r="C463" s="186"/>
      <c r="D463" s="172"/>
      <c r="E463" s="23">
        <v>1191</v>
      </c>
      <c r="F463" s="23">
        <f>DEMANDA_PREVISIÓN!E1195</f>
        <v>36</v>
      </c>
      <c r="G463" s="101"/>
      <c r="H463" s="23">
        <f t="shared" si="43"/>
        <v>2306</v>
      </c>
      <c r="I463" s="134">
        <v>400</v>
      </c>
      <c r="J463" s="128">
        <v>400</v>
      </c>
      <c r="K463" s="101"/>
      <c r="L463" s="128">
        <v>50</v>
      </c>
      <c r="M463" s="142"/>
      <c r="Y463" s="141">
        <v>15.345254629629901</v>
      </c>
      <c r="Z463" s="174"/>
    </row>
    <row r="464" spans="2:26">
      <c r="B464" s="176"/>
      <c r="C464" s="186"/>
      <c r="D464" s="172"/>
      <c r="E464" s="23">
        <v>1192</v>
      </c>
      <c r="F464" s="23">
        <f>DEMANDA_PREVISIÓN!E1196</f>
        <v>52</v>
      </c>
      <c r="G464" s="101"/>
      <c r="H464" s="134">
        <f>I463+H463</f>
        <v>2706</v>
      </c>
      <c r="I464" s="23"/>
      <c r="J464" s="128">
        <v>400</v>
      </c>
      <c r="K464" s="101"/>
      <c r="L464" s="128">
        <v>50</v>
      </c>
      <c r="M464" s="142"/>
      <c r="Y464" s="141">
        <v>15.354861111111401</v>
      </c>
      <c r="Z464" s="174"/>
    </row>
    <row r="465" spans="2:26">
      <c r="B465" s="176"/>
      <c r="C465" s="186"/>
      <c r="D465" s="172"/>
      <c r="E465" s="23">
        <v>1193</v>
      </c>
      <c r="F465" s="23">
        <f>DEMANDA_PREVISIÓN!E1197</f>
        <v>45</v>
      </c>
      <c r="G465" s="101"/>
      <c r="H465" s="23">
        <f>H464-F465</f>
        <v>2661</v>
      </c>
      <c r="I465" s="128">
        <v>400</v>
      </c>
      <c r="J465" s="128">
        <v>400</v>
      </c>
      <c r="K465" s="101"/>
      <c r="L465" s="128">
        <v>50</v>
      </c>
      <c r="M465" s="142"/>
      <c r="Y465" s="141">
        <v>15.364467592592799</v>
      </c>
      <c r="Z465" s="174"/>
    </row>
    <row r="466" spans="2:26">
      <c r="B466" s="176"/>
      <c r="C466" s="186"/>
      <c r="D466" s="172"/>
      <c r="E466" s="23">
        <v>1194</v>
      </c>
      <c r="F466" s="23">
        <f>DEMANDA_PREVISIÓN!E1198</f>
        <v>41</v>
      </c>
      <c r="G466" s="101"/>
      <c r="H466" s="23">
        <f>H465-F466</f>
        <v>2620</v>
      </c>
      <c r="I466" s="128">
        <v>400</v>
      </c>
      <c r="J466" s="129">
        <v>400</v>
      </c>
      <c r="K466" s="101"/>
      <c r="L466" s="129">
        <v>50</v>
      </c>
      <c r="M466" s="142"/>
      <c r="Y466" s="141">
        <v>15.374074074074301</v>
      </c>
      <c r="Z466" s="174"/>
    </row>
    <row r="467" spans="2:26">
      <c r="B467" s="176"/>
      <c r="C467" s="186"/>
      <c r="D467" s="172"/>
      <c r="E467" s="23">
        <v>1195</v>
      </c>
      <c r="F467" s="23">
        <f>DEMANDA_PREVISIÓN!E1199</f>
        <v>47</v>
      </c>
      <c r="G467" s="101"/>
      <c r="H467" s="23">
        <f>H466-F467</f>
        <v>2573</v>
      </c>
      <c r="I467" s="128">
        <v>400</v>
      </c>
      <c r="J467" s="129">
        <v>400</v>
      </c>
      <c r="K467" s="101"/>
      <c r="L467" s="129">
        <v>50</v>
      </c>
      <c r="M467" s="142"/>
      <c r="Y467" s="141">
        <v>15.3836805555558</v>
      </c>
      <c r="Z467" s="174"/>
    </row>
    <row r="468" spans="2:26">
      <c r="B468" s="176"/>
      <c r="C468" s="186"/>
      <c r="D468" s="172"/>
      <c r="E468" s="23">
        <v>1196</v>
      </c>
      <c r="F468" s="23">
        <f>DEMANDA_PREVISIÓN!E1200</f>
        <v>31</v>
      </c>
      <c r="G468" s="101"/>
      <c r="H468" s="23">
        <f>H467-F468</f>
        <v>2542</v>
      </c>
      <c r="I468" s="128">
        <v>400</v>
      </c>
      <c r="J468" s="129">
        <v>400</v>
      </c>
      <c r="K468" s="101"/>
      <c r="L468" s="129">
        <v>50</v>
      </c>
      <c r="M468" s="142"/>
      <c r="Y468" s="141">
        <v>15.3932870370373</v>
      </c>
      <c r="Z468" s="174"/>
    </row>
    <row r="469" spans="2:26">
      <c r="B469" s="176"/>
      <c r="C469" s="186"/>
      <c r="D469" s="172"/>
      <c r="E469" s="23">
        <v>1197</v>
      </c>
      <c r="F469" s="23">
        <f>DEMANDA_PREVISIÓN!E1201</f>
        <v>45</v>
      </c>
      <c r="G469" s="101"/>
      <c r="H469" s="23">
        <f t="shared" ref="H469:H471" si="44">H468-F469</f>
        <v>2497</v>
      </c>
      <c r="I469" s="128">
        <v>400</v>
      </c>
      <c r="J469" s="129">
        <v>400</v>
      </c>
      <c r="K469" s="101"/>
      <c r="L469" s="129">
        <v>50</v>
      </c>
      <c r="M469" s="142"/>
      <c r="R469" s="185" t="s">
        <v>58</v>
      </c>
      <c r="S469" s="185"/>
      <c r="T469" s="185"/>
      <c r="U469" s="185"/>
      <c r="V469" s="185"/>
      <c r="W469" s="185"/>
      <c r="Y469" s="141">
        <v>15.4028935185188</v>
      </c>
      <c r="Z469" s="174"/>
    </row>
    <row r="470" spans="2:26" ht="15.75" thickBot="1">
      <c r="B470" s="176"/>
      <c r="C470" s="186"/>
      <c r="D470" s="172"/>
      <c r="E470" s="23">
        <v>1198</v>
      </c>
      <c r="F470" s="23">
        <f>DEMANDA_PREVISIÓN!E1202</f>
        <v>44</v>
      </c>
      <c r="G470" s="101"/>
      <c r="H470" s="23">
        <f t="shared" si="44"/>
        <v>2453</v>
      </c>
      <c r="I470" s="128">
        <v>400</v>
      </c>
      <c r="J470" s="129">
        <v>400</v>
      </c>
      <c r="K470" s="101"/>
      <c r="L470" s="129">
        <v>50</v>
      </c>
      <c r="M470" s="142"/>
      <c r="Y470" s="141">
        <v>15.4125000000003</v>
      </c>
      <c r="Z470" s="174"/>
    </row>
    <row r="471" spans="2:26">
      <c r="B471" s="176"/>
      <c r="C471" s="186"/>
      <c r="D471" s="172"/>
      <c r="E471" s="23">
        <v>1199</v>
      </c>
      <c r="F471" s="23">
        <f>DEMANDA_PREVISIÓN!E1203</f>
        <v>48</v>
      </c>
      <c r="G471" s="101"/>
      <c r="H471" s="23">
        <f t="shared" si="44"/>
        <v>2405</v>
      </c>
      <c r="I471" s="128">
        <v>400</v>
      </c>
      <c r="J471" s="129">
        <v>400</v>
      </c>
      <c r="K471" s="101"/>
      <c r="L471" s="129">
        <v>50</v>
      </c>
      <c r="M471" s="142"/>
      <c r="R471" s="23">
        <v>1199</v>
      </c>
      <c r="S471" s="23"/>
      <c r="T471" s="101"/>
      <c r="U471" s="151" t="s">
        <v>6</v>
      </c>
      <c r="V471" s="95" t="s">
        <v>7</v>
      </c>
      <c r="W471" s="152" t="s">
        <v>8</v>
      </c>
      <c r="Y471" s="141">
        <v>15.4221064814817</v>
      </c>
      <c r="Z471" s="174"/>
    </row>
    <row r="472" spans="2:26">
      <c r="B472" s="176"/>
      <c r="C472" s="186"/>
      <c r="D472" s="172"/>
      <c r="E472" s="23">
        <v>1200</v>
      </c>
      <c r="F472" s="23">
        <f>DEMANDA_PREVISIÓN!E1204</f>
        <v>51</v>
      </c>
      <c r="G472" s="101"/>
      <c r="H472" s="128">
        <f>I471+H471</f>
        <v>2805</v>
      </c>
      <c r="J472" s="129">
        <v>400</v>
      </c>
      <c r="K472" s="47"/>
      <c r="L472" s="129">
        <v>50</v>
      </c>
      <c r="M472" s="142"/>
      <c r="R472" s="23">
        <v>1200</v>
      </c>
      <c r="S472" s="23"/>
      <c r="T472" s="101"/>
      <c r="U472" s="23"/>
      <c r="V472" s="23"/>
      <c r="W472" s="23"/>
      <c r="Y472" s="141">
        <v>15.4317129629632</v>
      </c>
      <c r="Z472" s="174"/>
    </row>
    <row r="473" spans="2:26">
      <c r="B473" s="176"/>
      <c r="C473" s="186"/>
      <c r="D473" s="172"/>
      <c r="E473" s="23">
        <v>1201</v>
      </c>
      <c r="F473" s="23">
        <f>DEMANDA_PREVISIÓN!E1205</f>
        <v>50</v>
      </c>
      <c r="G473" s="101"/>
      <c r="H473" s="23">
        <f t="shared" ref="H473:H479" si="45">H472-F473</f>
        <v>2755</v>
      </c>
      <c r="I473" s="129">
        <v>400</v>
      </c>
      <c r="J473" s="129">
        <v>400</v>
      </c>
      <c r="K473" s="101"/>
      <c r="L473" s="129">
        <v>50</v>
      </c>
      <c r="M473" s="142"/>
      <c r="R473" s="23">
        <v>1201</v>
      </c>
      <c r="S473" s="23"/>
      <c r="T473" s="101"/>
      <c r="U473" s="23"/>
      <c r="V473" s="23"/>
      <c r="W473" s="23"/>
      <c r="Y473" s="141">
        <v>15.4413194444447</v>
      </c>
      <c r="Z473" s="174"/>
    </row>
    <row r="474" spans="2:26">
      <c r="B474" s="176"/>
      <c r="C474" s="186"/>
      <c r="D474" s="172"/>
      <c r="E474" s="23">
        <v>1202</v>
      </c>
      <c r="F474" s="23">
        <f>DEMANDA_PREVISIÓN!E1206</f>
        <v>42</v>
      </c>
      <c r="G474" s="101"/>
      <c r="H474" s="23">
        <f t="shared" si="45"/>
        <v>2713</v>
      </c>
      <c r="I474" s="129">
        <v>400</v>
      </c>
      <c r="J474" s="137">
        <v>400</v>
      </c>
      <c r="K474" s="101"/>
      <c r="L474" s="137">
        <v>50</v>
      </c>
      <c r="M474" s="142"/>
      <c r="R474" s="23">
        <v>1202</v>
      </c>
      <c r="S474" s="23"/>
      <c r="T474" s="101"/>
      <c r="U474" s="4"/>
      <c r="V474" s="23"/>
      <c r="W474" s="137">
        <v>400</v>
      </c>
      <c r="Y474" s="141">
        <v>15.4509259259262</v>
      </c>
      <c r="Z474" s="174"/>
    </row>
    <row r="475" spans="2:26">
      <c r="B475" s="176"/>
      <c r="C475" s="186"/>
      <c r="D475" s="172"/>
      <c r="E475" s="23">
        <v>1203</v>
      </c>
      <c r="F475" s="23">
        <f>DEMANDA_PREVISIÓN!E1207</f>
        <v>37</v>
      </c>
      <c r="G475" s="101"/>
      <c r="H475" s="23">
        <f t="shared" si="45"/>
        <v>2676</v>
      </c>
      <c r="I475" s="129">
        <v>400</v>
      </c>
      <c r="J475" s="137">
        <v>400</v>
      </c>
      <c r="K475" s="101"/>
      <c r="L475" s="137">
        <v>50</v>
      </c>
      <c r="M475" s="142"/>
      <c r="R475" s="23">
        <v>1203</v>
      </c>
      <c r="S475" s="23"/>
      <c r="T475" s="101"/>
      <c r="U475" s="23"/>
      <c r="V475" s="23"/>
      <c r="W475" s="137">
        <v>400</v>
      </c>
      <c r="Y475" s="141">
        <v>15.460532407407699</v>
      </c>
      <c r="Z475" s="174"/>
    </row>
    <row r="476" spans="2:26">
      <c r="B476" s="176"/>
      <c r="C476" s="186"/>
      <c r="D476" s="172"/>
      <c r="E476" s="23">
        <v>1204</v>
      </c>
      <c r="F476" s="23">
        <f>DEMANDA_PREVISIÓN!E1208</f>
        <v>46</v>
      </c>
      <c r="G476" s="101"/>
      <c r="H476" s="23">
        <f t="shared" si="45"/>
        <v>2630</v>
      </c>
      <c r="I476" s="129">
        <v>400</v>
      </c>
      <c r="J476" s="137">
        <v>400</v>
      </c>
      <c r="K476" s="101"/>
      <c r="L476" s="137">
        <v>50</v>
      </c>
      <c r="M476" s="142"/>
      <c r="R476" s="23">
        <v>1204</v>
      </c>
      <c r="S476" s="23"/>
      <c r="T476" s="101"/>
      <c r="U476" s="23"/>
      <c r="V476" s="4"/>
      <c r="W476" s="137">
        <v>400</v>
      </c>
      <c r="Y476" s="141">
        <v>15.4701388888891</v>
      </c>
      <c r="Z476" s="174"/>
    </row>
    <row r="477" spans="2:26">
      <c r="B477" s="176"/>
      <c r="C477" s="186"/>
      <c r="D477" s="172"/>
      <c r="E477" s="23">
        <v>1205</v>
      </c>
      <c r="F477" s="23">
        <f>DEMANDA_PREVISIÓN!E1209</f>
        <v>41</v>
      </c>
      <c r="G477" s="101"/>
      <c r="H477" s="23">
        <f t="shared" si="45"/>
        <v>2589</v>
      </c>
      <c r="I477" s="129">
        <v>400</v>
      </c>
      <c r="J477" s="137">
        <v>400</v>
      </c>
      <c r="K477" s="101"/>
      <c r="L477" s="137">
        <v>50</v>
      </c>
      <c r="M477" s="142"/>
      <c r="R477" s="23">
        <v>1205</v>
      </c>
      <c r="S477" s="23"/>
      <c r="T477" s="101"/>
      <c r="U477" s="23"/>
      <c r="V477" s="23"/>
      <c r="W477" s="137">
        <v>400</v>
      </c>
      <c r="Y477" s="141">
        <v>15.479745370370599</v>
      </c>
      <c r="Z477" s="174"/>
    </row>
    <row r="478" spans="2:26">
      <c r="B478" s="176"/>
      <c r="C478" s="186"/>
      <c r="D478" s="172"/>
      <c r="E478" s="23">
        <v>1206</v>
      </c>
      <c r="F478" s="23">
        <f>DEMANDA_PREVISIÓN!E1210</f>
        <v>40</v>
      </c>
      <c r="G478" s="101"/>
      <c r="H478" s="23">
        <f t="shared" si="45"/>
        <v>2549</v>
      </c>
      <c r="I478" s="129">
        <v>400</v>
      </c>
      <c r="J478" s="137">
        <v>400</v>
      </c>
      <c r="K478" s="101"/>
      <c r="L478" s="137">
        <v>50</v>
      </c>
      <c r="M478" s="142"/>
      <c r="R478" s="23">
        <v>1206</v>
      </c>
      <c r="S478" s="23"/>
      <c r="T478" s="101"/>
      <c r="U478" s="4"/>
      <c r="V478" s="4"/>
      <c r="W478" s="137">
        <v>400</v>
      </c>
      <c r="Y478" s="141">
        <v>15.489351851852099</v>
      </c>
      <c r="Z478" s="174"/>
    </row>
    <row r="479" spans="2:26">
      <c r="B479" s="176"/>
      <c r="C479" s="186"/>
      <c r="D479" s="172"/>
      <c r="E479" s="23">
        <v>1207</v>
      </c>
      <c r="F479" s="23">
        <f>DEMANDA_PREVISIÓN!E1211</f>
        <v>46</v>
      </c>
      <c r="G479" s="101"/>
      <c r="H479" s="23">
        <f t="shared" si="45"/>
        <v>2503</v>
      </c>
      <c r="I479" s="129">
        <v>400</v>
      </c>
      <c r="J479" s="137">
        <v>400</v>
      </c>
      <c r="K479" s="101"/>
      <c r="L479" s="137">
        <v>50</v>
      </c>
      <c r="M479" s="142"/>
      <c r="R479" s="23">
        <v>1207</v>
      </c>
      <c r="S479" s="23"/>
      <c r="T479" s="101"/>
      <c r="U479" s="23"/>
      <c r="V479" s="4"/>
      <c r="W479" s="137">
        <v>400</v>
      </c>
      <c r="Y479" s="141">
        <v>15.498958333333601</v>
      </c>
      <c r="Z479" s="174"/>
    </row>
    <row r="480" spans="2:26">
      <c r="B480" s="176"/>
      <c r="C480" s="186"/>
      <c r="D480" s="172"/>
      <c r="E480" s="23">
        <v>1208</v>
      </c>
      <c r="F480" s="23">
        <f>DEMANDA_PREVISIÓN!E1212</f>
        <v>42</v>
      </c>
      <c r="G480" s="101"/>
      <c r="H480" s="129">
        <f>I479+H479</f>
        <v>2903</v>
      </c>
      <c r="I480" s="23"/>
      <c r="J480" s="137">
        <v>400</v>
      </c>
      <c r="K480" s="101"/>
      <c r="L480" s="137">
        <v>50</v>
      </c>
      <c r="M480" s="142"/>
      <c r="R480" s="23">
        <v>1208</v>
      </c>
      <c r="S480" s="23"/>
      <c r="T480" s="101"/>
      <c r="U480" s="4"/>
      <c r="V480" s="4"/>
      <c r="W480" s="137">
        <v>400</v>
      </c>
      <c r="Y480" s="141">
        <v>15.508564814815101</v>
      </c>
      <c r="Z480" s="174"/>
    </row>
    <row r="481" spans="2:26">
      <c r="B481" s="176"/>
      <c r="C481" s="186"/>
      <c r="D481" s="172"/>
      <c r="E481" s="23">
        <v>1209</v>
      </c>
      <c r="F481" s="23">
        <f>DEMANDA_PREVISIÓN!E1213</f>
        <v>54</v>
      </c>
      <c r="G481" s="101"/>
      <c r="H481" s="23">
        <f t="shared" ref="H481:H487" si="46">H480-F481</f>
        <v>2849</v>
      </c>
      <c r="I481" s="137">
        <v>400</v>
      </c>
      <c r="J481" s="137">
        <v>400</v>
      </c>
      <c r="K481" s="101"/>
      <c r="L481" s="137">
        <v>50</v>
      </c>
      <c r="M481" s="142"/>
      <c r="R481" s="23">
        <v>1209</v>
      </c>
      <c r="S481" s="23"/>
      <c r="T481" s="101"/>
      <c r="U481" s="23"/>
      <c r="W481" s="137">
        <v>400</v>
      </c>
      <c r="Y481" s="141">
        <v>15.5181712962966</v>
      </c>
      <c r="Z481" s="174"/>
    </row>
    <row r="482" spans="2:26">
      <c r="B482" s="176"/>
      <c r="C482" s="186"/>
      <c r="D482" s="172"/>
      <c r="E482" s="23">
        <v>1210</v>
      </c>
      <c r="F482" s="23">
        <f>DEMANDA_PREVISIÓN!E1214</f>
        <v>43</v>
      </c>
      <c r="G482" s="101"/>
      <c r="H482" s="23">
        <f t="shared" si="46"/>
        <v>2806</v>
      </c>
      <c r="I482" s="137">
        <v>400</v>
      </c>
      <c r="J482" s="138">
        <v>400</v>
      </c>
      <c r="K482" s="101"/>
      <c r="L482" s="138">
        <v>50</v>
      </c>
      <c r="M482" s="142"/>
      <c r="R482" s="23">
        <v>1210</v>
      </c>
      <c r="S482" s="23"/>
      <c r="T482" s="101"/>
      <c r="V482" s="137">
        <v>400</v>
      </c>
      <c r="W482" s="138">
        <v>400</v>
      </c>
      <c r="Y482" s="141">
        <v>15.527777777778001</v>
      </c>
      <c r="Z482" s="174"/>
    </row>
    <row r="483" spans="2:26">
      <c r="B483" s="176"/>
      <c r="C483" s="186"/>
      <c r="D483" s="172"/>
      <c r="E483" s="23">
        <v>1211</v>
      </c>
      <c r="F483" s="23">
        <f>DEMANDA_PREVISIÓN!E1215</f>
        <v>36</v>
      </c>
      <c r="G483" s="101"/>
      <c r="H483" s="23">
        <f t="shared" si="46"/>
        <v>2770</v>
      </c>
      <c r="I483" s="137">
        <v>400</v>
      </c>
      <c r="J483" s="138">
        <v>400</v>
      </c>
      <c r="K483" s="101"/>
      <c r="L483" s="138">
        <v>50</v>
      </c>
      <c r="M483" s="142"/>
      <c r="R483" s="23">
        <v>1211</v>
      </c>
      <c r="S483" s="23"/>
      <c r="T483" s="101"/>
      <c r="U483" s="23"/>
      <c r="V483" s="137">
        <v>400</v>
      </c>
      <c r="W483" s="138">
        <v>400</v>
      </c>
      <c r="Y483" s="141">
        <v>15.5373842592595</v>
      </c>
      <c r="Z483" s="174"/>
    </row>
    <row r="484" spans="2:26">
      <c r="B484" s="176"/>
      <c r="C484" s="186"/>
      <c r="D484" s="172"/>
      <c r="E484" s="23">
        <v>1212</v>
      </c>
      <c r="F484" s="23">
        <f>DEMANDA_PREVISIÓN!E1216</f>
        <v>56</v>
      </c>
      <c r="G484" s="101"/>
      <c r="H484" s="23">
        <f t="shared" si="46"/>
        <v>2714</v>
      </c>
      <c r="I484" s="137">
        <v>400</v>
      </c>
      <c r="J484" s="138">
        <v>400</v>
      </c>
      <c r="K484" s="101"/>
      <c r="L484" s="138">
        <v>50</v>
      </c>
      <c r="M484" s="142"/>
      <c r="R484" s="23">
        <v>1212</v>
      </c>
      <c r="S484" s="23"/>
      <c r="T484" s="101"/>
      <c r="U484" s="23"/>
      <c r="V484" s="137">
        <v>400</v>
      </c>
      <c r="W484" s="138">
        <v>400</v>
      </c>
      <c r="Y484" s="141">
        <v>15.546990740741</v>
      </c>
      <c r="Z484" s="174"/>
    </row>
    <row r="485" spans="2:26">
      <c r="B485" s="176"/>
      <c r="C485" s="186"/>
      <c r="D485" s="172"/>
      <c r="E485" s="23">
        <v>1213</v>
      </c>
      <c r="F485" s="23">
        <f>DEMANDA_PREVISIÓN!E1217</f>
        <v>49</v>
      </c>
      <c r="G485" s="101"/>
      <c r="H485" s="23">
        <f t="shared" si="46"/>
        <v>2665</v>
      </c>
      <c r="I485" s="137">
        <v>400</v>
      </c>
      <c r="J485" s="138">
        <v>400</v>
      </c>
      <c r="K485" s="101"/>
      <c r="L485" s="138">
        <v>50</v>
      </c>
      <c r="M485" s="142"/>
      <c r="R485" s="103">
        <v>1213</v>
      </c>
      <c r="S485" s="103">
        <v>61</v>
      </c>
      <c r="T485" s="101"/>
      <c r="U485" s="143">
        <v>2608</v>
      </c>
      <c r="V485" s="137">
        <v>400</v>
      </c>
      <c r="W485" s="138">
        <v>400</v>
      </c>
      <c r="Y485" s="141">
        <v>15.5565972222225</v>
      </c>
      <c r="Z485" s="174"/>
    </row>
    <row r="486" spans="2:26">
      <c r="B486" s="176"/>
      <c r="C486" s="186"/>
      <c r="D486" s="172"/>
      <c r="E486" s="23">
        <v>1214</v>
      </c>
      <c r="F486" s="23">
        <f>DEMANDA_PREVISIÓN!E1218</f>
        <v>54</v>
      </c>
      <c r="G486" s="101"/>
      <c r="H486" s="23">
        <f t="shared" si="46"/>
        <v>2611</v>
      </c>
      <c r="I486" s="137">
        <v>400</v>
      </c>
      <c r="J486" s="138">
        <v>400</v>
      </c>
      <c r="K486" s="101"/>
      <c r="L486" s="138">
        <v>50</v>
      </c>
      <c r="M486" s="142"/>
      <c r="R486" s="40">
        <v>1214</v>
      </c>
      <c r="S486" s="149">
        <v>62</v>
      </c>
      <c r="T486" s="101"/>
      <c r="U486" s="143">
        <f>U485-S486</f>
        <v>2546</v>
      </c>
      <c r="V486" s="137">
        <v>400</v>
      </c>
      <c r="W486" s="138">
        <v>400</v>
      </c>
      <c r="Y486" s="141">
        <v>15.566203703704</v>
      </c>
      <c r="Z486" s="174"/>
    </row>
    <row r="487" spans="2:26">
      <c r="B487" s="176"/>
      <c r="C487" s="186"/>
      <c r="D487" s="173"/>
      <c r="E487" s="23">
        <v>1215</v>
      </c>
      <c r="F487" s="23">
        <f>DEMANDA_PREVISIÓN!E1219</f>
        <v>49</v>
      </c>
      <c r="G487" s="101"/>
      <c r="H487" s="23">
        <f t="shared" si="46"/>
        <v>2562</v>
      </c>
      <c r="I487" s="137">
        <v>400</v>
      </c>
      <c r="J487" s="138">
        <v>400</v>
      </c>
      <c r="K487" s="101"/>
      <c r="L487" s="138">
        <v>50</v>
      </c>
      <c r="M487" s="142"/>
      <c r="R487" s="40">
        <v>1215</v>
      </c>
      <c r="S487" s="149">
        <v>78</v>
      </c>
      <c r="T487" s="101"/>
      <c r="U487" s="143">
        <f>U486-S487</f>
        <v>2468</v>
      </c>
      <c r="V487" s="137">
        <v>400</v>
      </c>
      <c r="W487" s="138">
        <v>400</v>
      </c>
      <c r="Y487" s="141">
        <v>15.5758101851854</v>
      </c>
      <c r="Z487" s="174"/>
    </row>
    <row r="488" spans="2:26">
      <c r="B488" s="176"/>
      <c r="C488" s="186"/>
      <c r="D488" s="171" t="s">
        <v>46</v>
      </c>
      <c r="E488" s="23">
        <v>1216</v>
      </c>
      <c r="F488" s="23">
        <f>DEMANDA_PREVISIÓN!E1220</f>
        <v>50</v>
      </c>
      <c r="G488" s="101"/>
      <c r="H488" s="137">
        <f>I487+H487</f>
        <v>2962</v>
      </c>
      <c r="I488" s="23"/>
      <c r="J488" s="138">
        <v>400</v>
      </c>
      <c r="K488" s="101"/>
      <c r="L488" s="138">
        <v>50</v>
      </c>
      <c r="M488" s="142"/>
      <c r="R488" s="40">
        <v>1216</v>
      </c>
      <c r="S488" s="149">
        <v>67</v>
      </c>
      <c r="T488" s="101"/>
      <c r="U488" s="143">
        <f t="shared" ref="U488:U551" si="47">U487-S488</f>
        <v>2401</v>
      </c>
      <c r="V488" s="137">
        <v>400</v>
      </c>
      <c r="W488" s="138">
        <v>400</v>
      </c>
      <c r="Y488" s="141">
        <v>15.5854166666669</v>
      </c>
      <c r="Z488" s="174"/>
    </row>
    <row r="489" spans="2:26">
      <c r="B489" s="176"/>
      <c r="C489" s="186"/>
      <c r="D489" s="172"/>
      <c r="E489" s="23">
        <v>1217</v>
      </c>
      <c r="F489" s="23">
        <f>DEMANDA_PREVISIÓN!E1221</f>
        <v>43</v>
      </c>
      <c r="G489" s="101"/>
      <c r="H489" s="23">
        <f t="shared" ref="H489:H495" si="48">H488-F489</f>
        <v>2919</v>
      </c>
      <c r="I489" s="138">
        <v>400</v>
      </c>
      <c r="J489" s="138">
        <v>400</v>
      </c>
      <c r="K489" s="101"/>
      <c r="L489" s="138">
        <v>50</v>
      </c>
      <c r="M489" s="142"/>
      <c r="R489" s="40">
        <v>1217</v>
      </c>
      <c r="S489" s="149">
        <v>72</v>
      </c>
      <c r="T489" s="101"/>
      <c r="U489" s="143">
        <f>U488+V488-S489</f>
        <v>2729</v>
      </c>
      <c r="W489" s="138">
        <v>400</v>
      </c>
      <c r="Y489" s="141">
        <v>15.5950231481484</v>
      </c>
      <c r="Z489" s="174"/>
    </row>
    <row r="490" spans="2:26">
      <c r="B490" s="176"/>
      <c r="C490" s="186"/>
      <c r="D490" s="172"/>
      <c r="E490" s="23">
        <v>1218</v>
      </c>
      <c r="F490" s="23">
        <f>DEMANDA_PREVISIÓN!E1222</f>
        <v>46</v>
      </c>
      <c r="G490" s="101"/>
      <c r="H490" s="23">
        <f t="shared" si="48"/>
        <v>2873</v>
      </c>
      <c r="I490" s="138">
        <v>400</v>
      </c>
      <c r="J490" s="134">
        <v>400</v>
      </c>
      <c r="K490" s="101"/>
      <c r="L490" s="134">
        <v>50</v>
      </c>
      <c r="M490" s="142"/>
      <c r="R490" s="40">
        <v>1218</v>
      </c>
      <c r="S490" s="149">
        <v>63</v>
      </c>
      <c r="T490" s="101"/>
      <c r="U490" s="143">
        <f t="shared" si="47"/>
        <v>2666</v>
      </c>
      <c r="V490" s="138">
        <v>400</v>
      </c>
      <c r="W490" s="137">
        <v>400</v>
      </c>
      <c r="Y490" s="141">
        <v>15.604629629629899</v>
      </c>
      <c r="Z490" s="174"/>
    </row>
    <row r="491" spans="2:26">
      <c r="B491" s="176"/>
      <c r="C491" s="186"/>
      <c r="D491" s="172"/>
      <c r="E491" s="23">
        <v>1219</v>
      </c>
      <c r="F491" s="23">
        <f>DEMANDA_PREVISIÓN!E1223</f>
        <v>41</v>
      </c>
      <c r="G491" s="101"/>
      <c r="H491" s="23">
        <f t="shared" si="48"/>
        <v>2832</v>
      </c>
      <c r="I491" s="138">
        <v>400</v>
      </c>
      <c r="J491" s="134">
        <v>400</v>
      </c>
      <c r="K491" s="101"/>
      <c r="L491" s="134">
        <v>50</v>
      </c>
      <c r="M491" s="142"/>
      <c r="R491" s="40">
        <v>1219</v>
      </c>
      <c r="S491" s="149">
        <v>69</v>
      </c>
      <c r="T491" s="101"/>
      <c r="U491" s="143">
        <f t="shared" si="47"/>
        <v>2597</v>
      </c>
      <c r="V491" s="138">
        <v>400</v>
      </c>
      <c r="W491" s="137">
        <v>400</v>
      </c>
      <c r="Y491" s="141">
        <v>15.614236111111399</v>
      </c>
      <c r="Z491" s="174"/>
    </row>
    <row r="492" spans="2:26">
      <c r="B492" s="176"/>
      <c r="C492" s="186"/>
      <c r="D492" s="172"/>
      <c r="E492" s="23">
        <v>1220</v>
      </c>
      <c r="F492" s="23">
        <f>DEMANDA_PREVISIÓN!E1224</f>
        <v>44</v>
      </c>
      <c r="G492" s="101"/>
      <c r="H492" s="23">
        <f t="shared" si="48"/>
        <v>2788</v>
      </c>
      <c r="I492" s="138">
        <v>400</v>
      </c>
      <c r="J492" s="134">
        <v>400</v>
      </c>
      <c r="K492" s="101"/>
      <c r="L492" s="134">
        <v>50</v>
      </c>
      <c r="M492" s="142"/>
      <c r="R492" s="40">
        <v>1220</v>
      </c>
      <c r="S492" s="149">
        <v>36</v>
      </c>
      <c r="T492" s="101"/>
      <c r="U492" s="143">
        <f t="shared" si="47"/>
        <v>2561</v>
      </c>
      <c r="V492" s="138">
        <v>400</v>
      </c>
      <c r="W492" s="137">
        <v>400</v>
      </c>
      <c r="Y492" s="141">
        <v>15.623842592592901</v>
      </c>
      <c r="Z492" s="174"/>
    </row>
    <row r="493" spans="2:26">
      <c r="B493" s="176"/>
      <c r="C493" s="186"/>
      <c r="D493" s="172"/>
      <c r="E493" s="23">
        <v>1221</v>
      </c>
      <c r="F493" s="23">
        <f>DEMANDA_PREVISIÓN!E1225</f>
        <v>43</v>
      </c>
      <c r="G493" s="101"/>
      <c r="H493" s="23">
        <f t="shared" si="48"/>
        <v>2745</v>
      </c>
      <c r="I493" s="138">
        <v>400</v>
      </c>
      <c r="J493" s="134">
        <v>400</v>
      </c>
      <c r="K493" s="101"/>
      <c r="L493" s="134">
        <v>50</v>
      </c>
      <c r="M493" s="142"/>
      <c r="R493" s="40">
        <v>1221</v>
      </c>
      <c r="S493" s="149">
        <v>86</v>
      </c>
      <c r="T493" s="101"/>
      <c r="U493" s="143">
        <f t="shared" si="47"/>
        <v>2475</v>
      </c>
      <c r="V493" s="138">
        <v>400</v>
      </c>
      <c r="W493" s="137">
        <v>400</v>
      </c>
      <c r="Y493" s="141">
        <v>15.633449074074299</v>
      </c>
      <c r="Z493" s="174"/>
    </row>
    <row r="494" spans="2:26">
      <c r="B494" s="176"/>
      <c r="C494" s="186"/>
      <c r="D494" s="172"/>
      <c r="E494" s="23">
        <v>1222</v>
      </c>
      <c r="F494" s="23">
        <f>DEMANDA_PREVISIÓN!E1226</f>
        <v>46</v>
      </c>
      <c r="G494" s="101"/>
      <c r="H494" s="23">
        <f t="shared" si="48"/>
        <v>2699</v>
      </c>
      <c r="I494" s="138">
        <v>400</v>
      </c>
      <c r="J494" s="134">
        <v>400</v>
      </c>
      <c r="K494" s="101"/>
      <c r="L494" s="134">
        <v>50</v>
      </c>
      <c r="M494" s="142"/>
      <c r="R494" s="40">
        <v>1222</v>
      </c>
      <c r="S494" s="149">
        <v>65</v>
      </c>
      <c r="T494" s="101"/>
      <c r="U494" s="143">
        <f t="shared" si="47"/>
        <v>2410</v>
      </c>
      <c r="V494" s="138">
        <v>400</v>
      </c>
      <c r="W494" s="137">
        <v>400</v>
      </c>
      <c r="Y494" s="141">
        <v>15.643055555555801</v>
      </c>
      <c r="Z494" s="174"/>
    </row>
    <row r="495" spans="2:26">
      <c r="B495" s="176"/>
      <c r="C495" s="186"/>
      <c r="D495" s="172"/>
      <c r="E495" s="23">
        <v>1223</v>
      </c>
      <c r="F495" s="23">
        <f>DEMANDA_PREVISIÓN!E1227</f>
        <v>36</v>
      </c>
      <c r="G495" s="101"/>
      <c r="H495" s="23">
        <f t="shared" si="48"/>
        <v>2663</v>
      </c>
      <c r="I495" s="138">
        <v>400</v>
      </c>
      <c r="J495" s="134">
        <v>400</v>
      </c>
      <c r="K495" s="101"/>
      <c r="L495" s="134">
        <v>50</v>
      </c>
      <c r="M495" s="142"/>
      <c r="R495" s="40">
        <v>1223</v>
      </c>
      <c r="S495" s="149">
        <v>93</v>
      </c>
      <c r="T495" s="101"/>
      <c r="U495" s="143">
        <f t="shared" si="47"/>
        <v>2317</v>
      </c>
      <c r="V495" s="138">
        <v>400</v>
      </c>
      <c r="W495" s="137">
        <v>400</v>
      </c>
      <c r="Y495" s="141">
        <v>15.652662037037301</v>
      </c>
      <c r="Z495" s="174"/>
    </row>
    <row r="496" spans="2:26">
      <c r="B496" s="176"/>
      <c r="C496" s="186"/>
      <c r="D496" s="172"/>
      <c r="E496" s="23">
        <v>1224</v>
      </c>
      <c r="F496" s="23">
        <f>DEMANDA_PREVISIÓN!E1228</f>
        <v>43</v>
      </c>
      <c r="G496" s="101"/>
      <c r="H496" s="138">
        <f>I495+H495</f>
        <v>3063</v>
      </c>
      <c r="I496" s="23"/>
      <c r="J496" s="134">
        <v>400</v>
      </c>
      <c r="K496" s="101"/>
      <c r="L496" s="134">
        <v>50</v>
      </c>
      <c r="M496" s="142"/>
      <c r="R496" s="40">
        <v>1224</v>
      </c>
      <c r="S496" s="149">
        <v>76</v>
      </c>
      <c r="T496" s="101"/>
      <c r="U496" s="143">
        <f t="shared" si="47"/>
        <v>2241</v>
      </c>
      <c r="V496" s="138">
        <v>400</v>
      </c>
      <c r="W496" s="137">
        <v>400</v>
      </c>
      <c r="Y496" s="141">
        <v>15.6622685185188</v>
      </c>
      <c r="Z496" s="174"/>
    </row>
    <row r="497" spans="2:28">
      <c r="B497" s="176"/>
      <c r="C497" s="186"/>
      <c r="D497" s="172"/>
      <c r="E497" s="23">
        <v>1225</v>
      </c>
      <c r="F497" s="23">
        <f>DEMANDA_PREVISIÓN!E1229</f>
        <v>42</v>
      </c>
      <c r="G497" s="101"/>
      <c r="H497" s="23">
        <f t="shared" ref="H497:H503" si="49">H496-F497</f>
        <v>3021</v>
      </c>
      <c r="I497" s="134">
        <v>400</v>
      </c>
      <c r="J497" s="134">
        <v>400</v>
      </c>
      <c r="K497" s="101"/>
      <c r="L497" s="134">
        <v>50</v>
      </c>
      <c r="M497" s="142"/>
      <c r="R497" s="40">
        <v>1225</v>
      </c>
      <c r="S497" s="149">
        <v>75</v>
      </c>
      <c r="T497" s="101"/>
      <c r="U497" s="143">
        <f>U496+V496-S497</f>
        <v>2566</v>
      </c>
      <c r="W497" s="137">
        <v>400</v>
      </c>
      <c r="Y497" s="141">
        <v>15.6718750000003</v>
      </c>
      <c r="Z497" s="174"/>
    </row>
    <row r="498" spans="2:28">
      <c r="B498" s="176"/>
      <c r="C498" s="186"/>
      <c r="D498" s="172"/>
      <c r="E498" s="23">
        <v>1226</v>
      </c>
      <c r="F498" s="23">
        <f>DEMANDA_PREVISIÓN!E1230</f>
        <v>39</v>
      </c>
      <c r="G498" s="101"/>
      <c r="H498" s="23">
        <f t="shared" si="49"/>
        <v>2982</v>
      </c>
      <c r="I498" s="134">
        <v>400</v>
      </c>
      <c r="J498" s="128">
        <v>400</v>
      </c>
      <c r="K498" s="101"/>
      <c r="L498" s="128">
        <v>50</v>
      </c>
      <c r="M498" s="142"/>
      <c r="R498" s="40">
        <v>1226</v>
      </c>
      <c r="S498" s="149">
        <v>90</v>
      </c>
      <c r="T498" s="101"/>
      <c r="U498" s="143">
        <f t="shared" si="47"/>
        <v>2476</v>
      </c>
      <c r="V498" s="137">
        <v>400</v>
      </c>
      <c r="W498" s="138">
        <v>400</v>
      </c>
      <c r="Y498" s="141">
        <v>15.681481481481701</v>
      </c>
      <c r="Z498" s="174"/>
    </row>
    <row r="499" spans="2:28">
      <c r="B499" s="176"/>
      <c r="C499" s="186"/>
      <c r="D499" s="172"/>
      <c r="E499" s="23">
        <v>1227</v>
      </c>
      <c r="F499" s="23">
        <f>DEMANDA_PREVISIÓN!E1231</f>
        <v>51</v>
      </c>
      <c r="G499" s="101"/>
      <c r="H499" s="23">
        <f t="shared" si="49"/>
        <v>2931</v>
      </c>
      <c r="I499" s="134">
        <v>400</v>
      </c>
      <c r="J499" s="128">
        <v>400</v>
      </c>
      <c r="K499" s="101"/>
      <c r="L499" s="128">
        <v>50</v>
      </c>
      <c r="M499" s="142"/>
      <c r="R499" s="40">
        <v>1227</v>
      </c>
      <c r="S499" s="149">
        <v>48</v>
      </c>
      <c r="T499" s="101"/>
      <c r="U499" s="143">
        <f t="shared" si="47"/>
        <v>2428</v>
      </c>
      <c r="V499" s="137">
        <v>400</v>
      </c>
      <c r="W499" s="138">
        <v>400</v>
      </c>
      <c r="Y499" s="141">
        <v>15.6910879629632</v>
      </c>
      <c r="Z499" s="174"/>
    </row>
    <row r="500" spans="2:28">
      <c r="B500" s="176"/>
      <c r="C500" s="186"/>
      <c r="D500" s="172"/>
      <c r="E500" s="23">
        <v>1228</v>
      </c>
      <c r="F500" s="23">
        <f>DEMANDA_PREVISIÓN!E1232</f>
        <v>33</v>
      </c>
      <c r="G500" s="101"/>
      <c r="H500" s="23">
        <f t="shared" si="49"/>
        <v>2898</v>
      </c>
      <c r="I500" s="134">
        <v>400</v>
      </c>
      <c r="J500" s="128">
        <v>400</v>
      </c>
      <c r="K500" s="101"/>
      <c r="L500" s="128">
        <v>50</v>
      </c>
      <c r="M500" s="142"/>
      <c r="R500" s="40">
        <v>1228</v>
      </c>
      <c r="S500" s="149">
        <v>155</v>
      </c>
      <c r="T500" s="101"/>
      <c r="U500" s="143">
        <f t="shared" si="47"/>
        <v>2273</v>
      </c>
      <c r="V500" s="137">
        <v>400</v>
      </c>
      <c r="W500" s="138">
        <v>400</v>
      </c>
      <c r="Y500" s="141">
        <v>15.7006944444447</v>
      </c>
      <c r="Z500" s="174"/>
    </row>
    <row r="501" spans="2:28">
      <c r="B501" s="176"/>
      <c r="C501" s="186"/>
      <c r="D501" s="172"/>
      <c r="E501" s="23">
        <v>1229</v>
      </c>
      <c r="F501" s="23">
        <f>DEMANDA_PREVISIÓN!E1233</f>
        <v>40</v>
      </c>
      <c r="G501" s="101"/>
      <c r="H501" s="23">
        <f t="shared" si="49"/>
        <v>2858</v>
      </c>
      <c r="I501" s="134">
        <v>400</v>
      </c>
      <c r="J501" s="128">
        <v>400</v>
      </c>
      <c r="K501" s="101"/>
      <c r="L501" s="128">
        <v>50</v>
      </c>
      <c r="M501" s="142"/>
      <c r="R501" s="40">
        <v>1229</v>
      </c>
      <c r="S501" s="153">
        <v>77</v>
      </c>
      <c r="T501" s="101"/>
      <c r="U501" s="143">
        <f t="shared" si="47"/>
        <v>2196</v>
      </c>
      <c r="V501" s="137">
        <v>400</v>
      </c>
      <c r="W501" s="138">
        <v>400</v>
      </c>
      <c r="Y501" s="141">
        <v>15.7103009259262</v>
      </c>
      <c r="Z501" s="174"/>
    </row>
    <row r="502" spans="2:28">
      <c r="B502" s="176"/>
      <c r="C502" s="186"/>
      <c r="D502" s="172"/>
      <c r="E502" s="23">
        <v>1230</v>
      </c>
      <c r="F502" s="23">
        <f>DEMANDA_PREVISIÓN!E1234</f>
        <v>52</v>
      </c>
      <c r="G502" s="101"/>
      <c r="H502" s="23">
        <f t="shared" si="49"/>
        <v>2806</v>
      </c>
      <c r="I502" s="134">
        <v>400</v>
      </c>
      <c r="J502" s="128">
        <v>400</v>
      </c>
      <c r="K502" s="101"/>
      <c r="L502" s="128">
        <v>50</v>
      </c>
      <c r="M502" s="142"/>
      <c r="R502" s="40">
        <v>1230</v>
      </c>
      <c r="S502" s="153">
        <v>94</v>
      </c>
      <c r="T502" s="101"/>
      <c r="U502" s="143">
        <f t="shared" si="47"/>
        <v>2102</v>
      </c>
      <c r="V502" s="137">
        <v>400</v>
      </c>
      <c r="W502" s="138">
        <v>400</v>
      </c>
      <c r="Y502" s="141">
        <v>15.7199074074077</v>
      </c>
      <c r="Z502" s="174"/>
    </row>
    <row r="503" spans="2:28">
      <c r="B503" s="176"/>
      <c r="C503" s="186"/>
      <c r="D503" s="172"/>
      <c r="E503" s="23">
        <v>1231</v>
      </c>
      <c r="F503" s="23">
        <f>DEMANDA_PREVISIÓN!E1235</f>
        <v>42</v>
      </c>
      <c r="G503" s="101"/>
      <c r="H503" s="23">
        <f t="shared" si="49"/>
        <v>2764</v>
      </c>
      <c r="I503" s="134">
        <v>400</v>
      </c>
      <c r="J503" s="128">
        <v>400</v>
      </c>
      <c r="K503" s="101"/>
      <c r="L503" s="128">
        <v>50</v>
      </c>
      <c r="M503" s="142"/>
      <c r="R503" s="40">
        <v>1231</v>
      </c>
      <c r="S503" s="153">
        <v>84</v>
      </c>
      <c r="T503" s="101"/>
      <c r="U503" s="143">
        <f t="shared" si="47"/>
        <v>2018</v>
      </c>
      <c r="V503" s="137">
        <v>400</v>
      </c>
      <c r="W503" s="138">
        <v>400</v>
      </c>
      <c r="Y503" s="141">
        <v>15.729513888889199</v>
      </c>
      <c r="Z503" s="174"/>
    </row>
    <row r="504" spans="2:28">
      <c r="B504" s="176"/>
      <c r="C504" s="186"/>
      <c r="D504" s="172"/>
      <c r="E504" s="23">
        <v>1232</v>
      </c>
      <c r="F504" s="23">
        <f>DEMANDA_PREVISIÓN!E1236</f>
        <v>45</v>
      </c>
      <c r="G504" s="101"/>
      <c r="H504" s="134">
        <f>I503+H503</f>
        <v>3164</v>
      </c>
      <c r="I504" s="23"/>
      <c r="J504" s="128">
        <v>400</v>
      </c>
      <c r="K504" s="101"/>
      <c r="L504" s="128">
        <v>50</v>
      </c>
      <c r="M504" s="142"/>
      <c r="R504" s="40">
        <v>1232</v>
      </c>
      <c r="S504" s="153">
        <v>58</v>
      </c>
      <c r="T504" s="101"/>
      <c r="U504" s="143">
        <f t="shared" si="47"/>
        <v>1960</v>
      </c>
      <c r="V504" s="137">
        <v>400</v>
      </c>
      <c r="W504" s="138">
        <v>400</v>
      </c>
      <c r="Y504" s="141">
        <v>15.7391203703706</v>
      </c>
      <c r="Z504" s="174"/>
      <c r="AB504" s="18">
        <f>2291*1450</f>
        <v>3321950</v>
      </c>
    </row>
    <row r="505" spans="2:28">
      <c r="B505" s="176"/>
      <c r="C505" s="186"/>
      <c r="D505" s="172"/>
      <c r="E505" s="23">
        <v>1233</v>
      </c>
      <c r="F505" s="23">
        <f>DEMANDA_PREVISIÓN!E1237</f>
        <v>39</v>
      </c>
      <c r="G505" s="101"/>
      <c r="H505" s="23">
        <f>H504-F505</f>
        <v>3125</v>
      </c>
      <c r="I505" s="128">
        <v>400</v>
      </c>
      <c r="J505" s="128">
        <v>400</v>
      </c>
      <c r="K505" s="101"/>
      <c r="L505" s="128">
        <v>50</v>
      </c>
      <c r="M505" s="142"/>
      <c r="R505" s="40">
        <v>1233</v>
      </c>
      <c r="S505" s="153">
        <v>54</v>
      </c>
      <c r="T505" s="101"/>
      <c r="U505" s="143">
        <f>U504+V504-S505</f>
        <v>2306</v>
      </c>
      <c r="W505" s="138">
        <v>400</v>
      </c>
      <c r="Y505" s="141">
        <v>15.7487268518521</v>
      </c>
      <c r="Z505" s="174"/>
    </row>
    <row r="506" spans="2:28">
      <c r="B506" s="176"/>
      <c r="C506" s="186"/>
      <c r="D506" s="172"/>
      <c r="E506" s="23">
        <v>1234</v>
      </c>
      <c r="F506" s="23">
        <f>DEMANDA_PREVISIÓN!E1238</f>
        <v>42</v>
      </c>
      <c r="G506" s="101"/>
      <c r="H506" s="23">
        <f>H505-F506</f>
        <v>3083</v>
      </c>
      <c r="I506" s="128">
        <v>400</v>
      </c>
      <c r="J506" s="129">
        <v>400</v>
      </c>
      <c r="K506" s="101"/>
      <c r="L506" s="129">
        <v>50</v>
      </c>
      <c r="M506" s="142"/>
      <c r="R506" s="40">
        <v>1234</v>
      </c>
      <c r="S506" s="153">
        <v>51</v>
      </c>
      <c r="T506" s="101"/>
      <c r="U506" s="143">
        <f t="shared" si="47"/>
        <v>2255</v>
      </c>
      <c r="V506" s="138">
        <v>400</v>
      </c>
      <c r="W506" s="137">
        <v>400</v>
      </c>
      <c r="Y506" s="141">
        <v>15.758333333333599</v>
      </c>
      <c r="Z506" s="174"/>
    </row>
    <row r="507" spans="2:28">
      <c r="B507" s="176"/>
      <c r="C507" s="186"/>
      <c r="D507" s="172"/>
      <c r="E507" s="23">
        <v>1235</v>
      </c>
      <c r="F507" s="23">
        <f>DEMANDA_PREVISIÓN!E1239</f>
        <v>46</v>
      </c>
      <c r="G507" s="101"/>
      <c r="H507" s="23">
        <f>H506-F507</f>
        <v>3037</v>
      </c>
      <c r="I507" s="128">
        <v>400</v>
      </c>
      <c r="J507" s="129">
        <v>400</v>
      </c>
      <c r="K507" s="101"/>
      <c r="L507" s="129">
        <v>50</v>
      </c>
      <c r="M507" s="142"/>
      <c r="R507" s="40">
        <v>1235</v>
      </c>
      <c r="S507" s="153">
        <v>75</v>
      </c>
      <c r="T507" s="101"/>
      <c r="U507" s="143">
        <f t="shared" si="47"/>
        <v>2180</v>
      </c>
      <c r="V507" s="138">
        <v>400</v>
      </c>
      <c r="W507" s="137">
        <v>400</v>
      </c>
      <c r="Y507" s="141">
        <v>15.767939814815101</v>
      </c>
      <c r="Z507" s="174"/>
    </row>
    <row r="508" spans="2:28">
      <c r="B508" s="176"/>
      <c r="C508" s="186"/>
      <c r="D508" s="172"/>
      <c r="E508" s="23">
        <v>1236</v>
      </c>
      <c r="F508" s="23">
        <f>DEMANDA_PREVISIÓN!E1240</f>
        <v>46</v>
      </c>
      <c r="G508" s="101"/>
      <c r="H508" s="23">
        <f>H507-F508</f>
        <v>2991</v>
      </c>
      <c r="I508" s="128">
        <v>400</v>
      </c>
      <c r="J508" s="129">
        <v>400</v>
      </c>
      <c r="K508" s="101"/>
      <c r="L508" s="129">
        <v>50</v>
      </c>
      <c r="M508" s="142"/>
      <c r="R508" s="40">
        <v>1236</v>
      </c>
      <c r="S508" s="153">
        <v>62</v>
      </c>
      <c r="T508" s="101"/>
      <c r="U508" s="143">
        <f t="shared" si="47"/>
        <v>2118</v>
      </c>
      <c r="V508" s="138">
        <v>400</v>
      </c>
      <c r="W508" s="137">
        <v>400</v>
      </c>
      <c r="Y508" s="141">
        <v>15.777546296296601</v>
      </c>
      <c r="Z508" s="174"/>
    </row>
    <row r="509" spans="2:28">
      <c r="B509" s="176"/>
      <c r="C509" s="186"/>
      <c r="D509" s="172"/>
      <c r="E509" s="23">
        <v>1237</v>
      </c>
      <c r="F509" s="23">
        <f>DEMANDA_PREVISIÓN!E1241</f>
        <v>46</v>
      </c>
      <c r="G509" s="101"/>
      <c r="H509" s="23">
        <f t="shared" ref="H509:H511" si="50">H508-F509</f>
        <v>2945</v>
      </c>
      <c r="I509" s="128">
        <v>400</v>
      </c>
      <c r="J509" s="129">
        <v>400</v>
      </c>
      <c r="K509" s="101"/>
      <c r="L509" s="129">
        <v>50</v>
      </c>
      <c r="M509" s="142"/>
      <c r="R509" s="40">
        <v>1237</v>
      </c>
      <c r="S509" s="153">
        <v>58</v>
      </c>
      <c r="T509" s="101"/>
      <c r="U509" s="143">
        <f t="shared" si="47"/>
        <v>2060</v>
      </c>
      <c r="V509" s="138">
        <v>400</v>
      </c>
      <c r="W509" s="137">
        <v>400</v>
      </c>
      <c r="Y509" s="141">
        <v>15.787152777777999</v>
      </c>
      <c r="Z509" s="174"/>
    </row>
    <row r="510" spans="2:28">
      <c r="B510" s="176"/>
      <c r="C510" s="186"/>
      <c r="D510" s="172"/>
      <c r="E510" s="23">
        <v>1238</v>
      </c>
      <c r="F510" s="23">
        <f>DEMANDA_PREVISIÓN!E1242</f>
        <v>48</v>
      </c>
      <c r="G510" s="101"/>
      <c r="H510" s="23">
        <f t="shared" si="50"/>
        <v>2897</v>
      </c>
      <c r="I510" s="128">
        <v>400</v>
      </c>
      <c r="J510" s="129">
        <v>400</v>
      </c>
      <c r="K510" s="101"/>
      <c r="L510" s="129">
        <v>50</v>
      </c>
      <c r="M510" s="142"/>
      <c r="R510" s="40">
        <v>1238</v>
      </c>
      <c r="S510" s="153">
        <v>101</v>
      </c>
      <c r="T510" s="101"/>
      <c r="U510" s="143">
        <f t="shared" si="47"/>
        <v>1959</v>
      </c>
      <c r="V510" s="138">
        <v>400</v>
      </c>
      <c r="W510" s="137">
        <v>400</v>
      </c>
      <c r="Y510" s="141">
        <v>15.796759259259501</v>
      </c>
      <c r="Z510" s="174"/>
    </row>
    <row r="511" spans="2:28">
      <c r="B511" s="176"/>
      <c r="C511" s="186"/>
      <c r="D511" s="172"/>
      <c r="E511" s="23">
        <v>1239</v>
      </c>
      <c r="F511" s="23">
        <f>DEMANDA_PREVISIÓN!E1243</f>
        <v>48</v>
      </c>
      <c r="G511" s="101"/>
      <c r="H511" s="23">
        <f t="shared" si="50"/>
        <v>2849</v>
      </c>
      <c r="I511" s="128">
        <v>400</v>
      </c>
      <c r="J511" s="129">
        <v>400</v>
      </c>
      <c r="K511" s="101"/>
      <c r="L511" s="129">
        <v>50</v>
      </c>
      <c r="M511" s="142"/>
      <c r="R511" s="40">
        <v>1239</v>
      </c>
      <c r="S511" s="153">
        <v>54</v>
      </c>
      <c r="T511" s="101"/>
      <c r="U511" s="143">
        <f t="shared" si="47"/>
        <v>1905</v>
      </c>
      <c r="V511" s="138">
        <v>400</v>
      </c>
      <c r="W511" s="137">
        <v>400</v>
      </c>
      <c r="Y511" s="141">
        <v>15.806365740741001</v>
      </c>
      <c r="Z511" s="174"/>
    </row>
    <row r="512" spans="2:28">
      <c r="B512" s="176"/>
      <c r="C512" s="186"/>
      <c r="D512" s="172"/>
      <c r="E512" s="23">
        <v>1240</v>
      </c>
      <c r="F512" s="23">
        <f>DEMANDA_PREVISIÓN!E1244</f>
        <v>49</v>
      </c>
      <c r="G512" s="101"/>
      <c r="H512" s="128">
        <f>I511+H511</f>
        <v>3249</v>
      </c>
      <c r="J512" s="129">
        <v>400</v>
      </c>
      <c r="K512" s="47"/>
      <c r="L512" s="129">
        <v>50</v>
      </c>
      <c r="M512" s="142"/>
      <c r="R512" s="40">
        <v>1240</v>
      </c>
      <c r="S512" s="153">
        <v>51</v>
      </c>
      <c r="T512" s="101"/>
      <c r="U512" s="143">
        <f t="shared" si="47"/>
        <v>1854</v>
      </c>
      <c r="V512" s="138">
        <v>400</v>
      </c>
      <c r="W512" s="137">
        <v>400</v>
      </c>
      <c r="Y512" s="141">
        <v>15.8159722222225</v>
      </c>
      <c r="Z512" s="174"/>
    </row>
    <row r="513" spans="2:26">
      <c r="B513" s="176"/>
      <c r="C513" s="186"/>
      <c r="D513" s="172"/>
      <c r="E513" s="23">
        <v>1241</v>
      </c>
      <c r="F513" s="23">
        <f>DEMANDA_PREVISIÓN!E1245</f>
        <v>46</v>
      </c>
      <c r="G513" s="101"/>
      <c r="H513" s="23">
        <f t="shared" ref="H513:H519" si="51">H512-F513</f>
        <v>3203</v>
      </c>
      <c r="I513" s="129">
        <v>400</v>
      </c>
      <c r="J513" s="129">
        <v>400</v>
      </c>
      <c r="K513" s="101"/>
      <c r="L513" s="129">
        <v>50</v>
      </c>
      <c r="M513" s="142"/>
      <c r="R513" s="40">
        <v>1241</v>
      </c>
      <c r="S513" s="153">
        <v>99</v>
      </c>
      <c r="T513" s="101"/>
      <c r="U513" s="143">
        <f>U512+V512-S513</f>
        <v>2155</v>
      </c>
      <c r="W513" s="137">
        <v>400</v>
      </c>
      <c r="Y513" s="141">
        <v>15.825578703704</v>
      </c>
      <c r="Z513" s="174"/>
    </row>
    <row r="514" spans="2:26">
      <c r="B514" s="176"/>
      <c r="C514" s="186"/>
      <c r="D514" s="172"/>
      <c r="E514" s="23">
        <v>1242</v>
      </c>
      <c r="F514" s="23">
        <f>DEMANDA_PREVISIÓN!E1246</f>
        <v>36</v>
      </c>
      <c r="G514" s="101"/>
      <c r="H514" s="23">
        <f t="shared" si="51"/>
        <v>3167</v>
      </c>
      <c r="I514" s="129">
        <v>400</v>
      </c>
      <c r="J514" s="137">
        <v>400</v>
      </c>
      <c r="K514" s="101"/>
      <c r="L514" s="137">
        <v>50</v>
      </c>
      <c r="M514" s="142"/>
      <c r="R514" s="40">
        <v>1242</v>
      </c>
      <c r="S514" s="153">
        <v>69</v>
      </c>
      <c r="T514" s="101"/>
      <c r="U514" s="143">
        <f t="shared" si="47"/>
        <v>2086</v>
      </c>
      <c r="V514" s="137">
        <v>400</v>
      </c>
      <c r="W514" s="138">
        <v>400</v>
      </c>
      <c r="Y514" s="141">
        <v>15.8351851851855</v>
      </c>
      <c r="Z514" s="174"/>
    </row>
    <row r="515" spans="2:26">
      <c r="B515" s="176"/>
      <c r="C515" s="186"/>
      <c r="D515" s="172"/>
      <c r="E515" s="23">
        <v>1243</v>
      </c>
      <c r="F515" s="23">
        <f>DEMANDA_PREVISIÓN!E1247</f>
        <v>34</v>
      </c>
      <c r="G515" s="101"/>
      <c r="H515" s="23">
        <f t="shared" si="51"/>
        <v>3133</v>
      </c>
      <c r="I515" s="129">
        <v>400</v>
      </c>
      <c r="J515" s="137">
        <v>400</v>
      </c>
      <c r="K515" s="101"/>
      <c r="L515" s="137">
        <v>50</v>
      </c>
      <c r="M515" s="142"/>
      <c r="R515" s="40">
        <v>1243</v>
      </c>
      <c r="S515" s="153">
        <v>73</v>
      </c>
      <c r="T515" s="101"/>
      <c r="U515" s="143">
        <f t="shared" si="47"/>
        <v>2013</v>
      </c>
      <c r="V515" s="137">
        <v>400</v>
      </c>
      <c r="W515" s="138">
        <v>400</v>
      </c>
      <c r="Y515" s="141">
        <v>15.8447916666669</v>
      </c>
      <c r="Z515" s="174"/>
    </row>
    <row r="516" spans="2:26">
      <c r="B516" s="176"/>
      <c r="C516" s="186"/>
      <c r="D516" s="172"/>
      <c r="E516" s="23">
        <v>1244</v>
      </c>
      <c r="F516" s="23">
        <f>DEMANDA_PREVISIÓN!E1248</f>
        <v>41</v>
      </c>
      <c r="G516" s="101"/>
      <c r="H516" s="23">
        <f t="shared" si="51"/>
        <v>3092</v>
      </c>
      <c r="I516" s="129">
        <v>400</v>
      </c>
      <c r="J516" s="137">
        <v>400</v>
      </c>
      <c r="K516" s="101"/>
      <c r="L516" s="137">
        <v>50</v>
      </c>
      <c r="M516" s="142"/>
      <c r="R516" s="40">
        <v>1244</v>
      </c>
      <c r="S516" s="153">
        <v>98</v>
      </c>
      <c r="T516" s="101"/>
      <c r="U516" s="143">
        <f t="shared" si="47"/>
        <v>1915</v>
      </c>
      <c r="V516" s="137">
        <v>400</v>
      </c>
      <c r="W516" s="138">
        <v>400</v>
      </c>
      <c r="Y516" s="141">
        <v>15.8543981481484</v>
      </c>
      <c r="Z516" s="174"/>
    </row>
    <row r="517" spans="2:26">
      <c r="B517" s="176"/>
      <c r="C517" s="186"/>
      <c r="D517" s="172"/>
      <c r="E517" s="23">
        <v>1245</v>
      </c>
      <c r="F517" s="23">
        <f>DEMANDA_PREVISIÓN!E1249</f>
        <v>38</v>
      </c>
      <c r="G517" s="101"/>
      <c r="H517" s="23">
        <f t="shared" si="51"/>
        <v>3054</v>
      </c>
      <c r="I517" s="129">
        <v>400</v>
      </c>
      <c r="J517" s="137">
        <v>400</v>
      </c>
      <c r="K517" s="101"/>
      <c r="L517" s="137">
        <v>50</v>
      </c>
      <c r="M517" s="142"/>
      <c r="R517" s="40">
        <v>1245</v>
      </c>
      <c r="S517" s="153">
        <v>71</v>
      </c>
      <c r="T517" s="101"/>
      <c r="U517" s="143">
        <f t="shared" si="47"/>
        <v>1844</v>
      </c>
      <c r="V517" s="137">
        <v>400</v>
      </c>
      <c r="W517" s="138">
        <v>400</v>
      </c>
      <c r="Y517" s="141">
        <v>15.8640046296299</v>
      </c>
      <c r="Z517" s="174"/>
    </row>
    <row r="518" spans="2:26">
      <c r="B518" s="176"/>
      <c r="C518" s="186"/>
      <c r="D518" s="173"/>
      <c r="E518" s="23">
        <v>1246</v>
      </c>
      <c r="F518" s="23">
        <f>DEMANDA_PREVISIÓN!E1250</f>
        <v>35</v>
      </c>
      <c r="G518" s="101"/>
      <c r="H518" s="23">
        <f t="shared" si="51"/>
        <v>3019</v>
      </c>
      <c r="I518" s="129">
        <v>400</v>
      </c>
      <c r="J518" s="137">
        <v>400</v>
      </c>
      <c r="K518" s="101"/>
      <c r="L518" s="137">
        <v>50</v>
      </c>
      <c r="M518" s="142"/>
      <c r="R518" s="40">
        <v>1246</v>
      </c>
      <c r="S518" s="153">
        <v>61</v>
      </c>
      <c r="T518" s="101"/>
      <c r="U518" s="143">
        <f t="shared" si="47"/>
        <v>1783</v>
      </c>
      <c r="V518" s="137">
        <v>400</v>
      </c>
      <c r="W518" s="138">
        <v>400</v>
      </c>
      <c r="Y518" s="141">
        <v>15.8736111111114</v>
      </c>
      <c r="Z518" s="174"/>
    </row>
    <row r="519" spans="2:26">
      <c r="B519" s="176"/>
      <c r="C519" s="186"/>
      <c r="D519" s="182" t="s">
        <v>47</v>
      </c>
      <c r="E519" s="23">
        <v>1247</v>
      </c>
      <c r="F519" s="23">
        <f>DEMANDA_PREVISIÓN!E1251</f>
        <v>36</v>
      </c>
      <c r="G519" s="101"/>
      <c r="H519" s="23">
        <f t="shared" si="51"/>
        <v>2983</v>
      </c>
      <c r="I519" s="129">
        <v>400</v>
      </c>
      <c r="J519" s="137">
        <v>400</v>
      </c>
      <c r="K519" s="101"/>
      <c r="L519" s="137">
        <v>50</v>
      </c>
      <c r="M519" s="142"/>
      <c r="R519" s="40">
        <v>1247</v>
      </c>
      <c r="S519" s="153">
        <v>83</v>
      </c>
      <c r="T519" s="101"/>
      <c r="U519" s="143">
        <f t="shared" si="47"/>
        <v>1700</v>
      </c>
      <c r="V519" s="137">
        <v>400</v>
      </c>
      <c r="W519" s="138">
        <v>400</v>
      </c>
      <c r="Y519" s="141">
        <v>15.883217592592899</v>
      </c>
      <c r="Z519" s="174"/>
    </row>
    <row r="520" spans="2:26">
      <c r="B520" s="176"/>
      <c r="C520" s="186"/>
      <c r="D520" s="183"/>
      <c r="E520" s="23">
        <v>1248</v>
      </c>
      <c r="F520" s="23">
        <f>DEMANDA_PREVISIÓN!E1252</f>
        <v>32</v>
      </c>
      <c r="G520" s="101"/>
      <c r="H520" s="129">
        <f>I519+H519</f>
        <v>3383</v>
      </c>
      <c r="I520" s="23"/>
      <c r="J520" s="137">
        <v>400</v>
      </c>
      <c r="K520" s="101"/>
      <c r="L520" s="137">
        <v>50</v>
      </c>
      <c r="M520" s="142"/>
      <c r="R520" s="40">
        <v>1248</v>
      </c>
      <c r="S520" s="153">
        <v>121</v>
      </c>
      <c r="T520" s="101"/>
      <c r="U520" s="143">
        <f t="shared" si="47"/>
        <v>1579</v>
      </c>
      <c r="V520" s="137">
        <v>400</v>
      </c>
      <c r="W520" s="138">
        <v>400</v>
      </c>
      <c r="Y520" s="141">
        <v>15.892824074074399</v>
      </c>
      <c r="Z520" s="174"/>
    </row>
    <row r="521" spans="2:26">
      <c r="B521" s="176"/>
      <c r="C521" s="186"/>
      <c r="D521" s="183"/>
      <c r="E521" s="23">
        <v>1249</v>
      </c>
      <c r="F521" s="23">
        <f>DEMANDA_PREVISIÓN!E1253</f>
        <v>38</v>
      </c>
      <c r="G521" s="101"/>
      <c r="H521" s="23">
        <f t="shared" ref="H521:H527" si="52">H520-F521</f>
        <v>3345</v>
      </c>
      <c r="I521" s="137">
        <v>400</v>
      </c>
      <c r="J521" s="137">
        <v>400</v>
      </c>
      <c r="K521" s="101"/>
      <c r="L521" s="137">
        <v>50</v>
      </c>
      <c r="M521" s="142"/>
      <c r="R521" s="85">
        <v>1249</v>
      </c>
      <c r="S521" s="92">
        <v>94</v>
      </c>
      <c r="T521" s="101"/>
      <c r="U521" s="143">
        <f>U520+V520-S521</f>
        <v>1885</v>
      </c>
      <c r="W521" s="138">
        <v>400</v>
      </c>
      <c r="Y521" s="141">
        <v>15.902430555555799</v>
      </c>
      <c r="Z521" s="174"/>
    </row>
    <row r="522" spans="2:26">
      <c r="B522" s="176"/>
      <c r="C522" s="186"/>
      <c r="D522" s="183"/>
      <c r="E522" s="23">
        <v>1250</v>
      </c>
      <c r="F522" s="23">
        <f>DEMANDA_PREVISIÓN!E1254</f>
        <v>39</v>
      </c>
      <c r="G522" s="101"/>
      <c r="H522" s="23">
        <f t="shared" si="52"/>
        <v>3306</v>
      </c>
      <c r="I522" s="137">
        <v>400</v>
      </c>
      <c r="J522" s="138">
        <v>400</v>
      </c>
      <c r="K522" s="101"/>
      <c r="L522" s="138">
        <v>50</v>
      </c>
      <c r="M522" s="142"/>
      <c r="R522" s="85">
        <v>1250</v>
      </c>
      <c r="S522" s="92">
        <v>52</v>
      </c>
      <c r="T522" s="101"/>
      <c r="U522" s="143">
        <f t="shared" si="47"/>
        <v>1833</v>
      </c>
      <c r="V522" s="138">
        <v>400</v>
      </c>
      <c r="W522" s="137">
        <v>400</v>
      </c>
      <c r="Y522" s="141">
        <v>15.912037037037299</v>
      </c>
      <c r="Z522" s="174"/>
    </row>
    <row r="523" spans="2:26">
      <c r="B523" s="176"/>
      <c r="C523" s="186"/>
      <c r="D523" s="183"/>
      <c r="E523" s="23">
        <v>1251</v>
      </c>
      <c r="F523" s="23">
        <f>DEMANDA_PREVISIÓN!E1255</f>
        <v>46</v>
      </c>
      <c r="G523" s="101"/>
      <c r="H523" s="23">
        <f t="shared" si="52"/>
        <v>3260</v>
      </c>
      <c r="I523" s="137">
        <v>400</v>
      </c>
      <c r="J523" s="138">
        <v>400</v>
      </c>
      <c r="K523" s="101"/>
      <c r="L523" s="138">
        <v>50</v>
      </c>
      <c r="M523" s="142"/>
      <c r="R523" s="85">
        <v>1251</v>
      </c>
      <c r="S523" s="92">
        <v>77</v>
      </c>
      <c r="T523" s="101"/>
      <c r="U523" s="143">
        <f t="shared" si="47"/>
        <v>1756</v>
      </c>
      <c r="V523" s="138">
        <v>400</v>
      </c>
      <c r="W523" s="137">
        <v>400</v>
      </c>
      <c r="Y523" s="141">
        <v>15.921643518518801</v>
      </c>
      <c r="Z523" s="174"/>
    </row>
    <row r="524" spans="2:26">
      <c r="B524" s="176"/>
      <c r="C524" s="186"/>
      <c r="D524" s="183"/>
      <c r="E524" s="23">
        <v>1252</v>
      </c>
      <c r="F524" s="23">
        <f>DEMANDA_PREVISIÓN!E1256</f>
        <v>35</v>
      </c>
      <c r="G524" s="101"/>
      <c r="H524" s="23">
        <f t="shared" si="52"/>
        <v>3225</v>
      </c>
      <c r="I524" s="137">
        <v>400</v>
      </c>
      <c r="J524" s="138">
        <v>400</v>
      </c>
      <c r="K524" s="101"/>
      <c r="L524" s="138">
        <v>50</v>
      </c>
      <c r="M524" s="142"/>
      <c r="R524" s="85">
        <v>1252</v>
      </c>
      <c r="S524" s="92">
        <v>105</v>
      </c>
      <c r="T524" s="101"/>
      <c r="U524" s="143">
        <f t="shared" si="47"/>
        <v>1651</v>
      </c>
      <c r="V524" s="138">
        <v>400</v>
      </c>
      <c r="W524" s="137">
        <v>400</v>
      </c>
      <c r="Y524" s="141">
        <v>15.931250000000301</v>
      </c>
      <c r="Z524" s="174"/>
    </row>
    <row r="525" spans="2:26">
      <c r="B525" s="176"/>
      <c r="C525" s="186"/>
      <c r="D525" s="183"/>
      <c r="E525" s="23">
        <v>1253</v>
      </c>
      <c r="F525" s="23">
        <f>DEMANDA_PREVISIÓN!E1257</f>
        <v>34</v>
      </c>
      <c r="G525" s="101"/>
      <c r="H525" s="23">
        <f t="shared" si="52"/>
        <v>3191</v>
      </c>
      <c r="I525" s="137">
        <v>400</v>
      </c>
      <c r="J525" s="138">
        <v>400</v>
      </c>
      <c r="K525" s="101"/>
      <c r="L525" s="138">
        <v>50</v>
      </c>
      <c r="M525" s="142"/>
      <c r="R525" s="85">
        <v>1253</v>
      </c>
      <c r="S525" s="92">
        <v>114</v>
      </c>
      <c r="T525" s="101"/>
      <c r="U525" s="143">
        <f t="shared" si="47"/>
        <v>1537</v>
      </c>
      <c r="V525" s="138">
        <v>400</v>
      </c>
      <c r="W525" s="137">
        <v>400</v>
      </c>
      <c r="Y525" s="141">
        <v>15.9408564814818</v>
      </c>
      <c r="Z525" s="174"/>
    </row>
    <row r="526" spans="2:26">
      <c r="B526" s="176"/>
      <c r="C526" s="186"/>
      <c r="D526" s="183"/>
      <c r="E526" s="23">
        <v>1254</v>
      </c>
      <c r="F526" s="23">
        <f>DEMANDA_PREVISIÓN!E1258</f>
        <v>49</v>
      </c>
      <c r="G526" s="101"/>
      <c r="H526" s="23">
        <f t="shared" si="52"/>
        <v>3142</v>
      </c>
      <c r="I526" s="137">
        <v>400</v>
      </c>
      <c r="J526" s="138">
        <v>400</v>
      </c>
      <c r="K526" s="101"/>
      <c r="L526" s="138">
        <v>50</v>
      </c>
      <c r="M526" s="142"/>
      <c r="R526" s="85">
        <v>1254</v>
      </c>
      <c r="S526" s="92">
        <v>59</v>
      </c>
      <c r="T526" s="101"/>
      <c r="U526" s="143">
        <f t="shared" si="47"/>
        <v>1478</v>
      </c>
      <c r="V526" s="138">
        <v>400</v>
      </c>
      <c r="W526" s="137">
        <v>400</v>
      </c>
      <c r="Y526" s="141">
        <v>15.950462962963201</v>
      </c>
      <c r="Z526" s="174"/>
    </row>
    <row r="527" spans="2:26">
      <c r="B527" s="176"/>
      <c r="C527" s="186"/>
      <c r="D527" s="183"/>
      <c r="E527" s="23">
        <v>1255</v>
      </c>
      <c r="F527" s="23">
        <f>DEMANDA_PREVISIÓN!E1259</f>
        <v>37</v>
      </c>
      <c r="G527" s="101"/>
      <c r="H527" s="23">
        <f t="shared" si="52"/>
        <v>3105</v>
      </c>
      <c r="I527" s="137">
        <v>400</v>
      </c>
      <c r="J527" s="138">
        <v>400</v>
      </c>
      <c r="K527" s="101"/>
      <c r="L527" s="138">
        <v>50</v>
      </c>
      <c r="M527" s="142"/>
      <c r="R527" s="85">
        <v>1255</v>
      </c>
      <c r="S527" s="92">
        <v>91</v>
      </c>
      <c r="T527" s="101"/>
      <c r="U527" s="143">
        <f t="shared" si="47"/>
        <v>1387</v>
      </c>
      <c r="V527" s="138">
        <v>400</v>
      </c>
      <c r="W527" s="137">
        <v>400</v>
      </c>
      <c r="Y527" s="141">
        <v>15.9600694444447</v>
      </c>
      <c r="Z527" s="174"/>
    </row>
    <row r="528" spans="2:26">
      <c r="B528" s="176"/>
      <c r="C528" s="186"/>
      <c r="D528" s="183"/>
      <c r="E528" s="23">
        <v>1256</v>
      </c>
      <c r="F528" s="23">
        <f>DEMANDA_PREVISIÓN!E1260</f>
        <v>48</v>
      </c>
      <c r="G528" s="101"/>
      <c r="H528" s="137">
        <f>I527+H527</f>
        <v>3505</v>
      </c>
      <c r="I528" s="23"/>
      <c r="J528" s="138">
        <v>400</v>
      </c>
      <c r="K528" s="101"/>
      <c r="L528" s="138">
        <v>50</v>
      </c>
      <c r="M528" s="142"/>
      <c r="R528" s="85">
        <v>1256</v>
      </c>
      <c r="S528" s="92">
        <v>88</v>
      </c>
      <c r="T528" s="101"/>
      <c r="U528" s="143">
        <f t="shared" si="47"/>
        <v>1299</v>
      </c>
      <c r="V528" s="138">
        <v>400</v>
      </c>
      <c r="W528" s="137">
        <v>400</v>
      </c>
      <c r="Y528" s="141">
        <v>15.9696759259262</v>
      </c>
      <c r="Z528" s="174"/>
    </row>
    <row r="529" spans="2:26">
      <c r="B529" s="176"/>
      <c r="C529" s="186"/>
      <c r="D529" s="183"/>
      <c r="E529" s="23">
        <v>1257</v>
      </c>
      <c r="F529" s="23">
        <f>DEMANDA_PREVISIÓN!E1261</f>
        <v>44</v>
      </c>
      <c r="G529" s="101"/>
      <c r="H529" s="23">
        <f t="shared" ref="H529:H535" si="53">H528-F529</f>
        <v>3461</v>
      </c>
      <c r="I529" s="138">
        <v>400</v>
      </c>
      <c r="J529" s="138">
        <v>400</v>
      </c>
      <c r="K529" s="101"/>
      <c r="L529" s="138">
        <v>50</v>
      </c>
      <c r="M529" s="142"/>
      <c r="R529" s="85">
        <v>1257</v>
      </c>
      <c r="S529" s="92">
        <v>67</v>
      </c>
      <c r="T529" s="101"/>
      <c r="U529" s="143">
        <f>U528+V528-S529</f>
        <v>1632</v>
      </c>
      <c r="W529" s="137">
        <v>400</v>
      </c>
      <c r="Y529" s="141">
        <v>15.9792824074077</v>
      </c>
      <c r="Z529" s="174"/>
    </row>
    <row r="530" spans="2:26">
      <c r="B530" s="176"/>
      <c r="C530" s="186"/>
      <c r="D530" s="183"/>
      <c r="E530" s="23">
        <v>1258</v>
      </c>
      <c r="F530" s="23">
        <f>DEMANDA_PREVISIÓN!E1262</f>
        <v>42</v>
      </c>
      <c r="G530" s="101"/>
      <c r="H530" s="23">
        <f t="shared" si="53"/>
        <v>3419</v>
      </c>
      <c r="I530" s="138">
        <v>400</v>
      </c>
      <c r="J530" s="134">
        <v>400</v>
      </c>
      <c r="K530" s="101"/>
      <c r="L530" s="134">
        <v>50</v>
      </c>
      <c r="M530" s="142"/>
      <c r="R530" s="85">
        <v>1258</v>
      </c>
      <c r="S530" s="92">
        <v>65</v>
      </c>
      <c r="T530" s="101"/>
      <c r="U530" s="143">
        <f t="shared" si="47"/>
        <v>1567</v>
      </c>
      <c r="V530" s="137">
        <v>400</v>
      </c>
      <c r="W530" s="138">
        <v>400</v>
      </c>
      <c r="Y530" s="141">
        <v>15.9888888888892</v>
      </c>
      <c r="Z530" s="174"/>
    </row>
    <row r="531" spans="2:26">
      <c r="B531" s="176"/>
      <c r="C531" s="186"/>
      <c r="D531" s="183"/>
      <c r="E531" s="23">
        <v>1259</v>
      </c>
      <c r="F531" s="23">
        <f>DEMANDA_PREVISIÓN!E1263</f>
        <v>31</v>
      </c>
      <c r="G531" s="101"/>
      <c r="H531" s="23">
        <f t="shared" si="53"/>
        <v>3388</v>
      </c>
      <c r="I531" s="138">
        <v>400</v>
      </c>
      <c r="J531" s="134">
        <v>400</v>
      </c>
      <c r="K531" s="101"/>
      <c r="L531" s="134">
        <v>50</v>
      </c>
      <c r="M531" s="142"/>
      <c r="R531" s="85">
        <v>1259</v>
      </c>
      <c r="S531" s="92">
        <v>81</v>
      </c>
      <c r="T531" s="101"/>
      <c r="U531" s="143">
        <f t="shared" si="47"/>
        <v>1486</v>
      </c>
      <c r="V531" s="137">
        <v>400</v>
      </c>
      <c r="W531" s="138">
        <v>400</v>
      </c>
      <c r="Y531" s="141">
        <v>15.9984953703707</v>
      </c>
      <c r="Z531" s="174"/>
    </row>
    <row r="532" spans="2:26">
      <c r="B532" s="176"/>
      <c r="C532" s="186"/>
      <c r="D532" s="183"/>
      <c r="E532" s="23">
        <v>1260</v>
      </c>
      <c r="F532" s="23">
        <f>DEMANDA_PREVISIÓN!E1264</f>
        <v>42</v>
      </c>
      <c r="G532" s="101"/>
      <c r="H532" s="23">
        <f t="shared" si="53"/>
        <v>3346</v>
      </c>
      <c r="I532" s="138">
        <v>400</v>
      </c>
      <c r="J532" s="134">
        <v>400</v>
      </c>
      <c r="K532" s="101"/>
      <c r="L532" s="134">
        <v>50</v>
      </c>
      <c r="M532" s="142"/>
      <c r="R532" s="85">
        <v>1260</v>
      </c>
      <c r="S532" s="92">
        <v>100</v>
      </c>
      <c r="T532" s="101"/>
      <c r="U532" s="143">
        <f t="shared" si="47"/>
        <v>1386</v>
      </c>
      <c r="V532" s="137">
        <v>400</v>
      </c>
      <c r="W532" s="138">
        <v>400</v>
      </c>
      <c r="Y532" s="141">
        <v>16.0081018518521</v>
      </c>
      <c r="Z532" s="174">
        <v>6</v>
      </c>
    </row>
    <row r="533" spans="2:26">
      <c r="B533" s="176"/>
      <c r="C533" s="186"/>
      <c r="D533" s="183"/>
      <c r="E533" s="23">
        <v>1261</v>
      </c>
      <c r="F533" s="23">
        <f>DEMANDA_PREVISIÓN!E1265</f>
        <v>39</v>
      </c>
      <c r="G533" s="101"/>
      <c r="H533" s="23">
        <f t="shared" si="53"/>
        <v>3307</v>
      </c>
      <c r="I533" s="138">
        <v>400</v>
      </c>
      <c r="J533" s="134">
        <v>400</v>
      </c>
      <c r="K533" s="101"/>
      <c r="L533" s="134">
        <v>50</v>
      </c>
      <c r="M533" s="142"/>
      <c r="R533" s="85">
        <v>1261</v>
      </c>
      <c r="S533" s="92">
        <v>66</v>
      </c>
      <c r="T533" s="101"/>
      <c r="U533" s="143">
        <f t="shared" si="47"/>
        <v>1320</v>
      </c>
      <c r="V533" s="137">
        <v>400</v>
      </c>
      <c r="W533" s="138">
        <v>400</v>
      </c>
      <c r="Y533" s="141">
        <v>16.017708333333601</v>
      </c>
      <c r="Z533" s="174"/>
    </row>
    <row r="534" spans="2:26">
      <c r="B534" s="176"/>
      <c r="C534" s="186"/>
      <c r="D534" s="183"/>
      <c r="E534" s="23">
        <v>1262</v>
      </c>
      <c r="F534" s="23">
        <f>DEMANDA_PREVISIÓN!E1266</f>
        <v>38</v>
      </c>
      <c r="G534" s="101"/>
      <c r="H534" s="23">
        <f t="shared" si="53"/>
        <v>3269</v>
      </c>
      <c r="I534" s="138">
        <v>400</v>
      </c>
      <c r="J534" s="134">
        <v>400</v>
      </c>
      <c r="K534" s="101"/>
      <c r="L534" s="134">
        <v>50</v>
      </c>
      <c r="M534" s="142"/>
      <c r="R534" s="85">
        <v>1262</v>
      </c>
      <c r="S534" s="92">
        <v>85</v>
      </c>
      <c r="T534" s="101"/>
      <c r="U534" s="143">
        <f t="shared" si="47"/>
        <v>1235</v>
      </c>
      <c r="V534" s="137">
        <v>400</v>
      </c>
      <c r="W534" s="138">
        <v>400</v>
      </c>
      <c r="Y534" s="141">
        <v>16.027314814815099</v>
      </c>
      <c r="Z534" s="174"/>
    </row>
    <row r="535" spans="2:26">
      <c r="B535" s="176"/>
      <c r="C535" s="186"/>
      <c r="D535" s="183"/>
      <c r="E535" s="23">
        <v>1263</v>
      </c>
      <c r="F535" s="23">
        <f>DEMANDA_PREVISIÓN!E1267</f>
        <v>49</v>
      </c>
      <c r="G535" s="101"/>
      <c r="H535" s="23">
        <f t="shared" si="53"/>
        <v>3220</v>
      </c>
      <c r="I535" s="138">
        <v>400</v>
      </c>
      <c r="J535" s="134">
        <v>400</v>
      </c>
      <c r="K535" s="101"/>
      <c r="L535" s="134">
        <v>50</v>
      </c>
      <c r="M535" s="142"/>
      <c r="R535" s="85">
        <v>1263</v>
      </c>
      <c r="S535" s="92">
        <v>70</v>
      </c>
      <c r="T535" s="101"/>
      <c r="U535" s="143">
        <f t="shared" si="47"/>
        <v>1165</v>
      </c>
      <c r="V535" s="137">
        <v>400</v>
      </c>
      <c r="W535" s="138">
        <v>400</v>
      </c>
      <c r="Y535" s="141">
        <v>16.036921296296601</v>
      </c>
      <c r="Z535" s="174"/>
    </row>
    <row r="536" spans="2:26">
      <c r="B536" s="176"/>
      <c r="C536" s="186"/>
      <c r="D536" s="183"/>
      <c r="E536" s="23">
        <v>1264</v>
      </c>
      <c r="F536" s="23">
        <f>DEMANDA_PREVISIÓN!E1268</f>
        <v>34</v>
      </c>
      <c r="G536" s="101"/>
      <c r="H536" s="138">
        <f>I535+H535</f>
        <v>3620</v>
      </c>
      <c r="I536" s="23"/>
      <c r="J536" s="134">
        <v>400</v>
      </c>
      <c r="K536" s="101"/>
      <c r="L536" s="134">
        <v>50</v>
      </c>
      <c r="M536" s="142"/>
      <c r="R536" s="85">
        <v>1264</v>
      </c>
      <c r="S536" s="92">
        <v>92</v>
      </c>
      <c r="T536" s="101"/>
      <c r="U536" s="143">
        <f t="shared" si="47"/>
        <v>1073</v>
      </c>
      <c r="V536" s="137">
        <v>400</v>
      </c>
      <c r="W536" s="138">
        <v>400</v>
      </c>
      <c r="Y536" s="141">
        <v>16.046527777778099</v>
      </c>
      <c r="Z536" s="174"/>
    </row>
    <row r="537" spans="2:26">
      <c r="B537" s="176"/>
      <c r="C537" s="186"/>
      <c r="D537" s="183"/>
      <c r="E537" s="23">
        <v>1265</v>
      </c>
      <c r="F537" s="23">
        <f>DEMANDA_PREVISIÓN!E1269</f>
        <v>47</v>
      </c>
      <c r="G537" s="101"/>
      <c r="H537" s="23">
        <f t="shared" ref="H537:H543" si="54">H536-F537</f>
        <v>3573</v>
      </c>
      <c r="I537" s="134">
        <v>400</v>
      </c>
      <c r="J537" s="134">
        <v>400</v>
      </c>
      <c r="K537" s="101"/>
      <c r="L537" s="134">
        <v>50</v>
      </c>
      <c r="M537" s="142"/>
      <c r="R537" s="85">
        <v>1265</v>
      </c>
      <c r="S537" s="92">
        <v>89</v>
      </c>
      <c r="T537" s="101"/>
      <c r="U537" s="143">
        <f>U536+V536-S537</f>
        <v>1384</v>
      </c>
      <c r="W537" s="138">
        <v>400</v>
      </c>
      <c r="Y537" s="141">
        <v>16.056134259259501</v>
      </c>
      <c r="Z537" s="174"/>
    </row>
    <row r="538" spans="2:26">
      <c r="B538" s="176"/>
      <c r="C538" s="186"/>
      <c r="D538" s="183"/>
      <c r="E538" s="23">
        <v>1266</v>
      </c>
      <c r="F538" s="23">
        <f>DEMANDA_PREVISIÓN!E1270</f>
        <v>49</v>
      </c>
      <c r="G538" s="101"/>
      <c r="H538" s="23">
        <f t="shared" si="54"/>
        <v>3524</v>
      </c>
      <c r="I538" s="134">
        <v>400</v>
      </c>
      <c r="J538" s="128">
        <v>400</v>
      </c>
      <c r="K538" s="101"/>
      <c r="L538" s="128">
        <v>50</v>
      </c>
      <c r="M538" s="142"/>
      <c r="R538" s="85">
        <v>1266</v>
      </c>
      <c r="S538" s="92">
        <v>55</v>
      </c>
      <c r="T538" s="101"/>
      <c r="U538" s="143">
        <f t="shared" si="47"/>
        <v>1329</v>
      </c>
      <c r="V538" s="138">
        <v>400</v>
      </c>
      <c r="W538" s="137">
        <v>400</v>
      </c>
      <c r="Y538" s="141">
        <v>16.065740740740999</v>
      </c>
      <c r="Z538" s="174"/>
    </row>
    <row r="539" spans="2:26">
      <c r="B539" s="176"/>
      <c r="C539" s="186"/>
      <c r="D539" s="183"/>
      <c r="E539" s="23">
        <v>1267</v>
      </c>
      <c r="F539" s="23">
        <f>DEMANDA_PREVISIÓN!E1271</f>
        <v>47</v>
      </c>
      <c r="G539" s="101"/>
      <c r="H539" s="23">
        <f t="shared" si="54"/>
        <v>3477</v>
      </c>
      <c r="I539" s="134">
        <v>400</v>
      </c>
      <c r="J539" s="128">
        <v>400</v>
      </c>
      <c r="K539" s="101"/>
      <c r="L539" s="128">
        <v>50</v>
      </c>
      <c r="M539" s="142"/>
      <c r="R539" s="85">
        <v>1267</v>
      </c>
      <c r="S539" s="92">
        <v>95</v>
      </c>
      <c r="T539" s="101"/>
      <c r="U539" s="143">
        <f t="shared" si="47"/>
        <v>1234</v>
      </c>
      <c r="V539" s="138">
        <v>400</v>
      </c>
      <c r="W539" s="137">
        <v>400</v>
      </c>
      <c r="Y539" s="141">
        <v>16.075347222222501</v>
      </c>
      <c r="Z539" s="174"/>
    </row>
    <row r="540" spans="2:26">
      <c r="B540" s="176"/>
      <c r="C540" s="186"/>
      <c r="D540" s="183"/>
      <c r="E540" s="23">
        <v>1268</v>
      </c>
      <c r="F540" s="23">
        <f>DEMANDA_PREVISIÓN!E1272</f>
        <v>42</v>
      </c>
      <c r="G540" s="101"/>
      <c r="H540" s="23">
        <f t="shared" si="54"/>
        <v>3435</v>
      </c>
      <c r="I540" s="134">
        <v>400</v>
      </c>
      <c r="J540" s="128">
        <v>400</v>
      </c>
      <c r="K540" s="101"/>
      <c r="L540" s="128">
        <v>50</v>
      </c>
      <c r="M540" s="142"/>
      <c r="R540" s="85">
        <v>1268</v>
      </c>
      <c r="S540" s="92">
        <v>58</v>
      </c>
      <c r="T540" s="101"/>
      <c r="U540" s="143">
        <f t="shared" si="47"/>
        <v>1176</v>
      </c>
      <c r="V540" s="138">
        <v>400</v>
      </c>
      <c r="W540" s="137">
        <v>400</v>
      </c>
      <c r="Y540" s="141">
        <v>16.084953703703999</v>
      </c>
      <c r="Z540" s="174"/>
    </row>
    <row r="541" spans="2:26">
      <c r="B541" s="176"/>
      <c r="C541" s="186"/>
      <c r="D541" s="183"/>
      <c r="E541" s="23">
        <v>1269</v>
      </c>
      <c r="F541" s="23">
        <f>DEMANDA_PREVISIÓN!E1273</f>
        <v>39</v>
      </c>
      <c r="G541" s="101"/>
      <c r="H541" s="23">
        <f t="shared" si="54"/>
        <v>3396</v>
      </c>
      <c r="I541" s="134">
        <v>400</v>
      </c>
      <c r="J541" s="128">
        <v>400</v>
      </c>
      <c r="K541" s="101"/>
      <c r="L541" s="128">
        <v>50</v>
      </c>
      <c r="M541" s="142"/>
      <c r="R541" s="85">
        <v>1269</v>
      </c>
      <c r="S541" s="92">
        <v>81</v>
      </c>
      <c r="T541" s="101"/>
      <c r="U541" s="143">
        <f t="shared" si="47"/>
        <v>1095</v>
      </c>
      <c r="V541" s="138">
        <v>400</v>
      </c>
      <c r="W541" s="137">
        <v>400</v>
      </c>
      <c r="Y541" s="141">
        <v>16.0945601851855</v>
      </c>
      <c r="Z541" s="174"/>
    </row>
    <row r="542" spans="2:26">
      <c r="B542" s="176"/>
      <c r="C542" s="186"/>
      <c r="D542" s="183"/>
      <c r="E542" s="23">
        <v>1270</v>
      </c>
      <c r="F542" s="23">
        <f>DEMANDA_PREVISIÓN!E1274</f>
        <v>49</v>
      </c>
      <c r="G542" s="101"/>
      <c r="H542" s="23">
        <f t="shared" si="54"/>
        <v>3347</v>
      </c>
      <c r="I542" s="134">
        <v>400</v>
      </c>
      <c r="J542" s="128">
        <v>400</v>
      </c>
      <c r="K542" s="101"/>
      <c r="L542" s="128">
        <v>50</v>
      </c>
      <c r="M542" s="142"/>
      <c r="R542" s="85">
        <v>1270</v>
      </c>
      <c r="S542" s="92">
        <v>124</v>
      </c>
      <c r="T542" s="101"/>
      <c r="U542" s="143">
        <f t="shared" si="47"/>
        <v>971</v>
      </c>
      <c r="V542" s="138">
        <v>400</v>
      </c>
      <c r="W542" s="137">
        <v>400</v>
      </c>
      <c r="Y542" s="141">
        <v>16.104166666666998</v>
      </c>
      <c r="Z542" s="174"/>
    </row>
    <row r="543" spans="2:26">
      <c r="B543" s="176"/>
      <c r="C543" s="186"/>
      <c r="D543" s="183"/>
      <c r="E543" s="23">
        <v>1271</v>
      </c>
      <c r="F543" s="23">
        <f>DEMANDA_PREVISIÓN!E1275</f>
        <v>43</v>
      </c>
      <c r="G543" s="101"/>
      <c r="H543" s="23">
        <f t="shared" si="54"/>
        <v>3304</v>
      </c>
      <c r="I543" s="134">
        <v>400</v>
      </c>
      <c r="J543" s="128">
        <v>400</v>
      </c>
      <c r="K543" s="101"/>
      <c r="L543" s="128">
        <v>50</v>
      </c>
      <c r="M543" s="142"/>
      <c r="R543" s="85">
        <v>1271</v>
      </c>
      <c r="S543" s="92">
        <v>48</v>
      </c>
      <c r="T543" s="101"/>
      <c r="U543" s="143">
        <f t="shared" si="47"/>
        <v>923</v>
      </c>
      <c r="V543" s="138">
        <v>400</v>
      </c>
      <c r="W543" s="137">
        <v>400</v>
      </c>
      <c r="Y543" s="141">
        <v>16.1137731481484</v>
      </c>
      <c r="Z543" s="174"/>
    </row>
    <row r="544" spans="2:26">
      <c r="B544" s="176"/>
      <c r="C544" s="186"/>
      <c r="D544" s="183"/>
      <c r="E544" s="23">
        <v>1272</v>
      </c>
      <c r="F544" s="23">
        <f>DEMANDA_PREVISIÓN!E1276</f>
        <v>44</v>
      </c>
      <c r="G544" s="101"/>
      <c r="H544" s="134">
        <f>I543+H543</f>
        <v>3704</v>
      </c>
      <c r="I544" s="23"/>
      <c r="J544" s="128">
        <v>400</v>
      </c>
      <c r="K544" s="101"/>
      <c r="L544" s="128">
        <v>50</v>
      </c>
      <c r="M544" s="142"/>
      <c r="R544" s="85">
        <v>1272</v>
      </c>
      <c r="S544" s="92">
        <v>97</v>
      </c>
      <c r="T544" s="101"/>
      <c r="U544" s="143">
        <f t="shared" si="47"/>
        <v>826</v>
      </c>
      <c r="V544" s="138">
        <v>400</v>
      </c>
      <c r="W544" s="137">
        <v>400</v>
      </c>
      <c r="Y544" s="141">
        <v>16.123379629629898</v>
      </c>
      <c r="Z544" s="174"/>
    </row>
    <row r="545" spans="2:26">
      <c r="B545" s="176"/>
      <c r="C545" s="186"/>
      <c r="D545" s="183"/>
      <c r="E545" s="23">
        <v>1273</v>
      </c>
      <c r="F545" s="23">
        <f>DEMANDA_PREVISIÓN!E1277</f>
        <v>37</v>
      </c>
      <c r="G545" s="101"/>
      <c r="H545" s="23">
        <f>H544-F545</f>
        <v>3667</v>
      </c>
      <c r="I545" s="128">
        <v>400</v>
      </c>
      <c r="J545" s="128">
        <v>400</v>
      </c>
      <c r="K545" s="101"/>
      <c r="L545" s="128">
        <v>50</v>
      </c>
      <c r="M545" s="142"/>
      <c r="R545" s="85">
        <v>1273</v>
      </c>
      <c r="S545" s="92">
        <v>83</v>
      </c>
      <c r="T545" s="101"/>
      <c r="U545" s="143">
        <f>U544+V544-S545</f>
        <v>1143</v>
      </c>
      <c r="W545" s="137">
        <v>400</v>
      </c>
      <c r="Y545" s="141">
        <v>16.1329861111114</v>
      </c>
      <c r="Z545" s="174"/>
    </row>
    <row r="546" spans="2:26">
      <c r="B546" s="176"/>
      <c r="C546" s="186"/>
      <c r="D546" s="183"/>
      <c r="E546" s="23">
        <v>1274</v>
      </c>
      <c r="F546" s="23">
        <f>DEMANDA_PREVISIÓN!E1278</f>
        <v>40</v>
      </c>
      <c r="G546" s="101"/>
      <c r="H546" s="23">
        <f>H545-F546</f>
        <v>3627</v>
      </c>
      <c r="I546" s="128">
        <v>400</v>
      </c>
      <c r="J546" s="129">
        <v>400</v>
      </c>
      <c r="K546" s="101"/>
      <c r="L546" s="129">
        <v>50</v>
      </c>
      <c r="M546" s="142"/>
      <c r="R546" s="85">
        <v>1274</v>
      </c>
      <c r="S546" s="92">
        <v>83</v>
      </c>
      <c r="T546" s="101"/>
      <c r="U546" s="143">
        <f t="shared" si="47"/>
        <v>1060</v>
      </c>
      <c r="V546" s="137">
        <v>400</v>
      </c>
      <c r="W546" s="138">
        <v>400</v>
      </c>
      <c r="Y546" s="141">
        <v>16.142592592592901</v>
      </c>
      <c r="Z546" s="174"/>
    </row>
    <row r="547" spans="2:26">
      <c r="B547" s="176"/>
      <c r="C547" s="186"/>
      <c r="D547" s="183"/>
      <c r="E547" s="23">
        <v>1275</v>
      </c>
      <c r="F547" s="23">
        <f>DEMANDA_PREVISIÓN!E1279</f>
        <v>41</v>
      </c>
      <c r="G547" s="101"/>
      <c r="H547" s="23">
        <f>H546-F547</f>
        <v>3586</v>
      </c>
      <c r="I547" s="128">
        <v>400</v>
      </c>
      <c r="J547" s="129">
        <v>400</v>
      </c>
      <c r="K547" s="101"/>
      <c r="L547" s="129">
        <v>50</v>
      </c>
      <c r="M547" s="142"/>
      <c r="R547" s="85">
        <v>1275</v>
      </c>
      <c r="S547" s="92">
        <v>160</v>
      </c>
      <c r="T547" s="101"/>
      <c r="U547" s="143">
        <f t="shared" si="47"/>
        <v>900</v>
      </c>
      <c r="V547" s="137">
        <v>400</v>
      </c>
      <c r="W547" s="138">
        <v>400</v>
      </c>
      <c r="Y547" s="141">
        <v>16.152199074074399</v>
      </c>
      <c r="Z547" s="174"/>
    </row>
    <row r="548" spans="2:26">
      <c r="B548" s="176"/>
      <c r="C548" s="186"/>
      <c r="D548" s="184"/>
      <c r="E548" s="23">
        <v>1276</v>
      </c>
      <c r="F548" s="23">
        <f>DEMANDA_PREVISIÓN!E1280</f>
        <v>43</v>
      </c>
      <c r="G548" s="101"/>
      <c r="H548" s="23">
        <f>H547-F548</f>
        <v>3543</v>
      </c>
      <c r="I548" s="128">
        <v>400</v>
      </c>
      <c r="J548" s="129">
        <v>400</v>
      </c>
      <c r="K548" s="101"/>
      <c r="L548" s="129">
        <v>50</v>
      </c>
      <c r="M548" s="142"/>
      <c r="R548" s="85">
        <v>1276</v>
      </c>
      <c r="S548" s="92">
        <v>67</v>
      </c>
      <c r="T548" s="101"/>
      <c r="U548" s="143">
        <f t="shared" si="47"/>
        <v>833</v>
      </c>
      <c r="V548" s="137">
        <v>400</v>
      </c>
      <c r="W548" s="138">
        <v>400</v>
      </c>
      <c r="Y548" s="141">
        <v>16.161805555555802</v>
      </c>
      <c r="Z548" s="174"/>
    </row>
    <row r="549" spans="2:26">
      <c r="B549" s="176"/>
      <c r="C549" s="174" t="s">
        <v>48</v>
      </c>
      <c r="D549" s="182" t="s">
        <v>49</v>
      </c>
      <c r="E549" s="23">
        <v>1277</v>
      </c>
      <c r="F549" s="23">
        <f>DEMANDA_PREVISIÓN!E1281</f>
        <v>38</v>
      </c>
      <c r="G549" s="101"/>
      <c r="H549" s="23">
        <f t="shared" ref="H549:H551" si="55">H548-F549</f>
        <v>3505</v>
      </c>
      <c r="I549" s="128">
        <v>400</v>
      </c>
      <c r="J549" s="129">
        <v>400</v>
      </c>
      <c r="K549" s="101"/>
      <c r="L549" s="129">
        <v>50</v>
      </c>
      <c r="M549" s="142"/>
      <c r="R549" s="85">
        <v>1277</v>
      </c>
      <c r="S549" s="92">
        <v>66</v>
      </c>
      <c r="T549" s="101"/>
      <c r="U549" s="143">
        <f t="shared" si="47"/>
        <v>767</v>
      </c>
      <c r="V549" s="137">
        <v>400</v>
      </c>
      <c r="W549" s="138">
        <v>400</v>
      </c>
      <c r="Y549" s="141">
        <v>16.1714120370373</v>
      </c>
      <c r="Z549" s="174"/>
    </row>
    <row r="550" spans="2:26">
      <c r="B550" s="176"/>
      <c r="C550" s="174"/>
      <c r="D550" s="183"/>
      <c r="E550" s="23">
        <v>1278</v>
      </c>
      <c r="F550" s="23">
        <f>DEMANDA_PREVISIÓN!E1282</f>
        <v>34</v>
      </c>
      <c r="G550" s="101"/>
      <c r="H550" s="23">
        <f t="shared" si="55"/>
        <v>3471</v>
      </c>
      <c r="I550" s="128">
        <v>400</v>
      </c>
      <c r="J550" s="129">
        <v>400</v>
      </c>
      <c r="K550" s="101"/>
      <c r="L550" s="129">
        <v>50</v>
      </c>
      <c r="M550" s="142"/>
      <c r="R550" s="85">
        <v>1278</v>
      </c>
      <c r="S550" s="92">
        <v>105</v>
      </c>
      <c r="T550" s="101"/>
      <c r="U550" s="143">
        <f t="shared" si="47"/>
        <v>662</v>
      </c>
      <c r="V550" s="137">
        <v>400</v>
      </c>
      <c r="W550" s="138">
        <v>400</v>
      </c>
      <c r="Y550" s="141">
        <v>16.181018518518801</v>
      </c>
      <c r="Z550" s="174"/>
    </row>
    <row r="551" spans="2:26">
      <c r="B551" s="176"/>
      <c r="C551" s="174"/>
      <c r="D551" s="183"/>
      <c r="E551" s="23">
        <v>1279</v>
      </c>
      <c r="F551" s="23">
        <f>DEMANDA_PREVISIÓN!E1283</f>
        <v>47</v>
      </c>
      <c r="G551" s="101"/>
      <c r="H551" s="23">
        <f t="shared" si="55"/>
        <v>3424</v>
      </c>
      <c r="I551" s="128">
        <v>400</v>
      </c>
      <c r="J551" s="129">
        <v>400</v>
      </c>
      <c r="K551" s="101"/>
      <c r="L551" s="129">
        <v>50</v>
      </c>
      <c r="M551" s="142"/>
      <c r="R551" s="85">
        <v>1279</v>
      </c>
      <c r="S551" s="92">
        <v>77</v>
      </c>
      <c r="T551" s="101"/>
      <c r="U551" s="143">
        <f t="shared" si="47"/>
        <v>585</v>
      </c>
      <c r="V551" s="137">
        <v>400</v>
      </c>
      <c r="W551" s="138">
        <v>400</v>
      </c>
      <c r="Y551" s="141">
        <v>16.190625000000299</v>
      </c>
      <c r="Z551" s="174"/>
    </row>
    <row r="552" spans="2:26">
      <c r="B552" s="176"/>
      <c r="C552" s="174"/>
      <c r="D552" s="183"/>
      <c r="E552" s="23">
        <v>1280</v>
      </c>
      <c r="F552" s="23">
        <f>DEMANDA_PREVISIÓN!E1284</f>
        <v>36</v>
      </c>
      <c r="G552" s="101"/>
      <c r="H552" s="128">
        <f>I551+H551</f>
        <v>3824</v>
      </c>
      <c r="J552" s="129">
        <v>400</v>
      </c>
      <c r="K552" s="47"/>
      <c r="L552" s="129">
        <v>50</v>
      </c>
      <c r="M552" s="142"/>
      <c r="R552" s="85">
        <v>1280</v>
      </c>
      <c r="S552" s="92">
        <v>70</v>
      </c>
      <c r="T552" s="101"/>
      <c r="U552" s="143">
        <f t="shared" ref="U552:U613" si="56">U551-S552</f>
        <v>515</v>
      </c>
      <c r="V552" s="137">
        <v>400</v>
      </c>
      <c r="W552" s="138">
        <v>400</v>
      </c>
      <c r="Y552" s="141">
        <v>16.200231481481801</v>
      </c>
      <c r="Z552" s="174"/>
    </row>
    <row r="553" spans="2:26">
      <c r="B553" s="176"/>
      <c r="C553" s="174"/>
      <c r="D553" s="183"/>
      <c r="E553" s="23">
        <v>1281</v>
      </c>
      <c r="F553" s="23">
        <f>DEMANDA_PREVISIÓN!E1285</f>
        <v>34</v>
      </c>
      <c r="G553" s="101"/>
      <c r="H553" s="23">
        <f t="shared" ref="H553:H559" si="57">H552-F553</f>
        <v>3790</v>
      </c>
      <c r="I553" s="129">
        <v>400</v>
      </c>
      <c r="J553" s="129">
        <v>400</v>
      </c>
      <c r="K553" s="101"/>
      <c r="L553" s="129">
        <v>50</v>
      </c>
      <c r="M553" s="142"/>
      <c r="R553" s="85">
        <v>1281</v>
      </c>
      <c r="S553" s="92">
        <v>97</v>
      </c>
      <c r="T553" s="101"/>
      <c r="U553" s="143">
        <f>U552+V552-S553</f>
        <v>818</v>
      </c>
      <c r="W553" s="138">
        <v>400</v>
      </c>
      <c r="Y553" s="141">
        <v>16.209837962963299</v>
      </c>
      <c r="Z553" s="174"/>
    </row>
    <row r="554" spans="2:26">
      <c r="B554" s="176"/>
      <c r="C554" s="174"/>
      <c r="D554" s="183"/>
      <c r="E554" s="23">
        <v>1282</v>
      </c>
      <c r="F554" s="23">
        <f>DEMANDA_PREVISIÓN!E1286</f>
        <v>34</v>
      </c>
      <c r="G554" s="101"/>
      <c r="H554" s="23">
        <f t="shared" si="57"/>
        <v>3756</v>
      </c>
      <c r="I554" s="129">
        <v>400</v>
      </c>
      <c r="J554" s="137">
        <v>400</v>
      </c>
      <c r="K554" s="101"/>
      <c r="L554" s="137">
        <v>50</v>
      </c>
      <c r="M554" s="142"/>
      <c r="R554" s="85">
        <v>1282</v>
      </c>
      <c r="S554" s="92">
        <v>116</v>
      </c>
      <c r="T554" s="101"/>
      <c r="U554" s="143">
        <f t="shared" ref="U554:U560" si="58">U553-S554</f>
        <v>702</v>
      </c>
      <c r="V554" s="138">
        <v>400</v>
      </c>
      <c r="W554" s="137">
        <v>400</v>
      </c>
      <c r="Y554" s="141">
        <v>16.219444444444701</v>
      </c>
      <c r="Z554" s="174"/>
    </row>
    <row r="555" spans="2:26">
      <c r="B555" s="176"/>
      <c r="C555" s="174"/>
      <c r="D555" s="183"/>
      <c r="E555" s="23">
        <v>1283</v>
      </c>
      <c r="F555" s="23">
        <f>DEMANDA_PREVISIÓN!E1287</f>
        <v>38</v>
      </c>
      <c r="G555" s="101"/>
      <c r="H555" s="23">
        <f t="shared" si="57"/>
        <v>3718</v>
      </c>
      <c r="I555" s="129">
        <v>400</v>
      </c>
      <c r="J555" s="137">
        <v>400</v>
      </c>
      <c r="K555" s="101"/>
      <c r="L555" s="137">
        <v>50</v>
      </c>
      <c r="M555" s="142"/>
      <c r="R555" s="85">
        <v>1283</v>
      </c>
      <c r="S555" s="92">
        <v>72</v>
      </c>
      <c r="T555" s="101"/>
      <c r="U555" s="143">
        <f t="shared" si="58"/>
        <v>630</v>
      </c>
      <c r="V555" s="138">
        <v>400</v>
      </c>
      <c r="W555" s="137">
        <v>400</v>
      </c>
      <c r="Y555" s="141">
        <v>16.229050925926199</v>
      </c>
      <c r="Z555" s="174"/>
    </row>
    <row r="556" spans="2:26">
      <c r="B556" s="176"/>
      <c r="C556" s="174"/>
      <c r="D556" s="183"/>
      <c r="E556" s="23">
        <v>1284</v>
      </c>
      <c r="F556" s="23">
        <f>DEMANDA_PREVISIÓN!E1288</f>
        <v>38</v>
      </c>
      <c r="G556" s="101"/>
      <c r="H556" s="23">
        <f t="shared" si="57"/>
        <v>3680</v>
      </c>
      <c r="I556" s="129">
        <v>400</v>
      </c>
      <c r="J556" s="137">
        <v>400</v>
      </c>
      <c r="K556" s="101"/>
      <c r="L556" s="137">
        <v>50</v>
      </c>
      <c r="M556" s="142"/>
      <c r="R556" s="85">
        <v>1284</v>
      </c>
      <c r="S556" s="92">
        <v>120</v>
      </c>
      <c r="T556" s="101"/>
      <c r="U556" s="143">
        <f t="shared" si="58"/>
        <v>510</v>
      </c>
      <c r="V556" s="138">
        <v>400</v>
      </c>
      <c r="W556" s="137">
        <v>400</v>
      </c>
      <c r="Y556" s="141">
        <v>16.2386574074077</v>
      </c>
      <c r="Z556" s="174"/>
    </row>
    <row r="557" spans="2:26">
      <c r="B557" s="176"/>
      <c r="C557" s="174"/>
      <c r="D557" s="183"/>
      <c r="E557" s="23">
        <v>1285</v>
      </c>
      <c r="F557" s="23">
        <f>DEMANDA_PREVISIÓN!E1289</f>
        <v>36</v>
      </c>
      <c r="G557" s="101"/>
      <c r="H557" s="23">
        <f t="shared" si="57"/>
        <v>3644</v>
      </c>
      <c r="I557" s="129">
        <v>400</v>
      </c>
      <c r="J557" s="137">
        <v>400</v>
      </c>
      <c r="K557" s="101"/>
      <c r="L557" s="137">
        <v>50</v>
      </c>
      <c r="M557" s="142"/>
      <c r="R557" s="85">
        <v>1285</v>
      </c>
      <c r="S557" s="92">
        <v>88</v>
      </c>
      <c r="T557" s="101"/>
      <c r="U557" s="143">
        <f t="shared" si="58"/>
        <v>422</v>
      </c>
      <c r="V557" s="138">
        <v>400</v>
      </c>
      <c r="W557" s="137">
        <v>400</v>
      </c>
      <c r="Y557" s="141">
        <v>16.248263888889198</v>
      </c>
      <c r="Z557" s="174"/>
    </row>
    <row r="558" spans="2:26">
      <c r="B558" s="176"/>
      <c r="C558" s="174"/>
      <c r="D558" s="183"/>
      <c r="E558" s="23">
        <v>1286</v>
      </c>
      <c r="F558" s="23">
        <f>DEMANDA_PREVISIÓN!E1290</f>
        <v>41</v>
      </c>
      <c r="G558" s="101"/>
      <c r="H558" s="23">
        <f t="shared" si="57"/>
        <v>3603</v>
      </c>
      <c r="I558" s="129">
        <v>400</v>
      </c>
      <c r="J558" s="137">
        <v>400</v>
      </c>
      <c r="K558" s="101"/>
      <c r="L558" s="137">
        <v>50</v>
      </c>
      <c r="M558" s="142"/>
      <c r="R558" s="85">
        <v>1286</v>
      </c>
      <c r="S558" s="92">
        <v>52</v>
      </c>
      <c r="T558" s="101"/>
      <c r="U558" s="143">
        <f t="shared" si="58"/>
        <v>370</v>
      </c>
      <c r="V558" s="138">
        <v>400</v>
      </c>
      <c r="W558" s="137">
        <v>400</v>
      </c>
      <c r="Y558" s="141">
        <v>16.2578703703707</v>
      </c>
      <c r="Z558" s="174"/>
    </row>
    <row r="559" spans="2:26">
      <c r="B559" s="176"/>
      <c r="C559" s="174"/>
      <c r="D559" s="183"/>
      <c r="E559" s="23">
        <v>1287</v>
      </c>
      <c r="F559" s="23">
        <f>DEMANDA_PREVISIÓN!E1291</f>
        <v>40</v>
      </c>
      <c r="G559" s="101"/>
      <c r="H559" s="23">
        <f t="shared" si="57"/>
        <v>3563</v>
      </c>
      <c r="I559" s="129">
        <v>400</v>
      </c>
      <c r="J559" s="137">
        <v>400</v>
      </c>
      <c r="K559" s="101"/>
      <c r="L559" s="137">
        <v>50</v>
      </c>
      <c r="M559" s="142"/>
      <c r="R559" s="85">
        <v>1287</v>
      </c>
      <c r="S559" s="92">
        <v>92</v>
      </c>
      <c r="T559" s="101"/>
      <c r="U559" s="143">
        <f t="shared" si="58"/>
        <v>278</v>
      </c>
      <c r="V559" s="138">
        <v>400</v>
      </c>
      <c r="W559" s="137">
        <v>400</v>
      </c>
      <c r="Y559" s="141">
        <v>16.267476851852201</v>
      </c>
      <c r="Z559" s="174"/>
    </row>
    <row r="560" spans="2:26">
      <c r="B560" s="176"/>
      <c r="C560" s="174"/>
      <c r="D560" s="183"/>
      <c r="E560" s="23">
        <v>1288</v>
      </c>
      <c r="F560" s="23">
        <f>DEMANDA_PREVISIÓN!E1292</f>
        <v>35</v>
      </c>
      <c r="G560" s="101"/>
      <c r="H560" s="129">
        <f>I559+H559</f>
        <v>3963</v>
      </c>
      <c r="I560" s="23"/>
      <c r="J560" s="137">
        <v>400</v>
      </c>
      <c r="K560" s="101"/>
      <c r="L560" s="137">
        <v>50</v>
      </c>
      <c r="M560" s="142"/>
      <c r="R560" s="85">
        <v>1288</v>
      </c>
      <c r="S560" s="92">
        <v>119</v>
      </c>
      <c r="T560" s="101"/>
      <c r="U560" s="143">
        <f t="shared" si="58"/>
        <v>159</v>
      </c>
      <c r="V560" s="138">
        <v>400</v>
      </c>
      <c r="W560" s="137">
        <v>400</v>
      </c>
      <c r="Y560" s="141">
        <v>16.2770833333336</v>
      </c>
      <c r="Z560" s="174"/>
    </row>
    <row r="561" spans="2:26">
      <c r="B561" s="176"/>
      <c r="C561" s="174"/>
      <c r="D561" s="183"/>
      <c r="E561" s="23">
        <v>1289</v>
      </c>
      <c r="F561" s="23">
        <f>DEMANDA_PREVISIÓN!E1293</f>
        <v>40</v>
      </c>
      <c r="G561" s="101"/>
      <c r="H561" s="23">
        <f t="shared" ref="H561:H567" si="59">H560-F561</f>
        <v>3923</v>
      </c>
      <c r="I561" s="137">
        <v>400</v>
      </c>
      <c r="J561" s="137">
        <v>400</v>
      </c>
      <c r="K561" s="101"/>
      <c r="L561" s="137">
        <v>50</v>
      </c>
      <c r="M561" s="142"/>
      <c r="R561" s="85">
        <v>1289</v>
      </c>
      <c r="S561" s="92">
        <v>131</v>
      </c>
      <c r="T561" s="101"/>
      <c r="U561" s="143">
        <f>U560+V560-S561</f>
        <v>428</v>
      </c>
      <c r="W561" s="137">
        <v>400</v>
      </c>
      <c r="Y561" s="141">
        <v>16.286689814815102</v>
      </c>
      <c r="Z561" s="174"/>
    </row>
    <row r="562" spans="2:26">
      <c r="B562" s="176"/>
      <c r="C562" s="174"/>
      <c r="D562" s="183"/>
      <c r="E562" s="23">
        <v>1290</v>
      </c>
      <c r="F562" s="23">
        <f>DEMANDA_PREVISIÓN!E1294</f>
        <v>29</v>
      </c>
      <c r="G562" s="101"/>
      <c r="H562" s="23">
        <f t="shared" si="59"/>
        <v>3894</v>
      </c>
      <c r="I562" s="137">
        <v>400</v>
      </c>
      <c r="J562" s="138">
        <v>400</v>
      </c>
      <c r="K562" s="101"/>
      <c r="L562" s="138">
        <v>50</v>
      </c>
      <c r="M562" s="142"/>
      <c r="R562" s="85">
        <v>1290</v>
      </c>
      <c r="S562" s="92">
        <v>75</v>
      </c>
      <c r="T562" s="101"/>
      <c r="U562" s="143">
        <f t="shared" si="56"/>
        <v>353</v>
      </c>
      <c r="V562" s="137">
        <v>400</v>
      </c>
      <c r="W562" s="138">
        <v>400</v>
      </c>
      <c r="Y562" s="141">
        <v>16.2962962962966</v>
      </c>
      <c r="Z562" s="174"/>
    </row>
    <row r="563" spans="2:26">
      <c r="B563" s="176"/>
      <c r="C563" s="174"/>
      <c r="D563" s="183"/>
      <c r="E563" s="23">
        <v>1291</v>
      </c>
      <c r="F563" s="23">
        <f>DEMANDA_PREVISIÓN!E1295</f>
        <v>50</v>
      </c>
      <c r="G563" s="101"/>
      <c r="H563" s="23">
        <f t="shared" si="59"/>
        <v>3844</v>
      </c>
      <c r="I563" s="137">
        <v>400</v>
      </c>
      <c r="J563" s="138">
        <v>400</v>
      </c>
      <c r="K563" s="101"/>
      <c r="L563" s="138">
        <v>50</v>
      </c>
      <c r="M563" s="142"/>
      <c r="R563" s="85">
        <v>1291</v>
      </c>
      <c r="S563" s="92">
        <v>84</v>
      </c>
      <c r="T563" s="101"/>
      <c r="U563" s="143">
        <f t="shared" si="56"/>
        <v>269</v>
      </c>
      <c r="V563" s="137">
        <v>400</v>
      </c>
      <c r="W563" s="138">
        <v>400</v>
      </c>
      <c r="Y563" s="141">
        <v>16.305902777778101</v>
      </c>
      <c r="Z563" s="174"/>
    </row>
    <row r="564" spans="2:26">
      <c r="B564" s="176"/>
      <c r="C564" s="174"/>
      <c r="D564" s="183"/>
      <c r="E564" s="23">
        <v>1292</v>
      </c>
      <c r="F564" s="23">
        <f>DEMANDA_PREVISIÓN!E1296</f>
        <v>40</v>
      </c>
      <c r="G564" s="101"/>
      <c r="H564" s="23">
        <f t="shared" si="59"/>
        <v>3804</v>
      </c>
      <c r="I564" s="137">
        <v>400</v>
      </c>
      <c r="J564" s="138">
        <v>400</v>
      </c>
      <c r="K564" s="101"/>
      <c r="L564" s="138">
        <v>50</v>
      </c>
      <c r="M564" s="142"/>
      <c r="R564" s="85">
        <v>1292</v>
      </c>
      <c r="S564" s="92">
        <v>66</v>
      </c>
      <c r="T564" s="101"/>
      <c r="U564" s="143">
        <f t="shared" si="56"/>
        <v>203</v>
      </c>
      <c r="V564" s="137">
        <v>400</v>
      </c>
      <c r="W564" s="138">
        <v>400</v>
      </c>
      <c r="Y564" s="141">
        <v>16.315509259259599</v>
      </c>
      <c r="Z564" s="174"/>
    </row>
    <row r="565" spans="2:26">
      <c r="B565" s="176"/>
      <c r="C565" s="174"/>
      <c r="D565" s="183"/>
      <c r="E565" s="23">
        <v>1293</v>
      </c>
      <c r="F565" s="23">
        <f>DEMANDA_PREVISIÓN!E1297</f>
        <v>34</v>
      </c>
      <c r="G565" s="101"/>
      <c r="H565" s="23">
        <f t="shared" si="59"/>
        <v>3770</v>
      </c>
      <c r="I565" s="137">
        <v>400</v>
      </c>
      <c r="J565" s="138">
        <v>400</v>
      </c>
      <c r="K565" s="101"/>
      <c r="L565" s="138">
        <v>50</v>
      </c>
      <c r="M565" s="142"/>
      <c r="R565" s="85">
        <v>1293</v>
      </c>
      <c r="S565" s="92">
        <v>91</v>
      </c>
      <c r="T565" s="101"/>
      <c r="U565" s="143">
        <f t="shared" si="56"/>
        <v>112</v>
      </c>
      <c r="V565" s="137">
        <v>400</v>
      </c>
      <c r="W565" s="138">
        <v>400</v>
      </c>
      <c r="Y565" s="141">
        <v>16.325115740741001</v>
      </c>
      <c r="Z565" s="174"/>
    </row>
    <row r="566" spans="2:26">
      <c r="B566" s="176"/>
      <c r="C566" s="174"/>
      <c r="D566" s="183"/>
      <c r="E566" s="23">
        <v>1294</v>
      </c>
      <c r="F566" s="23">
        <f>DEMANDA_PREVISIÓN!E1298</f>
        <v>27</v>
      </c>
      <c r="G566" s="101"/>
      <c r="H566" s="23">
        <f t="shared" si="59"/>
        <v>3743</v>
      </c>
      <c r="I566" s="137">
        <v>400</v>
      </c>
      <c r="J566" s="138">
        <v>400</v>
      </c>
      <c r="K566" s="101"/>
      <c r="L566" s="138">
        <v>50</v>
      </c>
      <c r="M566" s="142"/>
      <c r="R566" s="85">
        <v>1294</v>
      </c>
      <c r="S566" s="92">
        <v>71</v>
      </c>
      <c r="T566" s="101"/>
      <c r="U566" s="143">
        <f t="shared" si="56"/>
        <v>41</v>
      </c>
      <c r="V566" s="137">
        <v>400</v>
      </c>
      <c r="W566" s="138">
        <v>400</v>
      </c>
      <c r="Y566" s="141">
        <v>16.334722222222499</v>
      </c>
      <c r="Z566" s="174"/>
    </row>
    <row r="567" spans="2:26">
      <c r="B567" s="176"/>
      <c r="C567" s="174"/>
      <c r="D567" s="183"/>
      <c r="E567" s="23">
        <v>1295</v>
      </c>
      <c r="F567" s="23">
        <f>DEMANDA_PREVISIÓN!E1299</f>
        <v>39</v>
      </c>
      <c r="G567" s="101"/>
      <c r="H567" s="23">
        <f t="shared" si="59"/>
        <v>3704</v>
      </c>
      <c r="I567" s="137">
        <v>400</v>
      </c>
      <c r="J567" s="138">
        <v>400</v>
      </c>
      <c r="K567" s="101"/>
      <c r="L567" s="138">
        <v>50</v>
      </c>
      <c r="M567" s="142"/>
      <c r="R567" s="85">
        <v>1295</v>
      </c>
      <c r="S567" s="92">
        <v>43</v>
      </c>
      <c r="T567" s="101"/>
      <c r="U567" s="154">
        <v>0</v>
      </c>
      <c r="V567" s="137">
        <v>400</v>
      </c>
      <c r="W567" s="138">
        <v>400</v>
      </c>
      <c r="Y567" s="141">
        <v>16.344328703704001</v>
      </c>
      <c r="Z567" s="174"/>
    </row>
    <row r="568" spans="2:26">
      <c r="B568" s="176"/>
      <c r="C568" s="174"/>
      <c r="D568" s="183"/>
      <c r="E568" s="23">
        <v>1296</v>
      </c>
      <c r="F568" s="23">
        <f>DEMANDA_PREVISIÓN!E1300</f>
        <v>47</v>
      </c>
      <c r="G568" s="101"/>
      <c r="H568" s="137">
        <f>I567+H567</f>
        <v>4104</v>
      </c>
      <c r="I568" s="23"/>
      <c r="J568" s="138">
        <v>400</v>
      </c>
      <c r="K568" s="101"/>
      <c r="L568" s="138">
        <v>50</v>
      </c>
      <c r="M568" s="142"/>
      <c r="R568" s="85">
        <v>1296</v>
      </c>
      <c r="S568" s="92">
        <v>87</v>
      </c>
      <c r="T568" s="101"/>
      <c r="U568" s="154">
        <v>0</v>
      </c>
      <c r="V568" s="137">
        <v>400</v>
      </c>
      <c r="W568" s="138">
        <v>400</v>
      </c>
      <c r="Y568" s="141">
        <v>16.353935185185499</v>
      </c>
      <c r="Z568" s="174"/>
    </row>
    <row r="569" spans="2:26">
      <c r="B569" s="176"/>
      <c r="C569" s="174"/>
      <c r="D569" s="183"/>
      <c r="E569" s="23">
        <v>1297</v>
      </c>
      <c r="F569" s="23">
        <f>DEMANDA_PREVISIÓN!E1301</f>
        <v>42</v>
      </c>
      <c r="G569" s="101"/>
      <c r="H569" s="23">
        <f t="shared" ref="H569:H575" si="60">H568-F569</f>
        <v>4062</v>
      </c>
      <c r="I569" s="138">
        <v>400</v>
      </c>
      <c r="J569" s="138">
        <v>400</v>
      </c>
      <c r="K569" s="101"/>
      <c r="L569" s="138">
        <v>50</v>
      </c>
      <c r="M569" s="142"/>
      <c r="R569" s="85">
        <v>1297</v>
      </c>
      <c r="S569" s="92">
        <v>94</v>
      </c>
      <c r="T569" s="101"/>
      <c r="U569" s="143">
        <f>U568+V568-S569</f>
        <v>306</v>
      </c>
      <c r="W569" s="138">
        <v>400</v>
      </c>
      <c r="Y569" s="141">
        <v>16.363541666667</v>
      </c>
      <c r="Z569" s="174"/>
    </row>
    <row r="570" spans="2:26">
      <c r="B570" s="176"/>
      <c r="C570" s="174"/>
      <c r="D570" s="183"/>
      <c r="E570" s="23">
        <v>1298</v>
      </c>
      <c r="F570" s="23">
        <f>DEMANDA_PREVISIÓN!E1302</f>
        <v>33</v>
      </c>
      <c r="G570" s="101"/>
      <c r="H570" s="23">
        <f t="shared" si="60"/>
        <v>4029</v>
      </c>
      <c r="I570" s="138">
        <v>400</v>
      </c>
      <c r="J570" s="134">
        <v>400</v>
      </c>
      <c r="K570" s="101"/>
      <c r="L570" s="134">
        <v>50</v>
      </c>
      <c r="M570" s="142"/>
      <c r="R570" s="85">
        <v>1298</v>
      </c>
      <c r="S570" s="92">
        <v>74</v>
      </c>
      <c r="T570" s="101"/>
      <c r="U570" s="143">
        <f t="shared" ref="U570:U572" si="61">U569-S570</f>
        <v>232</v>
      </c>
      <c r="V570" s="138">
        <v>400</v>
      </c>
      <c r="W570" s="137">
        <v>400</v>
      </c>
      <c r="Y570" s="141">
        <v>16.373148148148498</v>
      </c>
      <c r="Z570" s="174"/>
    </row>
    <row r="571" spans="2:26">
      <c r="B571" s="176"/>
      <c r="C571" s="174"/>
      <c r="D571" s="183"/>
      <c r="E571" s="23">
        <v>1299</v>
      </c>
      <c r="F571" s="23">
        <f>DEMANDA_PREVISIÓN!E1303</f>
        <v>44</v>
      </c>
      <c r="G571" s="101"/>
      <c r="H571" s="23">
        <f t="shared" si="60"/>
        <v>3985</v>
      </c>
      <c r="I571" s="138">
        <v>400</v>
      </c>
      <c r="J571" s="134">
        <v>400</v>
      </c>
      <c r="K571" s="101"/>
      <c r="L571" s="134">
        <v>50</v>
      </c>
      <c r="M571" s="142"/>
      <c r="R571" s="85">
        <v>1299</v>
      </c>
      <c r="S571" s="92">
        <v>101</v>
      </c>
      <c r="T571" s="101"/>
      <c r="U571" s="143">
        <f t="shared" si="61"/>
        <v>131</v>
      </c>
      <c r="V571" s="138">
        <v>400</v>
      </c>
      <c r="W571" s="137">
        <v>400</v>
      </c>
      <c r="Y571" s="141">
        <v>16.3827546296299</v>
      </c>
      <c r="Z571" s="174"/>
    </row>
    <row r="572" spans="2:26">
      <c r="B572" s="176"/>
      <c r="C572" s="174"/>
      <c r="D572" s="183"/>
      <c r="E572" s="23">
        <v>1300</v>
      </c>
      <c r="F572" s="23">
        <f>DEMANDA_PREVISIÓN!E1304</f>
        <v>44</v>
      </c>
      <c r="G572" s="101"/>
      <c r="H572" s="23">
        <f t="shared" si="60"/>
        <v>3941</v>
      </c>
      <c r="I572" s="138">
        <v>400</v>
      </c>
      <c r="J572" s="134">
        <v>400</v>
      </c>
      <c r="K572" s="101"/>
      <c r="L572" s="134">
        <v>50</v>
      </c>
      <c r="M572" s="142"/>
      <c r="R572" s="85">
        <v>1300</v>
      </c>
      <c r="S572" s="92">
        <v>97</v>
      </c>
      <c r="T572" s="101"/>
      <c r="U572" s="143">
        <f t="shared" si="61"/>
        <v>34</v>
      </c>
      <c r="V572" s="138">
        <v>400</v>
      </c>
      <c r="W572" s="137">
        <v>400</v>
      </c>
      <c r="Y572" s="141">
        <v>16.392361111111398</v>
      </c>
      <c r="Z572" s="174"/>
    </row>
    <row r="573" spans="2:26">
      <c r="B573" s="176"/>
      <c r="C573" s="174"/>
      <c r="D573" s="183"/>
      <c r="E573" s="23">
        <v>1301</v>
      </c>
      <c r="F573" s="23">
        <f>DEMANDA_PREVISIÓN!E1305</f>
        <v>37</v>
      </c>
      <c r="G573" s="101"/>
      <c r="H573" s="23">
        <f t="shared" si="60"/>
        <v>3904</v>
      </c>
      <c r="I573" s="138">
        <v>400</v>
      </c>
      <c r="J573" s="134">
        <v>400</v>
      </c>
      <c r="K573" s="101"/>
      <c r="L573" s="134">
        <v>50</v>
      </c>
      <c r="M573" s="142"/>
      <c r="R573" s="85">
        <v>1301</v>
      </c>
      <c r="S573" s="92">
        <v>81</v>
      </c>
      <c r="T573" s="101"/>
      <c r="U573" s="154">
        <v>0</v>
      </c>
      <c r="V573" s="138">
        <v>400</v>
      </c>
      <c r="W573" s="137">
        <v>400</v>
      </c>
      <c r="Y573" s="141">
        <v>16.4019675925929</v>
      </c>
      <c r="Z573" s="174"/>
    </row>
    <row r="574" spans="2:26">
      <c r="B574" s="176"/>
      <c r="C574" s="174"/>
      <c r="D574" s="183"/>
      <c r="E574" s="23">
        <v>1302</v>
      </c>
      <c r="F574" s="23">
        <f>DEMANDA_PREVISIÓN!E1306</f>
        <v>29</v>
      </c>
      <c r="G574" s="101"/>
      <c r="H574" s="23">
        <f t="shared" si="60"/>
        <v>3875</v>
      </c>
      <c r="I574" s="138">
        <v>400</v>
      </c>
      <c r="J574" s="134">
        <v>400</v>
      </c>
      <c r="K574" s="101"/>
      <c r="L574" s="134">
        <v>50</v>
      </c>
      <c r="M574" s="142"/>
      <c r="R574" s="85">
        <v>1302</v>
      </c>
      <c r="S574" s="92">
        <v>109</v>
      </c>
      <c r="T574" s="101"/>
      <c r="U574" s="154">
        <v>0</v>
      </c>
      <c r="V574" s="138">
        <v>400</v>
      </c>
      <c r="W574" s="137">
        <v>400</v>
      </c>
      <c r="Y574" s="141">
        <v>16.411574074074402</v>
      </c>
      <c r="Z574" s="174"/>
    </row>
    <row r="575" spans="2:26">
      <c r="B575" s="176"/>
      <c r="C575" s="174"/>
      <c r="D575" s="183"/>
      <c r="E575" s="23">
        <v>1303</v>
      </c>
      <c r="F575" s="23">
        <f>DEMANDA_PREVISIÓN!E1307</f>
        <v>40</v>
      </c>
      <c r="G575" s="101"/>
      <c r="H575" s="23">
        <f t="shared" si="60"/>
        <v>3835</v>
      </c>
      <c r="I575" s="138">
        <v>400</v>
      </c>
      <c r="J575" s="134">
        <v>400</v>
      </c>
      <c r="K575" s="101"/>
      <c r="L575" s="134">
        <v>50</v>
      </c>
      <c r="M575" s="142"/>
      <c r="R575" s="85">
        <v>1303</v>
      </c>
      <c r="S575" s="92">
        <v>133</v>
      </c>
      <c r="T575" s="101"/>
      <c r="U575" s="154">
        <v>0</v>
      </c>
      <c r="V575" s="138">
        <v>400</v>
      </c>
      <c r="W575" s="137">
        <v>400</v>
      </c>
      <c r="Y575" s="141">
        <v>16.4211805555559</v>
      </c>
      <c r="Z575" s="174"/>
    </row>
    <row r="576" spans="2:26">
      <c r="B576" s="176"/>
      <c r="C576" s="174"/>
      <c r="D576" s="183"/>
      <c r="E576" s="23">
        <v>1304</v>
      </c>
      <c r="F576" s="23">
        <f>DEMANDA_PREVISIÓN!E1308</f>
        <v>31</v>
      </c>
      <c r="G576" s="101"/>
      <c r="H576" s="138">
        <f>I575+H575</f>
        <v>4235</v>
      </c>
      <c r="I576" s="23"/>
      <c r="J576" s="134">
        <v>400</v>
      </c>
      <c r="K576" s="101"/>
      <c r="L576" s="134">
        <v>50</v>
      </c>
      <c r="M576" s="142"/>
      <c r="R576" s="85">
        <v>1304</v>
      </c>
      <c r="S576" s="92">
        <v>50</v>
      </c>
      <c r="T576" s="101"/>
      <c r="U576" s="154">
        <v>0</v>
      </c>
      <c r="V576" s="138">
        <v>400</v>
      </c>
      <c r="W576" s="137">
        <v>400</v>
      </c>
      <c r="Y576" s="141">
        <v>16.430787037037302</v>
      </c>
      <c r="Z576" s="174"/>
    </row>
    <row r="577" spans="2:26">
      <c r="B577" s="176"/>
      <c r="C577" s="174"/>
      <c r="D577" s="183"/>
      <c r="E577" s="23">
        <v>1305</v>
      </c>
      <c r="F577" s="23">
        <f>DEMANDA_PREVISIÓN!E1309</f>
        <v>25</v>
      </c>
      <c r="G577" s="101"/>
      <c r="H577" s="23">
        <f t="shared" ref="H577:H583" si="62">H576-F577</f>
        <v>4210</v>
      </c>
      <c r="I577" s="134">
        <v>400</v>
      </c>
      <c r="J577" s="134">
        <v>400</v>
      </c>
      <c r="K577" s="101"/>
      <c r="L577" s="134">
        <v>50</v>
      </c>
      <c r="M577" s="142"/>
      <c r="R577" s="40">
        <v>1305</v>
      </c>
      <c r="S577" s="153">
        <v>68</v>
      </c>
      <c r="T577" s="101"/>
      <c r="U577" s="101">
        <v>444</v>
      </c>
      <c r="W577" s="137">
        <v>400</v>
      </c>
      <c r="Y577" s="141">
        <v>16.4403935185188</v>
      </c>
      <c r="Z577" s="174"/>
    </row>
    <row r="578" spans="2:26">
      <c r="B578" s="176"/>
      <c r="C578" s="174"/>
      <c r="D578" s="183"/>
      <c r="E578" s="23">
        <v>1306</v>
      </c>
      <c r="F578" s="23">
        <f>DEMANDA_PREVISIÓN!E1310</f>
        <v>39</v>
      </c>
      <c r="G578" s="101"/>
      <c r="H578" s="23">
        <f t="shared" si="62"/>
        <v>4171</v>
      </c>
      <c r="I578" s="134">
        <v>400</v>
      </c>
      <c r="J578" s="128">
        <v>400</v>
      </c>
      <c r="K578" s="101"/>
      <c r="L578" s="128">
        <v>50</v>
      </c>
      <c r="M578" s="142"/>
      <c r="R578" s="40">
        <v>1306</v>
      </c>
      <c r="S578" s="153">
        <v>62</v>
      </c>
      <c r="T578" s="101"/>
      <c r="U578" s="101">
        <f t="shared" si="56"/>
        <v>382</v>
      </c>
      <c r="V578" s="137">
        <v>400</v>
      </c>
      <c r="W578" s="138">
        <v>400</v>
      </c>
      <c r="Y578" s="141">
        <v>16.450000000000301</v>
      </c>
      <c r="Z578" s="174"/>
    </row>
    <row r="579" spans="2:26">
      <c r="B579" s="176"/>
      <c r="C579" s="174"/>
      <c r="D579" s="184"/>
      <c r="E579" s="23">
        <v>1307</v>
      </c>
      <c r="F579" s="23">
        <f>DEMANDA_PREVISIÓN!E1311</f>
        <v>33</v>
      </c>
      <c r="G579" s="101"/>
      <c r="H579" s="23">
        <f t="shared" si="62"/>
        <v>4138</v>
      </c>
      <c r="I579" s="134">
        <v>400</v>
      </c>
      <c r="J579" s="128">
        <v>400</v>
      </c>
      <c r="K579" s="101"/>
      <c r="L579" s="128">
        <v>50</v>
      </c>
      <c r="M579" s="142"/>
      <c r="R579" s="40">
        <v>1307</v>
      </c>
      <c r="S579" s="153">
        <v>114</v>
      </c>
      <c r="T579" s="101"/>
      <c r="U579" s="101">
        <f t="shared" si="56"/>
        <v>268</v>
      </c>
      <c r="V579" s="137">
        <v>400</v>
      </c>
      <c r="W579" s="138">
        <v>400</v>
      </c>
      <c r="Y579" s="141">
        <v>16.459606481481799</v>
      </c>
      <c r="Z579" s="174"/>
    </row>
    <row r="580" spans="2:26">
      <c r="B580" s="176"/>
      <c r="C580" s="174"/>
      <c r="D580" s="171" t="s">
        <v>50</v>
      </c>
      <c r="E580" s="23">
        <v>1308</v>
      </c>
      <c r="F580" s="23">
        <f>DEMANDA_PREVISIÓN!E1312</f>
        <v>30</v>
      </c>
      <c r="G580" s="101"/>
      <c r="H580" s="23">
        <f t="shared" si="62"/>
        <v>4108</v>
      </c>
      <c r="I580" s="134">
        <v>400</v>
      </c>
      <c r="J580" s="128">
        <v>400</v>
      </c>
      <c r="K580" s="101"/>
      <c r="L580" s="128">
        <v>50</v>
      </c>
      <c r="M580" s="142"/>
      <c r="R580" s="40">
        <v>1308</v>
      </c>
      <c r="S580" s="153">
        <v>78</v>
      </c>
      <c r="T580" s="101"/>
      <c r="U580" s="101">
        <f t="shared" si="56"/>
        <v>190</v>
      </c>
      <c r="V580" s="137">
        <v>400</v>
      </c>
      <c r="W580" s="138">
        <v>400</v>
      </c>
      <c r="Y580" s="141">
        <v>16.469212962963301</v>
      </c>
      <c r="Z580" s="174"/>
    </row>
    <row r="581" spans="2:26">
      <c r="B581" s="176"/>
      <c r="C581" s="174"/>
      <c r="D581" s="172"/>
      <c r="E581" s="23">
        <v>1309</v>
      </c>
      <c r="F581" s="23">
        <f>DEMANDA_PREVISIÓN!E1313</f>
        <v>42</v>
      </c>
      <c r="G581" s="101"/>
      <c r="H581" s="23">
        <f t="shared" si="62"/>
        <v>4066</v>
      </c>
      <c r="I581" s="134">
        <v>400</v>
      </c>
      <c r="J581" s="128">
        <v>400</v>
      </c>
      <c r="K581" s="101"/>
      <c r="L581" s="128">
        <v>50</v>
      </c>
      <c r="M581" s="142"/>
      <c r="R581" s="40">
        <v>1309</v>
      </c>
      <c r="S581" s="153">
        <v>106</v>
      </c>
      <c r="T581" s="101"/>
      <c r="U581" s="155">
        <v>0</v>
      </c>
      <c r="V581" s="137">
        <v>400</v>
      </c>
      <c r="W581" s="138">
        <v>400</v>
      </c>
      <c r="Y581" s="141">
        <v>16.478819444444799</v>
      </c>
      <c r="Z581" s="174"/>
    </row>
    <row r="582" spans="2:26">
      <c r="B582" s="176"/>
      <c r="C582" s="174"/>
      <c r="D582" s="172"/>
      <c r="E582" s="23">
        <v>1310</v>
      </c>
      <c r="F582" s="23">
        <f>DEMANDA_PREVISIÓN!E1314</f>
        <v>27</v>
      </c>
      <c r="G582" s="101"/>
      <c r="H582" s="23">
        <f t="shared" si="62"/>
        <v>4039</v>
      </c>
      <c r="I582" s="134">
        <v>400</v>
      </c>
      <c r="J582" s="128">
        <v>400</v>
      </c>
      <c r="K582" s="101"/>
      <c r="L582" s="128">
        <v>50</v>
      </c>
      <c r="M582" s="142"/>
      <c r="R582" s="40">
        <v>1310</v>
      </c>
      <c r="S582" s="153">
        <v>53</v>
      </c>
      <c r="T582" s="101"/>
      <c r="U582" s="155">
        <v>0</v>
      </c>
      <c r="V582" s="137">
        <v>400</v>
      </c>
      <c r="W582" s="138">
        <v>400</v>
      </c>
      <c r="Y582" s="141">
        <v>16.488425925926201</v>
      </c>
      <c r="Z582" s="174"/>
    </row>
    <row r="583" spans="2:26">
      <c r="B583" s="176"/>
      <c r="C583" s="174"/>
      <c r="D583" s="172"/>
      <c r="E583" s="23">
        <v>1311</v>
      </c>
      <c r="F583" s="23">
        <f>DEMANDA_PREVISIÓN!E1315</f>
        <v>39</v>
      </c>
      <c r="G583" s="101"/>
      <c r="H583" s="23">
        <f t="shared" si="62"/>
        <v>4000</v>
      </c>
      <c r="I583" s="134">
        <v>400</v>
      </c>
      <c r="J583" s="128">
        <v>400</v>
      </c>
      <c r="K583" s="101"/>
      <c r="L583" s="128">
        <v>50</v>
      </c>
      <c r="M583" s="142"/>
      <c r="R583" s="40">
        <v>1311</v>
      </c>
      <c r="S583" s="153">
        <v>79</v>
      </c>
      <c r="T583" s="101"/>
      <c r="U583" s="155">
        <v>0</v>
      </c>
      <c r="V583" s="137">
        <v>400</v>
      </c>
      <c r="W583" s="138">
        <v>400</v>
      </c>
      <c r="Y583" s="141">
        <v>16.498032407407699</v>
      </c>
      <c r="Z583" s="174"/>
    </row>
    <row r="584" spans="2:26">
      <c r="B584" s="176"/>
      <c r="C584" s="174"/>
      <c r="D584" s="172"/>
      <c r="E584" s="23">
        <v>1312</v>
      </c>
      <c r="F584" s="23">
        <f>DEMANDA_PREVISIÓN!E1316</f>
        <v>39</v>
      </c>
      <c r="G584" s="101"/>
      <c r="H584" s="134">
        <f>I583+H583</f>
        <v>4400</v>
      </c>
      <c r="I584" s="23"/>
      <c r="J584" s="128">
        <v>400</v>
      </c>
      <c r="K584" s="101"/>
      <c r="L584" s="128">
        <v>50</v>
      </c>
      <c r="M584" s="142"/>
      <c r="R584" s="40">
        <v>1312</v>
      </c>
      <c r="S584" s="153">
        <v>91</v>
      </c>
      <c r="T584" s="101"/>
      <c r="U584" s="155">
        <v>0</v>
      </c>
      <c r="V584" s="137">
        <v>400</v>
      </c>
      <c r="W584" s="138">
        <v>400</v>
      </c>
      <c r="Y584" s="141">
        <v>16.507638888889201</v>
      </c>
      <c r="Z584" s="174"/>
    </row>
    <row r="585" spans="2:26">
      <c r="B585" s="176"/>
      <c r="C585" s="174"/>
      <c r="D585" s="172"/>
      <c r="E585" s="23">
        <v>1313</v>
      </c>
      <c r="F585" s="23">
        <f>DEMANDA_PREVISIÓN!E1317</f>
        <v>39</v>
      </c>
      <c r="G585" s="101"/>
      <c r="H585" s="23">
        <f>H584-F585</f>
        <v>4361</v>
      </c>
      <c r="I585" s="128">
        <v>400</v>
      </c>
      <c r="J585" s="128">
        <v>400</v>
      </c>
      <c r="K585" s="101"/>
      <c r="L585" s="128">
        <v>50</v>
      </c>
      <c r="M585" s="142"/>
      <c r="R585" s="40">
        <v>1313</v>
      </c>
      <c r="S585" s="153">
        <v>87</v>
      </c>
      <c r="T585" s="101"/>
      <c r="U585" s="101">
        <f>U584+V584-S585</f>
        <v>313</v>
      </c>
      <c r="W585" s="138">
        <v>400</v>
      </c>
      <c r="Y585" s="141">
        <v>16.517245370370699</v>
      </c>
      <c r="Z585" s="174"/>
    </row>
    <row r="586" spans="2:26">
      <c r="B586" s="176"/>
      <c r="C586" s="174"/>
      <c r="D586" s="172"/>
      <c r="E586" s="23">
        <v>1314</v>
      </c>
      <c r="F586" s="23">
        <f>DEMANDA_PREVISIÓN!E1318</f>
        <v>43</v>
      </c>
      <c r="G586" s="101"/>
      <c r="H586" s="23">
        <f>H585-F586</f>
        <v>4318</v>
      </c>
      <c r="I586" s="128">
        <v>400</v>
      </c>
      <c r="J586" s="129">
        <v>400</v>
      </c>
      <c r="K586" s="101"/>
      <c r="L586" s="129">
        <v>50</v>
      </c>
      <c r="M586" s="142"/>
      <c r="R586" s="40">
        <v>1314</v>
      </c>
      <c r="S586" s="153">
        <v>77</v>
      </c>
      <c r="T586" s="101"/>
      <c r="U586" s="101">
        <f t="shared" ref="U586:U589" si="63">U585-S586</f>
        <v>236</v>
      </c>
      <c r="V586" s="138">
        <v>400</v>
      </c>
      <c r="W586" s="137">
        <v>400</v>
      </c>
      <c r="Y586" s="141">
        <v>16.5268518518522</v>
      </c>
      <c r="Z586" s="174"/>
    </row>
    <row r="587" spans="2:26">
      <c r="B587" s="176"/>
      <c r="C587" s="174"/>
      <c r="D587" s="172"/>
      <c r="E587" s="23">
        <v>1315</v>
      </c>
      <c r="F587" s="23">
        <f>DEMANDA_PREVISIÓN!E1319</f>
        <v>36</v>
      </c>
      <c r="G587" s="101"/>
      <c r="H587" s="23">
        <f>H586-F587</f>
        <v>4282</v>
      </c>
      <c r="I587" s="128">
        <v>400</v>
      </c>
      <c r="J587" s="129">
        <v>400</v>
      </c>
      <c r="K587" s="101"/>
      <c r="L587" s="129">
        <v>50</v>
      </c>
      <c r="M587" s="142"/>
      <c r="R587" s="40">
        <v>1315</v>
      </c>
      <c r="S587" s="153">
        <v>47</v>
      </c>
      <c r="T587" s="101"/>
      <c r="U587" s="101">
        <f t="shared" si="63"/>
        <v>189</v>
      </c>
      <c r="V587" s="138">
        <v>400</v>
      </c>
      <c r="W587" s="137">
        <v>400</v>
      </c>
      <c r="Y587" s="141">
        <v>16.536458333333599</v>
      </c>
      <c r="Z587" s="174"/>
    </row>
    <row r="588" spans="2:26">
      <c r="B588" s="176"/>
      <c r="C588" s="174"/>
      <c r="D588" s="172"/>
      <c r="E588" s="23">
        <v>1316</v>
      </c>
      <c r="F588" s="23">
        <f>DEMANDA_PREVISIÓN!E1320</f>
        <v>33</v>
      </c>
      <c r="G588" s="101"/>
      <c r="H588" s="23">
        <f>H587-F588</f>
        <v>4249</v>
      </c>
      <c r="I588" s="128">
        <v>400</v>
      </c>
      <c r="J588" s="129">
        <v>400</v>
      </c>
      <c r="K588" s="101"/>
      <c r="L588" s="129">
        <v>50</v>
      </c>
      <c r="M588" s="142"/>
      <c r="R588" s="40">
        <v>1316</v>
      </c>
      <c r="S588" s="153">
        <v>77</v>
      </c>
      <c r="T588" s="101"/>
      <c r="U588" s="101">
        <f t="shared" si="63"/>
        <v>112</v>
      </c>
      <c r="V588" s="138">
        <v>400</v>
      </c>
      <c r="W588" s="137">
        <v>400</v>
      </c>
      <c r="Y588" s="141">
        <v>16.5460648148151</v>
      </c>
      <c r="Z588" s="174"/>
    </row>
    <row r="589" spans="2:26">
      <c r="B589" s="176"/>
      <c r="C589" s="174"/>
      <c r="D589" s="172"/>
      <c r="E589" s="23">
        <v>1317</v>
      </c>
      <c r="F589" s="23">
        <f>DEMANDA_PREVISIÓN!E1321</f>
        <v>29</v>
      </c>
      <c r="G589" s="101"/>
      <c r="H589" s="23">
        <f t="shared" ref="H589:H591" si="64">H588-F589</f>
        <v>4220</v>
      </c>
      <c r="I589" s="128">
        <v>400</v>
      </c>
      <c r="J589" s="129">
        <v>400</v>
      </c>
      <c r="K589" s="101"/>
      <c r="L589" s="129">
        <v>50</v>
      </c>
      <c r="M589" s="142"/>
      <c r="R589" s="40">
        <v>1317</v>
      </c>
      <c r="S589" s="153">
        <v>66</v>
      </c>
      <c r="T589" s="101"/>
      <c r="U589" s="101">
        <f t="shared" si="63"/>
        <v>46</v>
      </c>
      <c r="V589" s="138">
        <v>400</v>
      </c>
      <c r="W589" s="137">
        <v>400</v>
      </c>
      <c r="Y589" s="141">
        <v>16.555671296296602</v>
      </c>
      <c r="Z589" s="174"/>
    </row>
    <row r="590" spans="2:26">
      <c r="B590" s="176"/>
      <c r="C590" s="174"/>
      <c r="D590" s="172"/>
      <c r="E590" s="23">
        <v>1318</v>
      </c>
      <c r="F590" s="23">
        <f>DEMANDA_PREVISIÓN!E1322</f>
        <v>31</v>
      </c>
      <c r="G590" s="101"/>
      <c r="H590" s="23">
        <f t="shared" si="64"/>
        <v>4189</v>
      </c>
      <c r="I590" s="128">
        <v>400</v>
      </c>
      <c r="J590" s="129">
        <v>400</v>
      </c>
      <c r="K590" s="101"/>
      <c r="L590" s="129">
        <v>50</v>
      </c>
      <c r="M590" s="142"/>
      <c r="R590" s="40">
        <v>1318</v>
      </c>
      <c r="S590" s="153">
        <v>93</v>
      </c>
      <c r="T590" s="101"/>
      <c r="U590" s="155">
        <v>0</v>
      </c>
      <c r="V590" s="138">
        <v>400</v>
      </c>
      <c r="W590" s="137">
        <v>400</v>
      </c>
      <c r="Y590" s="141">
        <v>16.5652777777781</v>
      </c>
      <c r="Z590" s="174"/>
    </row>
    <row r="591" spans="2:26">
      <c r="B591" s="176"/>
      <c r="C591" s="174"/>
      <c r="D591" s="172"/>
      <c r="E591" s="23">
        <v>1319</v>
      </c>
      <c r="F591" s="23">
        <f>DEMANDA_PREVISIÓN!E1323</f>
        <v>34</v>
      </c>
      <c r="G591" s="101"/>
      <c r="H591" s="23">
        <f t="shared" si="64"/>
        <v>4155</v>
      </c>
      <c r="I591" s="128">
        <v>400</v>
      </c>
      <c r="J591" s="129">
        <v>400</v>
      </c>
      <c r="K591" s="101"/>
      <c r="L591" s="129">
        <v>50</v>
      </c>
      <c r="M591" s="142"/>
      <c r="R591" s="40">
        <v>1319</v>
      </c>
      <c r="S591" s="153">
        <v>52</v>
      </c>
      <c r="T591" s="101"/>
      <c r="U591" s="155">
        <v>0</v>
      </c>
      <c r="V591" s="138">
        <v>400</v>
      </c>
      <c r="W591" s="137">
        <v>400</v>
      </c>
      <c r="Y591" s="141">
        <v>16.574884259259601</v>
      </c>
      <c r="Z591" s="174"/>
    </row>
    <row r="592" spans="2:26">
      <c r="B592" s="176"/>
      <c r="C592" s="174"/>
      <c r="D592" s="172"/>
      <c r="E592" s="23">
        <v>1320</v>
      </c>
      <c r="F592" s="23">
        <f>DEMANDA_PREVISIÓN!E1324</f>
        <v>32</v>
      </c>
      <c r="G592" s="101"/>
      <c r="H592" s="128">
        <f>I591+H591</f>
        <v>4555</v>
      </c>
      <c r="J592" s="129">
        <v>400</v>
      </c>
      <c r="K592" s="47"/>
      <c r="L592" s="129">
        <v>50</v>
      </c>
      <c r="M592" s="142"/>
      <c r="R592" s="40">
        <v>1320</v>
      </c>
      <c r="S592" s="153">
        <v>94</v>
      </c>
      <c r="T592" s="101"/>
      <c r="U592" s="155">
        <v>0</v>
      </c>
      <c r="V592" s="138">
        <v>400</v>
      </c>
      <c r="W592" s="137">
        <v>400</v>
      </c>
      <c r="Y592" s="141">
        <v>16.584490740741099</v>
      </c>
      <c r="Z592" s="174"/>
    </row>
    <row r="593" spans="2:26">
      <c r="B593" s="176"/>
      <c r="C593" s="174"/>
      <c r="D593" s="172"/>
      <c r="E593" s="23">
        <v>1321</v>
      </c>
      <c r="F593" s="23">
        <f>DEMANDA_PREVISIÓN!E1325</f>
        <v>50</v>
      </c>
      <c r="G593" s="101"/>
      <c r="H593" s="23">
        <f t="shared" ref="H593:H599" si="65">H592-F593</f>
        <v>4505</v>
      </c>
      <c r="I593" s="129">
        <v>400</v>
      </c>
      <c r="J593" s="129">
        <v>400</v>
      </c>
      <c r="K593" s="101"/>
      <c r="L593" s="129">
        <v>50</v>
      </c>
      <c r="M593" s="142"/>
      <c r="R593" s="40">
        <v>1321</v>
      </c>
      <c r="S593" s="153">
        <v>77</v>
      </c>
      <c r="T593" s="101"/>
      <c r="U593" s="101">
        <f>U592+V592-S593</f>
        <v>323</v>
      </c>
      <c r="W593" s="137">
        <v>400</v>
      </c>
      <c r="Y593" s="141">
        <v>16.594097222222501</v>
      </c>
      <c r="Z593" s="174"/>
    </row>
    <row r="594" spans="2:26">
      <c r="B594" s="176"/>
      <c r="C594" s="174"/>
      <c r="D594" s="172"/>
      <c r="E594" s="23">
        <v>1322</v>
      </c>
      <c r="F594" s="23">
        <f>DEMANDA_PREVISIÓN!E1326</f>
        <v>37</v>
      </c>
      <c r="G594" s="101"/>
      <c r="H594" s="23">
        <f t="shared" si="65"/>
        <v>4468</v>
      </c>
      <c r="I594" s="129">
        <v>400</v>
      </c>
      <c r="J594" s="137">
        <v>400</v>
      </c>
      <c r="K594" s="101"/>
      <c r="L594" s="137">
        <v>50</v>
      </c>
      <c r="M594" s="142"/>
      <c r="R594" s="40">
        <v>1322</v>
      </c>
      <c r="S594" s="153">
        <v>80</v>
      </c>
      <c r="T594" s="101"/>
      <c r="U594" s="101">
        <f t="shared" si="56"/>
        <v>243</v>
      </c>
      <c r="V594" s="137">
        <v>400</v>
      </c>
      <c r="W594" s="138">
        <v>400</v>
      </c>
      <c r="Y594" s="141">
        <v>16.603703703703999</v>
      </c>
      <c r="Z594" s="174"/>
    </row>
    <row r="595" spans="2:26">
      <c r="B595" s="176"/>
      <c r="C595" s="174"/>
      <c r="D595" s="172"/>
      <c r="E595" s="23">
        <v>1323</v>
      </c>
      <c r="F595" s="23">
        <f>DEMANDA_PREVISIÓN!E1327</f>
        <v>32</v>
      </c>
      <c r="G595" s="101"/>
      <c r="H595" s="23">
        <f t="shared" si="65"/>
        <v>4436</v>
      </c>
      <c r="I595" s="129">
        <v>400</v>
      </c>
      <c r="J595" s="137">
        <v>400</v>
      </c>
      <c r="K595" s="101"/>
      <c r="L595" s="137">
        <v>50</v>
      </c>
      <c r="M595" s="142"/>
      <c r="R595" s="40">
        <v>1323</v>
      </c>
      <c r="S595" s="153">
        <v>97</v>
      </c>
      <c r="T595" s="101"/>
      <c r="U595" s="101">
        <f t="shared" si="56"/>
        <v>146</v>
      </c>
      <c r="V595" s="137">
        <v>400</v>
      </c>
      <c r="W595" s="138">
        <v>400</v>
      </c>
      <c r="Y595" s="141">
        <v>16.613310185185501</v>
      </c>
      <c r="Z595" s="174"/>
    </row>
    <row r="596" spans="2:26">
      <c r="B596" s="176"/>
      <c r="C596" s="174"/>
      <c r="D596" s="172"/>
      <c r="E596" s="23">
        <v>1324</v>
      </c>
      <c r="F596" s="23">
        <f>DEMANDA_PREVISIÓN!E1328</f>
        <v>30</v>
      </c>
      <c r="G596" s="101"/>
      <c r="H596" s="23">
        <f t="shared" si="65"/>
        <v>4406</v>
      </c>
      <c r="I596" s="129">
        <v>400</v>
      </c>
      <c r="J596" s="137">
        <v>400</v>
      </c>
      <c r="K596" s="101"/>
      <c r="L596" s="137">
        <v>50</v>
      </c>
      <c r="M596" s="142"/>
      <c r="R596" s="40">
        <v>1324</v>
      </c>
      <c r="S596" s="153">
        <v>47</v>
      </c>
      <c r="T596" s="101"/>
      <c r="U596" s="101">
        <f t="shared" si="56"/>
        <v>99</v>
      </c>
      <c r="V596" s="137">
        <v>400</v>
      </c>
      <c r="W596" s="138">
        <v>400</v>
      </c>
      <c r="Y596" s="141">
        <v>16.622916666666999</v>
      </c>
      <c r="Z596" s="174"/>
    </row>
    <row r="597" spans="2:26">
      <c r="B597" s="176"/>
      <c r="C597" s="174"/>
      <c r="D597" s="172"/>
      <c r="E597" s="23">
        <v>1325</v>
      </c>
      <c r="F597" s="23">
        <f>DEMANDA_PREVISIÓN!E1329</f>
        <v>39</v>
      </c>
      <c r="G597" s="101"/>
      <c r="H597" s="23">
        <f t="shared" si="65"/>
        <v>4367</v>
      </c>
      <c r="I597" s="129">
        <v>400</v>
      </c>
      <c r="J597" s="137">
        <v>400</v>
      </c>
      <c r="K597" s="101"/>
      <c r="L597" s="137">
        <v>50</v>
      </c>
      <c r="M597" s="142"/>
      <c r="R597" s="40">
        <v>1325</v>
      </c>
      <c r="S597" s="153">
        <v>84</v>
      </c>
      <c r="T597" s="101"/>
      <c r="U597" s="101">
        <f t="shared" si="56"/>
        <v>15</v>
      </c>
      <c r="V597" s="137">
        <v>400</v>
      </c>
      <c r="W597" s="138">
        <v>400</v>
      </c>
      <c r="Y597" s="141">
        <v>16.632523148148501</v>
      </c>
      <c r="Z597" s="174"/>
    </row>
    <row r="598" spans="2:26">
      <c r="B598" s="176"/>
      <c r="C598" s="174"/>
      <c r="D598" s="172"/>
      <c r="E598" s="23">
        <v>1326</v>
      </c>
      <c r="F598" s="23">
        <f>DEMANDA_PREVISIÓN!E1330</f>
        <v>41</v>
      </c>
      <c r="G598" s="101"/>
      <c r="H598" s="23">
        <f t="shared" si="65"/>
        <v>4326</v>
      </c>
      <c r="I598" s="129">
        <v>400</v>
      </c>
      <c r="J598" s="137">
        <v>400</v>
      </c>
      <c r="K598" s="101"/>
      <c r="L598" s="137">
        <v>50</v>
      </c>
      <c r="M598" s="142"/>
      <c r="R598" s="40">
        <v>1326</v>
      </c>
      <c r="S598" s="153">
        <v>100</v>
      </c>
      <c r="T598" s="101"/>
      <c r="U598" s="155">
        <v>0</v>
      </c>
      <c r="V598" s="137">
        <v>400</v>
      </c>
      <c r="W598" s="138">
        <v>400</v>
      </c>
      <c r="Y598" s="141">
        <v>16.642129629629899</v>
      </c>
      <c r="Z598" s="174"/>
    </row>
    <row r="599" spans="2:26">
      <c r="B599" s="176"/>
      <c r="C599" s="174"/>
      <c r="D599" s="172"/>
      <c r="E599" s="23">
        <v>1327</v>
      </c>
      <c r="F599" s="23">
        <f>DEMANDA_PREVISIÓN!E1331</f>
        <v>34</v>
      </c>
      <c r="G599" s="101"/>
      <c r="H599" s="23">
        <f t="shared" si="65"/>
        <v>4292</v>
      </c>
      <c r="I599" s="129">
        <v>400</v>
      </c>
      <c r="J599" s="137">
        <v>400</v>
      </c>
      <c r="K599" s="101"/>
      <c r="L599" s="137">
        <v>50</v>
      </c>
      <c r="M599" s="142"/>
      <c r="R599" s="40">
        <v>1327</v>
      </c>
      <c r="S599" s="153">
        <v>36</v>
      </c>
      <c r="T599" s="101"/>
      <c r="U599" s="155">
        <v>0</v>
      </c>
      <c r="V599" s="137">
        <v>400</v>
      </c>
      <c r="W599" s="138">
        <v>400</v>
      </c>
      <c r="Y599" s="141">
        <v>16.651736111111401</v>
      </c>
      <c r="Z599" s="174"/>
    </row>
    <row r="600" spans="2:26">
      <c r="B600" s="176"/>
      <c r="C600" s="174"/>
      <c r="D600" s="172"/>
      <c r="E600" s="23">
        <v>1328</v>
      </c>
      <c r="F600" s="23">
        <f>DEMANDA_PREVISIÓN!E1332</f>
        <v>35</v>
      </c>
      <c r="G600" s="101"/>
      <c r="H600" s="129">
        <f>I599+H599</f>
        <v>4692</v>
      </c>
      <c r="I600" s="23"/>
      <c r="J600" s="137">
        <v>400</v>
      </c>
      <c r="K600" s="101"/>
      <c r="L600" s="137">
        <v>50</v>
      </c>
      <c r="M600" s="142"/>
      <c r="R600" s="40">
        <v>1328</v>
      </c>
      <c r="S600" s="153">
        <v>65</v>
      </c>
      <c r="T600" s="101"/>
      <c r="U600" s="155">
        <v>0</v>
      </c>
      <c r="V600" s="137">
        <v>400</v>
      </c>
      <c r="W600" s="138">
        <v>400</v>
      </c>
      <c r="Y600" s="141">
        <v>16.661342592592899</v>
      </c>
      <c r="Z600" s="174"/>
    </row>
    <row r="601" spans="2:26">
      <c r="B601" s="176"/>
      <c r="C601" s="174"/>
      <c r="D601" s="172"/>
      <c r="E601" s="23">
        <v>1329</v>
      </c>
      <c r="F601" s="23">
        <f>DEMANDA_PREVISIÓN!E1333</f>
        <v>34</v>
      </c>
      <c r="G601" s="101"/>
      <c r="H601" s="23">
        <f t="shared" ref="H601:H607" si="66">H600-F601</f>
        <v>4658</v>
      </c>
      <c r="I601" s="137">
        <v>400</v>
      </c>
      <c r="J601" s="137">
        <v>400</v>
      </c>
      <c r="K601" s="101"/>
      <c r="L601" s="137">
        <v>50</v>
      </c>
      <c r="M601" s="142"/>
      <c r="R601" s="40">
        <v>1329</v>
      </c>
      <c r="S601" s="153">
        <v>85</v>
      </c>
      <c r="T601" s="101"/>
      <c r="U601" s="101">
        <f>U600+V600-S601</f>
        <v>315</v>
      </c>
      <c r="W601" s="138">
        <v>400</v>
      </c>
      <c r="Y601" s="141">
        <v>16.6709490740744</v>
      </c>
      <c r="Z601" s="174"/>
    </row>
    <row r="602" spans="2:26">
      <c r="B602" s="176"/>
      <c r="C602" s="174"/>
      <c r="D602" s="172"/>
      <c r="E602" s="23">
        <v>1330</v>
      </c>
      <c r="F602" s="23">
        <f>DEMANDA_PREVISIÓN!E1334</f>
        <v>33</v>
      </c>
      <c r="G602" s="101"/>
      <c r="H602" s="23">
        <f t="shared" si="66"/>
        <v>4625</v>
      </c>
      <c r="I602" s="137">
        <v>400</v>
      </c>
      <c r="J602" s="138">
        <v>400</v>
      </c>
      <c r="K602" s="101"/>
      <c r="L602" s="138">
        <v>50</v>
      </c>
      <c r="M602" s="142"/>
      <c r="R602" s="40">
        <v>1330</v>
      </c>
      <c r="S602" s="153">
        <v>47</v>
      </c>
      <c r="T602" s="101"/>
      <c r="U602" s="101">
        <f t="shared" ref="U602:U605" si="67">U601-S602</f>
        <v>268</v>
      </c>
      <c r="V602" s="138">
        <v>400</v>
      </c>
      <c r="W602" s="137">
        <v>400</v>
      </c>
      <c r="Y602" s="141">
        <v>16.680555555555902</v>
      </c>
      <c r="Z602" s="174"/>
    </row>
    <row r="603" spans="2:26">
      <c r="B603" s="176"/>
      <c r="C603" s="174"/>
      <c r="D603" s="172"/>
      <c r="E603" s="23">
        <v>1331</v>
      </c>
      <c r="F603" s="23">
        <f>DEMANDA_PREVISIÓN!E1335</f>
        <v>40</v>
      </c>
      <c r="G603" s="101"/>
      <c r="H603" s="23">
        <f t="shared" si="66"/>
        <v>4585</v>
      </c>
      <c r="I603" s="137">
        <v>400</v>
      </c>
      <c r="J603" s="138">
        <v>400</v>
      </c>
      <c r="K603" s="101"/>
      <c r="L603" s="138">
        <v>50</v>
      </c>
      <c r="M603" s="142"/>
      <c r="R603" s="40">
        <v>1331</v>
      </c>
      <c r="S603" s="153">
        <v>75</v>
      </c>
      <c r="T603" s="101"/>
      <c r="U603" s="101">
        <f t="shared" si="67"/>
        <v>193</v>
      </c>
      <c r="V603" s="138">
        <v>400</v>
      </c>
      <c r="W603" s="137">
        <v>400</v>
      </c>
      <c r="Y603" s="141">
        <v>16.6901620370374</v>
      </c>
      <c r="Z603" s="174"/>
    </row>
    <row r="604" spans="2:26">
      <c r="B604" s="176"/>
      <c r="C604" s="174"/>
      <c r="D604" s="172"/>
      <c r="E604" s="23">
        <v>1332</v>
      </c>
      <c r="F604" s="23">
        <f>DEMANDA_PREVISIÓN!E1336</f>
        <v>32</v>
      </c>
      <c r="G604" s="101"/>
      <c r="H604" s="23">
        <f t="shared" si="66"/>
        <v>4553</v>
      </c>
      <c r="I604" s="137">
        <v>400</v>
      </c>
      <c r="J604" s="138">
        <v>400</v>
      </c>
      <c r="K604" s="101"/>
      <c r="L604" s="138">
        <v>50</v>
      </c>
      <c r="M604" s="142"/>
      <c r="R604" s="40">
        <v>1332</v>
      </c>
      <c r="S604" s="153">
        <v>100</v>
      </c>
      <c r="T604" s="101"/>
      <c r="U604" s="101">
        <f t="shared" si="67"/>
        <v>93</v>
      </c>
      <c r="V604" s="138">
        <v>400</v>
      </c>
      <c r="W604" s="137">
        <v>400</v>
      </c>
      <c r="Y604" s="141">
        <v>16.699768518518798</v>
      </c>
      <c r="Z604" s="174"/>
    </row>
    <row r="605" spans="2:26">
      <c r="B605" s="176"/>
      <c r="C605" s="174"/>
      <c r="D605" s="172"/>
      <c r="E605" s="23">
        <v>1333</v>
      </c>
      <c r="F605" s="23">
        <f>DEMANDA_PREVISIÓN!E1337</f>
        <v>34</v>
      </c>
      <c r="G605" s="101"/>
      <c r="H605" s="23">
        <f t="shared" si="66"/>
        <v>4519</v>
      </c>
      <c r="I605" s="137">
        <v>400</v>
      </c>
      <c r="J605" s="138">
        <v>400</v>
      </c>
      <c r="K605" s="101"/>
      <c r="L605" s="138">
        <v>50</v>
      </c>
      <c r="M605" s="142"/>
      <c r="R605" s="40">
        <v>1333</v>
      </c>
      <c r="S605" s="153">
        <v>39</v>
      </c>
      <c r="T605" s="101"/>
      <c r="U605" s="101">
        <f t="shared" si="67"/>
        <v>54</v>
      </c>
      <c r="V605" s="138">
        <v>400</v>
      </c>
      <c r="W605" s="137">
        <v>400</v>
      </c>
      <c r="Y605" s="141">
        <v>16.7093750000003</v>
      </c>
      <c r="Z605" s="174"/>
    </row>
    <row r="606" spans="2:26">
      <c r="B606" s="176"/>
      <c r="C606" s="174"/>
      <c r="D606" s="172"/>
      <c r="E606" s="23">
        <v>1334</v>
      </c>
      <c r="F606" s="23">
        <f>DEMANDA_PREVISIÓN!E1338</f>
        <v>30</v>
      </c>
      <c r="G606" s="101"/>
      <c r="H606" s="23">
        <f t="shared" si="66"/>
        <v>4489</v>
      </c>
      <c r="I606" s="137">
        <v>400</v>
      </c>
      <c r="J606" s="138">
        <v>400</v>
      </c>
      <c r="K606" s="101"/>
      <c r="L606" s="138">
        <v>50</v>
      </c>
      <c r="M606" s="142"/>
      <c r="R606" s="40">
        <v>1334</v>
      </c>
      <c r="S606" s="153">
        <v>69</v>
      </c>
      <c r="T606" s="101"/>
      <c r="U606" s="155">
        <v>0</v>
      </c>
      <c r="V606" s="138">
        <v>400</v>
      </c>
      <c r="W606" s="137">
        <v>400</v>
      </c>
      <c r="Y606" s="141">
        <v>16.718981481481801</v>
      </c>
      <c r="Z606" s="174"/>
    </row>
    <row r="607" spans="2:26">
      <c r="B607" s="176"/>
      <c r="C607" s="174"/>
      <c r="D607" s="172"/>
      <c r="E607" s="23">
        <v>1335</v>
      </c>
      <c r="F607" s="23">
        <f>DEMANDA_PREVISIÓN!E1339</f>
        <v>36</v>
      </c>
      <c r="G607" s="101"/>
      <c r="H607" s="23">
        <f t="shared" si="66"/>
        <v>4453</v>
      </c>
      <c r="I607" s="137">
        <v>400</v>
      </c>
      <c r="J607" s="138">
        <v>400</v>
      </c>
      <c r="K607" s="101"/>
      <c r="L607" s="138">
        <v>50</v>
      </c>
      <c r="M607" s="142"/>
      <c r="R607" s="40">
        <v>1335</v>
      </c>
      <c r="S607" s="153">
        <v>53</v>
      </c>
      <c r="T607" s="101"/>
      <c r="U607" s="155">
        <v>0</v>
      </c>
      <c r="V607" s="138">
        <v>400</v>
      </c>
      <c r="W607" s="137">
        <v>400</v>
      </c>
      <c r="Y607" s="141">
        <v>16.728587962963299</v>
      </c>
      <c r="Z607" s="174"/>
    </row>
    <row r="608" spans="2:26">
      <c r="B608" s="176"/>
      <c r="C608" s="174"/>
      <c r="D608" s="172"/>
      <c r="E608" s="23">
        <v>1336</v>
      </c>
      <c r="F608" s="23">
        <f>DEMANDA_PREVISIÓN!E1340</f>
        <v>31</v>
      </c>
      <c r="G608" s="101"/>
      <c r="H608" s="137">
        <f>I607+H607</f>
        <v>4853</v>
      </c>
      <c r="I608" s="23"/>
      <c r="J608" s="138">
        <v>400</v>
      </c>
      <c r="K608" s="101"/>
      <c r="L608" s="138">
        <v>50</v>
      </c>
      <c r="M608" s="142"/>
      <c r="R608" s="40">
        <v>1336</v>
      </c>
      <c r="S608" s="153">
        <v>41</v>
      </c>
      <c r="T608" s="101"/>
      <c r="U608" s="155">
        <v>0</v>
      </c>
      <c r="V608" s="138">
        <v>400</v>
      </c>
      <c r="W608" s="137">
        <v>400</v>
      </c>
      <c r="Y608" s="141">
        <v>16.738194444444801</v>
      </c>
      <c r="Z608" s="174"/>
    </row>
    <row r="609" spans="2:26">
      <c r="B609" s="176"/>
      <c r="C609" s="174"/>
      <c r="D609" s="172"/>
      <c r="E609" s="23">
        <v>1337</v>
      </c>
      <c r="F609" s="23">
        <f>DEMANDA_PREVISIÓN!E1341</f>
        <v>38</v>
      </c>
      <c r="G609" s="101"/>
      <c r="H609" s="23">
        <f t="shared" ref="H609:H615" si="68">H608-F609</f>
        <v>4815</v>
      </c>
      <c r="I609" s="138">
        <v>400</v>
      </c>
      <c r="J609" s="138">
        <v>400</v>
      </c>
      <c r="K609" s="101"/>
      <c r="L609" s="138">
        <v>50</v>
      </c>
      <c r="M609" s="142"/>
      <c r="R609" s="40">
        <v>1337</v>
      </c>
      <c r="S609" s="153">
        <v>116</v>
      </c>
      <c r="T609" s="101"/>
      <c r="U609" s="101">
        <f>U608+V608-S609</f>
        <v>284</v>
      </c>
      <c r="W609" s="137">
        <v>400</v>
      </c>
      <c r="Y609" s="141">
        <v>16.747800925926299</v>
      </c>
      <c r="Z609" s="174"/>
    </row>
    <row r="610" spans="2:26">
      <c r="B610" s="176"/>
      <c r="C610" s="174"/>
      <c r="D610" s="173"/>
      <c r="E610" s="23">
        <v>1338</v>
      </c>
      <c r="F610" s="23">
        <f>DEMANDA_PREVISIÓN!E1342</f>
        <v>40</v>
      </c>
      <c r="G610" s="101"/>
      <c r="H610" s="23">
        <f t="shared" si="68"/>
        <v>4775</v>
      </c>
      <c r="I610" s="138">
        <v>400</v>
      </c>
      <c r="J610" s="134">
        <v>400</v>
      </c>
      <c r="K610" s="101"/>
      <c r="L610" s="134">
        <v>50</v>
      </c>
      <c r="M610" s="142"/>
      <c r="R610" s="40">
        <v>1338</v>
      </c>
      <c r="S610" s="153">
        <v>35</v>
      </c>
      <c r="T610" s="101"/>
      <c r="U610" s="101">
        <f t="shared" si="56"/>
        <v>249</v>
      </c>
      <c r="V610" s="137">
        <v>400</v>
      </c>
      <c r="W610" s="138">
        <v>400</v>
      </c>
      <c r="Y610" s="141">
        <v>16.757407407407701</v>
      </c>
      <c r="Z610" s="174"/>
    </row>
    <row r="611" spans="2:26">
      <c r="B611" s="176"/>
      <c r="C611" s="174"/>
      <c r="D611" s="171" t="s">
        <v>51</v>
      </c>
      <c r="E611" s="23">
        <v>1339</v>
      </c>
      <c r="F611" s="23">
        <f>DEMANDA_PREVISIÓN!E1343</f>
        <v>26</v>
      </c>
      <c r="G611" s="101"/>
      <c r="H611" s="23">
        <f t="shared" si="68"/>
        <v>4749</v>
      </c>
      <c r="I611" s="138">
        <v>400</v>
      </c>
      <c r="J611" s="134">
        <v>400</v>
      </c>
      <c r="K611" s="101"/>
      <c r="L611" s="134">
        <v>50</v>
      </c>
      <c r="M611" s="142"/>
      <c r="R611" s="40">
        <v>1339</v>
      </c>
      <c r="S611" s="153">
        <v>50</v>
      </c>
      <c r="T611" s="101"/>
      <c r="U611" s="101">
        <f t="shared" si="56"/>
        <v>199</v>
      </c>
      <c r="V611" s="137">
        <v>400</v>
      </c>
      <c r="W611" s="138">
        <v>400</v>
      </c>
      <c r="Y611" s="141">
        <v>16.767013888889199</v>
      </c>
      <c r="Z611" s="174"/>
    </row>
    <row r="612" spans="2:26">
      <c r="B612" s="176"/>
      <c r="C612" s="174"/>
      <c r="D612" s="172"/>
      <c r="E612" s="23">
        <v>1340</v>
      </c>
      <c r="F612" s="23">
        <f>DEMANDA_PREVISIÓN!E1344</f>
        <v>34</v>
      </c>
      <c r="G612" s="101"/>
      <c r="H612" s="23">
        <f t="shared" si="68"/>
        <v>4715</v>
      </c>
      <c r="I612" s="138">
        <v>400</v>
      </c>
      <c r="J612" s="134">
        <v>400</v>
      </c>
      <c r="K612" s="101"/>
      <c r="L612" s="134">
        <v>50</v>
      </c>
      <c r="M612" s="142"/>
      <c r="R612" s="40">
        <v>1340</v>
      </c>
      <c r="S612" s="153">
        <v>100</v>
      </c>
      <c r="T612" s="101"/>
      <c r="U612" s="101">
        <f t="shared" si="56"/>
        <v>99</v>
      </c>
      <c r="V612" s="137">
        <v>400</v>
      </c>
      <c r="W612" s="138">
        <v>400</v>
      </c>
      <c r="Y612" s="141">
        <v>16.776620370370701</v>
      </c>
      <c r="Z612" s="174"/>
    </row>
    <row r="613" spans="2:26">
      <c r="B613" s="176"/>
      <c r="C613" s="174"/>
      <c r="D613" s="172"/>
      <c r="E613" s="23">
        <v>1341</v>
      </c>
      <c r="F613" s="23">
        <f>DEMANDA_PREVISIÓN!E1345</f>
        <v>23</v>
      </c>
      <c r="G613" s="101"/>
      <c r="H613" s="23">
        <f t="shared" si="68"/>
        <v>4692</v>
      </c>
      <c r="I613" s="138">
        <v>400</v>
      </c>
      <c r="J613" s="134">
        <v>400</v>
      </c>
      <c r="K613" s="101"/>
      <c r="L613" s="134">
        <v>50</v>
      </c>
      <c r="M613" s="142"/>
      <c r="R613" s="40">
        <v>1341</v>
      </c>
      <c r="S613" s="153">
        <v>36</v>
      </c>
      <c r="T613" s="101"/>
      <c r="U613" s="101">
        <f t="shared" si="56"/>
        <v>63</v>
      </c>
      <c r="V613" s="137">
        <v>400</v>
      </c>
      <c r="W613" s="138">
        <v>400</v>
      </c>
      <c r="Y613" s="141">
        <v>16.786226851852199</v>
      </c>
      <c r="Z613" s="174"/>
    </row>
    <row r="614" spans="2:26">
      <c r="B614" s="176"/>
      <c r="C614" s="174"/>
      <c r="D614" s="172"/>
      <c r="E614" s="23">
        <v>1342</v>
      </c>
      <c r="F614" s="23">
        <f>DEMANDA_PREVISIÓN!E1346</f>
        <v>29</v>
      </c>
      <c r="G614" s="101"/>
      <c r="H614" s="23">
        <f t="shared" si="68"/>
        <v>4663</v>
      </c>
      <c r="I614" s="138">
        <v>400</v>
      </c>
      <c r="J614" s="134">
        <v>400</v>
      </c>
      <c r="K614" s="101"/>
      <c r="L614" s="134">
        <v>50</v>
      </c>
      <c r="M614" s="142"/>
      <c r="R614" s="40">
        <v>1342</v>
      </c>
      <c r="S614" s="153">
        <v>88</v>
      </c>
      <c r="T614" s="101"/>
      <c r="U614" s="155">
        <v>0</v>
      </c>
      <c r="V614" s="137">
        <v>400</v>
      </c>
      <c r="W614" s="138">
        <v>400</v>
      </c>
      <c r="Y614" s="141">
        <v>16.7958333333337</v>
      </c>
      <c r="Z614" s="174"/>
    </row>
    <row r="615" spans="2:26">
      <c r="B615" s="176"/>
      <c r="C615" s="174"/>
      <c r="D615" s="172"/>
      <c r="E615" s="23">
        <v>1343</v>
      </c>
      <c r="F615" s="23">
        <f>DEMANDA_PREVISIÓN!E1347</f>
        <v>30</v>
      </c>
      <c r="G615" s="101"/>
      <c r="H615" s="23">
        <f t="shared" si="68"/>
        <v>4633</v>
      </c>
      <c r="I615" s="138">
        <v>400</v>
      </c>
      <c r="J615" s="134">
        <v>400</v>
      </c>
      <c r="K615" s="101"/>
      <c r="L615" s="134">
        <v>50</v>
      </c>
      <c r="M615" s="142"/>
      <c r="R615" s="40">
        <v>1343</v>
      </c>
      <c r="S615" s="153">
        <v>81</v>
      </c>
      <c r="T615" s="101"/>
      <c r="U615" s="155">
        <v>0</v>
      </c>
      <c r="V615" s="137">
        <v>400</v>
      </c>
      <c r="W615" s="138">
        <v>400</v>
      </c>
      <c r="Y615" s="141">
        <v>16.805439814815099</v>
      </c>
      <c r="Z615" s="174"/>
    </row>
    <row r="616" spans="2:26">
      <c r="B616" s="176"/>
      <c r="C616" s="174"/>
      <c r="D616" s="172"/>
      <c r="E616" s="23">
        <v>1344</v>
      </c>
      <c r="F616" s="23">
        <f>DEMANDA_PREVISIÓN!E1348</f>
        <v>34</v>
      </c>
      <c r="G616" s="101"/>
      <c r="H616" s="138">
        <f>I615+H615</f>
        <v>5033</v>
      </c>
      <c r="I616" s="23"/>
      <c r="J616" s="134">
        <v>400</v>
      </c>
      <c r="K616" s="101"/>
      <c r="L616" s="134">
        <v>50</v>
      </c>
      <c r="M616" s="142"/>
      <c r="R616" s="40">
        <v>1344</v>
      </c>
      <c r="S616" s="153">
        <v>52</v>
      </c>
      <c r="T616" s="101"/>
      <c r="U616" s="155">
        <v>0</v>
      </c>
      <c r="V616" s="137">
        <v>400</v>
      </c>
      <c r="W616" s="138">
        <v>400</v>
      </c>
      <c r="Y616" s="141">
        <v>16.8150462962966</v>
      </c>
      <c r="Z616" s="174"/>
    </row>
    <row r="617" spans="2:26">
      <c r="B617" s="176"/>
      <c r="C617" s="174"/>
      <c r="D617" s="172"/>
      <c r="E617" s="23">
        <v>1345</v>
      </c>
      <c r="F617" s="23">
        <f>DEMANDA_PREVISIÓN!E1349</f>
        <v>29</v>
      </c>
      <c r="G617" s="101"/>
      <c r="H617" s="23">
        <f t="shared" ref="H617:H623" si="69">H616-F617</f>
        <v>5004</v>
      </c>
      <c r="I617" s="134">
        <v>400</v>
      </c>
      <c r="J617" s="134">
        <v>400</v>
      </c>
      <c r="K617" s="101"/>
      <c r="L617" s="134">
        <v>50</v>
      </c>
      <c r="M617" s="142"/>
      <c r="R617" s="40">
        <v>1345</v>
      </c>
      <c r="S617" s="153">
        <v>80</v>
      </c>
      <c r="T617" s="101"/>
      <c r="U617" s="101">
        <f>U616+V616-S617</f>
        <v>320</v>
      </c>
      <c r="W617" s="138">
        <v>400</v>
      </c>
      <c r="Y617" s="141">
        <v>16.824652777778098</v>
      </c>
      <c r="Z617" s="174"/>
    </row>
    <row r="618" spans="2:26">
      <c r="B618" s="176"/>
      <c r="C618" s="174"/>
      <c r="D618" s="172"/>
      <c r="E618" s="23">
        <v>1346</v>
      </c>
      <c r="F618" s="23">
        <f>DEMANDA_PREVISIÓN!E1350</f>
        <v>35</v>
      </c>
      <c r="G618" s="101"/>
      <c r="H618" s="23">
        <f t="shared" si="69"/>
        <v>4969</v>
      </c>
      <c r="I618" s="134">
        <v>400</v>
      </c>
      <c r="J618" s="128">
        <v>400</v>
      </c>
      <c r="K618" s="101"/>
      <c r="L618" s="128">
        <v>50</v>
      </c>
      <c r="M618" s="142"/>
      <c r="R618" s="40">
        <v>1346</v>
      </c>
      <c r="S618" s="153">
        <v>39</v>
      </c>
      <c r="T618" s="101"/>
      <c r="U618" s="101">
        <f t="shared" ref="U618:U623" si="70">U617-S618</f>
        <v>281</v>
      </c>
      <c r="V618" s="138">
        <v>400</v>
      </c>
      <c r="W618" s="137">
        <v>400</v>
      </c>
      <c r="Y618" s="141">
        <v>16.8342592592596</v>
      </c>
      <c r="Z618" s="174"/>
    </row>
    <row r="619" spans="2:26">
      <c r="B619" s="176"/>
      <c r="C619" s="174"/>
      <c r="D619" s="172"/>
      <c r="E619" s="23">
        <v>1347</v>
      </c>
      <c r="F619" s="23">
        <f>DEMANDA_PREVISIÓN!E1351</f>
        <v>39</v>
      </c>
      <c r="G619" s="101"/>
      <c r="H619" s="23">
        <f t="shared" si="69"/>
        <v>4930</v>
      </c>
      <c r="I619" s="134">
        <v>400</v>
      </c>
      <c r="J619" s="128">
        <v>400</v>
      </c>
      <c r="K619" s="101"/>
      <c r="L619" s="128">
        <v>50</v>
      </c>
      <c r="M619" s="142"/>
      <c r="R619" s="40">
        <v>1347</v>
      </c>
      <c r="S619" s="153">
        <v>44</v>
      </c>
      <c r="T619" s="101"/>
      <c r="U619" s="101">
        <f t="shared" si="70"/>
        <v>237</v>
      </c>
      <c r="V619" s="138">
        <v>400</v>
      </c>
      <c r="W619" s="137">
        <v>400</v>
      </c>
      <c r="Y619" s="141">
        <v>16.843865740741101</v>
      </c>
      <c r="Z619" s="174"/>
    </row>
    <row r="620" spans="2:26">
      <c r="B620" s="176"/>
      <c r="C620" s="174"/>
      <c r="D620" s="172"/>
      <c r="E620" s="23">
        <v>1348</v>
      </c>
      <c r="F620" s="23">
        <f>DEMANDA_PREVISIÓN!E1352</f>
        <v>20</v>
      </c>
      <c r="G620" s="101"/>
      <c r="H620" s="23">
        <f t="shared" si="69"/>
        <v>4910</v>
      </c>
      <c r="I620" s="134">
        <v>400</v>
      </c>
      <c r="J620" s="128">
        <v>400</v>
      </c>
      <c r="K620" s="101"/>
      <c r="L620" s="128">
        <v>50</v>
      </c>
      <c r="M620" s="142"/>
      <c r="R620" s="40">
        <v>1348</v>
      </c>
      <c r="S620" s="153">
        <v>51</v>
      </c>
      <c r="T620" s="101"/>
      <c r="U620" s="101">
        <f t="shared" si="70"/>
        <v>186</v>
      </c>
      <c r="V620" s="138">
        <v>400</v>
      </c>
      <c r="W620" s="137">
        <v>400</v>
      </c>
      <c r="Y620" s="141">
        <v>16.853472222222599</v>
      </c>
      <c r="Z620" s="174"/>
    </row>
    <row r="621" spans="2:26">
      <c r="B621" s="176"/>
      <c r="C621" s="174"/>
      <c r="D621" s="172"/>
      <c r="E621" s="23">
        <v>1349</v>
      </c>
      <c r="F621" s="23">
        <f>DEMANDA_PREVISIÓN!E1353</f>
        <v>35</v>
      </c>
      <c r="G621" s="101"/>
      <c r="H621" s="23">
        <f t="shared" si="69"/>
        <v>4875</v>
      </c>
      <c r="I621" s="134">
        <v>400</v>
      </c>
      <c r="J621" s="128">
        <v>400</v>
      </c>
      <c r="K621" s="101"/>
      <c r="L621" s="128">
        <v>50</v>
      </c>
      <c r="M621" s="142"/>
      <c r="R621" s="40">
        <v>1349</v>
      </c>
      <c r="S621" s="153">
        <v>70</v>
      </c>
      <c r="T621" s="101"/>
      <c r="U621" s="101">
        <f t="shared" si="70"/>
        <v>116</v>
      </c>
      <c r="V621" s="138">
        <v>400</v>
      </c>
      <c r="W621" s="137">
        <v>400</v>
      </c>
      <c r="Y621" s="141">
        <v>16.863078703704002</v>
      </c>
      <c r="Z621" s="174"/>
    </row>
    <row r="622" spans="2:26">
      <c r="B622" s="176"/>
      <c r="C622" s="174"/>
      <c r="D622" s="172"/>
      <c r="E622" s="23">
        <v>1350</v>
      </c>
      <c r="F622" s="23">
        <f>DEMANDA_PREVISIÓN!E1354</f>
        <v>29</v>
      </c>
      <c r="G622" s="101"/>
      <c r="H622" s="23">
        <f t="shared" si="69"/>
        <v>4846</v>
      </c>
      <c r="I622" s="134">
        <v>400</v>
      </c>
      <c r="J622" s="128">
        <v>400</v>
      </c>
      <c r="K622" s="101"/>
      <c r="L622" s="128">
        <v>50</v>
      </c>
      <c r="M622" s="142"/>
      <c r="R622" s="40">
        <v>1350</v>
      </c>
      <c r="S622" s="153">
        <v>60</v>
      </c>
      <c r="T622" s="101"/>
      <c r="U622" s="143">
        <f t="shared" si="70"/>
        <v>56</v>
      </c>
      <c r="V622" s="138">
        <v>400</v>
      </c>
      <c r="W622" s="137">
        <v>400</v>
      </c>
      <c r="Y622" s="157">
        <v>16.8726851851855</v>
      </c>
      <c r="Z622" s="174"/>
    </row>
    <row r="623" spans="2:26">
      <c r="B623" s="176"/>
      <c r="C623" s="174"/>
      <c r="D623" s="172"/>
      <c r="E623" s="23">
        <v>1351</v>
      </c>
      <c r="F623" s="23">
        <f>DEMANDA_PREVISIÓN!E1355</f>
        <v>26</v>
      </c>
      <c r="G623" s="101"/>
      <c r="H623" s="23">
        <f t="shared" si="69"/>
        <v>4820</v>
      </c>
      <c r="I623" s="134">
        <v>400</v>
      </c>
      <c r="J623" s="128">
        <v>400</v>
      </c>
      <c r="K623" s="101"/>
      <c r="L623" s="128">
        <v>50</v>
      </c>
      <c r="M623" s="142"/>
      <c r="R623" s="40">
        <v>1351</v>
      </c>
      <c r="S623" s="153">
        <v>40</v>
      </c>
      <c r="T623" s="101"/>
      <c r="U623" s="143">
        <f t="shared" si="70"/>
        <v>16</v>
      </c>
      <c r="V623" s="138">
        <v>400</v>
      </c>
      <c r="W623" s="137">
        <v>400</v>
      </c>
      <c r="Y623" s="157">
        <v>16.882291666667001</v>
      </c>
      <c r="Z623" s="174"/>
    </row>
    <row r="624" spans="2:26">
      <c r="B624" s="176"/>
      <c r="C624" s="174"/>
      <c r="D624" s="172"/>
      <c r="E624" s="23">
        <v>1352</v>
      </c>
      <c r="F624" s="23">
        <f>DEMANDA_PREVISIÓN!E1356</f>
        <v>33</v>
      </c>
      <c r="G624" s="101"/>
      <c r="H624" s="134">
        <f>I623+H623</f>
        <v>5220</v>
      </c>
      <c r="I624" s="23"/>
      <c r="J624" s="128">
        <v>400</v>
      </c>
      <c r="K624" s="101"/>
      <c r="L624" s="128">
        <v>50</v>
      </c>
      <c r="M624" s="142"/>
      <c r="R624" s="40">
        <v>1352</v>
      </c>
      <c r="S624" s="153">
        <v>83</v>
      </c>
      <c r="T624" s="101"/>
      <c r="U624" s="154">
        <v>0</v>
      </c>
      <c r="V624" s="138">
        <v>400</v>
      </c>
      <c r="W624" s="137">
        <v>400</v>
      </c>
      <c r="Y624" s="157">
        <v>16.891898148148499</v>
      </c>
      <c r="Z624" s="174"/>
    </row>
    <row r="625" spans="2:26">
      <c r="B625" s="176"/>
      <c r="C625" s="174"/>
      <c r="D625" s="172"/>
      <c r="E625" s="23">
        <v>1353</v>
      </c>
      <c r="F625" s="23">
        <f>DEMANDA_PREVISIÓN!E1357</f>
        <v>39</v>
      </c>
      <c r="G625" s="101"/>
      <c r="H625" s="23">
        <f>H624-F625</f>
        <v>5181</v>
      </c>
      <c r="I625" s="128">
        <v>400</v>
      </c>
      <c r="J625" s="128">
        <v>400</v>
      </c>
      <c r="K625" s="101"/>
      <c r="L625" s="128">
        <v>50</v>
      </c>
      <c r="M625" s="142"/>
      <c r="R625" s="40">
        <v>1353</v>
      </c>
      <c r="S625" s="153">
        <v>56</v>
      </c>
      <c r="T625" s="101"/>
      <c r="U625" s="143">
        <f>U624+V624-S625</f>
        <v>344</v>
      </c>
      <c r="W625" s="137">
        <v>400</v>
      </c>
      <c r="Y625" s="157">
        <v>16.901504629630001</v>
      </c>
      <c r="Z625" s="174"/>
    </row>
    <row r="626" spans="2:26">
      <c r="B626" s="176"/>
      <c r="C626" s="174"/>
      <c r="D626" s="172"/>
      <c r="E626" s="23">
        <v>1354</v>
      </c>
      <c r="F626" s="23">
        <f>DEMANDA_PREVISIÓN!E1358</f>
        <v>24</v>
      </c>
      <c r="G626" s="101"/>
      <c r="H626" s="23">
        <f>H625-F626</f>
        <v>5157</v>
      </c>
      <c r="I626" s="128">
        <v>400</v>
      </c>
      <c r="J626" s="129">
        <v>400</v>
      </c>
      <c r="K626" s="101"/>
      <c r="L626" s="129">
        <v>50</v>
      </c>
      <c r="M626" s="142"/>
      <c r="R626" s="40">
        <v>1354</v>
      </c>
      <c r="S626" s="153">
        <v>52</v>
      </c>
      <c r="T626" s="101"/>
      <c r="U626" s="143">
        <f t="shared" ref="U626:U689" si="71">U625-S626</f>
        <v>292</v>
      </c>
      <c r="V626" s="137">
        <v>400</v>
      </c>
      <c r="W626" s="158">
        <v>400</v>
      </c>
      <c r="Y626" s="159">
        <v>16.911111111111399</v>
      </c>
      <c r="Z626" s="174"/>
    </row>
    <row r="627" spans="2:26">
      <c r="B627" s="176"/>
      <c r="C627" s="174"/>
      <c r="D627" s="172"/>
      <c r="E627" s="23">
        <v>1355</v>
      </c>
      <c r="F627" s="23">
        <f>DEMANDA_PREVISIÓN!E1359</f>
        <v>39</v>
      </c>
      <c r="G627" s="101"/>
      <c r="H627" s="23">
        <f>H626-F627</f>
        <v>5118</v>
      </c>
      <c r="I627" s="128">
        <v>400</v>
      </c>
      <c r="J627" s="129">
        <v>400</v>
      </c>
      <c r="K627" s="101"/>
      <c r="L627" s="129">
        <v>50</v>
      </c>
      <c r="M627" s="142"/>
      <c r="R627" s="40">
        <v>1355</v>
      </c>
      <c r="S627" s="153">
        <v>55</v>
      </c>
      <c r="T627" s="101"/>
      <c r="U627" s="143">
        <f t="shared" si="71"/>
        <v>237</v>
      </c>
      <c r="V627" s="137">
        <v>400</v>
      </c>
      <c r="W627" s="138">
        <v>400</v>
      </c>
      <c r="Y627" s="159">
        <v>16.920717592592901</v>
      </c>
      <c r="Z627" s="174"/>
    </row>
    <row r="628" spans="2:26">
      <c r="B628" s="176"/>
      <c r="C628" s="174"/>
      <c r="D628" s="172"/>
      <c r="E628" s="23">
        <v>1356</v>
      </c>
      <c r="F628" s="23">
        <f>DEMANDA_PREVISIÓN!E1360</f>
        <v>31</v>
      </c>
      <c r="G628" s="101"/>
      <c r="H628" s="23">
        <f>H627-F628</f>
        <v>5087</v>
      </c>
      <c r="I628" s="128">
        <v>400</v>
      </c>
      <c r="J628" s="129">
        <v>400</v>
      </c>
      <c r="K628" s="101"/>
      <c r="L628" s="129">
        <v>50</v>
      </c>
      <c r="M628" s="142"/>
      <c r="R628" s="40">
        <v>1356</v>
      </c>
      <c r="S628" s="153">
        <v>53</v>
      </c>
      <c r="T628" s="101"/>
      <c r="U628" s="143">
        <f t="shared" si="71"/>
        <v>184</v>
      </c>
      <c r="V628" s="137">
        <v>400</v>
      </c>
      <c r="W628" s="138">
        <v>400</v>
      </c>
      <c r="Y628" s="159">
        <v>16.930324074074399</v>
      </c>
      <c r="Z628" s="174"/>
    </row>
    <row r="629" spans="2:26">
      <c r="B629" s="176"/>
      <c r="C629" s="174"/>
      <c r="D629" s="172"/>
      <c r="E629" s="23">
        <v>1357</v>
      </c>
      <c r="F629" s="23">
        <f>DEMANDA_PREVISIÓN!E1361</f>
        <v>32</v>
      </c>
      <c r="G629" s="101"/>
      <c r="H629" s="23">
        <f t="shared" ref="H629:H631" si="72">H628-F629</f>
        <v>5055</v>
      </c>
      <c r="I629" s="128">
        <v>400</v>
      </c>
      <c r="J629" s="129">
        <v>400</v>
      </c>
      <c r="K629" s="101"/>
      <c r="L629" s="129">
        <v>50</v>
      </c>
      <c r="M629" s="142"/>
      <c r="R629" s="40">
        <v>1357</v>
      </c>
      <c r="S629" s="153">
        <v>93</v>
      </c>
      <c r="T629" s="101"/>
      <c r="U629" s="143">
        <f t="shared" si="71"/>
        <v>91</v>
      </c>
      <c r="V629" s="40">
        <v>400</v>
      </c>
      <c r="W629" s="40">
        <v>400</v>
      </c>
      <c r="X629" s="160"/>
      <c r="Y629" s="141">
        <v>16.95451388888889</v>
      </c>
      <c r="Z629" s="181"/>
    </row>
    <row r="630" spans="2:26">
      <c r="B630" s="176"/>
      <c r="C630" s="174"/>
      <c r="D630" s="172"/>
      <c r="E630" s="23">
        <v>1358</v>
      </c>
      <c r="F630" s="23">
        <f>DEMANDA_PREVISIÓN!E1362</f>
        <v>33</v>
      </c>
      <c r="G630" s="101"/>
      <c r="H630" s="23">
        <f t="shared" si="72"/>
        <v>5022</v>
      </c>
      <c r="I630" s="128">
        <v>400</v>
      </c>
      <c r="J630" s="129">
        <v>400</v>
      </c>
      <c r="K630" s="101"/>
      <c r="L630" s="129">
        <v>50</v>
      </c>
      <c r="M630" s="142"/>
      <c r="R630" s="40">
        <v>1358</v>
      </c>
      <c r="S630" s="153">
        <v>88</v>
      </c>
      <c r="T630" s="101"/>
      <c r="U630" s="143">
        <v>48</v>
      </c>
      <c r="V630" s="137">
        <v>400</v>
      </c>
      <c r="W630" s="138">
        <v>400</v>
      </c>
      <c r="Y630" s="141">
        <v>32.964120370370367</v>
      </c>
      <c r="Z630" s="181"/>
    </row>
    <row r="631" spans="2:26">
      <c r="B631" s="176"/>
      <c r="C631" s="174"/>
      <c r="D631" s="172"/>
      <c r="E631" s="23">
        <v>1359</v>
      </c>
      <c r="F631" s="23">
        <f>DEMANDA_PREVISIÓN!E1363</f>
        <v>32</v>
      </c>
      <c r="G631" s="101"/>
      <c r="H631" s="23">
        <f t="shared" si="72"/>
        <v>4990</v>
      </c>
      <c r="I631" s="128">
        <v>400</v>
      </c>
      <c r="J631" s="129">
        <v>400</v>
      </c>
      <c r="K631" s="101"/>
      <c r="L631" s="129">
        <v>50</v>
      </c>
      <c r="M631" s="142"/>
      <c r="R631" s="40">
        <v>1359</v>
      </c>
      <c r="S631" s="153">
        <v>51</v>
      </c>
      <c r="T631" s="101"/>
      <c r="U631" s="143">
        <v>48</v>
      </c>
      <c r="V631" s="137">
        <v>400</v>
      </c>
      <c r="W631" s="138">
        <v>400</v>
      </c>
      <c r="Y631" s="141">
        <v>16.973726851851801</v>
      </c>
      <c r="Z631" s="181"/>
    </row>
    <row r="632" spans="2:26">
      <c r="B632" s="176"/>
      <c r="C632" s="174"/>
      <c r="D632" s="172"/>
      <c r="E632" s="23">
        <v>1360</v>
      </c>
      <c r="F632" s="23">
        <f>DEMANDA_PREVISIÓN!E1364</f>
        <v>41</v>
      </c>
      <c r="G632" s="101"/>
      <c r="H632" s="128">
        <f>I631+H631</f>
        <v>5390</v>
      </c>
      <c r="J632" s="129">
        <v>400</v>
      </c>
      <c r="K632" s="47"/>
      <c r="L632" s="129">
        <v>50</v>
      </c>
      <c r="M632" s="142"/>
      <c r="R632" s="40">
        <v>1360</v>
      </c>
      <c r="S632" s="153">
        <v>26</v>
      </c>
      <c r="T632" s="101"/>
      <c r="U632" s="154">
        <v>0</v>
      </c>
      <c r="V632" s="137">
        <v>400</v>
      </c>
      <c r="W632" s="138">
        <v>400</v>
      </c>
      <c r="Y632" s="141">
        <v>16.983333333333299</v>
      </c>
      <c r="Z632" s="181"/>
    </row>
    <row r="633" spans="2:26">
      <c r="B633" s="176"/>
      <c r="C633" s="174"/>
      <c r="D633" s="172"/>
      <c r="E633" s="23">
        <v>1361</v>
      </c>
      <c r="F633" s="23">
        <f>DEMANDA_PREVISIÓN!E1365</f>
        <v>37</v>
      </c>
      <c r="G633" s="101"/>
      <c r="H633" s="23">
        <f t="shared" ref="H633:H639" si="73">H632-F633</f>
        <v>5353</v>
      </c>
      <c r="I633" s="129">
        <v>400</v>
      </c>
      <c r="J633" s="129">
        <v>400</v>
      </c>
      <c r="K633" s="101"/>
      <c r="L633" s="129">
        <v>50</v>
      </c>
      <c r="M633" s="142"/>
      <c r="R633" s="40">
        <v>1361</v>
      </c>
      <c r="S633" s="153">
        <v>105</v>
      </c>
      <c r="T633" s="101"/>
      <c r="U633" s="143">
        <f>U632+V632-S633</f>
        <v>295</v>
      </c>
      <c r="W633" s="138">
        <v>400</v>
      </c>
      <c r="Y633" s="141">
        <v>16.9929398148148</v>
      </c>
      <c r="Z633" s="181"/>
    </row>
    <row r="634" spans="2:26">
      <c r="B634" s="176"/>
      <c r="C634" s="174"/>
      <c r="D634" s="172"/>
      <c r="E634" s="23">
        <v>1362</v>
      </c>
      <c r="F634" s="23">
        <f>DEMANDA_PREVISIÓN!E1366</f>
        <v>30</v>
      </c>
      <c r="G634" s="101"/>
      <c r="H634" s="23">
        <f t="shared" si="73"/>
        <v>5323</v>
      </c>
      <c r="I634" s="129">
        <v>400</v>
      </c>
      <c r="J634" s="137">
        <v>400</v>
      </c>
      <c r="K634" s="101"/>
      <c r="L634" s="137">
        <v>50</v>
      </c>
      <c r="M634" s="142"/>
      <c r="R634" s="40">
        <v>1362</v>
      </c>
      <c r="S634" s="153">
        <v>84</v>
      </c>
      <c r="T634" s="101"/>
      <c r="U634" s="143">
        <f t="shared" ref="U634:U637" si="74">U633-S634</f>
        <v>211</v>
      </c>
      <c r="V634" s="138">
        <v>400</v>
      </c>
      <c r="W634" s="137">
        <v>400</v>
      </c>
      <c r="Y634" s="141">
        <v>17.002546296296298</v>
      </c>
      <c r="Z634" s="181"/>
    </row>
    <row r="635" spans="2:26">
      <c r="B635" s="176"/>
      <c r="C635" s="174"/>
      <c r="D635" s="172"/>
      <c r="E635" s="23">
        <v>1363</v>
      </c>
      <c r="F635" s="23">
        <f>DEMANDA_PREVISIÓN!E1367</f>
        <v>33</v>
      </c>
      <c r="G635" s="101"/>
      <c r="H635" s="23">
        <f t="shared" si="73"/>
        <v>5290</v>
      </c>
      <c r="I635" s="129">
        <v>400</v>
      </c>
      <c r="J635" s="137">
        <v>400</v>
      </c>
      <c r="K635" s="101"/>
      <c r="L635" s="137">
        <v>50</v>
      </c>
      <c r="M635" s="142"/>
      <c r="R635" s="40">
        <v>1363</v>
      </c>
      <c r="S635" s="153">
        <v>51</v>
      </c>
      <c r="T635" s="101"/>
      <c r="U635" s="143">
        <f t="shared" si="74"/>
        <v>160</v>
      </c>
      <c r="V635" s="138">
        <v>400</v>
      </c>
      <c r="W635" s="137">
        <v>400</v>
      </c>
      <c r="Y635" s="141">
        <v>17.0121527777778</v>
      </c>
      <c r="Z635" s="174"/>
    </row>
    <row r="636" spans="2:26">
      <c r="B636" s="176"/>
      <c r="C636" s="174"/>
      <c r="D636" s="172"/>
      <c r="E636" s="23">
        <v>1364</v>
      </c>
      <c r="F636" s="23">
        <f>DEMANDA_PREVISIÓN!E1368</f>
        <v>29</v>
      </c>
      <c r="G636" s="101"/>
      <c r="H636" s="23">
        <f t="shared" si="73"/>
        <v>5261</v>
      </c>
      <c r="I636" s="129">
        <v>400</v>
      </c>
      <c r="J636" s="137">
        <v>400</v>
      </c>
      <c r="K636" s="101"/>
      <c r="L636" s="137">
        <v>50</v>
      </c>
      <c r="M636" s="142"/>
      <c r="R636" s="40">
        <v>1364</v>
      </c>
      <c r="S636" s="153">
        <v>57</v>
      </c>
      <c r="T636" s="101"/>
      <c r="U636" s="143">
        <f t="shared" si="74"/>
        <v>103</v>
      </c>
      <c r="V636" s="138">
        <v>400</v>
      </c>
      <c r="W636" s="137">
        <v>400</v>
      </c>
      <c r="Y636" s="141">
        <v>17.021759259259198</v>
      </c>
      <c r="Z636" s="174">
        <v>7</v>
      </c>
    </row>
    <row r="637" spans="2:26">
      <c r="B637" s="176"/>
      <c r="C637" s="174"/>
      <c r="D637" s="172"/>
      <c r="E637" s="23">
        <v>1365</v>
      </c>
      <c r="F637" s="23">
        <f>DEMANDA_PREVISIÓN!E1369</f>
        <v>26</v>
      </c>
      <c r="G637" s="101"/>
      <c r="H637" s="23">
        <f t="shared" si="73"/>
        <v>5235</v>
      </c>
      <c r="I637" s="129">
        <v>400</v>
      </c>
      <c r="J637" s="137">
        <v>400</v>
      </c>
      <c r="K637" s="101"/>
      <c r="L637" s="137">
        <v>50</v>
      </c>
      <c r="M637" s="142"/>
      <c r="R637" s="40">
        <v>1365</v>
      </c>
      <c r="S637" s="153">
        <v>57</v>
      </c>
      <c r="T637" s="101"/>
      <c r="U637" s="143">
        <f t="shared" si="74"/>
        <v>46</v>
      </c>
      <c r="V637" s="138">
        <v>400</v>
      </c>
      <c r="W637" s="137">
        <v>400</v>
      </c>
      <c r="Y637" s="141">
        <v>17.0313657407407</v>
      </c>
      <c r="Z637" s="174"/>
    </row>
    <row r="638" spans="2:26">
      <c r="B638" s="176"/>
      <c r="C638" s="174"/>
      <c r="D638" s="172"/>
      <c r="E638" s="23">
        <v>1366</v>
      </c>
      <c r="F638" s="23">
        <f>DEMANDA_PREVISIÓN!E1370</f>
        <v>30</v>
      </c>
      <c r="G638" s="101"/>
      <c r="H638" s="23">
        <f t="shared" si="73"/>
        <v>5205</v>
      </c>
      <c r="I638" s="129">
        <v>400</v>
      </c>
      <c r="J638" s="137">
        <v>400</v>
      </c>
      <c r="K638" s="101"/>
      <c r="L638" s="137">
        <v>50</v>
      </c>
      <c r="M638" s="142"/>
      <c r="R638" s="40">
        <v>1366</v>
      </c>
      <c r="S638" s="153">
        <v>53</v>
      </c>
      <c r="T638" s="101"/>
      <c r="U638" s="154">
        <v>0</v>
      </c>
      <c r="V638" s="138">
        <v>400</v>
      </c>
      <c r="W638" s="137">
        <v>400</v>
      </c>
      <c r="Y638" s="141">
        <v>17.040972222222202</v>
      </c>
      <c r="Z638" s="174"/>
    </row>
    <row r="639" spans="2:26">
      <c r="B639" s="176"/>
      <c r="C639" s="174"/>
      <c r="D639" s="172"/>
      <c r="E639" s="23">
        <v>1367</v>
      </c>
      <c r="F639" s="23">
        <f>DEMANDA_PREVISIÓN!E1371</f>
        <v>33</v>
      </c>
      <c r="G639" s="101"/>
      <c r="H639" s="23">
        <f t="shared" si="73"/>
        <v>5172</v>
      </c>
      <c r="I639" s="129">
        <v>400</v>
      </c>
      <c r="J639" s="137">
        <v>400</v>
      </c>
      <c r="K639" s="101"/>
      <c r="L639" s="137">
        <v>50</v>
      </c>
      <c r="M639" s="142"/>
      <c r="R639" s="40">
        <v>1367</v>
      </c>
      <c r="S639" s="153">
        <v>64</v>
      </c>
      <c r="T639" s="101"/>
      <c r="U639" s="154">
        <v>0</v>
      </c>
      <c r="V639" s="138">
        <v>400</v>
      </c>
      <c r="W639" s="137">
        <v>400</v>
      </c>
      <c r="Y639" s="141">
        <v>17.0505787037037</v>
      </c>
      <c r="Z639" s="174"/>
    </row>
    <row r="640" spans="2:26">
      <c r="B640" s="176"/>
      <c r="C640" s="174"/>
      <c r="D640" s="173"/>
      <c r="E640" s="23">
        <v>1368</v>
      </c>
      <c r="F640" s="23">
        <f>DEMANDA_PREVISIÓN!E1372</f>
        <v>36</v>
      </c>
      <c r="G640" s="101"/>
      <c r="H640" s="129">
        <f>I639+H639</f>
        <v>5572</v>
      </c>
      <c r="I640" s="23"/>
      <c r="J640" s="137">
        <v>400</v>
      </c>
      <c r="K640" s="101"/>
      <c r="L640" s="137">
        <v>50</v>
      </c>
      <c r="M640" s="142"/>
      <c r="R640" s="40">
        <v>1368</v>
      </c>
      <c r="S640" s="153">
        <v>46</v>
      </c>
      <c r="T640" s="101"/>
      <c r="U640" s="154">
        <v>0</v>
      </c>
      <c r="V640" s="138">
        <v>400</v>
      </c>
      <c r="W640" s="137">
        <v>400</v>
      </c>
      <c r="Y640" s="141">
        <v>17.060185185185102</v>
      </c>
      <c r="Z640" s="174"/>
    </row>
    <row r="641" spans="2:26">
      <c r="B641" s="176"/>
      <c r="C641" s="174" t="s">
        <v>52</v>
      </c>
      <c r="D641" s="171" t="s">
        <v>53</v>
      </c>
      <c r="E641" s="23">
        <v>1369</v>
      </c>
      <c r="F641" s="23">
        <f>DEMANDA_PREVISIÓN!E1373</f>
        <v>43</v>
      </c>
      <c r="G641" s="101"/>
      <c r="H641" s="23">
        <f t="shared" ref="H641:H647" si="75">H640-F641</f>
        <v>5529</v>
      </c>
      <c r="I641" s="137">
        <v>400</v>
      </c>
      <c r="J641" s="137">
        <v>400</v>
      </c>
      <c r="K641" s="101"/>
      <c r="L641" s="137">
        <v>50</v>
      </c>
      <c r="M641" s="142"/>
      <c r="R641" s="40">
        <v>1369</v>
      </c>
      <c r="S641" s="153">
        <v>53</v>
      </c>
      <c r="T641" s="101"/>
      <c r="U641" s="143">
        <f>U640+V640-S641</f>
        <v>347</v>
      </c>
      <c r="W641" s="137">
        <v>400</v>
      </c>
      <c r="Y641" s="141">
        <v>17.0697916666666</v>
      </c>
      <c r="Z641" s="174"/>
    </row>
    <row r="642" spans="2:26">
      <c r="B642" s="176"/>
      <c r="C642" s="174"/>
      <c r="D642" s="172"/>
      <c r="E642" s="23">
        <v>1370</v>
      </c>
      <c r="F642" s="23">
        <f>DEMANDA_PREVISIÓN!E1374</f>
        <v>36</v>
      </c>
      <c r="G642" s="101"/>
      <c r="H642" s="23">
        <f t="shared" si="75"/>
        <v>5493</v>
      </c>
      <c r="I642" s="137">
        <v>400</v>
      </c>
      <c r="J642" s="138">
        <v>400</v>
      </c>
      <c r="K642" s="101"/>
      <c r="L642" s="138">
        <v>50</v>
      </c>
      <c r="M642" s="142"/>
      <c r="R642" s="40">
        <v>1370</v>
      </c>
      <c r="S642" s="153">
        <v>45</v>
      </c>
      <c r="T642" s="101"/>
      <c r="U642" s="143">
        <f t="shared" si="71"/>
        <v>302</v>
      </c>
      <c r="V642" s="137">
        <v>400</v>
      </c>
      <c r="W642" s="138">
        <v>400</v>
      </c>
      <c r="Y642" s="141">
        <v>17.079398148148101</v>
      </c>
      <c r="Z642" s="174"/>
    </row>
    <row r="643" spans="2:26">
      <c r="B643" s="176"/>
      <c r="C643" s="174"/>
      <c r="D643" s="172"/>
      <c r="E643" s="23">
        <v>1371</v>
      </c>
      <c r="F643" s="23">
        <f>DEMANDA_PREVISIÓN!E1375</f>
        <v>42</v>
      </c>
      <c r="G643" s="101"/>
      <c r="H643" s="23">
        <f t="shared" si="75"/>
        <v>5451</v>
      </c>
      <c r="I643" s="137">
        <v>400</v>
      </c>
      <c r="J643" s="138">
        <v>400</v>
      </c>
      <c r="K643" s="101"/>
      <c r="L643" s="138">
        <v>50</v>
      </c>
      <c r="M643" s="142"/>
      <c r="R643" s="40">
        <v>1371</v>
      </c>
      <c r="S643" s="153">
        <v>12</v>
      </c>
      <c r="T643" s="101"/>
      <c r="U643" s="143">
        <f t="shared" si="71"/>
        <v>290</v>
      </c>
      <c r="V643" s="137">
        <v>400</v>
      </c>
      <c r="W643" s="138">
        <v>400</v>
      </c>
      <c r="Y643" s="141">
        <v>17.089004629629599</v>
      </c>
      <c r="Z643" s="174"/>
    </row>
    <row r="644" spans="2:26">
      <c r="B644" s="176"/>
      <c r="C644" s="174"/>
      <c r="D644" s="172"/>
      <c r="E644" s="23">
        <v>1372</v>
      </c>
      <c r="F644" s="23">
        <f>DEMANDA_PREVISIÓN!E1376</f>
        <v>26</v>
      </c>
      <c r="G644" s="101"/>
      <c r="H644" s="23">
        <f t="shared" si="75"/>
        <v>5425</v>
      </c>
      <c r="I644" s="137">
        <v>400</v>
      </c>
      <c r="J644" s="138">
        <v>400</v>
      </c>
      <c r="K644" s="101"/>
      <c r="L644" s="138">
        <v>50</v>
      </c>
      <c r="M644" s="142"/>
      <c r="R644" s="40">
        <v>1372</v>
      </c>
      <c r="S644" s="153">
        <v>48</v>
      </c>
      <c r="T644" s="101"/>
      <c r="U644" s="143">
        <f t="shared" si="71"/>
        <v>242</v>
      </c>
      <c r="V644" s="137">
        <v>400</v>
      </c>
      <c r="W644" s="138">
        <v>400</v>
      </c>
      <c r="Y644" s="141">
        <v>17.098611111111001</v>
      </c>
      <c r="Z644" s="174"/>
    </row>
    <row r="645" spans="2:26">
      <c r="B645" s="176"/>
      <c r="C645" s="174"/>
      <c r="D645" s="172"/>
      <c r="E645" s="23">
        <v>1373</v>
      </c>
      <c r="F645" s="23">
        <f>DEMANDA_PREVISIÓN!E1377</f>
        <v>29</v>
      </c>
      <c r="G645" s="101"/>
      <c r="H645" s="23">
        <f t="shared" si="75"/>
        <v>5396</v>
      </c>
      <c r="I645" s="137">
        <v>400</v>
      </c>
      <c r="J645" s="138">
        <v>400</v>
      </c>
      <c r="K645" s="101"/>
      <c r="L645" s="138">
        <v>50</v>
      </c>
      <c r="M645" s="142"/>
      <c r="R645" s="40">
        <v>1373</v>
      </c>
      <c r="S645" s="153">
        <v>30</v>
      </c>
      <c r="T645" s="101"/>
      <c r="U645" s="143">
        <f t="shared" si="71"/>
        <v>212</v>
      </c>
      <c r="V645" s="137">
        <v>400</v>
      </c>
      <c r="W645" s="138">
        <v>400</v>
      </c>
      <c r="Y645" s="141">
        <v>17.108217592592499</v>
      </c>
      <c r="Z645" s="174"/>
    </row>
    <row r="646" spans="2:26">
      <c r="B646" s="176"/>
      <c r="C646" s="174"/>
      <c r="D646" s="172"/>
      <c r="E646" s="23">
        <v>1374</v>
      </c>
      <c r="F646" s="23">
        <f>DEMANDA_PREVISIÓN!E1378</f>
        <v>32</v>
      </c>
      <c r="G646" s="101"/>
      <c r="H646" s="23">
        <f t="shared" si="75"/>
        <v>5364</v>
      </c>
      <c r="I646" s="137">
        <v>400</v>
      </c>
      <c r="J646" s="138">
        <v>400</v>
      </c>
      <c r="K646" s="101"/>
      <c r="L646" s="138">
        <v>50</v>
      </c>
      <c r="M646" s="142"/>
      <c r="R646" s="40">
        <v>1374</v>
      </c>
      <c r="S646" s="153">
        <v>19</v>
      </c>
      <c r="T646" s="101"/>
      <c r="U646" s="143">
        <f t="shared" si="71"/>
        <v>193</v>
      </c>
      <c r="V646" s="137">
        <v>400</v>
      </c>
      <c r="W646" s="138">
        <v>400</v>
      </c>
      <c r="Y646" s="141">
        <v>17.117824074074001</v>
      </c>
      <c r="Z646" s="174"/>
    </row>
    <row r="647" spans="2:26">
      <c r="B647" s="176"/>
      <c r="C647" s="174"/>
      <c r="D647" s="172"/>
      <c r="E647" s="23">
        <v>1375</v>
      </c>
      <c r="F647" s="23">
        <f>DEMANDA_PREVISIÓN!E1379</f>
        <v>29</v>
      </c>
      <c r="G647" s="101"/>
      <c r="H647" s="23">
        <f t="shared" si="75"/>
        <v>5335</v>
      </c>
      <c r="I647" s="137">
        <v>400</v>
      </c>
      <c r="J647" s="138">
        <v>400</v>
      </c>
      <c r="K647" s="101"/>
      <c r="L647" s="138">
        <v>50</v>
      </c>
      <c r="M647" s="142"/>
      <c r="R647" s="40">
        <v>1375</v>
      </c>
      <c r="S647" s="153">
        <v>29</v>
      </c>
      <c r="T647" s="101"/>
      <c r="U647" s="143">
        <f t="shared" si="71"/>
        <v>164</v>
      </c>
      <c r="V647" s="137">
        <v>400</v>
      </c>
      <c r="W647" s="138">
        <v>400</v>
      </c>
      <c r="Y647" s="141">
        <v>17.127430555555499</v>
      </c>
      <c r="Z647" s="174"/>
    </row>
    <row r="648" spans="2:26">
      <c r="B648" s="176"/>
      <c r="C648" s="174"/>
      <c r="D648" s="172"/>
      <c r="E648" s="23">
        <v>1376</v>
      </c>
      <c r="F648" s="23">
        <f>DEMANDA_PREVISIÓN!E1380</f>
        <v>37</v>
      </c>
      <c r="G648" s="101"/>
      <c r="H648" s="137">
        <f>I647+H647</f>
        <v>5735</v>
      </c>
      <c r="I648" s="23"/>
      <c r="J648" s="138">
        <v>400</v>
      </c>
      <c r="K648" s="101"/>
      <c r="L648" s="138">
        <v>50</v>
      </c>
      <c r="M648" s="142"/>
      <c r="R648" s="40">
        <v>1376</v>
      </c>
      <c r="S648" s="153">
        <v>46</v>
      </c>
      <c r="T648" s="101"/>
      <c r="U648" s="143">
        <f t="shared" si="71"/>
        <v>118</v>
      </c>
      <c r="V648" s="137">
        <v>400</v>
      </c>
      <c r="W648" s="138">
        <v>400</v>
      </c>
      <c r="Y648" s="141">
        <v>17.137037037036901</v>
      </c>
      <c r="Z648" s="174"/>
    </row>
    <row r="649" spans="2:26">
      <c r="B649" s="176"/>
      <c r="C649" s="174"/>
      <c r="D649" s="172"/>
      <c r="E649" s="23">
        <v>1377</v>
      </c>
      <c r="F649" s="23">
        <f>DEMANDA_PREVISIÓN!E1381</f>
        <v>30</v>
      </c>
      <c r="G649" s="101"/>
      <c r="H649" s="23">
        <f t="shared" ref="H649:H655" si="76">H648-F649</f>
        <v>5705</v>
      </c>
      <c r="I649" s="138">
        <v>400</v>
      </c>
      <c r="J649" s="138">
        <v>400</v>
      </c>
      <c r="K649" s="101"/>
      <c r="L649" s="138">
        <v>50</v>
      </c>
      <c r="M649" s="142"/>
      <c r="R649" s="40">
        <v>1377</v>
      </c>
      <c r="S649" s="153">
        <v>39</v>
      </c>
      <c r="T649" s="101"/>
      <c r="U649" s="143">
        <f>U648+V648-S649</f>
        <v>479</v>
      </c>
      <c r="W649" s="138">
        <v>400</v>
      </c>
      <c r="Y649" s="141">
        <v>17.146643518518399</v>
      </c>
      <c r="Z649" s="174"/>
    </row>
    <row r="650" spans="2:26">
      <c r="B650" s="176"/>
      <c r="C650" s="174"/>
      <c r="D650" s="172"/>
      <c r="E650" s="23">
        <v>1378</v>
      </c>
      <c r="F650" s="23">
        <f>DEMANDA_PREVISIÓN!E1382</f>
        <v>40</v>
      </c>
      <c r="G650" s="101"/>
      <c r="H650" s="23">
        <f t="shared" si="76"/>
        <v>5665</v>
      </c>
      <c r="I650" s="138">
        <v>400</v>
      </c>
      <c r="J650" s="134">
        <v>400</v>
      </c>
      <c r="K650" s="101"/>
      <c r="L650" s="134">
        <v>50</v>
      </c>
      <c r="M650" s="142"/>
      <c r="R650" s="40">
        <v>1378</v>
      </c>
      <c r="S650" s="153">
        <v>46</v>
      </c>
      <c r="T650" s="101"/>
      <c r="U650" s="143">
        <f t="shared" ref="U650:U656" si="77">U649-S650</f>
        <v>433</v>
      </c>
      <c r="V650" s="138">
        <v>400</v>
      </c>
      <c r="W650" s="137">
        <v>400</v>
      </c>
      <c r="Y650" s="141">
        <v>17.156249999999901</v>
      </c>
      <c r="Z650" s="174"/>
    </row>
    <row r="651" spans="2:26">
      <c r="B651" s="176"/>
      <c r="C651" s="174"/>
      <c r="D651" s="172"/>
      <c r="E651" s="23">
        <v>1379</v>
      </c>
      <c r="F651" s="23">
        <f>DEMANDA_PREVISIÓN!E1383</f>
        <v>34</v>
      </c>
      <c r="G651" s="101"/>
      <c r="H651" s="23">
        <f t="shared" si="76"/>
        <v>5631</v>
      </c>
      <c r="I651" s="138">
        <v>400</v>
      </c>
      <c r="J651" s="134">
        <v>400</v>
      </c>
      <c r="K651" s="101"/>
      <c r="L651" s="134">
        <v>50</v>
      </c>
      <c r="M651" s="142"/>
      <c r="R651" s="40">
        <v>1379</v>
      </c>
      <c r="S651" s="153">
        <v>81</v>
      </c>
      <c r="T651" s="101"/>
      <c r="U651" s="143">
        <f t="shared" si="77"/>
        <v>352</v>
      </c>
      <c r="V651" s="138">
        <v>400</v>
      </c>
      <c r="W651" s="137">
        <v>400</v>
      </c>
      <c r="Y651" s="141">
        <v>17.165856481481399</v>
      </c>
      <c r="Z651" s="174"/>
    </row>
    <row r="652" spans="2:26">
      <c r="B652" s="176"/>
      <c r="C652" s="174"/>
      <c r="D652" s="172"/>
      <c r="E652" s="23">
        <v>1380</v>
      </c>
      <c r="F652" s="23">
        <f>DEMANDA_PREVISIÓN!E1384</f>
        <v>32</v>
      </c>
      <c r="G652" s="101"/>
      <c r="H652" s="23">
        <f t="shared" si="76"/>
        <v>5599</v>
      </c>
      <c r="I652" s="138">
        <v>400</v>
      </c>
      <c r="J652" s="134">
        <v>400</v>
      </c>
      <c r="K652" s="101"/>
      <c r="L652" s="134">
        <v>50</v>
      </c>
      <c r="M652" s="142"/>
      <c r="R652" s="40">
        <v>1380</v>
      </c>
      <c r="S652" s="153">
        <v>26</v>
      </c>
      <c r="T652" s="101"/>
      <c r="U652" s="143">
        <f t="shared" si="77"/>
        <v>326</v>
      </c>
      <c r="V652" s="138">
        <v>400</v>
      </c>
      <c r="W652" s="137">
        <v>400</v>
      </c>
      <c r="Y652" s="141">
        <v>17.1754629629629</v>
      </c>
      <c r="Z652" s="174"/>
    </row>
    <row r="653" spans="2:26">
      <c r="B653" s="176"/>
      <c r="C653" s="174"/>
      <c r="D653" s="172"/>
      <c r="E653" s="23">
        <v>1381</v>
      </c>
      <c r="F653" s="23">
        <f>DEMANDA_PREVISIÓN!E1385</f>
        <v>39</v>
      </c>
      <c r="G653" s="101"/>
      <c r="H653" s="23">
        <f t="shared" si="76"/>
        <v>5560</v>
      </c>
      <c r="I653" s="138">
        <v>400</v>
      </c>
      <c r="J653" s="134">
        <v>400</v>
      </c>
      <c r="K653" s="101"/>
      <c r="L653" s="134">
        <v>50</v>
      </c>
      <c r="M653" s="142"/>
      <c r="R653" s="40">
        <v>1381</v>
      </c>
      <c r="S653" s="153">
        <v>14</v>
      </c>
      <c r="T653" s="101"/>
      <c r="U653" s="143">
        <f t="shared" si="77"/>
        <v>312</v>
      </c>
      <c r="V653" s="138">
        <v>400</v>
      </c>
      <c r="W653" s="137">
        <v>400</v>
      </c>
      <c r="Y653" s="141">
        <v>17.185069444444299</v>
      </c>
      <c r="Z653" s="174"/>
    </row>
    <row r="654" spans="2:26">
      <c r="B654" s="176"/>
      <c r="C654" s="174"/>
      <c r="D654" s="172"/>
      <c r="E654" s="23">
        <v>1382</v>
      </c>
      <c r="F654" s="23">
        <f>DEMANDA_PREVISIÓN!E1386</f>
        <v>30</v>
      </c>
      <c r="G654" s="101"/>
      <c r="H654" s="23">
        <f t="shared" si="76"/>
        <v>5530</v>
      </c>
      <c r="I654" s="138">
        <v>400</v>
      </c>
      <c r="J654" s="134">
        <v>400</v>
      </c>
      <c r="K654" s="101"/>
      <c r="L654" s="134">
        <v>50</v>
      </c>
      <c r="M654" s="142"/>
      <c r="R654" s="40">
        <v>1382</v>
      </c>
      <c r="S654" s="153">
        <v>39</v>
      </c>
      <c r="T654" s="101"/>
      <c r="U654" s="143">
        <f t="shared" si="77"/>
        <v>273</v>
      </c>
      <c r="V654" s="138">
        <v>400</v>
      </c>
      <c r="W654" s="137">
        <v>400</v>
      </c>
      <c r="Y654" s="141">
        <v>17.1946759259258</v>
      </c>
      <c r="Z654" s="174"/>
    </row>
    <row r="655" spans="2:26">
      <c r="B655" s="176"/>
      <c r="C655" s="174"/>
      <c r="D655" s="172"/>
      <c r="E655" s="23">
        <v>1383</v>
      </c>
      <c r="F655" s="23">
        <f>DEMANDA_PREVISIÓN!E1387</f>
        <v>23</v>
      </c>
      <c r="G655" s="101"/>
      <c r="H655" s="23">
        <f t="shared" si="76"/>
        <v>5507</v>
      </c>
      <c r="I655" s="138">
        <v>400</v>
      </c>
      <c r="J655" s="134">
        <v>400</v>
      </c>
      <c r="K655" s="101"/>
      <c r="L655" s="134">
        <v>50</v>
      </c>
      <c r="M655" s="142"/>
      <c r="R655" s="40">
        <v>1383</v>
      </c>
      <c r="S655" s="153">
        <v>40</v>
      </c>
      <c r="T655" s="101"/>
      <c r="U655" s="143">
        <f t="shared" si="77"/>
        <v>233</v>
      </c>
      <c r="V655" s="138">
        <v>400</v>
      </c>
      <c r="W655" s="137">
        <v>400</v>
      </c>
      <c r="Y655" s="141">
        <v>17.204282407407302</v>
      </c>
      <c r="Z655" s="174"/>
    </row>
    <row r="656" spans="2:26">
      <c r="B656" s="176"/>
      <c r="C656" s="174"/>
      <c r="D656" s="172"/>
      <c r="E656" s="23">
        <v>1384</v>
      </c>
      <c r="F656" s="23">
        <f>DEMANDA_PREVISIÓN!E1388</f>
        <v>41</v>
      </c>
      <c r="G656" s="101"/>
      <c r="H656" s="138">
        <f>I655+H655</f>
        <v>5907</v>
      </c>
      <c r="I656" s="23"/>
      <c r="J656" s="134">
        <v>400</v>
      </c>
      <c r="K656" s="101"/>
      <c r="L656" s="134">
        <v>50</v>
      </c>
      <c r="M656" s="142"/>
      <c r="R656" s="40">
        <v>1384</v>
      </c>
      <c r="S656" s="153">
        <v>53</v>
      </c>
      <c r="T656" s="101"/>
      <c r="U656" s="143">
        <f t="shared" si="77"/>
        <v>180</v>
      </c>
      <c r="V656" s="138">
        <v>400</v>
      </c>
      <c r="W656" s="137">
        <v>400</v>
      </c>
      <c r="Y656" s="141">
        <v>17.2138888888888</v>
      </c>
      <c r="Z656" s="174"/>
    </row>
    <row r="657" spans="2:26">
      <c r="B657" s="176"/>
      <c r="C657" s="174"/>
      <c r="D657" s="172"/>
      <c r="E657" s="23">
        <v>1385</v>
      </c>
      <c r="F657" s="23">
        <f>DEMANDA_PREVISIÓN!E1389</f>
        <v>31</v>
      </c>
      <c r="G657" s="101"/>
      <c r="H657" s="23">
        <f t="shared" ref="H657:H663" si="78">H656-F657</f>
        <v>5876</v>
      </c>
      <c r="I657" s="134">
        <v>400</v>
      </c>
      <c r="J657" s="134">
        <v>400</v>
      </c>
      <c r="K657" s="101"/>
      <c r="L657" s="134">
        <v>50</v>
      </c>
      <c r="M657" s="142"/>
      <c r="R657" s="40">
        <v>1385</v>
      </c>
      <c r="S657" s="153">
        <v>32</v>
      </c>
      <c r="T657" s="101"/>
      <c r="U657" s="143">
        <f>U656+V656-S657</f>
        <v>548</v>
      </c>
      <c r="W657" s="137">
        <v>400</v>
      </c>
      <c r="Y657" s="141">
        <v>17.223495370370198</v>
      </c>
      <c r="Z657" s="174"/>
    </row>
    <row r="658" spans="2:26">
      <c r="B658" s="176"/>
      <c r="C658" s="174"/>
      <c r="D658" s="172"/>
      <c r="E658" s="23">
        <v>1386</v>
      </c>
      <c r="F658" s="23">
        <f>DEMANDA_PREVISIÓN!E1390</f>
        <v>35</v>
      </c>
      <c r="G658" s="101"/>
      <c r="H658" s="23">
        <f t="shared" si="78"/>
        <v>5841</v>
      </c>
      <c r="I658" s="134">
        <v>400</v>
      </c>
      <c r="J658" s="128">
        <v>400</v>
      </c>
      <c r="K658" s="101"/>
      <c r="L658" s="128">
        <v>50</v>
      </c>
      <c r="M658" s="142"/>
      <c r="R658" s="40">
        <v>1386</v>
      </c>
      <c r="S658" s="153">
        <v>70</v>
      </c>
      <c r="T658" s="101"/>
      <c r="U658" s="143">
        <f t="shared" si="71"/>
        <v>478</v>
      </c>
      <c r="V658" s="137">
        <v>400</v>
      </c>
      <c r="W658" s="138">
        <v>400</v>
      </c>
      <c r="Y658" s="141">
        <v>17.2331018518517</v>
      </c>
      <c r="Z658" s="174"/>
    </row>
    <row r="659" spans="2:26">
      <c r="B659" s="176"/>
      <c r="C659" s="174"/>
      <c r="D659" s="172"/>
      <c r="E659" s="23">
        <v>1387</v>
      </c>
      <c r="F659" s="23">
        <f>DEMANDA_PREVISIÓN!E1391</f>
        <v>36</v>
      </c>
      <c r="G659" s="101"/>
      <c r="H659" s="23">
        <f t="shared" si="78"/>
        <v>5805</v>
      </c>
      <c r="I659" s="134">
        <v>400</v>
      </c>
      <c r="J659" s="128">
        <v>400</v>
      </c>
      <c r="K659" s="101"/>
      <c r="L659" s="128">
        <v>50</v>
      </c>
      <c r="M659" s="142"/>
      <c r="R659" s="40">
        <v>1387</v>
      </c>
      <c r="S659" s="153">
        <v>24</v>
      </c>
      <c r="T659" s="101"/>
      <c r="U659" s="143">
        <f t="shared" si="71"/>
        <v>454</v>
      </c>
      <c r="V659" s="137">
        <v>400</v>
      </c>
      <c r="W659" s="138">
        <v>400</v>
      </c>
      <c r="Y659" s="141">
        <v>17.242708333333201</v>
      </c>
      <c r="Z659" s="174"/>
    </row>
    <row r="660" spans="2:26">
      <c r="B660" s="176"/>
      <c r="C660" s="174"/>
      <c r="D660" s="172"/>
      <c r="E660" s="23">
        <v>1388</v>
      </c>
      <c r="F660" s="23">
        <f>DEMANDA_PREVISIÓN!E1392</f>
        <v>42</v>
      </c>
      <c r="G660" s="101"/>
      <c r="H660" s="23">
        <f t="shared" si="78"/>
        <v>5763</v>
      </c>
      <c r="I660" s="134">
        <v>400</v>
      </c>
      <c r="J660" s="128">
        <v>400</v>
      </c>
      <c r="K660" s="101"/>
      <c r="L660" s="128">
        <v>50</v>
      </c>
      <c r="M660" s="142"/>
      <c r="R660" s="40">
        <v>1388</v>
      </c>
      <c r="S660" s="153">
        <v>35</v>
      </c>
      <c r="T660" s="101"/>
      <c r="U660" s="143">
        <f t="shared" si="71"/>
        <v>419</v>
      </c>
      <c r="V660" s="137">
        <v>400</v>
      </c>
      <c r="W660" s="138">
        <v>400</v>
      </c>
      <c r="Y660" s="141">
        <v>17.252314814814699</v>
      </c>
      <c r="Z660" s="174"/>
    </row>
    <row r="661" spans="2:26">
      <c r="B661" s="176"/>
      <c r="C661" s="174"/>
      <c r="D661" s="172"/>
      <c r="E661" s="23">
        <v>1389</v>
      </c>
      <c r="F661" s="23">
        <f>DEMANDA_PREVISIÓN!E1393</f>
        <v>26</v>
      </c>
      <c r="G661" s="101"/>
      <c r="H661" s="23">
        <f t="shared" si="78"/>
        <v>5737</v>
      </c>
      <c r="I661" s="134">
        <v>400</v>
      </c>
      <c r="J661" s="128">
        <v>400</v>
      </c>
      <c r="K661" s="101"/>
      <c r="L661" s="128">
        <v>50</v>
      </c>
      <c r="M661" s="142"/>
      <c r="R661" s="40">
        <v>1389</v>
      </c>
      <c r="S661" s="153">
        <v>22</v>
      </c>
      <c r="T661" s="101"/>
      <c r="U661" s="143">
        <f t="shared" si="71"/>
        <v>397</v>
      </c>
      <c r="V661" s="137">
        <v>400</v>
      </c>
      <c r="W661" s="138">
        <v>400</v>
      </c>
      <c r="Y661" s="141">
        <v>17.261921296296102</v>
      </c>
      <c r="Z661" s="174"/>
    </row>
    <row r="662" spans="2:26">
      <c r="B662" s="176"/>
      <c r="C662" s="174"/>
      <c r="D662" s="172"/>
      <c r="E662" s="23">
        <v>1390</v>
      </c>
      <c r="F662" s="23">
        <f>DEMANDA_PREVISIÓN!E1394</f>
        <v>35</v>
      </c>
      <c r="G662" s="101"/>
      <c r="H662" s="23">
        <f t="shared" si="78"/>
        <v>5702</v>
      </c>
      <c r="I662" s="134">
        <v>400</v>
      </c>
      <c r="J662" s="128">
        <v>400</v>
      </c>
      <c r="K662" s="101"/>
      <c r="L662" s="128">
        <v>50</v>
      </c>
      <c r="M662" s="142"/>
      <c r="R662" s="40">
        <v>1390</v>
      </c>
      <c r="S662" s="153">
        <v>75</v>
      </c>
      <c r="T662" s="101"/>
      <c r="U662" s="143">
        <f t="shared" si="71"/>
        <v>322</v>
      </c>
      <c r="V662" s="137">
        <v>400</v>
      </c>
      <c r="W662" s="138">
        <v>400</v>
      </c>
      <c r="Y662" s="141">
        <v>17.2715277777776</v>
      </c>
      <c r="Z662" s="174"/>
    </row>
    <row r="663" spans="2:26">
      <c r="B663" s="176"/>
      <c r="C663" s="174"/>
      <c r="D663" s="172"/>
      <c r="E663" s="23">
        <v>1391</v>
      </c>
      <c r="F663" s="23">
        <f>DEMANDA_PREVISIÓN!E1395</f>
        <v>36</v>
      </c>
      <c r="G663" s="101"/>
      <c r="H663" s="23">
        <f t="shared" si="78"/>
        <v>5666</v>
      </c>
      <c r="I663" s="134">
        <v>400</v>
      </c>
      <c r="J663" s="128">
        <v>400</v>
      </c>
      <c r="K663" s="101"/>
      <c r="L663" s="128">
        <v>50</v>
      </c>
      <c r="M663" s="142"/>
      <c r="R663" s="40">
        <v>1391</v>
      </c>
      <c r="S663" s="153">
        <v>12</v>
      </c>
      <c r="T663" s="101"/>
      <c r="U663" s="143">
        <f t="shared" si="71"/>
        <v>310</v>
      </c>
      <c r="V663" s="137">
        <v>400</v>
      </c>
      <c r="W663" s="138">
        <v>400</v>
      </c>
      <c r="Y663" s="141">
        <v>17.281134259259101</v>
      </c>
      <c r="Z663" s="174"/>
    </row>
    <row r="664" spans="2:26">
      <c r="B664" s="176"/>
      <c r="C664" s="174"/>
      <c r="D664" s="172"/>
      <c r="E664" s="23">
        <v>1392</v>
      </c>
      <c r="F664" s="23">
        <f>DEMANDA_PREVISIÓN!E1396</f>
        <v>40</v>
      </c>
      <c r="G664" s="101"/>
      <c r="H664" s="134">
        <f>I663+H663</f>
        <v>6066</v>
      </c>
      <c r="I664" s="23"/>
      <c r="J664" s="128">
        <v>400</v>
      </c>
      <c r="K664" s="101"/>
      <c r="L664" s="128">
        <v>50</v>
      </c>
      <c r="M664" s="142"/>
      <c r="R664" s="40">
        <v>1392</v>
      </c>
      <c r="S664" s="153">
        <v>4</v>
      </c>
      <c r="T664" s="101"/>
      <c r="U664" s="143">
        <f t="shared" si="71"/>
        <v>306</v>
      </c>
      <c r="V664" s="137">
        <v>400</v>
      </c>
      <c r="W664" s="138">
        <v>400</v>
      </c>
      <c r="Y664" s="141">
        <v>17.290740740740599</v>
      </c>
      <c r="Z664" s="174"/>
    </row>
    <row r="665" spans="2:26">
      <c r="B665" s="176"/>
      <c r="C665" s="174"/>
      <c r="D665" s="172"/>
      <c r="E665" s="23">
        <v>1393</v>
      </c>
      <c r="F665" s="23">
        <f>DEMANDA_PREVISIÓN!E1397</f>
        <v>38</v>
      </c>
      <c r="G665" s="101"/>
      <c r="H665" s="23">
        <f>H664-F665</f>
        <v>6028</v>
      </c>
      <c r="I665" s="128">
        <v>400</v>
      </c>
      <c r="J665" s="128">
        <v>400</v>
      </c>
      <c r="K665" s="101"/>
      <c r="L665" s="128">
        <v>50</v>
      </c>
      <c r="M665" s="142"/>
      <c r="R665" s="71">
        <v>1393</v>
      </c>
      <c r="S665" s="153">
        <v>28</v>
      </c>
      <c r="T665" s="101"/>
      <c r="U665" s="154">
        <f>U664+V664-S665</f>
        <v>678</v>
      </c>
      <c r="V665" s="156"/>
      <c r="W665" s="40">
        <v>400</v>
      </c>
      <c r="X665" s="156"/>
      <c r="Y665" s="141">
        <v>17.300347222222101</v>
      </c>
      <c r="Z665" s="174"/>
    </row>
    <row r="666" spans="2:26">
      <c r="B666" s="176"/>
      <c r="C666" s="174"/>
      <c r="D666" s="172"/>
      <c r="E666" s="23">
        <v>1394</v>
      </c>
      <c r="F666" s="23">
        <f>DEMANDA_PREVISIÓN!E1398</f>
        <v>37</v>
      </c>
      <c r="G666" s="101"/>
      <c r="H666" s="23">
        <f>H665-F666</f>
        <v>5991</v>
      </c>
      <c r="I666" s="128">
        <v>400</v>
      </c>
      <c r="J666" s="129">
        <v>400</v>
      </c>
      <c r="K666" s="101"/>
      <c r="L666" s="129">
        <v>50</v>
      </c>
      <c r="M666" s="142"/>
      <c r="R666" s="40">
        <v>1394</v>
      </c>
      <c r="S666" s="153">
        <v>17</v>
      </c>
      <c r="T666" s="101"/>
      <c r="U666" s="143">
        <f t="shared" ref="U666:U672" si="79">U665-S666</f>
        <v>661</v>
      </c>
      <c r="V666" s="138">
        <v>400</v>
      </c>
      <c r="Y666" s="141">
        <v>17.309953703703499</v>
      </c>
      <c r="Z666" s="174"/>
    </row>
    <row r="667" spans="2:26">
      <c r="B667" s="176"/>
      <c r="C667" s="174"/>
      <c r="D667" s="172"/>
      <c r="E667" s="23">
        <v>1395</v>
      </c>
      <c r="F667" s="23">
        <f>DEMANDA_PREVISIÓN!E1399</f>
        <v>34</v>
      </c>
      <c r="G667" s="101"/>
      <c r="H667" s="23">
        <f>H666-F667</f>
        <v>5957</v>
      </c>
      <c r="I667" s="128">
        <v>400</v>
      </c>
      <c r="J667" s="129">
        <v>400</v>
      </c>
      <c r="K667" s="101"/>
      <c r="L667" s="129">
        <v>50</v>
      </c>
      <c r="M667" s="142"/>
      <c r="R667" s="40">
        <v>1395</v>
      </c>
      <c r="S667" s="153">
        <v>41</v>
      </c>
      <c r="T667" s="101"/>
      <c r="U667" s="143">
        <f t="shared" si="79"/>
        <v>620</v>
      </c>
      <c r="V667" s="138">
        <v>400</v>
      </c>
      <c r="Y667" s="141">
        <v>17.319560185185001</v>
      </c>
      <c r="Z667" s="174"/>
    </row>
    <row r="668" spans="2:26">
      <c r="B668" s="176"/>
      <c r="C668" s="174"/>
      <c r="D668" s="172"/>
      <c r="E668" s="23">
        <v>1396</v>
      </c>
      <c r="F668" s="23">
        <f>DEMANDA_PREVISIÓN!E1400</f>
        <v>33</v>
      </c>
      <c r="G668" s="101"/>
      <c r="H668" s="23">
        <f>H667-F668</f>
        <v>5924</v>
      </c>
      <c r="I668" s="128">
        <v>400</v>
      </c>
      <c r="J668" s="129">
        <v>400</v>
      </c>
      <c r="K668" s="101"/>
      <c r="L668" s="129">
        <v>50</v>
      </c>
      <c r="M668" s="142"/>
      <c r="R668" s="40">
        <v>1396</v>
      </c>
      <c r="S668" s="153">
        <v>12</v>
      </c>
      <c r="T668" s="101"/>
      <c r="U668" s="143">
        <f t="shared" si="79"/>
        <v>608</v>
      </c>
      <c r="V668" s="138">
        <v>400</v>
      </c>
      <c r="Y668" s="141">
        <v>17.329166666666499</v>
      </c>
      <c r="Z668" s="174"/>
    </row>
    <row r="669" spans="2:26">
      <c r="B669" s="176"/>
      <c r="C669" s="174"/>
      <c r="D669" s="172"/>
      <c r="E669" s="23">
        <v>1397</v>
      </c>
      <c r="F669" s="23">
        <f>DEMANDA_PREVISIÓN!E1401</f>
        <v>35</v>
      </c>
      <c r="G669" s="101"/>
      <c r="H669" s="23">
        <f t="shared" ref="H669:H671" si="80">H668-F669</f>
        <v>5889</v>
      </c>
      <c r="I669" s="128">
        <v>400</v>
      </c>
      <c r="J669" s="129">
        <v>400</v>
      </c>
      <c r="K669" s="101"/>
      <c r="L669" s="129">
        <v>50</v>
      </c>
      <c r="M669" s="142"/>
      <c r="R669" s="40">
        <v>1397</v>
      </c>
      <c r="S669" s="153">
        <v>11</v>
      </c>
      <c r="T669" s="101"/>
      <c r="U669" s="143">
        <f t="shared" si="79"/>
        <v>597</v>
      </c>
      <c r="V669" s="138">
        <v>400</v>
      </c>
      <c r="Y669" s="141">
        <v>17.338773148148</v>
      </c>
      <c r="Z669" s="174"/>
    </row>
    <row r="670" spans="2:26">
      <c r="B670" s="176"/>
      <c r="C670" s="174"/>
      <c r="D670" s="172"/>
      <c r="E670" s="23">
        <v>1398</v>
      </c>
      <c r="F670" s="23">
        <f>DEMANDA_PREVISIÓN!E1402</f>
        <v>34</v>
      </c>
      <c r="G670" s="101"/>
      <c r="H670" s="23">
        <f t="shared" si="80"/>
        <v>5855</v>
      </c>
      <c r="I670" s="128">
        <v>400</v>
      </c>
      <c r="J670" s="129">
        <v>400</v>
      </c>
      <c r="K670" s="101"/>
      <c r="L670" s="129">
        <v>50</v>
      </c>
      <c r="M670" s="142"/>
      <c r="R670" s="40">
        <v>1398</v>
      </c>
      <c r="S670" s="153">
        <v>18</v>
      </c>
      <c r="T670" s="101"/>
      <c r="U670" s="143">
        <f t="shared" si="79"/>
        <v>579</v>
      </c>
      <c r="V670" s="138">
        <v>400</v>
      </c>
      <c r="Y670" s="141">
        <v>17.348379629629399</v>
      </c>
      <c r="Z670" s="174"/>
    </row>
    <row r="671" spans="2:26">
      <c r="B671" s="176"/>
      <c r="C671" s="174"/>
      <c r="D671" s="173"/>
      <c r="E671" s="23">
        <v>1399</v>
      </c>
      <c r="F671" s="23">
        <f>DEMANDA_PREVISIÓN!E1403</f>
        <v>31</v>
      </c>
      <c r="G671" s="101"/>
      <c r="H671" s="23">
        <f t="shared" si="80"/>
        <v>5824</v>
      </c>
      <c r="I671" s="128">
        <v>400</v>
      </c>
      <c r="J671" s="129">
        <v>400</v>
      </c>
      <c r="K671" s="101"/>
      <c r="L671" s="129">
        <v>50</v>
      </c>
      <c r="M671" s="142"/>
      <c r="R671" s="40">
        <v>1399</v>
      </c>
      <c r="S671" s="153">
        <v>19</v>
      </c>
      <c r="T671" s="101"/>
      <c r="U671" s="143">
        <f t="shared" si="79"/>
        <v>560</v>
      </c>
      <c r="V671" s="138">
        <v>400</v>
      </c>
      <c r="Y671" s="141">
        <v>17.3579861111109</v>
      </c>
      <c r="Z671" s="174"/>
    </row>
    <row r="672" spans="2:26">
      <c r="B672" s="176"/>
      <c r="C672" s="174"/>
      <c r="D672" s="171" t="s">
        <v>54</v>
      </c>
      <c r="E672" s="23">
        <v>1400</v>
      </c>
      <c r="F672" s="23">
        <f>DEMANDA_PREVISIÓN!E1404</f>
        <v>26</v>
      </c>
      <c r="G672" s="101"/>
      <c r="H672" s="128">
        <f>I671+H671</f>
        <v>6224</v>
      </c>
      <c r="J672" s="129">
        <v>400</v>
      </c>
      <c r="K672" s="47"/>
      <c r="L672" s="129">
        <v>50</v>
      </c>
      <c r="M672" s="142"/>
      <c r="R672" s="40">
        <v>1400</v>
      </c>
      <c r="S672" s="153">
        <v>12</v>
      </c>
      <c r="T672" s="101"/>
      <c r="U672" s="143">
        <f t="shared" si="79"/>
        <v>548</v>
      </c>
      <c r="V672" s="138">
        <v>400</v>
      </c>
      <c r="Y672" s="141">
        <v>17.367592592592398</v>
      </c>
      <c r="Z672" s="174"/>
    </row>
    <row r="673" spans="2:26">
      <c r="B673" s="176"/>
      <c r="C673" s="174"/>
      <c r="D673" s="172"/>
      <c r="E673" s="23">
        <v>1401</v>
      </c>
      <c r="F673" s="23">
        <f>DEMANDA_PREVISIÓN!E1405</f>
        <v>37</v>
      </c>
      <c r="G673" s="101"/>
      <c r="H673" s="23">
        <f t="shared" ref="H673:H679" si="81">H672-F673</f>
        <v>6187</v>
      </c>
      <c r="I673" s="129">
        <v>400</v>
      </c>
      <c r="J673" s="129">
        <v>400</v>
      </c>
      <c r="K673" s="101"/>
      <c r="L673" s="129">
        <v>50</v>
      </c>
      <c r="M673" s="142"/>
      <c r="R673" s="40">
        <v>1401</v>
      </c>
      <c r="S673" s="153">
        <v>22</v>
      </c>
      <c r="T673" s="101"/>
      <c r="U673" s="143">
        <f>U672+V672-S673</f>
        <v>926</v>
      </c>
      <c r="Y673" s="141">
        <v>17.3771990740739</v>
      </c>
      <c r="Z673" s="174"/>
    </row>
    <row r="674" spans="2:26">
      <c r="B674" s="176"/>
      <c r="C674" s="174"/>
      <c r="D674" s="172"/>
      <c r="E674" s="23">
        <v>1402</v>
      </c>
      <c r="F674" s="23">
        <f>DEMANDA_PREVISIÓN!E1406</f>
        <v>36</v>
      </c>
      <c r="G674" s="101"/>
      <c r="H674" s="23">
        <f t="shared" si="81"/>
        <v>6151</v>
      </c>
      <c r="I674" s="129">
        <v>400</v>
      </c>
      <c r="J674" s="137">
        <v>400</v>
      </c>
      <c r="K674" s="101"/>
      <c r="L674" s="137">
        <v>50</v>
      </c>
      <c r="M674" s="142"/>
      <c r="R674" s="40">
        <v>1402</v>
      </c>
      <c r="S674" s="153">
        <v>14</v>
      </c>
      <c r="T674" s="101"/>
      <c r="U674" s="143">
        <f t="shared" si="71"/>
        <v>912</v>
      </c>
      <c r="W674" s="40">
        <v>200</v>
      </c>
      <c r="Y674" s="141">
        <v>17.386805555555298</v>
      </c>
      <c r="Z674" s="174"/>
    </row>
    <row r="675" spans="2:26">
      <c r="B675" s="176"/>
      <c r="C675" s="174"/>
      <c r="D675" s="172"/>
      <c r="E675" s="23">
        <v>1403</v>
      </c>
      <c r="F675" s="23">
        <f>DEMANDA_PREVISIÓN!E1407</f>
        <v>36</v>
      </c>
      <c r="G675" s="101"/>
      <c r="H675" s="23">
        <f t="shared" si="81"/>
        <v>6115</v>
      </c>
      <c r="I675" s="129">
        <v>400</v>
      </c>
      <c r="J675" s="137">
        <v>400</v>
      </c>
      <c r="K675" s="101"/>
      <c r="L675" s="137">
        <v>50</v>
      </c>
      <c r="M675" s="142"/>
      <c r="R675" s="40">
        <v>1403</v>
      </c>
      <c r="S675" s="153">
        <v>43</v>
      </c>
      <c r="T675" s="101"/>
      <c r="U675" s="143">
        <f t="shared" si="71"/>
        <v>869</v>
      </c>
      <c r="W675" s="40">
        <v>200</v>
      </c>
      <c r="Y675" s="141">
        <v>17.3964120370368</v>
      </c>
      <c r="Z675" s="174"/>
    </row>
    <row r="676" spans="2:26">
      <c r="B676" s="176"/>
      <c r="C676" s="174"/>
      <c r="D676" s="172"/>
      <c r="E676" s="23">
        <v>1404</v>
      </c>
      <c r="F676" s="23">
        <f>DEMANDA_PREVISIÓN!E1408</f>
        <v>40</v>
      </c>
      <c r="G676" s="101"/>
      <c r="H676" s="23">
        <f t="shared" si="81"/>
        <v>6075</v>
      </c>
      <c r="I676" s="129">
        <v>400</v>
      </c>
      <c r="J676" s="137">
        <v>400</v>
      </c>
      <c r="K676" s="101"/>
      <c r="L676" s="137">
        <v>50</v>
      </c>
      <c r="M676" s="142"/>
      <c r="R676" s="40">
        <v>1404</v>
      </c>
      <c r="S676" s="153">
        <v>23</v>
      </c>
      <c r="T676" s="101"/>
      <c r="U676" s="143">
        <f t="shared" si="71"/>
        <v>846</v>
      </c>
      <c r="W676" s="40">
        <v>200</v>
      </c>
      <c r="Y676" s="141">
        <v>17.406018518518302</v>
      </c>
      <c r="Z676" s="174"/>
    </row>
    <row r="677" spans="2:26">
      <c r="B677" s="176"/>
      <c r="C677" s="174"/>
      <c r="D677" s="172"/>
      <c r="E677" s="23">
        <v>1405</v>
      </c>
      <c r="F677" s="23">
        <f>DEMANDA_PREVISIÓN!E1409</f>
        <v>25</v>
      </c>
      <c r="G677" s="101"/>
      <c r="H677" s="23">
        <f t="shared" si="81"/>
        <v>6050</v>
      </c>
      <c r="I677" s="129">
        <v>400</v>
      </c>
      <c r="J677" s="137">
        <v>400</v>
      </c>
      <c r="K677" s="101"/>
      <c r="L677" s="137">
        <v>50</v>
      </c>
      <c r="M677" s="142"/>
      <c r="R677" s="40">
        <v>1405</v>
      </c>
      <c r="S677" s="153">
        <v>3</v>
      </c>
      <c r="T677" s="101"/>
      <c r="U677" s="101">
        <v>158</v>
      </c>
      <c r="W677" s="40">
        <v>200</v>
      </c>
      <c r="Y677" s="141">
        <v>17.4156249999998</v>
      </c>
      <c r="Z677" s="174"/>
    </row>
    <row r="678" spans="2:26">
      <c r="B678" s="176"/>
      <c r="C678" s="174"/>
      <c r="D678" s="172"/>
      <c r="E678" s="23">
        <v>1406</v>
      </c>
      <c r="F678" s="23">
        <f>DEMANDA_PREVISIÓN!E1410</f>
        <v>29</v>
      </c>
      <c r="G678" s="101"/>
      <c r="H678" s="23">
        <f t="shared" si="81"/>
        <v>6021</v>
      </c>
      <c r="I678" s="129">
        <v>400</v>
      </c>
      <c r="J678" s="137">
        <v>400</v>
      </c>
      <c r="K678" s="101"/>
      <c r="L678" s="137">
        <v>50</v>
      </c>
      <c r="M678" s="142"/>
      <c r="R678" s="40">
        <v>1406</v>
      </c>
      <c r="S678" s="153">
        <v>14</v>
      </c>
      <c r="T678" s="101"/>
      <c r="U678" s="101">
        <f t="shared" si="71"/>
        <v>144</v>
      </c>
      <c r="V678" s="40">
        <v>200</v>
      </c>
      <c r="Y678" s="141">
        <v>17.425231481481202</v>
      </c>
      <c r="Z678" s="174"/>
    </row>
    <row r="679" spans="2:26">
      <c r="B679" s="176"/>
      <c r="C679" s="174"/>
      <c r="D679" s="172"/>
      <c r="E679" s="23">
        <v>1407</v>
      </c>
      <c r="F679" s="23">
        <f>DEMANDA_PREVISIÓN!E1411</f>
        <v>44</v>
      </c>
      <c r="G679" s="101"/>
      <c r="H679" s="23">
        <f t="shared" si="81"/>
        <v>5977</v>
      </c>
      <c r="I679" s="129">
        <v>400</v>
      </c>
      <c r="J679" s="137">
        <v>400</v>
      </c>
      <c r="K679" s="101"/>
      <c r="L679" s="137">
        <v>50</v>
      </c>
      <c r="M679" s="142"/>
      <c r="R679" s="40">
        <v>1407</v>
      </c>
      <c r="S679" s="153">
        <v>22</v>
      </c>
      <c r="T679" s="101"/>
      <c r="U679" s="101">
        <f t="shared" si="71"/>
        <v>122</v>
      </c>
      <c r="V679" s="40">
        <v>200</v>
      </c>
      <c r="Y679" s="141">
        <v>17.4348379629627</v>
      </c>
      <c r="Z679" s="174"/>
    </row>
    <row r="680" spans="2:26">
      <c r="B680" s="176"/>
      <c r="C680" s="174"/>
      <c r="D680" s="172"/>
      <c r="E680" s="23">
        <v>1408</v>
      </c>
      <c r="F680" s="23">
        <f>DEMANDA_PREVISIÓN!E1412</f>
        <v>31</v>
      </c>
      <c r="G680" s="101"/>
      <c r="H680" s="129">
        <f>I679+H679</f>
        <v>6377</v>
      </c>
      <c r="I680" s="23"/>
      <c r="J680" s="137">
        <v>400</v>
      </c>
      <c r="K680" s="101"/>
      <c r="L680" s="137">
        <v>50</v>
      </c>
      <c r="M680" s="142"/>
      <c r="R680" s="40">
        <v>1408</v>
      </c>
      <c r="S680" s="153">
        <v>10</v>
      </c>
      <c r="T680" s="101"/>
      <c r="U680" s="101">
        <f t="shared" si="71"/>
        <v>112</v>
      </c>
      <c r="V680" s="40">
        <v>200</v>
      </c>
      <c r="Y680" s="141">
        <v>17.444444444444201</v>
      </c>
      <c r="Z680" s="174"/>
    </row>
    <row r="681" spans="2:26">
      <c r="B681" s="176"/>
      <c r="C681" s="174"/>
      <c r="D681" s="172"/>
      <c r="E681" s="23">
        <v>1409</v>
      </c>
      <c r="F681" s="23">
        <f>DEMANDA_PREVISIÓN!E1413</f>
        <v>39</v>
      </c>
      <c r="G681" s="101"/>
      <c r="H681" s="23">
        <f t="shared" ref="H681:H687" si="82">H680-F681</f>
        <v>6338</v>
      </c>
      <c r="I681" s="137">
        <v>400</v>
      </c>
      <c r="J681" s="137">
        <v>400</v>
      </c>
      <c r="K681" s="101"/>
      <c r="L681" s="137">
        <v>50</v>
      </c>
      <c r="M681" s="142"/>
      <c r="R681" s="40">
        <v>1409</v>
      </c>
      <c r="S681" s="153">
        <v>7</v>
      </c>
      <c r="T681" s="101"/>
      <c r="U681" s="101">
        <f t="shared" si="71"/>
        <v>105</v>
      </c>
      <c r="V681" s="40">
        <v>200</v>
      </c>
      <c r="Y681" s="141">
        <v>17.454050925925699</v>
      </c>
      <c r="Z681" s="174"/>
    </row>
    <row r="682" spans="2:26">
      <c r="B682" s="176"/>
      <c r="C682" s="174"/>
      <c r="D682" s="172"/>
      <c r="E682" s="23">
        <v>1410</v>
      </c>
      <c r="F682" s="23">
        <f>DEMANDA_PREVISIÓN!E1414</f>
        <v>40</v>
      </c>
      <c r="G682" s="101"/>
      <c r="H682" s="23">
        <f t="shared" si="82"/>
        <v>6298</v>
      </c>
      <c r="I682" s="137">
        <v>400</v>
      </c>
      <c r="J682" s="138">
        <v>400</v>
      </c>
      <c r="K682" s="101"/>
      <c r="L682" s="138">
        <v>50</v>
      </c>
      <c r="M682" s="142"/>
      <c r="R682" s="40">
        <v>1410</v>
      </c>
      <c r="S682" s="153">
        <v>31</v>
      </c>
      <c r="T682" s="101"/>
      <c r="U682" s="101">
        <f t="shared" si="71"/>
        <v>74</v>
      </c>
      <c r="V682" s="40">
        <v>200</v>
      </c>
      <c r="Y682" s="141">
        <v>17.463657407407201</v>
      </c>
      <c r="Z682" s="174"/>
    </row>
    <row r="683" spans="2:26">
      <c r="B683" s="176"/>
      <c r="C683" s="174"/>
      <c r="D683" s="172"/>
      <c r="E683" s="23">
        <v>1411</v>
      </c>
      <c r="F683" s="23">
        <f>DEMANDA_PREVISIÓN!E1415</f>
        <v>33</v>
      </c>
      <c r="G683" s="101"/>
      <c r="H683" s="23">
        <f t="shared" si="82"/>
        <v>6265</v>
      </c>
      <c r="I683" s="137">
        <v>400</v>
      </c>
      <c r="J683" s="138">
        <v>400</v>
      </c>
      <c r="K683" s="101"/>
      <c r="L683" s="138">
        <v>50</v>
      </c>
      <c r="M683" s="142"/>
      <c r="R683" s="40">
        <v>1411</v>
      </c>
      <c r="S683" s="153">
        <v>16</v>
      </c>
      <c r="T683" s="101"/>
      <c r="U683" s="101">
        <v>44</v>
      </c>
      <c r="V683" s="40">
        <v>200</v>
      </c>
      <c r="Y683" s="141">
        <v>17.473263888888599</v>
      </c>
      <c r="Z683" s="174"/>
    </row>
    <row r="684" spans="2:26">
      <c r="B684" s="176"/>
      <c r="C684" s="174"/>
      <c r="D684" s="172"/>
      <c r="E684" s="23">
        <v>1412</v>
      </c>
      <c r="F684" s="23">
        <f>DEMANDA_PREVISIÓN!E1416</f>
        <v>40</v>
      </c>
      <c r="G684" s="101"/>
      <c r="H684" s="23">
        <f t="shared" si="82"/>
        <v>6225</v>
      </c>
      <c r="I684" s="137">
        <v>400</v>
      </c>
      <c r="J684" s="138">
        <v>400</v>
      </c>
      <c r="K684" s="101"/>
      <c r="L684" s="138">
        <v>50</v>
      </c>
      <c r="M684" s="142"/>
      <c r="R684" s="40">
        <v>1412</v>
      </c>
      <c r="S684" s="153">
        <v>19</v>
      </c>
      <c r="T684" s="101"/>
      <c r="U684" s="101">
        <f t="shared" si="71"/>
        <v>25</v>
      </c>
      <c r="V684" s="40">
        <v>200</v>
      </c>
      <c r="W684" s="40">
        <v>200</v>
      </c>
      <c r="Y684" s="141">
        <v>17.482870370370101</v>
      </c>
      <c r="Z684" s="174"/>
    </row>
    <row r="685" spans="2:26">
      <c r="B685" s="176"/>
      <c r="C685" s="174"/>
      <c r="D685" s="172"/>
      <c r="E685" s="23">
        <v>1413</v>
      </c>
      <c r="F685" s="23">
        <f>DEMANDA_PREVISIÓN!E1417</f>
        <v>49</v>
      </c>
      <c r="G685" s="101"/>
      <c r="H685" s="23">
        <f t="shared" si="82"/>
        <v>6176</v>
      </c>
      <c r="I685" s="137">
        <v>400</v>
      </c>
      <c r="J685" s="138">
        <v>400</v>
      </c>
      <c r="K685" s="101"/>
      <c r="L685" s="138">
        <v>50</v>
      </c>
      <c r="M685" s="142"/>
      <c r="R685" s="161">
        <v>1413</v>
      </c>
      <c r="S685" s="153">
        <v>12</v>
      </c>
      <c r="T685" s="101"/>
      <c r="U685" s="101">
        <f>U684+V684-S685</f>
        <v>213</v>
      </c>
      <c r="W685" s="40">
        <v>200</v>
      </c>
      <c r="Y685" s="141">
        <v>17.492476851851599</v>
      </c>
      <c r="Z685" s="174"/>
    </row>
    <row r="686" spans="2:26">
      <c r="B686" s="176"/>
      <c r="C686" s="174"/>
      <c r="D686" s="172"/>
      <c r="E686" s="23">
        <v>1414</v>
      </c>
      <c r="F686" s="23">
        <f>DEMANDA_PREVISIÓN!E1418</f>
        <v>42</v>
      </c>
      <c r="G686" s="101"/>
      <c r="H686" s="23">
        <f t="shared" si="82"/>
        <v>6134</v>
      </c>
      <c r="I686" s="137">
        <v>400</v>
      </c>
      <c r="J686" s="138">
        <v>400</v>
      </c>
      <c r="K686" s="101"/>
      <c r="L686" s="138">
        <v>50</v>
      </c>
      <c r="M686" s="142"/>
      <c r="R686" s="40">
        <v>1414</v>
      </c>
      <c r="S686" s="153">
        <v>9</v>
      </c>
      <c r="T686" s="101"/>
      <c r="U686" s="101">
        <f t="shared" si="71"/>
        <v>204</v>
      </c>
      <c r="W686" s="40">
        <v>200</v>
      </c>
      <c r="Y686" s="141">
        <v>17.502083333333101</v>
      </c>
      <c r="Z686" s="174"/>
    </row>
    <row r="687" spans="2:26">
      <c r="B687" s="176"/>
      <c r="C687" s="174"/>
      <c r="D687" s="172"/>
      <c r="E687" s="23">
        <v>1415</v>
      </c>
      <c r="F687" s="23">
        <f>DEMANDA_PREVISIÓN!E1419</f>
        <v>34</v>
      </c>
      <c r="G687" s="101"/>
      <c r="H687" s="23">
        <f t="shared" si="82"/>
        <v>6100</v>
      </c>
      <c r="I687" s="137">
        <v>400</v>
      </c>
      <c r="J687" s="138">
        <v>400</v>
      </c>
      <c r="K687" s="101"/>
      <c r="L687" s="138">
        <v>50</v>
      </c>
      <c r="M687" s="142"/>
      <c r="R687" s="40">
        <v>1415</v>
      </c>
      <c r="S687" s="153">
        <v>7</v>
      </c>
      <c r="T687" s="101"/>
      <c r="U687" s="101">
        <f t="shared" si="71"/>
        <v>197</v>
      </c>
      <c r="W687" s="40">
        <v>200</v>
      </c>
      <c r="Y687" s="141">
        <v>17.511689814814499</v>
      </c>
      <c r="Z687" s="174"/>
    </row>
    <row r="688" spans="2:26">
      <c r="B688" s="176"/>
      <c r="C688" s="174"/>
      <c r="D688" s="172"/>
      <c r="E688" s="23">
        <v>1416</v>
      </c>
      <c r="F688" s="23">
        <f>DEMANDA_PREVISIÓN!E1420</f>
        <v>36</v>
      </c>
      <c r="G688" s="101"/>
      <c r="H688" s="137">
        <f>I687+H687</f>
        <v>6500</v>
      </c>
      <c r="I688" s="23"/>
      <c r="J688" s="138">
        <v>400</v>
      </c>
      <c r="K688" s="101"/>
      <c r="L688" s="138">
        <v>50</v>
      </c>
      <c r="M688" s="142"/>
      <c r="R688" s="40">
        <v>1416</v>
      </c>
      <c r="S688" s="153">
        <v>24</v>
      </c>
      <c r="T688" s="101"/>
      <c r="U688" s="101">
        <f t="shared" si="71"/>
        <v>173</v>
      </c>
      <c r="V688" s="40">
        <v>200</v>
      </c>
      <c r="Y688" s="141">
        <v>17.521296296296001</v>
      </c>
      <c r="Z688" s="174"/>
    </row>
    <row r="689" spans="2:26">
      <c r="B689" s="176"/>
      <c r="C689" s="174"/>
      <c r="D689" s="172"/>
      <c r="E689" s="23">
        <v>1417</v>
      </c>
      <c r="F689" s="23">
        <f>DEMANDA_PREVISIÓN!E1421</f>
        <v>38</v>
      </c>
      <c r="G689" s="101"/>
      <c r="H689" s="23">
        <f t="shared" ref="H689:H695" si="83">H688-F689</f>
        <v>6462</v>
      </c>
      <c r="I689" s="138">
        <v>400</v>
      </c>
      <c r="J689" s="138">
        <v>400</v>
      </c>
      <c r="K689" s="101"/>
      <c r="L689" s="138">
        <v>50</v>
      </c>
      <c r="M689" s="142"/>
      <c r="R689" s="40">
        <v>1417</v>
      </c>
      <c r="S689" s="153">
        <v>16</v>
      </c>
      <c r="T689" s="101"/>
      <c r="U689" s="101">
        <f t="shared" si="71"/>
        <v>157</v>
      </c>
      <c r="V689" s="40">
        <v>200</v>
      </c>
      <c r="Y689" s="141">
        <v>17.530902777777499</v>
      </c>
      <c r="Z689" s="174"/>
    </row>
    <row r="690" spans="2:26">
      <c r="B690" s="176"/>
      <c r="C690" s="174"/>
      <c r="D690" s="172"/>
      <c r="E690" s="23">
        <v>1418</v>
      </c>
      <c r="F690" s="23">
        <f>DEMANDA_PREVISIÓN!E1422</f>
        <v>31</v>
      </c>
      <c r="G690" s="101"/>
      <c r="H690" s="23">
        <f t="shared" si="83"/>
        <v>6431</v>
      </c>
      <c r="I690" s="138">
        <v>400</v>
      </c>
      <c r="J690" s="134">
        <v>400</v>
      </c>
      <c r="K690" s="101"/>
      <c r="L690" s="134">
        <v>50</v>
      </c>
      <c r="M690" s="142"/>
      <c r="R690" s="40">
        <v>1418</v>
      </c>
      <c r="S690" s="153">
        <v>7</v>
      </c>
      <c r="T690" s="101"/>
      <c r="U690" s="101">
        <f t="shared" ref="U690:U722" si="84">U689-S690</f>
        <v>150</v>
      </c>
      <c r="V690" s="40">
        <v>200</v>
      </c>
      <c r="X690" s="162">
        <v>200</v>
      </c>
      <c r="Y690" s="141">
        <v>17.540509259259</v>
      </c>
      <c r="Z690" s="174"/>
    </row>
    <row r="691" spans="2:26">
      <c r="B691" s="176"/>
      <c r="C691" s="174"/>
      <c r="D691" s="172"/>
      <c r="E691" s="23">
        <v>1419</v>
      </c>
      <c r="F691" s="23">
        <f>DEMANDA_PREVISIÓN!E1423</f>
        <v>39</v>
      </c>
      <c r="G691" s="101"/>
      <c r="H691" s="23">
        <f t="shared" si="83"/>
        <v>6392</v>
      </c>
      <c r="I691" s="138">
        <v>400</v>
      </c>
      <c r="J691" s="134">
        <v>400</v>
      </c>
      <c r="K691" s="101"/>
      <c r="L691" s="134">
        <v>50</v>
      </c>
      <c r="M691" s="142"/>
      <c r="R691" s="40">
        <v>1419</v>
      </c>
      <c r="S691" s="153">
        <v>45</v>
      </c>
      <c r="T691" s="101"/>
      <c r="U691" s="101">
        <f t="shared" si="84"/>
        <v>105</v>
      </c>
      <c r="V691" s="40">
        <v>200</v>
      </c>
      <c r="X691" s="162">
        <v>200</v>
      </c>
      <c r="Y691" s="141">
        <v>17.550115740740399</v>
      </c>
      <c r="Z691" s="174"/>
    </row>
    <row r="692" spans="2:26">
      <c r="B692" s="176"/>
      <c r="C692" s="174"/>
      <c r="D692" s="172"/>
      <c r="E692" s="23">
        <v>1420</v>
      </c>
      <c r="F692" s="23">
        <f>DEMANDA_PREVISIÓN!E1424</f>
        <v>33</v>
      </c>
      <c r="G692" s="101"/>
      <c r="H692" s="23">
        <f t="shared" si="83"/>
        <v>6359</v>
      </c>
      <c r="I692" s="138">
        <v>400</v>
      </c>
      <c r="J692" s="134">
        <v>400</v>
      </c>
      <c r="K692" s="101"/>
      <c r="L692" s="134">
        <v>50</v>
      </c>
      <c r="M692" s="142"/>
      <c r="R692" s="40">
        <v>1420</v>
      </c>
      <c r="S692" s="153">
        <v>21</v>
      </c>
      <c r="T692" s="101"/>
      <c r="U692" s="101">
        <f t="shared" si="84"/>
        <v>84</v>
      </c>
      <c r="V692" s="40">
        <v>200</v>
      </c>
      <c r="X692" s="162">
        <v>200</v>
      </c>
      <c r="Y692" s="141">
        <v>17.5597222222219</v>
      </c>
      <c r="Z692" s="174"/>
    </row>
    <row r="693" spans="2:26">
      <c r="B693" s="176"/>
      <c r="C693" s="174"/>
      <c r="D693" s="172"/>
      <c r="E693" s="23">
        <v>1421</v>
      </c>
      <c r="F693" s="23">
        <f>DEMANDA_PREVISIÓN!E1425</f>
        <v>38</v>
      </c>
      <c r="G693" s="101"/>
      <c r="H693" s="23">
        <f t="shared" si="83"/>
        <v>6321</v>
      </c>
      <c r="I693" s="138">
        <v>400</v>
      </c>
      <c r="J693" s="134">
        <v>400</v>
      </c>
      <c r="K693" s="101"/>
      <c r="L693" s="134">
        <v>50</v>
      </c>
      <c r="M693" s="142"/>
      <c r="R693" s="40">
        <v>1421</v>
      </c>
      <c r="S693" s="153">
        <v>8</v>
      </c>
      <c r="T693" s="101"/>
      <c r="U693" s="101">
        <f t="shared" si="84"/>
        <v>76</v>
      </c>
      <c r="V693" s="40">
        <v>200</v>
      </c>
      <c r="X693" s="162">
        <v>200</v>
      </c>
      <c r="Y693" s="141">
        <v>17.569328703703398</v>
      </c>
      <c r="Z693" s="174"/>
    </row>
    <row r="694" spans="2:26">
      <c r="B694" s="176"/>
      <c r="C694" s="174"/>
      <c r="D694" s="172"/>
      <c r="E694" s="23">
        <v>1422</v>
      </c>
      <c r="F694" s="23">
        <f>DEMANDA_PREVISIÓN!E1426</f>
        <v>40</v>
      </c>
      <c r="G694" s="101"/>
      <c r="H694" s="23">
        <f t="shared" si="83"/>
        <v>6281</v>
      </c>
      <c r="I694" s="138">
        <v>400</v>
      </c>
      <c r="J694" s="134">
        <v>400</v>
      </c>
      <c r="K694" s="101"/>
      <c r="L694" s="134">
        <v>50</v>
      </c>
      <c r="M694" s="142"/>
      <c r="R694" s="40">
        <v>1422</v>
      </c>
      <c r="S694" s="153">
        <v>7</v>
      </c>
      <c r="T694" s="101"/>
      <c r="U694" s="101">
        <f t="shared" si="84"/>
        <v>69</v>
      </c>
      <c r="V694" s="40">
        <v>200</v>
      </c>
      <c r="W694" s="162">
        <v>200</v>
      </c>
      <c r="Y694" s="141">
        <v>17.5789351851849</v>
      </c>
      <c r="Z694" s="174"/>
    </row>
    <row r="695" spans="2:26">
      <c r="B695" s="176"/>
      <c r="C695" s="174"/>
      <c r="D695" s="172"/>
      <c r="E695" s="23">
        <v>1423</v>
      </c>
      <c r="F695" s="23">
        <f>DEMANDA_PREVISIÓN!E1427</f>
        <v>44</v>
      </c>
      <c r="G695" s="101"/>
      <c r="H695" s="23">
        <f t="shared" si="83"/>
        <v>6237</v>
      </c>
      <c r="I695" s="138">
        <v>400</v>
      </c>
      <c r="J695" s="134">
        <v>400</v>
      </c>
      <c r="K695" s="101"/>
      <c r="L695" s="134">
        <v>50</v>
      </c>
      <c r="M695" s="142"/>
      <c r="O695" s="2">
        <v>44</v>
      </c>
      <c r="P695" s="2">
        <v>42</v>
      </c>
      <c r="Q695" s="18">
        <v>43</v>
      </c>
      <c r="R695" s="40">
        <v>1423</v>
      </c>
      <c r="S695" s="150">
        <v>6</v>
      </c>
      <c r="T695" s="101"/>
      <c r="U695" s="40">
        <v>133</v>
      </c>
      <c r="W695" s="162">
        <v>200</v>
      </c>
      <c r="Y695" s="141">
        <v>17.588541666666401</v>
      </c>
      <c r="Z695" s="174"/>
    </row>
    <row r="696" spans="2:26">
      <c r="B696" s="176"/>
      <c r="C696" s="174"/>
      <c r="D696" s="172"/>
      <c r="E696" s="23">
        <v>1424</v>
      </c>
      <c r="F696" s="23">
        <f>DEMANDA_PREVISIÓN!E1428</f>
        <v>36</v>
      </c>
      <c r="G696" s="101"/>
      <c r="H696" s="138">
        <f>I695+H695</f>
        <v>6637</v>
      </c>
      <c r="I696" s="23"/>
      <c r="J696" s="134">
        <v>400</v>
      </c>
      <c r="K696" s="101"/>
      <c r="L696" s="134">
        <v>50</v>
      </c>
      <c r="M696" s="142"/>
      <c r="O696" s="2">
        <v>30</v>
      </c>
      <c r="P696" s="2">
        <v>42</v>
      </c>
      <c r="Q696" s="18">
        <v>35</v>
      </c>
      <c r="R696" s="161">
        <v>1424</v>
      </c>
      <c r="S696" s="150">
        <v>16</v>
      </c>
      <c r="T696" s="101"/>
      <c r="U696" s="23">
        <f>U695-S696</f>
        <v>117</v>
      </c>
      <c r="W696" s="162">
        <v>200</v>
      </c>
      <c r="Y696" s="141">
        <v>17.5981481481478</v>
      </c>
      <c r="Z696" s="174"/>
    </row>
    <row r="697" spans="2:26">
      <c r="B697" s="176"/>
      <c r="C697" s="174"/>
      <c r="D697" s="172"/>
      <c r="E697" s="23">
        <v>1425</v>
      </c>
      <c r="F697" s="23">
        <f>DEMANDA_PREVISIÓN!E1429</f>
        <v>37</v>
      </c>
      <c r="G697" s="101"/>
      <c r="H697" s="23">
        <f t="shared" ref="H697:H703" si="85">H696-F697</f>
        <v>6600</v>
      </c>
      <c r="I697" s="134">
        <v>400</v>
      </c>
      <c r="J697" s="134">
        <v>400</v>
      </c>
      <c r="K697" s="101"/>
      <c r="L697" s="134">
        <v>50</v>
      </c>
      <c r="M697" s="142"/>
      <c r="O697" s="2">
        <v>33</v>
      </c>
      <c r="P697" s="2">
        <v>41</v>
      </c>
      <c r="Q697" s="18">
        <v>37</v>
      </c>
      <c r="R697" s="23">
        <v>1425</v>
      </c>
      <c r="S697" s="150">
        <v>23</v>
      </c>
      <c r="T697" s="101"/>
      <c r="U697" s="23">
        <f>U696-S697</f>
        <v>94</v>
      </c>
      <c r="W697" s="162">
        <v>200</v>
      </c>
      <c r="Y697" s="141">
        <v>17.607754629629301</v>
      </c>
      <c r="Z697" s="174"/>
    </row>
    <row r="698" spans="2:26">
      <c r="B698" s="176"/>
      <c r="C698" s="174"/>
      <c r="D698" s="172"/>
      <c r="E698" s="23">
        <v>1426</v>
      </c>
      <c r="F698" s="23">
        <f>DEMANDA_PREVISIÓN!E1430</f>
        <v>36</v>
      </c>
      <c r="G698" s="101"/>
      <c r="H698" s="23">
        <f t="shared" si="85"/>
        <v>6564</v>
      </c>
      <c r="I698" s="134">
        <v>400</v>
      </c>
      <c r="J698" s="128">
        <v>400</v>
      </c>
      <c r="K698" s="101"/>
      <c r="L698" s="128">
        <v>50</v>
      </c>
      <c r="M698" s="142"/>
      <c r="O698" s="2">
        <v>47</v>
      </c>
      <c r="P698" s="2">
        <v>21</v>
      </c>
      <c r="Q698" s="18">
        <v>35</v>
      </c>
      <c r="R698" s="23">
        <v>1426</v>
      </c>
      <c r="S698" s="150">
        <v>28</v>
      </c>
      <c r="T698" s="101"/>
      <c r="U698" s="23">
        <f t="shared" si="84"/>
        <v>66</v>
      </c>
      <c r="W698" s="162">
        <v>200</v>
      </c>
      <c r="Y698" s="141">
        <v>17.617361111110799</v>
      </c>
      <c r="Z698" s="174"/>
    </row>
    <row r="699" spans="2:26">
      <c r="B699" s="176"/>
      <c r="C699" s="174"/>
      <c r="D699" s="172"/>
      <c r="E699" s="23">
        <v>1427</v>
      </c>
      <c r="F699" s="23">
        <f>DEMANDA_PREVISIÓN!E1431</f>
        <v>31</v>
      </c>
      <c r="G699" s="101"/>
      <c r="H699" s="23">
        <f t="shared" si="85"/>
        <v>6533</v>
      </c>
      <c r="I699" s="134">
        <v>400</v>
      </c>
      <c r="J699" s="128">
        <v>400</v>
      </c>
      <c r="K699" s="101"/>
      <c r="L699" s="128">
        <v>50</v>
      </c>
      <c r="M699" s="142"/>
      <c r="O699" s="2">
        <v>24</v>
      </c>
      <c r="P699" s="2">
        <v>38</v>
      </c>
      <c r="Q699" s="18">
        <v>30</v>
      </c>
      <c r="R699" s="23">
        <v>1427</v>
      </c>
      <c r="S699" s="150">
        <v>7</v>
      </c>
      <c r="T699" s="101"/>
      <c r="U699" s="23">
        <f t="shared" si="84"/>
        <v>59</v>
      </c>
      <c r="W699" s="162">
        <v>200</v>
      </c>
      <c r="Y699" s="141">
        <v>17.626967592592301</v>
      </c>
      <c r="Z699" s="174"/>
    </row>
    <row r="700" spans="2:26">
      <c r="B700" s="176"/>
      <c r="C700" s="174"/>
      <c r="D700" s="172"/>
      <c r="E700" s="23">
        <v>1428</v>
      </c>
      <c r="F700" s="23">
        <f>DEMANDA_PREVISIÓN!E1432</f>
        <v>39</v>
      </c>
      <c r="G700" s="101"/>
      <c r="H700" s="23">
        <f t="shared" si="85"/>
        <v>6494</v>
      </c>
      <c r="I700" s="134">
        <v>400</v>
      </c>
      <c r="J700" s="128">
        <v>400</v>
      </c>
      <c r="K700" s="101"/>
      <c r="L700" s="128">
        <v>50</v>
      </c>
      <c r="M700" s="142"/>
      <c r="O700" s="2">
        <v>35</v>
      </c>
      <c r="P700" s="2">
        <v>42</v>
      </c>
      <c r="Q700" s="18">
        <v>38</v>
      </c>
      <c r="R700" s="23">
        <v>1428</v>
      </c>
      <c r="S700" s="150">
        <v>21</v>
      </c>
      <c r="T700" s="101"/>
      <c r="U700" s="23">
        <f t="shared" si="84"/>
        <v>38</v>
      </c>
      <c r="W700" s="162">
        <v>200</v>
      </c>
      <c r="Y700" s="141">
        <v>17.6365740740737</v>
      </c>
      <c r="Z700" s="174"/>
    </row>
    <row r="701" spans="2:26">
      <c r="B701" s="176"/>
      <c r="C701" s="174"/>
      <c r="D701" s="173"/>
      <c r="E701" s="23">
        <v>1429</v>
      </c>
      <c r="F701" s="23">
        <f>DEMANDA_PREVISIÓN!E1433</f>
        <v>40</v>
      </c>
      <c r="G701" s="101"/>
      <c r="H701" s="23">
        <f t="shared" si="85"/>
        <v>6454</v>
      </c>
      <c r="I701" s="134">
        <v>400</v>
      </c>
      <c r="J701" s="128">
        <v>400</v>
      </c>
      <c r="K701" s="101"/>
      <c r="L701" s="128">
        <v>50</v>
      </c>
      <c r="M701" s="142"/>
      <c r="O701" s="2">
        <v>43</v>
      </c>
      <c r="P701" s="2">
        <v>36</v>
      </c>
      <c r="Q701" s="18">
        <v>40</v>
      </c>
      <c r="R701" s="23">
        <v>1429</v>
      </c>
      <c r="S701" s="150">
        <v>2</v>
      </c>
      <c r="T701" s="101"/>
      <c r="U701" s="137">
        <f>U700+W700-S701</f>
        <v>236</v>
      </c>
      <c r="Y701" s="141">
        <v>17.646180555555201</v>
      </c>
      <c r="Z701" s="174"/>
    </row>
    <row r="702" spans="2:26">
      <c r="B702" s="176"/>
      <c r="C702" s="174"/>
      <c r="D702" s="171" t="s">
        <v>55</v>
      </c>
      <c r="E702" s="23">
        <v>1430</v>
      </c>
      <c r="F702" s="23">
        <f>DEMANDA_PREVISIÓN!E1434</f>
        <v>37</v>
      </c>
      <c r="G702" s="101"/>
      <c r="H702" s="23">
        <f t="shared" si="85"/>
        <v>6417</v>
      </c>
      <c r="I702" s="134">
        <v>400</v>
      </c>
      <c r="J702" s="128">
        <v>400</v>
      </c>
      <c r="K702" s="101"/>
      <c r="L702" s="128">
        <v>50</v>
      </c>
      <c r="M702" s="142"/>
      <c r="O702" s="2">
        <v>34</v>
      </c>
      <c r="P702" s="2">
        <v>39</v>
      </c>
      <c r="Q702" s="18">
        <v>36</v>
      </c>
      <c r="R702" s="23">
        <v>1430</v>
      </c>
      <c r="S702" s="150">
        <v>12</v>
      </c>
      <c r="T702" s="101"/>
      <c r="U702" s="23">
        <f t="shared" si="84"/>
        <v>224</v>
      </c>
      <c r="Y702" s="141">
        <v>17.655787037036699</v>
      </c>
      <c r="Z702" s="174"/>
    </row>
    <row r="703" spans="2:26">
      <c r="B703" s="176"/>
      <c r="C703" s="174"/>
      <c r="D703" s="172"/>
      <c r="E703" s="23">
        <v>1431</v>
      </c>
      <c r="F703" s="23">
        <f>DEMANDA_PREVISIÓN!E1435</f>
        <v>32</v>
      </c>
      <c r="G703" s="101"/>
      <c r="H703" s="23">
        <f t="shared" si="85"/>
        <v>6385</v>
      </c>
      <c r="I703" s="134">
        <v>400</v>
      </c>
      <c r="J703" s="128">
        <v>400</v>
      </c>
      <c r="K703" s="101"/>
      <c r="L703" s="128">
        <v>50</v>
      </c>
      <c r="M703" s="142"/>
      <c r="O703" s="2">
        <v>26</v>
      </c>
      <c r="P703" s="2">
        <v>38</v>
      </c>
      <c r="Q703" s="18">
        <v>31</v>
      </c>
      <c r="R703" s="23">
        <v>1431</v>
      </c>
      <c r="S703" s="150">
        <v>14</v>
      </c>
      <c r="T703" s="101"/>
      <c r="U703" s="23">
        <f t="shared" si="84"/>
        <v>210</v>
      </c>
      <c r="Y703" s="141">
        <v>17.665393518518201</v>
      </c>
      <c r="Z703" s="174"/>
    </row>
    <row r="704" spans="2:26">
      <c r="B704" s="176"/>
      <c r="C704" s="174"/>
      <c r="D704" s="172"/>
      <c r="E704" s="23">
        <v>1432</v>
      </c>
      <c r="F704" s="23">
        <f>DEMANDA_PREVISIÓN!E1436</f>
        <v>33</v>
      </c>
      <c r="G704" s="101"/>
      <c r="H704" s="134">
        <f>I703+H703</f>
        <v>6785</v>
      </c>
      <c r="I704" s="23"/>
      <c r="J704" s="128">
        <v>400</v>
      </c>
      <c r="K704" s="101"/>
      <c r="L704" s="128">
        <v>50</v>
      </c>
      <c r="M704" s="142"/>
      <c r="O704" s="2">
        <v>32</v>
      </c>
      <c r="P704" s="2">
        <v>33</v>
      </c>
      <c r="Q704" s="18">
        <v>32</v>
      </c>
      <c r="R704" s="23">
        <v>1432</v>
      </c>
      <c r="S704" s="150">
        <v>13</v>
      </c>
      <c r="T704" s="101"/>
      <c r="U704" s="23">
        <f t="shared" si="84"/>
        <v>197</v>
      </c>
      <c r="Y704" s="141">
        <v>17.674999999999599</v>
      </c>
      <c r="Z704" s="174"/>
    </row>
    <row r="705" spans="2:26">
      <c r="B705" s="176"/>
      <c r="C705" s="174"/>
      <c r="D705" s="172"/>
      <c r="E705" s="23">
        <v>1433</v>
      </c>
      <c r="F705" s="23">
        <f>DEMANDA_PREVISIÓN!E1437</f>
        <v>41</v>
      </c>
      <c r="G705" s="101"/>
      <c r="H705" s="23">
        <f>H704-F705</f>
        <v>6744</v>
      </c>
      <c r="I705" s="128">
        <v>400</v>
      </c>
      <c r="J705" s="128">
        <v>400</v>
      </c>
      <c r="K705" s="101"/>
      <c r="L705" s="128">
        <v>50</v>
      </c>
      <c r="M705" s="142"/>
      <c r="O705" s="2">
        <v>35</v>
      </c>
      <c r="P705" s="2">
        <v>47</v>
      </c>
      <c r="Q705" s="18">
        <v>41</v>
      </c>
      <c r="R705" s="23">
        <v>1433</v>
      </c>
      <c r="S705" s="150">
        <v>6</v>
      </c>
      <c r="T705" s="101"/>
      <c r="U705" s="23">
        <f t="shared" si="84"/>
        <v>191</v>
      </c>
      <c r="Y705" s="141">
        <v>17.684606481481101</v>
      </c>
      <c r="Z705" s="174"/>
    </row>
    <row r="706" spans="2:26">
      <c r="B706" s="176"/>
      <c r="C706" s="174"/>
      <c r="D706" s="172"/>
      <c r="E706" s="23">
        <v>1434</v>
      </c>
      <c r="F706" s="23">
        <f>DEMANDA_PREVISIÓN!E1438</f>
        <v>46</v>
      </c>
      <c r="G706" s="101"/>
      <c r="H706" s="23">
        <f>H705-F706</f>
        <v>6698</v>
      </c>
      <c r="I706" s="128">
        <v>400</v>
      </c>
      <c r="J706" s="129">
        <v>400</v>
      </c>
      <c r="K706" s="101"/>
      <c r="L706" s="129">
        <v>50</v>
      </c>
      <c r="M706" s="142"/>
      <c r="O706" s="2">
        <v>40</v>
      </c>
      <c r="P706" s="2">
        <v>52</v>
      </c>
      <c r="Q706" s="18">
        <v>46</v>
      </c>
      <c r="R706" s="23">
        <v>1434</v>
      </c>
      <c r="S706" s="150">
        <v>5</v>
      </c>
      <c r="T706" s="101"/>
      <c r="U706" s="23">
        <f t="shared" si="84"/>
        <v>186</v>
      </c>
      <c r="Y706" s="141">
        <v>17.694212962962599</v>
      </c>
      <c r="Z706" s="174"/>
    </row>
    <row r="707" spans="2:26">
      <c r="B707" s="176"/>
      <c r="C707" s="174"/>
      <c r="D707" s="172"/>
      <c r="E707" s="23">
        <v>1435</v>
      </c>
      <c r="F707" s="23">
        <f>DEMANDA_PREVISIÓN!E1439</f>
        <v>33</v>
      </c>
      <c r="G707" s="101"/>
      <c r="H707" s="23">
        <f>H706-F707</f>
        <v>6665</v>
      </c>
      <c r="I707" s="128">
        <v>400</v>
      </c>
      <c r="J707" s="129">
        <v>400</v>
      </c>
      <c r="K707" s="101"/>
      <c r="L707" s="129">
        <v>50</v>
      </c>
      <c r="M707" s="142"/>
      <c r="O707" s="2">
        <v>34</v>
      </c>
      <c r="P707" s="2">
        <v>31</v>
      </c>
      <c r="Q707" s="18">
        <v>33</v>
      </c>
      <c r="R707" s="161">
        <v>1435</v>
      </c>
      <c r="S707" s="150">
        <v>32</v>
      </c>
      <c r="T707" s="101"/>
      <c r="U707" s="23">
        <f t="shared" si="84"/>
        <v>154</v>
      </c>
      <c r="Y707" s="141">
        <v>17.7038194444441</v>
      </c>
      <c r="Z707" s="174"/>
    </row>
    <row r="708" spans="2:26">
      <c r="B708" s="176"/>
      <c r="C708" s="174"/>
      <c r="D708" s="172"/>
      <c r="E708" s="23">
        <v>1436</v>
      </c>
      <c r="F708" s="23">
        <f>DEMANDA_PREVISIÓN!E1440</f>
        <v>34</v>
      </c>
      <c r="G708" s="101"/>
      <c r="H708" s="23">
        <f>H707-F708</f>
        <v>6631</v>
      </c>
      <c r="I708" s="128">
        <v>400</v>
      </c>
      <c r="J708" s="129">
        <v>400</v>
      </c>
      <c r="K708" s="101"/>
      <c r="L708" s="129">
        <v>50</v>
      </c>
      <c r="M708" s="142"/>
      <c r="O708" s="2">
        <v>38</v>
      </c>
      <c r="P708" s="2">
        <v>29</v>
      </c>
      <c r="Q708" s="18">
        <v>34</v>
      </c>
      <c r="R708" s="23">
        <v>1436</v>
      </c>
      <c r="S708" s="150">
        <v>2</v>
      </c>
      <c r="T708" s="101"/>
      <c r="U708" s="23">
        <f t="shared" si="84"/>
        <v>152</v>
      </c>
      <c r="Y708" s="141">
        <v>17.713425925925499</v>
      </c>
      <c r="Z708" s="174"/>
    </row>
    <row r="709" spans="2:26">
      <c r="B709" s="176"/>
      <c r="C709" s="174"/>
      <c r="D709" s="172"/>
      <c r="E709" s="23">
        <v>1437</v>
      </c>
      <c r="F709" s="23">
        <f>DEMANDA_PREVISIÓN!E1441</f>
        <v>34</v>
      </c>
      <c r="G709" s="101"/>
      <c r="H709" s="23">
        <f t="shared" ref="H709:H711" si="86">H708-F709</f>
        <v>6597</v>
      </c>
      <c r="I709" s="128">
        <v>400</v>
      </c>
      <c r="J709" s="129">
        <v>400</v>
      </c>
      <c r="K709" s="101"/>
      <c r="L709" s="129">
        <v>50</v>
      </c>
      <c r="M709" s="142"/>
      <c r="O709" s="2">
        <v>37</v>
      </c>
      <c r="P709" s="2">
        <v>30</v>
      </c>
      <c r="Q709" s="18">
        <v>33</v>
      </c>
      <c r="R709" s="23">
        <v>1437</v>
      </c>
      <c r="S709" s="150">
        <v>17</v>
      </c>
      <c r="T709" s="101"/>
      <c r="U709" s="23">
        <f t="shared" si="84"/>
        <v>135</v>
      </c>
      <c r="Y709" s="141">
        <v>17.723032407407</v>
      </c>
      <c r="Z709" s="174"/>
    </row>
    <row r="710" spans="2:26">
      <c r="B710" s="176"/>
      <c r="C710" s="174"/>
      <c r="D710" s="172"/>
      <c r="E710" s="23">
        <v>1438</v>
      </c>
      <c r="F710" s="23">
        <f>DEMANDA_PREVISIÓN!E1442</f>
        <v>39</v>
      </c>
      <c r="G710" s="101"/>
      <c r="H710" s="23">
        <f t="shared" si="86"/>
        <v>6558</v>
      </c>
      <c r="I710" s="128">
        <v>400</v>
      </c>
      <c r="J710" s="129">
        <v>400</v>
      </c>
      <c r="K710" s="101"/>
      <c r="L710" s="129">
        <v>50</v>
      </c>
      <c r="M710" s="142"/>
      <c r="O710" s="2">
        <v>37</v>
      </c>
      <c r="P710" s="2">
        <v>40</v>
      </c>
      <c r="Q710" s="18">
        <v>38</v>
      </c>
      <c r="R710" s="23">
        <v>1438</v>
      </c>
      <c r="S710" s="150">
        <v>37</v>
      </c>
      <c r="T710" s="101"/>
      <c r="U710" s="23">
        <f t="shared" si="84"/>
        <v>98</v>
      </c>
      <c r="Y710" s="141">
        <v>17.732638888888498</v>
      </c>
      <c r="Z710" s="174"/>
    </row>
    <row r="711" spans="2:26">
      <c r="B711" s="176"/>
      <c r="C711" s="174"/>
      <c r="D711" s="172"/>
      <c r="E711" s="23">
        <v>1439</v>
      </c>
      <c r="F711" s="23">
        <f>DEMANDA_PREVISIÓN!E1443</f>
        <v>40</v>
      </c>
      <c r="G711" s="101"/>
      <c r="H711" s="23">
        <f t="shared" si="86"/>
        <v>6518</v>
      </c>
      <c r="I711" s="128">
        <v>400</v>
      </c>
      <c r="J711" s="129">
        <v>400</v>
      </c>
      <c r="K711" s="101"/>
      <c r="L711" s="129">
        <v>50</v>
      </c>
      <c r="M711" s="142"/>
      <c r="O711" s="2">
        <v>37</v>
      </c>
      <c r="P711" s="2">
        <v>43</v>
      </c>
      <c r="Q711" s="18">
        <v>40</v>
      </c>
      <c r="R711" s="23">
        <v>1439</v>
      </c>
      <c r="S711" s="150">
        <v>34</v>
      </c>
      <c r="T711" s="101"/>
      <c r="U711" s="23">
        <f t="shared" si="84"/>
        <v>64</v>
      </c>
      <c r="Y711" s="141">
        <v>17.74224537037</v>
      </c>
      <c r="Z711" s="174"/>
    </row>
    <row r="712" spans="2:26">
      <c r="B712" s="176"/>
      <c r="C712" s="174"/>
      <c r="D712" s="172"/>
      <c r="E712" s="23">
        <v>1440</v>
      </c>
      <c r="F712" s="23">
        <f>DEMANDA_PREVISIÓN!E1444</f>
        <v>41</v>
      </c>
      <c r="G712" s="101"/>
      <c r="H712" s="128">
        <f>I711+H711</f>
        <v>6918</v>
      </c>
      <c r="J712" s="129">
        <v>400</v>
      </c>
      <c r="K712" s="47"/>
      <c r="L712" s="129">
        <v>50</v>
      </c>
      <c r="M712" s="142"/>
      <c r="O712" s="2">
        <v>42</v>
      </c>
      <c r="P712" s="2">
        <v>38</v>
      </c>
      <c r="Q712" s="18">
        <v>40</v>
      </c>
      <c r="R712" s="23">
        <v>1440</v>
      </c>
      <c r="S712" s="150">
        <v>6</v>
      </c>
      <c r="T712" s="101"/>
      <c r="U712" s="23">
        <f t="shared" si="84"/>
        <v>58</v>
      </c>
      <c r="Y712" s="141">
        <v>17.751851851851502</v>
      </c>
      <c r="Z712" s="174"/>
    </row>
    <row r="713" spans="2:26">
      <c r="B713" s="176"/>
      <c r="C713" s="174"/>
      <c r="D713" s="172"/>
      <c r="E713" s="23">
        <v>1441</v>
      </c>
      <c r="F713" s="23">
        <f>DEMANDA_PREVISIÓN!E1445</f>
        <v>42</v>
      </c>
      <c r="G713" s="101"/>
      <c r="H713" s="23">
        <f t="shared" ref="H713:H719" si="87">H712-F713</f>
        <v>6876</v>
      </c>
      <c r="I713" s="129">
        <v>400</v>
      </c>
      <c r="J713" s="129">
        <v>400</v>
      </c>
      <c r="K713" s="101"/>
      <c r="L713" s="129">
        <v>50</v>
      </c>
      <c r="M713" s="142"/>
      <c r="O713" s="2">
        <v>49</v>
      </c>
      <c r="P713" s="2">
        <v>32</v>
      </c>
      <c r="Q713" s="18">
        <v>41</v>
      </c>
      <c r="R713" s="23">
        <v>1441</v>
      </c>
      <c r="S713" s="150">
        <v>4</v>
      </c>
      <c r="T713" s="101"/>
      <c r="U713" s="23">
        <f t="shared" si="84"/>
        <v>54</v>
      </c>
      <c r="Y713" s="141">
        <v>17.7614583333329</v>
      </c>
      <c r="Z713" s="174"/>
    </row>
    <row r="714" spans="2:26">
      <c r="B714" s="176"/>
      <c r="C714" s="174"/>
      <c r="D714" s="172"/>
      <c r="E714" s="23">
        <v>1442</v>
      </c>
      <c r="F714" s="23">
        <f>DEMANDA_PREVISIÓN!E1446</f>
        <v>39</v>
      </c>
      <c r="G714" s="101"/>
      <c r="H714" s="23">
        <f t="shared" si="87"/>
        <v>6837</v>
      </c>
      <c r="I714" s="129">
        <v>400</v>
      </c>
      <c r="J714" s="137">
        <v>400</v>
      </c>
      <c r="K714" s="101"/>
      <c r="L714" s="137">
        <v>50</v>
      </c>
      <c r="M714" s="142"/>
      <c r="O714" s="2">
        <v>38</v>
      </c>
      <c r="P714" s="2">
        <v>39</v>
      </c>
      <c r="Q714" s="18">
        <v>38</v>
      </c>
      <c r="R714" s="23">
        <v>1442</v>
      </c>
      <c r="S714" s="150">
        <v>4</v>
      </c>
      <c r="T714" s="101"/>
      <c r="U714" s="23">
        <f t="shared" si="84"/>
        <v>50</v>
      </c>
      <c r="Y714" s="141">
        <v>17.771064814814402</v>
      </c>
      <c r="Z714" s="174"/>
    </row>
    <row r="715" spans="2:26">
      <c r="B715" s="176"/>
      <c r="C715" s="174"/>
      <c r="D715" s="172"/>
      <c r="E715" s="23">
        <v>1443</v>
      </c>
      <c r="F715" s="23">
        <f>DEMANDA_PREVISIÓN!E1447</f>
        <v>44</v>
      </c>
      <c r="G715" s="101"/>
      <c r="H715" s="23">
        <f t="shared" si="87"/>
        <v>6793</v>
      </c>
      <c r="I715" s="129">
        <v>400</v>
      </c>
      <c r="J715" s="137">
        <v>400</v>
      </c>
      <c r="K715" s="101"/>
      <c r="L715" s="137">
        <v>50</v>
      </c>
      <c r="M715" s="142"/>
      <c r="O715" s="2">
        <v>38</v>
      </c>
      <c r="P715" s="2">
        <v>51</v>
      </c>
      <c r="Q715" s="18">
        <v>44</v>
      </c>
      <c r="R715" s="23">
        <v>1443</v>
      </c>
      <c r="S715" s="150">
        <v>5</v>
      </c>
      <c r="T715" s="101"/>
      <c r="U715" s="23">
        <f t="shared" si="84"/>
        <v>45</v>
      </c>
      <c r="W715" s="18">
        <f>600*1450</f>
        <v>870000</v>
      </c>
      <c r="Y715" s="141">
        <v>17.7806712962959</v>
      </c>
      <c r="Z715" s="174"/>
    </row>
    <row r="716" spans="2:26">
      <c r="B716" s="176"/>
      <c r="C716" s="174"/>
      <c r="D716" s="172"/>
      <c r="E716" s="23">
        <v>1444</v>
      </c>
      <c r="F716" s="23">
        <f>DEMANDA_PREVISIÓN!E1448</f>
        <v>41</v>
      </c>
      <c r="G716" s="101"/>
      <c r="H716" s="23">
        <f t="shared" si="87"/>
        <v>6752</v>
      </c>
      <c r="I716" s="129">
        <v>400</v>
      </c>
      <c r="J716" s="137">
        <v>400</v>
      </c>
      <c r="K716" s="101"/>
      <c r="L716" s="137">
        <v>50</v>
      </c>
      <c r="M716" s="142"/>
      <c r="O716" s="2">
        <v>46</v>
      </c>
      <c r="P716" s="2">
        <v>35</v>
      </c>
      <c r="Q716" s="18">
        <v>41</v>
      </c>
      <c r="R716" s="23">
        <v>1444</v>
      </c>
      <c r="S716" s="150">
        <v>12</v>
      </c>
      <c r="T716" s="101"/>
      <c r="U716" s="23">
        <f t="shared" si="84"/>
        <v>33</v>
      </c>
      <c r="Y716" s="141">
        <v>17.790277777777401</v>
      </c>
      <c r="Z716" s="174"/>
    </row>
    <row r="717" spans="2:26">
      <c r="B717" s="176"/>
      <c r="C717" s="174"/>
      <c r="D717" s="172"/>
      <c r="E717" s="23">
        <v>1445</v>
      </c>
      <c r="F717" s="23">
        <f>DEMANDA_PREVISIÓN!E1449</f>
        <v>37</v>
      </c>
      <c r="G717" s="101"/>
      <c r="H717" s="23">
        <f t="shared" si="87"/>
        <v>6715</v>
      </c>
      <c r="I717" s="129">
        <v>400</v>
      </c>
      <c r="J717" s="137">
        <v>400</v>
      </c>
      <c r="K717" s="101"/>
      <c r="L717" s="137">
        <v>50</v>
      </c>
      <c r="M717" s="142"/>
      <c r="O717" s="2">
        <v>31</v>
      </c>
      <c r="P717" s="2">
        <v>42</v>
      </c>
      <c r="Q717" s="18">
        <v>36</v>
      </c>
      <c r="R717" s="23">
        <v>1445</v>
      </c>
      <c r="S717" s="150">
        <v>3</v>
      </c>
      <c r="T717" s="101"/>
      <c r="U717" s="23">
        <f t="shared" si="84"/>
        <v>30</v>
      </c>
      <c r="Y717" s="141">
        <v>17.7998842592588</v>
      </c>
      <c r="Z717" s="174"/>
    </row>
    <row r="718" spans="2:26">
      <c r="B718" s="176"/>
      <c r="C718" s="174"/>
      <c r="D718" s="172"/>
      <c r="E718" s="23">
        <v>1446</v>
      </c>
      <c r="F718" s="23">
        <f>DEMANDA_PREVISIÓN!E1450</f>
        <v>41</v>
      </c>
      <c r="G718" s="101"/>
      <c r="H718" s="23">
        <f t="shared" si="87"/>
        <v>6674</v>
      </c>
      <c r="I718" s="129">
        <v>400</v>
      </c>
      <c r="J718" s="137">
        <v>400</v>
      </c>
      <c r="K718" s="101"/>
      <c r="L718" s="137">
        <v>50</v>
      </c>
      <c r="M718" s="142"/>
      <c r="O718" s="2">
        <v>38</v>
      </c>
      <c r="P718" s="2">
        <v>43</v>
      </c>
      <c r="Q718" s="18">
        <v>40</v>
      </c>
      <c r="R718" s="23">
        <v>1446</v>
      </c>
      <c r="S718" s="150">
        <v>2</v>
      </c>
      <c r="T718" s="101"/>
      <c r="U718" s="23">
        <f t="shared" si="84"/>
        <v>28</v>
      </c>
      <c r="Y718" s="141">
        <v>17.809490740740301</v>
      </c>
      <c r="Z718" s="174"/>
    </row>
    <row r="719" spans="2:26">
      <c r="B719" s="176"/>
      <c r="C719" s="174"/>
      <c r="D719" s="172"/>
      <c r="E719" s="23">
        <v>1447</v>
      </c>
      <c r="F719" s="23">
        <f>DEMANDA_PREVISIÓN!E1451</f>
        <v>40</v>
      </c>
      <c r="G719" s="101"/>
      <c r="H719" s="23">
        <f t="shared" si="87"/>
        <v>6634</v>
      </c>
      <c r="I719" s="129">
        <v>400</v>
      </c>
      <c r="J719" s="137">
        <v>400</v>
      </c>
      <c r="K719" s="101"/>
      <c r="L719" s="137">
        <v>50</v>
      </c>
      <c r="M719" s="142"/>
      <c r="O719" s="2">
        <v>31</v>
      </c>
      <c r="P719" s="2">
        <v>49</v>
      </c>
      <c r="Q719" s="18">
        <v>39</v>
      </c>
      <c r="R719" s="23">
        <v>1447</v>
      </c>
      <c r="S719" s="150">
        <v>4</v>
      </c>
      <c r="T719" s="101"/>
      <c r="U719" s="23">
        <f t="shared" si="84"/>
        <v>24</v>
      </c>
      <c r="Y719" s="141">
        <v>17.819097222221799</v>
      </c>
      <c r="Z719" s="174"/>
    </row>
    <row r="720" spans="2:26">
      <c r="B720" s="176"/>
      <c r="C720" s="174"/>
      <c r="D720" s="172"/>
      <c r="E720" s="23">
        <v>1448</v>
      </c>
      <c r="F720" s="23">
        <f>DEMANDA_PREVISIÓN!E1452</f>
        <v>33</v>
      </c>
      <c r="G720" s="101"/>
      <c r="H720" s="129">
        <f>I719+H719</f>
        <v>7034</v>
      </c>
      <c r="I720" s="23"/>
      <c r="J720" s="137">
        <v>400</v>
      </c>
      <c r="K720" s="101"/>
      <c r="L720" s="137">
        <v>50</v>
      </c>
      <c r="M720" s="142"/>
      <c r="O720" s="2">
        <v>38</v>
      </c>
      <c r="P720" s="2">
        <v>26</v>
      </c>
      <c r="Q720" s="18">
        <v>33</v>
      </c>
      <c r="R720" s="23">
        <v>1448</v>
      </c>
      <c r="S720" s="150">
        <v>34</v>
      </c>
      <c r="T720" s="101"/>
      <c r="U720" s="23">
        <f t="shared" si="84"/>
        <v>-10</v>
      </c>
      <c r="Y720" s="141">
        <v>17.828703703703301</v>
      </c>
      <c r="Z720" s="174"/>
    </row>
    <row r="721" spans="2:26">
      <c r="B721" s="176"/>
      <c r="C721" s="174"/>
      <c r="D721" s="172"/>
      <c r="E721" s="23">
        <v>1449</v>
      </c>
      <c r="F721" s="23">
        <f>DEMANDA_PREVISIÓN!E1453</f>
        <v>37</v>
      </c>
      <c r="G721" s="101"/>
      <c r="H721" s="23">
        <f t="shared" ref="H721:H727" si="88">H720-F721</f>
        <v>6997</v>
      </c>
      <c r="I721" s="137">
        <v>400</v>
      </c>
      <c r="J721" s="137">
        <v>400</v>
      </c>
      <c r="K721" s="101"/>
      <c r="L721" s="137">
        <v>50</v>
      </c>
      <c r="M721" s="142"/>
      <c r="O721" s="2">
        <v>34</v>
      </c>
      <c r="P721" s="2">
        <v>39</v>
      </c>
      <c r="Q721" s="18">
        <v>36</v>
      </c>
      <c r="R721" s="23">
        <v>1449</v>
      </c>
      <c r="S721" s="150">
        <v>18</v>
      </c>
      <c r="T721" s="101"/>
      <c r="U721" s="23">
        <f t="shared" si="84"/>
        <v>-28</v>
      </c>
      <c r="Y721" s="141">
        <v>17.838310185184699</v>
      </c>
      <c r="Z721" s="174"/>
    </row>
    <row r="722" spans="2:26">
      <c r="B722" s="176"/>
      <c r="C722" s="174"/>
      <c r="D722" s="172"/>
      <c r="E722" s="23">
        <v>1450</v>
      </c>
      <c r="F722" s="23">
        <f>DEMANDA_PREVISIÓN!E1454</f>
        <v>37</v>
      </c>
      <c r="G722" s="101"/>
      <c r="H722" s="23">
        <f t="shared" si="88"/>
        <v>6960</v>
      </c>
      <c r="I722" s="137">
        <v>400</v>
      </c>
      <c r="J722" s="138">
        <v>400</v>
      </c>
      <c r="K722" s="101"/>
      <c r="L722" s="138">
        <v>50</v>
      </c>
      <c r="M722" s="142"/>
      <c r="O722" s="2">
        <v>41</v>
      </c>
      <c r="P722" s="2">
        <v>31</v>
      </c>
      <c r="Q722" s="18">
        <v>36</v>
      </c>
      <c r="R722" s="23">
        <v>1450</v>
      </c>
      <c r="S722" s="150">
        <v>5</v>
      </c>
      <c r="T722" s="101"/>
      <c r="U722" s="23">
        <f t="shared" si="84"/>
        <v>-33</v>
      </c>
      <c r="Y722" s="141">
        <v>17.847916666666201</v>
      </c>
      <c r="Z722" s="174"/>
    </row>
    <row r="723" spans="2:26">
      <c r="B723" s="176"/>
      <c r="C723" s="174"/>
      <c r="D723" s="172"/>
      <c r="E723" s="23">
        <v>1451</v>
      </c>
      <c r="F723" s="23">
        <f>DEMANDA_PREVISIÓN!E1455</f>
        <v>36</v>
      </c>
      <c r="G723" s="101"/>
      <c r="H723" s="23">
        <f t="shared" si="88"/>
        <v>6924</v>
      </c>
      <c r="I723" s="137">
        <v>400</v>
      </c>
      <c r="J723" s="138">
        <v>400</v>
      </c>
      <c r="K723" s="101"/>
      <c r="L723" s="138">
        <v>50</v>
      </c>
      <c r="M723" s="142"/>
      <c r="O723" s="2">
        <v>37</v>
      </c>
      <c r="P723" s="2">
        <v>34</v>
      </c>
      <c r="Q723" s="18">
        <v>35</v>
      </c>
      <c r="R723" s="23">
        <v>1451</v>
      </c>
      <c r="S723" s="150">
        <v>6</v>
      </c>
      <c r="T723" s="101"/>
      <c r="U723" s="23">
        <f t="shared" ref="U723:U731" si="89">U722-S723</f>
        <v>-39</v>
      </c>
      <c r="Y723" s="141">
        <v>17.857523148147699</v>
      </c>
      <c r="Z723" s="174"/>
    </row>
    <row r="724" spans="2:26">
      <c r="B724" s="176"/>
      <c r="C724" s="174"/>
      <c r="D724" s="172"/>
      <c r="E724" s="23">
        <v>1452</v>
      </c>
      <c r="F724" s="23">
        <f>DEMANDA_PREVISIÓN!E1456</f>
        <v>31</v>
      </c>
      <c r="G724" s="101"/>
      <c r="H724" s="23">
        <f t="shared" si="88"/>
        <v>6893</v>
      </c>
      <c r="I724" s="137">
        <v>400</v>
      </c>
      <c r="J724" s="138">
        <v>400</v>
      </c>
      <c r="K724" s="101"/>
      <c r="L724" s="138">
        <v>50</v>
      </c>
      <c r="M724" s="142"/>
      <c r="O724" s="2">
        <v>29</v>
      </c>
      <c r="P724" s="2">
        <v>33</v>
      </c>
      <c r="Q724" s="18">
        <v>31</v>
      </c>
      <c r="R724" s="23">
        <v>1452</v>
      </c>
      <c r="S724" s="150">
        <v>8</v>
      </c>
      <c r="T724" s="101"/>
      <c r="U724" s="23">
        <f t="shared" si="89"/>
        <v>-47</v>
      </c>
      <c r="Y724" s="141">
        <v>17.867129629629201</v>
      </c>
      <c r="Z724" s="174"/>
    </row>
    <row r="725" spans="2:26">
      <c r="B725" s="176"/>
      <c r="C725" s="174"/>
      <c r="D725" s="172"/>
      <c r="E725" s="23">
        <v>1453</v>
      </c>
      <c r="F725" s="23">
        <f>DEMANDA_PREVISIÓN!E1457</f>
        <v>33</v>
      </c>
      <c r="G725" s="101"/>
      <c r="H725" s="23">
        <f t="shared" si="88"/>
        <v>6860</v>
      </c>
      <c r="I725" s="137">
        <v>400</v>
      </c>
      <c r="J725" s="138">
        <v>400</v>
      </c>
      <c r="K725" s="101"/>
      <c r="L725" s="138">
        <v>50</v>
      </c>
      <c r="M725" s="142"/>
      <c r="O725" s="2">
        <v>31</v>
      </c>
      <c r="P725" s="2">
        <v>33</v>
      </c>
      <c r="Q725" s="18">
        <v>32</v>
      </c>
      <c r="R725" s="23">
        <v>1453</v>
      </c>
      <c r="S725" s="150">
        <v>1</v>
      </c>
      <c r="T725" s="101"/>
      <c r="U725" s="23">
        <f t="shared" si="89"/>
        <v>-48</v>
      </c>
      <c r="Y725" s="141">
        <v>17.876736111110699</v>
      </c>
      <c r="Z725" s="174"/>
    </row>
    <row r="726" spans="2:26">
      <c r="B726" s="176"/>
      <c r="C726" s="174"/>
      <c r="D726" s="172"/>
      <c r="E726" s="23">
        <v>1454</v>
      </c>
      <c r="F726" s="23">
        <f>DEMANDA_PREVISIÓN!E1458</f>
        <v>38</v>
      </c>
      <c r="G726" s="101"/>
      <c r="H726" s="23">
        <f t="shared" si="88"/>
        <v>6822</v>
      </c>
      <c r="I726" s="137">
        <v>400</v>
      </c>
      <c r="J726" s="138">
        <v>400</v>
      </c>
      <c r="K726" s="101"/>
      <c r="L726" s="138">
        <v>50</v>
      </c>
      <c r="M726" s="142"/>
      <c r="O726" s="2">
        <v>36</v>
      </c>
      <c r="P726" s="2">
        <v>39</v>
      </c>
      <c r="Q726" s="18">
        <v>37</v>
      </c>
      <c r="R726" s="23">
        <v>1454</v>
      </c>
      <c r="S726" s="150">
        <v>49</v>
      </c>
      <c r="T726" s="101"/>
      <c r="U726" s="23">
        <f t="shared" si="89"/>
        <v>-97</v>
      </c>
      <c r="Y726" s="141">
        <v>17.886342592592101</v>
      </c>
      <c r="Z726" s="174"/>
    </row>
    <row r="727" spans="2:26">
      <c r="B727" s="176"/>
      <c r="C727" s="174"/>
      <c r="D727" s="172"/>
      <c r="E727" s="23">
        <v>1455</v>
      </c>
      <c r="F727" s="23">
        <f>DEMANDA_PREVISIÓN!E1459</f>
        <v>38</v>
      </c>
      <c r="G727" s="101"/>
      <c r="H727" s="23">
        <f t="shared" si="88"/>
        <v>6784</v>
      </c>
      <c r="I727" s="137">
        <v>400</v>
      </c>
      <c r="J727" s="138">
        <v>400</v>
      </c>
      <c r="K727" s="101"/>
      <c r="L727" s="138">
        <v>50</v>
      </c>
      <c r="M727" s="142"/>
      <c r="O727" s="2">
        <v>44</v>
      </c>
      <c r="P727" s="2">
        <v>29</v>
      </c>
      <c r="Q727" s="18">
        <v>37</v>
      </c>
      <c r="R727" s="23">
        <v>1455</v>
      </c>
      <c r="S727" s="150">
        <v>4</v>
      </c>
      <c r="T727" s="101"/>
      <c r="U727" s="23">
        <f t="shared" si="89"/>
        <v>-101</v>
      </c>
      <c r="Y727" s="141">
        <v>17.895949074073599</v>
      </c>
      <c r="Z727" s="174"/>
    </row>
    <row r="728" spans="2:26">
      <c r="B728" s="176"/>
      <c r="C728" s="174"/>
      <c r="D728" s="172"/>
      <c r="E728" s="23">
        <v>1456</v>
      </c>
      <c r="F728" s="23">
        <f>DEMANDA_PREVISIÓN!E1460</f>
        <v>37</v>
      </c>
      <c r="G728" s="101"/>
      <c r="H728" s="137">
        <f>I727+H727</f>
        <v>7184</v>
      </c>
      <c r="I728" s="23"/>
      <c r="J728" s="23"/>
      <c r="K728" s="101"/>
      <c r="L728" s="23"/>
      <c r="M728" s="118"/>
      <c r="N728" s="164"/>
      <c r="O728" s="2">
        <v>31</v>
      </c>
      <c r="P728" s="2">
        <v>42</v>
      </c>
      <c r="Q728" s="18">
        <v>36</v>
      </c>
      <c r="R728" s="23">
        <v>1456</v>
      </c>
      <c r="S728" s="150">
        <v>4</v>
      </c>
      <c r="T728" s="101"/>
      <c r="U728" s="23">
        <f t="shared" si="89"/>
        <v>-105</v>
      </c>
      <c r="Y728" s="141">
        <v>17.9055555555551</v>
      </c>
      <c r="Z728" s="174"/>
    </row>
    <row r="729" spans="2:26">
      <c r="B729" s="176"/>
      <c r="C729" s="174"/>
      <c r="D729" s="172"/>
      <c r="E729" s="23">
        <v>1457</v>
      </c>
      <c r="F729" s="23">
        <f>DEMANDA_PREVISIÓN!E1461</f>
        <v>33</v>
      </c>
      <c r="G729" s="102"/>
      <c r="H729" s="23">
        <f>H728-F729</f>
        <v>7151</v>
      </c>
      <c r="I729" s="23"/>
      <c r="J729" s="23"/>
      <c r="K729" s="101"/>
      <c r="L729" s="23"/>
      <c r="M729" s="118"/>
      <c r="N729" s="164"/>
      <c r="O729" s="2">
        <v>30</v>
      </c>
      <c r="P729" s="2">
        <v>35</v>
      </c>
      <c r="Q729" s="18">
        <v>32</v>
      </c>
      <c r="R729" s="23">
        <v>1457</v>
      </c>
      <c r="S729" s="150">
        <v>7</v>
      </c>
      <c r="T729" s="102"/>
      <c r="U729" s="23">
        <f t="shared" si="89"/>
        <v>-112</v>
      </c>
      <c r="Y729" s="141">
        <v>17.915162037036598</v>
      </c>
      <c r="Z729" s="174"/>
    </row>
    <row r="730" spans="2:26">
      <c r="B730" s="176"/>
      <c r="C730" s="174"/>
      <c r="D730" s="172"/>
      <c r="E730" s="23">
        <v>1458</v>
      </c>
      <c r="F730" s="23">
        <f>DEMANDA_PREVISIÓN!E1462</f>
        <v>35</v>
      </c>
      <c r="G730" s="102"/>
      <c r="H730" s="23">
        <f>H729-F730</f>
        <v>7116</v>
      </c>
      <c r="I730" s="23"/>
      <c r="J730" s="23"/>
      <c r="K730" s="101"/>
      <c r="L730" s="23"/>
      <c r="M730" s="118"/>
      <c r="N730" s="164"/>
      <c r="O730" s="2">
        <v>30</v>
      </c>
      <c r="P730" s="2">
        <v>39</v>
      </c>
      <c r="Q730" s="18">
        <v>34</v>
      </c>
      <c r="R730" s="23">
        <v>1458</v>
      </c>
      <c r="S730" s="150">
        <v>15</v>
      </c>
      <c r="T730" s="102"/>
      <c r="U730" s="23">
        <f t="shared" si="89"/>
        <v>-127</v>
      </c>
      <c r="Y730" s="141">
        <v>17.924768518518</v>
      </c>
      <c r="Z730" s="174"/>
    </row>
    <row r="731" spans="2:26">
      <c r="B731" s="176"/>
      <c r="C731" s="174"/>
      <c r="D731" s="172"/>
      <c r="E731" s="23">
        <v>1459</v>
      </c>
      <c r="F731" s="23">
        <f>DEMANDA_PREVISIÓN!E1463</f>
        <v>39</v>
      </c>
      <c r="G731" s="102"/>
      <c r="H731" s="23">
        <f>H730-F731</f>
        <v>7077</v>
      </c>
      <c r="I731" s="23"/>
      <c r="J731" s="23"/>
      <c r="K731" s="101"/>
      <c r="L731" s="23"/>
      <c r="M731" s="118"/>
      <c r="N731" s="164"/>
      <c r="O731" s="2">
        <v>42</v>
      </c>
      <c r="P731" s="2">
        <v>34</v>
      </c>
      <c r="Q731" s="18">
        <v>38</v>
      </c>
      <c r="R731" s="23">
        <v>1459</v>
      </c>
      <c r="S731" s="150">
        <v>12</v>
      </c>
      <c r="T731" s="102"/>
      <c r="U731" s="23">
        <f t="shared" si="89"/>
        <v>-139</v>
      </c>
      <c r="Y731" s="141">
        <v>17.934374999999498</v>
      </c>
      <c r="Z731" s="174"/>
    </row>
    <row r="732" spans="2:26" ht="15.75" thickBot="1">
      <c r="B732" s="177"/>
      <c r="C732" s="174"/>
      <c r="D732" s="173"/>
      <c r="E732" s="139">
        <v>1460</v>
      </c>
      <c r="F732" s="23">
        <f>DEMANDA_PREVISIÓN!E1464</f>
        <v>28</v>
      </c>
      <c r="G732" s="102"/>
      <c r="H732" s="23">
        <f>H731-F732</f>
        <v>7049</v>
      </c>
      <c r="I732" s="23"/>
      <c r="J732" s="23"/>
      <c r="K732" s="101"/>
      <c r="L732" s="23"/>
      <c r="M732" s="118"/>
      <c r="N732" s="164"/>
      <c r="O732" s="92">
        <v>24</v>
      </c>
      <c r="P732" s="2">
        <v>29</v>
      </c>
      <c r="Q732" s="18">
        <v>27</v>
      </c>
      <c r="R732" s="139">
        <v>1460</v>
      </c>
      <c r="S732" s="150">
        <v>17</v>
      </c>
      <c r="T732" s="102"/>
      <c r="U732" s="23">
        <f t="shared" ref="U732" si="90">U731-S732</f>
        <v>-156</v>
      </c>
      <c r="Y732" s="141">
        <v>17.943981481481</v>
      </c>
      <c r="Z732" s="174"/>
    </row>
    <row r="734" spans="2:26">
      <c r="O734" s="18">
        <f>SUM(O695:O732)</f>
        <v>1366</v>
      </c>
      <c r="P734" s="18">
        <f>SUM(P695:P732)</f>
        <v>1416</v>
      </c>
      <c r="Q734" s="18">
        <f>SUM(Q695:Q732)</f>
        <v>1385</v>
      </c>
      <c r="S734" s="18">
        <f>SUM(S695:S732)</f>
        <v>495</v>
      </c>
    </row>
    <row r="737" spans="15:22">
      <c r="O737" s="18">
        <v>620</v>
      </c>
      <c r="P737" s="18">
        <f>O737/32</f>
        <v>19.375</v>
      </c>
      <c r="V737" s="18">
        <f>73*1450</f>
        <v>105850</v>
      </c>
    </row>
  </sheetData>
  <mergeCells count="43">
    <mergeCell ref="C276:C367"/>
    <mergeCell ref="C368:C457"/>
    <mergeCell ref="C458:C548"/>
    <mergeCell ref="C549:C640"/>
    <mergeCell ref="C641:C732"/>
    <mergeCell ref="B3:B367"/>
    <mergeCell ref="D3:D33"/>
    <mergeCell ref="D34:D61"/>
    <mergeCell ref="D62:D92"/>
    <mergeCell ref="D93:D122"/>
    <mergeCell ref="D123:D153"/>
    <mergeCell ref="D154:D183"/>
    <mergeCell ref="D184:D214"/>
    <mergeCell ref="D215:D245"/>
    <mergeCell ref="D246:D275"/>
    <mergeCell ref="D276:D306"/>
    <mergeCell ref="D307:D336"/>
    <mergeCell ref="D337:D367"/>
    <mergeCell ref="C3:C92"/>
    <mergeCell ref="C93:C183"/>
    <mergeCell ref="C184:C275"/>
    <mergeCell ref="Z532:Z635"/>
    <mergeCell ref="Z636:Z732"/>
    <mergeCell ref="B368:B732"/>
    <mergeCell ref="D368:D398"/>
    <mergeCell ref="D458:D487"/>
    <mergeCell ref="D488:D518"/>
    <mergeCell ref="D519:D548"/>
    <mergeCell ref="D702:D732"/>
    <mergeCell ref="D549:D579"/>
    <mergeCell ref="D580:D610"/>
    <mergeCell ref="D611:D640"/>
    <mergeCell ref="D641:D671"/>
    <mergeCell ref="D672:D701"/>
    <mergeCell ref="D399:D426"/>
    <mergeCell ref="D427:D457"/>
    <mergeCell ref="R469:W469"/>
    <mergeCell ref="Z2:Z10"/>
    <mergeCell ref="Z11:Z114"/>
    <mergeCell ref="Z323:Z427"/>
    <mergeCell ref="Z428:Z531"/>
    <mergeCell ref="Z115:Z218"/>
    <mergeCell ref="Z219:Z322"/>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B3214-44D2-4BA4-ABD6-3751A3061749}">
  <dimension ref="B2:Z1464"/>
  <sheetViews>
    <sheetView topLeftCell="A15" zoomScale="85" zoomScaleNormal="85" workbookViewId="0">
      <selection activeCell="J72" sqref="J72"/>
    </sheetView>
  </sheetViews>
  <sheetFormatPr defaultColWidth="11.5703125" defaultRowHeight="15"/>
  <cols>
    <col min="1" max="1" width="11.5703125" style="1"/>
    <col min="2" max="2" width="9.140625" style="1" bestFit="1" customWidth="1"/>
    <col min="3" max="3" width="12.28515625" style="1" bestFit="1" customWidth="1"/>
    <col min="4" max="4" width="16.85546875" style="1" bestFit="1" customWidth="1"/>
    <col min="5" max="5" width="16.42578125" style="1" bestFit="1" customWidth="1"/>
    <col min="6" max="6" width="12.5703125" style="1" customWidth="1"/>
    <col min="7" max="7" width="11.5703125" style="1"/>
    <col min="8" max="8" width="17.85546875" style="1" bestFit="1" customWidth="1"/>
    <col min="9" max="9" width="20.5703125" style="1" bestFit="1" customWidth="1"/>
    <col min="10" max="10" width="20.140625" style="1" bestFit="1" customWidth="1"/>
    <col min="11" max="11" width="12.7109375" style="1" bestFit="1" customWidth="1"/>
    <col min="12" max="12" width="11.28515625" style="1" bestFit="1" customWidth="1"/>
    <col min="13" max="13" width="9" style="1" bestFit="1" customWidth="1"/>
    <col min="14" max="14" width="12.5703125" style="1" bestFit="1" customWidth="1"/>
    <col min="15" max="16384" width="11.5703125" style="1"/>
  </cols>
  <sheetData>
    <row r="2" spans="2:26">
      <c r="B2" s="188" t="s">
        <v>4</v>
      </c>
      <c r="C2" s="188"/>
      <c r="D2" s="188"/>
      <c r="E2" s="188"/>
      <c r="F2" s="188"/>
      <c r="H2" s="188" t="s">
        <v>59</v>
      </c>
      <c r="I2" s="188"/>
      <c r="J2" s="188"/>
      <c r="K2" s="188"/>
      <c r="L2" s="188"/>
      <c r="M2" s="188"/>
      <c r="N2" s="188"/>
      <c r="O2" s="188"/>
      <c r="P2" s="188"/>
      <c r="Q2" s="188"/>
      <c r="R2" s="188"/>
      <c r="S2" s="188"/>
      <c r="T2" s="188"/>
      <c r="U2" s="188"/>
      <c r="V2" s="188"/>
      <c r="W2" s="188"/>
      <c r="X2" s="188"/>
      <c r="Y2" s="188"/>
      <c r="Z2" s="188"/>
    </row>
    <row r="4" spans="2:26">
      <c r="B4" s="8" t="s">
        <v>57</v>
      </c>
      <c r="C4" s="9" t="s">
        <v>60</v>
      </c>
      <c r="D4" s="9" t="s">
        <v>61</v>
      </c>
      <c r="E4" s="10" t="s">
        <v>62</v>
      </c>
    </row>
    <row r="5" spans="2:26">
      <c r="B5" s="6">
        <v>1</v>
      </c>
      <c r="C5" s="5">
        <v>45658</v>
      </c>
      <c r="D5" s="2">
        <v>12</v>
      </c>
      <c r="E5" s="7"/>
    </row>
    <row r="6" spans="2:26">
      <c r="B6" s="6">
        <v>2</v>
      </c>
      <c r="C6" s="5">
        <v>45659</v>
      </c>
      <c r="D6" s="2">
        <v>40</v>
      </c>
      <c r="E6" s="7"/>
    </row>
    <row r="7" spans="2:26">
      <c r="B7" s="6">
        <v>3</v>
      </c>
      <c r="C7" s="5">
        <v>45660</v>
      </c>
      <c r="D7" s="2">
        <v>45</v>
      </c>
      <c r="E7" s="7"/>
    </row>
    <row r="8" spans="2:26">
      <c r="B8" s="6">
        <v>4</v>
      </c>
      <c r="C8" s="5">
        <v>45661</v>
      </c>
      <c r="D8" s="2">
        <v>34</v>
      </c>
      <c r="E8" s="7"/>
    </row>
    <row r="9" spans="2:26">
      <c r="B9" s="6">
        <v>5</v>
      </c>
      <c r="C9" s="5">
        <v>45662</v>
      </c>
      <c r="D9" s="2">
        <v>37</v>
      </c>
      <c r="E9" s="7"/>
    </row>
    <row r="10" spans="2:26">
      <c r="B10" s="6">
        <v>6</v>
      </c>
      <c r="C10" s="5">
        <v>45663</v>
      </c>
      <c r="D10" s="2">
        <v>45</v>
      </c>
      <c r="E10" s="7"/>
    </row>
    <row r="11" spans="2:26">
      <c r="B11" s="6">
        <v>7</v>
      </c>
      <c r="C11" s="5">
        <v>45664</v>
      </c>
      <c r="D11" s="2">
        <v>38</v>
      </c>
      <c r="E11" s="7"/>
    </row>
    <row r="12" spans="2:26">
      <c r="B12" s="6">
        <v>8</v>
      </c>
      <c r="C12" s="5">
        <v>45665</v>
      </c>
      <c r="D12" s="2">
        <v>32</v>
      </c>
      <c r="E12" s="7"/>
    </row>
    <row r="13" spans="2:26">
      <c r="B13" s="6">
        <v>9</v>
      </c>
      <c r="C13" s="5">
        <v>45666</v>
      </c>
      <c r="D13" s="2">
        <v>33</v>
      </c>
      <c r="E13" s="7"/>
    </row>
    <row r="14" spans="2:26">
      <c r="B14" s="6">
        <v>10</v>
      </c>
      <c r="C14" s="5">
        <v>45667</v>
      </c>
      <c r="D14" s="2">
        <v>40</v>
      </c>
      <c r="E14" s="7"/>
    </row>
    <row r="15" spans="2:26">
      <c r="B15" s="6">
        <v>11</v>
      </c>
      <c r="C15" s="5">
        <v>45668</v>
      </c>
      <c r="D15" s="2">
        <v>36</v>
      </c>
      <c r="E15" s="7"/>
    </row>
    <row r="16" spans="2:26">
      <c r="B16" s="6">
        <v>12</v>
      </c>
      <c r="C16" s="5">
        <v>45669</v>
      </c>
      <c r="D16" s="2">
        <v>44</v>
      </c>
      <c r="E16" s="7"/>
    </row>
    <row r="17" spans="2:5">
      <c r="B17" s="6">
        <v>13</v>
      </c>
      <c r="C17" s="5">
        <v>45670</v>
      </c>
      <c r="D17" s="2">
        <v>35</v>
      </c>
      <c r="E17" s="7"/>
    </row>
    <row r="18" spans="2:5">
      <c r="B18" s="6">
        <v>14</v>
      </c>
      <c r="C18" s="5">
        <v>45671</v>
      </c>
      <c r="D18" s="2">
        <v>44</v>
      </c>
      <c r="E18" s="7"/>
    </row>
    <row r="19" spans="2:5">
      <c r="B19" s="6">
        <v>15</v>
      </c>
      <c r="C19" s="5">
        <v>45672</v>
      </c>
      <c r="D19" s="2">
        <v>48</v>
      </c>
      <c r="E19" s="7"/>
    </row>
    <row r="20" spans="2:5">
      <c r="B20" s="6">
        <v>16</v>
      </c>
      <c r="C20" s="5">
        <v>45673</v>
      </c>
      <c r="D20" s="2">
        <v>51</v>
      </c>
      <c r="E20" s="7"/>
    </row>
    <row r="21" spans="2:5">
      <c r="B21" s="6">
        <v>17</v>
      </c>
      <c r="C21" s="5">
        <v>45674</v>
      </c>
      <c r="D21" s="2">
        <v>37</v>
      </c>
      <c r="E21" s="7"/>
    </row>
    <row r="22" spans="2:5">
      <c r="B22" s="6">
        <v>18</v>
      </c>
      <c r="C22" s="5">
        <v>45675</v>
      </c>
      <c r="D22" s="2">
        <v>34</v>
      </c>
      <c r="E22" s="7"/>
    </row>
    <row r="23" spans="2:5">
      <c r="B23" s="6">
        <v>19</v>
      </c>
      <c r="C23" s="5">
        <v>45676</v>
      </c>
      <c r="D23" s="2">
        <v>44</v>
      </c>
      <c r="E23" s="7"/>
    </row>
    <row r="24" spans="2:5">
      <c r="B24" s="6">
        <v>20</v>
      </c>
      <c r="C24" s="5">
        <v>45677</v>
      </c>
      <c r="D24" s="2">
        <v>32</v>
      </c>
      <c r="E24" s="7"/>
    </row>
    <row r="25" spans="2:5">
      <c r="B25" s="6">
        <v>21</v>
      </c>
      <c r="C25" s="5">
        <v>45678</v>
      </c>
      <c r="D25" s="2">
        <v>45</v>
      </c>
      <c r="E25" s="7"/>
    </row>
    <row r="26" spans="2:5">
      <c r="B26" s="6">
        <v>22</v>
      </c>
      <c r="C26" s="5">
        <v>45679</v>
      </c>
      <c r="D26" s="2">
        <v>53</v>
      </c>
      <c r="E26" s="7"/>
    </row>
    <row r="27" spans="2:5">
      <c r="B27" s="6">
        <v>23</v>
      </c>
      <c r="C27" s="5">
        <v>45680</v>
      </c>
      <c r="D27" s="2">
        <v>48</v>
      </c>
      <c r="E27" s="7"/>
    </row>
    <row r="28" spans="2:5">
      <c r="B28" s="6">
        <v>24</v>
      </c>
      <c r="C28" s="5">
        <v>45681</v>
      </c>
      <c r="D28" s="2">
        <v>28</v>
      </c>
      <c r="E28" s="7"/>
    </row>
    <row r="29" spans="2:5">
      <c r="B29" s="6">
        <v>25</v>
      </c>
      <c r="C29" s="5">
        <v>45682</v>
      </c>
      <c r="D29" s="2">
        <v>45</v>
      </c>
      <c r="E29" s="7"/>
    </row>
    <row r="30" spans="2:5">
      <c r="B30" s="6">
        <v>26</v>
      </c>
      <c r="C30" s="5">
        <v>45683</v>
      </c>
      <c r="D30" s="2">
        <v>36</v>
      </c>
      <c r="E30" s="7"/>
    </row>
    <row r="31" spans="2:5">
      <c r="B31" s="6">
        <v>27</v>
      </c>
      <c r="C31" s="5">
        <v>45684</v>
      </c>
      <c r="D31" s="2">
        <v>32</v>
      </c>
      <c r="E31" s="7"/>
    </row>
    <row r="32" spans="2:5">
      <c r="B32" s="6">
        <v>28</v>
      </c>
      <c r="C32" s="5">
        <v>45685</v>
      </c>
      <c r="D32" s="2">
        <v>50</v>
      </c>
      <c r="E32" s="7"/>
    </row>
    <row r="33" spans="2:15">
      <c r="B33" s="6">
        <v>29</v>
      </c>
      <c r="C33" s="5">
        <v>45686</v>
      </c>
      <c r="D33" s="2">
        <v>26</v>
      </c>
      <c r="E33" s="7"/>
    </row>
    <row r="34" spans="2:15">
      <c r="B34" s="6">
        <v>30</v>
      </c>
      <c r="C34" s="5">
        <v>45687</v>
      </c>
      <c r="D34" s="2">
        <v>43</v>
      </c>
      <c r="E34" s="7"/>
    </row>
    <row r="35" spans="2:15">
      <c r="B35" s="6">
        <v>31</v>
      </c>
      <c r="C35" s="5">
        <v>45688</v>
      </c>
      <c r="D35" s="2">
        <v>54</v>
      </c>
      <c r="E35" s="7"/>
    </row>
    <row r="36" spans="2:15">
      <c r="B36" s="6">
        <v>32</v>
      </c>
      <c r="C36" s="5">
        <v>45689</v>
      </c>
      <c r="D36" s="2">
        <v>45</v>
      </c>
      <c r="E36" s="7"/>
    </row>
    <row r="37" spans="2:15">
      <c r="B37" s="6">
        <v>33</v>
      </c>
      <c r="C37" s="5">
        <v>45690</v>
      </c>
      <c r="D37" s="2">
        <v>39</v>
      </c>
      <c r="E37" s="7"/>
    </row>
    <row r="38" spans="2:15">
      <c r="B38" s="6">
        <v>34</v>
      </c>
      <c r="C38" s="5">
        <v>45691</v>
      </c>
      <c r="D38" s="2">
        <v>39</v>
      </c>
      <c r="E38" s="7"/>
    </row>
    <row r="39" spans="2:15">
      <c r="B39" s="6">
        <v>35</v>
      </c>
      <c r="C39" s="5">
        <v>45692</v>
      </c>
      <c r="D39" s="2">
        <v>51</v>
      </c>
      <c r="E39" s="7"/>
    </row>
    <row r="40" spans="2:15">
      <c r="B40" s="6">
        <v>36</v>
      </c>
      <c r="C40" s="5">
        <v>45693</v>
      </c>
      <c r="D40" s="2">
        <v>49</v>
      </c>
      <c r="E40" s="7"/>
    </row>
    <row r="41" spans="2:15">
      <c r="B41" s="6">
        <v>37</v>
      </c>
      <c r="C41" s="5">
        <v>45694</v>
      </c>
      <c r="D41" s="2">
        <v>35</v>
      </c>
      <c r="E41" s="7"/>
    </row>
    <row r="42" spans="2:15">
      <c r="B42" s="6">
        <v>38</v>
      </c>
      <c r="C42" s="5">
        <v>45695</v>
      </c>
      <c r="D42" s="2">
        <v>45</v>
      </c>
      <c r="E42" s="7"/>
    </row>
    <row r="43" spans="2:15">
      <c r="B43" s="6">
        <v>39</v>
      </c>
      <c r="C43" s="5">
        <v>45696</v>
      </c>
      <c r="D43" s="2">
        <v>45</v>
      </c>
      <c r="E43" s="7"/>
    </row>
    <row r="44" spans="2:15">
      <c r="B44" s="6">
        <v>40</v>
      </c>
      <c r="C44" s="5">
        <v>45697</v>
      </c>
      <c r="D44" s="2">
        <v>40</v>
      </c>
      <c r="E44" s="7"/>
      <c r="H44" s="13" t="s">
        <v>63</v>
      </c>
      <c r="I44" s="1" t="s">
        <v>64</v>
      </c>
      <c r="J44" s="1" t="s">
        <v>65</v>
      </c>
      <c r="K44"/>
      <c r="M44" s="19" t="s">
        <v>0</v>
      </c>
      <c r="N44" s="116" t="s">
        <v>1</v>
      </c>
      <c r="O44" s="116" t="s">
        <v>4</v>
      </c>
    </row>
    <row r="45" spans="2:15">
      <c r="B45" s="6">
        <v>41</v>
      </c>
      <c r="C45" s="5">
        <v>45698</v>
      </c>
      <c r="D45" s="2">
        <v>37</v>
      </c>
      <c r="E45" s="7"/>
      <c r="H45" s="14" t="s">
        <v>66</v>
      </c>
      <c r="K45"/>
      <c r="M45" s="187">
        <v>1</v>
      </c>
      <c r="N45" s="20" t="s">
        <v>13</v>
      </c>
      <c r="O45" s="4">
        <f>SUM(I46:I48)</f>
        <v>3821</v>
      </c>
    </row>
    <row r="46" spans="2:15">
      <c r="B46" s="6">
        <v>42</v>
      </c>
      <c r="C46" s="5">
        <v>45699</v>
      </c>
      <c r="D46" s="2">
        <v>52</v>
      </c>
      <c r="E46" s="7"/>
      <c r="H46" s="15" t="s">
        <v>67</v>
      </c>
      <c r="I46" s="115">
        <v>1221</v>
      </c>
      <c r="K46"/>
      <c r="M46" s="187"/>
      <c r="N46" s="20" t="s">
        <v>44</v>
      </c>
      <c r="O46" s="4">
        <f>SUM(I49:I51)</f>
        <v>3821</v>
      </c>
    </row>
    <row r="47" spans="2:15">
      <c r="B47" s="6">
        <v>43</v>
      </c>
      <c r="C47" s="5">
        <v>45700</v>
      </c>
      <c r="D47" s="2">
        <v>43</v>
      </c>
      <c r="E47" s="7"/>
      <c r="H47" s="15" t="s">
        <v>68</v>
      </c>
      <c r="I47" s="115">
        <v>1219</v>
      </c>
      <c r="K47"/>
      <c r="M47" s="187"/>
      <c r="N47" s="20" t="s">
        <v>48</v>
      </c>
      <c r="O47" s="4">
        <f>SUM(I52:I54)</f>
        <v>3290</v>
      </c>
    </row>
    <row r="48" spans="2:15">
      <c r="B48" s="6">
        <v>44</v>
      </c>
      <c r="C48" s="5">
        <v>45701</v>
      </c>
      <c r="D48" s="2">
        <v>42</v>
      </c>
      <c r="E48" s="7"/>
      <c r="H48" s="15" t="s">
        <v>69</v>
      </c>
      <c r="I48" s="115">
        <v>1381</v>
      </c>
      <c r="M48" s="187"/>
      <c r="N48" s="20" t="s">
        <v>52</v>
      </c>
      <c r="O48" s="4">
        <f>SUM(I55:I57)</f>
        <v>3326</v>
      </c>
    </row>
    <row r="49" spans="2:15">
      <c r="B49" s="6">
        <v>45</v>
      </c>
      <c r="C49" s="5">
        <v>45702</v>
      </c>
      <c r="D49" s="2">
        <v>52</v>
      </c>
      <c r="E49" s="7"/>
      <c r="H49" s="15" t="s">
        <v>70</v>
      </c>
      <c r="I49" s="115">
        <v>1318</v>
      </c>
      <c r="K49"/>
      <c r="M49" s="187">
        <v>2</v>
      </c>
      <c r="N49" s="20" t="s">
        <v>13</v>
      </c>
      <c r="O49" s="4">
        <f>SUM(I59:I61)</f>
        <v>3809</v>
      </c>
    </row>
    <row r="50" spans="2:15">
      <c r="B50" s="6">
        <v>46</v>
      </c>
      <c r="C50" s="5">
        <v>45703</v>
      </c>
      <c r="D50" s="2">
        <v>41</v>
      </c>
      <c r="E50" s="7"/>
      <c r="H50" s="15" t="s">
        <v>71</v>
      </c>
      <c r="I50" s="115">
        <v>1353</v>
      </c>
      <c r="K50"/>
      <c r="M50" s="187"/>
      <c r="N50" s="20" t="s">
        <v>44</v>
      </c>
      <c r="O50" s="4">
        <f>SUM(I62:I64)</f>
        <v>3888</v>
      </c>
    </row>
    <row r="51" spans="2:15">
      <c r="B51" s="6">
        <v>47</v>
      </c>
      <c r="C51" s="5">
        <v>45704</v>
      </c>
      <c r="D51" s="2">
        <v>43</v>
      </c>
      <c r="E51" s="7"/>
      <c r="H51" s="15" t="s">
        <v>72</v>
      </c>
      <c r="I51" s="115">
        <v>1150</v>
      </c>
      <c r="K51"/>
      <c r="M51" s="187"/>
      <c r="N51" s="20" t="s">
        <v>48</v>
      </c>
      <c r="O51" s="4">
        <f>SUM(I65:I67)</f>
        <v>3111</v>
      </c>
    </row>
    <row r="52" spans="2:15">
      <c r="B52" s="6">
        <v>48</v>
      </c>
      <c r="C52" s="5">
        <v>45705</v>
      </c>
      <c r="D52" s="2">
        <v>45</v>
      </c>
      <c r="E52" s="7"/>
      <c r="H52" s="15" t="s">
        <v>73</v>
      </c>
      <c r="I52" s="1">
        <v>1173</v>
      </c>
      <c r="K52">
        <f>SUM(I46:I51)</f>
        <v>7642</v>
      </c>
      <c r="M52" s="187"/>
      <c r="N52" s="20" t="s">
        <v>52</v>
      </c>
      <c r="O52" s="4">
        <f>SUM(I68:I70)</f>
        <v>3222</v>
      </c>
    </row>
    <row r="53" spans="2:15">
      <c r="B53" s="6">
        <v>49</v>
      </c>
      <c r="C53" s="5">
        <v>45706</v>
      </c>
      <c r="D53" s="2">
        <v>30</v>
      </c>
      <c r="E53" s="7"/>
      <c r="H53" s="15" t="s">
        <v>74</v>
      </c>
      <c r="I53" s="1">
        <v>1150</v>
      </c>
      <c r="K53"/>
      <c r="M53" s="187">
        <v>3</v>
      </c>
      <c r="N53" s="20" t="s">
        <v>13</v>
      </c>
      <c r="O53" s="4">
        <f>SUM(J72:J74)</f>
        <v>3736</v>
      </c>
    </row>
    <row r="54" spans="2:15">
      <c r="B54" s="6">
        <v>50</v>
      </c>
      <c r="C54" s="5">
        <v>45707</v>
      </c>
      <c r="D54" s="2">
        <v>40</v>
      </c>
      <c r="E54" s="7"/>
      <c r="H54" s="15" t="s">
        <v>75</v>
      </c>
      <c r="I54" s="1">
        <v>967</v>
      </c>
      <c r="K54"/>
      <c r="M54" s="187"/>
      <c r="N54" s="20" t="s">
        <v>44</v>
      </c>
      <c r="O54" s="4">
        <f>SUM(J75:J77)</f>
        <v>3820</v>
      </c>
    </row>
    <row r="55" spans="2:15">
      <c r="B55" s="6">
        <v>51</v>
      </c>
      <c r="C55" s="5">
        <v>45708</v>
      </c>
      <c r="D55" s="2">
        <v>35</v>
      </c>
      <c r="E55" s="7"/>
      <c r="H55" s="15" t="s">
        <v>76</v>
      </c>
      <c r="I55" s="1">
        <v>1084</v>
      </c>
      <c r="K55"/>
      <c r="M55" s="187"/>
      <c r="N55" s="20" t="s">
        <v>48</v>
      </c>
      <c r="O55" s="4">
        <f>SUM(J78:J80)</f>
        <v>3136</v>
      </c>
    </row>
    <row r="56" spans="2:15">
      <c r="B56" s="6">
        <v>52</v>
      </c>
      <c r="C56" s="5">
        <v>45709</v>
      </c>
      <c r="D56" s="2">
        <v>53</v>
      </c>
      <c r="E56" s="7"/>
      <c r="H56" s="15" t="s">
        <v>77</v>
      </c>
      <c r="I56" s="1">
        <v>1088</v>
      </c>
      <c r="K56"/>
      <c r="M56" s="187"/>
      <c r="N56" s="20" t="s">
        <v>52</v>
      </c>
      <c r="O56" s="4">
        <f>SUM(J81:J83)</f>
        <v>3241</v>
      </c>
    </row>
    <row r="57" spans="2:15">
      <c r="B57" s="6">
        <v>53</v>
      </c>
      <c r="C57" s="5">
        <v>45710</v>
      </c>
      <c r="D57" s="2">
        <v>44</v>
      </c>
      <c r="E57" s="7"/>
      <c r="H57" s="15" t="s">
        <v>78</v>
      </c>
      <c r="I57" s="1">
        <v>1154</v>
      </c>
      <c r="K57"/>
      <c r="M57" s="187">
        <v>4</v>
      </c>
      <c r="N57" s="20" t="s">
        <v>13</v>
      </c>
      <c r="O57" s="4">
        <f>SUM(J85:J87)</f>
        <v>3842</v>
      </c>
    </row>
    <row r="58" spans="2:15">
      <c r="B58" s="6">
        <v>54</v>
      </c>
      <c r="C58" s="5">
        <v>45711</v>
      </c>
      <c r="D58" s="2">
        <v>40</v>
      </c>
      <c r="E58" s="7"/>
      <c r="H58" s="14" t="s">
        <v>79</v>
      </c>
      <c r="M58" s="187"/>
      <c r="N58" s="20" t="s">
        <v>44</v>
      </c>
      <c r="O58" s="4">
        <f>SUM(J88:J90)</f>
        <v>3884</v>
      </c>
    </row>
    <row r="59" spans="2:15">
      <c r="B59" s="6">
        <v>55</v>
      </c>
      <c r="C59" s="5">
        <v>45712</v>
      </c>
      <c r="D59" s="2">
        <v>48</v>
      </c>
      <c r="E59" s="7"/>
      <c r="H59" s="15" t="s">
        <v>67</v>
      </c>
      <c r="I59" s="115">
        <v>1248</v>
      </c>
      <c r="K59" s="165">
        <f>SUM(I46:I51,I59:I64,J72:J77,J85:J90)/4</f>
        <v>7655.25</v>
      </c>
      <c r="M59" s="187"/>
      <c r="N59" s="20" t="s">
        <v>48</v>
      </c>
      <c r="O59" s="4">
        <f>SUM(J91:J93)</f>
        <v>3206</v>
      </c>
    </row>
    <row r="60" spans="2:15">
      <c r="B60" s="6">
        <v>56</v>
      </c>
      <c r="C60" s="5">
        <v>45713</v>
      </c>
      <c r="D60" s="2">
        <v>46</v>
      </c>
      <c r="E60" s="7"/>
      <c r="H60" s="15" t="s">
        <v>68</v>
      </c>
      <c r="I60" s="115">
        <v>1174</v>
      </c>
      <c r="M60" s="187"/>
      <c r="N60" s="20" t="s">
        <v>52</v>
      </c>
      <c r="O60" s="4">
        <f>SUM(J94:J96)</f>
        <v>3271</v>
      </c>
    </row>
    <row r="61" spans="2:15">
      <c r="B61" s="6">
        <v>57</v>
      </c>
      <c r="C61" s="5">
        <v>45714</v>
      </c>
      <c r="D61" s="2">
        <v>41</v>
      </c>
      <c r="E61" s="7"/>
      <c r="H61" s="15" t="s">
        <v>69</v>
      </c>
      <c r="I61" s="115">
        <v>1387</v>
      </c>
    </row>
    <row r="62" spans="2:15">
      <c r="B62" s="6">
        <v>58</v>
      </c>
      <c r="C62" s="5">
        <v>45715</v>
      </c>
      <c r="D62" s="2">
        <v>48</v>
      </c>
      <c r="E62" s="7"/>
      <c r="H62" s="15" t="s">
        <v>70</v>
      </c>
      <c r="I62" s="115">
        <v>1331</v>
      </c>
    </row>
    <row r="63" spans="2:15">
      <c r="B63" s="6">
        <v>59</v>
      </c>
      <c r="C63" s="5">
        <v>45716</v>
      </c>
      <c r="D63" s="2">
        <v>51</v>
      </c>
      <c r="E63" s="7"/>
      <c r="H63" s="15" t="s">
        <v>71</v>
      </c>
      <c r="I63" s="115">
        <v>1322</v>
      </c>
    </row>
    <row r="64" spans="2:15">
      <c r="B64" s="6">
        <v>60</v>
      </c>
      <c r="C64" s="5">
        <v>45717</v>
      </c>
      <c r="D64" s="2">
        <v>47</v>
      </c>
      <c r="E64" s="7"/>
      <c r="H64" s="15" t="s">
        <v>72</v>
      </c>
      <c r="I64" s="115">
        <v>1235</v>
      </c>
    </row>
    <row r="65" spans="2:23">
      <c r="B65" s="6">
        <v>61</v>
      </c>
      <c r="C65" s="5">
        <v>45718</v>
      </c>
      <c r="D65" s="2">
        <v>45</v>
      </c>
      <c r="E65" s="7"/>
      <c r="H65" s="15" t="s">
        <v>73</v>
      </c>
      <c r="I65" s="1">
        <v>1144</v>
      </c>
    </row>
    <row r="66" spans="2:23">
      <c r="B66" s="6">
        <v>62</v>
      </c>
      <c r="C66" s="5">
        <v>45719</v>
      </c>
      <c r="D66" s="2">
        <v>34</v>
      </c>
      <c r="E66" s="7"/>
      <c r="H66" s="15" t="s">
        <v>74</v>
      </c>
      <c r="I66" s="1">
        <v>1046</v>
      </c>
    </row>
    <row r="67" spans="2:23">
      <c r="B67" s="6">
        <v>63</v>
      </c>
      <c r="C67" s="5">
        <v>45720</v>
      </c>
      <c r="D67" s="2">
        <v>37</v>
      </c>
      <c r="E67" s="7"/>
      <c r="H67" s="15" t="s">
        <v>75</v>
      </c>
      <c r="I67" s="1">
        <v>921</v>
      </c>
    </row>
    <row r="68" spans="2:23">
      <c r="B68" s="6">
        <v>64</v>
      </c>
      <c r="C68" s="5">
        <v>45721</v>
      </c>
      <c r="D68" s="2">
        <v>34</v>
      </c>
      <c r="E68" s="7"/>
      <c r="H68" s="15" t="s">
        <v>76</v>
      </c>
      <c r="I68" s="1">
        <v>1028</v>
      </c>
    </row>
    <row r="69" spans="2:23">
      <c r="B69" s="6">
        <v>65</v>
      </c>
      <c r="C69" s="5">
        <v>45722</v>
      </c>
      <c r="D69" s="2">
        <v>49</v>
      </c>
      <c r="E69" s="7"/>
      <c r="H69" s="15" t="s">
        <v>77</v>
      </c>
      <c r="I69" s="1">
        <v>1084</v>
      </c>
    </row>
    <row r="70" spans="2:23">
      <c r="B70" s="6">
        <v>66</v>
      </c>
      <c r="C70" s="5">
        <v>45723</v>
      </c>
      <c r="D70" s="2">
        <v>39</v>
      </c>
      <c r="E70" s="7"/>
      <c r="H70" s="15" t="s">
        <v>78</v>
      </c>
      <c r="I70" s="1">
        <v>1110</v>
      </c>
      <c r="L70" s="3">
        <v>160</v>
      </c>
      <c r="N70" s="1">
        <v>80</v>
      </c>
      <c r="P70" s="3">
        <v>90</v>
      </c>
      <c r="R70" s="1" t="s">
        <v>80</v>
      </c>
    </row>
    <row r="71" spans="2:23">
      <c r="B71" s="6">
        <v>67</v>
      </c>
      <c r="C71" s="5">
        <v>45724</v>
      </c>
      <c r="D71" s="2">
        <v>61</v>
      </c>
      <c r="E71" s="7"/>
      <c r="H71" s="14" t="s">
        <v>81</v>
      </c>
      <c r="L71" s="3">
        <v>10</v>
      </c>
      <c r="P71" s="3">
        <v>70</v>
      </c>
    </row>
    <row r="72" spans="2:23">
      <c r="B72" s="6">
        <v>68</v>
      </c>
      <c r="C72" s="5">
        <v>45725</v>
      </c>
      <c r="D72" s="2">
        <v>55</v>
      </c>
      <c r="E72" s="7"/>
      <c r="H72" s="15" t="s">
        <v>67</v>
      </c>
      <c r="J72" s="115">
        <v>1243</v>
      </c>
      <c r="S72" s="69" t="s">
        <v>82</v>
      </c>
    </row>
    <row r="73" spans="2:23">
      <c r="B73" s="6">
        <v>69</v>
      </c>
      <c r="C73" s="5">
        <v>45726</v>
      </c>
      <c r="D73" s="2">
        <v>53</v>
      </c>
      <c r="E73" s="7"/>
      <c r="H73" s="15" t="s">
        <v>68</v>
      </c>
      <c r="J73" s="115">
        <v>1145</v>
      </c>
    </row>
    <row r="74" spans="2:23">
      <c r="B74" s="6">
        <v>70</v>
      </c>
      <c r="C74" s="5">
        <v>45727</v>
      </c>
      <c r="D74" s="2">
        <v>30</v>
      </c>
      <c r="E74" s="7"/>
      <c r="H74" s="15" t="s">
        <v>69</v>
      </c>
      <c r="J74" s="115">
        <v>1348</v>
      </c>
      <c r="M74" s="1" t="s">
        <v>83</v>
      </c>
      <c r="N74" s="1">
        <v>20</v>
      </c>
      <c r="P74" s="1">
        <v>30</v>
      </c>
      <c r="R74" s="166">
        <f>N74*P74</f>
        <v>600</v>
      </c>
    </row>
    <row r="75" spans="2:23">
      <c r="B75" s="6">
        <v>71</v>
      </c>
      <c r="C75" s="5">
        <v>45728</v>
      </c>
      <c r="D75" s="2">
        <v>50</v>
      </c>
      <c r="E75" s="7"/>
      <c r="H75" s="15" t="s">
        <v>70</v>
      </c>
      <c r="J75" s="115">
        <v>1302</v>
      </c>
      <c r="U75" s="1">
        <f>13.63</f>
        <v>13.63</v>
      </c>
      <c r="V75" s="1" t="s">
        <v>84</v>
      </c>
      <c r="W75" s="1" t="s">
        <v>85</v>
      </c>
    </row>
    <row r="76" spans="2:23">
      <c r="B76" s="6">
        <v>72</v>
      </c>
      <c r="C76" s="5">
        <v>45729</v>
      </c>
      <c r="D76" s="2">
        <v>44</v>
      </c>
      <c r="E76" s="7"/>
      <c r="H76" s="15" t="s">
        <v>71</v>
      </c>
      <c r="J76" s="115">
        <v>1306</v>
      </c>
      <c r="N76" s="115">
        <v>50</v>
      </c>
      <c r="P76" s="115">
        <v>30</v>
      </c>
      <c r="R76" s="166">
        <f>N76*P76</f>
        <v>1500</v>
      </c>
      <c r="V76" s="1" t="s">
        <v>86</v>
      </c>
    </row>
    <row r="77" spans="2:23">
      <c r="B77" s="6">
        <v>73</v>
      </c>
      <c r="C77" s="5">
        <v>45730</v>
      </c>
      <c r="D77" s="2">
        <v>40</v>
      </c>
      <c r="E77" s="7"/>
      <c r="H77" s="15" t="s">
        <v>72</v>
      </c>
      <c r="J77" s="115">
        <v>1212</v>
      </c>
      <c r="V77" s="1" t="s">
        <v>87</v>
      </c>
    </row>
    <row r="78" spans="2:23">
      <c r="B78" s="6">
        <v>74</v>
      </c>
      <c r="C78" s="5">
        <v>45731</v>
      </c>
      <c r="D78" s="2">
        <v>44</v>
      </c>
      <c r="E78" s="7"/>
      <c r="H78" s="15" t="s">
        <v>73</v>
      </c>
      <c r="J78" s="1">
        <v>1134</v>
      </c>
      <c r="V78" s="1" t="s">
        <v>88</v>
      </c>
    </row>
    <row r="79" spans="2:23">
      <c r="B79" s="6">
        <v>75</v>
      </c>
      <c r="C79" s="5">
        <v>45732</v>
      </c>
      <c r="D79" s="2">
        <v>51</v>
      </c>
      <c r="E79" s="7"/>
      <c r="H79" s="15" t="s">
        <v>74</v>
      </c>
      <c r="J79" s="1">
        <v>1075</v>
      </c>
    </row>
    <row r="80" spans="2:23">
      <c r="B80" s="6">
        <v>76</v>
      </c>
      <c r="C80" s="5">
        <v>45733</v>
      </c>
      <c r="D80" s="2">
        <v>46</v>
      </c>
      <c r="E80" s="7"/>
      <c r="H80" s="15" t="s">
        <v>75</v>
      </c>
      <c r="J80" s="1">
        <v>927</v>
      </c>
    </row>
    <row r="81" spans="2:10">
      <c r="B81" s="6">
        <v>77</v>
      </c>
      <c r="C81" s="5">
        <v>45734</v>
      </c>
      <c r="D81" s="2">
        <v>41</v>
      </c>
      <c r="E81" s="7"/>
      <c r="H81" s="15" t="s">
        <v>76</v>
      </c>
      <c r="J81" s="1">
        <v>1038</v>
      </c>
    </row>
    <row r="82" spans="2:10">
      <c r="B82" s="6">
        <v>78</v>
      </c>
      <c r="C82" s="5">
        <v>45735</v>
      </c>
      <c r="D82" s="2">
        <v>43</v>
      </c>
      <c r="E82" s="7"/>
      <c r="H82" s="15" t="s">
        <v>77</v>
      </c>
      <c r="J82" s="1">
        <v>1076</v>
      </c>
    </row>
    <row r="83" spans="2:10">
      <c r="B83" s="6">
        <v>79</v>
      </c>
      <c r="C83" s="5">
        <v>45736</v>
      </c>
      <c r="D83" s="2">
        <v>59</v>
      </c>
      <c r="E83" s="7"/>
      <c r="H83" s="15" t="s">
        <v>78</v>
      </c>
      <c r="J83" s="1">
        <v>1127</v>
      </c>
    </row>
    <row r="84" spans="2:10">
      <c r="B84" s="6">
        <v>80</v>
      </c>
      <c r="C84" s="5">
        <v>45737</v>
      </c>
      <c r="D84" s="2">
        <v>45</v>
      </c>
      <c r="E84" s="7"/>
      <c r="H84" s="14" t="s">
        <v>89</v>
      </c>
    </row>
    <row r="85" spans="2:10">
      <c r="B85" s="6">
        <v>81</v>
      </c>
      <c r="C85" s="5">
        <v>45738</v>
      </c>
      <c r="D85" s="2">
        <v>33</v>
      </c>
      <c r="E85" s="7"/>
      <c r="H85" s="15" t="s">
        <v>67</v>
      </c>
      <c r="J85" s="115">
        <v>1265</v>
      </c>
    </row>
    <row r="86" spans="2:10">
      <c r="B86" s="6">
        <v>82</v>
      </c>
      <c r="C86" s="5">
        <v>45739</v>
      </c>
      <c r="D86" s="2">
        <v>42</v>
      </c>
      <c r="E86" s="7"/>
      <c r="H86" s="15" t="s">
        <v>68</v>
      </c>
      <c r="J86" s="115">
        <v>1204</v>
      </c>
    </row>
    <row r="87" spans="2:10">
      <c r="B87" s="6">
        <v>83</v>
      </c>
      <c r="C87" s="5">
        <v>45740</v>
      </c>
      <c r="D87" s="2">
        <v>40</v>
      </c>
      <c r="E87" s="7"/>
      <c r="H87" s="15" t="s">
        <v>69</v>
      </c>
      <c r="J87" s="115">
        <v>1373</v>
      </c>
    </row>
    <row r="88" spans="2:10">
      <c r="B88" s="6">
        <v>84</v>
      </c>
      <c r="C88" s="5">
        <v>45741</v>
      </c>
      <c r="D88" s="2">
        <v>47</v>
      </c>
      <c r="E88" s="7"/>
      <c r="H88" s="15" t="s">
        <v>70</v>
      </c>
      <c r="J88" s="115">
        <v>1332</v>
      </c>
    </row>
    <row r="89" spans="2:10">
      <c r="B89" s="6">
        <v>85</v>
      </c>
      <c r="C89" s="5">
        <v>45742</v>
      </c>
      <c r="D89" s="2">
        <v>53</v>
      </c>
      <c r="E89" s="7"/>
      <c r="H89" s="15" t="s">
        <v>71</v>
      </c>
      <c r="J89" s="115">
        <v>1316</v>
      </c>
    </row>
    <row r="90" spans="2:10">
      <c r="B90" s="6">
        <v>86</v>
      </c>
      <c r="C90" s="5">
        <v>45743</v>
      </c>
      <c r="D90" s="2">
        <v>44</v>
      </c>
      <c r="E90" s="7"/>
      <c r="H90" s="15" t="s">
        <v>72</v>
      </c>
      <c r="J90" s="115">
        <v>1236</v>
      </c>
    </row>
    <row r="91" spans="2:10">
      <c r="B91" s="6">
        <v>87</v>
      </c>
      <c r="C91" s="5">
        <v>45744</v>
      </c>
      <c r="D91" s="2">
        <v>42</v>
      </c>
      <c r="E91" s="7"/>
      <c r="H91" s="15" t="s">
        <v>73</v>
      </c>
      <c r="J91" s="1">
        <v>1146</v>
      </c>
    </row>
    <row r="92" spans="2:10">
      <c r="B92" s="6">
        <v>88</v>
      </c>
      <c r="C92" s="5">
        <v>45745</v>
      </c>
      <c r="D92" s="2">
        <v>38</v>
      </c>
      <c r="E92" s="7"/>
      <c r="H92" s="15" t="s">
        <v>74</v>
      </c>
      <c r="J92" s="1">
        <v>1096</v>
      </c>
    </row>
    <row r="93" spans="2:10">
      <c r="B93" s="6">
        <v>89</v>
      </c>
      <c r="C93" s="5">
        <v>45746</v>
      </c>
      <c r="D93" s="2">
        <v>51</v>
      </c>
      <c r="E93" s="7"/>
      <c r="H93" s="15" t="s">
        <v>75</v>
      </c>
      <c r="J93" s="1">
        <v>964</v>
      </c>
    </row>
    <row r="94" spans="2:10">
      <c r="B94" s="6">
        <v>90</v>
      </c>
      <c r="C94" s="5">
        <v>45747</v>
      </c>
      <c r="D94" s="2">
        <v>44</v>
      </c>
      <c r="E94" s="7"/>
      <c r="H94" s="15" t="s">
        <v>76</v>
      </c>
      <c r="J94" s="1">
        <v>1049</v>
      </c>
    </row>
    <row r="95" spans="2:10">
      <c r="B95" s="6">
        <v>91</v>
      </c>
      <c r="C95" s="5">
        <v>45748</v>
      </c>
      <c r="D95" s="2">
        <v>32</v>
      </c>
      <c r="E95" s="7"/>
      <c r="H95" s="15" t="s">
        <v>77</v>
      </c>
      <c r="J95" s="1">
        <v>1110</v>
      </c>
    </row>
    <row r="96" spans="2:10">
      <c r="B96" s="6">
        <v>92</v>
      </c>
      <c r="C96" s="5">
        <v>45749</v>
      </c>
      <c r="D96" s="2">
        <v>34</v>
      </c>
      <c r="E96" s="7"/>
      <c r="H96" s="15" t="s">
        <v>78</v>
      </c>
      <c r="J96" s="1">
        <v>1112</v>
      </c>
    </row>
    <row r="97" spans="2:10">
      <c r="B97" s="6">
        <v>93</v>
      </c>
      <c r="C97" s="5">
        <v>45750</v>
      </c>
      <c r="D97" s="2">
        <v>50</v>
      </c>
      <c r="E97" s="7"/>
      <c r="H97" s="14" t="s">
        <v>90</v>
      </c>
      <c r="I97" s="1">
        <v>28288</v>
      </c>
      <c r="J97" s="1">
        <v>28136</v>
      </c>
    </row>
    <row r="98" spans="2:10">
      <c r="B98" s="6">
        <v>94</v>
      </c>
      <c r="C98" s="5">
        <v>45751</v>
      </c>
      <c r="D98" s="2">
        <v>47</v>
      </c>
      <c r="E98" s="7"/>
      <c r="H98"/>
      <c r="I98"/>
      <c r="J98"/>
    </row>
    <row r="99" spans="2:10">
      <c r="B99" s="6">
        <v>95</v>
      </c>
      <c r="C99" s="5">
        <v>45752</v>
      </c>
      <c r="D99" s="2">
        <v>43</v>
      </c>
      <c r="E99" s="7"/>
      <c r="H99"/>
      <c r="I99"/>
      <c r="J99"/>
    </row>
    <row r="100" spans="2:10">
      <c r="B100" s="6">
        <v>96</v>
      </c>
      <c r="C100" s="5">
        <v>45753</v>
      </c>
      <c r="D100" s="2">
        <v>37</v>
      </c>
      <c r="E100" s="7"/>
      <c r="H100"/>
      <c r="I100"/>
      <c r="J100"/>
    </row>
    <row r="101" spans="2:10">
      <c r="B101" s="6">
        <v>97</v>
      </c>
      <c r="C101" s="5">
        <v>45754</v>
      </c>
      <c r="D101" s="2">
        <v>41</v>
      </c>
      <c r="E101" s="7"/>
      <c r="H101"/>
      <c r="I101"/>
      <c r="J101"/>
    </row>
    <row r="102" spans="2:10">
      <c r="B102" s="6">
        <v>98</v>
      </c>
      <c r="C102" s="5">
        <v>45755</v>
      </c>
      <c r="D102" s="2">
        <v>36</v>
      </c>
      <c r="E102" s="7"/>
      <c r="H102"/>
      <c r="I102"/>
      <c r="J102"/>
    </row>
    <row r="103" spans="2:10">
      <c r="B103" s="6">
        <v>99</v>
      </c>
      <c r="C103" s="5">
        <v>45756</v>
      </c>
      <c r="D103" s="2">
        <v>52</v>
      </c>
      <c r="E103" s="7"/>
      <c r="H103"/>
      <c r="I103"/>
      <c r="J103"/>
    </row>
    <row r="104" spans="2:10">
      <c r="B104" s="6">
        <v>100</v>
      </c>
      <c r="C104" s="5">
        <v>45757</v>
      </c>
      <c r="D104" s="2">
        <v>53</v>
      </c>
      <c r="E104" s="7"/>
      <c r="H104"/>
      <c r="I104"/>
      <c r="J104"/>
    </row>
    <row r="105" spans="2:10">
      <c r="B105" s="6">
        <v>101</v>
      </c>
      <c r="C105" s="5">
        <v>45758</v>
      </c>
      <c r="D105" s="2">
        <v>43</v>
      </c>
      <c r="E105" s="7"/>
      <c r="H105"/>
      <c r="I105"/>
      <c r="J105"/>
    </row>
    <row r="106" spans="2:10">
      <c r="B106" s="6">
        <v>102</v>
      </c>
      <c r="C106" s="5">
        <v>45759</v>
      </c>
      <c r="D106" s="2">
        <v>30</v>
      </c>
      <c r="E106" s="7"/>
      <c r="H106"/>
      <c r="I106"/>
      <c r="J106"/>
    </row>
    <row r="107" spans="2:10">
      <c r="B107" s="6">
        <v>103</v>
      </c>
      <c r="C107" s="5">
        <v>45760</v>
      </c>
      <c r="D107" s="2">
        <v>47</v>
      </c>
      <c r="E107" s="7"/>
      <c r="H107"/>
      <c r="I107"/>
      <c r="J107"/>
    </row>
    <row r="108" spans="2:10">
      <c r="B108" s="6">
        <v>104</v>
      </c>
      <c r="C108" s="5">
        <v>45761</v>
      </c>
      <c r="D108" s="2">
        <v>43</v>
      </c>
      <c r="E108" s="7"/>
      <c r="H108"/>
      <c r="I108"/>
      <c r="J108"/>
    </row>
    <row r="109" spans="2:10">
      <c r="B109" s="6">
        <v>105</v>
      </c>
      <c r="C109" s="5">
        <v>45762</v>
      </c>
      <c r="D109" s="2">
        <v>49</v>
      </c>
      <c r="E109" s="7"/>
      <c r="H109"/>
      <c r="I109"/>
      <c r="J109"/>
    </row>
    <row r="110" spans="2:10">
      <c r="B110" s="6">
        <v>106</v>
      </c>
      <c r="C110" s="5">
        <v>45763</v>
      </c>
      <c r="D110" s="2">
        <v>45</v>
      </c>
      <c r="E110" s="7"/>
      <c r="H110"/>
      <c r="I110"/>
      <c r="J110"/>
    </row>
    <row r="111" spans="2:10">
      <c r="B111" s="6">
        <v>107</v>
      </c>
      <c r="C111" s="5">
        <v>45764</v>
      </c>
      <c r="D111" s="2">
        <v>43</v>
      </c>
      <c r="E111" s="7"/>
      <c r="H111"/>
      <c r="I111"/>
      <c r="J111"/>
    </row>
    <row r="112" spans="2:10">
      <c r="B112" s="6">
        <v>108</v>
      </c>
      <c r="C112" s="5">
        <v>45765</v>
      </c>
      <c r="D112" s="2">
        <v>38</v>
      </c>
      <c r="E112" s="7"/>
      <c r="H112"/>
      <c r="I112"/>
      <c r="J112"/>
    </row>
    <row r="113" spans="2:5">
      <c r="B113" s="6">
        <v>109</v>
      </c>
      <c r="C113" s="5">
        <v>45766</v>
      </c>
      <c r="D113" s="2">
        <v>48</v>
      </c>
      <c r="E113" s="7"/>
    </row>
    <row r="114" spans="2:5">
      <c r="B114" s="6">
        <v>110</v>
      </c>
      <c r="C114" s="5">
        <v>45767</v>
      </c>
      <c r="D114" s="2">
        <v>39</v>
      </c>
      <c r="E114" s="7"/>
    </row>
    <row r="115" spans="2:5">
      <c r="B115" s="6">
        <v>111</v>
      </c>
      <c r="C115" s="5">
        <v>45768</v>
      </c>
      <c r="D115" s="2">
        <v>56</v>
      </c>
      <c r="E115" s="7"/>
    </row>
    <row r="116" spans="2:5">
      <c r="B116" s="6">
        <v>112</v>
      </c>
      <c r="C116" s="5">
        <v>45769</v>
      </c>
      <c r="D116" s="2">
        <v>47</v>
      </c>
      <c r="E116" s="7"/>
    </row>
    <row r="117" spans="2:5">
      <c r="B117" s="6">
        <v>113</v>
      </c>
      <c r="C117" s="5">
        <v>45770</v>
      </c>
      <c r="D117" s="2">
        <v>54</v>
      </c>
      <c r="E117" s="7"/>
    </row>
    <row r="118" spans="2:5">
      <c r="B118" s="6">
        <v>114</v>
      </c>
      <c r="C118" s="5">
        <v>45771</v>
      </c>
      <c r="D118" s="2">
        <v>50</v>
      </c>
      <c r="E118" s="7"/>
    </row>
    <row r="119" spans="2:5">
      <c r="B119" s="6">
        <v>115</v>
      </c>
      <c r="C119" s="5">
        <v>45772</v>
      </c>
      <c r="D119" s="2">
        <v>49</v>
      </c>
      <c r="E119" s="7"/>
    </row>
    <row r="120" spans="2:5">
      <c r="B120" s="6">
        <v>116</v>
      </c>
      <c r="C120" s="5">
        <v>45773</v>
      </c>
      <c r="D120" s="2">
        <v>31</v>
      </c>
      <c r="E120" s="7"/>
    </row>
    <row r="121" spans="2:5">
      <c r="B121" s="6">
        <v>117</v>
      </c>
      <c r="C121" s="5">
        <v>45774</v>
      </c>
      <c r="D121" s="2">
        <v>54</v>
      </c>
      <c r="E121" s="7"/>
    </row>
    <row r="122" spans="2:5">
      <c r="B122" s="6">
        <v>118</v>
      </c>
      <c r="C122" s="5">
        <v>45775</v>
      </c>
      <c r="D122" s="2">
        <v>44</v>
      </c>
      <c r="E122" s="7"/>
    </row>
    <row r="123" spans="2:5">
      <c r="B123" s="6">
        <v>119</v>
      </c>
      <c r="C123" s="5">
        <v>45776</v>
      </c>
      <c r="D123" s="2">
        <v>44</v>
      </c>
      <c r="E123" s="7"/>
    </row>
    <row r="124" spans="2:5">
      <c r="B124" s="6">
        <v>120</v>
      </c>
      <c r="C124" s="5">
        <v>45777</v>
      </c>
      <c r="D124" s="2">
        <v>39</v>
      </c>
      <c r="E124" s="7"/>
    </row>
    <row r="125" spans="2:5">
      <c r="B125" s="6">
        <v>121</v>
      </c>
      <c r="C125" s="5">
        <v>45778</v>
      </c>
      <c r="D125" s="2">
        <v>43</v>
      </c>
      <c r="E125" s="7"/>
    </row>
    <row r="126" spans="2:5">
      <c r="B126" s="6">
        <v>122</v>
      </c>
      <c r="C126" s="5">
        <v>45779</v>
      </c>
      <c r="D126" s="2">
        <v>43</v>
      </c>
      <c r="E126" s="7"/>
    </row>
    <row r="127" spans="2:5">
      <c r="B127" s="6">
        <v>123</v>
      </c>
      <c r="C127" s="5">
        <v>45780</v>
      </c>
      <c r="D127" s="2">
        <v>33</v>
      </c>
      <c r="E127" s="7"/>
    </row>
    <row r="128" spans="2:5">
      <c r="B128" s="6">
        <v>124</v>
      </c>
      <c r="C128" s="5">
        <v>45781</v>
      </c>
      <c r="D128" s="2">
        <v>55</v>
      </c>
      <c r="E128" s="7"/>
    </row>
    <row r="129" spans="2:5">
      <c r="B129" s="6">
        <v>125</v>
      </c>
      <c r="C129" s="5">
        <v>45782</v>
      </c>
      <c r="D129" s="2">
        <v>42</v>
      </c>
      <c r="E129" s="7"/>
    </row>
    <row r="130" spans="2:5">
      <c r="B130" s="6">
        <v>126</v>
      </c>
      <c r="C130" s="5">
        <v>45783</v>
      </c>
      <c r="D130" s="2">
        <v>35</v>
      </c>
      <c r="E130" s="7"/>
    </row>
    <row r="131" spans="2:5">
      <c r="B131" s="6">
        <v>127</v>
      </c>
      <c r="C131" s="5">
        <v>45784</v>
      </c>
      <c r="D131" s="2">
        <v>59</v>
      </c>
      <c r="E131" s="7"/>
    </row>
    <row r="132" spans="2:5">
      <c r="B132" s="6">
        <v>128</v>
      </c>
      <c r="C132" s="5">
        <v>45785</v>
      </c>
      <c r="D132" s="2">
        <v>33</v>
      </c>
      <c r="E132" s="7"/>
    </row>
    <row r="133" spans="2:5">
      <c r="B133" s="6">
        <v>129</v>
      </c>
      <c r="C133" s="5">
        <v>45786</v>
      </c>
      <c r="D133" s="2">
        <v>41</v>
      </c>
      <c r="E133" s="7"/>
    </row>
    <row r="134" spans="2:5">
      <c r="B134" s="6">
        <v>130</v>
      </c>
      <c r="C134" s="5">
        <v>45787</v>
      </c>
      <c r="D134" s="2">
        <v>53</v>
      </c>
      <c r="E134" s="7"/>
    </row>
    <row r="135" spans="2:5">
      <c r="B135" s="6">
        <v>131</v>
      </c>
      <c r="C135" s="5">
        <v>45788</v>
      </c>
      <c r="D135" s="2">
        <v>45</v>
      </c>
      <c r="E135" s="7"/>
    </row>
    <row r="136" spans="2:5">
      <c r="B136" s="6">
        <v>132</v>
      </c>
      <c r="C136" s="5">
        <v>45789</v>
      </c>
      <c r="D136" s="2">
        <v>43</v>
      </c>
      <c r="E136" s="7"/>
    </row>
    <row r="137" spans="2:5">
      <c r="B137" s="6">
        <v>133</v>
      </c>
      <c r="C137" s="5">
        <v>45790</v>
      </c>
      <c r="D137" s="2">
        <v>35</v>
      </c>
      <c r="E137" s="7"/>
    </row>
    <row r="138" spans="2:5">
      <c r="B138" s="6">
        <v>134</v>
      </c>
      <c r="C138" s="5">
        <v>45791</v>
      </c>
      <c r="D138" s="2">
        <v>39</v>
      </c>
      <c r="E138" s="7"/>
    </row>
    <row r="139" spans="2:5">
      <c r="B139" s="6">
        <v>135</v>
      </c>
      <c r="C139" s="5">
        <v>45792</v>
      </c>
      <c r="D139" s="2">
        <v>43</v>
      </c>
      <c r="E139" s="7"/>
    </row>
    <row r="140" spans="2:5">
      <c r="B140" s="6">
        <v>136</v>
      </c>
      <c r="C140" s="5">
        <v>45793</v>
      </c>
      <c r="D140" s="2">
        <v>40</v>
      </c>
      <c r="E140" s="7"/>
    </row>
    <row r="141" spans="2:5">
      <c r="B141" s="6">
        <v>137</v>
      </c>
      <c r="C141" s="5">
        <v>45794</v>
      </c>
      <c r="D141" s="2">
        <v>38</v>
      </c>
      <c r="E141" s="7"/>
    </row>
    <row r="142" spans="2:5">
      <c r="B142" s="6">
        <v>138</v>
      </c>
      <c r="C142" s="5">
        <v>45795</v>
      </c>
      <c r="D142" s="2">
        <v>50</v>
      </c>
      <c r="E142" s="7"/>
    </row>
    <row r="143" spans="2:5">
      <c r="B143" s="6">
        <v>139</v>
      </c>
      <c r="C143" s="5">
        <v>45796</v>
      </c>
      <c r="D143" s="2">
        <v>51</v>
      </c>
      <c r="E143" s="7"/>
    </row>
    <row r="144" spans="2:5">
      <c r="B144" s="6">
        <v>140</v>
      </c>
      <c r="C144" s="5">
        <v>45797</v>
      </c>
      <c r="D144" s="2">
        <v>46</v>
      </c>
      <c r="E144" s="7"/>
    </row>
    <row r="145" spans="2:5">
      <c r="B145" s="6">
        <v>141</v>
      </c>
      <c r="C145" s="5">
        <v>45798</v>
      </c>
      <c r="D145" s="2">
        <v>45</v>
      </c>
      <c r="E145" s="7"/>
    </row>
    <row r="146" spans="2:5">
      <c r="B146" s="6">
        <v>142</v>
      </c>
      <c r="C146" s="5">
        <v>45799</v>
      </c>
      <c r="D146" s="2">
        <v>45</v>
      </c>
      <c r="E146" s="7"/>
    </row>
    <row r="147" spans="2:5">
      <c r="B147" s="6">
        <v>143</v>
      </c>
      <c r="C147" s="5">
        <v>45800</v>
      </c>
      <c r="D147" s="2">
        <v>38</v>
      </c>
      <c r="E147" s="7"/>
    </row>
    <row r="148" spans="2:5">
      <c r="B148" s="6">
        <v>144</v>
      </c>
      <c r="C148" s="5">
        <v>45801</v>
      </c>
      <c r="D148" s="2">
        <v>36</v>
      </c>
      <c r="E148" s="7"/>
    </row>
    <row r="149" spans="2:5">
      <c r="B149" s="6">
        <v>145</v>
      </c>
      <c r="C149" s="5">
        <v>45802</v>
      </c>
      <c r="D149" s="2">
        <v>62</v>
      </c>
      <c r="E149" s="7"/>
    </row>
    <row r="150" spans="2:5">
      <c r="B150" s="6">
        <v>146</v>
      </c>
      <c r="C150" s="5">
        <v>45803</v>
      </c>
      <c r="D150" s="2">
        <v>49</v>
      </c>
      <c r="E150" s="7"/>
    </row>
    <row r="151" spans="2:5">
      <c r="B151" s="6">
        <v>147</v>
      </c>
      <c r="C151" s="5">
        <v>45804</v>
      </c>
      <c r="D151" s="2">
        <v>28</v>
      </c>
      <c r="E151" s="7"/>
    </row>
    <row r="152" spans="2:5">
      <c r="B152" s="6">
        <v>148</v>
      </c>
      <c r="C152" s="5">
        <v>45805</v>
      </c>
      <c r="D152" s="2">
        <v>50</v>
      </c>
      <c r="E152" s="7"/>
    </row>
    <row r="153" spans="2:5">
      <c r="B153" s="6">
        <v>149</v>
      </c>
      <c r="C153" s="5">
        <v>45806</v>
      </c>
      <c r="D153" s="2">
        <v>45</v>
      </c>
      <c r="E153" s="7"/>
    </row>
    <row r="154" spans="2:5">
      <c r="B154" s="6">
        <v>150</v>
      </c>
      <c r="C154" s="5">
        <v>45807</v>
      </c>
      <c r="D154" s="2">
        <v>46</v>
      </c>
      <c r="E154" s="7"/>
    </row>
    <row r="155" spans="2:5">
      <c r="B155" s="6">
        <v>151</v>
      </c>
      <c r="C155" s="5">
        <v>45808</v>
      </c>
      <c r="D155" s="2">
        <v>42</v>
      </c>
      <c r="E155" s="7"/>
    </row>
    <row r="156" spans="2:5">
      <c r="B156" s="6">
        <v>152</v>
      </c>
      <c r="C156" s="5">
        <v>45809</v>
      </c>
      <c r="D156" s="2">
        <v>27</v>
      </c>
      <c r="E156" s="7"/>
    </row>
    <row r="157" spans="2:5">
      <c r="B157" s="6">
        <v>153</v>
      </c>
      <c r="C157" s="5">
        <v>45810</v>
      </c>
      <c r="D157" s="2">
        <v>35</v>
      </c>
      <c r="E157" s="7"/>
    </row>
    <row r="158" spans="2:5">
      <c r="B158" s="6">
        <v>154</v>
      </c>
      <c r="C158" s="5">
        <v>45811</v>
      </c>
      <c r="D158" s="2">
        <v>42</v>
      </c>
      <c r="E158" s="7"/>
    </row>
    <row r="159" spans="2:5">
      <c r="B159" s="6">
        <v>155</v>
      </c>
      <c r="C159" s="5">
        <v>45812</v>
      </c>
      <c r="D159" s="2">
        <v>35</v>
      </c>
      <c r="E159" s="7"/>
    </row>
    <row r="160" spans="2:5">
      <c r="B160" s="6">
        <v>156</v>
      </c>
      <c r="C160" s="5">
        <v>45813</v>
      </c>
      <c r="D160" s="2">
        <v>36</v>
      </c>
      <c r="E160" s="7"/>
    </row>
    <row r="161" spans="2:5">
      <c r="B161" s="6">
        <v>157</v>
      </c>
      <c r="C161" s="5">
        <v>45814</v>
      </c>
      <c r="D161" s="2">
        <v>45</v>
      </c>
      <c r="E161" s="7"/>
    </row>
    <row r="162" spans="2:5">
      <c r="B162" s="6">
        <v>158</v>
      </c>
      <c r="C162" s="5">
        <v>45815</v>
      </c>
      <c r="D162" s="2">
        <v>45</v>
      </c>
      <c r="E162" s="7"/>
    </row>
    <row r="163" spans="2:5">
      <c r="B163" s="6">
        <v>159</v>
      </c>
      <c r="C163" s="5">
        <v>45816</v>
      </c>
      <c r="D163" s="2">
        <v>44</v>
      </c>
      <c r="E163" s="7"/>
    </row>
    <row r="164" spans="2:5">
      <c r="B164" s="6">
        <v>160</v>
      </c>
      <c r="C164" s="5">
        <v>45817</v>
      </c>
      <c r="D164" s="2">
        <v>18</v>
      </c>
      <c r="E164" s="7"/>
    </row>
    <row r="165" spans="2:5">
      <c r="B165" s="6">
        <v>161</v>
      </c>
      <c r="C165" s="5">
        <v>45818</v>
      </c>
      <c r="D165" s="2">
        <v>34</v>
      </c>
      <c r="E165" s="7"/>
    </row>
    <row r="166" spans="2:5">
      <c r="B166" s="6">
        <v>162</v>
      </c>
      <c r="C166" s="5">
        <v>45819</v>
      </c>
      <c r="D166" s="2">
        <v>40</v>
      </c>
      <c r="E166" s="7"/>
    </row>
    <row r="167" spans="2:5">
      <c r="B167" s="6">
        <v>163</v>
      </c>
      <c r="C167" s="5">
        <v>45820</v>
      </c>
      <c r="D167" s="2">
        <v>38</v>
      </c>
      <c r="E167" s="7"/>
    </row>
    <row r="168" spans="2:5">
      <c r="B168" s="6">
        <v>164</v>
      </c>
      <c r="C168" s="5">
        <v>45821</v>
      </c>
      <c r="D168" s="2">
        <v>32</v>
      </c>
      <c r="E168" s="7"/>
    </row>
    <row r="169" spans="2:5">
      <c r="B169" s="6">
        <v>165</v>
      </c>
      <c r="C169" s="5">
        <v>45822</v>
      </c>
      <c r="D169" s="2">
        <v>44</v>
      </c>
      <c r="E169" s="7"/>
    </row>
    <row r="170" spans="2:5">
      <c r="B170" s="6">
        <v>166</v>
      </c>
      <c r="C170" s="5">
        <v>45823</v>
      </c>
      <c r="D170" s="2">
        <v>54</v>
      </c>
      <c r="E170" s="7"/>
    </row>
    <row r="171" spans="2:5">
      <c r="B171" s="6">
        <v>167</v>
      </c>
      <c r="C171" s="5">
        <v>45824</v>
      </c>
      <c r="D171" s="2">
        <v>33</v>
      </c>
      <c r="E171" s="7"/>
    </row>
    <row r="172" spans="2:5">
      <c r="B172" s="6">
        <v>168</v>
      </c>
      <c r="C172" s="5">
        <v>45825</v>
      </c>
      <c r="D172" s="2">
        <v>44</v>
      </c>
      <c r="E172" s="7"/>
    </row>
    <row r="173" spans="2:5">
      <c r="B173" s="6">
        <v>169</v>
      </c>
      <c r="C173" s="5">
        <v>45826</v>
      </c>
      <c r="D173" s="2">
        <v>47</v>
      </c>
      <c r="E173" s="7"/>
    </row>
    <row r="174" spans="2:5">
      <c r="B174" s="6">
        <v>170</v>
      </c>
      <c r="C174" s="5">
        <v>45827</v>
      </c>
      <c r="D174" s="2">
        <v>30</v>
      </c>
      <c r="E174" s="7"/>
    </row>
    <row r="175" spans="2:5">
      <c r="B175" s="6">
        <v>171</v>
      </c>
      <c r="C175" s="5">
        <v>45828</v>
      </c>
      <c r="D175" s="2">
        <v>25</v>
      </c>
      <c r="E175" s="7"/>
    </row>
    <row r="176" spans="2:5">
      <c r="B176" s="6">
        <v>172</v>
      </c>
      <c r="C176" s="5">
        <v>45829</v>
      </c>
      <c r="D176" s="2">
        <v>39</v>
      </c>
      <c r="E176" s="7"/>
    </row>
    <row r="177" spans="2:5">
      <c r="B177" s="6">
        <v>173</v>
      </c>
      <c r="C177" s="5">
        <v>45830</v>
      </c>
      <c r="D177" s="2">
        <v>34</v>
      </c>
      <c r="E177" s="7"/>
    </row>
    <row r="178" spans="2:5">
      <c r="B178" s="6">
        <v>174</v>
      </c>
      <c r="C178" s="5">
        <v>45831</v>
      </c>
      <c r="D178" s="2">
        <v>35</v>
      </c>
      <c r="E178" s="7"/>
    </row>
    <row r="179" spans="2:5">
      <c r="B179" s="6">
        <v>175</v>
      </c>
      <c r="C179" s="5">
        <v>45832</v>
      </c>
      <c r="D179" s="2">
        <v>37</v>
      </c>
      <c r="E179" s="7"/>
    </row>
    <row r="180" spans="2:5">
      <c r="B180" s="6">
        <v>176</v>
      </c>
      <c r="C180" s="5">
        <v>45833</v>
      </c>
      <c r="D180" s="2">
        <v>41</v>
      </c>
      <c r="E180" s="7"/>
    </row>
    <row r="181" spans="2:5">
      <c r="B181" s="6">
        <v>177</v>
      </c>
      <c r="C181" s="5">
        <v>45834</v>
      </c>
      <c r="D181" s="2">
        <v>44</v>
      </c>
      <c r="E181" s="7"/>
    </row>
    <row r="182" spans="2:5">
      <c r="B182" s="6">
        <v>178</v>
      </c>
      <c r="C182" s="5">
        <v>45835</v>
      </c>
      <c r="D182" s="2">
        <v>34</v>
      </c>
      <c r="E182" s="7"/>
    </row>
    <row r="183" spans="2:5">
      <c r="B183" s="6">
        <v>179</v>
      </c>
      <c r="C183" s="5">
        <v>45836</v>
      </c>
      <c r="D183" s="2">
        <v>48</v>
      </c>
      <c r="E183" s="7"/>
    </row>
    <row r="184" spans="2:5">
      <c r="B184" s="6">
        <v>180</v>
      </c>
      <c r="C184" s="5">
        <v>45837</v>
      </c>
      <c r="D184" s="2">
        <v>40</v>
      </c>
      <c r="E184" s="7"/>
    </row>
    <row r="185" spans="2:5">
      <c r="B185" s="6">
        <v>181</v>
      </c>
      <c r="C185" s="5">
        <v>45838</v>
      </c>
      <c r="D185" s="2">
        <v>50</v>
      </c>
      <c r="E185" s="7"/>
    </row>
    <row r="186" spans="2:5">
      <c r="B186" s="6">
        <v>182</v>
      </c>
      <c r="C186" s="5">
        <v>45839</v>
      </c>
      <c r="D186" s="2">
        <v>38</v>
      </c>
      <c r="E186" s="7"/>
    </row>
    <row r="187" spans="2:5">
      <c r="B187" s="6">
        <v>183</v>
      </c>
      <c r="C187" s="5">
        <v>45840</v>
      </c>
      <c r="D187" s="2">
        <v>34</v>
      </c>
      <c r="E187" s="7"/>
    </row>
    <row r="188" spans="2:5">
      <c r="B188" s="6">
        <v>184</v>
      </c>
      <c r="C188" s="5">
        <v>45841</v>
      </c>
      <c r="D188" s="2">
        <v>41</v>
      </c>
      <c r="E188" s="7"/>
    </row>
    <row r="189" spans="2:5">
      <c r="B189" s="6">
        <v>185</v>
      </c>
      <c r="C189" s="5">
        <v>45842</v>
      </c>
      <c r="D189" s="2">
        <v>35</v>
      </c>
      <c r="E189" s="7"/>
    </row>
    <row r="190" spans="2:5">
      <c r="B190" s="6">
        <v>186</v>
      </c>
      <c r="C190" s="5">
        <v>45843</v>
      </c>
      <c r="D190" s="2">
        <v>32</v>
      </c>
      <c r="E190" s="7"/>
    </row>
    <row r="191" spans="2:5">
      <c r="B191" s="6">
        <v>187</v>
      </c>
      <c r="C191" s="5">
        <v>45844</v>
      </c>
      <c r="D191" s="2">
        <v>36</v>
      </c>
      <c r="E191" s="7"/>
    </row>
    <row r="192" spans="2:5">
      <c r="B192" s="6">
        <v>188</v>
      </c>
      <c r="C192" s="5">
        <v>45845</v>
      </c>
      <c r="D192" s="2">
        <v>42</v>
      </c>
      <c r="E192" s="7"/>
    </row>
    <row r="193" spans="2:5">
      <c r="B193" s="6">
        <v>189</v>
      </c>
      <c r="C193" s="5">
        <v>45846</v>
      </c>
      <c r="D193" s="2">
        <v>48</v>
      </c>
      <c r="E193" s="7"/>
    </row>
    <row r="194" spans="2:5">
      <c r="B194" s="6">
        <v>190</v>
      </c>
      <c r="C194" s="5">
        <v>45847</v>
      </c>
      <c r="D194" s="2">
        <v>40</v>
      </c>
      <c r="E194" s="7"/>
    </row>
    <row r="195" spans="2:5">
      <c r="B195" s="6">
        <v>191</v>
      </c>
      <c r="C195" s="5">
        <v>45848</v>
      </c>
      <c r="D195" s="2">
        <v>31</v>
      </c>
      <c r="E195" s="7"/>
    </row>
    <row r="196" spans="2:5">
      <c r="B196" s="6">
        <v>192</v>
      </c>
      <c r="C196" s="5">
        <v>45849</v>
      </c>
      <c r="D196" s="2">
        <v>35</v>
      </c>
      <c r="E196" s="7"/>
    </row>
    <row r="197" spans="2:5">
      <c r="B197" s="6">
        <v>193</v>
      </c>
      <c r="C197" s="5">
        <v>45850</v>
      </c>
      <c r="D197" s="2">
        <v>32</v>
      </c>
      <c r="E197" s="7"/>
    </row>
    <row r="198" spans="2:5">
      <c r="B198" s="6">
        <v>194</v>
      </c>
      <c r="C198" s="5">
        <v>45851</v>
      </c>
      <c r="D198" s="2">
        <v>44</v>
      </c>
      <c r="E198" s="7"/>
    </row>
    <row r="199" spans="2:5">
      <c r="B199" s="6">
        <v>195</v>
      </c>
      <c r="C199" s="5">
        <v>45852</v>
      </c>
      <c r="D199" s="2">
        <v>28</v>
      </c>
      <c r="E199" s="7"/>
    </row>
    <row r="200" spans="2:5">
      <c r="B200" s="6">
        <v>196</v>
      </c>
      <c r="C200" s="5">
        <v>45853</v>
      </c>
      <c r="D200" s="2">
        <v>49</v>
      </c>
      <c r="E200" s="7"/>
    </row>
    <row r="201" spans="2:5">
      <c r="B201" s="6">
        <v>197</v>
      </c>
      <c r="C201" s="5">
        <v>45854</v>
      </c>
      <c r="D201" s="2">
        <v>47</v>
      </c>
      <c r="E201" s="7"/>
    </row>
    <row r="202" spans="2:5">
      <c r="B202" s="6">
        <v>198</v>
      </c>
      <c r="C202" s="5">
        <v>45855</v>
      </c>
      <c r="D202" s="2">
        <v>31</v>
      </c>
      <c r="E202" s="7"/>
    </row>
    <row r="203" spans="2:5">
      <c r="B203" s="6">
        <v>199</v>
      </c>
      <c r="C203" s="5">
        <v>45856</v>
      </c>
      <c r="D203" s="2">
        <v>27</v>
      </c>
      <c r="E203" s="7"/>
    </row>
    <row r="204" spans="2:5">
      <c r="B204" s="6">
        <v>200</v>
      </c>
      <c r="C204" s="5">
        <v>45857</v>
      </c>
      <c r="D204" s="2">
        <v>41</v>
      </c>
      <c r="E204" s="7"/>
    </row>
    <row r="205" spans="2:5">
      <c r="B205" s="6">
        <v>201</v>
      </c>
      <c r="C205" s="5">
        <v>45858</v>
      </c>
      <c r="D205" s="2">
        <v>54</v>
      </c>
      <c r="E205" s="7"/>
    </row>
    <row r="206" spans="2:5">
      <c r="B206" s="6">
        <v>202</v>
      </c>
      <c r="C206" s="5">
        <v>45859</v>
      </c>
      <c r="D206" s="2">
        <v>44</v>
      </c>
      <c r="E206" s="7"/>
    </row>
    <row r="207" spans="2:5">
      <c r="B207" s="6">
        <v>203</v>
      </c>
      <c r="C207" s="5">
        <v>45860</v>
      </c>
      <c r="D207" s="2">
        <v>32</v>
      </c>
      <c r="E207" s="7"/>
    </row>
    <row r="208" spans="2:5">
      <c r="B208" s="6">
        <v>204</v>
      </c>
      <c r="C208" s="5">
        <v>45861</v>
      </c>
      <c r="D208" s="2">
        <v>55</v>
      </c>
      <c r="E208" s="7"/>
    </row>
    <row r="209" spans="2:5">
      <c r="B209" s="6">
        <v>205</v>
      </c>
      <c r="C209" s="5">
        <v>45862</v>
      </c>
      <c r="D209" s="2">
        <v>44</v>
      </c>
      <c r="E209" s="7"/>
    </row>
    <row r="210" spans="2:5">
      <c r="B210" s="6">
        <v>206</v>
      </c>
      <c r="C210" s="5">
        <v>45863</v>
      </c>
      <c r="D210" s="2">
        <v>33</v>
      </c>
      <c r="E210" s="7"/>
    </row>
    <row r="211" spans="2:5">
      <c r="B211" s="6">
        <v>207</v>
      </c>
      <c r="C211" s="5">
        <v>45864</v>
      </c>
      <c r="D211" s="2">
        <v>24</v>
      </c>
      <c r="E211" s="7"/>
    </row>
    <row r="212" spans="2:5">
      <c r="B212" s="6">
        <v>208</v>
      </c>
      <c r="C212" s="5">
        <v>45865</v>
      </c>
      <c r="D212" s="2">
        <v>52</v>
      </c>
      <c r="E212" s="7"/>
    </row>
    <row r="213" spans="2:5">
      <c r="B213" s="6">
        <v>209</v>
      </c>
      <c r="C213" s="5">
        <v>45866</v>
      </c>
      <c r="D213" s="2">
        <v>31</v>
      </c>
      <c r="E213" s="7"/>
    </row>
    <row r="214" spans="2:5">
      <c r="B214" s="6">
        <v>210</v>
      </c>
      <c r="C214" s="5">
        <v>45867</v>
      </c>
      <c r="D214" s="2">
        <v>14</v>
      </c>
      <c r="E214" s="7"/>
    </row>
    <row r="215" spans="2:5">
      <c r="B215" s="6">
        <v>211</v>
      </c>
      <c r="C215" s="5">
        <v>45868</v>
      </c>
      <c r="D215" s="2">
        <v>44</v>
      </c>
      <c r="E215" s="7"/>
    </row>
    <row r="216" spans="2:5">
      <c r="B216" s="6">
        <v>212</v>
      </c>
      <c r="C216" s="5">
        <v>45869</v>
      </c>
      <c r="D216" s="2">
        <v>35</v>
      </c>
      <c r="E216" s="7"/>
    </row>
    <row r="217" spans="2:5">
      <c r="B217" s="6">
        <v>213</v>
      </c>
      <c r="C217" s="5">
        <v>45870</v>
      </c>
      <c r="D217" s="2">
        <v>30</v>
      </c>
      <c r="E217" s="7"/>
    </row>
    <row r="218" spans="2:5">
      <c r="B218" s="6">
        <v>214</v>
      </c>
      <c r="C218" s="5">
        <v>45871</v>
      </c>
      <c r="D218" s="2">
        <v>57</v>
      </c>
      <c r="E218" s="7"/>
    </row>
    <row r="219" spans="2:5">
      <c r="B219" s="6">
        <v>215</v>
      </c>
      <c r="C219" s="5">
        <v>45872</v>
      </c>
      <c r="D219" s="2">
        <v>26</v>
      </c>
      <c r="E219" s="7"/>
    </row>
    <row r="220" spans="2:5">
      <c r="B220" s="6">
        <v>216</v>
      </c>
      <c r="C220" s="5">
        <v>45873</v>
      </c>
      <c r="D220" s="2">
        <v>41</v>
      </c>
      <c r="E220" s="7"/>
    </row>
    <row r="221" spans="2:5">
      <c r="B221" s="6">
        <v>217</v>
      </c>
      <c r="C221" s="5">
        <v>45874</v>
      </c>
      <c r="D221" s="2">
        <v>34</v>
      </c>
      <c r="E221" s="7"/>
    </row>
    <row r="222" spans="2:5">
      <c r="B222" s="6">
        <v>218</v>
      </c>
      <c r="C222" s="5">
        <v>45875</v>
      </c>
      <c r="D222" s="2">
        <v>39</v>
      </c>
      <c r="E222" s="7"/>
    </row>
    <row r="223" spans="2:5">
      <c r="B223" s="6">
        <v>219</v>
      </c>
      <c r="C223" s="5">
        <v>45876</v>
      </c>
      <c r="D223" s="2">
        <v>45</v>
      </c>
      <c r="E223" s="7"/>
    </row>
    <row r="224" spans="2:5">
      <c r="B224" s="6">
        <v>220</v>
      </c>
      <c r="C224" s="5">
        <v>45877</v>
      </c>
      <c r="D224" s="2">
        <v>35</v>
      </c>
      <c r="E224" s="7"/>
    </row>
    <row r="225" spans="2:5">
      <c r="B225" s="6">
        <v>221</v>
      </c>
      <c r="C225" s="5">
        <v>45878</v>
      </c>
      <c r="D225" s="2">
        <v>31</v>
      </c>
      <c r="E225" s="7"/>
    </row>
    <row r="226" spans="2:5">
      <c r="B226" s="6">
        <v>222</v>
      </c>
      <c r="C226" s="5">
        <v>45879</v>
      </c>
      <c r="D226" s="2">
        <v>34</v>
      </c>
      <c r="E226" s="7"/>
    </row>
    <row r="227" spans="2:5">
      <c r="B227" s="6">
        <v>223</v>
      </c>
      <c r="C227" s="5">
        <v>45880</v>
      </c>
      <c r="D227" s="2">
        <v>22</v>
      </c>
      <c r="E227" s="7"/>
    </row>
    <row r="228" spans="2:5">
      <c r="B228" s="6">
        <v>224</v>
      </c>
      <c r="C228" s="5">
        <v>45881</v>
      </c>
      <c r="D228" s="2">
        <v>37</v>
      </c>
      <c r="E228" s="7"/>
    </row>
    <row r="229" spans="2:5">
      <c r="B229" s="6">
        <v>225</v>
      </c>
      <c r="C229" s="5">
        <v>45882</v>
      </c>
      <c r="D229" s="2">
        <v>34</v>
      </c>
      <c r="E229" s="7"/>
    </row>
    <row r="230" spans="2:5">
      <c r="B230" s="6">
        <v>226</v>
      </c>
      <c r="C230" s="5">
        <v>45883</v>
      </c>
      <c r="D230" s="2">
        <v>52</v>
      </c>
      <c r="E230" s="7"/>
    </row>
    <row r="231" spans="2:5">
      <c r="B231" s="6">
        <v>227</v>
      </c>
      <c r="C231" s="5">
        <v>45884</v>
      </c>
      <c r="D231" s="2">
        <v>39</v>
      </c>
      <c r="E231" s="7"/>
    </row>
    <row r="232" spans="2:5">
      <c r="B232" s="6">
        <v>228</v>
      </c>
      <c r="C232" s="5">
        <v>45885</v>
      </c>
      <c r="D232" s="2">
        <v>29</v>
      </c>
      <c r="E232" s="7"/>
    </row>
    <row r="233" spans="2:5">
      <c r="B233" s="6">
        <v>229</v>
      </c>
      <c r="C233" s="5">
        <v>45886</v>
      </c>
      <c r="D233" s="2">
        <v>32</v>
      </c>
      <c r="E233" s="7"/>
    </row>
    <row r="234" spans="2:5">
      <c r="B234" s="6">
        <v>230</v>
      </c>
      <c r="C234" s="5">
        <v>45887</v>
      </c>
      <c r="D234" s="2">
        <v>42</v>
      </c>
      <c r="E234" s="7"/>
    </row>
    <row r="235" spans="2:5">
      <c r="B235" s="6">
        <v>231</v>
      </c>
      <c r="C235" s="5">
        <v>45888</v>
      </c>
      <c r="D235" s="2">
        <v>40</v>
      </c>
      <c r="E235" s="7"/>
    </row>
    <row r="236" spans="2:5">
      <c r="B236" s="6">
        <v>232</v>
      </c>
      <c r="C236" s="5">
        <v>45889</v>
      </c>
      <c r="D236" s="2">
        <v>33</v>
      </c>
      <c r="E236" s="7"/>
    </row>
    <row r="237" spans="2:5">
      <c r="B237" s="6">
        <v>233</v>
      </c>
      <c r="C237" s="5">
        <v>45890</v>
      </c>
      <c r="D237" s="2">
        <v>41</v>
      </c>
      <c r="E237" s="7"/>
    </row>
    <row r="238" spans="2:5">
      <c r="B238" s="6">
        <v>234</v>
      </c>
      <c r="C238" s="5">
        <v>45891</v>
      </c>
      <c r="D238" s="2">
        <v>37</v>
      </c>
      <c r="E238" s="7"/>
    </row>
    <row r="239" spans="2:5">
      <c r="B239" s="6">
        <v>235</v>
      </c>
      <c r="C239" s="5">
        <v>45892</v>
      </c>
      <c r="D239" s="2">
        <v>34</v>
      </c>
      <c r="E239" s="7"/>
    </row>
    <row r="240" spans="2:5">
      <c r="B240" s="6">
        <v>236</v>
      </c>
      <c r="C240" s="5">
        <v>45893</v>
      </c>
      <c r="D240" s="2">
        <v>44</v>
      </c>
      <c r="E240" s="7"/>
    </row>
    <row r="241" spans="2:5">
      <c r="B241" s="6">
        <v>237</v>
      </c>
      <c r="C241" s="5">
        <v>45894</v>
      </c>
      <c r="D241" s="2">
        <v>32</v>
      </c>
      <c r="E241" s="7"/>
    </row>
    <row r="242" spans="2:5">
      <c r="B242" s="6">
        <v>238</v>
      </c>
      <c r="C242" s="5">
        <v>45895</v>
      </c>
      <c r="D242" s="2">
        <v>39</v>
      </c>
      <c r="E242" s="7"/>
    </row>
    <row r="243" spans="2:5">
      <c r="B243" s="6">
        <v>239</v>
      </c>
      <c r="C243" s="5">
        <v>45896</v>
      </c>
      <c r="D243" s="2">
        <v>37</v>
      </c>
      <c r="E243" s="7"/>
    </row>
    <row r="244" spans="2:5">
      <c r="B244" s="6">
        <v>240</v>
      </c>
      <c r="C244" s="5">
        <v>45897</v>
      </c>
      <c r="D244" s="2">
        <v>36</v>
      </c>
      <c r="E244" s="7"/>
    </row>
    <row r="245" spans="2:5">
      <c r="B245" s="6">
        <v>241</v>
      </c>
      <c r="C245" s="5">
        <v>45898</v>
      </c>
      <c r="D245" s="2">
        <v>39</v>
      </c>
      <c r="E245" s="7"/>
    </row>
    <row r="246" spans="2:5">
      <c r="B246" s="6">
        <v>242</v>
      </c>
      <c r="C246" s="5">
        <v>45899</v>
      </c>
      <c r="D246" s="2">
        <v>41</v>
      </c>
      <c r="E246" s="7"/>
    </row>
    <row r="247" spans="2:5">
      <c r="B247" s="6">
        <v>243</v>
      </c>
      <c r="C247" s="5">
        <v>45900</v>
      </c>
      <c r="D247" s="2">
        <v>38</v>
      </c>
      <c r="E247" s="7"/>
    </row>
    <row r="248" spans="2:5">
      <c r="B248" s="6">
        <v>244</v>
      </c>
      <c r="C248" s="5">
        <v>45901</v>
      </c>
      <c r="D248" s="2">
        <v>22</v>
      </c>
      <c r="E248" s="7"/>
    </row>
    <row r="249" spans="2:5">
      <c r="B249" s="6">
        <v>245</v>
      </c>
      <c r="C249" s="5">
        <v>45902</v>
      </c>
      <c r="D249" s="2">
        <v>39</v>
      </c>
      <c r="E249" s="7"/>
    </row>
    <row r="250" spans="2:5">
      <c r="B250" s="6">
        <v>246</v>
      </c>
      <c r="C250" s="5">
        <v>45903</v>
      </c>
      <c r="D250" s="2">
        <v>21</v>
      </c>
      <c r="E250" s="7"/>
    </row>
    <row r="251" spans="2:5">
      <c r="B251" s="6">
        <v>247</v>
      </c>
      <c r="C251" s="5">
        <v>45904</v>
      </c>
      <c r="D251" s="2">
        <v>35</v>
      </c>
      <c r="E251" s="7"/>
    </row>
    <row r="252" spans="2:5">
      <c r="B252" s="6">
        <v>248</v>
      </c>
      <c r="C252" s="5">
        <v>45905</v>
      </c>
      <c r="D252" s="2">
        <v>32</v>
      </c>
      <c r="E252" s="7"/>
    </row>
    <row r="253" spans="2:5">
      <c r="B253" s="6">
        <v>249</v>
      </c>
      <c r="C253" s="5">
        <v>45906</v>
      </c>
      <c r="D253" s="2">
        <v>37</v>
      </c>
      <c r="E253" s="7"/>
    </row>
    <row r="254" spans="2:5">
      <c r="B254" s="6">
        <v>250</v>
      </c>
      <c r="C254" s="5">
        <v>45907</v>
      </c>
      <c r="D254" s="2">
        <v>35</v>
      </c>
      <c r="E254" s="7"/>
    </row>
    <row r="255" spans="2:5">
      <c r="B255" s="6">
        <v>251</v>
      </c>
      <c r="C255" s="5">
        <v>45908</v>
      </c>
      <c r="D255" s="2">
        <v>34</v>
      </c>
      <c r="E255" s="7"/>
    </row>
    <row r="256" spans="2:5">
      <c r="B256" s="6">
        <v>252</v>
      </c>
      <c r="C256" s="5">
        <v>45909</v>
      </c>
      <c r="D256" s="2">
        <v>39</v>
      </c>
      <c r="E256" s="7"/>
    </row>
    <row r="257" spans="2:5">
      <c r="B257" s="6">
        <v>253</v>
      </c>
      <c r="C257" s="5">
        <v>45910</v>
      </c>
      <c r="D257" s="2">
        <v>10</v>
      </c>
      <c r="E257" s="7"/>
    </row>
    <row r="258" spans="2:5">
      <c r="B258" s="6">
        <v>254</v>
      </c>
      <c r="C258" s="5">
        <v>45911</v>
      </c>
      <c r="D258" s="2">
        <v>38</v>
      </c>
      <c r="E258" s="7"/>
    </row>
    <row r="259" spans="2:5">
      <c r="B259" s="6">
        <v>255</v>
      </c>
      <c r="C259" s="5">
        <v>45912</v>
      </c>
      <c r="D259" s="2">
        <v>24</v>
      </c>
      <c r="E259" s="7"/>
    </row>
    <row r="260" spans="2:5">
      <c r="B260" s="6">
        <v>256</v>
      </c>
      <c r="C260" s="5">
        <v>45913</v>
      </c>
      <c r="D260" s="2">
        <v>37</v>
      </c>
      <c r="E260" s="7"/>
    </row>
    <row r="261" spans="2:5">
      <c r="B261" s="6">
        <v>257</v>
      </c>
      <c r="C261" s="5">
        <v>45914</v>
      </c>
      <c r="D261" s="2">
        <v>34</v>
      </c>
      <c r="E261" s="7"/>
    </row>
    <row r="262" spans="2:5">
      <c r="B262" s="6">
        <v>258</v>
      </c>
      <c r="C262" s="5">
        <v>45915</v>
      </c>
      <c r="D262" s="2">
        <v>47</v>
      </c>
      <c r="E262" s="7"/>
    </row>
    <row r="263" spans="2:5">
      <c r="B263" s="6">
        <v>259</v>
      </c>
      <c r="C263" s="5">
        <v>45916</v>
      </c>
      <c r="D263" s="2">
        <v>18</v>
      </c>
      <c r="E263" s="7"/>
    </row>
    <row r="264" spans="2:5">
      <c r="B264" s="6">
        <v>260</v>
      </c>
      <c r="C264" s="5">
        <v>45917</v>
      </c>
      <c r="D264" s="2">
        <v>35</v>
      </c>
      <c r="E264" s="7"/>
    </row>
    <row r="265" spans="2:5">
      <c r="B265" s="6">
        <v>261</v>
      </c>
      <c r="C265" s="5">
        <v>45918</v>
      </c>
      <c r="D265" s="2">
        <v>30</v>
      </c>
      <c r="E265" s="7"/>
    </row>
    <row r="266" spans="2:5">
      <c r="B266" s="6">
        <v>262</v>
      </c>
      <c r="C266" s="5">
        <v>45919</v>
      </c>
      <c r="D266" s="2">
        <v>36</v>
      </c>
      <c r="E266" s="7"/>
    </row>
    <row r="267" spans="2:5">
      <c r="B267" s="6">
        <v>263</v>
      </c>
      <c r="C267" s="5">
        <v>45920</v>
      </c>
      <c r="D267" s="2">
        <v>30</v>
      </c>
      <c r="E267" s="7"/>
    </row>
    <row r="268" spans="2:5">
      <c r="B268" s="6">
        <v>264</v>
      </c>
      <c r="C268" s="5">
        <v>45921</v>
      </c>
      <c r="D268" s="2">
        <v>29</v>
      </c>
      <c r="E268" s="7"/>
    </row>
    <row r="269" spans="2:5">
      <c r="B269" s="6">
        <v>265</v>
      </c>
      <c r="C269" s="5">
        <v>45922</v>
      </c>
      <c r="D269" s="2">
        <v>33</v>
      </c>
      <c r="E269" s="7"/>
    </row>
    <row r="270" spans="2:5">
      <c r="B270" s="6">
        <v>266</v>
      </c>
      <c r="C270" s="5">
        <v>45923</v>
      </c>
      <c r="D270" s="2">
        <v>37</v>
      </c>
      <c r="E270" s="7"/>
    </row>
    <row r="271" spans="2:5">
      <c r="B271" s="6">
        <v>267</v>
      </c>
      <c r="C271" s="5">
        <v>45924</v>
      </c>
      <c r="D271" s="2">
        <v>39</v>
      </c>
      <c r="E271" s="7"/>
    </row>
    <row r="272" spans="2:5">
      <c r="B272" s="6">
        <v>268</v>
      </c>
      <c r="C272" s="5">
        <v>45925</v>
      </c>
      <c r="D272" s="2">
        <v>32</v>
      </c>
      <c r="E272" s="7"/>
    </row>
    <row r="273" spans="2:5">
      <c r="B273" s="6">
        <v>269</v>
      </c>
      <c r="C273" s="5">
        <v>45926</v>
      </c>
      <c r="D273" s="2">
        <v>34</v>
      </c>
      <c r="E273" s="7"/>
    </row>
    <row r="274" spans="2:5">
      <c r="B274" s="6">
        <v>270</v>
      </c>
      <c r="C274" s="5">
        <v>45927</v>
      </c>
      <c r="D274" s="2">
        <v>21</v>
      </c>
      <c r="E274" s="7"/>
    </row>
    <row r="275" spans="2:5">
      <c r="B275" s="6">
        <v>271</v>
      </c>
      <c r="C275" s="5">
        <v>45928</v>
      </c>
      <c r="D275" s="2">
        <v>32</v>
      </c>
      <c r="E275" s="7"/>
    </row>
    <row r="276" spans="2:5">
      <c r="B276" s="6">
        <v>272</v>
      </c>
      <c r="C276" s="5">
        <v>45929</v>
      </c>
      <c r="D276" s="2">
        <v>35</v>
      </c>
      <c r="E276" s="7"/>
    </row>
    <row r="277" spans="2:5">
      <c r="B277" s="6">
        <v>273</v>
      </c>
      <c r="C277" s="5">
        <v>45930</v>
      </c>
      <c r="D277" s="2">
        <v>42</v>
      </c>
      <c r="E277" s="7"/>
    </row>
    <row r="278" spans="2:5">
      <c r="B278" s="6">
        <v>274</v>
      </c>
      <c r="C278" s="5">
        <v>45931</v>
      </c>
      <c r="D278" s="2">
        <v>40</v>
      </c>
      <c r="E278" s="7"/>
    </row>
    <row r="279" spans="2:5">
      <c r="B279" s="6">
        <v>275</v>
      </c>
      <c r="C279" s="5">
        <v>45932</v>
      </c>
      <c r="D279" s="2">
        <v>34</v>
      </c>
      <c r="E279" s="7"/>
    </row>
    <row r="280" spans="2:5">
      <c r="B280" s="6">
        <v>276</v>
      </c>
      <c r="C280" s="5">
        <v>45933</v>
      </c>
      <c r="D280" s="2">
        <v>37</v>
      </c>
      <c r="E280" s="7"/>
    </row>
    <row r="281" spans="2:5">
      <c r="B281" s="6">
        <v>277</v>
      </c>
      <c r="C281" s="5">
        <v>45934</v>
      </c>
      <c r="D281" s="2">
        <v>27</v>
      </c>
      <c r="E281" s="7"/>
    </row>
    <row r="282" spans="2:5">
      <c r="B282" s="6">
        <v>278</v>
      </c>
      <c r="C282" s="5">
        <v>45935</v>
      </c>
      <c r="D282" s="2">
        <v>20</v>
      </c>
      <c r="E282" s="7"/>
    </row>
    <row r="283" spans="2:5">
      <c r="B283" s="6">
        <v>279</v>
      </c>
      <c r="C283" s="5">
        <v>45936</v>
      </c>
      <c r="D283" s="2">
        <v>26</v>
      </c>
      <c r="E283" s="7"/>
    </row>
    <row r="284" spans="2:5">
      <c r="B284" s="6">
        <v>280</v>
      </c>
      <c r="C284" s="5">
        <v>45937</v>
      </c>
      <c r="D284" s="2">
        <v>25</v>
      </c>
      <c r="E284" s="7"/>
    </row>
    <row r="285" spans="2:5">
      <c r="B285" s="6">
        <v>281</v>
      </c>
      <c r="C285" s="5">
        <v>45938</v>
      </c>
      <c r="D285" s="2">
        <v>41</v>
      </c>
      <c r="E285" s="7"/>
    </row>
    <row r="286" spans="2:5">
      <c r="B286" s="6">
        <v>282</v>
      </c>
      <c r="C286" s="5">
        <v>45939</v>
      </c>
      <c r="D286" s="2">
        <v>38</v>
      </c>
      <c r="E286" s="7"/>
    </row>
    <row r="287" spans="2:5">
      <c r="B287" s="6">
        <v>283</v>
      </c>
      <c r="C287" s="5">
        <v>45940</v>
      </c>
      <c r="D287" s="2">
        <v>48</v>
      </c>
      <c r="E287" s="7"/>
    </row>
    <row r="288" spans="2:5">
      <c r="B288" s="6">
        <v>284</v>
      </c>
      <c r="C288" s="5">
        <v>45941</v>
      </c>
      <c r="D288" s="2">
        <v>34</v>
      </c>
      <c r="E288" s="7"/>
    </row>
    <row r="289" spans="2:5">
      <c r="B289" s="6">
        <v>285</v>
      </c>
      <c r="C289" s="5">
        <v>45942</v>
      </c>
      <c r="D289" s="2">
        <v>24</v>
      </c>
      <c r="E289" s="7"/>
    </row>
    <row r="290" spans="2:5">
      <c r="B290" s="6">
        <v>286</v>
      </c>
      <c r="C290" s="5">
        <v>45943</v>
      </c>
      <c r="D290" s="2">
        <v>43</v>
      </c>
      <c r="E290" s="7"/>
    </row>
    <row r="291" spans="2:5">
      <c r="B291" s="6">
        <v>287</v>
      </c>
      <c r="C291" s="5">
        <v>45944</v>
      </c>
      <c r="D291" s="2">
        <v>35</v>
      </c>
      <c r="E291" s="7"/>
    </row>
    <row r="292" spans="2:5">
      <c r="B292" s="6">
        <v>288</v>
      </c>
      <c r="C292" s="5">
        <v>45945</v>
      </c>
      <c r="D292" s="2">
        <v>24</v>
      </c>
      <c r="E292" s="7"/>
    </row>
    <row r="293" spans="2:5">
      <c r="B293" s="6">
        <v>289</v>
      </c>
      <c r="C293" s="5">
        <v>45946</v>
      </c>
      <c r="D293" s="2">
        <v>34</v>
      </c>
      <c r="E293" s="7"/>
    </row>
    <row r="294" spans="2:5">
      <c r="B294" s="6">
        <v>290</v>
      </c>
      <c r="C294" s="5">
        <v>45947</v>
      </c>
      <c r="D294" s="2">
        <v>37</v>
      </c>
      <c r="E294" s="7"/>
    </row>
    <row r="295" spans="2:5">
      <c r="B295" s="6">
        <v>291</v>
      </c>
      <c r="C295" s="5">
        <v>45948</v>
      </c>
      <c r="D295" s="2">
        <v>24</v>
      </c>
      <c r="E295" s="7"/>
    </row>
    <row r="296" spans="2:5">
      <c r="B296" s="6">
        <v>292</v>
      </c>
      <c r="C296" s="5">
        <v>45949</v>
      </c>
      <c r="D296" s="2">
        <v>42</v>
      </c>
      <c r="E296" s="7"/>
    </row>
    <row r="297" spans="2:5">
      <c r="B297" s="6">
        <v>293</v>
      </c>
      <c r="C297" s="5">
        <v>45950</v>
      </c>
      <c r="D297" s="2">
        <v>49</v>
      </c>
      <c r="E297" s="7"/>
    </row>
    <row r="298" spans="2:5">
      <c r="B298" s="6">
        <v>294</v>
      </c>
      <c r="C298" s="5">
        <v>45951</v>
      </c>
      <c r="D298" s="2">
        <v>29</v>
      </c>
      <c r="E298" s="7"/>
    </row>
    <row r="299" spans="2:5">
      <c r="B299" s="6">
        <v>295</v>
      </c>
      <c r="C299" s="5">
        <v>45952</v>
      </c>
      <c r="D299" s="2">
        <v>33</v>
      </c>
      <c r="E299" s="7"/>
    </row>
    <row r="300" spans="2:5">
      <c r="B300" s="6">
        <v>296</v>
      </c>
      <c r="C300" s="5">
        <v>45953</v>
      </c>
      <c r="D300" s="2">
        <v>40</v>
      </c>
      <c r="E300" s="7"/>
    </row>
    <row r="301" spans="2:5">
      <c r="B301" s="6">
        <v>297</v>
      </c>
      <c r="C301" s="5">
        <v>45954</v>
      </c>
      <c r="D301" s="2">
        <v>33</v>
      </c>
      <c r="E301" s="7"/>
    </row>
    <row r="302" spans="2:5">
      <c r="B302" s="6">
        <v>298</v>
      </c>
      <c r="C302" s="5">
        <v>45955</v>
      </c>
      <c r="D302" s="2">
        <v>43</v>
      </c>
      <c r="E302" s="7"/>
    </row>
    <row r="303" spans="2:5">
      <c r="B303" s="6">
        <v>299</v>
      </c>
      <c r="C303" s="5">
        <v>45956</v>
      </c>
      <c r="D303" s="2">
        <v>41</v>
      </c>
      <c r="E303" s="7"/>
    </row>
    <row r="304" spans="2:5">
      <c r="B304" s="6">
        <v>300</v>
      </c>
      <c r="C304" s="5">
        <v>45957</v>
      </c>
      <c r="D304" s="2">
        <v>40</v>
      </c>
      <c r="E304" s="7"/>
    </row>
    <row r="305" spans="2:5">
      <c r="B305" s="6">
        <v>301</v>
      </c>
      <c r="C305" s="5">
        <v>45958</v>
      </c>
      <c r="D305" s="2">
        <v>29</v>
      </c>
      <c r="E305" s="7"/>
    </row>
    <row r="306" spans="2:5">
      <c r="B306" s="6">
        <v>302</v>
      </c>
      <c r="C306" s="5">
        <v>45959</v>
      </c>
      <c r="D306" s="2">
        <v>47</v>
      </c>
      <c r="E306" s="7"/>
    </row>
    <row r="307" spans="2:5">
      <c r="B307" s="6">
        <v>303</v>
      </c>
      <c r="C307" s="5">
        <v>45960</v>
      </c>
      <c r="D307" s="2">
        <v>41</v>
      </c>
      <c r="E307" s="7"/>
    </row>
    <row r="308" spans="2:5">
      <c r="B308" s="6">
        <v>304</v>
      </c>
      <c r="C308" s="5">
        <v>45961</v>
      </c>
      <c r="D308" s="2">
        <v>26</v>
      </c>
      <c r="E308" s="7"/>
    </row>
    <row r="309" spans="2:5">
      <c r="B309" s="6">
        <v>305</v>
      </c>
      <c r="C309" s="5">
        <v>45962</v>
      </c>
      <c r="D309" s="2">
        <v>14</v>
      </c>
      <c r="E309" s="7"/>
    </row>
    <row r="310" spans="2:5">
      <c r="B310" s="6">
        <v>306</v>
      </c>
      <c r="C310" s="5">
        <v>45963</v>
      </c>
      <c r="D310" s="2">
        <v>37</v>
      </c>
      <c r="E310" s="7"/>
    </row>
    <row r="311" spans="2:5">
      <c r="B311" s="6">
        <v>307</v>
      </c>
      <c r="C311" s="5">
        <v>45964</v>
      </c>
      <c r="D311" s="2">
        <v>47</v>
      </c>
      <c r="E311" s="7"/>
    </row>
    <row r="312" spans="2:5">
      <c r="B312" s="6">
        <v>308</v>
      </c>
      <c r="C312" s="5">
        <v>45965</v>
      </c>
      <c r="D312" s="2">
        <v>32</v>
      </c>
      <c r="E312" s="7"/>
    </row>
    <row r="313" spans="2:5">
      <c r="B313" s="6">
        <v>309</v>
      </c>
      <c r="C313" s="5">
        <v>45966</v>
      </c>
      <c r="D313" s="2">
        <v>34</v>
      </c>
      <c r="E313" s="7"/>
    </row>
    <row r="314" spans="2:5">
      <c r="B314" s="6">
        <v>310</v>
      </c>
      <c r="C314" s="5">
        <v>45967</v>
      </c>
      <c r="D314" s="2">
        <v>28</v>
      </c>
      <c r="E314" s="7"/>
    </row>
    <row r="315" spans="2:5">
      <c r="B315" s="6">
        <v>311</v>
      </c>
      <c r="C315" s="5">
        <v>45968</v>
      </c>
      <c r="D315" s="2">
        <v>29</v>
      </c>
      <c r="E315" s="7"/>
    </row>
    <row r="316" spans="2:5">
      <c r="B316" s="6">
        <v>312</v>
      </c>
      <c r="C316" s="5">
        <v>45969</v>
      </c>
      <c r="D316" s="2">
        <v>38</v>
      </c>
      <c r="E316" s="7"/>
    </row>
    <row r="317" spans="2:5">
      <c r="B317" s="6">
        <v>313</v>
      </c>
      <c r="C317" s="5">
        <v>45970</v>
      </c>
      <c r="D317" s="2">
        <v>30</v>
      </c>
      <c r="E317" s="7"/>
    </row>
    <row r="318" spans="2:5">
      <c r="B318" s="6">
        <v>314</v>
      </c>
      <c r="C318" s="5">
        <v>45971</v>
      </c>
      <c r="D318" s="2">
        <v>36</v>
      </c>
      <c r="E318" s="7"/>
    </row>
    <row r="319" spans="2:5">
      <c r="B319" s="6">
        <v>315</v>
      </c>
      <c r="C319" s="5">
        <v>45972</v>
      </c>
      <c r="D319" s="2">
        <v>36</v>
      </c>
      <c r="E319" s="7"/>
    </row>
    <row r="320" spans="2:5">
      <c r="B320" s="6">
        <v>316</v>
      </c>
      <c r="C320" s="5">
        <v>45973</v>
      </c>
      <c r="D320" s="2">
        <v>34</v>
      </c>
      <c r="E320" s="7"/>
    </row>
    <row r="321" spans="2:5">
      <c r="B321" s="6">
        <v>317</v>
      </c>
      <c r="C321" s="5">
        <v>45974</v>
      </c>
      <c r="D321" s="2">
        <v>42</v>
      </c>
      <c r="E321" s="7"/>
    </row>
    <row r="322" spans="2:5">
      <c r="B322" s="6">
        <v>318</v>
      </c>
      <c r="C322" s="5">
        <v>45975</v>
      </c>
      <c r="D322" s="2">
        <v>49</v>
      </c>
      <c r="E322" s="7"/>
    </row>
    <row r="323" spans="2:5">
      <c r="B323" s="6">
        <v>319</v>
      </c>
      <c r="C323" s="5">
        <v>45976</v>
      </c>
      <c r="D323" s="2">
        <v>40</v>
      </c>
      <c r="E323" s="7"/>
    </row>
    <row r="324" spans="2:5">
      <c r="B324" s="6">
        <v>320</v>
      </c>
      <c r="C324" s="5">
        <v>45977</v>
      </c>
      <c r="D324" s="2">
        <v>38</v>
      </c>
      <c r="E324" s="7"/>
    </row>
    <row r="325" spans="2:5">
      <c r="B325" s="6">
        <v>321</v>
      </c>
      <c r="C325" s="5">
        <v>45978</v>
      </c>
      <c r="D325" s="2">
        <v>39</v>
      </c>
      <c r="E325" s="7"/>
    </row>
    <row r="326" spans="2:5">
      <c r="B326" s="6">
        <v>322</v>
      </c>
      <c r="C326" s="5">
        <v>45979</v>
      </c>
      <c r="D326" s="2">
        <v>36</v>
      </c>
      <c r="E326" s="7"/>
    </row>
    <row r="327" spans="2:5">
      <c r="B327" s="6">
        <v>323</v>
      </c>
      <c r="C327" s="5">
        <v>45980</v>
      </c>
      <c r="D327" s="2">
        <v>32</v>
      </c>
      <c r="E327" s="7"/>
    </row>
    <row r="328" spans="2:5">
      <c r="B328" s="6">
        <v>324</v>
      </c>
      <c r="C328" s="5">
        <v>45981</v>
      </c>
      <c r="D328" s="2">
        <v>43</v>
      </c>
      <c r="E328" s="7"/>
    </row>
    <row r="329" spans="2:5">
      <c r="B329" s="6">
        <v>325</v>
      </c>
      <c r="C329" s="5">
        <v>45982</v>
      </c>
      <c r="D329" s="2">
        <v>34</v>
      </c>
      <c r="E329" s="7"/>
    </row>
    <row r="330" spans="2:5">
      <c r="B330" s="6">
        <v>326</v>
      </c>
      <c r="C330" s="5">
        <v>45983</v>
      </c>
      <c r="D330" s="2">
        <v>40</v>
      </c>
      <c r="E330" s="7"/>
    </row>
    <row r="331" spans="2:5">
      <c r="B331" s="6">
        <v>327</v>
      </c>
      <c r="C331" s="5">
        <v>45984</v>
      </c>
      <c r="D331" s="2">
        <v>38</v>
      </c>
      <c r="E331" s="7"/>
    </row>
    <row r="332" spans="2:5">
      <c r="B332" s="6">
        <v>328</v>
      </c>
      <c r="C332" s="5">
        <v>45985</v>
      </c>
      <c r="D332" s="2">
        <v>42</v>
      </c>
      <c r="E332" s="7"/>
    </row>
    <row r="333" spans="2:5">
      <c r="B333" s="6">
        <v>329</v>
      </c>
      <c r="C333" s="5">
        <v>45986</v>
      </c>
      <c r="D333" s="2">
        <v>42</v>
      </c>
      <c r="E333" s="7"/>
    </row>
    <row r="334" spans="2:5">
      <c r="B334" s="6">
        <v>330</v>
      </c>
      <c r="C334" s="5">
        <v>45987</v>
      </c>
      <c r="D334" s="2">
        <v>41</v>
      </c>
      <c r="E334" s="7"/>
    </row>
    <row r="335" spans="2:5">
      <c r="B335" s="6">
        <v>331</v>
      </c>
      <c r="C335" s="5">
        <v>45988</v>
      </c>
      <c r="D335" s="2">
        <v>21</v>
      </c>
      <c r="E335" s="7"/>
    </row>
    <row r="336" spans="2:5">
      <c r="B336" s="6">
        <v>332</v>
      </c>
      <c r="C336" s="5">
        <v>45989</v>
      </c>
      <c r="D336" s="2">
        <v>38</v>
      </c>
      <c r="E336" s="7"/>
    </row>
    <row r="337" spans="2:5">
      <c r="B337" s="6">
        <v>333</v>
      </c>
      <c r="C337" s="5">
        <v>45990</v>
      </c>
      <c r="D337" s="2">
        <v>42</v>
      </c>
      <c r="E337" s="7"/>
    </row>
    <row r="338" spans="2:5">
      <c r="B338" s="6">
        <v>334</v>
      </c>
      <c r="C338" s="5">
        <v>45991</v>
      </c>
      <c r="D338" s="2">
        <v>36</v>
      </c>
      <c r="E338" s="7"/>
    </row>
    <row r="339" spans="2:5">
      <c r="B339" s="6">
        <v>335</v>
      </c>
      <c r="C339" s="5">
        <v>45992</v>
      </c>
      <c r="D339" s="2">
        <v>39</v>
      </c>
      <c r="E339" s="7"/>
    </row>
    <row r="340" spans="2:5">
      <c r="B340" s="6">
        <v>336</v>
      </c>
      <c r="C340" s="5">
        <v>45993</v>
      </c>
      <c r="D340" s="2">
        <v>38</v>
      </c>
      <c r="E340" s="7"/>
    </row>
    <row r="341" spans="2:5">
      <c r="B341" s="6">
        <v>337</v>
      </c>
      <c r="C341" s="5">
        <v>45994</v>
      </c>
      <c r="D341" s="2">
        <v>33</v>
      </c>
      <c r="E341" s="7"/>
    </row>
    <row r="342" spans="2:5">
      <c r="B342" s="6">
        <v>338</v>
      </c>
      <c r="C342" s="5">
        <v>45995</v>
      </c>
      <c r="D342" s="2">
        <v>47</v>
      </c>
      <c r="E342" s="7"/>
    </row>
    <row r="343" spans="2:5">
      <c r="B343" s="6">
        <v>339</v>
      </c>
      <c r="C343" s="5">
        <v>45996</v>
      </c>
      <c r="D343" s="2">
        <v>52</v>
      </c>
      <c r="E343" s="7"/>
    </row>
    <row r="344" spans="2:5">
      <c r="B344" s="6">
        <v>340</v>
      </c>
      <c r="C344" s="5">
        <v>45997</v>
      </c>
      <c r="D344" s="2">
        <v>31</v>
      </c>
      <c r="E344" s="7"/>
    </row>
    <row r="345" spans="2:5">
      <c r="B345" s="6">
        <v>341</v>
      </c>
      <c r="C345" s="5">
        <v>45998</v>
      </c>
      <c r="D345" s="2">
        <v>29</v>
      </c>
      <c r="E345" s="7"/>
    </row>
    <row r="346" spans="2:5">
      <c r="B346" s="6">
        <v>342</v>
      </c>
      <c r="C346" s="5">
        <v>45999</v>
      </c>
      <c r="D346" s="2">
        <v>30</v>
      </c>
      <c r="E346" s="7"/>
    </row>
    <row r="347" spans="2:5">
      <c r="B347" s="6">
        <v>343</v>
      </c>
      <c r="C347" s="5">
        <v>46000</v>
      </c>
      <c r="D347" s="2">
        <v>40</v>
      </c>
      <c r="E347" s="7"/>
    </row>
    <row r="348" spans="2:5">
      <c r="B348" s="6">
        <v>344</v>
      </c>
      <c r="C348" s="5">
        <v>46001</v>
      </c>
      <c r="D348" s="2">
        <v>43</v>
      </c>
      <c r="E348" s="7"/>
    </row>
    <row r="349" spans="2:5">
      <c r="B349" s="6">
        <v>345</v>
      </c>
      <c r="C349" s="5">
        <v>46002</v>
      </c>
      <c r="D349" s="2">
        <v>38</v>
      </c>
      <c r="E349" s="7"/>
    </row>
    <row r="350" spans="2:5">
      <c r="B350" s="6">
        <v>346</v>
      </c>
      <c r="C350" s="5">
        <v>46003</v>
      </c>
      <c r="D350" s="2">
        <v>32</v>
      </c>
      <c r="E350" s="7"/>
    </row>
    <row r="351" spans="2:5">
      <c r="B351" s="6">
        <v>347</v>
      </c>
      <c r="C351" s="5">
        <v>46004</v>
      </c>
      <c r="D351" s="2">
        <v>39</v>
      </c>
      <c r="E351" s="7"/>
    </row>
    <row r="352" spans="2:5">
      <c r="B352" s="6">
        <v>348</v>
      </c>
      <c r="C352" s="5">
        <v>46005</v>
      </c>
      <c r="D352" s="2">
        <v>51</v>
      </c>
      <c r="E352" s="7"/>
    </row>
    <row r="353" spans="2:5">
      <c r="B353" s="6">
        <v>349</v>
      </c>
      <c r="C353" s="5">
        <v>46006</v>
      </c>
      <c r="D353" s="2">
        <v>35</v>
      </c>
      <c r="E353" s="7"/>
    </row>
    <row r="354" spans="2:5">
      <c r="B354" s="6">
        <v>350</v>
      </c>
      <c r="C354" s="5">
        <v>46007</v>
      </c>
      <c r="D354" s="2">
        <v>42</v>
      </c>
      <c r="E354" s="7"/>
    </row>
    <row r="355" spans="2:5">
      <c r="B355" s="6">
        <v>351</v>
      </c>
      <c r="C355" s="5">
        <v>46008</v>
      </c>
      <c r="D355" s="2">
        <v>43</v>
      </c>
      <c r="E355" s="7"/>
    </row>
    <row r="356" spans="2:5">
      <c r="B356" s="6">
        <v>352</v>
      </c>
      <c r="C356" s="5">
        <v>46009</v>
      </c>
      <c r="D356" s="2">
        <v>49</v>
      </c>
      <c r="E356" s="7"/>
    </row>
    <row r="357" spans="2:5">
      <c r="B357" s="6">
        <v>353</v>
      </c>
      <c r="C357" s="5">
        <v>46010</v>
      </c>
      <c r="D357" s="2">
        <v>26</v>
      </c>
      <c r="E357" s="7"/>
    </row>
    <row r="358" spans="2:5">
      <c r="B358" s="6">
        <v>354</v>
      </c>
      <c r="C358" s="5">
        <v>46011</v>
      </c>
      <c r="D358" s="2">
        <v>39</v>
      </c>
      <c r="E358" s="7"/>
    </row>
    <row r="359" spans="2:5">
      <c r="B359" s="6">
        <v>355</v>
      </c>
      <c r="C359" s="5">
        <v>46012</v>
      </c>
      <c r="D359" s="2">
        <v>31</v>
      </c>
      <c r="E359" s="7"/>
    </row>
    <row r="360" spans="2:5">
      <c r="B360" s="6">
        <v>356</v>
      </c>
      <c r="C360" s="5">
        <v>46013</v>
      </c>
      <c r="D360" s="2">
        <v>34</v>
      </c>
      <c r="E360" s="7"/>
    </row>
    <row r="361" spans="2:5">
      <c r="B361" s="6">
        <v>357</v>
      </c>
      <c r="C361" s="5">
        <v>46014</v>
      </c>
      <c r="D361" s="2">
        <v>33</v>
      </c>
      <c r="E361" s="7"/>
    </row>
    <row r="362" spans="2:5">
      <c r="B362" s="6">
        <v>358</v>
      </c>
      <c r="C362" s="5">
        <v>46015</v>
      </c>
      <c r="D362" s="2">
        <v>33</v>
      </c>
      <c r="E362" s="7"/>
    </row>
    <row r="363" spans="2:5">
      <c r="B363" s="6">
        <v>359</v>
      </c>
      <c r="C363" s="5">
        <v>46016</v>
      </c>
      <c r="D363" s="2">
        <v>39</v>
      </c>
      <c r="E363" s="7"/>
    </row>
    <row r="364" spans="2:5">
      <c r="B364" s="6">
        <v>360</v>
      </c>
      <c r="C364" s="5">
        <v>46017</v>
      </c>
      <c r="D364" s="2">
        <v>29</v>
      </c>
      <c r="E364" s="7"/>
    </row>
    <row r="365" spans="2:5">
      <c r="B365" s="6">
        <v>361</v>
      </c>
      <c r="C365" s="5">
        <v>46018</v>
      </c>
      <c r="D365" s="2">
        <v>42</v>
      </c>
      <c r="E365" s="7"/>
    </row>
    <row r="366" spans="2:5">
      <c r="B366" s="6">
        <v>362</v>
      </c>
      <c r="C366" s="5">
        <v>46019</v>
      </c>
      <c r="D366" s="2">
        <v>35</v>
      </c>
      <c r="E366" s="7"/>
    </row>
    <row r="367" spans="2:5">
      <c r="B367" s="6">
        <v>363</v>
      </c>
      <c r="C367" s="5">
        <v>46020</v>
      </c>
      <c r="D367" s="2">
        <v>39</v>
      </c>
      <c r="E367" s="7"/>
    </row>
    <row r="368" spans="2:5">
      <c r="B368" s="6">
        <v>364</v>
      </c>
      <c r="C368" s="5">
        <v>46021</v>
      </c>
      <c r="D368" s="2">
        <v>34</v>
      </c>
      <c r="E368" s="7"/>
    </row>
    <row r="369" spans="2:5">
      <c r="B369" s="6">
        <v>365</v>
      </c>
      <c r="C369" s="5">
        <v>46022</v>
      </c>
      <c r="D369" s="2">
        <v>29</v>
      </c>
      <c r="E369" s="7"/>
    </row>
    <row r="370" spans="2:5">
      <c r="B370" s="6">
        <v>366</v>
      </c>
      <c r="C370" s="5">
        <v>46023</v>
      </c>
      <c r="D370" s="2">
        <v>45</v>
      </c>
      <c r="E370" s="7"/>
    </row>
    <row r="371" spans="2:5">
      <c r="B371" s="6">
        <v>367</v>
      </c>
      <c r="C371" s="5">
        <v>46024</v>
      </c>
      <c r="D371" s="2">
        <v>35</v>
      </c>
      <c r="E371" s="7"/>
    </row>
    <row r="372" spans="2:5">
      <c r="B372" s="6">
        <v>368</v>
      </c>
      <c r="C372" s="5">
        <v>46025</v>
      </c>
      <c r="D372" s="2">
        <v>36</v>
      </c>
      <c r="E372" s="7"/>
    </row>
    <row r="373" spans="2:5">
      <c r="B373" s="6">
        <v>369</v>
      </c>
      <c r="C373" s="5">
        <v>46026</v>
      </c>
      <c r="D373" s="2">
        <v>56</v>
      </c>
      <c r="E373" s="7"/>
    </row>
    <row r="374" spans="2:5">
      <c r="B374" s="6">
        <v>370</v>
      </c>
      <c r="C374" s="5">
        <v>46027</v>
      </c>
      <c r="D374" s="2">
        <v>38</v>
      </c>
      <c r="E374" s="7"/>
    </row>
    <row r="375" spans="2:5">
      <c r="B375" s="6">
        <v>371</v>
      </c>
      <c r="C375" s="5">
        <v>46028</v>
      </c>
      <c r="D375" s="2">
        <v>44</v>
      </c>
      <c r="E375" s="7"/>
    </row>
    <row r="376" spans="2:5">
      <c r="B376" s="6">
        <v>372</v>
      </c>
      <c r="C376" s="5">
        <v>46029</v>
      </c>
      <c r="D376" s="2">
        <v>30</v>
      </c>
      <c r="E376" s="7"/>
    </row>
    <row r="377" spans="2:5">
      <c r="B377" s="6">
        <v>373</v>
      </c>
      <c r="C377" s="5">
        <v>46030</v>
      </c>
      <c r="D377" s="2">
        <v>49</v>
      </c>
      <c r="E377" s="7"/>
    </row>
    <row r="378" spans="2:5">
      <c r="B378" s="6">
        <v>374</v>
      </c>
      <c r="C378" s="5">
        <v>46031</v>
      </c>
      <c r="D378" s="2">
        <v>37</v>
      </c>
      <c r="E378" s="7"/>
    </row>
    <row r="379" spans="2:5">
      <c r="B379" s="6">
        <v>375</v>
      </c>
      <c r="C379" s="5">
        <v>46032</v>
      </c>
      <c r="D379" s="2">
        <v>33</v>
      </c>
      <c r="E379" s="7"/>
    </row>
    <row r="380" spans="2:5">
      <c r="B380" s="6">
        <v>376</v>
      </c>
      <c r="C380" s="5">
        <v>46033</v>
      </c>
      <c r="D380" s="2">
        <v>37</v>
      </c>
      <c r="E380" s="7"/>
    </row>
    <row r="381" spans="2:5">
      <c r="B381" s="6">
        <v>377</v>
      </c>
      <c r="C381" s="5">
        <v>46034</v>
      </c>
      <c r="D381" s="2">
        <v>29</v>
      </c>
      <c r="E381" s="7"/>
    </row>
    <row r="382" spans="2:5">
      <c r="B382" s="6">
        <v>378</v>
      </c>
      <c r="C382" s="5">
        <v>46035</v>
      </c>
      <c r="D382" s="2">
        <v>50</v>
      </c>
      <c r="E382" s="7"/>
    </row>
    <row r="383" spans="2:5">
      <c r="B383" s="6">
        <v>379</v>
      </c>
      <c r="C383" s="5">
        <v>46036</v>
      </c>
      <c r="D383" s="2">
        <v>48</v>
      </c>
      <c r="E383" s="7"/>
    </row>
    <row r="384" spans="2:5">
      <c r="B384" s="6">
        <v>380</v>
      </c>
      <c r="C384" s="5">
        <v>46037</v>
      </c>
      <c r="D384" s="2">
        <v>32</v>
      </c>
      <c r="E384" s="7"/>
    </row>
    <row r="385" spans="2:5">
      <c r="B385" s="6">
        <v>381</v>
      </c>
      <c r="C385" s="5">
        <v>46038</v>
      </c>
      <c r="D385" s="2">
        <v>40</v>
      </c>
      <c r="E385" s="7"/>
    </row>
    <row r="386" spans="2:5">
      <c r="B386" s="6">
        <v>382</v>
      </c>
      <c r="C386" s="5">
        <v>46039</v>
      </c>
      <c r="D386" s="2">
        <v>43</v>
      </c>
      <c r="E386" s="7"/>
    </row>
    <row r="387" spans="2:5">
      <c r="B387" s="6">
        <v>383</v>
      </c>
      <c r="C387" s="5">
        <v>46040</v>
      </c>
      <c r="D387" s="2">
        <v>28</v>
      </c>
      <c r="E387" s="7"/>
    </row>
    <row r="388" spans="2:5">
      <c r="B388" s="6">
        <v>384</v>
      </c>
      <c r="C388" s="5">
        <v>46041</v>
      </c>
      <c r="D388" s="2">
        <v>43</v>
      </c>
      <c r="E388" s="7"/>
    </row>
    <row r="389" spans="2:5">
      <c r="B389" s="6">
        <v>385</v>
      </c>
      <c r="C389" s="5">
        <v>46042</v>
      </c>
      <c r="D389" s="2">
        <v>34</v>
      </c>
      <c r="E389" s="7"/>
    </row>
    <row r="390" spans="2:5">
      <c r="B390" s="6">
        <v>386</v>
      </c>
      <c r="C390" s="5">
        <v>46043</v>
      </c>
      <c r="D390" s="2">
        <v>50</v>
      </c>
      <c r="E390" s="7"/>
    </row>
    <row r="391" spans="2:5">
      <c r="B391" s="6">
        <v>387</v>
      </c>
      <c r="C391" s="5">
        <v>46044</v>
      </c>
      <c r="D391" s="2">
        <v>27</v>
      </c>
      <c r="E391" s="7"/>
    </row>
    <row r="392" spans="2:5">
      <c r="B392" s="6">
        <v>388</v>
      </c>
      <c r="C392" s="5">
        <v>46045</v>
      </c>
      <c r="D392" s="2">
        <v>50</v>
      </c>
      <c r="E392" s="7"/>
    </row>
    <row r="393" spans="2:5">
      <c r="B393" s="6">
        <v>389</v>
      </c>
      <c r="C393" s="5">
        <v>46046</v>
      </c>
      <c r="D393" s="2">
        <v>57</v>
      </c>
      <c r="E393" s="7"/>
    </row>
    <row r="394" spans="2:5">
      <c r="B394" s="6">
        <v>390</v>
      </c>
      <c r="C394" s="5">
        <v>46047</v>
      </c>
      <c r="D394" s="2">
        <v>38</v>
      </c>
      <c r="E394" s="7"/>
    </row>
    <row r="395" spans="2:5">
      <c r="B395" s="6">
        <v>391</v>
      </c>
      <c r="C395" s="5">
        <v>46048</v>
      </c>
      <c r="D395" s="2">
        <v>31</v>
      </c>
      <c r="E395" s="7"/>
    </row>
    <row r="396" spans="2:5">
      <c r="B396" s="6">
        <v>392</v>
      </c>
      <c r="C396" s="5">
        <v>46049</v>
      </c>
      <c r="D396" s="2">
        <v>45</v>
      </c>
      <c r="E396" s="7"/>
    </row>
    <row r="397" spans="2:5">
      <c r="B397" s="6">
        <v>393</v>
      </c>
      <c r="C397" s="5">
        <v>46050</v>
      </c>
      <c r="D397" s="2">
        <v>44</v>
      </c>
      <c r="E397" s="7"/>
    </row>
    <row r="398" spans="2:5">
      <c r="B398" s="6">
        <v>394</v>
      </c>
      <c r="C398" s="5">
        <v>46051</v>
      </c>
      <c r="D398" s="2">
        <v>37</v>
      </c>
      <c r="E398" s="7"/>
    </row>
    <row r="399" spans="2:5">
      <c r="B399" s="6">
        <v>395</v>
      </c>
      <c r="C399" s="5">
        <v>46052</v>
      </c>
      <c r="D399" s="2">
        <v>33</v>
      </c>
      <c r="E399" s="7"/>
    </row>
    <row r="400" spans="2:5">
      <c r="B400" s="6">
        <v>396</v>
      </c>
      <c r="C400" s="5">
        <v>46053</v>
      </c>
      <c r="D400" s="2">
        <v>49</v>
      </c>
      <c r="E400" s="7"/>
    </row>
    <row r="401" spans="2:5">
      <c r="B401" s="6">
        <v>397</v>
      </c>
      <c r="C401" s="5">
        <v>46054</v>
      </c>
      <c r="D401" s="2">
        <v>42</v>
      </c>
      <c r="E401" s="7"/>
    </row>
    <row r="402" spans="2:5">
      <c r="B402" s="6">
        <v>398</v>
      </c>
      <c r="C402" s="5">
        <v>46055</v>
      </c>
      <c r="D402" s="2">
        <v>42</v>
      </c>
      <c r="E402" s="7"/>
    </row>
    <row r="403" spans="2:5">
      <c r="B403" s="6">
        <v>399</v>
      </c>
      <c r="C403" s="5">
        <v>46056</v>
      </c>
      <c r="D403" s="2">
        <v>49</v>
      </c>
      <c r="E403" s="7"/>
    </row>
    <row r="404" spans="2:5">
      <c r="B404" s="6">
        <v>400</v>
      </c>
      <c r="C404" s="5">
        <v>46057</v>
      </c>
      <c r="D404" s="2">
        <v>28</v>
      </c>
      <c r="E404" s="7"/>
    </row>
    <row r="405" spans="2:5">
      <c r="B405" s="6">
        <v>401</v>
      </c>
      <c r="C405" s="5">
        <v>46058</v>
      </c>
      <c r="D405" s="2">
        <v>38</v>
      </c>
      <c r="E405" s="7"/>
    </row>
    <row r="406" spans="2:5">
      <c r="B406" s="6">
        <v>402</v>
      </c>
      <c r="C406" s="5">
        <v>46059</v>
      </c>
      <c r="D406" s="2">
        <v>42</v>
      </c>
      <c r="E406" s="7"/>
    </row>
    <row r="407" spans="2:5">
      <c r="B407" s="6">
        <v>403</v>
      </c>
      <c r="C407" s="5">
        <v>46060</v>
      </c>
      <c r="D407" s="2">
        <v>41</v>
      </c>
      <c r="E407" s="7"/>
    </row>
    <row r="408" spans="2:5">
      <c r="B408" s="6">
        <v>404</v>
      </c>
      <c r="C408" s="5">
        <v>46061</v>
      </c>
      <c r="D408" s="2">
        <v>51</v>
      </c>
      <c r="E408" s="7"/>
    </row>
    <row r="409" spans="2:5">
      <c r="B409" s="6">
        <v>405</v>
      </c>
      <c r="C409" s="5">
        <v>46062</v>
      </c>
      <c r="D409" s="2">
        <v>40</v>
      </c>
      <c r="E409" s="7"/>
    </row>
    <row r="410" spans="2:5">
      <c r="B410" s="6">
        <v>406</v>
      </c>
      <c r="C410" s="5">
        <v>46063</v>
      </c>
      <c r="D410" s="2">
        <v>45</v>
      </c>
      <c r="E410" s="7"/>
    </row>
    <row r="411" spans="2:5">
      <c r="B411" s="6">
        <v>407</v>
      </c>
      <c r="C411" s="5">
        <v>46064</v>
      </c>
      <c r="D411" s="2">
        <v>42</v>
      </c>
      <c r="E411" s="7"/>
    </row>
    <row r="412" spans="2:5">
      <c r="B412" s="6">
        <v>408</v>
      </c>
      <c r="C412" s="5">
        <v>46065</v>
      </c>
      <c r="D412" s="2">
        <v>51</v>
      </c>
      <c r="E412" s="7"/>
    </row>
    <row r="413" spans="2:5">
      <c r="B413" s="6">
        <v>409</v>
      </c>
      <c r="C413" s="5">
        <v>46066</v>
      </c>
      <c r="D413" s="2">
        <v>47</v>
      </c>
      <c r="E413" s="7"/>
    </row>
    <row r="414" spans="2:5">
      <c r="B414" s="6">
        <v>410</v>
      </c>
      <c r="C414" s="5">
        <v>46067</v>
      </c>
      <c r="D414" s="2">
        <v>54</v>
      </c>
      <c r="E414" s="7"/>
    </row>
    <row r="415" spans="2:5">
      <c r="B415" s="6">
        <v>411</v>
      </c>
      <c r="C415" s="5">
        <v>46068</v>
      </c>
      <c r="D415" s="2">
        <v>25</v>
      </c>
      <c r="E415" s="7"/>
    </row>
    <row r="416" spans="2:5">
      <c r="B416" s="6">
        <v>412</v>
      </c>
      <c r="C416" s="5">
        <v>46069</v>
      </c>
      <c r="D416" s="2">
        <v>39</v>
      </c>
      <c r="E416" s="7"/>
    </row>
    <row r="417" spans="2:5">
      <c r="B417" s="6">
        <v>413</v>
      </c>
      <c r="C417" s="5">
        <v>46070</v>
      </c>
      <c r="D417" s="2">
        <v>41</v>
      </c>
      <c r="E417" s="7"/>
    </row>
    <row r="418" spans="2:5">
      <c r="B418" s="6">
        <v>414</v>
      </c>
      <c r="C418" s="5">
        <v>46071</v>
      </c>
      <c r="D418" s="2">
        <v>42</v>
      </c>
      <c r="E418" s="7"/>
    </row>
    <row r="419" spans="2:5">
      <c r="B419" s="6">
        <v>415</v>
      </c>
      <c r="C419" s="5">
        <v>46072</v>
      </c>
      <c r="D419" s="2">
        <v>41</v>
      </c>
      <c r="E419" s="7"/>
    </row>
    <row r="420" spans="2:5">
      <c r="B420" s="6">
        <v>416</v>
      </c>
      <c r="C420" s="5">
        <v>46073</v>
      </c>
      <c r="D420" s="2">
        <v>38</v>
      </c>
      <c r="E420" s="7"/>
    </row>
    <row r="421" spans="2:5">
      <c r="B421" s="6">
        <v>417</v>
      </c>
      <c r="C421" s="5">
        <v>46074</v>
      </c>
      <c r="D421" s="2">
        <v>44</v>
      </c>
      <c r="E421" s="7"/>
    </row>
    <row r="422" spans="2:5">
      <c r="B422" s="6">
        <v>418</v>
      </c>
      <c r="C422" s="5">
        <v>46075</v>
      </c>
      <c r="D422" s="2">
        <v>38</v>
      </c>
      <c r="E422" s="7"/>
    </row>
    <row r="423" spans="2:5">
      <c r="B423" s="6">
        <v>419</v>
      </c>
      <c r="C423" s="5">
        <v>46076</v>
      </c>
      <c r="D423" s="2">
        <v>37</v>
      </c>
      <c r="E423" s="7"/>
    </row>
    <row r="424" spans="2:5">
      <c r="B424" s="6">
        <v>420</v>
      </c>
      <c r="C424" s="5">
        <v>46077</v>
      </c>
      <c r="D424" s="2">
        <v>53</v>
      </c>
      <c r="E424" s="7"/>
    </row>
    <row r="425" spans="2:5">
      <c r="B425" s="6">
        <v>421</v>
      </c>
      <c r="C425" s="5">
        <v>46078</v>
      </c>
      <c r="D425" s="2">
        <v>46</v>
      </c>
      <c r="E425" s="7"/>
    </row>
    <row r="426" spans="2:5">
      <c r="B426" s="6">
        <v>422</v>
      </c>
      <c r="C426" s="5">
        <v>46079</v>
      </c>
      <c r="D426" s="2">
        <v>36</v>
      </c>
      <c r="E426" s="7"/>
    </row>
    <row r="427" spans="2:5">
      <c r="B427" s="6">
        <v>423</v>
      </c>
      <c r="C427" s="5">
        <v>46080</v>
      </c>
      <c r="D427" s="2">
        <v>40</v>
      </c>
      <c r="E427" s="7"/>
    </row>
    <row r="428" spans="2:5">
      <c r="B428" s="6">
        <v>424</v>
      </c>
      <c r="C428" s="5">
        <v>46081</v>
      </c>
      <c r="D428" s="2">
        <v>42</v>
      </c>
      <c r="E428" s="7"/>
    </row>
    <row r="429" spans="2:5">
      <c r="B429" s="6">
        <v>425</v>
      </c>
      <c r="C429" s="5">
        <v>46082</v>
      </c>
      <c r="D429" s="2">
        <v>39</v>
      </c>
      <c r="E429" s="7"/>
    </row>
    <row r="430" spans="2:5">
      <c r="B430" s="6">
        <v>426</v>
      </c>
      <c r="C430" s="5">
        <v>46083</v>
      </c>
      <c r="D430" s="2">
        <v>38</v>
      </c>
      <c r="E430" s="7"/>
    </row>
    <row r="431" spans="2:5">
      <c r="B431" s="6">
        <v>427</v>
      </c>
      <c r="C431" s="5">
        <v>46084</v>
      </c>
      <c r="D431" s="2">
        <v>38</v>
      </c>
      <c r="E431" s="7"/>
    </row>
    <row r="432" spans="2:5">
      <c r="B432" s="6">
        <v>428</v>
      </c>
      <c r="C432" s="5">
        <v>46085</v>
      </c>
      <c r="D432" s="2">
        <v>42</v>
      </c>
      <c r="E432" s="7"/>
    </row>
    <row r="433" spans="2:5">
      <c r="B433" s="6">
        <v>429</v>
      </c>
      <c r="C433" s="5">
        <v>46086</v>
      </c>
      <c r="D433" s="2">
        <v>42</v>
      </c>
      <c r="E433" s="7"/>
    </row>
    <row r="434" spans="2:5">
      <c r="B434" s="6">
        <v>430</v>
      </c>
      <c r="C434" s="5">
        <v>46087</v>
      </c>
      <c r="D434" s="2">
        <v>45</v>
      </c>
      <c r="E434" s="7"/>
    </row>
    <row r="435" spans="2:5">
      <c r="B435" s="6">
        <v>431</v>
      </c>
      <c r="C435" s="5">
        <v>46088</v>
      </c>
      <c r="D435" s="2">
        <v>34</v>
      </c>
      <c r="E435" s="7"/>
    </row>
    <row r="436" spans="2:5">
      <c r="B436" s="6">
        <v>432</v>
      </c>
      <c r="C436" s="5">
        <v>46089</v>
      </c>
      <c r="D436" s="2">
        <v>51</v>
      </c>
      <c r="E436" s="7"/>
    </row>
    <row r="437" spans="2:5">
      <c r="B437" s="6">
        <v>433</v>
      </c>
      <c r="C437" s="5">
        <v>46090</v>
      </c>
      <c r="D437" s="2">
        <v>34</v>
      </c>
      <c r="E437" s="7"/>
    </row>
    <row r="438" spans="2:5">
      <c r="B438" s="6">
        <v>434</v>
      </c>
      <c r="C438" s="5">
        <v>46091</v>
      </c>
      <c r="D438" s="2">
        <v>36</v>
      </c>
      <c r="E438" s="7"/>
    </row>
    <row r="439" spans="2:5">
      <c r="B439" s="6">
        <v>435</v>
      </c>
      <c r="C439" s="5">
        <v>46092</v>
      </c>
      <c r="D439" s="2">
        <v>54</v>
      </c>
      <c r="E439" s="7"/>
    </row>
    <row r="440" spans="2:5">
      <c r="B440" s="6">
        <v>436</v>
      </c>
      <c r="C440" s="5">
        <v>46093</v>
      </c>
      <c r="D440" s="2">
        <v>41</v>
      </c>
      <c r="E440" s="7"/>
    </row>
    <row r="441" spans="2:5">
      <c r="B441" s="6">
        <v>437</v>
      </c>
      <c r="C441" s="5">
        <v>46094</v>
      </c>
      <c r="D441" s="2">
        <v>42</v>
      </c>
      <c r="E441" s="7"/>
    </row>
    <row r="442" spans="2:5">
      <c r="B442" s="6">
        <v>438</v>
      </c>
      <c r="C442" s="5">
        <v>46095</v>
      </c>
      <c r="D442" s="2">
        <v>45</v>
      </c>
      <c r="E442" s="7"/>
    </row>
    <row r="443" spans="2:5">
      <c r="B443" s="6">
        <v>439</v>
      </c>
      <c r="C443" s="5">
        <v>46096</v>
      </c>
      <c r="D443" s="2">
        <v>51</v>
      </c>
      <c r="E443" s="7"/>
    </row>
    <row r="444" spans="2:5">
      <c r="B444" s="6">
        <v>440</v>
      </c>
      <c r="C444" s="5">
        <v>46097</v>
      </c>
      <c r="D444" s="2">
        <v>57</v>
      </c>
      <c r="E444" s="7"/>
    </row>
    <row r="445" spans="2:5">
      <c r="B445" s="6">
        <v>441</v>
      </c>
      <c r="C445" s="5">
        <v>46098</v>
      </c>
      <c r="D445" s="2">
        <v>52</v>
      </c>
      <c r="E445" s="7"/>
    </row>
    <row r="446" spans="2:5">
      <c r="B446" s="6">
        <v>442</v>
      </c>
      <c r="C446" s="5">
        <v>46099</v>
      </c>
      <c r="D446" s="2">
        <v>45</v>
      </c>
      <c r="E446" s="7"/>
    </row>
    <row r="447" spans="2:5">
      <c r="B447" s="6">
        <v>443</v>
      </c>
      <c r="C447" s="5">
        <v>46100</v>
      </c>
      <c r="D447" s="2">
        <v>41</v>
      </c>
      <c r="E447" s="7"/>
    </row>
    <row r="448" spans="2:5">
      <c r="B448" s="6">
        <v>444</v>
      </c>
      <c r="C448" s="5">
        <v>46101</v>
      </c>
      <c r="D448" s="2">
        <v>34</v>
      </c>
      <c r="E448" s="7"/>
    </row>
    <row r="449" spans="2:5">
      <c r="B449" s="6">
        <v>445</v>
      </c>
      <c r="C449" s="5">
        <v>46102</v>
      </c>
      <c r="D449" s="2">
        <v>46</v>
      </c>
      <c r="E449" s="7"/>
    </row>
    <row r="450" spans="2:5">
      <c r="B450" s="6">
        <v>446</v>
      </c>
      <c r="C450" s="5">
        <v>46103</v>
      </c>
      <c r="D450" s="2">
        <v>42</v>
      </c>
      <c r="E450" s="7"/>
    </row>
    <row r="451" spans="2:5">
      <c r="B451" s="6">
        <v>447</v>
      </c>
      <c r="C451" s="5">
        <v>46104</v>
      </c>
      <c r="D451" s="2">
        <v>56</v>
      </c>
      <c r="E451" s="7"/>
    </row>
    <row r="452" spans="2:5">
      <c r="B452" s="6">
        <v>448</v>
      </c>
      <c r="C452" s="5">
        <v>46105</v>
      </c>
      <c r="D452" s="2">
        <v>49</v>
      </c>
      <c r="E452" s="7"/>
    </row>
    <row r="453" spans="2:5">
      <c r="B453" s="6">
        <v>449</v>
      </c>
      <c r="C453" s="5">
        <v>46106</v>
      </c>
      <c r="D453" s="2">
        <v>43</v>
      </c>
      <c r="E453" s="7"/>
    </row>
    <row r="454" spans="2:5">
      <c r="B454" s="6">
        <v>450</v>
      </c>
      <c r="C454" s="5">
        <v>46107</v>
      </c>
      <c r="D454" s="2">
        <v>58</v>
      </c>
      <c r="E454" s="7"/>
    </row>
    <row r="455" spans="2:5">
      <c r="B455" s="6">
        <v>451</v>
      </c>
      <c r="C455" s="5">
        <v>46108</v>
      </c>
      <c r="D455" s="2">
        <v>46</v>
      </c>
      <c r="E455" s="7"/>
    </row>
    <row r="456" spans="2:5">
      <c r="B456" s="6">
        <v>452</v>
      </c>
      <c r="C456" s="5">
        <v>46109</v>
      </c>
      <c r="D456" s="2">
        <v>51</v>
      </c>
      <c r="E456" s="7"/>
    </row>
    <row r="457" spans="2:5">
      <c r="B457" s="6">
        <v>453</v>
      </c>
      <c r="C457" s="5">
        <v>46110</v>
      </c>
      <c r="D457" s="2">
        <v>44</v>
      </c>
      <c r="E457" s="7"/>
    </row>
    <row r="458" spans="2:5">
      <c r="B458" s="6">
        <v>454</v>
      </c>
      <c r="C458" s="5">
        <v>46111</v>
      </c>
      <c r="D458" s="2">
        <v>46</v>
      </c>
      <c r="E458" s="7"/>
    </row>
    <row r="459" spans="2:5">
      <c r="B459" s="6">
        <v>455</v>
      </c>
      <c r="C459" s="5">
        <v>46112</v>
      </c>
      <c r="D459" s="2">
        <v>45</v>
      </c>
      <c r="E459" s="7"/>
    </row>
    <row r="460" spans="2:5">
      <c r="B460" s="6">
        <v>456</v>
      </c>
      <c r="C460" s="5">
        <v>46113</v>
      </c>
      <c r="D460" s="2">
        <v>45</v>
      </c>
      <c r="E460" s="7"/>
    </row>
    <row r="461" spans="2:5">
      <c r="B461" s="6">
        <v>457</v>
      </c>
      <c r="C461" s="5">
        <v>46114</v>
      </c>
      <c r="D461" s="2">
        <v>53</v>
      </c>
      <c r="E461" s="7"/>
    </row>
    <row r="462" spans="2:5">
      <c r="B462" s="6">
        <v>458</v>
      </c>
      <c r="C462" s="5">
        <v>46115</v>
      </c>
      <c r="D462" s="2">
        <v>41</v>
      </c>
      <c r="E462" s="7"/>
    </row>
    <row r="463" spans="2:5">
      <c r="B463" s="6">
        <v>459</v>
      </c>
      <c r="C463" s="5">
        <v>46116</v>
      </c>
      <c r="D463" s="2">
        <v>25</v>
      </c>
      <c r="E463" s="7"/>
    </row>
    <row r="464" spans="2:5">
      <c r="B464" s="6">
        <v>460</v>
      </c>
      <c r="C464" s="5">
        <v>46117</v>
      </c>
      <c r="D464" s="2">
        <v>31</v>
      </c>
      <c r="E464" s="7"/>
    </row>
    <row r="465" spans="2:5">
      <c r="B465" s="6">
        <v>461</v>
      </c>
      <c r="C465" s="5">
        <v>46118</v>
      </c>
      <c r="D465" s="2">
        <v>37</v>
      </c>
      <c r="E465" s="7"/>
    </row>
    <row r="466" spans="2:5">
      <c r="B466" s="6">
        <v>462</v>
      </c>
      <c r="C466" s="5">
        <v>46119</v>
      </c>
      <c r="D466" s="2">
        <v>55</v>
      </c>
      <c r="E466" s="7"/>
    </row>
    <row r="467" spans="2:5">
      <c r="B467" s="6">
        <v>463</v>
      </c>
      <c r="C467" s="5">
        <v>46120</v>
      </c>
      <c r="D467" s="2">
        <v>47</v>
      </c>
      <c r="E467" s="7"/>
    </row>
    <row r="468" spans="2:5">
      <c r="B468" s="6">
        <v>464</v>
      </c>
      <c r="C468" s="5">
        <v>46121</v>
      </c>
      <c r="D468" s="2">
        <v>38</v>
      </c>
      <c r="E468" s="7"/>
    </row>
    <row r="469" spans="2:5">
      <c r="B469" s="6">
        <v>465</v>
      </c>
      <c r="C469" s="5">
        <v>46122</v>
      </c>
      <c r="D469" s="2">
        <v>46</v>
      </c>
      <c r="E469" s="7"/>
    </row>
    <row r="470" spans="2:5">
      <c r="B470" s="6">
        <v>466</v>
      </c>
      <c r="C470" s="5">
        <v>46123</v>
      </c>
      <c r="D470" s="2">
        <v>29</v>
      </c>
      <c r="E470" s="7"/>
    </row>
    <row r="471" spans="2:5">
      <c r="B471" s="6">
        <v>467</v>
      </c>
      <c r="C471" s="5">
        <v>46124</v>
      </c>
      <c r="D471" s="2">
        <v>50</v>
      </c>
      <c r="E471" s="7"/>
    </row>
    <row r="472" spans="2:5">
      <c r="B472" s="6">
        <v>468</v>
      </c>
      <c r="C472" s="5">
        <v>46125</v>
      </c>
      <c r="D472" s="2">
        <v>43</v>
      </c>
      <c r="E472" s="7"/>
    </row>
    <row r="473" spans="2:5">
      <c r="B473" s="6">
        <v>469</v>
      </c>
      <c r="C473" s="5">
        <v>46126</v>
      </c>
      <c r="D473" s="2">
        <v>49</v>
      </c>
      <c r="E473" s="7"/>
    </row>
    <row r="474" spans="2:5">
      <c r="B474" s="6">
        <v>470</v>
      </c>
      <c r="C474" s="5">
        <v>46127</v>
      </c>
      <c r="D474" s="2">
        <v>51</v>
      </c>
      <c r="E474" s="7"/>
    </row>
    <row r="475" spans="2:5">
      <c r="B475" s="6">
        <v>471</v>
      </c>
      <c r="C475" s="5">
        <v>46128</v>
      </c>
      <c r="D475" s="2">
        <v>51</v>
      </c>
      <c r="E475" s="7"/>
    </row>
    <row r="476" spans="2:5">
      <c r="B476" s="6">
        <v>472</v>
      </c>
      <c r="C476" s="5">
        <v>46129</v>
      </c>
      <c r="D476" s="2">
        <v>42</v>
      </c>
      <c r="E476" s="7"/>
    </row>
    <row r="477" spans="2:5">
      <c r="B477" s="6">
        <v>473</v>
      </c>
      <c r="C477" s="5">
        <v>46130</v>
      </c>
      <c r="D477" s="2">
        <v>37</v>
      </c>
      <c r="E477" s="7"/>
    </row>
    <row r="478" spans="2:5">
      <c r="B478" s="6">
        <v>474</v>
      </c>
      <c r="C478" s="5">
        <v>46131</v>
      </c>
      <c r="D478" s="2">
        <v>46</v>
      </c>
      <c r="E478" s="7"/>
    </row>
    <row r="479" spans="2:5">
      <c r="B479" s="6">
        <v>475</v>
      </c>
      <c r="C479" s="5">
        <v>46132</v>
      </c>
      <c r="D479" s="2">
        <v>41</v>
      </c>
      <c r="E479" s="7"/>
    </row>
    <row r="480" spans="2:5">
      <c r="B480" s="6">
        <v>476</v>
      </c>
      <c r="C480" s="5">
        <v>46133</v>
      </c>
      <c r="D480" s="2">
        <v>36</v>
      </c>
      <c r="E480" s="7"/>
    </row>
    <row r="481" spans="2:5">
      <c r="B481" s="6">
        <v>477</v>
      </c>
      <c r="C481" s="5">
        <v>46134</v>
      </c>
      <c r="D481" s="2">
        <v>47</v>
      </c>
      <c r="E481" s="7"/>
    </row>
    <row r="482" spans="2:5">
      <c r="B482" s="6">
        <v>478</v>
      </c>
      <c r="C482" s="5">
        <v>46135</v>
      </c>
      <c r="D482" s="2">
        <v>40</v>
      </c>
      <c r="E482" s="7"/>
    </row>
    <row r="483" spans="2:5">
      <c r="B483" s="6">
        <v>479</v>
      </c>
      <c r="C483" s="5">
        <v>46136</v>
      </c>
      <c r="D483" s="2">
        <v>56</v>
      </c>
      <c r="E483" s="7"/>
    </row>
    <row r="484" spans="2:5">
      <c r="B484" s="6">
        <v>480</v>
      </c>
      <c r="C484" s="5">
        <v>46137</v>
      </c>
      <c r="D484" s="2">
        <v>42</v>
      </c>
      <c r="E484" s="7"/>
    </row>
    <row r="485" spans="2:5">
      <c r="B485" s="6">
        <v>481</v>
      </c>
      <c r="C485" s="5">
        <v>46138</v>
      </c>
      <c r="D485" s="2">
        <v>38</v>
      </c>
      <c r="E485" s="7"/>
    </row>
    <row r="486" spans="2:5">
      <c r="B486" s="6">
        <v>482</v>
      </c>
      <c r="C486" s="5">
        <v>46139</v>
      </c>
      <c r="D486" s="2">
        <v>57</v>
      </c>
      <c r="E486" s="7"/>
    </row>
    <row r="487" spans="2:5">
      <c r="B487" s="6">
        <v>483</v>
      </c>
      <c r="C487" s="5">
        <v>46140</v>
      </c>
      <c r="D487" s="2">
        <v>51</v>
      </c>
      <c r="E487" s="7"/>
    </row>
    <row r="488" spans="2:5">
      <c r="B488" s="6">
        <v>484</v>
      </c>
      <c r="C488" s="5">
        <v>46141</v>
      </c>
      <c r="D488" s="2">
        <v>56</v>
      </c>
      <c r="E488" s="7"/>
    </row>
    <row r="489" spans="2:5">
      <c r="B489" s="6">
        <v>485</v>
      </c>
      <c r="C489" s="5">
        <v>46142</v>
      </c>
      <c r="D489" s="2">
        <v>51</v>
      </c>
      <c r="E489" s="7"/>
    </row>
    <row r="490" spans="2:5">
      <c r="B490" s="6">
        <v>486</v>
      </c>
      <c r="C490" s="5">
        <v>46143</v>
      </c>
      <c r="D490" s="2">
        <v>51</v>
      </c>
      <c r="E490" s="7"/>
    </row>
    <row r="491" spans="2:5">
      <c r="B491" s="6">
        <v>487</v>
      </c>
      <c r="C491" s="5">
        <v>46144</v>
      </c>
      <c r="D491" s="2">
        <v>42</v>
      </c>
      <c r="E491" s="7"/>
    </row>
    <row r="492" spans="2:5">
      <c r="B492" s="6">
        <v>488</v>
      </c>
      <c r="C492" s="5">
        <v>46145</v>
      </c>
      <c r="D492" s="2">
        <v>48</v>
      </c>
      <c r="E492" s="7"/>
    </row>
    <row r="493" spans="2:5">
      <c r="B493" s="6">
        <v>489</v>
      </c>
      <c r="C493" s="5">
        <v>46146</v>
      </c>
      <c r="D493" s="2">
        <v>37</v>
      </c>
      <c r="E493" s="7"/>
    </row>
    <row r="494" spans="2:5">
      <c r="B494" s="6">
        <v>490</v>
      </c>
      <c r="C494" s="5">
        <v>46147</v>
      </c>
      <c r="D494" s="2">
        <v>44</v>
      </c>
      <c r="E494" s="7"/>
    </row>
    <row r="495" spans="2:5">
      <c r="B495" s="6">
        <v>491</v>
      </c>
      <c r="C495" s="5">
        <v>46148</v>
      </c>
      <c r="D495" s="2">
        <v>45</v>
      </c>
      <c r="E495" s="7"/>
    </row>
    <row r="496" spans="2:5">
      <c r="B496" s="6">
        <v>492</v>
      </c>
      <c r="C496" s="5">
        <v>46149</v>
      </c>
      <c r="D496" s="2">
        <v>42</v>
      </c>
      <c r="E496" s="7"/>
    </row>
    <row r="497" spans="2:5">
      <c r="B497" s="6">
        <v>493</v>
      </c>
      <c r="C497" s="5">
        <v>46150</v>
      </c>
      <c r="D497" s="2">
        <v>37</v>
      </c>
      <c r="E497" s="7"/>
    </row>
    <row r="498" spans="2:5">
      <c r="B498" s="6">
        <v>494</v>
      </c>
      <c r="C498" s="5">
        <v>46151</v>
      </c>
      <c r="D498" s="2">
        <v>43</v>
      </c>
      <c r="E498" s="7"/>
    </row>
    <row r="499" spans="2:5">
      <c r="B499" s="6">
        <v>495</v>
      </c>
      <c r="C499" s="5">
        <v>46152</v>
      </c>
      <c r="D499" s="2">
        <v>40</v>
      </c>
      <c r="E499" s="7"/>
    </row>
    <row r="500" spans="2:5">
      <c r="B500" s="6">
        <v>496</v>
      </c>
      <c r="C500" s="5">
        <v>46153</v>
      </c>
      <c r="D500" s="2">
        <v>38</v>
      </c>
      <c r="E500" s="7"/>
    </row>
    <row r="501" spans="2:5">
      <c r="B501" s="6">
        <v>497</v>
      </c>
      <c r="C501" s="5">
        <v>46154</v>
      </c>
      <c r="D501" s="2">
        <v>54</v>
      </c>
      <c r="E501" s="7"/>
    </row>
    <row r="502" spans="2:5">
      <c r="B502" s="6">
        <v>498</v>
      </c>
      <c r="C502" s="5">
        <v>46155</v>
      </c>
      <c r="D502" s="2">
        <v>33</v>
      </c>
      <c r="E502" s="7"/>
    </row>
    <row r="503" spans="2:5">
      <c r="B503" s="6">
        <v>499</v>
      </c>
      <c r="C503" s="5">
        <v>46156</v>
      </c>
      <c r="D503" s="2">
        <v>40</v>
      </c>
      <c r="E503" s="7"/>
    </row>
    <row r="504" spans="2:5">
      <c r="B504" s="6">
        <v>500</v>
      </c>
      <c r="C504" s="5">
        <v>46157</v>
      </c>
      <c r="D504" s="2">
        <v>54</v>
      </c>
      <c r="E504" s="7"/>
    </row>
    <row r="505" spans="2:5">
      <c r="B505" s="6">
        <v>501</v>
      </c>
      <c r="C505" s="5">
        <v>46158</v>
      </c>
      <c r="D505" s="2">
        <v>42</v>
      </c>
      <c r="E505" s="7"/>
    </row>
    <row r="506" spans="2:5">
      <c r="B506" s="6">
        <v>502</v>
      </c>
      <c r="C506" s="5">
        <v>46159</v>
      </c>
      <c r="D506" s="2">
        <v>46</v>
      </c>
      <c r="E506" s="7"/>
    </row>
    <row r="507" spans="2:5">
      <c r="B507" s="6">
        <v>503</v>
      </c>
      <c r="C507" s="5">
        <v>46160</v>
      </c>
      <c r="D507" s="2">
        <v>36</v>
      </c>
      <c r="E507" s="7"/>
    </row>
    <row r="508" spans="2:5">
      <c r="B508" s="6">
        <v>504</v>
      </c>
      <c r="C508" s="5">
        <v>46161</v>
      </c>
      <c r="D508" s="2">
        <v>40</v>
      </c>
      <c r="E508" s="7"/>
    </row>
    <row r="509" spans="2:5">
      <c r="B509" s="6">
        <v>505</v>
      </c>
      <c r="C509" s="5">
        <v>46162</v>
      </c>
      <c r="D509" s="2">
        <v>46</v>
      </c>
      <c r="E509" s="7"/>
    </row>
    <row r="510" spans="2:5">
      <c r="B510" s="6">
        <v>506</v>
      </c>
      <c r="C510" s="5">
        <v>46163</v>
      </c>
      <c r="D510" s="2">
        <v>47</v>
      </c>
      <c r="E510" s="7"/>
    </row>
    <row r="511" spans="2:5">
      <c r="B511" s="6">
        <v>507</v>
      </c>
      <c r="C511" s="5">
        <v>46164</v>
      </c>
      <c r="D511" s="2">
        <v>46</v>
      </c>
      <c r="E511" s="7"/>
    </row>
    <row r="512" spans="2:5">
      <c r="B512" s="6">
        <v>508</v>
      </c>
      <c r="C512" s="5">
        <v>46165</v>
      </c>
      <c r="D512" s="2">
        <v>51</v>
      </c>
      <c r="E512" s="7"/>
    </row>
    <row r="513" spans="2:5">
      <c r="B513" s="6">
        <v>509</v>
      </c>
      <c r="C513" s="5">
        <v>46166</v>
      </c>
      <c r="D513" s="2">
        <v>50</v>
      </c>
      <c r="E513" s="7"/>
    </row>
    <row r="514" spans="2:5">
      <c r="B514" s="6">
        <v>510</v>
      </c>
      <c r="C514" s="5">
        <v>46167</v>
      </c>
      <c r="D514" s="2">
        <v>45</v>
      </c>
      <c r="E514" s="7"/>
    </row>
    <row r="515" spans="2:5">
      <c r="B515" s="6">
        <v>511</v>
      </c>
      <c r="C515" s="5">
        <v>46168</v>
      </c>
      <c r="D515" s="2">
        <v>45</v>
      </c>
      <c r="E515" s="7"/>
    </row>
    <row r="516" spans="2:5">
      <c r="B516" s="6">
        <v>512</v>
      </c>
      <c r="C516" s="5">
        <v>46169</v>
      </c>
      <c r="D516" s="2">
        <v>38</v>
      </c>
      <c r="E516" s="7"/>
    </row>
    <row r="517" spans="2:5">
      <c r="B517" s="6">
        <v>513</v>
      </c>
      <c r="C517" s="5">
        <v>46170</v>
      </c>
      <c r="D517" s="2">
        <v>30</v>
      </c>
      <c r="E517" s="7"/>
    </row>
    <row r="518" spans="2:5">
      <c r="B518" s="6">
        <v>514</v>
      </c>
      <c r="C518" s="5">
        <v>46171</v>
      </c>
      <c r="D518" s="2">
        <v>41</v>
      </c>
      <c r="E518" s="7"/>
    </row>
    <row r="519" spans="2:5">
      <c r="B519" s="6">
        <v>515</v>
      </c>
      <c r="C519" s="5">
        <v>46172</v>
      </c>
      <c r="D519" s="2">
        <v>37</v>
      </c>
      <c r="E519" s="7"/>
    </row>
    <row r="520" spans="2:5">
      <c r="B520" s="6">
        <v>516</v>
      </c>
      <c r="C520" s="5">
        <v>46173</v>
      </c>
      <c r="D520" s="2">
        <v>34</v>
      </c>
      <c r="E520" s="7"/>
    </row>
    <row r="521" spans="2:5">
      <c r="B521" s="6">
        <v>517</v>
      </c>
      <c r="C521" s="5">
        <v>46174</v>
      </c>
      <c r="D521" s="2">
        <v>39</v>
      </c>
      <c r="E521" s="7"/>
    </row>
    <row r="522" spans="2:5">
      <c r="B522" s="6">
        <v>518</v>
      </c>
      <c r="C522" s="5">
        <v>46175</v>
      </c>
      <c r="D522" s="2">
        <v>32</v>
      </c>
      <c r="E522" s="7"/>
    </row>
    <row r="523" spans="2:5">
      <c r="B523" s="6">
        <v>519</v>
      </c>
      <c r="C523" s="5">
        <v>46176</v>
      </c>
      <c r="D523" s="2">
        <v>37</v>
      </c>
      <c r="E523" s="7"/>
    </row>
    <row r="524" spans="2:5">
      <c r="B524" s="6">
        <v>520</v>
      </c>
      <c r="C524" s="5">
        <v>46177</v>
      </c>
      <c r="D524" s="2">
        <v>40</v>
      </c>
      <c r="E524" s="7"/>
    </row>
    <row r="525" spans="2:5">
      <c r="B525" s="6">
        <v>521</v>
      </c>
      <c r="C525" s="5">
        <v>46178</v>
      </c>
      <c r="D525" s="2">
        <v>49</v>
      </c>
      <c r="E525" s="7"/>
    </row>
    <row r="526" spans="2:5">
      <c r="B526" s="6">
        <v>522</v>
      </c>
      <c r="C526" s="5">
        <v>46179</v>
      </c>
      <c r="D526" s="2">
        <v>32</v>
      </c>
      <c r="E526" s="7"/>
    </row>
    <row r="527" spans="2:5">
      <c r="B527" s="6">
        <v>523</v>
      </c>
      <c r="C527" s="5">
        <v>46180</v>
      </c>
      <c r="D527" s="2">
        <v>32</v>
      </c>
      <c r="E527" s="7"/>
    </row>
    <row r="528" spans="2:5">
      <c r="B528" s="6">
        <v>524</v>
      </c>
      <c r="C528" s="5">
        <v>46181</v>
      </c>
      <c r="D528" s="2">
        <v>51</v>
      </c>
      <c r="E528" s="7"/>
    </row>
    <row r="529" spans="2:5">
      <c r="B529" s="6">
        <v>525</v>
      </c>
      <c r="C529" s="5">
        <v>46182</v>
      </c>
      <c r="D529" s="2">
        <v>42</v>
      </c>
      <c r="E529" s="7"/>
    </row>
    <row r="530" spans="2:5">
      <c r="B530" s="6">
        <v>526</v>
      </c>
      <c r="C530" s="5">
        <v>46183</v>
      </c>
      <c r="D530" s="2">
        <v>50</v>
      </c>
      <c r="E530" s="7"/>
    </row>
    <row r="531" spans="2:5">
      <c r="B531" s="6">
        <v>527</v>
      </c>
      <c r="C531" s="5">
        <v>46184</v>
      </c>
      <c r="D531" s="2">
        <v>44</v>
      </c>
      <c r="E531" s="7"/>
    </row>
    <row r="532" spans="2:5">
      <c r="B532" s="6">
        <v>528</v>
      </c>
      <c r="C532" s="5">
        <v>46185</v>
      </c>
      <c r="D532" s="2">
        <v>42</v>
      </c>
      <c r="E532" s="7"/>
    </row>
    <row r="533" spans="2:5">
      <c r="B533" s="6">
        <v>529</v>
      </c>
      <c r="C533" s="5">
        <v>46186</v>
      </c>
      <c r="D533" s="2">
        <v>30</v>
      </c>
      <c r="E533" s="7"/>
    </row>
    <row r="534" spans="2:5">
      <c r="B534" s="6">
        <v>530</v>
      </c>
      <c r="C534" s="5">
        <v>46187</v>
      </c>
      <c r="D534" s="2">
        <v>40</v>
      </c>
      <c r="E534" s="7"/>
    </row>
    <row r="535" spans="2:5">
      <c r="B535" s="6">
        <v>531</v>
      </c>
      <c r="C535" s="5">
        <v>46188</v>
      </c>
      <c r="D535" s="2">
        <v>35</v>
      </c>
      <c r="E535" s="7"/>
    </row>
    <row r="536" spans="2:5">
      <c r="B536" s="6">
        <v>532</v>
      </c>
      <c r="C536" s="5">
        <v>46189</v>
      </c>
      <c r="D536" s="2">
        <v>39</v>
      </c>
      <c r="E536" s="7"/>
    </row>
    <row r="537" spans="2:5">
      <c r="B537" s="6">
        <v>533</v>
      </c>
      <c r="C537" s="5">
        <v>46190</v>
      </c>
      <c r="D537" s="2">
        <v>50</v>
      </c>
      <c r="E537" s="7"/>
    </row>
    <row r="538" spans="2:5">
      <c r="B538" s="6">
        <v>534</v>
      </c>
      <c r="C538" s="5">
        <v>46191</v>
      </c>
      <c r="D538" s="2">
        <v>31</v>
      </c>
      <c r="E538" s="7"/>
    </row>
    <row r="539" spans="2:5">
      <c r="B539" s="6">
        <v>535</v>
      </c>
      <c r="C539" s="5">
        <v>46192</v>
      </c>
      <c r="D539" s="2">
        <v>51</v>
      </c>
      <c r="E539" s="7"/>
    </row>
    <row r="540" spans="2:5">
      <c r="B540" s="6">
        <v>536</v>
      </c>
      <c r="C540" s="5">
        <v>46193</v>
      </c>
      <c r="D540" s="2">
        <v>54</v>
      </c>
      <c r="E540" s="7"/>
    </row>
    <row r="541" spans="2:5">
      <c r="B541" s="6">
        <v>537</v>
      </c>
      <c r="C541" s="5">
        <v>46194</v>
      </c>
      <c r="D541" s="2">
        <v>47</v>
      </c>
      <c r="E541" s="7"/>
    </row>
    <row r="542" spans="2:5">
      <c r="B542" s="6">
        <v>538</v>
      </c>
      <c r="C542" s="5">
        <v>46195</v>
      </c>
      <c r="D542" s="2">
        <v>42</v>
      </c>
      <c r="E542" s="7"/>
    </row>
    <row r="543" spans="2:5">
      <c r="B543" s="6">
        <v>539</v>
      </c>
      <c r="C543" s="5">
        <v>46196</v>
      </c>
      <c r="D543" s="2">
        <v>38</v>
      </c>
      <c r="E543" s="7"/>
    </row>
    <row r="544" spans="2:5">
      <c r="B544" s="6">
        <v>540</v>
      </c>
      <c r="C544" s="5">
        <v>46197</v>
      </c>
      <c r="D544" s="2">
        <v>50</v>
      </c>
      <c r="E544" s="7"/>
    </row>
    <row r="545" spans="2:5">
      <c r="B545" s="6">
        <v>541</v>
      </c>
      <c r="C545" s="5">
        <v>46198</v>
      </c>
      <c r="D545" s="2">
        <v>42</v>
      </c>
      <c r="E545" s="7"/>
    </row>
    <row r="546" spans="2:5">
      <c r="B546" s="6">
        <v>542</v>
      </c>
      <c r="C546" s="5">
        <v>46199</v>
      </c>
      <c r="D546" s="2">
        <v>42</v>
      </c>
      <c r="E546" s="7"/>
    </row>
    <row r="547" spans="2:5">
      <c r="B547" s="6">
        <v>543</v>
      </c>
      <c r="C547" s="5">
        <v>46200</v>
      </c>
      <c r="D547" s="2">
        <v>36</v>
      </c>
      <c r="E547" s="7"/>
    </row>
    <row r="548" spans="2:5">
      <c r="B548" s="6">
        <v>544</v>
      </c>
      <c r="C548" s="5">
        <v>46201</v>
      </c>
      <c r="D548" s="2">
        <v>37</v>
      </c>
      <c r="E548" s="7"/>
    </row>
    <row r="549" spans="2:5">
      <c r="B549" s="6">
        <v>545</v>
      </c>
      <c r="C549" s="5">
        <v>46202</v>
      </c>
      <c r="D549" s="2">
        <v>40</v>
      </c>
      <c r="E549" s="7"/>
    </row>
    <row r="550" spans="2:5">
      <c r="B550" s="6">
        <v>546</v>
      </c>
      <c r="C550" s="5">
        <v>46203</v>
      </c>
      <c r="D550" s="2">
        <v>41</v>
      </c>
      <c r="E550" s="7"/>
    </row>
    <row r="551" spans="2:5">
      <c r="B551" s="6">
        <v>547</v>
      </c>
      <c r="C551" s="5">
        <v>46204</v>
      </c>
      <c r="D551" s="2">
        <v>38</v>
      </c>
      <c r="E551" s="7"/>
    </row>
    <row r="552" spans="2:5">
      <c r="B552" s="6">
        <v>548</v>
      </c>
      <c r="C552" s="5">
        <v>46205</v>
      </c>
      <c r="D552" s="2">
        <v>34</v>
      </c>
      <c r="E552" s="7"/>
    </row>
    <row r="553" spans="2:5">
      <c r="B553" s="6">
        <v>549</v>
      </c>
      <c r="C553" s="5">
        <v>46206</v>
      </c>
      <c r="D553" s="2">
        <v>52</v>
      </c>
      <c r="E553" s="7"/>
    </row>
    <row r="554" spans="2:5">
      <c r="B554" s="6">
        <v>550</v>
      </c>
      <c r="C554" s="5">
        <v>46207</v>
      </c>
      <c r="D554" s="2">
        <v>38</v>
      </c>
      <c r="E554" s="7"/>
    </row>
    <row r="555" spans="2:5">
      <c r="B555" s="6">
        <v>551</v>
      </c>
      <c r="C555" s="5">
        <v>46208</v>
      </c>
      <c r="D555" s="2">
        <v>36</v>
      </c>
      <c r="E555" s="7"/>
    </row>
    <row r="556" spans="2:5">
      <c r="B556" s="6">
        <v>552</v>
      </c>
      <c r="C556" s="5">
        <v>46209</v>
      </c>
      <c r="D556" s="2">
        <v>33</v>
      </c>
      <c r="E556" s="7"/>
    </row>
    <row r="557" spans="2:5">
      <c r="B557" s="6">
        <v>553</v>
      </c>
      <c r="C557" s="5">
        <v>46210</v>
      </c>
      <c r="D557" s="2">
        <v>35</v>
      </c>
      <c r="E557" s="7"/>
    </row>
    <row r="558" spans="2:5">
      <c r="B558" s="6">
        <v>554</v>
      </c>
      <c r="C558" s="5">
        <v>46211</v>
      </c>
      <c r="D558" s="2">
        <v>30</v>
      </c>
      <c r="E558" s="7"/>
    </row>
    <row r="559" spans="2:5">
      <c r="B559" s="6">
        <v>555</v>
      </c>
      <c r="C559" s="5">
        <v>46212</v>
      </c>
      <c r="D559" s="2">
        <v>33</v>
      </c>
      <c r="E559" s="7"/>
    </row>
    <row r="560" spans="2:5">
      <c r="B560" s="6">
        <v>556</v>
      </c>
      <c r="C560" s="5">
        <v>46213</v>
      </c>
      <c r="D560" s="2">
        <v>49</v>
      </c>
      <c r="E560" s="7"/>
    </row>
    <row r="561" spans="2:5">
      <c r="B561" s="6">
        <v>557</v>
      </c>
      <c r="C561" s="5">
        <v>46214</v>
      </c>
      <c r="D561" s="2">
        <v>45</v>
      </c>
      <c r="E561" s="7"/>
    </row>
    <row r="562" spans="2:5">
      <c r="B562" s="6">
        <v>558</v>
      </c>
      <c r="C562" s="5">
        <v>46215</v>
      </c>
      <c r="D562" s="2">
        <v>38</v>
      </c>
      <c r="E562" s="7"/>
    </row>
    <row r="563" spans="2:5">
      <c r="B563" s="6">
        <v>559</v>
      </c>
      <c r="C563" s="5">
        <v>46216</v>
      </c>
      <c r="D563" s="2">
        <v>38</v>
      </c>
      <c r="E563" s="7"/>
    </row>
    <row r="564" spans="2:5">
      <c r="B564" s="6">
        <v>560</v>
      </c>
      <c r="C564" s="5">
        <v>46217</v>
      </c>
      <c r="D564" s="2">
        <v>30</v>
      </c>
      <c r="E564" s="7"/>
    </row>
    <row r="565" spans="2:5">
      <c r="B565" s="6">
        <v>561</v>
      </c>
      <c r="C565" s="5">
        <v>46218</v>
      </c>
      <c r="D565" s="2">
        <v>51</v>
      </c>
      <c r="E565" s="7"/>
    </row>
    <row r="566" spans="2:5">
      <c r="B566" s="6">
        <v>562</v>
      </c>
      <c r="C566" s="5">
        <v>46219</v>
      </c>
      <c r="D566" s="2">
        <v>34</v>
      </c>
      <c r="E566" s="7"/>
    </row>
    <row r="567" spans="2:5">
      <c r="B567" s="6">
        <v>563</v>
      </c>
      <c r="C567" s="5">
        <v>46220</v>
      </c>
      <c r="D567" s="2">
        <v>37</v>
      </c>
      <c r="E567" s="7"/>
    </row>
    <row r="568" spans="2:5">
      <c r="B568" s="6">
        <v>564</v>
      </c>
      <c r="C568" s="5">
        <v>46221</v>
      </c>
      <c r="D568" s="2">
        <v>28</v>
      </c>
      <c r="E568" s="7"/>
    </row>
    <row r="569" spans="2:5">
      <c r="B569" s="6">
        <v>565</v>
      </c>
      <c r="C569" s="5">
        <v>46222</v>
      </c>
      <c r="D569" s="2">
        <v>38</v>
      </c>
      <c r="E569" s="7"/>
    </row>
    <row r="570" spans="2:5">
      <c r="B570" s="6">
        <v>566</v>
      </c>
      <c r="C570" s="5">
        <v>46223</v>
      </c>
      <c r="D570" s="2">
        <v>40</v>
      </c>
      <c r="E570" s="7"/>
    </row>
    <row r="571" spans="2:5">
      <c r="B571" s="6">
        <v>567</v>
      </c>
      <c r="C571" s="5">
        <v>46224</v>
      </c>
      <c r="D571" s="2">
        <v>40</v>
      </c>
      <c r="E571" s="7"/>
    </row>
    <row r="572" spans="2:5">
      <c r="B572" s="6">
        <v>568</v>
      </c>
      <c r="C572" s="5">
        <v>46225</v>
      </c>
      <c r="D572" s="2">
        <v>33</v>
      </c>
      <c r="E572" s="7"/>
    </row>
    <row r="573" spans="2:5">
      <c r="B573" s="6">
        <v>569</v>
      </c>
      <c r="C573" s="5">
        <v>46226</v>
      </c>
      <c r="D573" s="2">
        <v>34</v>
      </c>
      <c r="E573" s="7"/>
    </row>
    <row r="574" spans="2:5">
      <c r="B574" s="6">
        <v>570</v>
      </c>
      <c r="C574" s="5">
        <v>46227</v>
      </c>
      <c r="D574" s="2">
        <v>44</v>
      </c>
      <c r="E574" s="7"/>
    </row>
    <row r="575" spans="2:5">
      <c r="B575" s="6">
        <v>571</v>
      </c>
      <c r="C575" s="5">
        <v>46228</v>
      </c>
      <c r="D575" s="2">
        <v>40</v>
      </c>
      <c r="E575" s="7"/>
    </row>
    <row r="576" spans="2:5">
      <c r="B576" s="6">
        <v>572</v>
      </c>
      <c r="C576" s="5">
        <v>46229</v>
      </c>
      <c r="D576" s="2">
        <v>34</v>
      </c>
      <c r="E576" s="7"/>
    </row>
    <row r="577" spans="2:5">
      <c r="B577" s="6">
        <v>573</v>
      </c>
      <c r="C577" s="5">
        <v>46230</v>
      </c>
      <c r="D577" s="2">
        <v>30</v>
      </c>
      <c r="E577" s="7"/>
    </row>
    <row r="578" spans="2:5">
      <c r="B578" s="6">
        <v>574</v>
      </c>
      <c r="C578" s="5">
        <v>46231</v>
      </c>
      <c r="D578" s="2">
        <v>30</v>
      </c>
      <c r="E578" s="7"/>
    </row>
    <row r="579" spans="2:5">
      <c r="B579" s="6">
        <v>575</v>
      </c>
      <c r="C579" s="5">
        <v>46232</v>
      </c>
      <c r="D579" s="2">
        <v>34</v>
      </c>
      <c r="E579" s="7"/>
    </row>
    <row r="580" spans="2:5">
      <c r="B580" s="6">
        <v>576</v>
      </c>
      <c r="C580" s="5">
        <v>46233</v>
      </c>
      <c r="D580" s="2">
        <v>36</v>
      </c>
      <c r="E580" s="7"/>
    </row>
    <row r="581" spans="2:5">
      <c r="B581" s="6">
        <v>577</v>
      </c>
      <c r="C581" s="5">
        <v>46234</v>
      </c>
      <c r="D581" s="2">
        <v>32</v>
      </c>
      <c r="E581" s="7"/>
    </row>
    <row r="582" spans="2:5">
      <c r="B582" s="6">
        <v>578</v>
      </c>
      <c r="C582" s="5">
        <v>46235</v>
      </c>
      <c r="D582" s="2">
        <v>30</v>
      </c>
      <c r="E582" s="7"/>
    </row>
    <row r="583" spans="2:5">
      <c r="B583" s="6">
        <v>579</v>
      </c>
      <c r="C583" s="5">
        <v>46236</v>
      </c>
      <c r="D583" s="2">
        <v>29</v>
      </c>
      <c r="E583" s="7"/>
    </row>
    <row r="584" spans="2:5">
      <c r="B584" s="6">
        <v>580</v>
      </c>
      <c r="C584" s="5">
        <v>46237</v>
      </c>
      <c r="D584" s="2">
        <v>28</v>
      </c>
      <c r="E584" s="7"/>
    </row>
    <row r="585" spans="2:5">
      <c r="B585" s="6">
        <v>581</v>
      </c>
      <c r="C585" s="5">
        <v>46238</v>
      </c>
      <c r="D585" s="2">
        <v>37</v>
      </c>
      <c r="E585" s="7"/>
    </row>
    <row r="586" spans="2:5">
      <c r="B586" s="6">
        <v>582</v>
      </c>
      <c r="C586" s="5">
        <v>46239</v>
      </c>
      <c r="D586" s="2">
        <v>43</v>
      </c>
      <c r="E586" s="7"/>
    </row>
    <row r="587" spans="2:5">
      <c r="B587" s="6">
        <v>583</v>
      </c>
      <c r="C587" s="5">
        <v>46240</v>
      </c>
      <c r="D587" s="2">
        <v>39</v>
      </c>
      <c r="E587" s="7"/>
    </row>
    <row r="588" spans="2:5">
      <c r="B588" s="6">
        <v>584</v>
      </c>
      <c r="C588" s="5">
        <v>46241</v>
      </c>
      <c r="D588" s="2">
        <v>41</v>
      </c>
      <c r="E588" s="7"/>
    </row>
    <row r="589" spans="2:5">
      <c r="B589" s="6">
        <v>585</v>
      </c>
      <c r="C589" s="5">
        <v>46242</v>
      </c>
      <c r="D589" s="2">
        <v>36</v>
      </c>
      <c r="E589" s="7"/>
    </row>
    <row r="590" spans="2:5">
      <c r="B590" s="6">
        <v>586</v>
      </c>
      <c r="C590" s="5">
        <v>46243</v>
      </c>
      <c r="D590" s="2">
        <v>34</v>
      </c>
      <c r="E590" s="7"/>
    </row>
    <row r="591" spans="2:5">
      <c r="B591" s="6">
        <v>587</v>
      </c>
      <c r="C591" s="5">
        <v>46244</v>
      </c>
      <c r="D591" s="2">
        <v>24</v>
      </c>
      <c r="E591" s="7"/>
    </row>
    <row r="592" spans="2:5">
      <c r="B592" s="6">
        <v>588</v>
      </c>
      <c r="C592" s="5">
        <v>46245</v>
      </c>
      <c r="D592" s="2">
        <v>39</v>
      </c>
      <c r="E592" s="7"/>
    </row>
    <row r="593" spans="2:5">
      <c r="B593" s="6">
        <v>589</v>
      </c>
      <c r="C593" s="5">
        <v>46246</v>
      </c>
      <c r="D593" s="2">
        <v>31</v>
      </c>
      <c r="E593" s="7"/>
    </row>
    <row r="594" spans="2:5">
      <c r="B594" s="6">
        <v>590</v>
      </c>
      <c r="C594" s="5">
        <v>46247</v>
      </c>
      <c r="D594" s="2">
        <v>31</v>
      </c>
      <c r="E594" s="7"/>
    </row>
    <row r="595" spans="2:5">
      <c r="B595" s="6">
        <v>591</v>
      </c>
      <c r="C595" s="5">
        <v>46248</v>
      </c>
      <c r="D595" s="2">
        <v>49</v>
      </c>
      <c r="E595" s="7"/>
    </row>
    <row r="596" spans="2:5">
      <c r="B596" s="6">
        <v>592</v>
      </c>
      <c r="C596" s="5">
        <v>46249</v>
      </c>
      <c r="D596" s="2">
        <v>35</v>
      </c>
      <c r="E596" s="7"/>
    </row>
    <row r="597" spans="2:5">
      <c r="B597" s="6">
        <v>593</v>
      </c>
      <c r="C597" s="5">
        <v>46250</v>
      </c>
      <c r="D597" s="2">
        <v>34</v>
      </c>
      <c r="E597" s="7"/>
    </row>
    <row r="598" spans="2:5">
      <c r="B598" s="6">
        <v>594</v>
      </c>
      <c r="C598" s="5">
        <v>46251</v>
      </c>
      <c r="D598" s="2">
        <v>28</v>
      </c>
      <c r="E598" s="7"/>
    </row>
    <row r="599" spans="2:5">
      <c r="B599" s="6">
        <v>595</v>
      </c>
      <c r="C599" s="5">
        <v>46252</v>
      </c>
      <c r="D599" s="2">
        <v>36</v>
      </c>
      <c r="E599" s="7"/>
    </row>
    <row r="600" spans="2:5">
      <c r="B600" s="6">
        <v>596</v>
      </c>
      <c r="C600" s="5">
        <v>46253</v>
      </c>
      <c r="D600" s="2">
        <v>41</v>
      </c>
      <c r="E600" s="7"/>
    </row>
    <row r="601" spans="2:5">
      <c r="B601" s="6">
        <v>597</v>
      </c>
      <c r="C601" s="5">
        <v>46254</v>
      </c>
      <c r="D601" s="2">
        <v>35</v>
      </c>
      <c r="E601" s="7"/>
    </row>
    <row r="602" spans="2:5">
      <c r="B602" s="6">
        <v>598</v>
      </c>
      <c r="C602" s="5">
        <v>46255</v>
      </c>
      <c r="D602" s="2">
        <v>29</v>
      </c>
      <c r="E602" s="7"/>
    </row>
    <row r="603" spans="2:5">
      <c r="B603" s="6">
        <v>599</v>
      </c>
      <c r="C603" s="5">
        <v>46256</v>
      </c>
      <c r="D603" s="2">
        <v>30</v>
      </c>
      <c r="E603" s="7"/>
    </row>
    <row r="604" spans="2:5">
      <c r="B604" s="6">
        <v>600</v>
      </c>
      <c r="C604" s="5">
        <v>46257</v>
      </c>
      <c r="D604" s="2">
        <v>31</v>
      </c>
      <c r="E604" s="7"/>
    </row>
    <row r="605" spans="2:5">
      <c r="B605" s="6">
        <v>601</v>
      </c>
      <c r="C605" s="5">
        <v>46258</v>
      </c>
      <c r="D605" s="2">
        <v>36</v>
      </c>
      <c r="E605" s="7"/>
    </row>
    <row r="606" spans="2:5">
      <c r="B606" s="6">
        <v>602</v>
      </c>
      <c r="C606" s="5">
        <v>46259</v>
      </c>
      <c r="D606" s="2">
        <v>32</v>
      </c>
      <c r="E606" s="7"/>
    </row>
    <row r="607" spans="2:5">
      <c r="B607" s="6">
        <v>603</v>
      </c>
      <c r="C607" s="5">
        <v>46260</v>
      </c>
      <c r="D607" s="2">
        <v>30</v>
      </c>
      <c r="E607" s="7"/>
    </row>
    <row r="608" spans="2:5">
      <c r="B608" s="6">
        <v>604</v>
      </c>
      <c r="C608" s="5">
        <v>46261</v>
      </c>
      <c r="D608" s="2">
        <v>23</v>
      </c>
      <c r="E608" s="7"/>
    </row>
    <row r="609" spans="2:5">
      <c r="B609" s="6">
        <v>605</v>
      </c>
      <c r="C609" s="5">
        <v>46262</v>
      </c>
      <c r="D609" s="2">
        <v>36</v>
      </c>
      <c r="E609" s="7"/>
    </row>
    <row r="610" spans="2:5">
      <c r="B610" s="6">
        <v>606</v>
      </c>
      <c r="C610" s="5">
        <v>46263</v>
      </c>
      <c r="D610" s="2">
        <v>23</v>
      </c>
      <c r="E610" s="7"/>
    </row>
    <row r="611" spans="2:5">
      <c r="B611" s="6">
        <v>607</v>
      </c>
      <c r="C611" s="5">
        <v>46264</v>
      </c>
      <c r="D611" s="2">
        <v>35</v>
      </c>
      <c r="E611" s="7"/>
    </row>
    <row r="612" spans="2:5">
      <c r="B612" s="6">
        <v>608</v>
      </c>
      <c r="C612" s="5">
        <v>46265</v>
      </c>
      <c r="D612" s="2">
        <v>41</v>
      </c>
      <c r="E612" s="7"/>
    </row>
    <row r="613" spans="2:5">
      <c r="B613" s="6">
        <v>609</v>
      </c>
      <c r="C613" s="5">
        <v>46266</v>
      </c>
      <c r="D613" s="2">
        <v>29</v>
      </c>
      <c r="E613" s="7"/>
    </row>
    <row r="614" spans="2:5">
      <c r="B614" s="6">
        <v>610</v>
      </c>
      <c r="C614" s="5">
        <v>46267</v>
      </c>
      <c r="D614" s="2">
        <v>29</v>
      </c>
      <c r="E614" s="7"/>
    </row>
    <row r="615" spans="2:5">
      <c r="B615" s="6">
        <v>611</v>
      </c>
      <c r="C615" s="5">
        <v>46268</v>
      </c>
      <c r="D615" s="2">
        <v>25</v>
      </c>
      <c r="E615" s="7"/>
    </row>
    <row r="616" spans="2:5">
      <c r="B616" s="6">
        <v>612</v>
      </c>
      <c r="C616" s="5">
        <v>46269</v>
      </c>
      <c r="D616" s="2">
        <v>24</v>
      </c>
      <c r="E616" s="7"/>
    </row>
    <row r="617" spans="2:5">
      <c r="B617" s="6">
        <v>613</v>
      </c>
      <c r="C617" s="5">
        <v>46270</v>
      </c>
      <c r="D617" s="2">
        <v>27</v>
      </c>
      <c r="E617" s="7"/>
    </row>
    <row r="618" spans="2:5">
      <c r="B618" s="6">
        <v>614</v>
      </c>
      <c r="C618" s="5">
        <v>46271</v>
      </c>
      <c r="D618" s="2">
        <v>30</v>
      </c>
      <c r="E618" s="7"/>
    </row>
    <row r="619" spans="2:5">
      <c r="B619" s="6">
        <v>615</v>
      </c>
      <c r="C619" s="5">
        <v>46272</v>
      </c>
      <c r="D619" s="2">
        <v>24</v>
      </c>
      <c r="E619" s="7"/>
    </row>
    <row r="620" spans="2:5">
      <c r="B620" s="6">
        <v>616</v>
      </c>
      <c r="C620" s="5">
        <v>46273</v>
      </c>
      <c r="D620" s="2">
        <v>36</v>
      </c>
      <c r="E620" s="7"/>
    </row>
    <row r="621" spans="2:5">
      <c r="B621" s="6">
        <v>617</v>
      </c>
      <c r="C621" s="5">
        <v>46274</v>
      </c>
      <c r="D621" s="2">
        <v>38</v>
      </c>
      <c r="E621" s="7"/>
    </row>
    <row r="622" spans="2:5">
      <c r="B622" s="6">
        <v>618</v>
      </c>
      <c r="C622" s="5">
        <v>46275</v>
      </c>
      <c r="D622" s="2">
        <v>28</v>
      </c>
      <c r="E622" s="7"/>
    </row>
    <row r="623" spans="2:5">
      <c r="B623" s="6">
        <v>619</v>
      </c>
      <c r="C623" s="5">
        <v>46276</v>
      </c>
      <c r="D623" s="2">
        <v>33</v>
      </c>
      <c r="E623" s="7"/>
    </row>
    <row r="624" spans="2:5">
      <c r="B624" s="6">
        <v>620</v>
      </c>
      <c r="C624" s="5">
        <v>46277</v>
      </c>
      <c r="D624" s="2">
        <v>34</v>
      </c>
      <c r="E624" s="7"/>
    </row>
    <row r="625" spans="2:5">
      <c r="B625" s="6">
        <v>621</v>
      </c>
      <c r="C625" s="5">
        <v>46278</v>
      </c>
      <c r="D625" s="2">
        <v>16</v>
      </c>
      <c r="E625" s="7"/>
    </row>
    <row r="626" spans="2:5">
      <c r="B626" s="6">
        <v>622</v>
      </c>
      <c r="C626" s="5">
        <v>46279</v>
      </c>
      <c r="D626" s="2">
        <v>31</v>
      </c>
      <c r="E626" s="7"/>
    </row>
    <row r="627" spans="2:5">
      <c r="B627" s="6">
        <v>623</v>
      </c>
      <c r="C627" s="5">
        <v>46280</v>
      </c>
      <c r="D627" s="2">
        <v>31</v>
      </c>
      <c r="E627" s="7"/>
    </row>
    <row r="628" spans="2:5">
      <c r="B628" s="6">
        <v>624</v>
      </c>
      <c r="C628" s="5">
        <v>46281</v>
      </c>
      <c r="D628" s="2">
        <v>29</v>
      </c>
      <c r="E628" s="7"/>
    </row>
    <row r="629" spans="2:5">
      <c r="B629" s="6">
        <v>625</v>
      </c>
      <c r="C629" s="5">
        <v>46282</v>
      </c>
      <c r="D629" s="2">
        <v>43</v>
      </c>
      <c r="E629" s="7"/>
    </row>
    <row r="630" spans="2:5">
      <c r="B630" s="6">
        <v>626</v>
      </c>
      <c r="C630" s="5">
        <v>46283</v>
      </c>
      <c r="D630" s="2">
        <v>32</v>
      </c>
      <c r="E630" s="7"/>
    </row>
    <row r="631" spans="2:5">
      <c r="B631" s="6">
        <v>627</v>
      </c>
      <c r="C631" s="5">
        <v>46284</v>
      </c>
      <c r="D631" s="2">
        <v>29</v>
      </c>
      <c r="E631" s="7"/>
    </row>
    <row r="632" spans="2:5">
      <c r="B632" s="6">
        <v>628</v>
      </c>
      <c r="C632" s="5">
        <v>46285</v>
      </c>
      <c r="D632" s="2">
        <v>35</v>
      </c>
      <c r="E632" s="7"/>
    </row>
    <row r="633" spans="2:5">
      <c r="B633" s="6">
        <v>629</v>
      </c>
      <c r="C633" s="5">
        <v>46286</v>
      </c>
      <c r="D633" s="2">
        <v>34</v>
      </c>
      <c r="E633" s="7"/>
    </row>
    <row r="634" spans="2:5">
      <c r="B634" s="6">
        <v>630</v>
      </c>
      <c r="C634" s="5">
        <v>46287</v>
      </c>
      <c r="D634" s="2">
        <v>48</v>
      </c>
      <c r="E634" s="7"/>
    </row>
    <row r="635" spans="2:5">
      <c r="B635" s="6">
        <v>631</v>
      </c>
      <c r="C635" s="5">
        <v>46288</v>
      </c>
      <c r="D635" s="2">
        <v>38</v>
      </c>
      <c r="E635" s="7"/>
    </row>
    <row r="636" spans="2:5">
      <c r="B636" s="6">
        <v>632</v>
      </c>
      <c r="C636" s="5">
        <v>46289</v>
      </c>
      <c r="D636" s="2">
        <v>22</v>
      </c>
      <c r="E636" s="7"/>
    </row>
    <row r="637" spans="2:5">
      <c r="B637" s="6">
        <v>633</v>
      </c>
      <c r="C637" s="5">
        <v>46290</v>
      </c>
      <c r="D637" s="2">
        <v>34</v>
      </c>
      <c r="E637" s="7"/>
    </row>
    <row r="638" spans="2:5">
      <c r="B638" s="6">
        <v>634</v>
      </c>
      <c r="C638" s="5">
        <v>46291</v>
      </c>
      <c r="D638" s="2">
        <v>24</v>
      </c>
      <c r="E638" s="7"/>
    </row>
    <row r="639" spans="2:5">
      <c r="B639" s="6">
        <v>635</v>
      </c>
      <c r="C639" s="5">
        <v>46292</v>
      </c>
      <c r="D639" s="2">
        <v>29</v>
      </c>
      <c r="E639" s="7"/>
    </row>
    <row r="640" spans="2:5">
      <c r="B640" s="6">
        <v>636</v>
      </c>
      <c r="C640" s="5">
        <v>46293</v>
      </c>
      <c r="D640" s="2">
        <v>28</v>
      </c>
      <c r="E640" s="7"/>
    </row>
    <row r="641" spans="2:5">
      <c r="B641" s="6">
        <v>637</v>
      </c>
      <c r="C641" s="5">
        <v>46294</v>
      </c>
      <c r="D641" s="2">
        <v>30</v>
      </c>
      <c r="E641" s="7"/>
    </row>
    <row r="642" spans="2:5">
      <c r="B642" s="6">
        <v>638</v>
      </c>
      <c r="C642" s="5">
        <v>46295</v>
      </c>
      <c r="D642" s="2">
        <v>31</v>
      </c>
      <c r="E642" s="7"/>
    </row>
    <row r="643" spans="2:5">
      <c r="B643" s="6">
        <v>639</v>
      </c>
      <c r="C643" s="5">
        <v>46296</v>
      </c>
      <c r="D643" s="2">
        <v>44</v>
      </c>
      <c r="E643" s="7"/>
    </row>
    <row r="644" spans="2:5">
      <c r="B644" s="6">
        <v>640</v>
      </c>
      <c r="C644" s="5">
        <v>46297</v>
      </c>
      <c r="D644" s="2">
        <v>37</v>
      </c>
      <c r="E644" s="7"/>
    </row>
    <row r="645" spans="2:5">
      <c r="B645" s="6">
        <v>641</v>
      </c>
      <c r="C645" s="5">
        <v>46298</v>
      </c>
      <c r="D645" s="2">
        <v>46</v>
      </c>
      <c r="E645" s="7"/>
    </row>
    <row r="646" spans="2:5">
      <c r="B646" s="6">
        <v>642</v>
      </c>
      <c r="C646" s="5">
        <v>46299</v>
      </c>
      <c r="D646" s="2">
        <v>25</v>
      </c>
      <c r="E646" s="7"/>
    </row>
    <row r="647" spans="2:5">
      <c r="B647" s="6">
        <v>643</v>
      </c>
      <c r="C647" s="5">
        <v>46300</v>
      </c>
      <c r="D647" s="2">
        <v>36</v>
      </c>
      <c r="E647" s="7"/>
    </row>
    <row r="648" spans="2:5">
      <c r="B648" s="6">
        <v>644</v>
      </c>
      <c r="C648" s="5">
        <v>46301</v>
      </c>
      <c r="D648" s="2">
        <v>37</v>
      </c>
      <c r="E648" s="7"/>
    </row>
    <row r="649" spans="2:5">
      <c r="B649" s="6">
        <v>645</v>
      </c>
      <c r="C649" s="5">
        <v>46302</v>
      </c>
      <c r="D649" s="2">
        <v>33</v>
      </c>
      <c r="E649" s="7"/>
    </row>
    <row r="650" spans="2:5">
      <c r="B650" s="6">
        <v>646</v>
      </c>
      <c r="C650" s="5">
        <v>46303</v>
      </c>
      <c r="D650" s="2">
        <v>34</v>
      </c>
      <c r="E650" s="7"/>
    </row>
    <row r="651" spans="2:5">
      <c r="B651" s="6">
        <v>647</v>
      </c>
      <c r="C651" s="5">
        <v>46304</v>
      </c>
      <c r="D651" s="2">
        <v>23</v>
      </c>
      <c r="E651" s="7"/>
    </row>
    <row r="652" spans="2:5">
      <c r="B652" s="6">
        <v>648</v>
      </c>
      <c r="C652" s="5">
        <v>46305</v>
      </c>
      <c r="D652" s="2">
        <v>32</v>
      </c>
      <c r="E652" s="7"/>
    </row>
    <row r="653" spans="2:5">
      <c r="B653" s="6">
        <v>649</v>
      </c>
      <c r="C653" s="5">
        <v>46306</v>
      </c>
      <c r="D653" s="2">
        <v>33</v>
      </c>
      <c r="E653" s="7"/>
    </row>
    <row r="654" spans="2:5">
      <c r="B654" s="6">
        <v>650</v>
      </c>
      <c r="C654" s="5">
        <v>46307</v>
      </c>
      <c r="D654" s="2">
        <v>38</v>
      </c>
      <c r="E654" s="7"/>
    </row>
    <row r="655" spans="2:5">
      <c r="B655" s="6">
        <v>651</v>
      </c>
      <c r="C655" s="5">
        <v>46308</v>
      </c>
      <c r="D655" s="2">
        <v>36</v>
      </c>
      <c r="E655" s="7"/>
    </row>
    <row r="656" spans="2:5">
      <c r="B656" s="6">
        <v>652</v>
      </c>
      <c r="C656" s="5">
        <v>46309</v>
      </c>
      <c r="D656" s="2">
        <v>25</v>
      </c>
      <c r="E656" s="7"/>
    </row>
    <row r="657" spans="2:5">
      <c r="B657" s="6">
        <v>653</v>
      </c>
      <c r="C657" s="5">
        <v>46310</v>
      </c>
      <c r="D657" s="2">
        <v>21</v>
      </c>
      <c r="E657" s="7"/>
    </row>
    <row r="658" spans="2:5">
      <c r="B658" s="6">
        <v>654</v>
      </c>
      <c r="C658" s="5">
        <v>46311</v>
      </c>
      <c r="D658" s="2">
        <v>46</v>
      </c>
      <c r="E658" s="7"/>
    </row>
    <row r="659" spans="2:5">
      <c r="B659" s="6">
        <v>655</v>
      </c>
      <c r="C659" s="5">
        <v>46312</v>
      </c>
      <c r="D659" s="2">
        <v>25</v>
      </c>
      <c r="E659" s="7"/>
    </row>
    <row r="660" spans="2:5">
      <c r="B660" s="6">
        <v>656</v>
      </c>
      <c r="C660" s="5">
        <v>46313</v>
      </c>
      <c r="D660" s="2">
        <v>44</v>
      </c>
      <c r="E660" s="7"/>
    </row>
    <row r="661" spans="2:5">
      <c r="B661" s="6">
        <v>657</v>
      </c>
      <c r="C661" s="5">
        <v>46314</v>
      </c>
      <c r="D661" s="2">
        <v>30</v>
      </c>
      <c r="E661" s="7"/>
    </row>
    <row r="662" spans="2:5">
      <c r="B662" s="6">
        <v>658</v>
      </c>
      <c r="C662" s="5">
        <v>46315</v>
      </c>
      <c r="D662" s="2">
        <v>35</v>
      </c>
      <c r="E662" s="7"/>
    </row>
    <row r="663" spans="2:5">
      <c r="B663" s="6">
        <v>659</v>
      </c>
      <c r="C663" s="5">
        <v>46316</v>
      </c>
      <c r="D663" s="2">
        <v>23</v>
      </c>
      <c r="E663" s="7"/>
    </row>
    <row r="664" spans="2:5">
      <c r="B664" s="6">
        <v>660</v>
      </c>
      <c r="C664" s="5">
        <v>46317</v>
      </c>
      <c r="D664" s="2">
        <v>36</v>
      </c>
      <c r="E664" s="7"/>
    </row>
    <row r="665" spans="2:5">
      <c r="B665" s="6">
        <v>661</v>
      </c>
      <c r="C665" s="5">
        <v>46318</v>
      </c>
      <c r="D665" s="2">
        <v>32</v>
      </c>
      <c r="E665" s="7"/>
    </row>
    <row r="666" spans="2:5">
      <c r="B666" s="6">
        <v>662</v>
      </c>
      <c r="C666" s="5">
        <v>46319</v>
      </c>
      <c r="D666" s="2">
        <v>45</v>
      </c>
      <c r="E666" s="7"/>
    </row>
    <row r="667" spans="2:5">
      <c r="B667" s="6">
        <v>663</v>
      </c>
      <c r="C667" s="5">
        <v>46320</v>
      </c>
      <c r="D667" s="2">
        <v>33</v>
      </c>
      <c r="E667" s="7"/>
    </row>
    <row r="668" spans="2:5">
      <c r="B668" s="6">
        <v>664</v>
      </c>
      <c r="C668" s="5">
        <v>46321</v>
      </c>
      <c r="D668" s="2">
        <v>33</v>
      </c>
      <c r="E668" s="7"/>
    </row>
    <row r="669" spans="2:5">
      <c r="B669" s="6">
        <v>665</v>
      </c>
      <c r="C669" s="5">
        <v>46322</v>
      </c>
      <c r="D669" s="2">
        <v>27</v>
      </c>
      <c r="E669" s="7"/>
    </row>
    <row r="670" spans="2:5">
      <c r="B670" s="6">
        <v>666</v>
      </c>
      <c r="C670" s="5">
        <v>46323</v>
      </c>
      <c r="D670" s="2">
        <v>35</v>
      </c>
      <c r="E670" s="7"/>
    </row>
    <row r="671" spans="2:5">
      <c r="B671" s="6">
        <v>667</v>
      </c>
      <c r="C671" s="5">
        <v>46324</v>
      </c>
      <c r="D671" s="2">
        <v>23</v>
      </c>
      <c r="E671" s="7"/>
    </row>
    <row r="672" spans="2:5">
      <c r="B672" s="6">
        <v>668</v>
      </c>
      <c r="C672" s="5">
        <v>46325</v>
      </c>
      <c r="D672" s="2">
        <v>27</v>
      </c>
      <c r="E672" s="7"/>
    </row>
    <row r="673" spans="2:5">
      <c r="B673" s="6">
        <v>669</v>
      </c>
      <c r="C673" s="5">
        <v>46326</v>
      </c>
      <c r="D673" s="2">
        <v>34</v>
      </c>
      <c r="E673" s="7"/>
    </row>
    <row r="674" spans="2:5">
      <c r="B674" s="6">
        <v>670</v>
      </c>
      <c r="C674" s="5">
        <v>46327</v>
      </c>
      <c r="D674" s="2">
        <v>35</v>
      </c>
      <c r="E674" s="7"/>
    </row>
    <row r="675" spans="2:5">
      <c r="B675" s="6">
        <v>671</v>
      </c>
      <c r="C675" s="5">
        <v>46328</v>
      </c>
      <c r="D675" s="2">
        <v>37</v>
      </c>
      <c r="E675" s="7"/>
    </row>
    <row r="676" spans="2:5">
      <c r="B676" s="6">
        <v>672</v>
      </c>
      <c r="C676" s="5">
        <v>46329</v>
      </c>
      <c r="D676" s="2">
        <v>26</v>
      </c>
      <c r="E676" s="7"/>
    </row>
    <row r="677" spans="2:5">
      <c r="B677" s="6">
        <v>673</v>
      </c>
      <c r="C677" s="5">
        <v>46330</v>
      </c>
      <c r="D677" s="2">
        <v>38</v>
      </c>
      <c r="E677" s="7"/>
    </row>
    <row r="678" spans="2:5">
      <c r="B678" s="6">
        <v>674</v>
      </c>
      <c r="C678" s="5">
        <v>46331</v>
      </c>
      <c r="D678" s="2">
        <v>44</v>
      </c>
      <c r="E678" s="7"/>
    </row>
    <row r="679" spans="2:5">
      <c r="B679" s="6">
        <v>675</v>
      </c>
      <c r="C679" s="5">
        <v>46332</v>
      </c>
      <c r="D679" s="2">
        <v>21</v>
      </c>
      <c r="E679" s="7"/>
    </row>
    <row r="680" spans="2:5">
      <c r="B680" s="6">
        <v>676</v>
      </c>
      <c r="C680" s="5">
        <v>46333</v>
      </c>
      <c r="D680" s="2">
        <v>29</v>
      </c>
      <c r="E680" s="7"/>
    </row>
    <row r="681" spans="2:5">
      <c r="B681" s="6">
        <v>677</v>
      </c>
      <c r="C681" s="5">
        <v>46334</v>
      </c>
      <c r="D681" s="2">
        <v>48</v>
      </c>
      <c r="E681" s="7"/>
    </row>
    <row r="682" spans="2:5">
      <c r="B682" s="6">
        <v>678</v>
      </c>
      <c r="C682" s="5">
        <v>46335</v>
      </c>
      <c r="D682" s="2">
        <v>31</v>
      </c>
      <c r="E682" s="7"/>
    </row>
    <row r="683" spans="2:5">
      <c r="B683" s="6">
        <v>679</v>
      </c>
      <c r="C683" s="5">
        <v>46336</v>
      </c>
      <c r="D683" s="2">
        <v>41</v>
      </c>
      <c r="E683" s="7"/>
    </row>
    <row r="684" spans="2:5">
      <c r="B684" s="6">
        <v>680</v>
      </c>
      <c r="C684" s="5">
        <v>46337</v>
      </c>
      <c r="D684" s="2">
        <v>43</v>
      </c>
      <c r="E684" s="7"/>
    </row>
    <row r="685" spans="2:5">
      <c r="B685" s="6">
        <v>681</v>
      </c>
      <c r="C685" s="5">
        <v>46338</v>
      </c>
      <c r="D685" s="2">
        <v>32</v>
      </c>
      <c r="E685" s="7"/>
    </row>
    <row r="686" spans="2:5">
      <c r="B686" s="6">
        <v>682</v>
      </c>
      <c r="C686" s="5">
        <v>46339</v>
      </c>
      <c r="D686" s="2">
        <v>38</v>
      </c>
      <c r="E686" s="7"/>
    </row>
    <row r="687" spans="2:5">
      <c r="B687" s="6">
        <v>683</v>
      </c>
      <c r="C687" s="5">
        <v>46340</v>
      </c>
      <c r="D687" s="2">
        <v>49</v>
      </c>
      <c r="E687" s="7"/>
    </row>
    <row r="688" spans="2:5">
      <c r="B688" s="6">
        <v>684</v>
      </c>
      <c r="C688" s="5">
        <v>46341</v>
      </c>
      <c r="D688" s="2">
        <v>43</v>
      </c>
      <c r="E688" s="7"/>
    </row>
    <row r="689" spans="2:5">
      <c r="B689" s="6">
        <v>685</v>
      </c>
      <c r="C689" s="5">
        <v>46342</v>
      </c>
      <c r="D689" s="2">
        <v>30</v>
      </c>
      <c r="E689" s="7"/>
    </row>
    <row r="690" spans="2:5">
      <c r="B690" s="6">
        <v>686</v>
      </c>
      <c r="C690" s="5">
        <v>46343</v>
      </c>
      <c r="D690" s="2">
        <v>33</v>
      </c>
      <c r="E690" s="7"/>
    </row>
    <row r="691" spans="2:5">
      <c r="B691" s="6">
        <v>687</v>
      </c>
      <c r="C691" s="5">
        <v>46344</v>
      </c>
      <c r="D691" s="2">
        <v>39</v>
      </c>
      <c r="E691" s="7"/>
    </row>
    <row r="692" spans="2:5">
      <c r="B692" s="6">
        <v>688</v>
      </c>
      <c r="C692" s="5">
        <v>46345</v>
      </c>
      <c r="D692" s="2">
        <v>29</v>
      </c>
      <c r="E692" s="7"/>
    </row>
    <row r="693" spans="2:5">
      <c r="B693" s="6">
        <v>689</v>
      </c>
      <c r="C693" s="5">
        <v>46346</v>
      </c>
      <c r="D693" s="2">
        <v>35</v>
      </c>
      <c r="E693" s="7"/>
    </row>
    <row r="694" spans="2:5">
      <c r="B694" s="6">
        <v>690</v>
      </c>
      <c r="C694" s="5">
        <v>46347</v>
      </c>
      <c r="D694" s="2">
        <v>31</v>
      </c>
      <c r="E694" s="7"/>
    </row>
    <row r="695" spans="2:5">
      <c r="B695" s="6">
        <v>691</v>
      </c>
      <c r="C695" s="5">
        <v>46348</v>
      </c>
      <c r="D695" s="2">
        <v>36</v>
      </c>
      <c r="E695" s="7"/>
    </row>
    <row r="696" spans="2:5">
      <c r="B696" s="6">
        <v>692</v>
      </c>
      <c r="C696" s="5">
        <v>46349</v>
      </c>
      <c r="D696" s="2">
        <v>40</v>
      </c>
      <c r="E696" s="7"/>
    </row>
    <row r="697" spans="2:5">
      <c r="B697" s="6">
        <v>693</v>
      </c>
      <c r="C697" s="5">
        <v>46350</v>
      </c>
      <c r="D697" s="2">
        <v>44</v>
      </c>
      <c r="E697" s="7"/>
    </row>
    <row r="698" spans="2:5">
      <c r="B698" s="6">
        <v>694</v>
      </c>
      <c r="C698" s="5">
        <v>46351</v>
      </c>
      <c r="D698" s="2">
        <v>30</v>
      </c>
      <c r="E698" s="7"/>
    </row>
    <row r="699" spans="2:5">
      <c r="B699" s="6">
        <v>695</v>
      </c>
      <c r="C699" s="5">
        <v>46352</v>
      </c>
      <c r="D699" s="2">
        <v>33</v>
      </c>
      <c r="E699" s="7"/>
    </row>
    <row r="700" spans="2:5">
      <c r="B700" s="6">
        <v>696</v>
      </c>
      <c r="C700" s="5">
        <v>46353</v>
      </c>
      <c r="D700" s="2">
        <v>47</v>
      </c>
      <c r="E700" s="7"/>
    </row>
    <row r="701" spans="2:5">
      <c r="B701" s="6">
        <v>697</v>
      </c>
      <c r="C701" s="5">
        <v>46354</v>
      </c>
      <c r="D701" s="2">
        <v>24</v>
      </c>
      <c r="E701" s="7"/>
    </row>
    <row r="702" spans="2:5">
      <c r="B702" s="6">
        <v>698</v>
      </c>
      <c r="C702" s="5">
        <v>46355</v>
      </c>
      <c r="D702" s="2">
        <v>35</v>
      </c>
      <c r="E702" s="7"/>
    </row>
    <row r="703" spans="2:5">
      <c r="B703" s="6">
        <v>699</v>
      </c>
      <c r="C703" s="5">
        <v>46356</v>
      </c>
      <c r="D703" s="2">
        <v>43</v>
      </c>
      <c r="E703" s="7"/>
    </row>
    <row r="704" spans="2:5">
      <c r="B704" s="6">
        <v>700</v>
      </c>
      <c r="C704" s="5">
        <v>46357</v>
      </c>
      <c r="D704" s="2">
        <v>34</v>
      </c>
      <c r="E704" s="7"/>
    </row>
    <row r="705" spans="2:5">
      <c r="B705" s="6">
        <v>701</v>
      </c>
      <c r="C705" s="5">
        <v>46358</v>
      </c>
      <c r="D705" s="2">
        <v>26</v>
      </c>
      <c r="E705" s="7"/>
    </row>
    <row r="706" spans="2:5">
      <c r="B706" s="6">
        <v>702</v>
      </c>
      <c r="C706" s="5">
        <v>46359</v>
      </c>
      <c r="D706" s="2">
        <v>32</v>
      </c>
      <c r="E706" s="7"/>
    </row>
    <row r="707" spans="2:5">
      <c r="B707" s="6">
        <v>703</v>
      </c>
      <c r="C707" s="5">
        <v>46360</v>
      </c>
      <c r="D707" s="2">
        <v>35</v>
      </c>
      <c r="E707" s="7"/>
    </row>
    <row r="708" spans="2:5">
      <c r="B708" s="6">
        <v>704</v>
      </c>
      <c r="C708" s="5">
        <v>46361</v>
      </c>
      <c r="D708" s="2">
        <v>40</v>
      </c>
      <c r="E708" s="7"/>
    </row>
    <row r="709" spans="2:5">
      <c r="B709" s="6">
        <v>705</v>
      </c>
      <c r="C709" s="5">
        <v>46362</v>
      </c>
      <c r="D709" s="2">
        <v>34</v>
      </c>
      <c r="E709" s="7"/>
    </row>
    <row r="710" spans="2:5">
      <c r="B710" s="6">
        <v>706</v>
      </c>
      <c r="C710" s="5">
        <v>46363</v>
      </c>
      <c r="D710" s="2">
        <v>38</v>
      </c>
      <c r="E710" s="7"/>
    </row>
    <row r="711" spans="2:5">
      <c r="B711" s="6">
        <v>707</v>
      </c>
      <c r="C711" s="5">
        <v>46364</v>
      </c>
      <c r="D711" s="2">
        <v>37</v>
      </c>
      <c r="E711" s="7"/>
    </row>
    <row r="712" spans="2:5">
      <c r="B712" s="6">
        <v>708</v>
      </c>
      <c r="C712" s="5">
        <v>46365</v>
      </c>
      <c r="D712" s="2">
        <v>37</v>
      </c>
      <c r="E712" s="7"/>
    </row>
    <row r="713" spans="2:5">
      <c r="B713" s="6">
        <v>709</v>
      </c>
      <c r="C713" s="5">
        <v>46366</v>
      </c>
      <c r="D713" s="2">
        <v>37</v>
      </c>
      <c r="E713" s="7"/>
    </row>
    <row r="714" spans="2:5">
      <c r="B714" s="6">
        <v>710</v>
      </c>
      <c r="C714" s="5">
        <v>46367</v>
      </c>
      <c r="D714" s="2">
        <v>42</v>
      </c>
      <c r="E714" s="7"/>
    </row>
    <row r="715" spans="2:5">
      <c r="B715" s="6">
        <v>711</v>
      </c>
      <c r="C715" s="5">
        <v>46368</v>
      </c>
      <c r="D715" s="2">
        <v>49</v>
      </c>
      <c r="E715" s="7"/>
    </row>
    <row r="716" spans="2:5">
      <c r="B716" s="6">
        <v>712</v>
      </c>
      <c r="C716" s="5">
        <v>46369</v>
      </c>
      <c r="D716" s="2">
        <v>38</v>
      </c>
      <c r="E716" s="7"/>
    </row>
    <row r="717" spans="2:5">
      <c r="B717" s="6">
        <v>713</v>
      </c>
      <c r="C717" s="5">
        <v>46370</v>
      </c>
      <c r="D717" s="2">
        <v>38</v>
      </c>
      <c r="E717" s="7"/>
    </row>
    <row r="718" spans="2:5">
      <c r="B718" s="6">
        <v>714</v>
      </c>
      <c r="C718" s="5">
        <v>46371</v>
      </c>
      <c r="D718" s="2">
        <v>46</v>
      </c>
      <c r="E718" s="7"/>
    </row>
    <row r="719" spans="2:5">
      <c r="B719" s="6">
        <v>715</v>
      </c>
      <c r="C719" s="5">
        <v>46372</v>
      </c>
      <c r="D719" s="2">
        <v>31</v>
      </c>
      <c r="E719" s="7"/>
    </row>
    <row r="720" spans="2:5">
      <c r="B720" s="6">
        <v>716</v>
      </c>
      <c r="C720" s="5">
        <v>46373</v>
      </c>
      <c r="D720" s="2">
        <v>38</v>
      </c>
      <c r="E720" s="7"/>
    </row>
    <row r="721" spans="2:5">
      <c r="B721" s="6">
        <v>717</v>
      </c>
      <c r="C721" s="5">
        <v>46374</v>
      </c>
      <c r="D721" s="2">
        <v>31</v>
      </c>
      <c r="E721" s="7"/>
    </row>
    <row r="722" spans="2:5">
      <c r="B722" s="6">
        <v>718</v>
      </c>
      <c r="C722" s="5">
        <v>46375</v>
      </c>
      <c r="D722" s="2">
        <v>38</v>
      </c>
      <c r="E722" s="7"/>
    </row>
    <row r="723" spans="2:5">
      <c r="B723" s="6">
        <v>719</v>
      </c>
      <c r="C723" s="5">
        <v>46376</v>
      </c>
      <c r="D723" s="2">
        <v>34</v>
      </c>
      <c r="E723" s="7"/>
    </row>
    <row r="724" spans="2:5">
      <c r="B724" s="6">
        <v>720</v>
      </c>
      <c r="C724" s="5">
        <v>46377</v>
      </c>
      <c r="D724" s="2">
        <v>41</v>
      </c>
      <c r="E724" s="7"/>
    </row>
    <row r="725" spans="2:5">
      <c r="B725" s="6">
        <v>721</v>
      </c>
      <c r="C725" s="5">
        <v>46378</v>
      </c>
      <c r="D725" s="2">
        <v>37</v>
      </c>
      <c r="E725" s="7"/>
    </row>
    <row r="726" spans="2:5">
      <c r="B726" s="6">
        <v>722</v>
      </c>
      <c r="C726" s="5">
        <v>46379</v>
      </c>
      <c r="D726" s="2">
        <v>29</v>
      </c>
      <c r="E726" s="7"/>
    </row>
    <row r="727" spans="2:5">
      <c r="B727" s="6">
        <v>723</v>
      </c>
      <c r="C727" s="5">
        <v>46380</v>
      </c>
      <c r="D727" s="2">
        <v>31</v>
      </c>
      <c r="E727" s="7"/>
    </row>
    <row r="728" spans="2:5">
      <c r="B728" s="6">
        <v>724</v>
      </c>
      <c r="C728" s="5">
        <v>46381</v>
      </c>
      <c r="D728" s="2">
        <v>36</v>
      </c>
      <c r="E728" s="7"/>
    </row>
    <row r="729" spans="2:5">
      <c r="B729" s="6">
        <v>725</v>
      </c>
      <c r="C729" s="5">
        <v>46382</v>
      </c>
      <c r="D729" s="2">
        <v>44</v>
      </c>
      <c r="E729" s="7"/>
    </row>
    <row r="730" spans="2:5">
      <c r="B730" s="6">
        <v>726</v>
      </c>
      <c r="C730" s="5">
        <v>46383</v>
      </c>
      <c r="D730" s="2">
        <v>31</v>
      </c>
      <c r="E730" s="7"/>
    </row>
    <row r="731" spans="2:5">
      <c r="B731" s="6">
        <v>727</v>
      </c>
      <c r="C731" s="5">
        <v>46384</v>
      </c>
      <c r="D731" s="2">
        <v>30</v>
      </c>
      <c r="E731" s="7"/>
    </row>
    <row r="732" spans="2:5">
      <c r="B732" s="6">
        <v>728</v>
      </c>
      <c r="C732" s="5">
        <v>46385</v>
      </c>
      <c r="D732" s="2">
        <v>30</v>
      </c>
      <c r="E732" s="7"/>
    </row>
    <row r="733" spans="2:5">
      <c r="B733" s="6">
        <v>729</v>
      </c>
      <c r="C733" s="5">
        <v>46386</v>
      </c>
      <c r="D733" s="2">
        <v>42</v>
      </c>
      <c r="E733" s="7"/>
    </row>
    <row r="734" spans="2:5">
      <c r="B734" s="6">
        <v>730</v>
      </c>
      <c r="C734" s="5">
        <v>46387</v>
      </c>
      <c r="D734" s="2">
        <v>24</v>
      </c>
      <c r="E734" s="7"/>
    </row>
    <row r="735" spans="2:5">
      <c r="B735" s="6">
        <v>731</v>
      </c>
      <c r="C735" s="5">
        <v>46388</v>
      </c>
      <c r="D735" s="3"/>
      <c r="E735" s="16">
        <f t="shared" ref="E735:E798" si="0">ROUNDUP(_xlfn.FORECAST.ETS(B735,$D$5:$D$734,$B$5:$B$734,365,0,1),0)</f>
        <v>44</v>
      </c>
    </row>
    <row r="736" spans="2:5">
      <c r="B736" s="6">
        <v>732</v>
      </c>
      <c r="C736" s="5">
        <v>46389</v>
      </c>
      <c r="D736" s="3"/>
      <c r="E736" s="16">
        <f t="shared" si="0"/>
        <v>41</v>
      </c>
    </row>
    <row r="737" spans="2:5">
      <c r="B737" s="6">
        <v>733</v>
      </c>
      <c r="C737" s="5">
        <v>46390</v>
      </c>
      <c r="D737" s="3"/>
      <c r="E737" s="16">
        <f t="shared" si="0"/>
        <v>41</v>
      </c>
    </row>
    <row r="738" spans="2:5">
      <c r="B738" s="6">
        <v>734</v>
      </c>
      <c r="C738" s="5">
        <v>46391</v>
      </c>
      <c r="D738" s="3"/>
      <c r="E738" s="16">
        <f t="shared" si="0"/>
        <v>54</v>
      </c>
    </row>
    <row r="739" spans="2:5">
      <c r="B739" s="6">
        <v>735</v>
      </c>
      <c r="C739" s="5">
        <v>46392</v>
      </c>
      <c r="D739" s="3"/>
      <c r="E739" s="16">
        <f t="shared" si="0"/>
        <v>40</v>
      </c>
    </row>
    <row r="740" spans="2:5">
      <c r="B740" s="6">
        <v>736</v>
      </c>
      <c r="C740" s="5">
        <v>46393</v>
      </c>
      <c r="D740" s="3"/>
      <c r="E740" s="16">
        <f t="shared" si="0"/>
        <v>46</v>
      </c>
    </row>
    <row r="741" spans="2:5">
      <c r="B741" s="6">
        <v>737</v>
      </c>
      <c r="C741" s="5">
        <v>46394</v>
      </c>
      <c r="D741" s="3"/>
      <c r="E741" s="16">
        <f t="shared" si="0"/>
        <v>33</v>
      </c>
    </row>
    <row r="742" spans="2:5">
      <c r="B742" s="6">
        <v>738</v>
      </c>
      <c r="C742" s="5">
        <v>46395</v>
      </c>
      <c r="D742" s="3"/>
      <c r="E742" s="16">
        <f t="shared" si="0"/>
        <v>46</v>
      </c>
    </row>
    <row r="743" spans="2:5">
      <c r="B743" s="6">
        <v>739</v>
      </c>
      <c r="C743" s="5">
        <v>46396</v>
      </c>
      <c r="D743" s="3"/>
      <c r="E743" s="16">
        <f t="shared" si="0"/>
        <v>37</v>
      </c>
    </row>
    <row r="744" spans="2:5">
      <c r="B744" s="6">
        <v>740</v>
      </c>
      <c r="C744" s="5">
        <v>46397</v>
      </c>
      <c r="D744" s="3"/>
      <c r="E744" s="16">
        <f t="shared" si="0"/>
        <v>35</v>
      </c>
    </row>
    <row r="745" spans="2:5">
      <c r="B745" s="6">
        <v>741</v>
      </c>
      <c r="C745" s="5">
        <v>46398</v>
      </c>
      <c r="D745" s="3"/>
      <c r="E745" s="16">
        <f t="shared" si="0"/>
        <v>37</v>
      </c>
    </row>
    <row r="746" spans="2:5">
      <c r="B746" s="6">
        <v>742</v>
      </c>
      <c r="C746" s="5">
        <v>46399</v>
      </c>
      <c r="D746" s="3"/>
      <c r="E746" s="16">
        <f t="shared" si="0"/>
        <v>31</v>
      </c>
    </row>
    <row r="747" spans="2:5">
      <c r="B747" s="6">
        <v>743</v>
      </c>
      <c r="C747" s="5">
        <v>46400</v>
      </c>
      <c r="D747" s="3"/>
      <c r="E747" s="16">
        <f t="shared" si="0"/>
        <v>46</v>
      </c>
    </row>
    <row r="748" spans="2:5">
      <c r="B748" s="6">
        <v>744</v>
      </c>
      <c r="C748" s="5">
        <v>46401</v>
      </c>
      <c r="D748" s="3"/>
      <c r="E748" s="16">
        <f t="shared" si="0"/>
        <v>47</v>
      </c>
    </row>
    <row r="749" spans="2:5">
      <c r="B749" s="6">
        <v>745</v>
      </c>
      <c r="C749" s="5">
        <v>46402</v>
      </c>
      <c r="D749" s="3"/>
      <c r="E749" s="16">
        <f t="shared" si="0"/>
        <v>34</v>
      </c>
    </row>
    <row r="750" spans="2:5">
      <c r="B750" s="6">
        <v>746</v>
      </c>
      <c r="C750" s="5">
        <v>46403</v>
      </c>
      <c r="D750" s="3"/>
      <c r="E750" s="16">
        <f t="shared" si="0"/>
        <v>41</v>
      </c>
    </row>
    <row r="751" spans="2:5">
      <c r="B751" s="6">
        <v>747</v>
      </c>
      <c r="C751" s="5">
        <v>46404</v>
      </c>
      <c r="D751" s="3"/>
      <c r="E751" s="16">
        <f t="shared" si="0"/>
        <v>40</v>
      </c>
    </row>
    <row r="752" spans="2:5">
      <c r="B752" s="6">
        <v>748</v>
      </c>
      <c r="C752" s="5">
        <v>46405</v>
      </c>
      <c r="D752" s="3"/>
      <c r="E752" s="16">
        <f t="shared" si="0"/>
        <v>28</v>
      </c>
    </row>
    <row r="753" spans="2:5">
      <c r="B753" s="6">
        <v>749</v>
      </c>
      <c r="C753" s="5">
        <v>46406</v>
      </c>
      <c r="D753" s="3"/>
      <c r="E753" s="16">
        <f t="shared" si="0"/>
        <v>42</v>
      </c>
    </row>
    <row r="754" spans="2:5">
      <c r="B754" s="6">
        <v>750</v>
      </c>
      <c r="C754" s="5">
        <v>46407</v>
      </c>
      <c r="D754" s="3"/>
      <c r="E754" s="16">
        <f t="shared" si="0"/>
        <v>32</v>
      </c>
    </row>
    <row r="755" spans="2:5">
      <c r="B755" s="6">
        <v>751</v>
      </c>
      <c r="C755" s="5">
        <v>46408</v>
      </c>
      <c r="D755" s="3"/>
      <c r="E755" s="16">
        <f t="shared" si="0"/>
        <v>48</v>
      </c>
    </row>
    <row r="756" spans="2:5">
      <c r="B756" s="6">
        <v>752</v>
      </c>
      <c r="C756" s="5">
        <v>46409</v>
      </c>
      <c r="D756" s="3"/>
      <c r="E756" s="16">
        <f t="shared" si="0"/>
        <v>31</v>
      </c>
    </row>
    <row r="757" spans="2:5">
      <c r="B757" s="6">
        <v>753</v>
      </c>
      <c r="C757" s="5">
        <v>46410</v>
      </c>
      <c r="D757" s="3"/>
      <c r="E757" s="16">
        <f t="shared" si="0"/>
        <v>48</v>
      </c>
    </row>
    <row r="758" spans="2:5">
      <c r="B758" s="6">
        <v>754</v>
      </c>
      <c r="C758" s="5">
        <v>46411</v>
      </c>
      <c r="D758" s="3"/>
      <c r="E758" s="16">
        <f t="shared" si="0"/>
        <v>50</v>
      </c>
    </row>
    <row r="759" spans="2:5">
      <c r="B759" s="6">
        <v>755</v>
      </c>
      <c r="C759" s="5">
        <v>46412</v>
      </c>
      <c r="D759" s="3"/>
      <c r="E759" s="16">
        <f t="shared" si="0"/>
        <v>38</v>
      </c>
    </row>
    <row r="760" spans="2:5">
      <c r="B760" s="6">
        <v>756</v>
      </c>
      <c r="C760" s="5">
        <v>46413</v>
      </c>
      <c r="D760" s="3"/>
      <c r="E760" s="16">
        <f t="shared" si="0"/>
        <v>31</v>
      </c>
    </row>
    <row r="761" spans="2:5">
      <c r="B761" s="6">
        <v>757</v>
      </c>
      <c r="C761" s="5">
        <v>46414</v>
      </c>
      <c r="D761" s="3"/>
      <c r="E761" s="16">
        <f t="shared" si="0"/>
        <v>41</v>
      </c>
    </row>
    <row r="762" spans="2:5">
      <c r="B762" s="6">
        <v>758</v>
      </c>
      <c r="C762" s="5">
        <v>46415</v>
      </c>
      <c r="D762" s="3"/>
      <c r="E762" s="16">
        <f t="shared" si="0"/>
        <v>44</v>
      </c>
    </row>
    <row r="763" spans="2:5">
      <c r="B763" s="6">
        <v>759</v>
      </c>
      <c r="C763" s="5">
        <v>46416</v>
      </c>
      <c r="D763" s="3"/>
      <c r="E763" s="16">
        <f t="shared" si="0"/>
        <v>34</v>
      </c>
    </row>
    <row r="764" spans="2:5">
      <c r="B764" s="6">
        <v>760</v>
      </c>
      <c r="C764" s="5">
        <v>46417</v>
      </c>
      <c r="D764" s="3"/>
      <c r="E764" s="16">
        <f t="shared" si="0"/>
        <v>34</v>
      </c>
    </row>
    <row r="765" spans="2:5">
      <c r="B765" s="6">
        <v>761</v>
      </c>
      <c r="C765" s="5">
        <v>46418</v>
      </c>
      <c r="D765" s="3"/>
      <c r="E765" s="16">
        <f t="shared" si="0"/>
        <v>49</v>
      </c>
    </row>
    <row r="766" spans="2:5">
      <c r="B766" s="6">
        <v>762</v>
      </c>
      <c r="C766" s="5">
        <v>46419</v>
      </c>
      <c r="D766" s="3"/>
      <c r="E766" s="16">
        <f t="shared" si="0"/>
        <v>41</v>
      </c>
    </row>
    <row r="767" spans="2:5">
      <c r="B767" s="6">
        <v>763</v>
      </c>
      <c r="C767" s="5">
        <v>46420</v>
      </c>
      <c r="D767" s="3"/>
      <c r="E767" s="16">
        <f t="shared" si="0"/>
        <v>40</v>
      </c>
    </row>
    <row r="768" spans="2:5">
      <c r="B768" s="6">
        <v>764</v>
      </c>
      <c r="C768" s="5">
        <v>46421</v>
      </c>
      <c r="D768" s="3"/>
      <c r="E768" s="16">
        <f t="shared" si="0"/>
        <v>46</v>
      </c>
    </row>
    <row r="769" spans="2:5">
      <c r="B769" s="6">
        <v>765</v>
      </c>
      <c r="C769" s="5">
        <v>46422</v>
      </c>
      <c r="D769" s="3"/>
      <c r="E769" s="16">
        <f t="shared" si="0"/>
        <v>31</v>
      </c>
    </row>
    <row r="770" spans="2:5">
      <c r="B770" s="6">
        <v>766</v>
      </c>
      <c r="C770" s="5">
        <v>46423</v>
      </c>
      <c r="D770" s="3"/>
      <c r="E770" s="16">
        <f t="shared" si="0"/>
        <v>38</v>
      </c>
    </row>
    <row r="771" spans="2:5">
      <c r="B771" s="6">
        <v>767</v>
      </c>
      <c r="C771" s="5">
        <v>46424</v>
      </c>
      <c r="D771" s="3"/>
      <c r="E771" s="16">
        <f t="shared" si="0"/>
        <v>39</v>
      </c>
    </row>
    <row r="772" spans="2:5">
      <c r="B772" s="6">
        <v>768</v>
      </c>
      <c r="C772" s="5">
        <v>46425</v>
      </c>
      <c r="D772" s="3"/>
      <c r="E772" s="16">
        <f t="shared" si="0"/>
        <v>40</v>
      </c>
    </row>
    <row r="773" spans="2:5">
      <c r="B773" s="6">
        <v>769</v>
      </c>
      <c r="C773" s="5">
        <v>46426</v>
      </c>
      <c r="D773" s="3"/>
      <c r="E773" s="16">
        <f t="shared" si="0"/>
        <v>48</v>
      </c>
    </row>
    <row r="774" spans="2:5">
      <c r="B774" s="6">
        <v>770</v>
      </c>
      <c r="C774" s="5">
        <v>46427</v>
      </c>
      <c r="D774" s="3"/>
      <c r="E774" s="16">
        <f t="shared" si="0"/>
        <v>39</v>
      </c>
    </row>
    <row r="775" spans="2:5">
      <c r="B775" s="6">
        <v>771</v>
      </c>
      <c r="C775" s="5">
        <v>46428</v>
      </c>
      <c r="D775" s="3"/>
      <c r="E775" s="16">
        <f t="shared" si="0"/>
        <v>42</v>
      </c>
    </row>
    <row r="776" spans="2:5">
      <c r="B776" s="6">
        <v>772</v>
      </c>
      <c r="C776" s="5">
        <v>46429</v>
      </c>
      <c r="D776" s="3"/>
      <c r="E776" s="16">
        <f t="shared" si="0"/>
        <v>43</v>
      </c>
    </row>
    <row r="777" spans="2:5">
      <c r="B777" s="6">
        <v>773</v>
      </c>
      <c r="C777" s="5">
        <v>46430</v>
      </c>
      <c r="D777" s="3"/>
      <c r="E777" s="16">
        <f t="shared" si="0"/>
        <v>48</v>
      </c>
    </row>
    <row r="778" spans="2:5">
      <c r="B778" s="6">
        <v>774</v>
      </c>
      <c r="C778" s="5">
        <v>46431</v>
      </c>
      <c r="D778" s="3"/>
      <c r="E778" s="16">
        <f t="shared" si="0"/>
        <v>45</v>
      </c>
    </row>
    <row r="779" spans="2:5">
      <c r="B779" s="6">
        <v>775</v>
      </c>
      <c r="C779" s="5">
        <v>46432</v>
      </c>
      <c r="D779" s="3"/>
      <c r="E779" s="16">
        <f t="shared" si="0"/>
        <v>53</v>
      </c>
    </row>
    <row r="780" spans="2:5">
      <c r="B780" s="6">
        <v>776</v>
      </c>
      <c r="C780" s="5">
        <v>46433</v>
      </c>
      <c r="D780" s="3"/>
      <c r="E780" s="16">
        <f t="shared" si="0"/>
        <v>27</v>
      </c>
    </row>
    <row r="781" spans="2:5">
      <c r="B781" s="6">
        <v>777</v>
      </c>
      <c r="C781" s="5">
        <v>46434</v>
      </c>
      <c r="D781" s="3"/>
      <c r="E781" s="16">
        <f t="shared" si="0"/>
        <v>38</v>
      </c>
    </row>
    <row r="782" spans="2:5">
      <c r="B782" s="6">
        <v>778</v>
      </c>
      <c r="C782" s="5">
        <v>46435</v>
      </c>
      <c r="D782" s="3"/>
      <c r="E782" s="16">
        <f t="shared" si="0"/>
        <v>40</v>
      </c>
    </row>
    <row r="783" spans="2:5">
      <c r="B783" s="6">
        <v>779</v>
      </c>
      <c r="C783" s="5">
        <v>46436</v>
      </c>
      <c r="D783" s="3"/>
      <c r="E783" s="16">
        <f t="shared" si="0"/>
        <v>38</v>
      </c>
    </row>
    <row r="784" spans="2:5">
      <c r="B784" s="6">
        <v>780</v>
      </c>
      <c r="C784" s="5">
        <v>46437</v>
      </c>
      <c r="D784" s="3"/>
      <c r="E784" s="16">
        <f t="shared" si="0"/>
        <v>40</v>
      </c>
    </row>
    <row r="785" spans="2:5">
      <c r="B785" s="6">
        <v>781</v>
      </c>
      <c r="C785" s="5">
        <v>46438</v>
      </c>
      <c r="D785" s="3"/>
      <c r="E785" s="16">
        <f t="shared" si="0"/>
        <v>36</v>
      </c>
    </row>
    <row r="786" spans="2:5">
      <c r="B786" s="6">
        <v>782</v>
      </c>
      <c r="C786" s="5">
        <v>46439</v>
      </c>
      <c r="D786" s="3"/>
      <c r="E786" s="16">
        <f t="shared" si="0"/>
        <v>45</v>
      </c>
    </row>
    <row r="787" spans="2:5">
      <c r="B787" s="6">
        <v>783</v>
      </c>
      <c r="C787" s="5">
        <v>46440</v>
      </c>
      <c r="D787" s="3"/>
      <c r="E787" s="16">
        <f t="shared" si="0"/>
        <v>38</v>
      </c>
    </row>
    <row r="788" spans="2:5">
      <c r="B788" s="6">
        <v>784</v>
      </c>
      <c r="C788" s="5">
        <v>46441</v>
      </c>
      <c r="D788" s="3"/>
      <c r="E788" s="16">
        <f t="shared" si="0"/>
        <v>36</v>
      </c>
    </row>
    <row r="789" spans="2:5">
      <c r="B789" s="6">
        <v>785</v>
      </c>
      <c r="C789" s="5">
        <v>46442</v>
      </c>
      <c r="D789" s="3"/>
      <c r="E789" s="16">
        <f t="shared" si="0"/>
        <v>51</v>
      </c>
    </row>
    <row r="790" spans="2:5">
      <c r="B790" s="6">
        <v>786</v>
      </c>
      <c r="C790" s="5">
        <v>46443</v>
      </c>
      <c r="D790" s="3"/>
      <c r="E790" s="16">
        <f t="shared" si="0"/>
        <v>45</v>
      </c>
    </row>
    <row r="791" spans="2:5">
      <c r="B791" s="6">
        <v>787</v>
      </c>
      <c r="C791" s="5">
        <v>46444</v>
      </c>
      <c r="D791" s="3"/>
      <c r="E791" s="16">
        <f t="shared" si="0"/>
        <v>36</v>
      </c>
    </row>
    <row r="792" spans="2:5">
      <c r="B792" s="6">
        <v>788</v>
      </c>
      <c r="C792" s="5">
        <v>46445</v>
      </c>
      <c r="D792" s="3"/>
      <c r="E792" s="16">
        <f t="shared" si="0"/>
        <v>40</v>
      </c>
    </row>
    <row r="793" spans="2:5">
      <c r="B793" s="6">
        <v>789</v>
      </c>
      <c r="C793" s="5">
        <v>46446</v>
      </c>
      <c r="D793" s="3"/>
      <c r="E793" s="16">
        <f t="shared" si="0"/>
        <v>42</v>
      </c>
    </row>
    <row r="794" spans="2:5">
      <c r="B794" s="6">
        <v>790</v>
      </c>
      <c r="C794" s="5">
        <v>46447</v>
      </c>
      <c r="D794" s="3"/>
      <c r="E794" s="16">
        <f t="shared" si="0"/>
        <v>39</v>
      </c>
    </row>
    <row r="795" spans="2:5">
      <c r="B795" s="6">
        <v>791</v>
      </c>
      <c r="C795" s="5">
        <v>46448</v>
      </c>
      <c r="D795" s="3"/>
      <c r="E795" s="16">
        <f t="shared" si="0"/>
        <v>37</v>
      </c>
    </row>
    <row r="796" spans="2:5">
      <c r="B796" s="6">
        <v>792</v>
      </c>
      <c r="C796" s="5">
        <v>46449</v>
      </c>
      <c r="D796" s="3"/>
      <c r="E796" s="16">
        <f t="shared" si="0"/>
        <v>35</v>
      </c>
    </row>
    <row r="797" spans="2:5">
      <c r="B797" s="6">
        <v>793</v>
      </c>
      <c r="C797" s="5">
        <v>46450</v>
      </c>
      <c r="D797" s="3"/>
      <c r="E797" s="16">
        <f t="shared" si="0"/>
        <v>39</v>
      </c>
    </row>
    <row r="798" spans="2:5">
      <c r="B798" s="6">
        <v>794</v>
      </c>
      <c r="C798" s="5">
        <v>46451</v>
      </c>
      <c r="D798" s="3"/>
      <c r="E798" s="16">
        <f t="shared" si="0"/>
        <v>39</v>
      </c>
    </row>
    <row r="799" spans="2:5">
      <c r="B799" s="6">
        <v>795</v>
      </c>
      <c r="C799" s="5">
        <v>46452</v>
      </c>
      <c r="D799" s="3"/>
      <c r="E799" s="16">
        <f t="shared" ref="E799:E862" si="1">ROUNDUP(_xlfn.FORECAST.ETS(B799,$D$5:$D$734,$B$5:$B$734,365,0,1),0)</f>
        <v>45</v>
      </c>
    </row>
    <row r="800" spans="2:5">
      <c r="B800" s="6">
        <v>796</v>
      </c>
      <c r="C800" s="5">
        <v>46453</v>
      </c>
      <c r="D800" s="3"/>
      <c r="E800" s="16">
        <f t="shared" si="1"/>
        <v>34</v>
      </c>
    </row>
    <row r="801" spans="2:5">
      <c r="B801" s="6">
        <v>797</v>
      </c>
      <c r="C801" s="5">
        <v>46454</v>
      </c>
      <c r="D801" s="3"/>
      <c r="E801" s="16">
        <f t="shared" si="1"/>
        <v>51</v>
      </c>
    </row>
    <row r="802" spans="2:5">
      <c r="B802" s="6">
        <v>798</v>
      </c>
      <c r="C802" s="5">
        <v>46455</v>
      </c>
      <c r="D802" s="3"/>
      <c r="E802" s="16">
        <f t="shared" si="1"/>
        <v>36</v>
      </c>
    </row>
    <row r="803" spans="2:5">
      <c r="B803" s="6">
        <v>799</v>
      </c>
      <c r="C803" s="5">
        <v>46456</v>
      </c>
      <c r="D803" s="3"/>
      <c r="E803" s="16">
        <f t="shared" si="1"/>
        <v>37</v>
      </c>
    </row>
    <row r="804" spans="2:5">
      <c r="B804" s="6">
        <v>800</v>
      </c>
      <c r="C804" s="5">
        <v>46457</v>
      </c>
      <c r="D804" s="3"/>
      <c r="E804" s="16">
        <f t="shared" si="1"/>
        <v>47</v>
      </c>
    </row>
    <row r="805" spans="2:5">
      <c r="B805" s="6">
        <v>801</v>
      </c>
      <c r="C805" s="5">
        <v>46458</v>
      </c>
      <c r="D805" s="3"/>
      <c r="E805" s="16">
        <f t="shared" si="1"/>
        <v>41</v>
      </c>
    </row>
    <row r="806" spans="2:5">
      <c r="B806" s="6">
        <v>802</v>
      </c>
      <c r="C806" s="5">
        <v>46459</v>
      </c>
      <c r="D806" s="3"/>
      <c r="E806" s="16">
        <f t="shared" si="1"/>
        <v>41</v>
      </c>
    </row>
    <row r="807" spans="2:5">
      <c r="B807" s="6">
        <v>803</v>
      </c>
      <c r="C807" s="5">
        <v>46460</v>
      </c>
      <c r="D807" s="3"/>
      <c r="E807" s="16">
        <f t="shared" si="1"/>
        <v>42</v>
      </c>
    </row>
    <row r="808" spans="2:5">
      <c r="B808" s="6">
        <v>804</v>
      </c>
      <c r="C808" s="5">
        <v>46461</v>
      </c>
      <c r="D808" s="3"/>
      <c r="E808" s="16">
        <f t="shared" si="1"/>
        <v>48</v>
      </c>
    </row>
    <row r="809" spans="2:5">
      <c r="B809" s="6">
        <v>805</v>
      </c>
      <c r="C809" s="5">
        <v>46462</v>
      </c>
      <c r="D809" s="3"/>
      <c r="E809" s="16">
        <f t="shared" si="1"/>
        <v>55</v>
      </c>
    </row>
    <row r="810" spans="2:5">
      <c r="B810" s="6">
        <v>806</v>
      </c>
      <c r="C810" s="5">
        <v>46463</v>
      </c>
      <c r="D810" s="3"/>
      <c r="E810" s="16">
        <f t="shared" si="1"/>
        <v>50</v>
      </c>
    </row>
    <row r="811" spans="2:5">
      <c r="B811" s="6">
        <v>807</v>
      </c>
      <c r="C811" s="5">
        <v>46464</v>
      </c>
      <c r="D811" s="3"/>
      <c r="E811" s="16">
        <f t="shared" si="1"/>
        <v>44</v>
      </c>
    </row>
    <row r="812" spans="2:5">
      <c r="B812" s="6">
        <v>808</v>
      </c>
      <c r="C812" s="5">
        <v>46465</v>
      </c>
      <c r="D812" s="3"/>
      <c r="E812" s="16">
        <f t="shared" si="1"/>
        <v>41</v>
      </c>
    </row>
    <row r="813" spans="2:5">
      <c r="B813" s="6">
        <v>809</v>
      </c>
      <c r="C813" s="5">
        <v>46466</v>
      </c>
      <c r="D813" s="3"/>
      <c r="E813" s="16">
        <f t="shared" si="1"/>
        <v>38</v>
      </c>
    </row>
    <row r="814" spans="2:5">
      <c r="B814" s="6">
        <v>810</v>
      </c>
      <c r="C814" s="5">
        <v>46467</v>
      </c>
      <c r="D814" s="3"/>
      <c r="E814" s="16">
        <f t="shared" si="1"/>
        <v>44</v>
      </c>
    </row>
    <row r="815" spans="2:5">
      <c r="B815" s="6">
        <v>811</v>
      </c>
      <c r="C815" s="5">
        <v>46468</v>
      </c>
      <c r="D815" s="3"/>
      <c r="E815" s="16">
        <f t="shared" si="1"/>
        <v>39</v>
      </c>
    </row>
    <row r="816" spans="2:5">
      <c r="B816" s="6">
        <v>812</v>
      </c>
      <c r="C816" s="5">
        <v>46469</v>
      </c>
      <c r="D816" s="3"/>
      <c r="E816" s="16">
        <f t="shared" si="1"/>
        <v>52</v>
      </c>
    </row>
    <row r="817" spans="2:5">
      <c r="B817" s="6">
        <v>813</v>
      </c>
      <c r="C817" s="5">
        <v>46470</v>
      </c>
      <c r="D817" s="3"/>
      <c r="E817" s="16">
        <f t="shared" si="1"/>
        <v>47</v>
      </c>
    </row>
    <row r="818" spans="2:5">
      <c r="B818" s="6">
        <v>814</v>
      </c>
      <c r="C818" s="5">
        <v>46471</v>
      </c>
      <c r="D818" s="3"/>
      <c r="E818" s="16">
        <f t="shared" si="1"/>
        <v>43</v>
      </c>
    </row>
    <row r="819" spans="2:5">
      <c r="B819" s="6">
        <v>815</v>
      </c>
      <c r="C819" s="5">
        <v>46472</v>
      </c>
      <c r="D819" s="3"/>
      <c r="E819" s="16">
        <f t="shared" si="1"/>
        <v>56</v>
      </c>
    </row>
    <row r="820" spans="2:5">
      <c r="B820" s="6">
        <v>816</v>
      </c>
      <c r="C820" s="5">
        <v>46473</v>
      </c>
      <c r="D820" s="3"/>
      <c r="E820" s="16">
        <f t="shared" si="1"/>
        <v>45</v>
      </c>
    </row>
    <row r="821" spans="2:5">
      <c r="B821" s="6">
        <v>817</v>
      </c>
      <c r="C821" s="5">
        <v>46474</v>
      </c>
      <c r="D821" s="3"/>
      <c r="E821" s="16">
        <f t="shared" si="1"/>
        <v>49</v>
      </c>
    </row>
    <row r="822" spans="2:5">
      <c r="B822" s="6">
        <v>818</v>
      </c>
      <c r="C822" s="5">
        <v>46475</v>
      </c>
      <c r="D822" s="3"/>
      <c r="E822" s="16">
        <f t="shared" si="1"/>
        <v>43</v>
      </c>
    </row>
    <row r="823" spans="2:5">
      <c r="B823" s="6">
        <v>819</v>
      </c>
      <c r="C823" s="5">
        <v>46476</v>
      </c>
      <c r="D823" s="3"/>
      <c r="E823" s="16">
        <f t="shared" si="1"/>
        <v>47</v>
      </c>
    </row>
    <row r="824" spans="2:5">
      <c r="B824" s="6">
        <v>820</v>
      </c>
      <c r="C824" s="5">
        <v>46477</v>
      </c>
      <c r="D824" s="3"/>
      <c r="E824" s="16">
        <f t="shared" si="1"/>
        <v>44</v>
      </c>
    </row>
    <row r="825" spans="2:5">
      <c r="B825" s="6">
        <v>821</v>
      </c>
      <c r="C825" s="5">
        <v>46478</v>
      </c>
      <c r="D825" s="3"/>
      <c r="E825" s="16">
        <f t="shared" si="1"/>
        <v>42</v>
      </c>
    </row>
    <row r="826" spans="2:5">
      <c r="B826" s="6">
        <v>822</v>
      </c>
      <c r="C826" s="5">
        <v>46479</v>
      </c>
      <c r="D826" s="3"/>
      <c r="E826" s="16">
        <f t="shared" si="1"/>
        <v>49</v>
      </c>
    </row>
    <row r="827" spans="2:5">
      <c r="B827" s="6">
        <v>823</v>
      </c>
      <c r="C827" s="5">
        <v>46480</v>
      </c>
      <c r="D827" s="3"/>
      <c r="E827" s="16">
        <f t="shared" si="1"/>
        <v>43</v>
      </c>
    </row>
    <row r="828" spans="2:5">
      <c r="B828" s="6">
        <v>824</v>
      </c>
      <c r="C828" s="5">
        <v>46481</v>
      </c>
      <c r="D828" s="3"/>
      <c r="E828" s="16">
        <f t="shared" si="1"/>
        <v>29</v>
      </c>
    </row>
    <row r="829" spans="2:5">
      <c r="B829" s="6">
        <v>825</v>
      </c>
      <c r="C829" s="5">
        <v>46482</v>
      </c>
      <c r="D829" s="3"/>
      <c r="E829" s="16">
        <f t="shared" si="1"/>
        <v>32</v>
      </c>
    </row>
    <row r="830" spans="2:5">
      <c r="B830" s="6">
        <v>826</v>
      </c>
      <c r="C830" s="5">
        <v>46483</v>
      </c>
      <c r="D830" s="3"/>
      <c r="E830" s="16">
        <f t="shared" si="1"/>
        <v>36</v>
      </c>
    </row>
    <row r="831" spans="2:5">
      <c r="B831" s="6">
        <v>827</v>
      </c>
      <c r="C831" s="5">
        <v>46484</v>
      </c>
      <c r="D831" s="3"/>
      <c r="E831" s="16">
        <f t="shared" si="1"/>
        <v>51</v>
      </c>
    </row>
    <row r="832" spans="2:5">
      <c r="B832" s="6">
        <v>828</v>
      </c>
      <c r="C832" s="5">
        <v>46485</v>
      </c>
      <c r="D832" s="3"/>
      <c r="E832" s="16">
        <f t="shared" si="1"/>
        <v>44</v>
      </c>
    </row>
    <row r="833" spans="2:5">
      <c r="B833" s="6">
        <v>829</v>
      </c>
      <c r="C833" s="5">
        <v>46486</v>
      </c>
      <c r="D833" s="3"/>
      <c r="E833" s="16">
        <f t="shared" si="1"/>
        <v>40</v>
      </c>
    </row>
    <row r="834" spans="2:5">
      <c r="B834" s="6">
        <v>830</v>
      </c>
      <c r="C834" s="5">
        <v>46487</v>
      </c>
      <c r="D834" s="3"/>
      <c r="E834" s="16">
        <f t="shared" si="1"/>
        <v>46</v>
      </c>
    </row>
    <row r="835" spans="2:5">
      <c r="B835" s="6">
        <v>831</v>
      </c>
      <c r="C835" s="5">
        <v>46488</v>
      </c>
      <c r="D835" s="3"/>
      <c r="E835" s="16">
        <f t="shared" si="1"/>
        <v>30</v>
      </c>
    </row>
    <row r="836" spans="2:5">
      <c r="B836" s="6">
        <v>832</v>
      </c>
      <c r="C836" s="5">
        <v>46489</v>
      </c>
      <c r="D836" s="3"/>
      <c r="E836" s="16">
        <f t="shared" si="1"/>
        <v>45</v>
      </c>
    </row>
    <row r="837" spans="2:5">
      <c r="B837" s="6">
        <v>833</v>
      </c>
      <c r="C837" s="5">
        <v>46490</v>
      </c>
      <c r="D837" s="3"/>
      <c r="E837" s="16">
        <f t="shared" si="1"/>
        <v>43</v>
      </c>
    </row>
    <row r="838" spans="2:5">
      <c r="B838" s="6">
        <v>834</v>
      </c>
      <c r="C838" s="5">
        <v>46491</v>
      </c>
      <c r="D838" s="3"/>
      <c r="E838" s="16">
        <f t="shared" si="1"/>
        <v>47</v>
      </c>
    </row>
    <row r="839" spans="2:5">
      <c r="B839" s="6">
        <v>835</v>
      </c>
      <c r="C839" s="5">
        <v>46492</v>
      </c>
      <c r="D839" s="3"/>
      <c r="E839" s="16">
        <f t="shared" si="1"/>
        <v>50</v>
      </c>
    </row>
    <row r="840" spans="2:5">
      <c r="B840" s="6">
        <v>836</v>
      </c>
      <c r="C840" s="5">
        <v>46493</v>
      </c>
      <c r="D840" s="3"/>
      <c r="E840" s="16">
        <f t="shared" si="1"/>
        <v>49</v>
      </c>
    </row>
    <row r="841" spans="2:5">
      <c r="B841" s="6">
        <v>837</v>
      </c>
      <c r="C841" s="5">
        <v>46494</v>
      </c>
      <c r="D841" s="3"/>
      <c r="E841" s="16">
        <f t="shared" si="1"/>
        <v>42</v>
      </c>
    </row>
    <row r="842" spans="2:5">
      <c r="B842" s="6">
        <v>838</v>
      </c>
      <c r="C842" s="5">
        <v>46495</v>
      </c>
      <c r="D842" s="3"/>
      <c r="E842" s="16">
        <f t="shared" si="1"/>
        <v>37</v>
      </c>
    </row>
    <row r="843" spans="2:5">
      <c r="B843" s="6">
        <v>839</v>
      </c>
      <c r="C843" s="5">
        <v>46496</v>
      </c>
      <c r="D843" s="3"/>
      <c r="E843" s="16">
        <f t="shared" si="1"/>
        <v>46</v>
      </c>
    </row>
    <row r="844" spans="2:5">
      <c r="B844" s="6">
        <v>840</v>
      </c>
      <c r="C844" s="5">
        <v>46497</v>
      </c>
      <c r="D844" s="3"/>
      <c r="E844" s="16">
        <f t="shared" si="1"/>
        <v>40</v>
      </c>
    </row>
    <row r="845" spans="2:5">
      <c r="B845" s="6">
        <v>841</v>
      </c>
      <c r="C845" s="5">
        <v>46498</v>
      </c>
      <c r="D845" s="3"/>
      <c r="E845" s="16">
        <f t="shared" si="1"/>
        <v>39</v>
      </c>
    </row>
    <row r="846" spans="2:5">
      <c r="B846" s="6">
        <v>842</v>
      </c>
      <c r="C846" s="5">
        <v>46499</v>
      </c>
      <c r="D846" s="3"/>
      <c r="E846" s="16">
        <f t="shared" si="1"/>
        <v>46</v>
      </c>
    </row>
    <row r="847" spans="2:5">
      <c r="B847" s="6">
        <v>843</v>
      </c>
      <c r="C847" s="5">
        <v>46500</v>
      </c>
      <c r="D847" s="3"/>
      <c r="E847" s="16">
        <f t="shared" si="1"/>
        <v>41</v>
      </c>
    </row>
    <row r="848" spans="2:5">
      <c r="B848" s="6">
        <v>844</v>
      </c>
      <c r="C848" s="5">
        <v>46501</v>
      </c>
      <c r="D848" s="3"/>
      <c r="E848" s="16">
        <f t="shared" si="1"/>
        <v>53</v>
      </c>
    </row>
    <row r="849" spans="2:5">
      <c r="B849" s="6">
        <v>845</v>
      </c>
      <c r="C849" s="5">
        <v>46502</v>
      </c>
      <c r="D849" s="3"/>
      <c r="E849" s="16">
        <f t="shared" si="1"/>
        <v>42</v>
      </c>
    </row>
    <row r="850" spans="2:5">
      <c r="B850" s="6">
        <v>846</v>
      </c>
      <c r="C850" s="5">
        <v>46503</v>
      </c>
      <c r="D850" s="3"/>
      <c r="E850" s="16">
        <f t="shared" si="1"/>
        <v>35</v>
      </c>
    </row>
    <row r="851" spans="2:5">
      <c r="B851" s="6">
        <v>847</v>
      </c>
      <c r="C851" s="5">
        <v>46504</v>
      </c>
      <c r="D851" s="3"/>
      <c r="E851" s="16">
        <f t="shared" si="1"/>
        <v>55</v>
      </c>
    </row>
    <row r="852" spans="2:5">
      <c r="B852" s="6">
        <v>848</v>
      </c>
      <c r="C852" s="5">
        <v>46505</v>
      </c>
      <c r="D852" s="3"/>
      <c r="E852" s="16">
        <f t="shared" si="1"/>
        <v>49</v>
      </c>
    </row>
    <row r="853" spans="2:5">
      <c r="B853" s="6">
        <v>849</v>
      </c>
      <c r="C853" s="5">
        <v>46506</v>
      </c>
      <c r="D853" s="3"/>
      <c r="E853" s="16">
        <f t="shared" si="1"/>
        <v>53</v>
      </c>
    </row>
    <row r="854" spans="2:5">
      <c r="B854" s="6">
        <v>850</v>
      </c>
      <c r="C854" s="5">
        <v>46507</v>
      </c>
      <c r="D854" s="3"/>
      <c r="E854" s="16">
        <f t="shared" si="1"/>
        <v>48</v>
      </c>
    </row>
    <row r="855" spans="2:5">
      <c r="B855" s="6">
        <v>851</v>
      </c>
      <c r="C855" s="5">
        <v>46508</v>
      </c>
      <c r="D855" s="3"/>
      <c r="E855" s="16">
        <f t="shared" si="1"/>
        <v>49</v>
      </c>
    </row>
    <row r="856" spans="2:5">
      <c r="B856" s="6">
        <v>852</v>
      </c>
      <c r="C856" s="5">
        <v>46509</v>
      </c>
      <c r="D856" s="3"/>
      <c r="E856" s="16">
        <f t="shared" si="1"/>
        <v>42</v>
      </c>
    </row>
    <row r="857" spans="2:5">
      <c r="B857" s="6">
        <v>853</v>
      </c>
      <c r="C857" s="5">
        <v>46510</v>
      </c>
      <c r="D857" s="3"/>
      <c r="E857" s="16">
        <f t="shared" si="1"/>
        <v>45</v>
      </c>
    </row>
    <row r="858" spans="2:5">
      <c r="B858" s="6">
        <v>854</v>
      </c>
      <c r="C858" s="5">
        <v>46511</v>
      </c>
      <c r="D858" s="3"/>
      <c r="E858" s="16">
        <f t="shared" si="1"/>
        <v>41</v>
      </c>
    </row>
    <row r="859" spans="2:5">
      <c r="B859" s="6">
        <v>855</v>
      </c>
      <c r="C859" s="5">
        <v>46512</v>
      </c>
      <c r="D859" s="3"/>
      <c r="E859" s="16">
        <f t="shared" si="1"/>
        <v>43</v>
      </c>
    </row>
    <row r="860" spans="2:5">
      <c r="B860" s="6">
        <v>856</v>
      </c>
      <c r="C860" s="5">
        <v>46513</v>
      </c>
      <c r="D860" s="3"/>
      <c r="E860" s="16">
        <f t="shared" si="1"/>
        <v>43</v>
      </c>
    </row>
    <row r="861" spans="2:5">
      <c r="B861" s="6">
        <v>857</v>
      </c>
      <c r="C861" s="5">
        <v>46514</v>
      </c>
      <c r="D861" s="3"/>
      <c r="E861" s="16">
        <f t="shared" si="1"/>
        <v>45</v>
      </c>
    </row>
    <row r="862" spans="2:5">
      <c r="B862" s="6">
        <v>858</v>
      </c>
      <c r="C862" s="5">
        <v>46515</v>
      </c>
      <c r="D862" s="3"/>
      <c r="E862" s="16">
        <f t="shared" si="1"/>
        <v>35</v>
      </c>
    </row>
    <row r="863" spans="2:5">
      <c r="B863" s="6">
        <v>859</v>
      </c>
      <c r="C863" s="5">
        <v>46516</v>
      </c>
      <c r="D863" s="3"/>
      <c r="E863" s="16">
        <f t="shared" ref="E863:E926" si="2">ROUNDUP(_xlfn.FORECAST.ETS(B863,$D$5:$D$734,$B$5:$B$734,365,0,1),0)</f>
        <v>42</v>
      </c>
    </row>
    <row r="864" spans="2:5">
      <c r="B864" s="6">
        <v>860</v>
      </c>
      <c r="C864" s="5">
        <v>46517</v>
      </c>
      <c r="D864" s="3"/>
      <c r="E864" s="16">
        <f t="shared" si="2"/>
        <v>42</v>
      </c>
    </row>
    <row r="865" spans="2:5">
      <c r="B865" s="6">
        <v>861</v>
      </c>
      <c r="C865" s="5">
        <v>46518</v>
      </c>
      <c r="D865" s="3"/>
      <c r="E865" s="16">
        <f t="shared" si="2"/>
        <v>38</v>
      </c>
    </row>
    <row r="866" spans="2:5">
      <c r="B866" s="6">
        <v>862</v>
      </c>
      <c r="C866" s="5">
        <v>46519</v>
      </c>
      <c r="D866" s="3"/>
      <c r="E866" s="16">
        <f t="shared" si="2"/>
        <v>51</v>
      </c>
    </row>
    <row r="867" spans="2:5">
      <c r="B867" s="6">
        <v>863</v>
      </c>
      <c r="C867" s="5">
        <v>46520</v>
      </c>
      <c r="D867" s="3"/>
      <c r="E867" s="16">
        <f t="shared" si="2"/>
        <v>32</v>
      </c>
    </row>
    <row r="868" spans="2:5">
      <c r="B868" s="6">
        <v>864</v>
      </c>
      <c r="C868" s="5">
        <v>46521</v>
      </c>
      <c r="D868" s="3"/>
      <c r="E868" s="16">
        <f t="shared" si="2"/>
        <v>39</v>
      </c>
    </row>
    <row r="869" spans="2:5">
      <c r="B869" s="6">
        <v>865</v>
      </c>
      <c r="C869" s="5">
        <v>46522</v>
      </c>
      <c r="D869" s="3"/>
      <c r="E869" s="16">
        <f t="shared" si="2"/>
        <v>51</v>
      </c>
    </row>
    <row r="870" spans="2:5">
      <c r="B870" s="6">
        <v>866</v>
      </c>
      <c r="C870" s="5">
        <v>46523</v>
      </c>
      <c r="D870" s="3"/>
      <c r="E870" s="16">
        <f t="shared" si="2"/>
        <v>41</v>
      </c>
    </row>
    <row r="871" spans="2:5">
      <c r="B871" s="6">
        <v>867</v>
      </c>
      <c r="C871" s="5">
        <v>46524</v>
      </c>
      <c r="D871" s="3"/>
      <c r="E871" s="16">
        <f t="shared" si="2"/>
        <v>44</v>
      </c>
    </row>
    <row r="872" spans="2:5">
      <c r="B872" s="6">
        <v>868</v>
      </c>
      <c r="C872" s="5">
        <v>46525</v>
      </c>
      <c r="D872" s="3"/>
      <c r="E872" s="16">
        <f t="shared" si="2"/>
        <v>38</v>
      </c>
    </row>
    <row r="873" spans="2:5">
      <c r="B873" s="6">
        <v>869</v>
      </c>
      <c r="C873" s="5">
        <v>46526</v>
      </c>
      <c r="D873" s="3"/>
      <c r="E873" s="16">
        <f t="shared" si="2"/>
        <v>41</v>
      </c>
    </row>
    <row r="874" spans="2:5">
      <c r="B874" s="6">
        <v>870</v>
      </c>
      <c r="C874" s="5">
        <v>46527</v>
      </c>
      <c r="D874" s="3"/>
      <c r="E874" s="16">
        <f t="shared" si="2"/>
        <v>45</v>
      </c>
    </row>
    <row r="875" spans="2:5">
      <c r="B875" s="6">
        <v>871</v>
      </c>
      <c r="C875" s="5">
        <v>46528</v>
      </c>
      <c r="D875" s="3"/>
      <c r="E875" s="16">
        <f t="shared" si="2"/>
        <v>46</v>
      </c>
    </row>
    <row r="876" spans="2:5">
      <c r="B876" s="6">
        <v>872</v>
      </c>
      <c r="C876" s="5">
        <v>46529</v>
      </c>
      <c r="D876" s="3"/>
      <c r="E876" s="16">
        <f t="shared" si="2"/>
        <v>45</v>
      </c>
    </row>
    <row r="877" spans="2:5">
      <c r="B877" s="6">
        <v>873</v>
      </c>
      <c r="C877" s="5">
        <v>46530</v>
      </c>
      <c r="D877" s="3"/>
      <c r="E877" s="16">
        <f t="shared" si="2"/>
        <v>48</v>
      </c>
    </row>
    <row r="878" spans="2:5">
      <c r="B878" s="6">
        <v>874</v>
      </c>
      <c r="C878" s="5">
        <v>46531</v>
      </c>
      <c r="D878" s="3"/>
      <c r="E878" s="16">
        <f t="shared" si="2"/>
        <v>47</v>
      </c>
    </row>
    <row r="879" spans="2:5">
      <c r="B879" s="6">
        <v>875</v>
      </c>
      <c r="C879" s="5">
        <v>46532</v>
      </c>
      <c r="D879" s="3"/>
      <c r="E879" s="16">
        <f t="shared" si="2"/>
        <v>48</v>
      </c>
    </row>
    <row r="880" spans="2:5">
      <c r="B880" s="6">
        <v>876</v>
      </c>
      <c r="C880" s="5">
        <v>46533</v>
      </c>
      <c r="D880" s="3"/>
      <c r="E880" s="16">
        <f t="shared" si="2"/>
        <v>45</v>
      </c>
    </row>
    <row r="881" spans="2:5">
      <c r="B881" s="6">
        <v>877</v>
      </c>
      <c r="C881" s="5">
        <v>46534</v>
      </c>
      <c r="D881" s="3"/>
      <c r="E881" s="16">
        <f t="shared" si="2"/>
        <v>35</v>
      </c>
    </row>
    <row r="882" spans="2:5">
      <c r="B882" s="6">
        <v>878</v>
      </c>
      <c r="C882" s="5">
        <v>46535</v>
      </c>
      <c r="D882" s="3"/>
      <c r="E882" s="16">
        <f t="shared" si="2"/>
        <v>33</v>
      </c>
    </row>
    <row r="883" spans="2:5">
      <c r="B883" s="6">
        <v>879</v>
      </c>
      <c r="C883" s="5">
        <v>46536</v>
      </c>
      <c r="D883" s="3"/>
      <c r="E883" s="16">
        <f t="shared" si="2"/>
        <v>41</v>
      </c>
    </row>
    <row r="884" spans="2:5">
      <c r="B884" s="6">
        <v>880</v>
      </c>
      <c r="C884" s="5">
        <v>46537</v>
      </c>
      <c r="D884" s="3"/>
      <c r="E884" s="16">
        <f t="shared" si="2"/>
        <v>37</v>
      </c>
    </row>
    <row r="885" spans="2:5">
      <c r="B885" s="6">
        <v>881</v>
      </c>
      <c r="C885" s="5">
        <v>46538</v>
      </c>
      <c r="D885" s="3"/>
      <c r="E885" s="16">
        <f t="shared" si="2"/>
        <v>34</v>
      </c>
    </row>
    <row r="886" spans="2:5">
      <c r="B886" s="6">
        <v>882</v>
      </c>
      <c r="C886" s="5">
        <v>46539</v>
      </c>
      <c r="D886" s="3"/>
      <c r="E886" s="16">
        <f t="shared" si="2"/>
        <v>35</v>
      </c>
    </row>
    <row r="887" spans="2:5">
      <c r="B887" s="6">
        <v>883</v>
      </c>
      <c r="C887" s="5">
        <v>46540</v>
      </c>
      <c r="D887" s="3"/>
      <c r="E887" s="16">
        <f t="shared" si="2"/>
        <v>31</v>
      </c>
    </row>
    <row r="888" spans="2:5">
      <c r="B888" s="6">
        <v>884</v>
      </c>
      <c r="C888" s="5">
        <v>46541</v>
      </c>
      <c r="D888" s="3"/>
      <c r="E888" s="16">
        <f t="shared" si="2"/>
        <v>37</v>
      </c>
    </row>
    <row r="889" spans="2:5">
      <c r="B889" s="6">
        <v>885</v>
      </c>
      <c r="C889" s="5">
        <v>46542</v>
      </c>
      <c r="D889" s="3"/>
      <c r="E889" s="16">
        <f t="shared" si="2"/>
        <v>38</v>
      </c>
    </row>
    <row r="890" spans="2:5">
      <c r="B890" s="6">
        <v>886</v>
      </c>
      <c r="C890" s="5">
        <v>46543</v>
      </c>
      <c r="D890" s="3"/>
      <c r="E890" s="16">
        <f t="shared" si="2"/>
        <v>46</v>
      </c>
    </row>
    <row r="891" spans="2:5">
      <c r="B891" s="6">
        <v>887</v>
      </c>
      <c r="C891" s="5">
        <v>46544</v>
      </c>
      <c r="D891" s="3"/>
      <c r="E891" s="16">
        <f t="shared" si="2"/>
        <v>34</v>
      </c>
    </row>
    <row r="892" spans="2:5">
      <c r="B892" s="6">
        <v>888</v>
      </c>
      <c r="C892" s="5">
        <v>46545</v>
      </c>
      <c r="D892" s="3"/>
      <c r="E892" s="16">
        <f t="shared" si="2"/>
        <v>34</v>
      </c>
    </row>
    <row r="893" spans="2:5">
      <c r="B893" s="6">
        <v>889</v>
      </c>
      <c r="C893" s="5">
        <v>46546</v>
      </c>
      <c r="D893" s="3"/>
      <c r="E893" s="16">
        <f t="shared" si="2"/>
        <v>48</v>
      </c>
    </row>
    <row r="894" spans="2:5">
      <c r="B894" s="6">
        <v>890</v>
      </c>
      <c r="C894" s="5">
        <v>46547</v>
      </c>
      <c r="D894" s="3"/>
      <c r="E894" s="16">
        <f t="shared" si="2"/>
        <v>37</v>
      </c>
    </row>
    <row r="895" spans="2:5">
      <c r="B895" s="6">
        <v>891</v>
      </c>
      <c r="C895" s="5">
        <v>46548</v>
      </c>
      <c r="D895" s="3"/>
      <c r="E895" s="16">
        <f t="shared" si="2"/>
        <v>47</v>
      </c>
    </row>
    <row r="896" spans="2:5">
      <c r="B896" s="6">
        <v>892</v>
      </c>
      <c r="C896" s="5">
        <v>46549</v>
      </c>
      <c r="D896" s="3"/>
      <c r="E896" s="16">
        <f t="shared" si="2"/>
        <v>44</v>
      </c>
    </row>
    <row r="897" spans="2:5">
      <c r="B897" s="6">
        <v>893</v>
      </c>
      <c r="C897" s="5">
        <v>46550</v>
      </c>
      <c r="D897" s="3"/>
      <c r="E897" s="16">
        <f t="shared" si="2"/>
        <v>42</v>
      </c>
    </row>
    <row r="898" spans="2:5">
      <c r="B898" s="6">
        <v>894</v>
      </c>
      <c r="C898" s="5">
        <v>46551</v>
      </c>
      <c r="D898" s="3"/>
      <c r="E898" s="16">
        <f t="shared" si="2"/>
        <v>31</v>
      </c>
    </row>
    <row r="899" spans="2:5">
      <c r="B899" s="6">
        <v>895</v>
      </c>
      <c r="C899" s="5">
        <v>46552</v>
      </c>
      <c r="D899" s="3"/>
      <c r="E899" s="16">
        <f t="shared" si="2"/>
        <v>41</v>
      </c>
    </row>
    <row r="900" spans="2:5">
      <c r="B900" s="6">
        <v>896</v>
      </c>
      <c r="C900" s="5">
        <v>46553</v>
      </c>
      <c r="D900" s="3"/>
      <c r="E900" s="16">
        <f t="shared" si="2"/>
        <v>38</v>
      </c>
    </row>
    <row r="901" spans="2:5">
      <c r="B901" s="6">
        <v>897</v>
      </c>
      <c r="C901" s="5">
        <v>46554</v>
      </c>
      <c r="D901" s="3"/>
      <c r="E901" s="16">
        <f t="shared" si="2"/>
        <v>37</v>
      </c>
    </row>
    <row r="902" spans="2:5">
      <c r="B902" s="6">
        <v>898</v>
      </c>
      <c r="C902" s="5">
        <v>46555</v>
      </c>
      <c r="D902" s="3"/>
      <c r="E902" s="16">
        <f t="shared" si="2"/>
        <v>48</v>
      </c>
    </row>
    <row r="903" spans="2:5">
      <c r="B903" s="6">
        <v>899</v>
      </c>
      <c r="C903" s="5">
        <v>46556</v>
      </c>
      <c r="D903" s="3"/>
      <c r="E903" s="16">
        <f t="shared" si="2"/>
        <v>34</v>
      </c>
    </row>
    <row r="904" spans="2:5">
      <c r="B904" s="6">
        <v>900</v>
      </c>
      <c r="C904" s="5">
        <v>46557</v>
      </c>
      <c r="D904" s="3"/>
      <c r="E904" s="16">
        <f t="shared" si="2"/>
        <v>46</v>
      </c>
    </row>
    <row r="905" spans="2:5">
      <c r="B905" s="6">
        <v>901</v>
      </c>
      <c r="C905" s="5">
        <v>46558</v>
      </c>
      <c r="D905" s="3"/>
      <c r="E905" s="16">
        <f t="shared" si="2"/>
        <v>48</v>
      </c>
    </row>
    <row r="906" spans="2:5">
      <c r="B906" s="6">
        <v>902</v>
      </c>
      <c r="C906" s="5">
        <v>46559</v>
      </c>
      <c r="D906" s="3"/>
      <c r="E906" s="16">
        <f t="shared" si="2"/>
        <v>46</v>
      </c>
    </row>
    <row r="907" spans="2:5">
      <c r="B907" s="6">
        <v>903</v>
      </c>
      <c r="C907" s="5">
        <v>46560</v>
      </c>
      <c r="D907" s="3"/>
      <c r="E907" s="16">
        <f t="shared" si="2"/>
        <v>41</v>
      </c>
    </row>
    <row r="908" spans="2:5">
      <c r="B908" s="6">
        <v>904</v>
      </c>
      <c r="C908" s="5">
        <v>46561</v>
      </c>
      <c r="D908" s="3"/>
      <c r="E908" s="16">
        <f t="shared" si="2"/>
        <v>38</v>
      </c>
    </row>
    <row r="909" spans="2:5">
      <c r="B909" s="6">
        <v>905</v>
      </c>
      <c r="C909" s="5">
        <v>46562</v>
      </c>
      <c r="D909" s="3"/>
      <c r="E909" s="16">
        <f t="shared" si="2"/>
        <v>48</v>
      </c>
    </row>
    <row r="910" spans="2:5">
      <c r="B910" s="6">
        <v>906</v>
      </c>
      <c r="C910" s="5">
        <v>46563</v>
      </c>
      <c r="D910" s="3"/>
      <c r="E910" s="16">
        <f t="shared" si="2"/>
        <v>43</v>
      </c>
    </row>
    <row r="911" spans="2:5">
      <c r="B911" s="6">
        <v>907</v>
      </c>
      <c r="C911" s="5">
        <v>46564</v>
      </c>
      <c r="D911" s="3"/>
      <c r="E911" s="16">
        <f t="shared" si="2"/>
        <v>43</v>
      </c>
    </row>
    <row r="912" spans="2:5">
      <c r="B912" s="6">
        <v>908</v>
      </c>
      <c r="C912" s="5">
        <v>46565</v>
      </c>
      <c r="D912" s="3"/>
      <c r="E912" s="16">
        <f t="shared" si="2"/>
        <v>36</v>
      </c>
    </row>
    <row r="913" spans="2:5">
      <c r="B913" s="6">
        <v>909</v>
      </c>
      <c r="C913" s="5">
        <v>46566</v>
      </c>
      <c r="D913" s="3"/>
      <c r="E913" s="16">
        <f t="shared" si="2"/>
        <v>39</v>
      </c>
    </row>
    <row r="914" spans="2:5">
      <c r="B914" s="6">
        <v>910</v>
      </c>
      <c r="C914" s="5">
        <v>46567</v>
      </c>
      <c r="D914" s="3"/>
      <c r="E914" s="16">
        <f t="shared" si="2"/>
        <v>40</v>
      </c>
    </row>
    <row r="915" spans="2:5">
      <c r="B915" s="6">
        <v>911</v>
      </c>
      <c r="C915" s="5">
        <v>46568</v>
      </c>
      <c r="D915" s="3"/>
      <c r="E915" s="16">
        <f t="shared" si="2"/>
        <v>42</v>
      </c>
    </row>
    <row r="916" spans="2:5">
      <c r="B916" s="6">
        <v>912</v>
      </c>
      <c r="C916" s="5">
        <v>46569</v>
      </c>
      <c r="D916" s="3"/>
      <c r="E916" s="16">
        <f t="shared" si="2"/>
        <v>37</v>
      </c>
    </row>
    <row r="917" spans="2:5">
      <c r="B917" s="6">
        <v>913</v>
      </c>
      <c r="C917" s="5">
        <v>46570</v>
      </c>
      <c r="D917" s="3"/>
      <c r="E917" s="16">
        <f t="shared" si="2"/>
        <v>33</v>
      </c>
    </row>
    <row r="918" spans="2:5">
      <c r="B918" s="6">
        <v>914</v>
      </c>
      <c r="C918" s="5">
        <v>46571</v>
      </c>
      <c r="D918" s="3"/>
      <c r="E918" s="16">
        <f t="shared" si="2"/>
        <v>46</v>
      </c>
    </row>
    <row r="919" spans="2:5">
      <c r="B919" s="6">
        <v>915</v>
      </c>
      <c r="C919" s="5">
        <v>46572</v>
      </c>
      <c r="D919" s="3"/>
      <c r="E919" s="16">
        <f t="shared" si="2"/>
        <v>36</v>
      </c>
    </row>
    <row r="920" spans="2:5">
      <c r="B920" s="6">
        <v>916</v>
      </c>
      <c r="C920" s="5">
        <v>46573</v>
      </c>
      <c r="D920" s="3"/>
      <c r="E920" s="16">
        <f t="shared" si="2"/>
        <v>33</v>
      </c>
    </row>
    <row r="921" spans="2:5">
      <c r="B921" s="6">
        <v>917</v>
      </c>
      <c r="C921" s="5">
        <v>46574</v>
      </c>
      <c r="D921" s="3"/>
      <c r="E921" s="16">
        <f t="shared" si="2"/>
        <v>33</v>
      </c>
    </row>
    <row r="922" spans="2:5">
      <c r="B922" s="6">
        <v>918</v>
      </c>
      <c r="C922" s="5">
        <v>46575</v>
      </c>
      <c r="D922" s="3"/>
      <c r="E922" s="16">
        <f t="shared" si="2"/>
        <v>37</v>
      </c>
    </row>
    <row r="923" spans="2:5">
      <c r="B923" s="6">
        <v>919</v>
      </c>
      <c r="C923" s="5">
        <v>46576</v>
      </c>
      <c r="D923" s="3"/>
      <c r="E923" s="16">
        <f t="shared" si="2"/>
        <v>38</v>
      </c>
    </row>
    <row r="924" spans="2:5">
      <c r="B924" s="6">
        <v>920</v>
      </c>
      <c r="C924" s="5">
        <v>46577</v>
      </c>
      <c r="D924" s="3"/>
      <c r="E924" s="16">
        <f t="shared" si="2"/>
        <v>36</v>
      </c>
    </row>
    <row r="925" spans="2:5">
      <c r="B925" s="6">
        <v>921</v>
      </c>
      <c r="C925" s="5">
        <v>46578</v>
      </c>
      <c r="D925" s="3"/>
      <c r="E925" s="16">
        <f t="shared" si="2"/>
        <v>40</v>
      </c>
    </row>
    <row r="926" spans="2:5">
      <c r="B926" s="6">
        <v>922</v>
      </c>
      <c r="C926" s="5">
        <v>46579</v>
      </c>
      <c r="D926" s="3"/>
      <c r="E926" s="16">
        <f t="shared" si="2"/>
        <v>39</v>
      </c>
    </row>
    <row r="927" spans="2:5">
      <c r="B927" s="6">
        <v>923</v>
      </c>
      <c r="C927" s="5">
        <v>46580</v>
      </c>
      <c r="D927" s="3"/>
      <c r="E927" s="16">
        <f t="shared" ref="E927:E990" si="3">ROUNDUP(_xlfn.FORECAST.ETS(B927,$D$5:$D$734,$B$5:$B$734,365,0,1),0)</f>
        <v>34</v>
      </c>
    </row>
    <row r="928" spans="2:5">
      <c r="B928" s="6">
        <v>924</v>
      </c>
      <c r="C928" s="5">
        <v>46581</v>
      </c>
      <c r="D928" s="3"/>
      <c r="E928" s="16">
        <f t="shared" si="3"/>
        <v>40</v>
      </c>
    </row>
    <row r="929" spans="2:5">
      <c r="B929" s="6">
        <v>925</v>
      </c>
      <c r="C929" s="5">
        <v>46582</v>
      </c>
      <c r="D929" s="3"/>
      <c r="E929" s="16">
        <f t="shared" si="3"/>
        <v>28</v>
      </c>
    </row>
    <row r="930" spans="2:5">
      <c r="B930" s="6">
        <v>926</v>
      </c>
      <c r="C930" s="5">
        <v>46583</v>
      </c>
      <c r="D930" s="3"/>
      <c r="E930" s="16">
        <f t="shared" si="3"/>
        <v>49</v>
      </c>
    </row>
    <row r="931" spans="2:5">
      <c r="B931" s="6">
        <v>927</v>
      </c>
      <c r="C931" s="5">
        <v>46584</v>
      </c>
      <c r="D931" s="3"/>
      <c r="E931" s="16">
        <f t="shared" si="3"/>
        <v>39</v>
      </c>
    </row>
    <row r="932" spans="2:5">
      <c r="B932" s="6">
        <v>928</v>
      </c>
      <c r="C932" s="5">
        <v>46585</v>
      </c>
      <c r="D932" s="3"/>
      <c r="E932" s="16">
        <f t="shared" si="3"/>
        <v>34</v>
      </c>
    </row>
    <row r="933" spans="2:5">
      <c r="B933" s="6">
        <v>929</v>
      </c>
      <c r="C933" s="5">
        <v>46586</v>
      </c>
      <c r="D933" s="3"/>
      <c r="E933" s="16">
        <f t="shared" si="3"/>
        <v>27</v>
      </c>
    </row>
    <row r="934" spans="2:5">
      <c r="B934" s="6">
        <v>930</v>
      </c>
      <c r="C934" s="5">
        <v>46587</v>
      </c>
      <c r="D934" s="3"/>
      <c r="E934" s="16">
        <f t="shared" si="3"/>
        <v>39</v>
      </c>
    </row>
    <row r="935" spans="2:5">
      <c r="B935" s="6">
        <v>931</v>
      </c>
      <c r="C935" s="5">
        <v>46588</v>
      </c>
      <c r="D935" s="3"/>
      <c r="E935" s="16">
        <f t="shared" si="3"/>
        <v>46</v>
      </c>
    </row>
    <row r="936" spans="2:5">
      <c r="B936" s="6">
        <v>932</v>
      </c>
      <c r="C936" s="5">
        <v>46589</v>
      </c>
      <c r="D936" s="3"/>
      <c r="E936" s="16">
        <f t="shared" si="3"/>
        <v>41</v>
      </c>
    </row>
    <row r="937" spans="2:5">
      <c r="B937" s="6">
        <v>933</v>
      </c>
      <c r="C937" s="5">
        <v>46590</v>
      </c>
      <c r="D937" s="3"/>
      <c r="E937" s="16">
        <f t="shared" si="3"/>
        <v>32</v>
      </c>
    </row>
    <row r="938" spans="2:5">
      <c r="B938" s="6">
        <v>934</v>
      </c>
      <c r="C938" s="5">
        <v>46591</v>
      </c>
      <c r="D938" s="3"/>
      <c r="E938" s="16">
        <f t="shared" si="3"/>
        <v>43</v>
      </c>
    </row>
    <row r="939" spans="2:5">
      <c r="B939" s="6">
        <v>935</v>
      </c>
      <c r="C939" s="5">
        <v>46592</v>
      </c>
      <c r="D939" s="3"/>
      <c r="E939" s="16">
        <f t="shared" si="3"/>
        <v>44</v>
      </c>
    </row>
    <row r="940" spans="2:5">
      <c r="B940" s="6">
        <v>936</v>
      </c>
      <c r="C940" s="5">
        <v>46593</v>
      </c>
      <c r="D940" s="3"/>
      <c r="E940" s="16">
        <f t="shared" si="3"/>
        <v>36</v>
      </c>
    </row>
    <row r="941" spans="2:5">
      <c r="B941" s="6">
        <v>937</v>
      </c>
      <c r="C941" s="5">
        <v>46594</v>
      </c>
      <c r="D941" s="3"/>
      <c r="E941" s="16">
        <f t="shared" si="3"/>
        <v>29</v>
      </c>
    </row>
    <row r="942" spans="2:5">
      <c r="B942" s="6">
        <v>938</v>
      </c>
      <c r="C942" s="5">
        <v>46595</v>
      </c>
      <c r="D942" s="3"/>
      <c r="E942" s="16">
        <f t="shared" si="3"/>
        <v>39</v>
      </c>
    </row>
    <row r="943" spans="2:5">
      <c r="B943" s="6">
        <v>939</v>
      </c>
      <c r="C943" s="5">
        <v>46596</v>
      </c>
      <c r="D943" s="3"/>
      <c r="E943" s="16">
        <f t="shared" si="3"/>
        <v>30</v>
      </c>
    </row>
    <row r="944" spans="2:5">
      <c r="B944" s="6">
        <v>940</v>
      </c>
      <c r="C944" s="5">
        <v>46597</v>
      </c>
      <c r="D944" s="3"/>
      <c r="E944" s="16">
        <f t="shared" si="3"/>
        <v>24</v>
      </c>
    </row>
    <row r="945" spans="2:5">
      <c r="B945" s="6">
        <v>941</v>
      </c>
      <c r="C945" s="5">
        <v>46598</v>
      </c>
      <c r="D945" s="3"/>
      <c r="E945" s="16">
        <f t="shared" si="3"/>
        <v>39</v>
      </c>
    </row>
    <row r="946" spans="2:5">
      <c r="B946" s="6">
        <v>942</v>
      </c>
      <c r="C946" s="5">
        <v>46599</v>
      </c>
      <c r="D946" s="3"/>
      <c r="E946" s="16">
        <f t="shared" si="3"/>
        <v>33</v>
      </c>
    </row>
    <row r="947" spans="2:5">
      <c r="B947" s="6">
        <v>943</v>
      </c>
      <c r="C947" s="5">
        <v>46600</v>
      </c>
      <c r="D947" s="3"/>
      <c r="E947" s="16">
        <f t="shared" si="3"/>
        <v>29</v>
      </c>
    </row>
    <row r="948" spans="2:5">
      <c r="B948" s="6">
        <v>944</v>
      </c>
      <c r="C948" s="5">
        <v>46601</v>
      </c>
      <c r="D948" s="3"/>
      <c r="E948" s="16">
        <f t="shared" si="3"/>
        <v>41</v>
      </c>
    </row>
    <row r="949" spans="2:5">
      <c r="B949" s="6">
        <v>945</v>
      </c>
      <c r="C949" s="5">
        <v>46602</v>
      </c>
      <c r="D949" s="3"/>
      <c r="E949" s="16">
        <f t="shared" si="3"/>
        <v>27</v>
      </c>
    </row>
    <row r="950" spans="2:5">
      <c r="B950" s="6">
        <v>946</v>
      </c>
      <c r="C950" s="5">
        <v>46603</v>
      </c>
      <c r="D950" s="3"/>
      <c r="E950" s="16">
        <f t="shared" si="3"/>
        <v>38</v>
      </c>
    </row>
    <row r="951" spans="2:5">
      <c r="B951" s="6">
        <v>947</v>
      </c>
      <c r="C951" s="5">
        <v>46604</v>
      </c>
      <c r="D951" s="3"/>
      <c r="E951" s="16">
        <f t="shared" si="3"/>
        <v>38</v>
      </c>
    </row>
    <row r="952" spans="2:5">
      <c r="B952" s="6">
        <v>948</v>
      </c>
      <c r="C952" s="5">
        <v>46605</v>
      </c>
      <c r="D952" s="3"/>
      <c r="E952" s="16">
        <f t="shared" si="3"/>
        <v>38</v>
      </c>
    </row>
    <row r="953" spans="2:5">
      <c r="B953" s="6">
        <v>949</v>
      </c>
      <c r="C953" s="5">
        <v>46606</v>
      </c>
      <c r="D953" s="3"/>
      <c r="E953" s="16">
        <f t="shared" si="3"/>
        <v>42</v>
      </c>
    </row>
    <row r="954" spans="2:5">
      <c r="B954" s="6">
        <v>950</v>
      </c>
      <c r="C954" s="5">
        <v>46607</v>
      </c>
      <c r="D954" s="3"/>
      <c r="E954" s="16">
        <f t="shared" si="3"/>
        <v>35</v>
      </c>
    </row>
    <row r="955" spans="2:5">
      <c r="B955" s="6">
        <v>951</v>
      </c>
      <c r="C955" s="5">
        <v>46608</v>
      </c>
      <c r="D955" s="3"/>
      <c r="E955" s="16">
        <f t="shared" si="3"/>
        <v>32</v>
      </c>
    </row>
    <row r="956" spans="2:5">
      <c r="B956" s="6">
        <v>952</v>
      </c>
      <c r="C956" s="5">
        <v>46609</v>
      </c>
      <c r="D956" s="3"/>
      <c r="E956" s="16">
        <f t="shared" si="3"/>
        <v>28</v>
      </c>
    </row>
    <row r="957" spans="2:5">
      <c r="B957" s="6">
        <v>953</v>
      </c>
      <c r="C957" s="5">
        <v>46610</v>
      </c>
      <c r="D957" s="3"/>
      <c r="E957" s="16">
        <f t="shared" si="3"/>
        <v>30</v>
      </c>
    </row>
    <row r="958" spans="2:5">
      <c r="B958" s="6">
        <v>954</v>
      </c>
      <c r="C958" s="5">
        <v>46611</v>
      </c>
      <c r="D958" s="3"/>
      <c r="E958" s="16">
        <f t="shared" si="3"/>
        <v>33</v>
      </c>
    </row>
    <row r="959" spans="2:5">
      <c r="B959" s="6">
        <v>955</v>
      </c>
      <c r="C959" s="5">
        <v>46612</v>
      </c>
      <c r="D959" s="3"/>
      <c r="E959" s="16">
        <f t="shared" si="3"/>
        <v>32</v>
      </c>
    </row>
    <row r="960" spans="2:5">
      <c r="B960" s="6">
        <v>956</v>
      </c>
      <c r="C960" s="5">
        <v>46613</v>
      </c>
      <c r="D960" s="3"/>
      <c r="E960" s="16">
        <f t="shared" si="3"/>
        <v>50</v>
      </c>
    </row>
    <row r="961" spans="2:5">
      <c r="B961" s="6">
        <v>957</v>
      </c>
      <c r="C961" s="5">
        <v>46614</v>
      </c>
      <c r="D961" s="3"/>
      <c r="E961" s="16">
        <f t="shared" si="3"/>
        <v>36</v>
      </c>
    </row>
    <row r="962" spans="2:5">
      <c r="B962" s="6">
        <v>958</v>
      </c>
      <c r="C962" s="5">
        <v>46615</v>
      </c>
      <c r="D962" s="3"/>
      <c r="E962" s="16">
        <f t="shared" si="3"/>
        <v>31</v>
      </c>
    </row>
    <row r="963" spans="2:5">
      <c r="B963" s="6">
        <v>959</v>
      </c>
      <c r="C963" s="5">
        <v>46616</v>
      </c>
      <c r="D963" s="3"/>
      <c r="E963" s="16">
        <f t="shared" si="3"/>
        <v>29</v>
      </c>
    </row>
    <row r="964" spans="2:5">
      <c r="B964" s="6">
        <v>960</v>
      </c>
      <c r="C964" s="5">
        <v>46617</v>
      </c>
      <c r="D964" s="3"/>
      <c r="E964" s="16">
        <f t="shared" si="3"/>
        <v>38</v>
      </c>
    </row>
    <row r="965" spans="2:5">
      <c r="B965" s="6">
        <v>961</v>
      </c>
      <c r="C965" s="5">
        <v>46618</v>
      </c>
      <c r="D965" s="3"/>
      <c r="E965" s="16">
        <f t="shared" si="3"/>
        <v>40</v>
      </c>
    </row>
    <row r="966" spans="2:5">
      <c r="B966" s="6">
        <v>962</v>
      </c>
      <c r="C966" s="5">
        <v>46619</v>
      </c>
      <c r="D966" s="3"/>
      <c r="E966" s="16">
        <f t="shared" si="3"/>
        <v>33</v>
      </c>
    </row>
    <row r="967" spans="2:5">
      <c r="B967" s="6">
        <v>963</v>
      </c>
      <c r="C967" s="5">
        <v>46620</v>
      </c>
      <c r="D967" s="3"/>
      <c r="E967" s="16">
        <f t="shared" si="3"/>
        <v>34</v>
      </c>
    </row>
    <row r="968" spans="2:5">
      <c r="B968" s="6">
        <v>964</v>
      </c>
      <c r="C968" s="5">
        <v>46621</v>
      </c>
      <c r="D968" s="3"/>
      <c r="E968" s="16">
        <f t="shared" si="3"/>
        <v>33</v>
      </c>
    </row>
    <row r="969" spans="2:5">
      <c r="B969" s="6">
        <v>965</v>
      </c>
      <c r="C969" s="5">
        <v>46622</v>
      </c>
      <c r="D969" s="3"/>
      <c r="E969" s="16">
        <f t="shared" si="3"/>
        <v>32</v>
      </c>
    </row>
    <row r="970" spans="2:5">
      <c r="B970" s="6">
        <v>966</v>
      </c>
      <c r="C970" s="5">
        <v>46623</v>
      </c>
      <c r="D970" s="3"/>
      <c r="E970" s="16">
        <f t="shared" si="3"/>
        <v>39</v>
      </c>
    </row>
    <row r="971" spans="2:5">
      <c r="B971" s="6">
        <v>967</v>
      </c>
      <c r="C971" s="5">
        <v>46624</v>
      </c>
      <c r="D971" s="3"/>
      <c r="E971" s="16">
        <f t="shared" si="3"/>
        <v>32</v>
      </c>
    </row>
    <row r="972" spans="2:5">
      <c r="B972" s="6">
        <v>968</v>
      </c>
      <c r="C972" s="5">
        <v>46625</v>
      </c>
      <c r="D972" s="3"/>
      <c r="E972" s="16">
        <f t="shared" si="3"/>
        <v>34</v>
      </c>
    </row>
    <row r="973" spans="2:5">
      <c r="B973" s="6">
        <v>969</v>
      </c>
      <c r="C973" s="5">
        <v>46626</v>
      </c>
      <c r="D973" s="3"/>
      <c r="E973" s="16">
        <f t="shared" si="3"/>
        <v>29</v>
      </c>
    </row>
    <row r="974" spans="2:5">
      <c r="B974" s="6">
        <v>970</v>
      </c>
      <c r="C974" s="5">
        <v>46627</v>
      </c>
      <c r="D974" s="3"/>
      <c r="E974" s="16">
        <f t="shared" si="3"/>
        <v>36</v>
      </c>
    </row>
    <row r="975" spans="2:5">
      <c r="B975" s="6">
        <v>971</v>
      </c>
      <c r="C975" s="5">
        <v>46628</v>
      </c>
      <c r="D975" s="3"/>
      <c r="E975" s="16">
        <f t="shared" si="3"/>
        <v>30</v>
      </c>
    </row>
    <row r="976" spans="2:5">
      <c r="B976" s="6">
        <v>972</v>
      </c>
      <c r="C976" s="5">
        <v>46629</v>
      </c>
      <c r="D976" s="3"/>
      <c r="E976" s="16">
        <f t="shared" si="3"/>
        <v>37</v>
      </c>
    </row>
    <row r="977" spans="2:5">
      <c r="B977" s="6">
        <v>973</v>
      </c>
      <c r="C977" s="5">
        <v>46630</v>
      </c>
      <c r="D977" s="3"/>
      <c r="E977" s="16">
        <f t="shared" si="3"/>
        <v>39</v>
      </c>
    </row>
    <row r="978" spans="2:5">
      <c r="B978" s="6">
        <v>974</v>
      </c>
      <c r="C978" s="5">
        <v>46631</v>
      </c>
      <c r="D978" s="3"/>
      <c r="E978" s="16">
        <f t="shared" si="3"/>
        <v>25</v>
      </c>
    </row>
    <row r="979" spans="2:5">
      <c r="B979" s="6">
        <v>975</v>
      </c>
      <c r="C979" s="5">
        <v>46632</v>
      </c>
      <c r="D979" s="3"/>
      <c r="E979" s="16">
        <f t="shared" si="3"/>
        <v>33</v>
      </c>
    </row>
    <row r="980" spans="2:5">
      <c r="B980" s="6">
        <v>976</v>
      </c>
      <c r="C980" s="5">
        <v>46633</v>
      </c>
      <c r="D980" s="3"/>
      <c r="E980" s="16">
        <f t="shared" si="3"/>
        <v>23</v>
      </c>
    </row>
    <row r="981" spans="2:5">
      <c r="B981" s="6">
        <v>977</v>
      </c>
      <c r="C981" s="5">
        <v>46634</v>
      </c>
      <c r="D981" s="3"/>
      <c r="E981" s="16">
        <f t="shared" si="3"/>
        <v>28</v>
      </c>
    </row>
    <row r="982" spans="2:5">
      <c r="B982" s="6">
        <v>978</v>
      </c>
      <c r="C982" s="5">
        <v>46635</v>
      </c>
      <c r="D982" s="3"/>
      <c r="E982" s="16">
        <f t="shared" si="3"/>
        <v>29</v>
      </c>
    </row>
    <row r="983" spans="2:5">
      <c r="B983" s="6">
        <v>979</v>
      </c>
      <c r="C983" s="5">
        <v>46636</v>
      </c>
      <c r="D983" s="3"/>
      <c r="E983" s="16">
        <f t="shared" si="3"/>
        <v>33</v>
      </c>
    </row>
    <row r="984" spans="2:5">
      <c r="B984" s="6">
        <v>980</v>
      </c>
      <c r="C984" s="5">
        <v>46637</v>
      </c>
      <c r="D984" s="3"/>
      <c r="E984" s="16">
        <f t="shared" si="3"/>
        <v>29</v>
      </c>
    </row>
    <row r="985" spans="2:5">
      <c r="B985" s="6">
        <v>981</v>
      </c>
      <c r="C985" s="5">
        <v>46638</v>
      </c>
      <c r="D985" s="3"/>
      <c r="E985" s="16">
        <f t="shared" si="3"/>
        <v>35</v>
      </c>
    </row>
    <row r="986" spans="2:5">
      <c r="B986" s="6">
        <v>982</v>
      </c>
      <c r="C986" s="5">
        <v>46639</v>
      </c>
      <c r="D986" s="3"/>
      <c r="E986" s="16">
        <f t="shared" si="3"/>
        <v>38</v>
      </c>
    </row>
    <row r="987" spans="2:5">
      <c r="B987" s="6">
        <v>983</v>
      </c>
      <c r="C987" s="5">
        <v>46640</v>
      </c>
      <c r="D987" s="3"/>
      <c r="E987" s="16">
        <f t="shared" si="3"/>
        <v>19</v>
      </c>
    </row>
    <row r="988" spans="2:5">
      <c r="B988" s="6">
        <v>984</v>
      </c>
      <c r="C988" s="5">
        <v>46641</v>
      </c>
      <c r="D988" s="3"/>
      <c r="E988" s="16">
        <f t="shared" si="3"/>
        <v>34</v>
      </c>
    </row>
    <row r="989" spans="2:5">
      <c r="B989" s="6">
        <v>985</v>
      </c>
      <c r="C989" s="5">
        <v>46642</v>
      </c>
      <c r="D989" s="3"/>
      <c r="E989" s="16">
        <f t="shared" si="3"/>
        <v>29</v>
      </c>
    </row>
    <row r="990" spans="2:5">
      <c r="B990" s="6">
        <v>986</v>
      </c>
      <c r="C990" s="5">
        <v>46643</v>
      </c>
      <c r="D990" s="3"/>
      <c r="E990" s="16">
        <f t="shared" si="3"/>
        <v>25</v>
      </c>
    </row>
    <row r="991" spans="2:5">
      <c r="B991" s="6">
        <v>987</v>
      </c>
      <c r="C991" s="5">
        <v>46644</v>
      </c>
      <c r="D991" s="3"/>
      <c r="E991" s="16">
        <f t="shared" ref="E991:E1054" si="4">ROUNDUP(_xlfn.FORECAST.ETS(B991,$D$5:$D$734,$B$5:$B$734,365,0,1),0)</f>
        <v>32</v>
      </c>
    </row>
    <row r="992" spans="2:5">
      <c r="B992" s="6">
        <v>988</v>
      </c>
      <c r="C992" s="5">
        <v>46645</v>
      </c>
      <c r="D992" s="3"/>
      <c r="E992" s="16">
        <f t="shared" si="4"/>
        <v>38</v>
      </c>
    </row>
    <row r="993" spans="2:5">
      <c r="B993" s="6">
        <v>989</v>
      </c>
      <c r="C993" s="5">
        <v>46646</v>
      </c>
      <c r="D993" s="3"/>
      <c r="E993" s="16">
        <f t="shared" si="4"/>
        <v>24</v>
      </c>
    </row>
    <row r="994" spans="2:5">
      <c r="B994" s="6">
        <v>990</v>
      </c>
      <c r="C994" s="5">
        <v>46647</v>
      </c>
      <c r="D994" s="3"/>
      <c r="E994" s="16">
        <f t="shared" si="4"/>
        <v>39</v>
      </c>
    </row>
    <row r="995" spans="2:5">
      <c r="B995" s="6">
        <v>991</v>
      </c>
      <c r="C995" s="5">
        <v>46648</v>
      </c>
      <c r="D995" s="3"/>
      <c r="E995" s="16">
        <f t="shared" si="4"/>
        <v>30</v>
      </c>
    </row>
    <row r="996" spans="2:5">
      <c r="B996" s="6">
        <v>992</v>
      </c>
      <c r="C996" s="5">
        <v>46649</v>
      </c>
      <c r="D996" s="3"/>
      <c r="E996" s="16">
        <f t="shared" si="4"/>
        <v>32</v>
      </c>
    </row>
    <row r="997" spans="2:5">
      <c r="B997" s="6">
        <v>993</v>
      </c>
      <c r="C997" s="5">
        <v>46650</v>
      </c>
      <c r="D997" s="3"/>
      <c r="E997" s="16">
        <f t="shared" si="4"/>
        <v>32</v>
      </c>
    </row>
    <row r="998" spans="2:5">
      <c r="B998" s="6">
        <v>994</v>
      </c>
      <c r="C998" s="5">
        <v>46651</v>
      </c>
      <c r="D998" s="3"/>
      <c r="E998" s="16">
        <f t="shared" si="4"/>
        <v>31</v>
      </c>
    </row>
    <row r="999" spans="2:5">
      <c r="B999" s="6">
        <v>995</v>
      </c>
      <c r="C999" s="5">
        <v>46652</v>
      </c>
      <c r="D999" s="3"/>
      <c r="E999" s="16">
        <f t="shared" si="4"/>
        <v>40</v>
      </c>
    </row>
    <row r="1000" spans="2:5">
      <c r="B1000" s="6">
        <v>996</v>
      </c>
      <c r="C1000" s="5">
        <v>46653</v>
      </c>
      <c r="D1000" s="3"/>
      <c r="E1000" s="16">
        <f t="shared" si="4"/>
        <v>37</v>
      </c>
    </row>
    <row r="1001" spans="2:5">
      <c r="B1001" s="6">
        <v>997</v>
      </c>
      <c r="C1001" s="5">
        <v>46654</v>
      </c>
      <c r="D1001" s="3"/>
      <c r="E1001" s="16">
        <f t="shared" si="4"/>
        <v>29</v>
      </c>
    </row>
    <row r="1002" spans="2:5">
      <c r="B1002" s="6">
        <v>998</v>
      </c>
      <c r="C1002" s="5">
        <v>46655</v>
      </c>
      <c r="D1002" s="3"/>
      <c r="E1002" s="16">
        <f t="shared" si="4"/>
        <v>33</v>
      </c>
    </row>
    <row r="1003" spans="2:5">
      <c r="B1003" s="6">
        <v>999</v>
      </c>
      <c r="C1003" s="5">
        <v>46656</v>
      </c>
      <c r="D1003" s="3"/>
      <c r="E1003" s="16">
        <f t="shared" si="4"/>
        <v>28</v>
      </c>
    </row>
    <row r="1004" spans="2:5">
      <c r="B1004" s="6">
        <v>1000</v>
      </c>
      <c r="C1004" s="5">
        <v>46657</v>
      </c>
      <c r="D1004" s="3"/>
      <c r="E1004" s="16">
        <f t="shared" si="4"/>
        <v>25</v>
      </c>
    </row>
    <row r="1005" spans="2:5">
      <c r="B1005" s="6">
        <v>1001</v>
      </c>
      <c r="C1005" s="5">
        <v>46658</v>
      </c>
      <c r="D1005" s="3"/>
      <c r="E1005" s="16">
        <f t="shared" si="4"/>
        <v>29</v>
      </c>
    </row>
    <row r="1006" spans="2:5">
      <c r="B1006" s="6">
        <v>1002</v>
      </c>
      <c r="C1006" s="5">
        <v>46659</v>
      </c>
      <c r="D1006" s="3"/>
      <c r="E1006" s="16">
        <f t="shared" si="4"/>
        <v>32</v>
      </c>
    </row>
    <row r="1007" spans="2:5">
      <c r="B1007" s="6">
        <v>1003</v>
      </c>
      <c r="C1007" s="5">
        <v>46660</v>
      </c>
      <c r="D1007" s="3"/>
      <c r="E1007" s="16">
        <f t="shared" si="4"/>
        <v>36</v>
      </c>
    </row>
    <row r="1008" spans="2:5">
      <c r="B1008" s="6">
        <v>1004</v>
      </c>
      <c r="C1008" s="5">
        <v>46661</v>
      </c>
      <c r="D1008" s="3"/>
      <c r="E1008" s="16">
        <f t="shared" si="4"/>
        <v>42</v>
      </c>
    </row>
    <row r="1009" spans="2:5">
      <c r="B1009" s="6">
        <v>1005</v>
      </c>
      <c r="C1009" s="5">
        <v>46662</v>
      </c>
      <c r="D1009" s="3"/>
      <c r="E1009" s="16">
        <f t="shared" si="4"/>
        <v>35</v>
      </c>
    </row>
    <row r="1010" spans="2:5">
      <c r="B1010" s="6">
        <v>1006</v>
      </c>
      <c r="C1010" s="5">
        <v>46663</v>
      </c>
      <c r="D1010" s="3"/>
      <c r="E1010" s="16">
        <f t="shared" si="4"/>
        <v>41</v>
      </c>
    </row>
    <row r="1011" spans="2:5">
      <c r="B1011" s="6">
        <v>1007</v>
      </c>
      <c r="C1011" s="5">
        <v>46664</v>
      </c>
      <c r="D1011" s="3"/>
      <c r="E1011" s="16">
        <f t="shared" si="4"/>
        <v>25</v>
      </c>
    </row>
    <row r="1012" spans="2:5">
      <c r="B1012" s="6">
        <v>1008</v>
      </c>
      <c r="C1012" s="5">
        <v>46665</v>
      </c>
      <c r="D1012" s="3"/>
      <c r="E1012" s="16">
        <f t="shared" si="4"/>
        <v>28</v>
      </c>
    </row>
    <row r="1013" spans="2:5">
      <c r="B1013" s="6">
        <v>1009</v>
      </c>
      <c r="C1013" s="5">
        <v>46666</v>
      </c>
      <c r="D1013" s="3"/>
      <c r="E1013" s="16">
        <f t="shared" si="4"/>
        <v>31</v>
      </c>
    </row>
    <row r="1014" spans="2:5">
      <c r="B1014" s="6">
        <v>1010</v>
      </c>
      <c r="C1014" s="5">
        <v>46667</v>
      </c>
      <c r="D1014" s="3"/>
      <c r="E1014" s="16">
        <f t="shared" si="4"/>
        <v>28</v>
      </c>
    </row>
    <row r="1015" spans="2:5">
      <c r="B1015" s="6">
        <v>1011</v>
      </c>
      <c r="C1015" s="5">
        <v>46668</v>
      </c>
      <c r="D1015" s="3"/>
      <c r="E1015" s="16">
        <f t="shared" si="4"/>
        <v>36</v>
      </c>
    </row>
    <row r="1016" spans="2:5">
      <c r="B1016" s="6">
        <v>1012</v>
      </c>
      <c r="C1016" s="5">
        <v>46669</v>
      </c>
      <c r="D1016" s="3"/>
      <c r="E1016" s="16">
        <f t="shared" si="4"/>
        <v>29</v>
      </c>
    </row>
    <row r="1017" spans="2:5">
      <c r="B1017" s="6">
        <v>1013</v>
      </c>
      <c r="C1017" s="5">
        <v>46670</v>
      </c>
      <c r="D1017" s="3"/>
      <c r="E1017" s="16">
        <f t="shared" si="4"/>
        <v>39</v>
      </c>
    </row>
    <row r="1018" spans="2:5">
      <c r="B1018" s="6">
        <v>1014</v>
      </c>
      <c r="C1018" s="5">
        <v>46671</v>
      </c>
      <c r="D1018" s="3"/>
      <c r="E1018" s="16">
        <f t="shared" si="4"/>
        <v>33</v>
      </c>
    </row>
    <row r="1019" spans="2:5">
      <c r="B1019" s="6">
        <v>1015</v>
      </c>
      <c r="C1019" s="5">
        <v>46672</v>
      </c>
      <c r="D1019" s="3"/>
      <c r="E1019" s="16">
        <f t="shared" si="4"/>
        <v>31</v>
      </c>
    </row>
    <row r="1020" spans="2:5">
      <c r="B1020" s="6">
        <v>1016</v>
      </c>
      <c r="C1020" s="5">
        <v>46673</v>
      </c>
      <c r="D1020" s="3"/>
      <c r="E1020" s="16">
        <f t="shared" si="4"/>
        <v>39</v>
      </c>
    </row>
    <row r="1021" spans="2:5">
      <c r="B1021" s="6">
        <v>1017</v>
      </c>
      <c r="C1021" s="5">
        <v>46674</v>
      </c>
      <c r="D1021" s="3"/>
      <c r="E1021" s="16">
        <f t="shared" si="4"/>
        <v>29</v>
      </c>
    </row>
    <row r="1022" spans="2:5">
      <c r="B1022" s="6">
        <v>1018</v>
      </c>
      <c r="C1022" s="5">
        <v>46675</v>
      </c>
      <c r="D1022" s="3"/>
      <c r="E1022" s="16">
        <f t="shared" si="4"/>
        <v>22</v>
      </c>
    </row>
    <row r="1023" spans="2:5">
      <c r="B1023" s="6">
        <v>1019</v>
      </c>
      <c r="C1023" s="5">
        <v>46676</v>
      </c>
      <c r="D1023" s="3"/>
      <c r="E1023" s="16">
        <f t="shared" si="4"/>
        <v>40</v>
      </c>
    </row>
    <row r="1024" spans="2:5">
      <c r="B1024" s="6">
        <v>1020</v>
      </c>
      <c r="C1024" s="5">
        <v>46677</v>
      </c>
      <c r="D1024" s="3"/>
      <c r="E1024" s="16">
        <f t="shared" si="4"/>
        <v>30</v>
      </c>
    </row>
    <row r="1025" spans="2:5">
      <c r="B1025" s="6">
        <v>1021</v>
      </c>
      <c r="C1025" s="5">
        <v>46678</v>
      </c>
      <c r="D1025" s="3"/>
      <c r="E1025" s="16">
        <f t="shared" si="4"/>
        <v>34</v>
      </c>
    </row>
    <row r="1026" spans="2:5">
      <c r="B1026" s="6">
        <v>1022</v>
      </c>
      <c r="C1026" s="5">
        <v>46679</v>
      </c>
      <c r="D1026" s="3"/>
      <c r="E1026" s="16">
        <f t="shared" si="4"/>
        <v>35</v>
      </c>
    </row>
    <row r="1027" spans="2:5">
      <c r="B1027" s="6">
        <v>1023</v>
      </c>
      <c r="C1027" s="5">
        <v>46680</v>
      </c>
      <c r="D1027" s="3"/>
      <c r="E1027" s="16">
        <f t="shared" si="4"/>
        <v>41</v>
      </c>
    </row>
    <row r="1028" spans="2:5">
      <c r="B1028" s="6">
        <v>1024</v>
      </c>
      <c r="C1028" s="5">
        <v>46681</v>
      </c>
      <c r="D1028" s="3"/>
      <c r="E1028" s="16">
        <f t="shared" si="4"/>
        <v>26</v>
      </c>
    </row>
    <row r="1029" spans="2:5">
      <c r="B1029" s="6">
        <v>1025</v>
      </c>
      <c r="C1029" s="5">
        <v>46682</v>
      </c>
      <c r="D1029" s="3"/>
      <c r="E1029" s="16">
        <f t="shared" si="4"/>
        <v>34</v>
      </c>
    </row>
    <row r="1030" spans="2:5">
      <c r="B1030" s="6">
        <v>1026</v>
      </c>
      <c r="C1030" s="5">
        <v>46683</v>
      </c>
      <c r="D1030" s="3"/>
      <c r="E1030" s="16">
        <f t="shared" si="4"/>
        <v>35</v>
      </c>
    </row>
    <row r="1031" spans="2:5">
      <c r="B1031" s="6">
        <v>1027</v>
      </c>
      <c r="C1031" s="5">
        <v>46684</v>
      </c>
      <c r="D1031" s="3"/>
      <c r="E1031" s="16">
        <f t="shared" si="4"/>
        <v>39</v>
      </c>
    </row>
    <row r="1032" spans="2:5">
      <c r="B1032" s="6">
        <v>1028</v>
      </c>
      <c r="C1032" s="5">
        <v>46685</v>
      </c>
      <c r="D1032" s="3"/>
      <c r="E1032" s="16">
        <f t="shared" si="4"/>
        <v>37</v>
      </c>
    </row>
    <row r="1033" spans="2:5">
      <c r="B1033" s="6">
        <v>1029</v>
      </c>
      <c r="C1033" s="5">
        <v>46686</v>
      </c>
      <c r="D1033" s="3"/>
      <c r="E1033" s="16">
        <f t="shared" si="4"/>
        <v>36</v>
      </c>
    </row>
    <row r="1034" spans="2:5">
      <c r="B1034" s="6">
        <v>1030</v>
      </c>
      <c r="C1034" s="5">
        <v>46687</v>
      </c>
      <c r="D1034" s="3"/>
      <c r="E1034" s="16">
        <f t="shared" si="4"/>
        <v>33</v>
      </c>
    </row>
    <row r="1035" spans="2:5">
      <c r="B1035" s="6">
        <v>1031</v>
      </c>
      <c r="C1035" s="5">
        <v>46688</v>
      </c>
      <c r="D1035" s="3"/>
      <c r="E1035" s="16">
        <f t="shared" si="4"/>
        <v>32</v>
      </c>
    </row>
    <row r="1036" spans="2:5">
      <c r="B1036" s="6">
        <v>1032</v>
      </c>
      <c r="C1036" s="5">
        <v>46689</v>
      </c>
      <c r="D1036" s="3"/>
      <c r="E1036" s="16">
        <f t="shared" si="4"/>
        <v>34</v>
      </c>
    </row>
    <row r="1037" spans="2:5">
      <c r="B1037" s="6">
        <v>1033</v>
      </c>
      <c r="C1037" s="5">
        <v>46690</v>
      </c>
      <c r="D1037" s="3"/>
      <c r="E1037" s="16">
        <f t="shared" si="4"/>
        <v>34</v>
      </c>
    </row>
    <row r="1038" spans="2:5">
      <c r="B1038" s="6">
        <v>1034</v>
      </c>
      <c r="C1038" s="5">
        <v>46691</v>
      </c>
      <c r="D1038" s="3"/>
      <c r="E1038" s="16">
        <f t="shared" si="4"/>
        <v>30</v>
      </c>
    </row>
    <row r="1039" spans="2:5">
      <c r="B1039" s="6">
        <v>1035</v>
      </c>
      <c r="C1039" s="5">
        <v>46692</v>
      </c>
      <c r="D1039" s="3"/>
      <c r="E1039" s="16">
        <f t="shared" si="4"/>
        <v>25</v>
      </c>
    </row>
    <row r="1040" spans="2:5">
      <c r="B1040" s="6">
        <v>1036</v>
      </c>
      <c r="C1040" s="5">
        <v>46693</v>
      </c>
      <c r="D1040" s="3"/>
      <c r="E1040" s="16">
        <f t="shared" si="4"/>
        <v>36</v>
      </c>
    </row>
    <row r="1041" spans="2:5">
      <c r="B1041" s="6">
        <v>1037</v>
      </c>
      <c r="C1041" s="5">
        <v>46694</v>
      </c>
      <c r="D1041" s="3"/>
      <c r="E1041" s="16">
        <f t="shared" si="4"/>
        <v>35</v>
      </c>
    </row>
    <row r="1042" spans="2:5">
      <c r="B1042" s="6">
        <v>1038</v>
      </c>
      <c r="C1042" s="5">
        <v>46695</v>
      </c>
      <c r="D1042" s="3"/>
      <c r="E1042" s="16">
        <f t="shared" si="4"/>
        <v>35</v>
      </c>
    </row>
    <row r="1043" spans="2:5">
      <c r="B1043" s="6">
        <v>1039</v>
      </c>
      <c r="C1043" s="5">
        <v>46696</v>
      </c>
      <c r="D1043" s="3"/>
      <c r="E1043" s="16">
        <f t="shared" si="4"/>
        <v>39</v>
      </c>
    </row>
    <row r="1044" spans="2:5">
      <c r="B1044" s="6">
        <v>1040</v>
      </c>
      <c r="C1044" s="5">
        <v>46697</v>
      </c>
      <c r="D1044" s="3"/>
      <c r="E1044" s="16">
        <f t="shared" si="4"/>
        <v>24</v>
      </c>
    </row>
    <row r="1045" spans="2:5">
      <c r="B1045" s="6">
        <v>1041</v>
      </c>
      <c r="C1045" s="5">
        <v>46698</v>
      </c>
      <c r="D1045" s="3"/>
      <c r="E1045" s="16">
        <f t="shared" si="4"/>
        <v>29</v>
      </c>
    </row>
    <row r="1046" spans="2:5">
      <c r="B1046" s="6">
        <v>1042</v>
      </c>
      <c r="C1046" s="5">
        <v>46699</v>
      </c>
      <c r="D1046" s="3"/>
      <c r="E1046" s="16">
        <f t="shared" si="4"/>
        <v>43</v>
      </c>
    </row>
    <row r="1047" spans="2:5">
      <c r="B1047" s="6">
        <v>1043</v>
      </c>
      <c r="C1047" s="5">
        <v>46700</v>
      </c>
      <c r="D1047" s="3"/>
      <c r="E1047" s="16">
        <f t="shared" si="4"/>
        <v>30</v>
      </c>
    </row>
    <row r="1048" spans="2:5">
      <c r="B1048" s="6">
        <v>1044</v>
      </c>
      <c r="C1048" s="5">
        <v>46701</v>
      </c>
      <c r="D1048" s="3"/>
      <c r="E1048" s="16">
        <f t="shared" si="4"/>
        <v>38</v>
      </c>
    </row>
    <row r="1049" spans="2:5">
      <c r="B1049" s="6">
        <v>1045</v>
      </c>
      <c r="C1049" s="5">
        <v>46702</v>
      </c>
      <c r="D1049" s="3"/>
      <c r="E1049" s="16">
        <f t="shared" si="4"/>
        <v>39</v>
      </c>
    </row>
    <row r="1050" spans="2:5">
      <c r="B1050" s="6">
        <v>1046</v>
      </c>
      <c r="C1050" s="5">
        <v>46703</v>
      </c>
      <c r="D1050" s="3"/>
      <c r="E1050" s="16">
        <f t="shared" si="4"/>
        <v>32</v>
      </c>
    </row>
    <row r="1051" spans="2:5">
      <c r="B1051" s="6">
        <v>1047</v>
      </c>
      <c r="C1051" s="5">
        <v>46704</v>
      </c>
      <c r="D1051" s="3"/>
      <c r="E1051" s="16">
        <f t="shared" si="4"/>
        <v>39</v>
      </c>
    </row>
    <row r="1052" spans="2:5">
      <c r="B1052" s="6">
        <v>1048</v>
      </c>
      <c r="C1052" s="5">
        <v>46705</v>
      </c>
      <c r="D1052" s="3"/>
      <c r="E1052" s="16">
        <f t="shared" si="4"/>
        <v>49</v>
      </c>
    </row>
    <row r="1053" spans="2:5">
      <c r="B1053" s="6">
        <v>1049</v>
      </c>
      <c r="C1053" s="5">
        <v>46706</v>
      </c>
      <c r="D1053" s="3"/>
      <c r="E1053" s="16">
        <f t="shared" si="4"/>
        <v>41</v>
      </c>
    </row>
    <row r="1054" spans="2:5">
      <c r="B1054" s="6">
        <v>1050</v>
      </c>
      <c r="C1054" s="5">
        <v>46707</v>
      </c>
      <c r="D1054" s="3"/>
      <c r="E1054" s="16">
        <f t="shared" si="4"/>
        <v>33</v>
      </c>
    </row>
    <row r="1055" spans="2:5">
      <c r="B1055" s="6">
        <v>1051</v>
      </c>
      <c r="C1055" s="5">
        <v>46708</v>
      </c>
      <c r="D1055" s="3"/>
      <c r="E1055" s="16">
        <f t="shared" ref="E1055:E1118" si="5">ROUNDUP(_xlfn.FORECAST.ETS(B1055,$D$5:$D$734,$B$5:$B$734,365,0,1),0)</f>
        <v>36</v>
      </c>
    </row>
    <row r="1056" spans="2:5">
      <c r="B1056" s="6">
        <v>1052</v>
      </c>
      <c r="C1056" s="5">
        <v>46709</v>
      </c>
      <c r="D1056" s="3"/>
      <c r="E1056" s="16">
        <f t="shared" si="5"/>
        <v>37</v>
      </c>
    </row>
    <row r="1057" spans="2:5">
      <c r="B1057" s="6">
        <v>1053</v>
      </c>
      <c r="C1057" s="5">
        <v>46710</v>
      </c>
      <c r="D1057" s="3"/>
      <c r="E1057" s="16">
        <f t="shared" si="5"/>
        <v>30</v>
      </c>
    </row>
    <row r="1058" spans="2:5">
      <c r="B1058" s="6">
        <v>1054</v>
      </c>
      <c r="C1058" s="5">
        <v>46711</v>
      </c>
      <c r="D1058" s="3"/>
      <c r="E1058" s="16">
        <f t="shared" si="5"/>
        <v>39</v>
      </c>
    </row>
    <row r="1059" spans="2:5">
      <c r="B1059" s="6">
        <v>1055</v>
      </c>
      <c r="C1059" s="5">
        <v>46712</v>
      </c>
      <c r="D1059" s="3"/>
      <c r="E1059" s="16">
        <f t="shared" si="5"/>
        <v>32</v>
      </c>
    </row>
    <row r="1060" spans="2:5">
      <c r="B1060" s="6">
        <v>1056</v>
      </c>
      <c r="C1060" s="5">
        <v>46713</v>
      </c>
      <c r="D1060" s="3"/>
      <c r="E1060" s="16">
        <f t="shared" si="5"/>
        <v>38</v>
      </c>
    </row>
    <row r="1061" spans="2:5">
      <c r="B1061" s="6">
        <v>1057</v>
      </c>
      <c r="C1061" s="5">
        <v>46714</v>
      </c>
      <c r="D1061" s="3"/>
      <c r="E1061" s="16">
        <f t="shared" si="5"/>
        <v>39</v>
      </c>
    </row>
    <row r="1062" spans="2:5">
      <c r="B1062" s="6">
        <v>1058</v>
      </c>
      <c r="C1062" s="5">
        <v>46715</v>
      </c>
      <c r="D1062" s="3"/>
      <c r="E1062" s="16">
        <f t="shared" si="5"/>
        <v>43</v>
      </c>
    </row>
    <row r="1063" spans="2:5">
      <c r="B1063" s="6">
        <v>1059</v>
      </c>
      <c r="C1063" s="5">
        <v>46716</v>
      </c>
      <c r="D1063" s="3"/>
      <c r="E1063" s="16">
        <f t="shared" si="5"/>
        <v>35</v>
      </c>
    </row>
    <row r="1064" spans="2:5">
      <c r="B1064" s="6">
        <v>1060</v>
      </c>
      <c r="C1064" s="5">
        <v>46717</v>
      </c>
      <c r="D1064" s="3"/>
      <c r="E1064" s="16">
        <f t="shared" si="5"/>
        <v>37</v>
      </c>
    </row>
    <row r="1065" spans="2:5">
      <c r="B1065" s="6">
        <v>1061</v>
      </c>
      <c r="C1065" s="5">
        <v>46718</v>
      </c>
      <c r="D1065" s="3"/>
      <c r="E1065" s="16">
        <f t="shared" si="5"/>
        <v>35</v>
      </c>
    </row>
    <row r="1066" spans="2:5">
      <c r="B1066" s="6">
        <v>1062</v>
      </c>
      <c r="C1066" s="5">
        <v>46719</v>
      </c>
      <c r="D1066" s="3"/>
      <c r="E1066" s="16">
        <f t="shared" si="5"/>
        <v>30</v>
      </c>
    </row>
    <row r="1067" spans="2:5">
      <c r="B1067" s="6">
        <v>1063</v>
      </c>
      <c r="C1067" s="5">
        <v>46720</v>
      </c>
      <c r="D1067" s="3"/>
      <c r="E1067" s="16">
        <f t="shared" si="5"/>
        <v>38</v>
      </c>
    </row>
    <row r="1068" spans="2:5">
      <c r="B1068" s="6">
        <v>1064</v>
      </c>
      <c r="C1068" s="5">
        <v>46721</v>
      </c>
      <c r="D1068" s="3"/>
      <c r="E1068" s="16">
        <f t="shared" si="5"/>
        <v>40</v>
      </c>
    </row>
    <row r="1069" spans="2:5">
      <c r="B1069" s="6">
        <v>1065</v>
      </c>
      <c r="C1069" s="5">
        <v>46722</v>
      </c>
      <c r="D1069" s="3"/>
      <c r="E1069" s="16">
        <f t="shared" si="5"/>
        <v>36</v>
      </c>
    </row>
    <row r="1070" spans="2:5">
      <c r="B1070" s="6">
        <v>1066</v>
      </c>
      <c r="C1070" s="5">
        <v>46723</v>
      </c>
      <c r="D1070" s="3"/>
      <c r="E1070" s="16">
        <f t="shared" si="5"/>
        <v>31</v>
      </c>
    </row>
    <row r="1071" spans="2:5">
      <c r="B1071" s="6">
        <v>1067</v>
      </c>
      <c r="C1071" s="5">
        <v>46724</v>
      </c>
      <c r="D1071" s="3"/>
      <c r="E1071" s="16">
        <f t="shared" si="5"/>
        <v>32</v>
      </c>
    </row>
    <row r="1072" spans="2:5">
      <c r="B1072" s="6">
        <v>1068</v>
      </c>
      <c r="C1072" s="5">
        <v>46725</v>
      </c>
      <c r="D1072" s="3"/>
      <c r="E1072" s="16">
        <f t="shared" si="5"/>
        <v>41</v>
      </c>
    </row>
    <row r="1073" spans="2:5">
      <c r="B1073" s="6">
        <v>1069</v>
      </c>
      <c r="C1073" s="5">
        <v>46726</v>
      </c>
      <c r="D1073" s="3"/>
      <c r="E1073" s="16">
        <f t="shared" si="5"/>
        <v>46</v>
      </c>
    </row>
    <row r="1074" spans="2:5">
      <c r="B1074" s="6">
        <v>1070</v>
      </c>
      <c r="C1074" s="5">
        <v>46727</v>
      </c>
      <c r="D1074" s="3"/>
      <c r="E1074" s="16">
        <f t="shared" si="5"/>
        <v>33</v>
      </c>
    </row>
    <row r="1075" spans="2:5">
      <c r="B1075" s="6">
        <v>1071</v>
      </c>
      <c r="C1075" s="5">
        <v>46728</v>
      </c>
      <c r="D1075" s="3"/>
      <c r="E1075" s="16">
        <f t="shared" si="5"/>
        <v>34</v>
      </c>
    </row>
    <row r="1076" spans="2:5">
      <c r="B1076" s="6">
        <v>1072</v>
      </c>
      <c r="C1076" s="5">
        <v>46729</v>
      </c>
      <c r="D1076" s="3"/>
      <c r="E1076" s="16">
        <f t="shared" si="5"/>
        <v>33</v>
      </c>
    </row>
    <row r="1077" spans="2:5">
      <c r="B1077" s="6">
        <v>1073</v>
      </c>
      <c r="C1077" s="5">
        <v>46730</v>
      </c>
      <c r="D1077" s="3"/>
      <c r="E1077" s="16">
        <f t="shared" si="5"/>
        <v>38</v>
      </c>
    </row>
    <row r="1078" spans="2:5">
      <c r="B1078" s="6">
        <v>1074</v>
      </c>
      <c r="C1078" s="5">
        <v>46731</v>
      </c>
      <c r="D1078" s="3"/>
      <c r="E1078" s="16">
        <f t="shared" si="5"/>
        <v>40</v>
      </c>
    </row>
    <row r="1079" spans="2:5">
      <c r="B1079" s="6">
        <v>1075</v>
      </c>
      <c r="C1079" s="5">
        <v>46732</v>
      </c>
      <c r="D1079" s="3"/>
      <c r="E1079" s="16">
        <f t="shared" si="5"/>
        <v>40</v>
      </c>
    </row>
    <row r="1080" spans="2:5">
      <c r="B1080" s="6">
        <v>1076</v>
      </c>
      <c r="C1080" s="5">
        <v>46733</v>
      </c>
      <c r="D1080" s="3"/>
      <c r="E1080" s="16">
        <f t="shared" si="5"/>
        <v>41</v>
      </c>
    </row>
    <row r="1081" spans="2:5">
      <c r="B1081" s="6">
        <v>1077</v>
      </c>
      <c r="C1081" s="5">
        <v>46734</v>
      </c>
      <c r="D1081" s="3"/>
      <c r="E1081" s="16">
        <f t="shared" si="5"/>
        <v>38</v>
      </c>
    </row>
    <row r="1082" spans="2:5">
      <c r="B1082" s="6">
        <v>1078</v>
      </c>
      <c r="C1082" s="5">
        <v>46735</v>
      </c>
      <c r="D1082" s="3"/>
      <c r="E1082" s="16">
        <f t="shared" si="5"/>
        <v>44</v>
      </c>
    </row>
    <row r="1083" spans="2:5">
      <c r="B1083" s="6">
        <v>1079</v>
      </c>
      <c r="C1083" s="5">
        <v>46736</v>
      </c>
      <c r="D1083" s="3"/>
      <c r="E1083" s="16">
        <f t="shared" si="5"/>
        <v>41</v>
      </c>
    </row>
    <row r="1084" spans="2:5">
      <c r="B1084" s="6">
        <v>1080</v>
      </c>
      <c r="C1084" s="5">
        <v>46737</v>
      </c>
      <c r="D1084" s="3"/>
      <c r="E1084" s="16">
        <f t="shared" si="5"/>
        <v>36</v>
      </c>
    </row>
    <row r="1085" spans="2:5">
      <c r="B1085" s="6">
        <v>1081</v>
      </c>
      <c r="C1085" s="5">
        <v>46738</v>
      </c>
      <c r="D1085" s="3"/>
      <c r="E1085" s="16">
        <f t="shared" si="5"/>
        <v>40</v>
      </c>
    </row>
    <row r="1086" spans="2:5">
      <c r="B1086" s="6">
        <v>1082</v>
      </c>
      <c r="C1086" s="5">
        <v>46739</v>
      </c>
      <c r="D1086" s="3"/>
      <c r="E1086" s="16">
        <f t="shared" si="5"/>
        <v>39</v>
      </c>
    </row>
    <row r="1087" spans="2:5">
      <c r="B1087" s="6">
        <v>1083</v>
      </c>
      <c r="C1087" s="5">
        <v>46740</v>
      </c>
      <c r="D1087" s="3"/>
      <c r="E1087" s="16">
        <f t="shared" si="5"/>
        <v>33</v>
      </c>
    </row>
    <row r="1088" spans="2:5">
      <c r="B1088" s="6">
        <v>1084</v>
      </c>
      <c r="C1088" s="5">
        <v>46741</v>
      </c>
      <c r="D1088" s="3"/>
      <c r="E1088" s="16">
        <f t="shared" si="5"/>
        <v>36</v>
      </c>
    </row>
    <row r="1089" spans="2:5">
      <c r="B1089" s="6">
        <v>1085</v>
      </c>
      <c r="C1089" s="5">
        <v>46742</v>
      </c>
      <c r="D1089" s="3"/>
      <c r="E1089" s="16">
        <f t="shared" si="5"/>
        <v>36</v>
      </c>
    </row>
    <row r="1090" spans="2:5">
      <c r="B1090" s="6">
        <v>1086</v>
      </c>
      <c r="C1090" s="5">
        <v>46743</v>
      </c>
      <c r="D1090" s="3"/>
      <c r="E1090" s="16">
        <f t="shared" si="5"/>
        <v>35</v>
      </c>
    </row>
    <row r="1091" spans="2:5">
      <c r="B1091" s="6">
        <v>1087</v>
      </c>
      <c r="C1091" s="5">
        <v>46744</v>
      </c>
      <c r="D1091" s="3"/>
      <c r="E1091" s="16">
        <f t="shared" si="5"/>
        <v>31</v>
      </c>
    </row>
    <row r="1092" spans="2:5">
      <c r="B1092" s="6">
        <v>1088</v>
      </c>
      <c r="C1092" s="5">
        <v>46745</v>
      </c>
      <c r="D1092" s="3"/>
      <c r="E1092" s="16">
        <f t="shared" si="5"/>
        <v>32</v>
      </c>
    </row>
    <row r="1093" spans="2:5">
      <c r="B1093" s="6">
        <v>1089</v>
      </c>
      <c r="C1093" s="5">
        <v>46746</v>
      </c>
      <c r="D1093" s="3"/>
      <c r="E1093" s="16">
        <f t="shared" si="5"/>
        <v>37</v>
      </c>
    </row>
    <row r="1094" spans="2:5">
      <c r="B1094" s="6">
        <v>1090</v>
      </c>
      <c r="C1094" s="5">
        <v>46747</v>
      </c>
      <c r="D1094" s="3"/>
      <c r="E1094" s="16">
        <f t="shared" si="5"/>
        <v>37</v>
      </c>
    </row>
    <row r="1095" spans="2:5">
      <c r="B1095" s="6">
        <v>1091</v>
      </c>
      <c r="C1095" s="5">
        <v>46748</v>
      </c>
      <c r="D1095" s="3"/>
      <c r="E1095" s="16">
        <f t="shared" si="5"/>
        <v>36</v>
      </c>
    </row>
    <row r="1096" spans="2:5">
      <c r="B1096" s="6">
        <v>1092</v>
      </c>
      <c r="C1096" s="5">
        <v>46749</v>
      </c>
      <c r="D1096" s="3"/>
      <c r="E1096" s="16">
        <f t="shared" si="5"/>
        <v>32</v>
      </c>
    </row>
    <row r="1097" spans="2:5">
      <c r="B1097" s="6">
        <v>1093</v>
      </c>
      <c r="C1097" s="5">
        <v>46750</v>
      </c>
      <c r="D1097" s="3"/>
      <c r="E1097" s="16">
        <f t="shared" si="5"/>
        <v>34</v>
      </c>
    </row>
    <row r="1098" spans="2:5">
      <c r="B1098" s="6">
        <v>1094</v>
      </c>
      <c r="C1098" s="5">
        <v>46751</v>
      </c>
      <c r="D1098" s="3"/>
      <c r="E1098" s="16">
        <f t="shared" si="5"/>
        <v>38</v>
      </c>
    </row>
    <row r="1099" spans="2:5">
      <c r="B1099" s="6">
        <v>1095</v>
      </c>
      <c r="C1099" s="5">
        <v>46752</v>
      </c>
      <c r="D1099" s="3"/>
      <c r="E1099" s="16">
        <f t="shared" si="5"/>
        <v>27</v>
      </c>
    </row>
    <row r="1100" spans="2:5">
      <c r="B1100" s="6">
        <v>1096</v>
      </c>
      <c r="C1100" s="5">
        <v>46753</v>
      </c>
      <c r="D1100" s="3"/>
      <c r="E1100" s="16">
        <f t="shared" si="5"/>
        <v>45</v>
      </c>
    </row>
    <row r="1101" spans="2:5">
      <c r="B1101" s="6">
        <v>1097</v>
      </c>
      <c r="C1101" s="5">
        <v>46754</v>
      </c>
      <c r="D1101" s="3"/>
      <c r="E1101" s="16">
        <f t="shared" si="5"/>
        <v>42</v>
      </c>
    </row>
    <row r="1102" spans="2:5">
      <c r="B1102" s="6">
        <v>1098</v>
      </c>
      <c r="C1102" s="5">
        <v>46755</v>
      </c>
      <c r="D1102" s="3"/>
      <c r="E1102" s="16">
        <f t="shared" si="5"/>
        <v>42</v>
      </c>
    </row>
    <row r="1103" spans="2:5">
      <c r="B1103" s="6">
        <v>1099</v>
      </c>
      <c r="C1103" s="5">
        <v>46756</v>
      </c>
      <c r="D1103" s="3"/>
      <c r="E1103" s="16">
        <f t="shared" si="5"/>
        <v>55</v>
      </c>
    </row>
    <row r="1104" spans="2:5">
      <c r="B1104" s="6">
        <v>1100</v>
      </c>
      <c r="C1104" s="5">
        <v>46757</v>
      </c>
      <c r="D1104" s="3"/>
      <c r="E1104" s="16">
        <f t="shared" si="5"/>
        <v>41</v>
      </c>
    </row>
    <row r="1105" spans="2:5">
      <c r="B1105" s="6">
        <v>1101</v>
      </c>
      <c r="C1105" s="5">
        <v>46758</v>
      </c>
      <c r="D1105" s="3"/>
      <c r="E1105" s="16">
        <f t="shared" si="5"/>
        <v>47</v>
      </c>
    </row>
    <row r="1106" spans="2:5">
      <c r="B1106" s="6">
        <v>1102</v>
      </c>
      <c r="C1106" s="5">
        <v>46759</v>
      </c>
      <c r="D1106" s="3"/>
      <c r="E1106" s="16">
        <f t="shared" si="5"/>
        <v>34</v>
      </c>
    </row>
    <row r="1107" spans="2:5">
      <c r="B1107" s="6">
        <v>1103</v>
      </c>
      <c r="C1107" s="5">
        <v>46760</v>
      </c>
      <c r="D1107" s="3"/>
      <c r="E1107" s="16">
        <f t="shared" si="5"/>
        <v>47</v>
      </c>
    </row>
    <row r="1108" spans="2:5">
      <c r="B1108" s="6">
        <v>1104</v>
      </c>
      <c r="C1108" s="5">
        <v>46761</v>
      </c>
      <c r="D1108" s="3"/>
      <c r="E1108" s="16">
        <f t="shared" si="5"/>
        <v>38</v>
      </c>
    </row>
    <row r="1109" spans="2:5">
      <c r="B1109" s="6">
        <v>1105</v>
      </c>
      <c r="C1109" s="5">
        <v>46762</v>
      </c>
      <c r="D1109" s="3"/>
      <c r="E1109" s="16">
        <f t="shared" si="5"/>
        <v>35</v>
      </c>
    </row>
    <row r="1110" spans="2:5">
      <c r="B1110" s="6">
        <v>1106</v>
      </c>
      <c r="C1110" s="5">
        <v>46763</v>
      </c>
      <c r="D1110" s="3"/>
      <c r="E1110" s="16">
        <f t="shared" si="5"/>
        <v>37</v>
      </c>
    </row>
    <row r="1111" spans="2:5">
      <c r="B1111" s="6">
        <v>1107</v>
      </c>
      <c r="C1111" s="5">
        <v>46764</v>
      </c>
      <c r="D1111" s="3"/>
      <c r="E1111" s="16">
        <f t="shared" si="5"/>
        <v>32</v>
      </c>
    </row>
    <row r="1112" spans="2:5">
      <c r="B1112" s="6">
        <v>1108</v>
      </c>
      <c r="C1112" s="5">
        <v>46765</v>
      </c>
      <c r="D1112" s="3"/>
      <c r="E1112" s="16">
        <f t="shared" si="5"/>
        <v>47</v>
      </c>
    </row>
    <row r="1113" spans="2:5">
      <c r="B1113" s="6">
        <v>1109</v>
      </c>
      <c r="C1113" s="5">
        <v>46766</v>
      </c>
      <c r="D1113" s="3"/>
      <c r="E1113" s="16">
        <f t="shared" si="5"/>
        <v>47</v>
      </c>
    </row>
    <row r="1114" spans="2:5">
      <c r="B1114" s="6">
        <v>1110</v>
      </c>
      <c r="C1114" s="5">
        <v>46767</v>
      </c>
      <c r="D1114" s="3"/>
      <c r="E1114" s="16">
        <f t="shared" si="5"/>
        <v>35</v>
      </c>
    </row>
    <row r="1115" spans="2:5">
      <c r="B1115" s="6">
        <v>1111</v>
      </c>
      <c r="C1115" s="5">
        <v>46768</v>
      </c>
      <c r="D1115" s="3"/>
      <c r="E1115" s="16">
        <f t="shared" si="5"/>
        <v>42</v>
      </c>
    </row>
    <row r="1116" spans="2:5">
      <c r="B1116" s="6">
        <v>1112</v>
      </c>
      <c r="C1116" s="5">
        <v>46769</v>
      </c>
      <c r="D1116" s="3"/>
      <c r="E1116" s="16">
        <f t="shared" si="5"/>
        <v>41</v>
      </c>
    </row>
    <row r="1117" spans="2:5">
      <c r="B1117" s="6">
        <v>1113</v>
      </c>
      <c r="C1117" s="5">
        <v>46770</v>
      </c>
      <c r="D1117" s="3"/>
      <c r="E1117" s="16">
        <f t="shared" si="5"/>
        <v>28</v>
      </c>
    </row>
    <row r="1118" spans="2:5">
      <c r="B1118" s="6">
        <v>1114</v>
      </c>
      <c r="C1118" s="5">
        <v>46771</v>
      </c>
      <c r="D1118" s="3"/>
      <c r="E1118" s="16">
        <f t="shared" si="5"/>
        <v>42</v>
      </c>
    </row>
    <row r="1119" spans="2:5">
      <c r="B1119" s="6">
        <v>1115</v>
      </c>
      <c r="C1119" s="5">
        <v>46772</v>
      </c>
      <c r="D1119" s="3"/>
      <c r="E1119" s="16">
        <f t="shared" ref="E1119:E1182" si="6">ROUNDUP(_xlfn.FORECAST.ETS(B1119,$D$5:$D$734,$B$5:$B$734,365,0,1),0)</f>
        <v>33</v>
      </c>
    </row>
    <row r="1120" spans="2:5">
      <c r="B1120" s="6">
        <v>1116</v>
      </c>
      <c r="C1120" s="5">
        <v>46773</v>
      </c>
      <c r="D1120" s="3"/>
      <c r="E1120" s="16">
        <f t="shared" si="6"/>
        <v>48</v>
      </c>
    </row>
    <row r="1121" spans="2:5">
      <c r="B1121" s="6">
        <v>1117</v>
      </c>
      <c r="C1121" s="5">
        <v>46774</v>
      </c>
      <c r="D1121" s="3"/>
      <c r="E1121" s="16">
        <f t="shared" si="6"/>
        <v>31</v>
      </c>
    </row>
    <row r="1122" spans="2:5">
      <c r="B1122" s="6">
        <v>1118</v>
      </c>
      <c r="C1122" s="5">
        <v>46775</v>
      </c>
      <c r="D1122" s="3"/>
      <c r="E1122" s="16">
        <f t="shared" si="6"/>
        <v>48</v>
      </c>
    </row>
    <row r="1123" spans="2:5">
      <c r="B1123" s="6">
        <v>1119</v>
      </c>
      <c r="C1123" s="5">
        <v>46776</v>
      </c>
      <c r="D1123" s="3"/>
      <c r="E1123" s="16">
        <f t="shared" si="6"/>
        <v>50</v>
      </c>
    </row>
    <row r="1124" spans="2:5">
      <c r="B1124" s="6">
        <v>1120</v>
      </c>
      <c r="C1124" s="5">
        <v>46777</v>
      </c>
      <c r="D1124" s="3"/>
      <c r="E1124" s="16">
        <f t="shared" si="6"/>
        <v>39</v>
      </c>
    </row>
    <row r="1125" spans="2:5">
      <c r="B1125" s="6">
        <v>1121</v>
      </c>
      <c r="C1125" s="5">
        <v>46778</v>
      </c>
      <c r="D1125" s="3"/>
      <c r="E1125" s="16">
        <f t="shared" si="6"/>
        <v>32</v>
      </c>
    </row>
    <row r="1126" spans="2:5">
      <c r="B1126" s="6">
        <v>1122</v>
      </c>
      <c r="C1126" s="5">
        <v>46779</v>
      </c>
      <c r="D1126" s="3"/>
      <c r="E1126" s="16">
        <f t="shared" si="6"/>
        <v>42</v>
      </c>
    </row>
    <row r="1127" spans="2:5">
      <c r="B1127" s="6">
        <v>1123</v>
      </c>
      <c r="C1127" s="5">
        <v>46780</v>
      </c>
      <c r="D1127" s="3"/>
      <c r="E1127" s="16">
        <f t="shared" si="6"/>
        <v>45</v>
      </c>
    </row>
    <row r="1128" spans="2:5">
      <c r="B1128" s="6">
        <v>1124</v>
      </c>
      <c r="C1128" s="5">
        <v>46781</v>
      </c>
      <c r="D1128" s="3"/>
      <c r="E1128" s="16">
        <f t="shared" si="6"/>
        <v>35</v>
      </c>
    </row>
    <row r="1129" spans="2:5">
      <c r="B1129" s="6">
        <v>1125</v>
      </c>
      <c r="C1129" s="5">
        <v>46782</v>
      </c>
      <c r="D1129" s="3"/>
      <c r="E1129" s="16">
        <f t="shared" si="6"/>
        <v>35</v>
      </c>
    </row>
    <row r="1130" spans="2:5">
      <c r="B1130" s="6">
        <v>1126</v>
      </c>
      <c r="C1130" s="5">
        <v>46783</v>
      </c>
      <c r="D1130" s="3"/>
      <c r="E1130" s="16">
        <f t="shared" si="6"/>
        <v>50</v>
      </c>
    </row>
    <row r="1131" spans="2:5">
      <c r="B1131" s="6">
        <v>1127</v>
      </c>
      <c r="C1131" s="5">
        <v>46784</v>
      </c>
      <c r="D1131" s="3"/>
      <c r="E1131" s="16">
        <f t="shared" si="6"/>
        <v>42</v>
      </c>
    </row>
    <row r="1132" spans="2:5">
      <c r="B1132" s="6">
        <v>1128</v>
      </c>
      <c r="C1132" s="5">
        <v>46785</v>
      </c>
      <c r="D1132" s="3"/>
      <c r="E1132" s="16">
        <f t="shared" si="6"/>
        <v>41</v>
      </c>
    </row>
    <row r="1133" spans="2:5">
      <c r="B1133" s="6">
        <v>1129</v>
      </c>
      <c r="C1133" s="5">
        <v>46786</v>
      </c>
      <c r="D1133" s="3"/>
      <c r="E1133" s="16">
        <f t="shared" si="6"/>
        <v>47</v>
      </c>
    </row>
    <row r="1134" spans="2:5">
      <c r="B1134" s="6">
        <v>1130</v>
      </c>
      <c r="C1134" s="5">
        <v>46787</v>
      </c>
      <c r="D1134" s="3"/>
      <c r="E1134" s="16">
        <f t="shared" si="6"/>
        <v>32</v>
      </c>
    </row>
    <row r="1135" spans="2:5">
      <c r="B1135" s="6">
        <v>1131</v>
      </c>
      <c r="C1135" s="5">
        <v>46788</v>
      </c>
      <c r="D1135" s="3"/>
      <c r="E1135" s="16">
        <f t="shared" si="6"/>
        <v>39</v>
      </c>
    </row>
    <row r="1136" spans="2:5">
      <c r="B1136" s="6">
        <v>1132</v>
      </c>
      <c r="C1136" s="5">
        <v>46789</v>
      </c>
      <c r="D1136" s="3"/>
      <c r="E1136" s="16">
        <f t="shared" si="6"/>
        <v>39</v>
      </c>
    </row>
    <row r="1137" spans="2:5">
      <c r="B1137" s="6">
        <v>1133</v>
      </c>
      <c r="C1137" s="5">
        <v>46790</v>
      </c>
      <c r="D1137" s="3"/>
      <c r="E1137" s="16">
        <f t="shared" si="6"/>
        <v>41</v>
      </c>
    </row>
    <row r="1138" spans="2:5">
      <c r="B1138" s="6">
        <v>1134</v>
      </c>
      <c r="C1138" s="5">
        <v>46791</v>
      </c>
      <c r="D1138" s="3"/>
      <c r="E1138" s="16">
        <f t="shared" si="6"/>
        <v>49</v>
      </c>
    </row>
    <row r="1139" spans="2:5">
      <c r="B1139" s="6">
        <v>1135</v>
      </c>
      <c r="C1139" s="5">
        <v>46792</v>
      </c>
      <c r="D1139" s="3"/>
      <c r="E1139" s="16">
        <f t="shared" si="6"/>
        <v>39</v>
      </c>
    </row>
    <row r="1140" spans="2:5">
      <c r="B1140" s="6">
        <v>1136</v>
      </c>
      <c r="C1140" s="5">
        <v>46793</v>
      </c>
      <c r="D1140" s="3"/>
      <c r="E1140" s="16">
        <f t="shared" si="6"/>
        <v>43</v>
      </c>
    </row>
    <row r="1141" spans="2:5">
      <c r="B1141" s="6">
        <v>1137</v>
      </c>
      <c r="C1141" s="5">
        <v>46794</v>
      </c>
      <c r="D1141" s="3"/>
      <c r="E1141" s="16">
        <f t="shared" si="6"/>
        <v>44</v>
      </c>
    </row>
    <row r="1142" spans="2:5">
      <c r="B1142" s="6">
        <v>1138</v>
      </c>
      <c r="C1142" s="5">
        <v>46795</v>
      </c>
      <c r="D1142" s="3"/>
      <c r="E1142" s="16">
        <f t="shared" si="6"/>
        <v>49</v>
      </c>
    </row>
    <row r="1143" spans="2:5">
      <c r="B1143" s="6">
        <v>1139</v>
      </c>
      <c r="C1143" s="5">
        <v>46796</v>
      </c>
      <c r="D1143" s="3"/>
      <c r="E1143" s="16">
        <f t="shared" si="6"/>
        <v>46</v>
      </c>
    </row>
    <row r="1144" spans="2:5">
      <c r="B1144" s="6">
        <v>1140</v>
      </c>
      <c r="C1144" s="5">
        <v>46797</v>
      </c>
      <c r="D1144" s="3"/>
      <c r="E1144" s="16">
        <f t="shared" si="6"/>
        <v>53</v>
      </c>
    </row>
    <row r="1145" spans="2:5">
      <c r="B1145" s="6">
        <v>1141</v>
      </c>
      <c r="C1145" s="5">
        <v>46798</v>
      </c>
      <c r="D1145" s="3"/>
      <c r="E1145" s="16">
        <f t="shared" si="6"/>
        <v>28</v>
      </c>
    </row>
    <row r="1146" spans="2:5">
      <c r="B1146" s="6">
        <v>1142</v>
      </c>
      <c r="C1146" s="5">
        <v>46799</v>
      </c>
      <c r="D1146" s="3"/>
      <c r="E1146" s="16">
        <f t="shared" si="6"/>
        <v>39</v>
      </c>
    </row>
    <row r="1147" spans="2:5">
      <c r="B1147" s="6">
        <v>1143</v>
      </c>
      <c r="C1147" s="5">
        <v>46800</v>
      </c>
      <c r="D1147" s="3"/>
      <c r="E1147" s="16">
        <f t="shared" si="6"/>
        <v>41</v>
      </c>
    </row>
    <row r="1148" spans="2:5">
      <c r="B1148" s="6">
        <v>1144</v>
      </c>
      <c r="C1148" s="5">
        <v>46801</v>
      </c>
      <c r="D1148" s="3"/>
      <c r="E1148" s="16">
        <f t="shared" si="6"/>
        <v>39</v>
      </c>
    </row>
    <row r="1149" spans="2:5">
      <c r="B1149" s="6">
        <v>1145</v>
      </c>
      <c r="C1149" s="5">
        <v>46802</v>
      </c>
      <c r="D1149" s="3"/>
      <c r="E1149" s="16">
        <f t="shared" si="6"/>
        <v>40</v>
      </c>
    </row>
    <row r="1150" spans="2:5">
      <c r="B1150" s="6">
        <v>1146</v>
      </c>
      <c r="C1150" s="5">
        <v>46803</v>
      </c>
      <c r="D1150" s="3"/>
      <c r="E1150" s="16">
        <f t="shared" si="6"/>
        <v>37</v>
      </c>
    </row>
    <row r="1151" spans="2:5">
      <c r="B1151" s="6">
        <v>1147</v>
      </c>
      <c r="C1151" s="5">
        <v>46804</v>
      </c>
      <c r="D1151" s="3"/>
      <c r="E1151" s="16">
        <f t="shared" si="6"/>
        <v>45</v>
      </c>
    </row>
    <row r="1152" spans="2:5">
      <c r="B1152" s="6">
        <v>1148</v>
      </c>
      <c r="C1152" s="5">
        <v>46805</v>
      </c>
      <c r="D1152" s="3"/>
      <c r="E1152" s="16">
        <f t="shared" si="6"/>
        <v>39</v>
      </c>
    </row>
    <row r="1153" spans="2:5">
      <c r="B1153" s="6">
        <v>1149</v>
      </c>
      <c r="C1153" s="5">
        <v>46806</v>
      </c>
      <c r="D1153" s="3"/>
      <c r="E1153" s="16">
        <f t="shared" si="6"/>
        <v>37</v>
      </c>
    </row>
    <row r="1154" spans="2:5">
      <c r="B1154" s="6">
        <v>1150</v>
      </c>
      <c r="C1154" s="5">
        <v>46807</v>
      </c>
      <c r="D1154" s="3"/>
      <c r="E1154" s="16">
        <f t="shared" si="6"/>
        <v>51</v>
      </c>
    </row>
    <row r="1155" spans="2:5">
      <c r="B1155" s="6">
        <v>1151</v>
      </c>
      <c r="C1155" s="5">
        <v>46808</v>
      </c>
      <c r="D1155" s="3"/>
      <c r="E1155" s="16">
        <f t="shared" si="6"/>
        <v>45</v>
      </c>
    </row>
    <row r="1156" spans="2:5">
      <c r="B1156" s="6">
        <v>1152</v>
      </c>
      <c r="C1156" s="5">
        <v>46809</v>
      </c>
      <c r="D1156" s="3"/>
      <c r="E1156" s="16">
        <f t="shared" si="6"/>
        <v>36</v>
      </c>
    </row>
    <row r="1157" spans="2:5">
      <c r="B1157" s="6">
        <v>1153</v>
      </c>
      <c r="C1157" s="5">
        <v>46810</v>
      </c>
      <c r="D1157" s="3"/>
      <c r="E1157" s="16">
        <f t="shared" si="6"/>
        <v>41</v>
      </c>
    </row>
    <row r="1158" spans="2:5">
      <c r="B1158" s="6">
        <v>1154</v>
      </c>
      <c r="C1158" s="5">
        <v>46811</v>
      </c>
      <c r="D1158" s="3"/>
      <c r="E1158" s="16">
        <f t="shared" si="6"/>
        <v>43</v>
      </c>
    </row>
    <row r="1159" spans="2:5">
      <c r="B1159" s="6">
        <v>1155</v>
      </c>
      <c r="C1159" s="5">
        <v>46812</v>
      </c>
      <c r="D1159" s="3"/>
      <c r="E1159" s="16">
        <f t="shared" si="6"/>
        <v>39</v>
      </c>
    </row>
    <row r="1160" spans="2:5">
      <c r="B1160" s="6">
        <v>1156</v>
      </c>
      <c r="C1160" s="5">
        <v>46813</v>
      </c>
      <c r="D1160" s="3"/>
      <c r="E1160" s="16">
        <f t="shared" si="6"/>
        <v>38</v>
      </c>
    </row>
    <row r="1161" spans="2:5">
      <c r="B1161" s="6">
        <v>1157</v>
      </c>
      <c r="C1161" s="5">
        <v>46814</v>
      </c>
      <c r="D1161" s="3"/>
      <c r="E1161" s="16">
        <f t="shared" si="6"/>
        <v>36</v>
      </c>
    </row>
    <row r="1162" spans="2:5">
      <c r="B1162" s="6">
        <v>1158</v>
      </c>
      <c r="C1162" s="5">
        <v>46815</v>
      </c>
      <c r="D1162" s="3"/>
      <c r="E1162" s="16">
        <f t="shared" si="6"/>
        <v>40</v>
      </c>
    </row>
    <row r="1163" spans="2:5">
      <c r="B1163" s="6">
        <v>1159</v>
      </c>
      <c r="C1163" s="5">
        <v>46816</v>
      </c>
      <c r="D1163" s="3"/>
      <c r="E1163" s="16">
        <f t="shared" si="6"/>
        <v>40</v>
      </c>
    </row>
    <row r="1164" spans="2:5">
      <c r="B1164" s="6">
        <v>1160</v>
      </c>
      <c r="C1164" s="5">
        <v>46817</v>
      </c>
      <c r="D1164" s="3"/>
      <c r="E1164" s="16">
        <f t="shared" si="6"/>
        <v>45</v>
      </c>
    </row>
    <row r="1165" spans="2:5">
      <c r="B1165" s="6">
        <v>1161</v>
      </c>
      <c r="C1165" s="5">
        <v>46818</v>
      </c>
      <c r="D1165" s="3"/>
      <c r="E1165" s="16">
        <f t="shared" si="6"/>
        <v>34</v>
      </c>
    </row>
    <row r="1166" spans="2:5">
      <c r="B1166" s="6">
        <v>1162</v>
      </c>
      <c r="C1166" s="5">
        <v>46819</v>
      </c>
      <c r="D1166" s="3"/>
      <c r="E1166" s="16">
        <f t="shared" si="6"/>
        <v>52</v>
      </c>
    </row>
    <row r="1167" spans="2:5">
      <c r="B1167" s="6">
        <v>1163</v>
      </c>
      <c r="C1167" s="5">
        <v>46820</v>
      </c>
      <c r="D1167" s="3"/>
      <c r="E1167" s="16">
        <f t="shared" si="6"/>
        <v>37</v>
      </c>
    </row>
    <row r="1168" spans="2:5">
      <c r="B1168" s="6">
        <v>1164</v>
      </c>
      <c r="C1168" s="5">
        <v>46821</v>
      </c>
      <c r="D1168" s="3"/>
      <c r="E1168" s="16">
        <f t="shared" si="6"/>
        <v>38</v>
      </c>
    </row>
    <row r="1169" spans="2:5">
      <c r="B1169" s="6">
        <v>1165</v>
      </c>
      <c r="C1169" s="5">
        <v>46822</v>
      </c>
      <c r="D1169" s="3"/>
      <c r="E1169" s="16">
        <f t="shared" si="6"/>
        <v>48</v>
      </c>
    </row>
    <row r="1170" spans="2:5">
      <c r="B1170" s="6">
        <v>1166</v>
      </c>
      <c r="C1170" s="5">
        <v>46823</v>
      </c>
      <c r="D1170" s="3"/>
      <c r="E1170" s="16">
        <f t="shared" si="6"/>
        <v>42</v>
      </c>
    </row>
    <row r="1171" spans="2:5">
      <c r="B1171" s="6">
        <v>1167</v>
      </c>
      <c r="C1171" s="5">
        <v>46824</v>
      </c>
      <c r="D1171" s="3"/>
      <c r="E1171" s="16">
        <f t="shared" si="6"/>
        <v>41</v>
      </c>
    </row>
    <row r="1172" spans="2:5">
      <c r="B1172" s="6">
        <v>1168</v>
      </c>
      <c r="C1172" s="5">
        <v>46825</v>
      </c>
      <c r="D1172" s="3"/>
      <c r="E1172" s="16">
        <f t="shared" si="6"/>
        <v>43</v>
      </c>
    </row>
    <row r="1173" spans="2:5">
      <c r="B1173" s="6">
        <v>1169</v>
      </c>
      <c r="C1173" s="5">
        <v>46826</v>
      </c>
      <c r="D1173" s="3"/>
      <c r="E1173" s="16">
        <f t="shared" si="6"/>
        <v>49</v>
      </c>
    </row>
    <row r="1174" spans="2:5">
      <c r="B1174" s="6">
        <v>1170</v>
      </c>
      <c r="C1174" s="5">
        <v>46827</v>
      </c>
      <c r="D1174" s="3"/>
      <c r="E1174" s="16">
        <f t="shared" si="6"/>
        <v>55</v>
      </c>
    </row>
    <row r="1175" spans="2:5">
      <c r="B1175" s="6">
        <v>1171</v>
      </c>
      <c r="C1175" s="5">
        <v>46828</v>
      </c>
      <c r="D1175" s="3"/>
      <c r="E1175" s="16">
        <f t="shared" si="6"/>
        <v>51</v>
      </c>
    </row>
    <row r="1176" spans="2:5">
      <c r="B1176" s="6">
        <v>1172</v>
      </c>
      <c r="C1176" s="5">
        <v>46829</v>
      </c>
      <c r="D1176" s="3"/>
      <c r="E1176" s="16">
        <f t="shared" si="6"/>
        <v>44</v>
      </c>
    </row>
    <row r="1177" spans="2:5">
      <c r="B1177" s="6">
        <v>1173</v>
      </c>
      <c r="C1177" s="5">
        <v>46830</v>
      </c>
      <c r="D1177" s="3"/>
      <c r="E1177" s="16">
        <f t="shared" si="6"/>
        <v>41</v>
      </c>
    </row>
    <row r="1178" spans="2:5">
      <c r="B1178" s="6">
        <v>1174</v>
      </c>
      <c r="C1178" s="5">
        <v>46831</v>
      </c>
      <c r="D1178" s="3"/>
      <c r="E1178" s="16">
        <f t="shared" si="6"/>
        <v>39</v>
      </c>
    </row>
    <row r="1179" spans="2:5">
      <c r="B1179" s="6">
        <v>1175</v>
      </c>
      <c r="C1179" s="5">
        <v>46832</v>
      </c>
      <c r="D1179" s="3"/>
      <c r="E1179" s="16">
        <f t="shared" si="6"/>
        <v>45</v>
      </c>
    </row>
    <row r="1180" spans="2:5">
      <c r="B1180" s="6">
        <v>1176</v>
      </c>
      <c r="C1180" s="5">
        <v>46833</v>
      </c>
      <c r="D1180" s="3"/>
      <c r="E1180" s="16">
        <f t="shared" si="6"/>
        <v>40</v>
      </c>
    </row>
    <row r="1181" spans="2:5">
      <c r="B1181" s="6">
        <v>1177</v>
      </c>
      <c r="C1181" s="5">
        <v>46834</v>
      </c>
      <c r="D1181" s="3"/>
      <c r="E1181" s="16">
        <f t="shared" si="6"/>
        <v>53</v>
      </c>
    </row>
    <row r="1182" spans="2:5">
      <c r="B1182" s="6">
        <v>1178</v>
      </c>
      <c r="C1182" s="5">
        <v>46835</v>
      </c>
      <c r="D1182" s="3"/>
      <c r="E1182" s="16">
        <f t="shared" si="6"/>
        <v>47</v>
      </c>
    </row>
    <row r="1183" spans="2:5">
      <c r="B1183" s="6">
        <v>1179</v>
      </c>
      <c r="C1183" s="5">
        <v>46836</v>
      </c>
      <c r="D1183" s="3"/>
      <c r="E1183" s="16">
        <f t="shared" ref="E1183:E1246" si="7">ROUNDUP(_xlfn.FORECAST.ETS(B1183,$D$5:$D$734,$B$5:$B$734,365,0,1),0)</f>
        <v>44</v>
      </c>
    </row>
    <row r="1184" spans="2:5">
      <c r="B1184" s="6">
        <v>1180</v>
      </c>
      <c r="C1184" s="5">
        <v>46837</v>
      </c>
      <c r="D1184" s="3"/>
      <c r="E1184" s="16">
        <f t="shared" si="7"/>
        <v>57</v>
      </c>
    </row>
    <row r="1185" spans="2:5">
      <c r="B1185" s="6">
        <v>1181</v>
      </c>
      <c r="C1185" s="5">
        <v>46838</v>
      </c>
      <c r="D1185" s="3"/>
      <c r="E1185" s="16">
        <f t="shared" si="7"/>
        <v>46</v>
      </c>
    </row>
    <row r="1186" spans="2:5">
      <c r="B1186" s="6">
        <v>1182</v>
      </c>
      <c r="C1186" s="5">
        <v>46839</v>
      </c>
      <c r="D1186" s="3"/>
      <c r="E1186" s="16">
        <f t="shared" si="7"/>
        <v>50</v>
      </c>
    </row>
    <row r="1187" spans="2:5">
      <c r="B1187" s="6">
        <v>1183</v>
      </c>
      <c r="C1187" s="5">
        <v>46840</v>
      </c>
      <c r="D1187" s="3"/>
      <c r="E1187" s="16">
        <f t="shared" si="7"/>
        <v>43</v>
      </c>
    </row>
    <row r="1188" spans="2:5">
      <c r="B1188" s="6">
        <v>1184</v>
      </c>
      <c r="C1188" s="5">
        <v>46841</v>
      </c>
      <c r="D1188" s="3"/>
      <c r="E1188" s="16">
        <f t="shared" si="7"/>
        <v>47</v>
      </c>
    </row>
    <row r="1189" spans="2:5">
      <c r="B1189" s="6">
        <v>1185</v>
      </c>
      <c r="C1189" s="5">
        <v>46842</v>
      </c>
      <c r="D1189" s="3"/>
      <c r="E1189" s="16">
        <f t="shared" si="7"/>
        <v>45</v>
      </c>
    </row>
    <row r="1190" spans="2:5">
      <c r="B1190" s="6">
        <v>1186</v>
      </c>
      <c r="C1190" s="5">
        <v>46843</v>
      </c>
      <c r="D1190" s="3"/>
      <c r="E1190" s="16">
        <f t="shared" si="7"/>
        <v>43</v>
      </c>
    </row>
    <row r="1191" spans="2:5">
      <c r="B1191" s="6">
        <v>1187</v>
      </c>
      <c r="C1191" s="5">
        <v>46844</v>
      </c>
      <c r="D1191" s="3"/>
      <c r="E1191" s="16">
        <f t="shared" si="7"/>
        <v>50</v>
      </c>
    </row>
    <row r="1192" spans="2:5">
      <c r="B1192" s="6">
        <v>1188</v>
      </c>
      <c r="C1192" s="5">
        <v>46845</v>
      </c>
      <c r="D1192" s="3"/>
      <c r="E1192" s="16">
        <f t="shared" si="7"/>
        <v>44</v>
      </c>
    </row>
    <row r="1193" spans="2:5">
      <c r="B1193" s="6">
        <v>1189</v>
      </c>
      <c r="C1193" s="5">
        <v>46846</v>
      </c>
      <c r="D1193" s="3"/>
      <c r="E1193" s="16">
        <f t="shared" si="7"/>
        <v>30</v>
      </c>
    </row>
    <row r="1194" spans="2:5">
      <c r="B1194" s="6">
        <v>1190</v>
      </c>
      <c r="C1194" s="5">
        <v>46847</v>
      </c>
      <c r="D1194" s="3"/>
      <c r="E1194" s="16">
        <f t="shared" si="7"/>
        <v>33</v>
      </c>
    </row>
    <row r="1195" spans="2:5">
      <c r="B1195" s="6">
        <v>1191</v>
      </c>
      <c r="C1195" s="5">
        <v>46848</v>
      </c>
      <c r="D1195" s="3"/>
      <c r="E1195" s="16">
        <f t="shared" si="7"/>
        <v>36</v>
      </c>
    </row>
    <row r="1196" spans="2:5">
      <c r="B1196" s="6">
        <v>1192</v>
      </c>
      <c r="C1196" s="5">
        <v>46849</v>
      </c>
      <c r="D1196" s="3"/>
      <c r="E1196" s="16">
        <f t="shared" si="7"/>
        <v>52</v>
      </c>
    </row>
    <row r="1197" spans="2:5">
      <c r="B1197" s="6">
        <v>1193</v>
      </c>
      <c r="C1197" s="5">
        <v>46850</v>
      </c>
      <c r="D1197" s="3"/>
      <c r="E1197" s="16">
        <f t="shared" si="7"/>
        <v>45</v>
      </c>
    </row>
    <row r="1198" spans="2:5">
      <c r="B1198" s="6">
        <v>1194</v>
      </c>
      <c r="C1198" s="5">
        <v>46851</v>
      </c>
      <c r="D1198" s="3"/>
      <c r="E1198" s="16">
        <f t="shared" si="7"/>
        <v>41</v>
      </c>
    </row>
    <row r="1199" spans="2:5">
      <c r="B1199" s="6">
        <v>1195</v>
      </c>
      <c r="C1199" s="5">
        <v>46852</v>
      </c>
      <c r="D1199" s="3"/>
      <c r="E1199" s="16">
        <f t="shared" si="7"/>
        <v>47</v>
      </c>
    </row>
    <row r="1200" spans="2:5">
      <c r="B1200" s="6">
        <v>1196</v>
      </c>
      <c r="C1200" s="5">
        <v>46853</v>
      </c>
      <c r="D1200" s="3"/>
      <c r="E1200" s="16">
        <f t="shared" si="7"/>
        <v>31</v>
      </c>
    </row>
    <row r="1201" spans="2:5">
      <c r="B1201" s="6">
        <v>1197</v>
      </c>
      <c r="C1201" s="5">
        <v>46854</v>
      </c>
      <c r="D1201" s="3"/>
      <c r="E1201" s="16">
        <f t="shared" si="7"/>
        <v>45</v>
      </c>
    </row>
    <row r="1202" spans="2:5">
      <c r="B1202" s="6">
        <v>1198</v>
      </c>
      <c r="C1202" s="5">
        <v>46855</v>
      </c>
      <c r="D1202" s="3"/>
      <c r="E1202" s="16">
        <f t="shared" si="7"/>
        <v>44</v>
      </c>
    </row>
    <row r="1203" spans="2:5">
      <c r="B1203" s="6">
        <v>1199</v>
      </c>
      <c r="C1203" s="5">
        <v>46856</v>
      </c>
      <c r="D1203" s="3"/>
      <c r="E1203" s="16">
        <f t="shared" si="7"/>
        <v>48</v>
      </c>
    </row>
    <row r="1204" spans="2:5">
      <c r="B1204" s="6">
        <v>1200</v>
      </c>
      <c r="C1204" s="5">
        <v>46857</v>
      </c>
      <c r="D1204" s="3"/>
      <c r="E1204" s="16">
        <f t="shared" si="7"/>
        <v>51</v>
      </c>
    </row>
    <row r="1205" spans="2:5">
      <c r="B1205" s="6">
        <v>1201</v>
      </c>
      <c r="C1205" s="5">
        <v>46858</v>
      </c>
      <c r="D1205" s="3"/>
      <c r="E1205" s="16">
        <f t="shared" si="7"/>
        <v>50</v>
      </c>
    </row>
    <row r="1206" spans="2:5">
      <c r="B1206" s="6">
        <v>1202</v>
      </c>
      <c r="C1206" s="5">
        <v>46859</v>
      </c>
      <c r="D1206" s="3"/>
      <c r="E1206" s="16">
        <f t="shared" si="7"/>
        <v>42</v>
      </c>
    </row>
    <row r="1207" spans="2:5">
      <c r="B1207" s="6">
        <v>1203</v>
      </c>
      <c r="C1207" s="5">
        <v>46860</v>
      </c>
      <c r="D1207" s="3"/>
      <c r="E1207" s="16">
        <f t="shared" si="7"/>
        <v>37</v>
      </c>
    </row>
    <row r="1208" spans="2:5">
      <c r="B1208" s="6">
        <v>1204</v>
      </c>
      <c r="C1208" s="5">
        <v>46861</v>
      </c>
      <c r="D1208" s="3"/>
      <c r="E1208" s="16">
        <f t="shared" si="7"/>
        <v>46</v>
      </c>
    </row>
    <row r="1209" spans="2:5">
      <c r="B1209" s="6">
        <v>1205</v>
      </c>
      <c r="C1209" s="5">
        <v>46862</v>
      </c>
      <c r="D1209" s="3"/>
      <c r="E1209" s="16">
        <f t="shared" si="7"/>
        <v>41</v>
      </c>
    </row>
    <row r="1210" spans="2:5">
      <c r="B1210" s="6">
        <v>1206</v>
      </c>
      <c r="C1210" s="5">
        <v>46863</v>
      </c>
      <c r="D1210" s="3"/>
      <c r="E1210" s="16">
        <f t="shared" si="7"/>
        <v>40</v>
      </c>
    </row>
    <row r="1211" spans="2:5">
      <c r="B1211" s="6">
        <v>1207</v>
      </c>
      <c r="C1211" s="5">
        <v>46864</v>
      </c>
      <c r="D1211" s="3"/>
      <c r="E1211" s="16">
        <f t="shared" si="7"/>
        <v>46</v>
      </c>
    </row>
    <row r="1212" spans="2:5">
      <c r="B1212" s="6">
        <v>1208</v>
      </c>
      <c r="C1212" s="5">
        <v>46865</v>
      </c>
      <c r="D1212" s="3"/>
      <c r="E1212" s="16">
        <f t="shared" si="7"/>
        <v>42</v>
      </c>
    </row>
    <row r="1213" spans="2:5">
      <c r="B1213" s="6">
        <v>1209</v>
      </c>
      <c r="C1213" s="5">
        <v>46866</v>
      </c>
      <c r="D1213" s="3"/>
      <c r="E1213" s="16">
        <f t="shared" si="7"/>
        <v>54</v>
      </c>
    </row>
    <row r="1214" spans="2:5">
      <c r="B1214" s="6">
        <v>1210</v>
      </c>
      <c r="C1214" s="5">
        <v>46867</v>
      </c>
      <c r="D1214" s="3"/>
      <c r="E1214" s="16">
        <f t="shared" si="7"/>
        <v>43</v>
      </c>
    </row>
    <row r="1215" spans="2:5">
      <c r="B1215" s="6">
        <v>1211</v>
      </c>
      <c r="C1215" s="5">
        <v>46868</v>
      </c>
      <c r="D1215" s="3"/>
      <c r="E1215" s="16">
        <f t="shared" si="7"/>
        <v>36</v>
      </c>
    </row>
    <row r="1216" spans="2:5">
      <c r="B1216" s="6">
        <v>1212</v>
      </c>
      <c r="C1216" s="5">
        <v>46869</v>
      </c>
      <c r="D1216" s="3"/>
      <c r="E1216" s="16">
        <f t="shared" si="7"/>
        <v>56</v>
      </c>
    </row>
    <row r="1217" spans="2:5">
      <c r="B1217" s="6">
        <v>1213</v>
      </c>
      <c r="C1217" s="5">
        <v>46870</v>
      </c>
      <c r="D1217" s="3"/>
      <c r="E1217" s="16">
        <f t="shared" si="7"/>
        <v>49</v>
      </c>
    </row>
    <row r="1218" spans="2:5">
      <c r="B1218" s="6">
        <v>1214</v>
      </c>
      <c r="C1218" s="5">
        <v>46871</v>
      </c>
      <c r="D1218" s="3"/>
      <c r="E1218" s="16">
        <f t="shared" si="7"/>
        <v>54</v>
      </c>
    </row>
    <row r="1219" spans="2:5">
      <c r="B1219" s="6">
        <v>1215</v>
      </c>
      <c r="C1219" s="5">
        <v>46872</v>
      </c>
      <c r="D1219" s="3"/>
      <c r="E1219" s="16">
        <f t="shared" si="7"/>
        <v>49</v>
      </c>
    </row>
    <row r="1220" spans="2:5">
      <c r="B1220" s="6">
        <v>1216</v>
      </c>
      <c r="C1220" s="5">
        <v>46873</v>
      </c>
      <c r="D1220" s="3"/>
      <c r="E1220" s="16">
        <f t="shared" si="7"/>
        <v>50</v>
      </c>
    </row>
    <row r="1221" spans="2:5">
      <c r="B1221" s="6">
        <v>1217</v>
      </c>
      <c r="C1221" s="5">
        <v>46874</v>
      </c>
      <c r="D1221" s="3"/>
      <c r="E1221" s="16">
        <f t="shared" si="7"/>
        <v>43</v>
      </c>
    </row>
    <row r="1222" spans="2:5">
      <c r="B1222" s="6">
        <v>1218</v>
      </c>
      <c r="C1222" s="5">
        <v>46875</v>
      </c>
      <c r="D1222" s="3"/>
      <c r="E1222" s="16">
        <f t="shared" si="7"/>
        <v>46</v>
      </c>
    </row>
    <row r="1223" spans="2:5">
      <c r="B1223" s="6">
        <v>1219</v>
      </c>
      <c r="C1223" s="5">
        <v>46876</v>
      </c>
      <c r="D1223" s="3"/>
      <c r="E1223" s="16">
        <f t="shared" si="7"/>
        <v>41</v>
      </c>
    </row>
    <row r="1224" spans="2:5">
      <c r="B1224" s="6">
        <v>1220</v>
      </c>
      <c r="C1224" s="5">
        <v>46877</v>
      </c>
      <c r="D1224" s="3"/>
      <c r="E1224" s="16">
        <f t="shared" si="7"/>
        <v>44</v>
      </c>
    </row>
    <row r="1225" spans="2:5">
      <c r="B1225" s="6">
        <v>1221</v>
      </c>
      <c r="C1225" s="5">
        <v>46878</v>
      </c>
      <c r="D1225" s="3"/>
      <c r="E1225" s="16">
        <f t="shared" si="7"/>
        <v>43</v>
      </c>
    </row>
    <row r="1226" spans="2:5">
      <c r="B1226" s="6">
        <v>1222</v>
      </c>
      <c r="C1226" s="5">
        <v>46879</v>
      </c>
      <c r="D1226" s="3"/>
      <c r="E1226" s="16">
        <f t="shared" si="7"/>
        <v>46</v>
      </c>
    </row>
    <row r="1227" spans="2:5">
      <c r="B1227" s="6">
        <v>1223</v>
      </c>
      <c r="C1227" s="5">
        <v>46880</v>
      </c>
      <c r="D1227" s="3"/>
      <c r="E1227" s="16">
        <f t="shared" si="7"/>
        <v>36</v>
      </c>
    </row>
    <row r="1228" spans="2:5">
      <c r="B1228" s="6">
        <v>1224</v>
      </c>
      <c r="C1228" s="5">
        <v>46881</v>
      </c>
      <c r="D1228" s="3"/>
      <c r="E1228" s="16">
        <f t="shared" si="7"/>
        <v>43</v>
      </c>
    </row>
    <row r="1229" spans="2:5">
      <c r="B1229" s="6">
        <v>1225</v>
      </c>
      <c r="C1229" s="5">
        <v>46882</v>
      </c>
      <c r="D1229" s="3"/>
      <c r="E1229" s="16">
        <f t="shared" si="7"/>
        <v>42</v>
      </c>
    </row>
    <row r="1230" spans="2:5">
      <c r="B1230" s="6">
        <v>1226</v>
      </c>
      <c r="C1230" s="5">
        <v>46883</v>
      </c>
      <c r="D1230" s="3"/>
      <c r="E1230" s="16">
        <f t="shared" si="7"/>
        <v>39</v>
      </c>
    </row>
    <row r="1231" spans="2:5">
      <c r="B1231" s="6">
        <v>1227</v>
      </c>
      <c r="C1231" s="5">
        <v>46884</v>
      </c>
      <c r="D1231" s="3"/>
      <c r="E1231" s="16">
        <f t="shared" si="7"/>
        <v>51</v>
      </c>
    </row>
    <row r="1232" spans="2:5">
      <c r="B1232" s="6">
        <v>1228</v>
      </c>
      <c r="C1232" s="5">
        <v>46885</v>
      </c>
      <c r="D1232" s="3"/>
      <c r="E1232" s="16">
        <f t="shared" si="7"/>
        <v>33</v>
      </c>
    </row>
    <row r="1233" spans="2:5">
      <c r="B1233" s="6">
        <v>1229</v>
      </c>
      <c r="C1233" s="5">
        <v>46886</v>
      </c>
      <c r="D1233" s="3"/>
      <c r="E1233" s="16">
        <f t="shared" si="7"/>
        <v>40</v>
      </c>
    </row>
    <row r="1234" spans="2:5">
      <c r="B1234" s="6">
        <v>1230</v>
      </c>
      <c r="C1234" s="5">
        <v>46887</v>
      </c>
      <c r="D1234" s="3"/>
      <c r="E1234" s="16">
        <f t="shared" si="7"/>
        <v>52</v>
      </c>
    </row>
    <row r="1235" spans="2:5">
      <c r="B1235" s="6">
        <v>1231</v>
      </c>
      <c r="C1235" s="5">
        <v>46888</v>
      </c>
      <c r="D1235" s="3"/>
      <c r="E1235" s="16">
        <f t="shared" si="7"/>
        <v>42</v>
      </c>
    </row>
    <row r="1236" spans="2:5">
      <c r="B1236" s="6">
        <v>1232</v>
      </c>
      <c r="C1236" s="5">
        <v>46889</v>
      </c>
      <c r="D1236" s="3"/>
      <c r="E1236" s="16">
        <f t="shared" si="7"/>
        <v>45</v>
      </c>
    </row>
    <row r="1237" spans="2:5">
      <c r="B1237" s="6">
        <v>1233</v>
      </c>
      <c r="C1237" s="5">
        <v>46890</v>
      </c>
      <c r="D1237" s="3"/>
      <c r="E1237" s="16">
        <f t="shared" si="7"/>
        <v>39</v>
      </c>
    </row>
    <row r="1238" spans="2:5">
      <c r="B1238" s="6">
        <v>1234</v>
      </c>
      <c r="C1238" s="5">
        <v>46891</v>
      </c>
      <c r="D1238" s="3"/>
      <c r="E1238" s="16">
        <f t="shared" si="7"/>
        <v>42</v>
      </c>
    </row>
    <row r="1239" spans="2:5">
      <c r="B1239" s="6">
        <v>1235</v>
      </c>
      <c r="C1239" s="5">
        <v>46892</v>
      </c>
      <c r="D1239" s="3"/>
      <c r="E1239" s="16">
        <f t="shared" si="7"/>
        <v>46</v>
      </c>
    </row>
    <row r="1240" spans="2:5">
      <c r="B1240" s="6">
        <v>1236</v>
      </c>
      <c r="C1240" s="5">
        <v>46893</v>
      </c>
      <c r="D1240" s="3"/>
      <c r="E1240" s="16">
        <f t="shared" si="7"/>
        <v>46</v>
      </c>
    </row>
    <row r="1241" spans="2:5">
      <c r="B1241" s="6">
        <v>1237</v>
      </c>
      <c r="C1241" s="5">
        <v>46894</v>
      </c>
      <c r="D1241" s="3"/>
      <c r="E1241" s="16">
        <f t="shared" si="7"/>
        <v>46</v>
      </c>
    </row>
    <row r="1242" spans="2:5">
      <c r="B1242" s="6">
        <v>1238</v>
      </c>
      <c r="C1242" s="5">
        <v>46895</v>
      </c>
      <c r="D1242" s="3"/>
      <c r="E1242" s="16">
        <f t="shared" si="7"/>
        <v>48</v>
      </c>
    </row>
    <row r="1243" spans="2:5">
      <c r="B1243" s="6">
        <v>1239</v>
      </c>
      <c r="C1243" s="5">
        <v>46896</v>
      </c>
      <c r="D1243" s="3"/>
      <c r="E1243" s="16">
        <f t="shared" si="7"/>
        <v>48</v>
      </c>
    </row>
    <row r="1244" spans="2:5">
      <c r="B1244" s="6">
        <v>1240</v>
      </c>
      <c r="C1244" s="5">
        <v>46897</v>
      </c>
      <c r="D1244" s="3"/>
      <c r="E1244" s="16">
        <f t="shared" si="7"/>
        <v>49</v>
      </c>
    </row>
    <row r="1245" spans="2:5">
      <c r="B1245" s="6">
        <v>1241</v>
      </c>
      <c r="C1245" s="5">
        <v>46898</v>
      </c>
      <c r="D1245" s="3"/>
      <c r="E1245" s="16">
        <f t="shared" si="7"/>
        <v>46</v>
      </c>
    </row>
    <row r="1246" spans="2:5">
      <c r="B1246" s="6">
        <v>1242</v>
      </c>
      <c r="C1246" s="5">
        <v>46899</v>
      </c>
      <c r="D1246" s="3"/>
      <c r="E1246" s="16">
        <f t="shared" si="7"/>
        <v>36</v>
      </c>
    </row>
    <row r="1247" spans="2:5">
      <c r="B1247" s="6">
        <v>1243</v>
      </c>
      <c r="C1247" s="5">
        <v>46900</v>
      </c>
      <c r="D1247" s="3"/>
      <c r="E1247" s="16">
        <f t="shared" ref="E1247:E1310" si="8">ROUNDUP(_xlfn.FORECAST.ETS(B1247,$D$5:$D$734,$B$5:$B$734,365,0,1),0)</f>
        <v>34</v>
      </c>
    </row>
    <row r="1248" spans="2:5">
      <c r="B1248" s="6">
        <v>1244</v>
      </c>
      <c r="C1248" s="5">
        <v>46901</v>
      </c>
      <c r="D1248" s="3"/>
      <c r="E1248" s="16">
        <f t="shared" si="8"/>
        <v>41</v>
      </c>
    </row>
    <row r="1249" spans="2:5">
      <c r="B1249" s="6">
        <v>1245</v>
      </c>
      <c r="C1249" s="5">
        <v>46902</v>
      </c>
      <c r="D1249" s="3"/>
      <c r="E1249" s="16">
        <f t="shared" si="8"/>
        <v>38</v>
      </c>
    </row>
    <row r="1250" spans="2:5">
      <c r="B1250" s="6">
        <v>1246</v>
      </c>
      <c r="C1250" s="5">
        <v>46903</v>
      </c>
      <c r="D1250" s="3"/>
      <c r="E1250" s="16">
        <f t="shared" si="8"/>
        <v>35</v>
      </c>
    </row>
    <row r="1251" spans="2:5">
      <c r="B1251" s="6">
        <v>1247</v>
      </c>
      <c r="C1251" s="5">
        <v>46904</v>
      </c>
      <c r="D1251" s="3"/>
      <c r="E1251" s="16">
        <f t="shared" si="8"/>
        <v>36</v>
      </c>
    </row>
    <row r="1252" spans="2:5">
      <c r="B1252" s="6">
        <v>1248</v>
      </c>
      <c r="C1252" s="5">
        <v>46905</v>
      </c>
      <c r="D1252" s="3"/>
      <c r="E1252" s="16">
        <f t="shared" si="8"/>
        <v>32</v>
      </c>
    </row>
    <row r="1253" spans="2:5">
      <c r="B1253" s="6">
        <v>1249</v>
      </c>
      <c r="C1253" s="5">
        <v>46906</v>
      </c>
      <c r="D1253" s="3"/>
      <c r="E1253" s="16">
        <f t="shared" si="8"/>
        <v>38</v>
      </c>
    </row>
    <row r="1254" spans="2:5">
      <c r="B1254" s="6">
        <v>1250</v>
      </c>
      <c r="C1254" s="5">
        <v>46907</v>
      </c>
      <c r="D1254" s="3"/>
      <c r="E1254" s="16">
        <f t="shared" si="8"/>
        <v>39</v>
      </c>
    </row>
    <row r="1255" spans="2:5">
      <c r="B1255" s="6">
        <v>1251</v>
      </c>
      <c r="C1255" s="5">
        <v>46908</v>
      </c>
      <c r="D1255" s="3"/>
      <c r="E1255" s="16">
        <f t="shared" si="8"/>
        <v>46</v>
      </c>
    </row>
    <row r="1256" spans="2:5">
      <c r="B1256" s="6">
        <v>1252</v>
      </c>
      <c r="C1256" s="5">
        <v>46909</v>
      </c>
      <c r="D1256" s="3"/>
      <c r="E1256" s="16">
        <f t="shared" si="8"/>
        <v>35</v>
      </c>
    </row>
    <row r="1257" spans="2:5">
      <c r="B1257" s="6">
        <v>1253</v>
      </c>
      <c r="C1257" s="5">
        <v>46910</v>
      </c>
      <c r="D1257" s="3"/>
      <c r="E1257" s="16">
        <f t="shared" si="8"/>
        <v>34</v>
      </c>
    </row>
    <row r="1258" spans="2:5">
      <c r="B1258" s="6">
        <v>1254</v>
      </c>
      <c r="C1258" s="5">
        <v>46911</v>
      </c>
      <c r="D1258" s="3"/>
      <c r="E1258" s="16">
        <f t="shared" si="8"/>
        <v>49</v>
      </c>
    </row>
    <row r="1259" spans="2:5">
      <c r="B1259" s="6">
        <v>1255</v>
      </c>
      <c r="C1259" s="5">
        <v>46912</v>
      </c>
      <c r="D1259" s="3"/>
      <c r="E1259" s="16">
        <f t="shared" si="8"/>
        <v>37</v>
      </c>
    </row>
    <row r="1260" spans="2:5">
      <c r="B1260" s="6">
        <v>1256</v>
      </c>
      <c r="C1260" s="5">
        <v>46913</v>
      </c>
      <c r="D1260" s="3"/>
      <c r="E1260" s="16">
        <f t="shared" si="8"/>
        <v>48</v>
      </c>
    </row>
    <row r="1261" spans="2:5">
      <c r="B1261" s="6">
        <v>1257</v>
      </c>
      <c r="C1261" s="5">
        <v>46914</v>
      </c>
      <c r="D1261" s="3"/>
      <c r="E1261" s="16">
        <f t="shared" si="8"/>
        <v>44</v>
      </c>
    </row>
    <row r="1262" spans="2:5">
      <c r="B1262" s="6">
        <v>1258</v>
      </c>
      <c r="C1262" s="5">
        <v>46915</v>
      </c>
      <c r="D1262" s="3"/>
      <c r="E1262" s="16">
        <f t="shared" si="8"/>
        <v>42</v>
      </c>
    </row>
    <row r="1263" spans="2:5">
      <c r="B1263" s="6">
        <v>1259</v>
      </c>
      <c r="C1263" s="5">
        <v>46916</v>
      </c>
      <c r="D1263" s="3"/>
      <c r="E1263" s="16">
        <f t="shared" si="8"/>
        <v>31</v>
      </c>
    </row>
    <row r="1264" spans="2:5">
      <c r="B1264" s="6">
        <v>1260</v>
      </c>
      <c r="C1264" s="5">
        <v>46917</v>
      </c>
      <c r="D1264" s="3"/>
      <c r="E1264" s="16">
        <f t="shared" si="8"/>
        <v>42</v>
      </c>
    </row>
    <row r="1265" spans="2:5">
      <c r="B1265" s="6">
        <v>1261</v>
      </c>
      <c r="C1265" s="5">
        <v>46918</v>
      </c>
      <c r="D1265" s="3"/>
      <c r="E1265" s="16">
        <f t="shared" si="8"/>
        <v>39</v>
      </c>
    </row>
    <row r="1266" spans="2:5">
      <c r="B1266" s="6">
        <v>1262</v>
      </c>
      <c r="C1266" s="5">
        <v>46919</v>
      </c>
      <c r="D1266" s="3"/>
      <c r="E1266" s="16">
        <f t="shared" si="8"/>
        <v>38</v>
      </c>
    </row>
    <row r="1267" spans="2:5">
      <c r="B1267" s="6">
        <v>1263</v>
      </c>
      <c r="C1267" s="5">
        <v>46920</v>
      </c>
      <c r="D1267" s="3"/>
      <c r="E1267" s="16">
        <f t="shared" si="8"/>
        <v>49</v>
      </c>
    </row>
    <row r="1268" spans="2:5">
      <c r="B1268" s="6">
        <v>1264</v>
      </c>
      <c r="C1268" s="5">
        <v>46921</v>
      </c>
      <c r="D1268" s="3"/>
      <c r="E1268" s="16">
        <f t="shared" si="8"/>
        <v>34</v>
      </c>
    </row>
    <row r="1269" spans="2:5">
      <c r="B1269" s="6">
        <v>1265</v>
      </c>
      <c r="C1269" s="5">
        <v>46922</v>
      </c>
      <c r="D1269" s="3"/>
      <c r="E1269" s="16">
        <f t="shared" si="8"/>
        <v>47</v>
      </c>
    </row>
    <row r="1270" spans="2:5">
      <c r="B1270" s="6">
        <v>1266</v>
      </c>
      <c r="C1270" s="5">
        <v>46923</v>
      </c>
      <c r="D1270" s="3"/>
      <c r="E1270" s="16">
        <f t="shared" si="8"/>
        <v>49</v>
      </c>
    </row>
    <row r="1271" spans="2:5">
      <c r="B1271" s="6">
        <v>1267</v>
      </c>
      <c r="C1271" s="5">
        <v>46924</v>
      </c>
      <c r="D1271" s="3"/>
      <c r="E1271" s="16">
        <f t="shared" si="8"/>
        <v>47</v>
      </c>
    </row>
    <row r="1272" spans="2:5">
      <c r="B1272" s="6">
        <v>1268</v>
      </c>
      <c r="C1272" s="5">
        <v>46925</v>
      </c>
      <c r="D1272" s="3"/>
      <c r="E1272" s="16">
        <f t="shared" si="8"/>
        <v>42</v>
      </c>
    </row>
    <row r="1273" spans="2:5">
      <c r="B1273" s="6">
        <v>1269</v>
      </c>
      <c r="C1273" s="5">
        <v>46926</v>
      </c>
      <c r="D1273" s="3"/>
      <c r="E1273" s="16">
        <f t="shared" si="8"/>
        <v>39</v>
      </c>
    </row>
    <row r="1274" spans="2:5">
      <c r="B1274" s="6">
        <v>1270</v>
      </c>
      <c r="C1274" s="5">
        <v>46927</v>
      </c>
      <c r="D1274" s="3"/>
      <c r="E1274" s="16">
        <f t="shared" si="8"/>
        <v>49</v>
      </c>
    </row>
    <row r="1275" spans="2:5">
      <c r="B1275" s="6">
        <v>1271</v>
      </c>
      <c r="C1275" s="5">
        <v>46928</v>
      </c>
      <c r="D1275" s="3"/>
      <c r="E1275" s="16">
        <f t="shared" si="8"/>
        <v>43</v>
      </c>
    </row>
    <row r="1276" spans="2:5">
      <c r="B1276" s="6">
        <v>1272</v>
      </c>
      <c r="C1276" s="5">
        <v>46929</v>
      </c>
      <c r="D1276" s="3"/>
      <c r="E1276" s="16">
        <f t="shared" si="8"/>
        <v>44</v>
      </c>
    </row>
    <row r="1277" spans="2:5">
      <c r="B1277" s="6">
        <v>1273</v>
      </c>
      <c r="C1277" s="5">
        <v>46930</v>
      </c>
      <c r="D1277" s="3"/>
      <c r="E1277" s="16">
        <f t="shared" si="8"/>
        <v>37</v>
      </c>
    </row>
    <row r="1278" spans="2:5">
      <c r="B1278" s="6">
        <v>1274</v>
      </c>
      <c r="C1278" s="5">
        <v>46931</v>
      </c>
      <c r="D1278" s="3"/>
      <c r="E1278" s="16">
        <f t="shared" si="8"/>
        <v>40</v>
      </c>
    </row>
    <row r="1279" spans="2:5">
      <c r="B1279" s="6">
        <v>1275</v>
      </c>
      <c r="C1279" s="5">
        <v>46932</v>
      </c>
      <c r="D1279" s="3"/>
      <c r="E1279" s="16">
        <f t="shared" si="8"/>
        <v>41</v>
      </c>
    </row>
    <row r="1280" spans="2:5">
      <c r="B1280" s="6">
        <v>1276</v>
      </c>
      <c r="C1280" s="5">
        <v>46933</v>
      </c>
      <c r="D1280" s="3"/>
      <c r="E1280" s="16">
        <f t="shared" si="8"/>
        <v>43</v>
      </c>
    </row>
    <row r="1281" spans="2:5">
      <c r="B1281" s="6">
        <v>1277</v>
      </c>
      <c r="C1281" s="5">
        <v>46934</v>
      </c>
      <c r="D1281" s="3"/>
      <c r="E1281" s="16">
        <f t="shared" si="8"/>
        <v>38</v>
      </c>
    </row>
    <row r="1282" spans="2:5">
      <c r="B1282" s="6">
        <v>1278</v>
      </c>
      <c r="C1282" s="5">
        <v>46935</v>
      </c>
      <c r="D1282" s="3"/>
      <c r="E1282" s="16">
        <f t="shared" si="8"/>
        <v>34</v>
      </c>
    </row>
    <row r="1283" spans="2:5">
      <c r="B1283" s="6">
        <v>1279</v>
      </c>
      <c r="C1283" s="5">
        <v>46936</v>
      </c>
      <c r="D1283" s="3"/>
      <c r="E1283" s="16">
        <f t="shared" si="8"/>
        <v>47</v>
      </c>
    </row>
    <row r="1284" spans="2:5">
      <c r="B1284" s="6">
        <v>1280</v>
      </c>
      <c r="C1284" s="5">
        <v>46937</v>
      </c>
      <c r="D1284" s="3"/>
      <c r="E1284" s="16">
        <f t="shared" si="8"/>
        <v>36</v>
      </c>
    </row>
    <row r="1285" spans="2:5">
      <c r="B1285" s="6">
        <v>1281</v>
      </c>
      <c r="C1285" s="5">
        <v>46938</v>
      </c>
      <c r="D1285" s="3"/>
      <c r="E1285" s="16">
        <f t="shared" si="8"/>
        <v>34</v>
      </c>
    </row>
    <row r="1286" spans="2:5">
      <c r="B1286" s="6">
        <v>1282</v>
      </c>
      <c r="C1286" s="5">
        <v>46939</v>
      </c>
      <c r="D1286" s="3"/>
      <c r="E1286" s="16">
        <f t="shared" si="8"/>
        <v>34</v>
      </c>
    </row>
    <row r="1287" spans="2:5">
      <c r="B1287" s="6">
        <v>1283</v>
      </c>
      <c r="C1287" s="5">
        <v>46940</v>
      </c>
      <c r="D1287" s="3"/>
      <c r="E1287" s="16">
        <f t="shared" si="8"/>
        <v>38</v>
      </c>
    </row>
    <row r="1288" spans="2:5">
      <c r="B1288" s="6">
        <v>1284</v>
      </c>
      <c r="C1288" s="5">
        <v>46941</v>
      </c>
      <c r="D1288" s="3"/>
      <c r="E1288" s="16">
        <f t="shared" si="8"/>
        <v>38</v>
      </c>
    </row>
    <row r="1289" spans="2:5">
      <c r="B1289" s="6">
        <v>1285</v>
      </c>
      <c r="C1289" s="5">
        <v>46942</v>
      </c>
      <c r="D1289" s="3"/>
      <c r="E1289" s="16">
        <f t="shared" si="8"/>
        <v>36</v>
      </c>
    </row>
    <row r="1290" spans="2:5">
      <c r="B1290" s="6">
        <v>1286</v>
      </c>
      <c r="C1290" s="5">
        <v>46943</v>
      </c>
      <c r="D1290" s="3"/>
      <c r="E1290" s="16">
        <f t="shared" si="8"/>
        <v>41</v>
      </c>
    </row>
    <row r="1291" spans="2:5">
      <c r="B1291" s="6">
        <v>1287</v>
      </c>
      <c r="C1291" s="5">
        <v>46944</v>
      </c>
      <c r="D1291" s="3"/>
      <c r="E1291" s="16">
        <f t="shared" si="8"/>
        <v>40</v>
      </c>
    </row>
    <row r="1292" spans="2:5">
      <c r="B1292" s="6">
        <v>1288</v>
      </c>
      <c r="C1292" s="5">
        <v>46945</v>
      </c>
      <c r="D1292" s="3"/>
      <c r="E1292" s="16">
        <f t="shared" si="8"/>
        <v>35</v>
      </c>
    </row>
    <row r="1293" spans="2:5">
      <c r="B1293" s="6">
        <v>1289</v>
      </c>
      <c r="C1293" s="5">
        <v>46946</v>
      </c>
      <c r="D1293" s="3"/>
      <c r="E1293" s="16">
        <f t="shared" si="8"/>
        <v>40</v>
      </c>
    </row>
    <row r="1294" spans="2:5">
      <c r="B1294" s="6">
        <v>1290</v>
      </c>
      <c r="C1294" s="5">
        <v>46947</v>
      </c>
      <c r="D1294" s="3"/>
      <c r="E1294" s="16">
        <f t="shared" si="8"/>
        <v>29</v>
      </c>
    </row>
    <row r="1295" spans="2:5">
      <c r="B1295" s="6">
        <v>1291</v>
      </c>
      <c r="C1295" s="5">
        <v>46948</v>
      </c>
      <c r="D1295" s="3"/>
      <c r="E1295" s="16">
        <f t="shared" si="8"/>
        <v>50</v>
      </c>
    </row>
    <row r="1296" spans="2:5">
      <c r="B1296" s="6">
        <v>1292</v>
      </c>
      <c r="C1296" s="5">
        <v>46949</v>
      </c>
      <c r="D1296" s="3"/>
      <c r="E1296" s="16">
        <f t="shared" si="8"/>
        <v>40</v>
      </c>
    </row>
    <row r="1297" spans="2:5">
      <c r="B1297" s="6">
        <v>1293</v>
      </c>
      <c r="C1297" s="5">
        <v>46950</v>
      </c>
      <c r="D1297" s="3"/>
      <c r="E1297" s="16">
        <f t="shared" si="8"/>
        <v>34</v>
      </c>
    </row>
    <row r="1298" spans="2:5">
      <c r="B1298" s="6">
        <v>1294</v>
      </c>
      <c r="C1298" s="5">
        <v>46951</v>
      </c>
      <c r="D1298" s="3"/>
      <c r="E1298" s="16">
        <f t="shared" si="8"/>
        <v>27</v>
      </c>
    </row>
    <row r="1299" spans="2:5">
      <c r="B1299" s="6">
        <v>1295</v>
      </c>
      <c r="C1299" s="5">
        <v>46952</v>
      </c>
      <c r="D1299" s="3"/>
      <c r="E1299" s="16">
        <f t="shared" si="8"/>
        <v>39</v>
      </c>
    </row>
    <row r="1300" spans="2:5">
      <c r="B1300" s="6">
        <v>1296</v>
      </c>
      <c r="C1300" s="5">
        <v>46953</v>
      </c>
      <c r="D1300" s="3"/>
      <c r="E1300" s="16">
        <f t="shared" si="8"/>
        <v>47</v>
      </c>
    </row>
    <row r="1301" spans="2:5">
      <c r="B1301" s="6">
        <v>1297</v>
      </c>
      <c r="C1301" s="5">
        <v>46954</v>
      </c>
      <c r="D1301" s="3"/>
      <c r="E1301" s="16">
        <f t="shared" si="8"/>
        <v>42</v>
      </c>
    </row>
    <row r="1302" spans="2:5">
      <c r="B1302" s="6">
        <v>1298</v>
      </c>
      <c r="C1302" s="5">
        <v>46955</v>
      </c>
      <c r="D1302" s="3"/>
      <c r="E1302" s="16">
        <f t="shared" si="8"/>
        <v>33</v>
      </c>
    </row>
    <row r="1303" spans="2:5">
      <c r="B1303" s="6">
        <v>1299</v>
      </c>
      <c r="C1303" s="5">
        <v>46956</v>
      </c>
      <c r="D1303" s="3"/>
      <c r="E1303" s="16">
        <f t="shared" si="8"/>
        <v>44</v>
      </c>
    </row>
    <row r="1304" spans="2:5">
      <c r="B1304" s="6">
        <v>1300</v>
      </c>
      <c r="C1304" s="5">
        <v>46957</v>
      </c>
      <c r="D1304" s="3"/>
      <c r="E1304" s="16">
        <f t="shared" si="8"/>
        <v>44</v>
      </c>
    </row>
    <row r="1305" spans="2:5">
      <c r="B1305" s="6">
        <v>1301</v>
      </c>
      <c r="C1305" s="5">
        <v>46958</v>
      </c>
      <c r="D1305" s="3"/>
      <c r="E1305" s="16">
        <f t="shared" si="8"/>
        <v>37</v>
      </c>
    </row>
    <row r="1306" spans="2:5">
      <c r="B1306" s="6">
        <v>1302</v>
      </c>
      <c r="C1306" s="5">
        <v>46959</v>
      </c>
      <c r="D1306" s="3"/>
      <c r="E1306" s="16">
        <f t="shared" si="8"/>
        <v>29</v>
      </c>
    </row>
    <row r="1307" spans="2:5">
      <c r="B1307" s="6">
        <v>1303</v>
      </c>
      <c r="C1307" s="5">
        <v>46960</v>
      </c>
      <c r="D1307" s="3"/>
      <c r="E1307" s="16">
        <f t="shared" si="8"/>
        <v>40</v>
      </c>
    </row>
    <row r="1308" spans="2:5">
      <c r="B1308" s="6">
        <v>1304</v>
      </c>
      <c r="C1308" s="5">
        <v>46961</v>
      </c>
      <c r="D1308" s="3"/>
      <c r="E1308" s="16">
        <f t="shared" si="8"/>
        <v>31</v>
      </c>
    </row>
    <row r="1309" spans="2:5">
      <c r="B1309" s="6">
        <v>1305</v>
      </c>
      <c r="C1309" s="5">
        <v>46962</v>
      </c>
      <c r="D1309" s="3"/>
      <c r="E1309" s="16">
        <f t="shared" si="8"/>
        <v>25</v>
      </c>
    </row>
    <row r="1310" spans="2:5">
      <c r="B1310" s="6">
        <v>1306</v>
      </c>
      <c r="C1310" s="5">
        <v>46963</v>
      </c>
      <c r="D1310" s="3"/>
      <c r="E1310" s="16">
        <f t="shared" si="8"/>
        <v>39</v>
      </c>
    </row>
    <row r="1311" spans="2:5">
      <c r="B1311" s="6">
        <v>1307</v>
      </c>
      <c r="C1311" s="5">
        <v>46964</v>
      </c>
      <c r="D1311" s="3"/>
      <c r="E1311" s="16">
        <f t="shared" ref="E1311:E1374" si="9">ROUNDUP(_xlfn.FORECAST.ETS(B1311,$D$5:$D$734,$B$5:$B$734,365,0,1),0)</f>
        <v>33</v>
      </c>
    </row>
    <row r="1312" spans="2:5">
      <c r="B1312" s="6">
        <v>1308</v>
      </c>
      <c r="C1312" s="5">
        <v>46965</v>
      </c>
      <c r="D1312" s="3"/>
      <c r="E1312" s="16">
        <f t="shared" si="9"/>
        <v>30</v>
      </c>
    </row>
    <row r="1313" spans="2:5">
      <c r="B1313" s="6">
        <v>1309</v>
      </c>
      <c r="C1313" s="5">
        <v>46966</v>
      </c>
      <c r="D1313" s="3"/>
      <c r="E1313" s="16">
        <f t="shared" si="9"/>
        <v>42</v>
      </c>
    </row>
    <row r="1314" spans="2:5">
      <c r="B1314" s="6">
        <v>1310</v>
      </c>
      <c r="C1314" s="5">
        <v>46967</v>
      </c>
      <c r="D1314" s="3"/>
      <c r="E1314" s="16">
        <f t="shared" si="9"/>
        <v>27</v>
      </c>
    </row>
    <row r="1315" spans="2:5">
      <c r="B1315" s="6">
        <v>1311</v>
      </c>
      <c r="C1315" s="5">
        <v>46968</v>
      </c>
      <c r="D1315" s="3"/>
      <c r="E1315" s="16">
        <f t="shared" si="9"/>
        <v>39</v>
      </c>
    </row>
    <row r="1316" spans="2:5">
      <c r="B1316" s="6">
        <v>1312</v>
      </c>
      <c r="C1316" s="5">
        <v>46969</v>
      </c>
      <c r="D1316" s="3"/>
      <c r="E1316" s="16">
        <f t="shared" si="9"/>
        <v>39</v>
      </c>
    </row>
    <row r="1317" spans="2:5">
      <c r="B1317" s="6">
        <v>1313</v>
      </c>
      <c r="C1317" s="5">
        <v>46970</v>
      </c>
      <c r="D1317" s="3"/>
      <c r="E1317" s="16">
        <f t="shared" si="9"/>
        <v>39</v>
      </c>
    </row>
    <row r="1318" spans="2:5">
      <c r="B1318" s="6">
        <v>1314</v>
      </c>
      <c r="C1318" s="5">
        <v>46971</v>
      </c>
      <c r="D1318" s="3"/>
      <c r="E1318" s="16">
        <f t="shared" si="9"/>
        <v>43</v>
      </c>
    </row>
    <row r="1319" spans="2:5">
      <c r="B1319" s="6">
        <v>1315</v>
      </c>
      <c r="C1319" s="5">
        <v>46972</v>
      </c>
      <c r="D1319" s="3"/>
      <c r="E1319" s="16">
        <f t="shared" si="9"/>
        <v>36</v>
      </c>
    </row>
    <row r="1320" spans="2:5">
      <c r="B1320" s="6">
        <v>1316</v>
      </c>
      <c r="C1320" s="5">
        <v>46973</v>
      </c>
      <c r="D1320" s="3"/>
      <c r="E1320" s="16">
        <f t="shared" si="9"/>
        <v>33</v>
      </c>
    </row>
    <row r="1321" spans="2:5">
      <c r="B1321" s="6">
        <v>1317</v>
      </c>
      <c r="C1321" s="5">
        <v>46974</v>
      </c>
      <c r="D1321" s="3"/>
      <c r="E1321" s="16">
        <f t="shared" si="9"/>
        <v>29</v>
      </c>
    </row>
    <row r="1322" spans="2:5">
      <c r="B1322" s="6">
        <v>1318</v>
      </c>
      <c r="C1322" s="5">
        <v>46975</v>
      </c>
      <c r="D1322" s="3"/>
      <c r="E1322" s="16">
        <f t="shared" si="9"/>
        <v>31</v>
      </c>
    </row>
    <row r="1323" spans="2:5">
      <c r="B1323" s="6">
        <v>1319</v>
      </c>
      <c r="C1323" s="5">
        <v>46976</v>
      </c>
      <c r="D1323" s="3"/>
      <c r="E1323" s="16">
        <f t="shared" si="9"/>
        <v>34</v>
      </c>
    </row>
    <row r="1324" spans="2:5">
      <c r="B1324" s="6">
        <v>1320</v>
      </c>
      <c r="C1324" s="5">
        <v>46977</v>
      </c>
      <c r="D1324" s="3"/>
      <c r="E1324" s="16">
        <f t="shared" si="9"/>
        <v>32</v>
      </c>
    </row>
    <row r="1325" spans="2:5">
      <c r="B1325" s="6">
        <v>1321</v>
      </c>
      <c r="C1325" s="5">
        <v>46978</v>
      </c>
      <c r="D1325" s="3"/>
      <c r="E1325" s="16">
        <f t="shared" si="9"/>
        <v>50</v>
      </c>
    </row>
    <row r="1326" spans="2:5">
      <c r="B1326" s="6">
        <v>1322</v>
      </c>
      <c r="C1326" s="5">
        <v>46979</v>
      </c>
      <c r="D1326" s="3"/>
      <c r="E1326" s="16">
        <f t="shared" si="9"/>
        <v>37</v>
      </c>
    </row>
    <row r="1327" spans="2:5">
      <c r="B1327" s="6">
        <v>1323</v>
      </c>
      <c r="C1327" s="5">
        <v>46980</v>
      </c>
      <c r="D1327" s="3"/>
      <c r="E1327" s="16">
        <f t="shared" si="9"/>
        <v>32</v>
      </c>
    </row>
    <row r="1328" spans="2:5">
      <c r="B1328" s="6">
        <v>1324</v>
      </c>
      <c r="C1328" s="5">
        <v>46981</v>
      </c>
      <c r="D1328" s="3"/>
      <c r="E1328" s="16">
        <f t="shared" si="9"/>
        <v>30</v>
      </c>
    </row>
    <row r="1329" spans="2:5">
      <c r="B1329" s="6">
        <v>1325</v>
      </c>
      <c r="C1329" s="5">
        <v>46982</v>
      </c>
      <c r="D1329" s="3"/>
      <c r="E1329" s="16">
        <f t="shared" si="9"/>
        <v>39</v>
      </c>
    </row>
    <row r="1330" spans="2:5">
      <c r="B1330" s="6">
        <v>1326</v>
      </c>
      <c r="C1330" s="5">
        <v>46983</v>
      </c>
      <c r="D1330" s="3"/>
      <c r="E1330" s="16">
        <f t="shared" si="9"/>
        <v>41</v>
      </c>
    </row>
    <row r="1331" spans="2:5">
      <c r="B1331" s="6">
        <v>1327</v>
      </c>
      <c r="C1331" s="5">
        <v>46984</v>
      </c>
      <c r="D1331" s="3"/>
      <c r="E1331" s="16">
        <f t="shared" si="9"/>
        <v>34</v>
      </c>
    </row>
    <row r="1332" spans="2:5">
      <c r="B1332" s="6">
        <v>1328</v>
      </c>
      <c r="C1332" s="5">
        <v>46985</v>
      </c>
      <c r="D1332" s="3"/>
      <c r="E1332" s="16">
        <f t="shared" si="9"/>
        <v>35</v>
      </c>
    </row>
    <row r="1333" spans="2:5">
      <c r="B1333" s="6">
        <v>1329</v>
      </c>
      <c r="C1333" s="5">
        <v>46986</v>
      </c>
      <c r="D1333" s="3"/>
      <c r="E1333" s="16">
        <f t="shared" si="9"/>
        <v>34</v>
      </c>
    </row>
    <row r="1334" spans="2:5">
      <c r="B1334" s="6">
        <v>1330</v>
      </c>
      <c r="C1334" s="5">
        <v>46987</v>
      </c>
      <c r="D1334" s="3"/>
      <c r="E1334" s="16">
        <f t="shared" si="9"/>
        <v>33</v>
      </c>
    </row>
    <row r="1335" spans="2:5">
      <c r="B1335" s="6">
        <v>1331</v>
      </c>
      <c r="C1335" s="5">
        <v>46988</v>
      </c>
      <c r="D1335" s="3"/>
      <c r="E1335" s="16">
        <f t="shared" si="9"/>
        <v>40</v>
      </c>
    </row>
    <row r="1336" spans="2:5">
      <c r="B1336" s="6">
        <v>1332</v>
      </c>
      <c r="C1336" s="5">
        <v>46989</v>
      </c>
      <c r="D1336" s="3"/>
      <c r="E1336" s="16">
        <f t="shared" si="9"/>
        <v>32</v>
      </c>
    </row>
    <row r="1337" spans="2:5">
      <c r="B1337" s="6">
        <v>1333</v>
      </c>
      <c r="C1337" s="5">
        <v>46990</v>
      </c>
      <c r="D1337" s="3"/>
      <c r="E1337" s="16">
        <f t="shared" si="9"/>
        <v>34</v>
      </c>
    </row>
    <row r="1338" spans="2:5">
      <c r="B1338" s="6">
        <v>1334</v>
      </c>
      <c r="C1338" s="5">
        <v>46991</v>
      </c>
      <c r="D1338" s="3"/>
      <c r="E1338" s="16">
        <f t="shared" si="9"/>
        <v>30</v>
      </c>
    </row>
    <row r="1339" spans="2:5">
      <c r="B1339" s="6">
        <v>1335</v>
      </c>
      <c r="C1339" s="5">
        <v>46992</v>
      </c>
      <c r="D1339" s="3"/>
      <c r="E1339" s="16">
        <f t="shared" si="9"/>
        <v>36</v>
      </c>
    </row>
    <row r="1340" spans="2:5">
      <c r="B1340" s="6">
        <v>1336</v>
      </c>
      <c r="C1340" s="5">
        <v>46993</v>
      </c>
      <c r="D1340" s="3"/>
      <c r="E1340" s="16">
        <f t="shared" si="9"/>
        <v>31</v>
      </c>
    </row>
    <row r="1341" spans="2:5">
      <c r="B1341" s="6">
        <v>1337</v>
      </c>
      <c r="C1341" s="5">
        <v>46994</v>
      </c>
      <c r="D1341" s="3"/>
      <c r="E1341" s="16">
        <f t="shared" si="9"/>
        <v>38</v>
      </c>
    </row>
    <row r="1342" spans="2:5">
      <c r="B1342" s="6">
        <v>1338</v>
      </c>
      <c r="C1342" s="5">
        <v>46995</v>
      </c>
      <c r="D1342" s="3"/>
      <c r="E1342" s="16">
        <f t="shared" si="9"/>
        <v>40</v>
      </c>
    </row>
    <row r="1343" spans="2:5">
      <c r="B1343" s="6">
        <v>1339</v>
      </c>
      <c r="C1343" s="5">
        <v>46996</v>
      </c>
      <c r="D1343" s="3"/>
      <c r="E1343" s="16">
        <f t="shared" si="9"/>
        <v>26</v>
      </c>
    </row>
    <row r="1344" spans="2:5">
      <c r="B1344" s="6">
        <v>1340</v>
      </c>
      <c r="C1344" s="5">
        <v>46997</v>
      </c>
      <c r="D1344" s="3"/>
      <c r="E1344" s="16">
        <f t="shared" si="9"/>
        <v>34</v>
      </c>
    </row>
    <row r="1345" spans="2:5">
      <c r="B1345" s="6">
        <v>1341</v>
      </c>
      <c r="C1345" s="5">
        <v>46998</v>
      </c>
      <c r="D1345" s="3"/>
      <c r="E1345" s="16">
        <f t="shared" si="9"/>
        <v>23</v>
      </c>
    </row>
    <row r="1346" spans="2:5">
      <c r="B1346" s="6">
        <v>1342</v>
      </c>
      <c r="C1346" s="5">
        <v>46999</v>
      </c>
      <c r="D1346" s="3"/>
      <c r="E1346" s="16">
        <f t="shared" si="9"/>
        <v>29</v>
      </c>
    </row>
    <row r="1347" spans="2:5">
      <c r="B1347" s="6">
        <v>1343</v>
      </c>
      <c r="C1347" s="5">
        <v>47000</v>
      </c>
      <c r="D1347" s="3"/>
      <c r="E1347" s="16">
        <f t="shared" si="9"/>
        <v>30</v>
      </c>
    </row>
    <row r="1348" spans="2:5">
      <c r="B1348" s="6">
        <v>1344</v>
      </c>
      <c r="C1348" s="5">
        <v>47001</v>
      </c>
      <c r="D1348" s="3"/>
      <c r="E1348" s="16">
        <f t="shared" si="9"/>
        <v>34</v>
      </c>
    </row>
    <row r="1349" spans="2:5">
      <c r="B1349" s="6">
        <v>1345</v>
      </c>
      <c r="C1349" s="5">
        <v>47002</v>
      </c>
      <c r="D1349" s="3"/>
      <c r="E1349" s="16">
        <f t="shared" si="9"/>
        <v>29</v>
      </c>
    </row>
    <row r="1350" spans="2:5">
      <c r="B1350" s="6">
        <v>1346</v>
      </c>
      <c r="C1350" s="5">
        <v>47003</v>
      </c>
      <c r="D1350" s="3"/>
      <c r="E1350" s="16">
        <f t="shared" si="9"/>
        <v>35</v>
      </c>
    </row>
    <row r="1351" spans="2:5">
      <c r="B1351" s="6">
        <v>1347</v>
      </c>
      <c r="C1351" s="5">
        <v>47004</v>
      </c>
      <c r="D1351" s="3"/>
      <c r="E1351" s="16">
        <f t="shared" si="9"/>
        <v>39</v>
      </c>
    </row>
    <row r="1352" spans="2:5">
      <c r="B1352" s="6">
        <v>1348</v>
      </c>
      <c r="C1352" s="5">
        <v>47005</v>
      </c>
      <c r="D1352" s="3"/>
      <c r="E1352" s="16">
        <f t="shared" si="9"/>
        <v>20</v>
      </c>
    </row>
    <row r="1353" spans="2:5">
      <c r="B1353" s="6">
        <v>1349</v>
      </c>
      <c r="C1353" s="5">
        <v>47006</v>
      </c>
      <c r="D1353" s="3"/>
      <c r="E1353" s="16">
        <f t="shared" si="9"/>
        <v>35</v>
      </c>
    </row>
    <row r="1354" spans="2:5">
      <c r="B1354" s="6">
        <v>1350</v>
      </c>
      <c r="C1354" s="5">
        <v>47007</v>
      </c>
      <c r="D1354" s="3"/>
      <c r="E1354" s="16">
        <f t="shared" si="9"/>
        <v>29</v>
      </c>
    </row>
    <row r="1355" spans="2:5">
      <c r="B1355" s="6">
        <v>1351</v>
      </c>
      <c r="C1355" s="5">
        <v>47008</v>
      </c>
      <c r="D1355" s="3"/>
      <c r="E1355" s="16">
        <f t="shared" si="9"/>
        <v>26</v>
      </c>
    </row>
    <row r="1356" spans="2:5">
      <c r="B1356" s="6">
        <v>1352</v>
      </c>
      <c r="C1356" s="5">
        <v>47009</v>
      </c>
      <c r="D1356" s="3"/>
      <c r="E1356" s="16">
        <f t="shared" si="9"/>
        <v>33</v>
      </c>
    </row>
    <row r="1357" spans="2:5">
      <c r="B1357" s="6">
        <v>1353</v>
      </c>
      <c r="C1357" s="5">
        <v>47010</v>
      </c>
      <c r="D1357" s="3"/>
      <c r="E1357" s="16">
        <f t="shared" si="9"/>
        <v>39</v>
      </c>
    </row>
    <row r="1358" spans="2:5">
      <c r="B1358" s="6">
        <v>1354</v>
      </c>
      <c r="C1358" s="5">
        <v>47011</v>
      </c>
      <c r="D1358" s="3"/>
      <c r="E1358" s="16">
        <f t="shared" si="9"/>
        <v>24</v>
      </c>
    </row>
    <row r="1359" spans="2:5">
      <c r="B1359" s="6">
        <v>1355</v>
      </c>
      <c r="C1359" s="5">
        <v>47012</v>
      </c>
      <c r="D1359" s="3"/>
      <c r="E1359" s="16">
        <f t="shared" si="9"/>
        <v>39</v>
      </c>
    </row>
    <row r="1360" spans="2:5">
      <c r="B1360" s="6">
        <v>1356</v>
      </c>
      <c r="C1360" s="5">
        <v>47013</v>
      </c>
      <c r="D1360" s="3"/>
      <c r="E1360" s="16">
        <f t="shared" si="9"/>
        <v>31</v>
      </c>
    </row>
    <row r="1361" spans="2:5">
      <c r="B1361" s="6">
        <v>1357</v>
      </c>
      <c r="C1361" s="5">
        <v>47014</v>
      </c>
      <c r="D1361" s="3"/>
      <c r="E1361" s="16">
        <f t="shared" si="9"/>
        <v>32</v>
      </c>
    </row>
    <row r="1362" spans="2:5">
      <c r="B1362" s="6">
        <v>1358</v>
      </c>
      <c r="C1362" s="5">
        <v>47015</v>
      </c>
      <c r="D1362" s="3"/>
      <c r="E1362" s="16">
        <f t="shared" si="9"/>
        <v>33</v>
      </c>
    </row>
    <row r="1363" spans="2:5">
      <c r="B1363" s="6">
        <v>1359</v>
      </c>
      <c r="C1363" s="5">
        <v>47016</v>
      </c>
      <c r="D1363" s="3"/>
      <c r="E1363" s="16">
        <f t="shared" si="9"/>
        <v>32</v>
      </c>
    </row>
    <row r="1364" spans="2:5">
      <c r="B1364" s="6">
        <v>1360</v>
      </c>
      <c r="C1364" s="5">
        <v>47017</v>
      </c>
      <c r="D1364" s="3"/>
      <c r="E1364" s="16">
        <f t="shared" si="9"/>
        <v>41</v>
      </c>
    </row>
    <row r="1365" spans="2:5">
      <c r="B1365" s="6">
        <v>1361</v>
      </c>
      <c r="C1365" s="5">
        <v>47018</v>
      </c>
      <c r="D1365" s="3"/>
      <c r="E1365" s="16">
        <f t="shared" si="9"/>
        <v>37</v>
      </c>
    </row>
    <row r="1366" spans="2:5">
      <c r="B1366" s="6">
        <v>1362</v>
      </c>
      <c r="C1366" s="5">
        <v>47019</v>
      </c>
      <c r="D1366" s="3"/>
      <c r="E1366" s="16">
        <f t="shared" si="9"/>
        <v>30</v>
      </c>
    </row>
    <row r="1367" spans="2:5">
      <c r="B1367" s="6">
        <v>1363</v>
      </c>
      <c r="C1367" s="5">
        <v>47020</v>
      </c>
      <c r="D1367" s="3"/>
      <c r="E1367" s="16">
        <f t="shared" si="9"/>
        <v>33</v>
      </c>
    </row>
    <row r="1368" spans="2:5">
      <c r="B1368" s="6">
        <v>1364</v>
      </c>
      <c r="C1368" s="5">
        <v>47021</v>
      </c>
      <c r="D1368" s="3"/>
      <c r="E1368" s="16">
        <f t="shared" si="9"/>
        <v>29</v>
      </c>
    </row>
    <row r="1369" spans="2:5">
      <c r="B1369" s="6">
        <v>1365</v>
      </c>
      <c r="C1369" s="5">
        <v>47022</v>
      </c>
      <c r="D1369" s="3"/>
      <c r="E1369" s="16">
        <f t="shared" si="9"/>
        <v>26</v>
      </c>
    </row>
    <row r="1370" spans="2:5">
      <c r="B1370" s="6">
        <v>1366</v>
      </c>
      <c r="C1370" s="5">
        <v>47023</v>
      </c>
      <c r="D1370" s="3"/>
      <c r="E1370" s="16">
        <f t="shared" si="9"/>
        <v>30</v>
      </c>
    </row>
    <row r="1371" spans="2:5">
      <c r="B1371" s="6">
        <v>1367</v>
      </c>
      <c r="C1371" s="5">
        <v>47024</v>
      </c>
      <c r="D1371" s="3"/>
      <c r="E1371" s="16">
        <f t="shared" si="9"/>
        <v>33</v>
      </c>
    </row>
    <row r="1372" spans="2:5">
      <c r="B1372" s="6">
        <v>1368</v>
      </c>
      <c r="C1372" s="5">
        <v>47025</v>
      </c>
      <c r="D1372" s="3"/>
      <c r="E1372" s="16">
        <f t="shared" si="9"/>
        <v>36</v>
      </c>
    </row>
    <row r="1373" spans="2:5">
      <c r="B1373" s="6">
        <v>1369</v>
      </c>
      <c r="C1373" s="5">
        <v>47026</v>
      </c>
      <c r="D1373" s="3"/>
      <c r="E1373" s="16">
        <f t="shared" si="9"/>
        <v>43</v>
      </c>
    </row>
    <row r="1374" spans="2:5">
      <c r="B1374" s="6">
        <v>1370</v>
      </c>
      <c r="C1374" s="5">
        <v>47027</v>
      </c>
      <c r="D1374" s="3"/>
      <c r="E1374" s="16">
        <f t="shared" si="9"/>
        <v>36</v>
      </c>
    </row>
    <row r="1375" spans="2:5">
      <c r="B1375" s="6">
        <v>1371</v>
      </c>
      <c r="C1375" s="5">
        <v>47028</v>
      </c>
      <c r="D1375" s="3"/>
      <c r="E1375" s="16">
        <f t="shared" ref="E1375:E1438" si="10">ROUNDUP(_xlfn.FORECAST.ETS(B1375,$D$5:$D$734,$B$5:$B$734,365,0,1),0)</f>
        <v>42</v>
      </c>
    </row>
    <row r="1376" spans="2:5">
      <c r="B1376" s="6">
        <v>1372</v>
      </c>
      <c r="C1376" s="5">
        <v>47029</v>
      </c>
      <c r="D1376" s="3"/>
      <c r="E1376" s="16">
        <f t="shared" si="10"/>
        <v>26</v>
      </c>
    </row>
    <row r="1377" spans="2:5">
      <c r="B1377" s="6">
        <v>1373</v>
      </c>
      <c r="C1377" s="5">
        <v>47030</v>
      </c>
      <c r="D1377" s="3"/>
      <c r="E1377" s="16">
        <f t="shared" si="10"/>
        <v>29</v>
      </c>
    </row>
    <row r="1378" spans="2:5">
      <c r="B1378" s="6">
        <v>1374</v>
      </c>
      <c r="C1378" s="5">
        <v>47031</v>
      </c>
      <c r="D1378" s="3"/>
      <c r="E1378" s="16">
        <f t="shared" si="10"/>
        <v>32</v>
      </c>
    </row>
    <row r="1379" spans="2:5">
      <c r="B1379" s="6">
        <v>1375</v>
      </c>
      <c r="C1379" s="5">
        <v>47032</v>
      </c>
      <c r="D1379" s="3"/>
      <c r="E1379" s="16">
        <f t="shared" si="10"/>
        <v>29</v>
      </c>
    </row>
    <row r="1380" spans="2:5">
      <c r="B1380" s="6">
        <v>1376</v>
      </c>
      <c r="C1380" s="5">
        <v>47033</v>
      </c>
      <c r="D1380" s="3"/>
      <c r="E1380" s="16">
        <f t="shared" si="10"/>
        <v>37</v>
      </c>
    </row>
    <row r="1381" spans="2:5">
      <c r="B1381" s="6">
        <v>1377</v>
      </c>
      <c r="C1381" s="5">
        <v>47034</v>
      </c>
      <c r="D1381" s="3"/>
      <c r="E1381" s="16">
        <f t="shared" si="10"/>
        <v>30</v>
      </c>
    </row>
    <row r="1382" spans="2:5">
      <c r="B1382" s="6">
        <v>1378</v>
      </c>
      <c r="C1382" s="5">
        <v>47035</v>
      </c>
      <c r="D1382" s="3"/>
      <c r="E1382" s="16">
        <f t="shared" si="10"/>
        <v>40</v>
      </c>
    </row>
    <row r="1383" spans="2:5">
      <c r="B1383" s="6">
        <v>1379</v>
      </c>
      <c r="C1383" s="5">
        <v>47036</v>
      </c>
      <c r="D1383" s="3"/>
      <c r="E1383" s="16">
        <f t="shared" si="10"/>
        <v>34</v>
      </c>
    </row>
    <row r="1384" spans="2:5">
      <c r="B1384" s="6">
        <v>1380</v>
      </c>
      <c r="C1384" s="5">
        <v>47037</v>
      </c>
      <c r="D1384" s="3"/>
      <c r="E1384" s="16">
        <f t="shared" si="10"/>
        <v>32</v>
      </c>
    </row>
    <row r="1385" spans="2:5">
      <c r="B1385" s="6">
        <v>1381</v>
      </c>
      <c r="C1385" s="5">
        <v>47038</v>
      </c>
      <c r="D1385" s="3"/>
      <c r="E1385" s="16">
        <f t="shared" si="10"/>
        <v>39</v>
      </c>
    </row>
    <row r="1386" spans="2:5">
      <c r="B1386" s="6">
        <v>1382</v>
      </c>
      <c r="C1386" s="5">
        <v>47039</v>
      </c>
      <c r="D1386" s="3"/>
      <c r="E1386" s="16">
        <f t="shared" si="10"/>
        <v>30</v>
      </c>
    </row>
    <row r="1387" spans="2:5">
      <c r="B1387" s="6">
        <v>1383</v>
      </c>
      <c r="C1387" s="5">
        <v>47040</v>
      </c>
      <c r="D1387" s="3"/>
      <c r="E1387" s="16">
        <f t="shared" si="10"/>
        <v>23</v>
      </c>
    </row>
    <row r="1388" spans="2:5">
      <c r="B1388" s="6">
        <v>1384</v>
      </c>
      <c r="C1388" s="5">
        <v>47041</v>
      </c>
      <c r="D1388" s="3"/>
      <c r="E1388" s="16">
        <f t="shared" si="10"/>
        <v>41</v>
      </c>
    </row>
    <row r="1389" spans="2:5">
      <c r="B1389" s="6">
        <v>1385</v>
      </c>
      <c r="C1389" s="5">
        <v>47042</v>
      </c>
      <c r="D1389" s="3"/>
      <c r="E1389" s="16">
        <f t="shared" si="10"/>
        <v>31</v>
      </c>
    </row>
    <row r="1390" spans="2:5">
      <c r="B1390" s="6">
        <v>1386</v>
      </c>
      <c r="C1390" s="5">
        <v>47043</v>
      </c>
      <c r="D1390" s="3"/>
      <c r="E1390" s="16">
        <f t="shared" si="10"/>
        <v>35</v>
      </c>
    </row>
    <row r="1391" spans="2:5">
      <c r="B1391" s="6">
        <v>1387</v>
      </c>
      <c r="C1391" s="5">
        <v>47044</v>
      </c>
      <c r="D1391" s="3"/>
      <c r="E1391" s="16">
        <f t="shared" si="10"/>
        <v>36</v>
      </c>
    </row>
    <row r="1392" spans="2:5">
      <c r="B1392" s="6">
        <v>1388</v>
      </c>
      <c r="C1392" s="5">
        <v>47045</v>
      </c>
      <c r="D1392" s="3"/>
      <c r="E1392" s="16">
        <f t="shared" si="10"/>
        <v>42</v>
      </c>
    </row>
    <row r="1393" spans="2:5">
      <c r="B1393" s="6">
        <v>1389</v>
      </c>
      <c r="C1393" s="5">
        <v>47046</v>
      </c>
      <c r="D1393" s="3"/>
      <c r="E1393" s="16">
        <f t="shared" si="10"/>
        <v>26</v>
      </c>
    </row>
    <row r="1394" spans="2:5">
      <c r="B1394" s="6">
        <v>1390</v>
      </c>
      <c r="C1394" s="5">
        <v>47047</v>
      </c>
      <c r="D1394" s="3"/>
      <c r="E1394" s="16">
        <f t="shared" si="10"/>
        <v>35</v>
      </c>
    </row>
    <row r="1395" spans="2:5">
      <c r="B1395" s="6">
        <v>1391</v>
      </c>
      <c r="C1395" s="5">
        <v>47048</v>
      </c>
      <c r="D1395" s="3"/>
      <c r="E1395" s="16">
        <f t="shared" si="10"/>
        <v>36</v>
      </c>
    </row>
    <row r="1396" spans="2:5">
      <c r="B1396" s="6">
        <v>1392</v>
      </c>
      <c r="C1396" s="5">
        <v>47049</v>
      </c>
      <c r="D1396" s="3"/>
      <c r="E1396" s="16">
        <f t="shared" si="10"/>
        <v>40</v>
      </c>
    </row>
    <row r="1397" spans="2:5">
      <c r="B1397" s="6">
        <v>1393</v>
      </c>
      <c r="C1397" s="5">
        <v>47050</v>
      </c>
      <c r="D1397" s="3"/>
      <c r="E1397" s="16">
        <f t="shared" si="10"/>
        <v>38</v>
      </c>
    </row>
    <row r="1398" spans="2:5">
      <c r="B1398" s="6">
        <v>1394</v>
      </c>
      <c r="C1398" s="5">
        <v>47051</v>
      </c>
      <c r="D1398" s="3"/>
      <c r="E1398" s="16">
        <f t="shared" si="10"/>
        <v>37</v>
      </c>
    </row>
    <row r="1399" spans="2:5">
      <c r="B1399" s="6">
        <v>1395</v>
      </c>
      <c r="C1399" s="5">
        <v>47052</v>
      </c>
      <c r="D1399" s="3"/>
      <c r="E1399" s="16">
        <f t="shared" si="10"/>
        <v>34</v>
      </c>
    </row>
    <row r="1400" spans="2:5">
      <c r="B1400" s="6">
        <v>1396</v>
      </c>
      <c r="C1400" s="5">
        <v>47053</v>
      </c>
      <c r="D1400" s="3"/>
      <c r="E1400" s="16">
        <f t="shared" si="10"/>
        <v>33</v>
      </c>
    </row>
    <row r="1401" spans="2:5">
      <c r="B1401" s="6">
        <v>1397</v>
      </c>
      <c r="C1401" s="5">
        <v>47054</v>
      </c>
      <c r="D1401" s="3"/>
      <c r="E1401" s="16">
        <f t="shared" si="10"/>
        <v>35</v>
      </c>
    </row>
    <row r="1402" spans="2:5">
      <c r="B1402" s="6">
        <v>1398</v>
      </c>
      <c r="C1402" s="5">
        <v>47055</v>
      </c>
      <c r="D1402" s="3"/>
      <c r="E1402" s="16">
        <f t="shared" si="10"/>
        <v>34</v>
      </c>
    </row>
    <row r="1403" spans="2:5">
      <c r="B1403" s="6">
        <v>1399</v>
      </c>
      <c r="C1403" s="5">
        <v>47056</v>
      </c>
      <c r="D1403" s="3"/>
      <c r="E1403" s="16">
        <f t="shared" si="10"/>
        <v>31</v>
      </c>
    </row>
    <row r="1404" spans="2:5">
      <c r="B1404" s="6">
        <v>1400</v>
      </c>
      <c r="C1404" s="5">
        <v>47057</v>
      </c>
      <c r="D1404" s="3"/>
      <c r="E1404" s="16">
        <f t="shared" si="10"/>
        <v>26</v>
      </c>
    </row>
    <row r="1405" spans="2:5">
      <c r="B1405" s="6">
        <v>1401</v>
      </c>
      <c r="C1405" s="5">
        <v>47058</v>
      </c>
      <c r="D1405" s="3"/>
      <c r="E1405" s="16">
        <f t="shared" si="10"/>
        <v>37</v>
      </c>
    </row>
    <row r="1406" spans="2:5">
      <c r="B1406" s="6">
        <v>1402</v>
      </c>
      <c r="C1406" s="5">
        <v>47059</v>
      </c>
      <c r="D1406" s="3"/>
      <c r="E1406" s="16">
        <f t="shared" si="10"/>
        <v>36</v>
      </c>
    </row>
    <row r="1407" spans="2:5">
      <c r="B1407" s="6">
        <v>1403</v>
      </c>
      <c r="C1407" s="5">
        <v>47060</v>
      </c>
      <c r="D1407" s="3"/>
      <c r="E1407" s="16">
        <f t="shared" si="10"/>
        <v>36</v>
      </c>
    </row>
    <row r="1408" spans="2:5">
      <c r="B1408" s="6">
        <v>1404</v>
      </c>
      <c r="C1408" s="5">
        <v>47061</v>
      </c>
      <c r="D1408" s="3"/>
      <c r="E1408" s="16">
        <f t="shared" si="10"/>
        <v>40</v>
      </c>
    </row>
    <row r="1409" spans="2:5">
      <c r="B1409" s="6">
        <v>1405</v>
      </c>
      <c r="C1409" s="5">
        <v>47062</v>
      </c>
      <c r="D1409" s="3"/>
      <c r="E1409" s="16">
        <f t="shared" si="10"/>
        <v>25</v>
      </c>
    </row>
    <row r="1410" spans="2:5">
      <c r="B1410" s="6">
        <v>1406</v>
      </c>
      <c r="C1410" s="5">
        <v>47063</v>
      </c>
      <c r="D1410" s="3"/>
      <c r="E1410" s="16">
        <f t="shared" si="10"/>
        <v>29</v>
      </c>
    </row>
    <row r="1411" spans="2:5">
      <c r="B1411" s="6">
        <v>1407</v>
      </c>
      <c r="C1411" s="5">
        <v>47064</v>
      </c>
      <c r="D1411" s="3"/>
      <c r="E1411" s="16">
        <f t="shared" si="10"/>
        <v>44</v>
      </c>
    </row>
    <row r="1412" spans="2:5">
      <c r="B1412" s="6">
        <v>1408</v>
      </c>
      <c r="C1412" s="5">
        <v>47065</v>
      </c>
      <c r="D1412" s="3"/>
      <c r="E1412" s="16">
        <f t="shared" si="10"/>
        <v>31</v>
      </c>
    </row>
    <row r="1413" spans="2:5">
      <c r="B1413" s="6">
        <v>1409</v>
      </c>
      <c r="C1413" s="5">
        <v>47066</v>
      </c>
      <c r="D1413" s="3"/>
      <c r="E1413" s="16">
        <f t="shared" si="10"/>
        <v>39</v>
      </c>
    </row>
    <row r="1414" spans="2:5">
      <c r="B1414" s="6">
        <v>1410</v>
      </c>
      <c r="C1414" s="5">
        <v>47067</v>
      </c>
      <c r="D1414" s="3"/>
      <c r="E1414" s="16">
        <f t="shared" si="10"/>
        <v>40</v>
      </c>
    </row>
    <row r="1415" spans="2:5">
      <c r="B1415" s="6">
        <v>1411</v>
      </c>
      <c r="C1415" s="5">
        <v>47068</v>
      </c>
      <c r="D1415" s="3"/>
      <c r="E1415" s="16">
        <f t="shared" si="10"/>
        <v>33</v>
      </c>
    </row>
    <row r="1416" spans="2:5">
      <c r="B1416" s="6">
        <v>1412</v>
      </c>
      <c r="C1416" s="5">
        <v>47069</v>
      </c>
      <c r="D1416" s="3"/>
      <c r="E1416" s="16">
        <f t="shared" si="10"/>
        <v>40</v>
      </c>
    </row>
    <row r="1417" spans="2:5">
      <c r="B1417" s="6">
        <v>1413</v>
      </c>
      <c r="C1417" s="5">
        <v>47070</v>
      </c>
      <c r="D1417" s="3"/>
      <c r="E1417" s="16">
        <f t="shared" si="10"/>
        <v>49</v>
      </c>
    </row>
    <row r="1418" spans="2:5">
      <c r="B1418" s="6">
        <v>1414</v>
      </c>
      <c r="C1418" s="5">
        <v>47071</v>
      </c>
      <c r="D1418" s="3"/>
      <c r="E1418" s="16">
        <f t="shared" si="10"/>
        <v>42</v>
      </c>
    </row>
    <row r="1419" spans="2:5">
      <c r="B1419" s="6">
        <v>1415</v>
      </c>
      <c r="C1419" s="5">
        <v>47072</v>
      </c>
      <c r="D1419" s="3"/>
      <c r="E1419" s="16">
        <f t="shared" si="10"/>
        <v>34</v>
      </c>
    </row>
    <row r="1420" spans="2:5">
      <c r="B1420" s="6">
        <v>1416</v>
      </c>
      <c r="C1420" s="5">
        <v>47073</v>
      </c>
      <c r="D1420" s="3"/>
      <c r="E1420" s="16">
        <f t="shared" si="10"/>
        <v>36</v>
      </c>
    </row>
    <row r="1421" spans="2:5">
      <c r="B1421" s="6">
        <v>1417</v>
      </c>
      <c r="C1421" s="5">
        <v>47074</v>
      </c>
      <c r="D1421" s="3"/>
      <c r="E1421" s="16">
        <f t="shared" si="10"/>
        <v>38</v>
      </c>
    </row>
    <row r="1422" spans="2:5">
      <c r="B1422" s="6">
        <v>1418</v>
      </c>
      <c r="C1422" s="5">
        <v>47075</v>
      </c>
      <c r="D1422" s="3"/>
      <c r="E1422" s="16">
        <f t="shared" si="10"/>
        <v>31</v>
      </c>
    </row>
    <row r="1423" spans="2:5">
      <c r="B1423" s="6">
        <v>1419</v>
      </c>
      <c r="C1423" s="5">
        <v>47076</v>
      </c>
      <c r="D1423" s="3"/>
      <c r="E1423" s="16">
        <f t="shared" si="10"/>
        <v>39</v>
      </c>
    </row>
    <row r="1424" spans="2:5">
      <c r="B1424" s="6">
        <v>1420</v>
      </c>
      <c r="C1424" s="5">
        <v>47077</v>
      </c>
      <c r="D1424" s="3"/>
      <c r="E1424" s="16">
        <f t="shared" si="10"/>
        <v>33</v>
      </c>
    </row>
    <row r="1425" spans="2:5">
      <c r="B1425" s="6">
        <v>1421</v>
      </c>
      <c r="C1425" s="5">
        <v>47078</v>
      </c>
      <c r="D1425" s="3"/>
      <c r="E1425" s="16">
        <f t="shared" si="10"/>
        <v>38</v>
      </c>
    </row>
    <row r="1426" spans="2:5">
      <c r="B1426" s="6">
        <v>1422</v>
      </c>
      <c r="C1426" s="5">
        <v>47079</v>
      </c>
      <c r="D1426" s="3"/>
      <c r="E1426" s="16">
        <f t="shared" si="10"/>
        <v>40</v>
      </c>
    </row>
    <row r="1427" spans="2:5">
      <c r="B1427" s="6">
        <v>1423</v>
      </c>
      <c r="C1427" s="5">
        <v>47080</v>
      </c>
      <c r="D1427" s="3"/>
      <c r="E1427" s="16">
        <f t="shared" si="10"/>
        <v>44</v>
      </c>
    </row>
    <row r="1428" spans="2:5">
      <c r="B1428" s="6">
        <v>1424</v>
      </c>
      <c r="C1428" s="5">
        <v>47081</v>
      </c>
      <c r="D1428" s="3"/>
      <c r="E1428" s="16">
        <f t="shared" si="10"/>
        <v>36</v>
      </c>
    </row>
    <row r="1429" spans="2:5">
      <c r="B1429" s="6">
        <v>1425</v>
      </c>
      <c r="C1429" s="5">
        <v>47082</v>
      </c>
      <c r="D1429" s="3"/>
      <c r="E1429" s="16">
        <f t="shared" si="10"/>
        <v>37</v>
      </c>
    </row>
    <row r="1430" spans="2:5">
      <c r="B1430" s="6">
        <v>1426</v>
      </c>
      <c r="C1430" s="5">
        <v>47083</v>
      </c>
      <c r="D1430" s="3"/>
      <c r="E1430" s="16">
        <f t="shared" si="10"/>
        <v>36</v>
      </c>
    </row>
    <row r="1431" spans="2:5">
      <c r="B1431" s="6">
        <v>1427</v>
      </c>
      <c r="C1431" s="5">
        <v>47084</v>
      </c>
      <c r="D1431" s="3"/>
      <c r="E1431" s="16">
        <f t="shared" si="10"/>
        <v>31</v>
      </c>
    </row>
    <row r="1432" spans="2:5">
      <c r="B1432" s="6">
        <v>1428</v>
      </c>
      <c r="C1432" s="5">
        <v>47085</v>
      </c>
      <c r="D1432" s="3"/>
      <c r="E1432" s="16">
        <f t="shared" si="10"/>
        <v>39</v>
      </c>
    </row>
    <row r="1433" spans="2:5">
      <c r="B1433" s="6">
        <v>1429</v>
      </c>
      <c r="C1433" s="5">
        <v>47086</v>
      </c>
      <c r="D1433" s="3"/>
      <c r="E1433" s="16">
        <f t="shared" si="10"/>
        <v>40</v>
      </c>
    </row>
    <row r="1434" spans="2:5">
      <c r="B1434" s="6">
        <v>1430</v>
      </c>
      <c r="C1434" s="5">
        <v>47087</v>
      </c>
      <c r="D1434" s="3"/>
      <c r="E1434" s="16">
        <f t="shared" si="10"/>
        <v>37</v>
      </c>
    </row>
    <row r="1435" spans="2:5">
      <c r="B1435" s="6">
        <v>1431</v>
      </c>
      <c r="C1435" s="5">
        <v>47088</v>
      </c>
      <c r="D1435" s="3"/>
      <c r="E1435" s="16">
        <f t="shared" si="10"/>
        <v>32</v>
      </c>
    </row>
    <row r="1436" spans="2:5">
      <c r="B1436" s="6">
        <v>1432</v>
      </c>
      <c r="C1436" s="5">
        <v>47089</v>
      </c>
      <c r="D1436" s="3"/>
      <c r="E1436" s="16">
        <f t="shared" si="10"/>
        <v>33</v>
      </c>
    </row>
    <row r="1437" spans="2:5">
      <c r="B1437" s="6">
        <v>1433</v>
      </c>
      <c r="C1437" s="5">
        <v>47090</v>
      </c>
      <c r="D1437" s="3"/>
      <c r="E1437" s="16">
        <f t="shared" si="10"/>
        <v>41</v>
      </c>
    </row>
    <row r="1438" spans="2:5">
      <c r="B1438" s="6">
        <v>1434</v>
      </c>
      <c r="C1438" s="5">
        <v>47091</v>
      </c>
      <c r="D1438" s="3"/>
      <c r="E1438" s="16">
        <f t="shared" si="10"/>
        <v>46</v>
      </c>
    </row>
    <row r="1439" spans="2:5">
      <c r="B1439" s="6">
        <v>1435</v>
      </c>
      <c r="C1439" s="5">
        <v>47092</v>
      </c>
      <c r="D1439" s="3"/>
      <c r="E1439" s="16">
        <f t="shared" ref="E1439:E1464" si="11">ROUNDUP(_xlfn.FORECAST.ETS(B1439,$D$5:$D$734,$B$5:$B$734,365,0,1),0)</f>
        <v>33</v>
      </c>
    </row>
    <row r="1440" spans="2:5">
      <c r="B1440" s="6">
        <v>1436</v>
      </c>
      <c r="C1440" s="5">
        <v>47093</v>
      </c>
      <c r="D1440" s="3"/>
      <c r="E1440" s="16">
        <f t="shared" si="11"/>
        <v>34</v>
      </c>
    </row>
    <row r="1441" spans="2:5">
      <c r="B1441" s="6">
        <v>1437</v>
      </c>
      <c r="C1441" s="5">
        <v>47094</v>
      </c>
      <c r="D1441" s="3"/>
      <c r="E1441" s="16">
        <f t="shared" si="11"/>
        <v>34</v>
      </c>
    </row>
    <row r="1442" spans="2:5">
      <c r="B1442" s="6">
        <v>1438</v>
      </c>
      <c r="C1442" s="5">
        <v>47095</v>
      </c>
      <c r="D1442" s="3"/>
      <c r="E1442" s="16">
        <f t="shared" si="11"/>
        <v>39</v>
      </c>
    </row>
    <row r="1443" spans="2:5">
      <c r="B1443" s="6">
        <v>1439</v>
      </c>
      <c r="C1443" s="5">
        <v>47096</v>
      </c>
      <c r="D1443" s="3"/>
      <c r="E1443" s="16">
        <f t="shared" si="11"/>
        <v>40</v>
      </c>
    </row>
    <row r="1444" spans="2:5">
      <c r="B1444" s="6">
        <v>1440</v>
      </c>
      <c r="C1444" s="5">
        <v>47097</v>
      </c>
      <c r="D1444" s="3"/>
      <c r="E1444" s="16">
        <f t="shared" si="11"/>
        <v>41</v>
      </c>
    </row>
    <row r="1445" spans="2:5">
      <c r="B1445" s="6">
        <v>1441</v>
      </c>
      <c r="C1445" s="5">
        <v>47098</v>
      </c>
      <c r="D1445" s="3"/>
      <c r="E1445" s="16">
        <f t="shared" si="11"/>
        <v>42</v>
      </c>
    </row>
    <row r="1446" spans="2:5">
      <c r="B1446" s="6">
        <v>1442</v>
      </c>
      <c r="C1446" s="5">
        <v>47099</v>
      </c>
      <c r="D1446" s="3"/>
      <c r="E1446" s="16">
        <f t="shared" si="11"/>
        <v>39</v>
      </c>
    </row>
    <row r="1447" spans="2:5">
      <c r="B1447" s="6">
        <v>1443</v>
      </c>
      <c r="C1447" s="5">
        <v>47100</v>
      </c>
      <c r="D1447" s="3"/>
      <c r="E1447" s="16">
        <f t="shared" si="11"/>
        <v>44</v>
      </c>
    </row>
    <row r="1448" spans="2:5">
      <c r="B1448" s="6">
        <v>1444</v>
      </c>
      <c r="C1448" s="5">
        <v>47101</v>
      </c>
      <c r="D1448" s="3"/>
      <c r="E1448" s="16">
        <f t="shared" si="11"/>
        <v>41</v>
      </c>
    </row>
    <row r="1449" spans="2:5">
      <c r="B1449" s="6">
        <v>1445</v>
      </c>
      <c r="C1449" s="5">
        <v>47102</v>
      </c>
      <c r="D1449" s="3"/>
      <c r="E1449" s="16">
        <f t="shared" si="11"/>
        <v>37</v>
      </c>
    </row>
    <row r="1450" spans="2:5">
      <c r="B1450" s="6">
        <v>1446</v>
      </c>
      <c r="C1450" s="5">
        <v>47103</v>
      </c>
      <c r="D1450" s="3"/>
      <c r="E1450" s="16">
        <f t="shared" si="11"/>
        <v>41</v>
      </c>
    </row>
    <row r="1451" spans="2:5">
      <c r="B1451" s="6">
        <v>1447</v>
      </c>
      <c r="C1451" s="5">
        <v>47104</v>
      </c>
      <c r="D1451" s="3"/>
      <c r="E1451" s="16">
        <f t="shared" si="11"/>
        <v>40</v>
      </c>
    </row>
    <row r="1452" spans="2:5">
      <c r="B1452" s="6">
        <v>1448</v>
      </c>
      <c r="C1452" s="5">
        <v>47105</v>
      </c>
      <c r="D1452" s="3"/>
      <c r="E1452" s="16">
        <f t="shared" si="11"/>
        <v>33</v>
      </c>
    </row>
    <row r="1453" spans="2:5">
      <c r="B1453" s="6">
        <v>1449</v>
      </c>
      <c r="C1453" s="5">
        <v>47106</v>
      </c>
      <c r="D1453" s="3"/>
      <c r="E1453" s="16">
        <f t="shared" si="11"/>
        <v>37</v>
      </c>
    </row>
    <row r="1454" spans="2:5">
      <c r="B1454" s="6">
        <v>1450</v>
      </c>
      <c r="C1454" s="5">
        <v>47107</v>
      </c>
      <c r="D1454" s="3"/>
      <c r="E1454" s="16">
        <f t="shared" si="11"/>
        <v>37</v>
      </c>
    </row>
    <row r="1455" spans="2:5">
      <c r="B1455" s="6">
        <v>1451</v>
      </c>
      <c r="C1455" s="5">
        <v>47108</v>
      </c>
      <c r="D1455" s="3"/>
      <c r="E1455" s="16">
        <f t="shared" si="11"/>
        <v>36</v>
      </c>
    </row>
    <row r="1456" spans="2:5">
      <c r="B1456" s="6">
        <v>1452</v>
      </c>
      <c r="C1456" s="5">
        <v>47109</v>
      </c>
      <c r="D1456" s="3"/>
      <c r="E1456" s="16">
        <f t="shared" si="11"/>
        <v>31</v>
      </c>
    </row>
    <row r="1457" spans="2:5">
      <c r="B1457" s="6">
        <v>1453</v>
      </c>
      <c r="C1457" s="5">
        <v>47110</v>
      </c>
      <c r="D1457" s="3"/>
      <c r="E1457" s="16">
        <f t="shared" si="11"/>
        <v>33</v>
      </c>
    </row>
    <row r="1458" spans="2:5">
      <c r="B1458" s="6">
        <v>1454</v>
      </c>
      <c r="C1458" s="5">
        <v>47111</v>
      </c>
      <c r="D1458" s="3"/>
      <c r="E1458" s="16">
        <f t="shared" si="11"/>
        <v>38</v>
      </c>
    </row>
    <row r="1459" spans="2:5">
      <c r="B1459" s="6">
        <v>1455</v>
      </c>
      <c r="C1459" s="5">
        <v>47112</v>
      </c>
      <c r="D1459" s="3"/>
      <c r="E1459" s="16">
        <f t="shared" si="11"/>
        <v>38</v>
      </c>
    </row>
    <row r="1460" spans="2:5">
      <c r="B1460" s="6">
        <v>1456</v>
      </c>
      <c r="C1460" s="5">
        <v>47113</v>
      </c>
      <c r="D1460" s="3"/>
      <c r="E1460" s="16">
        <f t="shared" si="11"/>
        <v>37</v>
      </c>
    </row>
    <row r="1461" spans="2:5">
      <c r="B1461" s="6">
        <v>1457</v>
      </c>
      <c r="C1461" s="5">
        <v>47114</v>
      </c>
      <c r="D1461" s="3"/>
      <c r="E1461" s="16">
        <f t="shared" si="11"/>
        <v>33</v>
      </c>
    </row>
    <row r="1462" spans="2:5">
      <c r="B1462" s="6">
        <v>1458</v>
      </c>
      <c r="C1462" s="5">
        <v>47115</v>
      </c>
      <c r="D1462" s="3"/>
      <c r="E1462" s="16">
        <f t="shared" si="11"/>
        <v>35</v>
      </c>
    </row>
    <row r="1463" spans="2:5">
      <c r="B1463" s="6">
        <v>1459</v>
      </c>
      <c r="C1463" s="5">
        <v>47116</v>
      </c>
      <c r="D1463" s="3"/>
      <c r="E1463" s="16">
        <f t="shared" si="11"/>
        <v>39</v>
      </c>
    </row>
    <row r="1464" spans="2:5">
      <c r="B1464" s="11">
        <v>1460</v>
      </c>
      <c r="C1464" s="5">
        <v>47117</v>
      </c>
      <c r="D1464" s="12"/>
      <c r="E1464" s="17">
        <f t="shared" si="11"/>
        <v>28</v>
      </c>
    </row>
  </sheetData>
  <mergeCells count="6">
    <mergeCell ref="M57:M60"/>
    <mergeCell ref="M45:M48"/>
    <mergeCell ref="M49:M52"/>
    <mergeCell ref="M53:M56"/>
    <mergeCell ref="B2:F2"/>
    <mergeCell ref="H2:Z2"/>
  </mergeCells>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4CEB7-BC3F-48FE-BF4E-CE9DCBBD7B94}">
  <dimension ref="B2:J44"/>
  <sheetViews>
    <sheetView tabSelected="1" zoomScale="85" zoomScaleNormal="85" workbookViewId="0">
      <selection activeCell="S16" sqref="S16"/>
    </sheetView>
  </sheetViews>
  <sheetFormatPr defaultColWidth="11.5703125" defaultRowHeight="15"/>
  <cols>
    <col min="1" max="1" width="11.5703125" style="18"/>
    <col min="2" max="2" width="29.5703125" style="18" bestFit="1" customWidth="1"/>
    <col min="3" max="3" width="12" style="18" bestFit="1" customWidth="1"/>
    <col min="4" max="4" width="15.7109375" style="18" bestFit="1" customWidth="1"/>
    <col min="5" max="6" width="12" style="18" bestFit="1" customWidth="1"/>
    <col min="7" max="16384" width="11.5703125" style="18"/>
  </cols>
  <sheetData>
    <row r="2" spans="2:10">
      <c r="B2" s="188" t="s">
        <v>91</v>
      </c>
      <c r="C2" s="188"/>
      <c r="D2" s="188"/>
      <c r="E2" s="188"/>
      <c r="F2" s="188"/>
      <c r="G2" s="188"/>
      <c r="H2" s="188"/>
      <c r="I2" s="188"/>
      <c r="J2" s="188"/>
    </row>
    <row r="4" spans="2:10">
      <c r="B4" s="28" t="s">
        <v>0</v>
      </c>
      <c r="C4" s="190">
        <v>3</v>
      </c>
      <c r="D4" s="191"/>
      <c r="E4" s="191"/>
      <c r="F4" s="192"/>
      <c r="G4" s="190">
        <v>4</v>
      </c>
      <c r="H4" s="191"/>
      <c r="I4" s="191"/>
      <c r="J4" s="192"/>
    </row>
    <row r="5" spans="2:10">
      <c r="B5" s="28" t="s">
        <v>1</v>
      </c>
      <c r="C5" s="23" t="s">
        <v>13</v>
      </c>
      <c r="D5" s="23" t="s">
        <v>44</v>
      </c>
      <c r="E5" s="23" t="s">
        <v>48</v>
      </c>
      <c r="F5" s="23" t="s">
        <v>52</v>
      </c>
      <c r="G5" s="23" t="s">
        <v>13</v>
      </c>
      <c r="H5" s="23" t="s">
        <v>44</v>
      </c>
      <c r="I5" s="23" t="s">
        <v>48</v>
      </c>
      <c r="J5" s="23" t="s">
        <v>52</v>
      </c>
    </row>
    <row r="6" spans="2:10">
      <c r="B6" s="26" t="s">
        <v>92</v>
      </c>
      <c r="C6" s="23">
        <v>1000</v>
      </c>
      <c r="D6" s="23">
        <v>1000</v>
      </c>
      <c r="E6" s="23">
        <v>1000</v>
      </c>
      <c r="F6" s="23">
        <v>1000</v>
      </c>
      <c r="G6" s="23">
        <v>1000</v>
      </c>
      <c r="H6" s="23">
        <v>1000</v>
      </c>
      <c r="I6" s="23">
        <v>1000</v>
      </c>
      <c r="J6" s="23">
        <v>1000</v>
      </c>
    </row>
    <row r="7" spans="2:10">
      <c r="B7" s="26" t="s">
        <v>93</v>
      </c>
      <c r="C7" s="23">
        <v>1500</v>
      </c>
      <c r="D7" s="23">
        <v>1500</v>
      </c>
      <c r="E7" s="23">
        <v>1500</v>
      </c>
      <c r="F7" s="23">
        <v>1500</v>
      </c>
      <c r="G7" s="23">
        <v>1500</v>
      </c>
      <c r="H7" s="23">
        <v>1500</v>
      </c>
      <c r="I7" s="23">
        <v>1500</v>
      </c>
      <c r="J7" s="23">
        <v>1500</v>
      </c>
    </row>
    <row r="8" spans="2:10">
      <c r="B8" s="89" t="s">
        <v>4</v>
      </c>
      <c r="C8" s="40">
        <f>DEMANDA_PREVISIÓN!O53</f>
        <v>3736</v>
      </c>
      <c r="D8" s="40">
        <f>DEMANDA_PREVISIÓN!O54</f>
        <v>3820</v>
      </c>
      <c r="E8" s="40">
        <f>DEMANDA_PREVISIÓN!O55</f>
        <v>3136</v>
      </c>
      <c r="F8" s="40">
        <f>DEMANDA_PREVISIÓN!O56</f>
        <v>3241</v>
      </c>
      <c r="G8" s="40">
        <f>DEMANDA_PREVISIÓN!O57</f>
        <v>3842</v>
      </c>
      <c r="H8" s="40">
        <f>DEMANDA_PREVISIÓN!O58</f>
        <v>3884</v>
      </c>
      <c r="I8" s="40">
        <f>DEMANDA_PREVISIÓN!O59</f>
        <v>3206</v>
      </c>
      <c r="J8" s="40">
        <f>DEMANDA_PREVISIÓN!O60</f>
        <v>3271</v>
      </c>
    </row>
    <row r="9" spans="2:10" ht="28.5">
      <c r="B9" s="26" t="s">
        <v>94</v>
      </c>
      <c r="C9" s="23">
        <v>100</v>
      </c>
      <c r="D9" s="23">
        <v>100</v>
      </c>
      <c r="E9" s="23">
        <v>100</v>
      </c>
      <c r="F9" s="23">
        <v>100</v>
      </c>
      <c r="G9" s="23">
        <v>100</v>
      </c>
      <c r="H9" s="23">
        <v>100</v>
      </c>
      <c r="I9" s="23">
        <v>100</v>
      </c>
      <c r="J9" s="23">
        <v>100</v>
      </c>
    </row>
    <row r="10" spans="2:10">
      <c r="B10" s="29"/>
      <c r="C10" s="29"/>
      <c r="D10" s="29"/>
      <c r="E10" s="29"/>
      <c r="F10" s="29"/>
      <c r="G10" s="29"/>
      <c r="H10" s="29"/>
      <c r="I10" s="29"/>
      <c r="J10" s="29"/>
    </row>
    <row r="11" spans="2:10">
      <c r="B11" s="25" t="s">
        <v>95</v>
      </c>
      <c r="C11" s="40">
        <f>SQRT((2*C7*C8)/C9)</f>
        <v>334.78351213881484</v>
      </c>
      <c r="D11" s="30">
        <f>SQRT((2*D7*D8)/D9)</f>
        <v>338.52621759621513</v>
      </c>
      <c r="E11" s="30">
        <f>SQRT((2*E7*E8)/E9)</f>
        <v>306.72463220289302</v>
      </c>
      <c r="F11" s="30">
        <f t="shared" ref="F11:J11" si="0">SQRT((2*F7*F8)/F9)</f>
        <v>311.8172541730172</v>
      </c>
      <c r="G11" s="30">
        <f>SQRT((2*G7*G8)/G9)</f>
        <v>339.49963181128783</v>
      </c>
      <c r="H11" s="30">
        <f t="shared" si="0"/>
        <v>341.35025999697143</v>
      </c>
      <c r="I11" s="30">
        <f t="shared" si="0"/>
        <v>310.12900541548834</v>
      </c>
      <c r="J11" s="30">
        <f t="shared" si="0"/>
        <v>313.25708292072181</v>
      </c>
    </row>
    <row r="12" spans="2:10">
      <c r="B12" s="29"/>
      <c r="C12" s="29"/>
      <c r="D12" s="29"/>
      <c r="E12" s="29"/>
      <c r="F12" s="29"/>
      <c r="G12" s="29"/>
      <c r="H12" s="29"/>
      <c r="I12" s="29"/>
      <c r="J12" s="29"/>
    </row>
    <row r="13" spans="2:10">
      <c r="B13" s="29"/>
      <c r="C13" s="29"/>
      <c r="D13" s="29"/>
      <c r="E13" s="29"/>
      <c r="F13" s="29"/>
      <c r="G13" s="29"/>
      <c r="H13" s="29"/>
      <c r="I13" s="29"/>
      <c r="J13" s="29"/>
    </row>
    <row r="14" spans="2:10">
      <c r="B14" s="29"/>
      <c r="C14" s="29"/>
      <c r="D14" s="29"/>
      <c r="E14" s="29"/>
      <c r="F14" s="29"/>
      <c r="G14" s="29"/>
      <c r="H14" s="29"/>
      <c r="I14" s="29"/>
      <c r="J14" s="29"/>
    </row>
    <row r="16" spans="2:10">
      <c r="B16" s="28" t="s">
        <v>0</v>
      </c>
      <c r="C16" s="189">
        <v>3</v>
      </c>
      <c r="D16" s="189"/>
      <c r="E16" s="189"/>
      <c r="F16" s="189"/>
      <c r="G16" s="189">
        <v>4</v>
      </c>
      <c r="H16" s="189"/>
      <c r="I16" s="189"/>
      <c r="J16" s="189"/>
    </row>
    <row r="17" spans="2:10">
      <c r="B17" s="28" t="s">
        <v>1</v>
      </c>
      <c r="C17" s="40" t="s">
        <v>13</v>
      </c>
      <c r="D17" s="40" t="s">
        <v>44</v>
      </c>
      <c r="E17" s="23" t="s">
        <v>48</v>
      </c>
      <c r="F17" s="23" t="s">
        <v>52</v>
      </c>
      <c r="G17" s="40" t="s">
        <v>13</v>
      </c>
      <c r="H17" s="40" t="s">
        <v>44</v>
      </c>
      <c r="I17" s="23" t="s">
        <v>48</v>
      </c>
      <c r="J17" s="23" t="s">
        <v>52</v>
      </c>
    </row>
    <row r="18" spans="2:10">
      <c r="B18" s="26" t="s">
        <v>96</v>
      </c>
      <c r="C18" s="23">
        <f>C8</f>
        <v>3736</v>
      </c>
      <c r="D18" s="23">
        <f t="shared" ref="D18:J18" si="1">D8</f>
        <v>3820</v>
      </c>
      <c r="E18" s="23">
        <f t="shared" si="1"/>
        <v>3136</v>
      </c>
      <c r="F18" s="23">
        <f t="shared" si="1"/>
        <v>3241</v>
      </c>
      <c r="G18" s="23">
        <f t="shared" si="1"/>
        <v>3842</v>
      </c>
      <c r="H18" s="23">
        <f t="shared" si="1"/>
        <v>3884</v>
      </c>
      <c r="I18" s="23">
        <f t="shared" si="1"/>
        <v>3206</v>
      </c>
      <c r="J18" s="23">
        <f t="shared" si="1"/>
        <v>3271</v>
      </c>
    </row>
    <row r="19" spans="2:10">
      <c r="B19" s="26" t="s">
        <v>97</v>
      </c>
      <c r="C19" s="23">
        <f>C11</f>
        <v>334.78351213881484</v>
      </c>
      <c r="D19" s="23">
        <f t="shared" ref="D19:J19" si="2">D11</f>
        <v>338.52621759621513</v>
      </c>
      <c r="E19" s="23">
        <f>E11</f>
        <v>306.72463220289302</v>
      </c>
      <c r="F19" s="23">
        <f t="shared" si="2"/>
        <v>311.8172541730172</v>
      </c>
      <c r="G19" s="23">
        <f t="shared" si="2"/>
        <v>339.49963181128783</v>
      </c>
      <c r="H19" s="23">
        <f t="shared" si="2"/>
        <v>341.35025999697143</v>
      </c>
      <c r="I19" s="23">
        <f t="shared" si="2"/>
        <v>310.12900541548834</v>
      </c>
      <c r="J19" s="23">
        <f t="shared" si="2"/>
        <v>313.25708292072181</v>
      </c>
    </row>
    <row r="20" spans="2:10">
      <c r="B20" s="29"/>
      <c r="C20" s="23">
        <v>400</v>
      </c>
      <c r="D20" s="23">
        <v>400</v>
      </c>
      <c r="E20" s="23">
        <v>200</v>
      </c>
      <c r="F20" s="23">
        <v>200</v>
      </c>
      <c r="G20" s="23">
        <v>400</v>
      </c>
      <c r="H20" s="23">
        <v>400</v>
      </c>
      <c r="I20" s="23">
        <v>200</v>
      </c>
      <c r="J20" s="23">
        <v>200</v>
      </c>
    </row>
    <row r="21" spans="2:10">
      <c r="B21" s="29"/>
      <c r="D21" s="29"/>
      <c r="E21" s="29"/>
      <c r="F21" s="29"/>
      <c r="G21" s="29"/>
      <c r="H21" s="29"/>
      <c r="I21" s="29"/>
      <c r="J21" s="29"/>
    </row>
    <row r="22" spans="2:10">
      <c r="B22" s="29"/>
      <c r="C22" s="29"/>
      <c r="D22" s="29"/>
      <c r="E22" s="29"/>
      <c r="F22" s="29"/>
      <c r="G22" s="29"/>
      <c r="H22" s="29"/>
      <c r="I22" s="29"/>
      <c r="J22" s="29"/>
    </row>
    <row r="23" spans="2:10">
      <c r="B23" s="29"/>
      <c r="C23" s="29"/>
      <c r="D23" s="29"/>
      <c r="E23" s="29"/>
      <c r="F23" s="29"/>
      <c r="G23" s="29"/>
      <c r="H23" s="29"/>
      <c r="I23" s="29"/>
      <c r="J23" s="29"/>
    </row>
    <row r="24" spans="2:10" ht="30.6" customHeight="1">
      <c r="C24" s="26" t="s">
        <v>98</v>
      </c>
      <c r="D24" s="26" t="s">
        <v>99</v>
      </c>
      <c r="E24" s="26" t="s">
        <v>92</v>
      </c>
      <c r="F24" s="26" t="s">
        <v>100</v>
      </c>
      <c r="G24" s="29"/>
      <c r="H24" s="29"/>
      <c r="I24" s="29"/>
      <c r="J24" s="29"/>
    </row>
    <row r="25" spans="2:10">
      <c r="C25" s="23">
        <v>50</v>
      </c>
      <c r="D25" s="24">
        <f>$C$7+$C$6*C25</f>
        <v>51500</v>
      </c>
      <c r="E25" s="24">
        <f>D25/C25</f>
        <v>1030</v>
      </c>
      <c r="F25" s="23">
        <v>0</v>
      </c>
      <c r="G25" s="29"/>
      <c r="H25" s="29"/>
      <c r="I25" s="29"/>
      <c r="J25" s="29"/>
    </row>
    <row r="26" spans="2:10">
      <c r="C26" s="23">
        <v>100</v>
      </c>
      <c r="D26" s="24">
        <f t="shared" ref="D26:D43" si="3">$C$7+$C$6*C26</f>
        <v>101500</v>
      </c>
      <c r="E26" s="24">
        <f t="shared" ref="E26:E44" si="4">D26/C26</f>
        <v>1015</v>
      </c>
      <c r="F26" s="31">
        <f>ABS((E26-E25)/(C26-C25))</f>
        <v>0.3</v>
      </c>
      <c r="G26" s="29"/>
      <c r="H26" s="29"/>
      <c r="I26" s="29"/>
      <c r="J26" s="29"/>
    </row>
    <row r="27" spans="2:10">
      <c r="C27" s="23">
        <v>150</v>
      </c>
      <c r="D27" s="24">
        <f t="shared" si="3"/>
        <v>151500</v>
      </c>
      <c r="E27" s="24">
        <f t="shared" si="4"/>
        <v>1010</v>
      </c>
      <c r="F27" s="31">
        <f t="shared" ref="F27:F44" si="5">ABS((E27-E26)/(C27-C26))</f>
        <v>0.1</v>
      </c>
      <c r="G27" s="29"/>
      <c r="H27" s="29"/>
      <c r="I27" s="29"/>
      <c r="J27" s="29"/>
    </row>
    <row r="28" spans="2:10">
      <c r="C28" s="32">
        <v>200</v>
      </c>
      <c r="D28" s="33">
        <f t="shared" si="3"/>
        <v>201500</v>
      </c>
      <c r="E28" s="33">
        <f t="shared" si="4"/>
        <v>1007.5</v>
      </c>
      <c r="F28" s="34">
        <f t="shared" si="5"/>
        <v>0.05</v>
      </c>
      <c r="G28" s="29"/>
      <c r="H28" s="29"/>
      <c r="I28" s="29"/>
      <c r="J28" s="29"/>
    </row>
    <row r="29" spans="2:10">
      <c r="C29" s="23">
        <v>250</v>
      </c>
      <c r="D29" s="24">
        <f t="shared" si="3"/>
        <v>251500</v>
      </c>
      <c r="E29" s="24">
        <f t="shared" si="4"/>
        <v>1006</v>
      </c>
      <c r="F29" s="31">
        <f t="shared" si="5"/>
        <v>0.03</v>
      </c>
      <c r="G29" s="29"/>
      <c r="H29" s="29"/>
      <c r="I29" s="29"/>
      <c r="J29" s="29"/>
    </row>
    <row r="30" spans="2:10">
      <c r="C30" s="23">
        <v>300</v>
      </c>
      <c r="D30" s="24">
        <f t="shared" si="3"/>
        <v>301500</v>
      </c>
      <c r="E30" s="24">
        <f t="shared" si="4"/>
        <v>1005</v>
      </c>
      <c r="F30" s="31">
        <f t="shared" si="5"/>
        <v>0.02</v>
      </c>
      <c r="G30" s="29"/>
      <c r="H30" s="29"/>
      <c r="I30" s="29"/>
      <c r="J30" s="29"/>
    </row>
    <row r="31" spans="2:10">
      <c r="C31" s="23">
        <v>350</v>
      </c>
      <c r="D31" s="24">
        <f t="shared" si="3"/>
        <v>351500</v>
      </c>
      <c r="E31" s="24">
        <f t="shared" si="4"/>
        <v>1004.2857142857143</v>
      </c>
      <c r="F31" s="31">
        <f t="shared" si="5"/>
        <v>1.4285714285713312E-2</v>
      </c>
      <c r="G31" s="29"/>
      <c r="H31" s="29"/>
      <c r="I31" s="29"/>
      <c r="J31" s="29"/>
    </row>
    <row r="32" spans="2:10">
      <c r="C32" s="32">
        <v>400</v>
      </c>
      <c r="D32" s="33">
        <f t="shared" si="3"/>
        <v>401500</v>
      </c>
      <c r="E32" s="33">
        <f t="shared" si="4"/>
        <v>1003.75</v>
      </c>
      <c r="F32" s="34">
        <f t="shared" si="5"/>
        <v>1.0714285714286689E-2</v>
      </c>
      <c r="G32" s="29"/>
      <c r="H32" s="29"/>
      <c r="I32" s="29"/>
      <c r="J32" s="29"/>
    </row>
    <row r="33" spans="3:6">
      <c r="C33" s="23">
        <v>450</v>
      </c>
      <c r="D33" s="24">
        <f t="shared" si="3"/>
        <v>451500</v>
      </c>
      <c r="E33" s="24">
        <f t="shared" si="4"/>
        <v>1003.3333333333334</v>
      </c>
      <c r="F33" s="31">
        <f t="shared" si="5"/>
        <v>8.3333333333325751E-3</v>
      </c>
    </row>
    <row r="34" spans="3:6">
      <c r="C34" s="23">
        <v>500</v>
      </c>
      <c r="D34" s="24">
        <f t="shared" si="3"/>
        <v>501500</v>
      </c>
      <c r="E34" s="24">
        <f t="shared" si="4"/>
        <v>1003</v>
      </c>
      <c r="F34" s="31">
        <f t="shared" si="5"/>
        <v>6.6666666666674243E-3</v>
      </c>
    </row>
    <row r="35" spans="3:6">
      <c r="C35" s="23">
        <v>550</v>
      </c>
      <c r="D35" s="24">
        <f t="shared" si="3"/>
        <v>551500</v>
      </c>
      <c r="E35" s="24">
        <f t="shared" si="4"/>
        <v>1002.7272727272727</v>
      </c>
      <c r="F35" s="31">
        <f t="shared" si="5"/>
        <v>5.4545454545450412E-3</v>
      </c>
    </row>
    <row r="36" spans="3:6">
      <c r="C36" s="23">
        <v>600</v>
      </c>
      <c r="D36" s="24">
        <f t="shared" si="3"/>
        <v>601500</v>
      </c>
      <c r="E36" s="24">
        <f t="shared" si="4"/>
        <v>1002.5</v>
      </c>
      <c r="F36" s="31">
        <f t="shared" si="5"/>
        <v>4.545454545454959E-3</v>
      </c>
    </row>
    <row r="37" spans="3:6">
      <c r="C37" s="23">
        <v>650</v>
      </c>
      <c r="D37" s="24">
        <f t="shared" si="3"/>
        <v>651500</v>
      </c>
      <c r="E37" s="24">
        <f t="shared" si="4"/>
        <v>1002.3076923076923</v>
      </c>
      <c r="F37" s="31">
        <f t="shared" si="5"/>
        <v>3.8461538461547207E-3</v>
      </c>
    </row>
    <row r="38" spans="3:6">
      <c r="C38" s="23">
        <v>700</v>
      </c>
      <c r="D38" s="24">
        <f t="shared" si="3"/>
        <v>701500</v>
      </c>
      <c r="E38" s="24">
        <f t="shared" si="4"/>
        <v>1002.1428571428571</v>
      </c>
      <c r="F38" s="31">
        <f t="shared" si="5"/>
        <v>3.2967032967030716E-3</v>
      </c>
    </row>
    <row r="39" spans="3:6">
      <c r="C39" s="23">
        <v>750</v>
      </c>
      <c r="D39" s="24">
        <f t="shared" si="3"/>
        <v>751500</v>
      </c>
      <c r="E39" s="24">
        <f t="shared" si="4"/>
        <v>1002</v>
      </c>
      <c r="F39" s="31">
        <f t="shared" si="5"/>
        <v>2.8571428571422075E-3</v>
      </c>
    </row>
    <row r="40" spans="3:6">
      <c r="C40" s="23">
        <v>800</v>
      </c>
      <c r="D40" s="24">
        <f t="shared" si="3"/>
        <v>801500</v>
      </c>
      <c r="E40" s="24">
        <f t="shared" si="4"/>
        <v>1001.875</v>
      </c>
      <c r="F40" s="31">
        <f t="shared" si="5"/>
        <v>2.5000000000000001E-3</v>
      </c>
    </row>
    <row r="41" spans="3:6">
      <c r="C41" s="23">
        <v>850</v>
      </c>
      <c r="D41" s="24">
        <f t="shared" si="3"/>
        <v>851500</v>
      </c>
      <c r="E41" s="24">
        <f t="shared" si="4"/>
        <v>1001.7647058823529</v>
      </c>
      <c r="F41" s="31">
        <f t="shared" si="5"/>
        <v>2.205882352941444E-3</v>
      </c>
    </row>
    <row r="42" spans="3:6">
      <c r="C42" s="23">
        <v>900</v>
      </c>
      <c r="D42" s="24">
        <f t="shared" si="3"/>
        <v>901500</v>
      </c>
      <c r="E42" s="24">
        <f t="shared" si="4"/>
        <v>1001.6666666666666</v>
      </c>
      <c r="F42" s="31">
        <f t="shared" si="5"/>
        <v>1.9607843137259807E-3</v>
      </c>
    </row>
    <row r="43" spans="3:6">
      <c r="C43" s="23">
        <v>950</v>
      </c>
      <c r="D43" s="24">
        <f t="shared" si="3"/>
        <v>951500</v>
      </c>
      <c r="E43" s="24">
        <f t="shared" si="4"/>
        <v>1001.578947368421</v>
      </c>
      <c r="F43" s="31">
        <f t="shared" si="5"/>
        <v>1.7543859649117621E-3</v>
      </c>
    </row>
    <row r="44" spans="3:6">
      <c r="C44" s="23">
        <v>1000</v>
      </c>
      <c r="D44" s="24">
        <f>$C$7+$C$6*C44</f>
        <v>1001500</v>
      </c>
      <c r="E44" s="24">
        <f t="shared" si="4"/>
        <v>1001.5</v>
      </c>
      <c r="F44" s="31">
        <f t="shared" si="5"/>
        <v>1.5789473684208132E-3</v>
      </c>
    </row>
  </sheetData>
  <mergeCells count="5">
    <mergeCell ref="C16:F16"/>
    <mergeCell ref="G16:J16"/>
    <mergeCell ref="C4:F4"/>
    <mergeCell ref="G4:J4"/>
    <mergeCell ref="B2:J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62909-500F-4FEC-9CC3-AD281868C7AB}">
  <dimension ref="C5:K735"/>
  <sheetViews>
    <sheetView zoomScaleNormal="100" workbookViewId="0">
      <selection activeCell="Q10" sqref="Q10"/>
    </sheetView>
  </sheetViews>
  <sheetFormatPr defaultColWidth="11.5703125" defaultRowHeight="15"/>
  <cols>
    <col min="1" max="1" width="11.5703125" style="18"/>
    <col min="2" max="2" width="11.5703125" style="18" customWidth="1"/>
    <col min="3" max="3" width="14.5703125" style="42" bestFit="1" customWidth="1"/>
    <col min="4" max="4" width="13.28515625" style="18" bestFit="1" customWidth="1"/>
    <col min="5" max="5" width="12.42578125" style="18" bestFit="1" customWidth="1"/>
    <col min="6" max="6" width="6" style="18" bestFit="1" customWidth="1"/>
    <col min="7" max="7" width="6.140625" style="18" bestFit="1" customWidth="1"/>
    <col min="8" max="9" width="12.42578125" style="18" bestFit="1" customWidth="1"/>
    <col min="10" max="10" width="8.28515625" style="18" bestFit="1" customWidth="1"/>
    <col min="11" max="16384" width="11.5703125" style="18"/>
  </cols>
  <sheetData>
    <row r="5" spans="3:9">
      <c r="C5" s="26" t="s">
        <v>0</v>
      </c>
      <c r="D5" s="25" t="s">
        <v>1</v>
      </c>
      <c r="E5" s="43" t="s">
        <v>101</v>
      </c>
      <c r="F5" s="25" t="s">
        <v>102</v>
      </c>
      <c r="G5" s="25" t="s">
        <v>103</v>
      </c>
      <c r="H5" s="43" t="s">
        <v>104</v>
      </c>
      <c r="I5" s="25" t="s">
        <v>10</v>
      </c>
    </row>
    <row r="6" spans="3:9">
      <c r="C6" s="193">
        <v>3</v>
      </c>
      <c r="D6" s="23" t="s">
        <v>13</v>
      </c>
      <c r="E6" s="23">
        <f>DEMANDA_PREVISIÓN!O45/90</f>
        <v>42.455555555555556</v>
      </c>
      <c r="F6" s="23">
        <v>17</v>
      </c>
      <c r="G6" s="23">
        <v>3.7189999999999999</v>
      </c>
      <c r="H6" s="23">
        <f>_xlfn.STDEV.S(DEMANDA_PREVISIÓN!E735:E824)</f>
        <v>6.161213298803915</v>
      </c>
      <c r="I6" s="40">
        <f t="shared" ref="I6:I13" si="0">E6*F6+G6*H6*SQRT(F6)</f>
        <v>816.21944066332651</v>
      </c>
    </row>
    <row r="7" spans="3:9">
      <c r="C7" s="194"/>
      <c r="D7" s="23" t="s">
        <v>44</v>
      </c>
      <c r="E7" s="23">
        <f>DEMANDA_PREVISIÓN!O46/90</f>
        <v>42.455555555555556</v>
      </c>
      <c r="F7" s="23">
        <v>15</v>
      </c>
      <c r="G7" s="23">
        <v>3.7189999999999999</v>
      </c>
      <c r="H7" s="23">
        <f>_xlfn.STDEV.S(DEMANDA_PREVISIÓN!E826:E915)</f>
        <v>5.8405359492756768</v>
      </c>
      <c r="I7" s="40">
        <f t="shared" si="0"/>
        <v>720.95822332269881</v>
      </c>
    </row>
    <row r="8" spans="3:9">
      <c r="C8" s="194"/>
      <c r="D8" s="23" t="s">
        <v>48</v>
      </c>
      <c r="E8" s="23">
        <f>DEMANDA_PREVISIÓN!O47/90</f>
        <v>36.555555555555557</v>
      </c>
      <c r="F8" s="23">
        <v>11</v>
      </c>
      <c r="G8" s="23">
        <v>3.7189999999999999</v>
      </c>
      <c r="H8" s="23">
        <f>_xlfn.STDEV.S(DEMANDA_PREVISIÓN!E916:E1005)</f>
        <v>5.8109629913115057</v>
      </c>
      <c r="I8" s="23">
        <f t="shared" si="0"/>
        <v>473.78659448289432</v>
      </c>
    </row>
    <row r="9" spans="3:9">
      <c r="C9" s="195"/>
      <c r="D9" s="23" t="s">
        <v>52</v>
      </c>
      <c r="E9" s="23">
        <f>DEMANDA_PREVISIÓN!O48/90</f>
        <v>36.955555555555556</v>
      </c>
      <c r="F9" s="23">
        <v>11</v>
      </c>
      <c r="G9" s="23">
        <v>3.7189999999999999</v>
      </c>
      <c r="H9" s="23">
        <f>_xlfn.STDEV.S(DEMANDA_PREVISIÓN!E1006:E1095)</f>
        <v>4.9438293042704</v>
      </c>
      <c r="I9" s="23">
        <f t="shared" si="0"/>
        <v>467.49091009124402</v>
      </c>
    </row>
    <row r="10" spans="3:9">
      <c r="C10" s="193">
        <v>4</v>
      </c>
      <c r="D10" s="23" t="s">
        <v>13</v>
      </c>
      <c r="E10" s="23">
        <f>DEMANDA_PREVISIÓN!O49/90</f>
        <v>42.322222222222223</v>
      </c>
      <c r="F10" s="23">
        <v>15</v>
      </c>
      <c r="G10" s="23">
        <v>3.7189999999999999</v>
      </c>
      <c r="H10" s="23">
        <f>_xlfn.STDEV.S(DEMANDA_PREVISIÓN!E1096:E1185)</f>
        <v>6.3911709543158635</v>
      </c>
      <c r="I10" s="40">
        <f t="shared" si="0"/>
        <v>726.88936348271181</v>
      </c>
    </row>
    <row r="11" spans="3:9">
      <c r="C11" s="194"/>
      <c r="D11" s="23" t="s">
        <v>44</v>
      </c>
      <c r="E11" s="23">
        <f>DEMANDA_PREVISIÓN!O50/90</f>
        <v>43.2</v>
      </c>
      <c r="F11" s="23">
        <v>15</v>
      </c>
      <c r="G11" s="23">
        <v>3.7189999999999999</v>
      </c>
      <c r="H11" s="23">
        <f>_xlfn.STDEV.S(DEMANDA_PREVISIÓN!E1186:E1275)</f>
        <v>5.8798732013471193</v>
      </c>
      <c r="I11" s="40">
        <f t="shared" si="0"/>
        <v>732.69148901927213</v>
      </c>
    </row>
    <row r="12" spans="3:9">
      <c r="C12" s="194"/>
      <c r="D12" s="23" t="s">
        <v>48</v>
      </c>
      <c r="E12" s="23">
        <f>DEMANDA_PREVISIÓN!O51/90</f>
        <v>34.56666666666667</v>
      </c>
      <c r="F12" s="23">
        <v>11</v>
      </c>
      <c r="G12" s="23">
        <v>3.7189999999999999</v>
      </c>
      <c r="H12" s="23">
        <f>_xlfn.STDEV.S(DEMANDA_PREVISIÓN!E1276:E1365)</f>
        <v>5.8522059607246941</v>
      </c>
      <c r="I12" s="23">
        <f t="shared" si="0"/>
        <v>452.41752924945695</v>
      </c>
    </row>
    <row r="13" spans="3:9">
      <c r="C13" s="195"/>
      <c r="D13" s="23" t="s">
        <v>52</v>
      </c>
      <c r="E13" s="23">
        <f>DEMANDA_PREVISIÓN!O52/90</f>
        <v>35.799999999999997</v>
      </c>
      <c r="F13" s="23">
        <v>11</v>
      </c>
      <c r="G13" s="23">
        <v>3.7189999999999999</v>
      </c>
      <c r="H13" s="23">
        <f>_xlfn.STDEV.S(DEMANDA_PREVISIÓN!E1366:E1455)</f>
        <v>5.0770468280666954</v>
      </c>
      <c r="I13" s="23">
        <f t="shared" si="0"/>
        <v>456.42297420358005</v>
      </c>
    </row>
    <row r="17" spans="3:11" ht="15" customHeight="1">
      <c r="C17" s="26" t="s">
        <v>0</v>
      </c>
      <c r="D17" s="189" t="s">
        <v>105</v>
      </c>
      <c r="E17" s="189"/>
      <c r="F17" s="189"/>
      <c r="G17" s="189"/>
      <c r="H17" s="189" t="s">
        <v>106</v>
      </c>
      <c r="I17" s="189"/>
      <c r="J17" s="189"/>
      <c r="K17" s="189"/>
    </row>
    <row r="18" spans="3:11">
      <c r="C18" s="26" t="s">
        <v>1</v>
      </c>
      <c r="D18" s="40" t="s">
        <v>13</v>
      </c>
      <c r="E18" s="40" t="s">
        <v>44</v>
      </c>
      <c r="F18" s="23" t="s">
        <v>48</v>
      </c>
      <c r="G18" s="23" t="s">
        <v>52</v>
      </c>
      <c r="H18" s="40" t="s">
        <v>13</v>
      </c>
      <c r="I18" s="40" t="s">
        <v>44</v>
      </c>
      <c r="J18" s="23" t="s">
        <v>48</v>
      </c>
      <c r="K18" s="23" t="s">
        <v>52</v>
      </c>
    </row>
    <row r="19" spans="3:11" ht="28.5">
      <c r="C19" s="26" t="s">
        <v>97</v>
      </c>
      <c r="D19" s="40">
        <v>400</v>
      </c>
      <c r="E19" s="40">
        <v>400</v>
      </c>
      <c r="F19" s="23">
        <v>200</v>
      </c>
      <c r="G19" s="23">
        <v>200</v>
      </c>
      <c r="H19" s="40">
        <v>400</v>
      </c>
      <c r="I19" s="40">
        <v>400</v>
      </c>
      <c r="J19" s="23">
        <v>200</v>
      </c>
      <c r="K19" s="23">
        <v>200</v>
      </c>
    </row>
    <row r="20" spans="3:11" ht="28.5">
      <c r="C20" s="26" t="s">
        <v>107</v>
      </c>
      <c r="D20" s="40">
        <f>E6*F6+G6*H6</f>
        <v>744.65799670269621</v>
      </c>
      <c r="E20" s="40">
        <f>E7*F7+G7*H7</f>
        <v>658.55428652868966</v>
      </c>
      <c r="F20" s="23">
        <f>E8*F8+G8*H8</f>
        <v>423.72208247579863</v>
      </c>
      <c r="G20" s="23">
        <f>E9*F9+G9*H9</f>
        <v>424.89721229369275</v>
      </c>
      <c r="H20" s="40">
        <f>E10*F10+G10*H10</f>
        <v>658.60209811243408</v>
      </c>
      <c r="I20" s="40">
        <f>E11*F11+G11*H11</f>
        <v>669.86724843580998</v>
      </c>
      <c r="J20" s="23">
        <f>E12*F12+G12*H12</f>
        <v>401.99768730126846</v>
      </c>
      <c r="K20" s="23">
        <f>E13*F13+G13*H13</f>
        <v>412.68153715358</v>
      </c>
    </row>
    <row r="21" spans="3:11" ht="28.5">
      <c r="C21" s="26" t="s">
        <v>108</v>
      </c>
      <c r="D21" s="71">
        <v>700</v>
      </c>
      <c r="E21" s="71">
        <v>700</v>
      </c>
      <c r="F21" s="45">
        <v>450</v>
      </c>
      <c r="G21" s="45">
        <v>450</v>
      </c>
      <c r="H21" s="71">
        <v>700</v>
      </c>
      <c r="I21" s="71">
        <v>700</v>
      </c>
      <c r="J21" s="45">
        <v>450</v>
      </c>
      <c r="K21" s="45">
        <v>450</v>
      </c>
    </row>
    <row r="735" spans="5:5">
      <c r="E735" s="18">
        <f>ROP_PREVISIÓN!R12</f>
        <v>0</v>
      </c>
    </row>
  </sheetData>
  <mergeCells count="4">
    <mergeCell ref="C6:C9"/>
    <mergeCell ref="C10:C13"/>
    <mergeCell ref="D17:G17"/>
    <mergeCell ref="H17:K1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3AF2-2861-4BB1-A87D-9496D6EEE1C7}">
  <dimension ref="B2:F17"/>
  <sheetViews>
    <sheetView workbookViewId="0">
      <selection activeCell="J8" sqref="J8"/>
    </sheetView>
  </sheetViews>
  <sheetFormatPr defaultColWidth="11.5703125" defaultRowHeight="15"/>
  <cols>
    <col min="1" max="1" width="11.5703125" style="18"/>
    <col min="2" max="2" width="14.28515625" style="18" bestFit="1" customWidth="1"/>
    <col min="3" max="3" width="12" style="18" bestFit="1" customWidth="1"/>
    <col min="4" max="4" width="9.85546875" style="18" bestFit="1" customWidth="1"/>
    <col min="5" max="5" width="11.140625" style="18" bestFit="1" customWidth="1"/>
    <col min="6" max="6" width="12.140625" style="18" bestFit="1" customWidth="1"/>
    <col min="7" max="16384" width="11.5703125" style="18"/>
  </cols>
  <sheetData>
    <row r="2" spans="2:6" ht="14.45" customHeight="1">
      <c r="B2" s="199" t="s">
        <v>109</v>
      </c>
      <c r="C2" s="199"/>
      <c r="D2" s="199"/>
      <c r="E2" s="199"/>
      <c r="F2" s="199"/>
    </row>
    <row r="4" spans="2:6" ht="42.75">
      <c r="B4" s="25" t="s">
        <v>110</v>
      </c>
      <c r="C4" s="25" t="s">
        <v>111</v>
      </c>
      <c r="D4" s="25" t="s">
        <v>112</v>
      </c>
      <c r="E4" s="26" t="s">
        <v>92</v>
      </c>
      <c r="F4" s="26" t="s">
        <v>113</v>
      </c>
    </row>
    <row r="5" spans="2:6">
      <c r="B5" s="198" t="s">
        <v>114</v>
      </c>
      <c r="C5" s="196" t="s">
        <v>115</v>
      </c>
      <c r="D5" s="81">
        <v>200</v>
      </c>
      <c r="E5" s="80">
        <v>75</v>
      </c>
      <c r="F5" s="197">
        <v>7</v>
      </c>
    </row>
    <row r="6" spans="2:6">
      <c r="B6" s="198"/>
      <c r="C6" s="196"/>
      <c r="D6" s="81">
        <v>150</v>
      </c>
      <c r="E6" s="80">
        <v>100</v>
      </c>
      <c r="F6" s="197"/>
    </row>
    <row r="7" spans="2:6">
      <c r="B7" s="198"/>
      <c r="C7" s="196"/>
      <c r="D7" s="81">
        <v>100</v>
      </c>
      <c r="E7" s="80">
        <v>150</v>
      </c>
      <c r="F7" s="197"/>
    </row>
    <row r="8" spans="2:6">
      <c r="B8" s="198"/>
      <c r="C8" s="196"/>
      <c r="D8" s="78">
        <v>50</v>
      </c>
      <c r="E8" s="77">
        <v>300</v>
      </c>
      <c r="F8" s="197"/>
    </row>
    <row r="9" spans="2:6">
      <c r="B9" s="79" t="s">
        <v>116</v>
      </c>
      <c r="C9" s="80" t="s">
        <v>117</v>
      </c>
      <c r="D9" s="81">
        <v>1</v>
      </c>
      <c r="E9" s="80">
        <v>150</v>
      </c>
      <c r="F9" s="81">
        <v>1</v>
      </c>
    </row>
    <row r="17" spans="4:4">
      <c r="D17" s="18">
        <f>15000/200</f>
        <v>75</v>
      </c>
    </row>
  </sheetData>
  <mergeCells count="4">
    <mergeCell ref="C5:C8"/>
    <mergeCell ref="F5:F8"/>
    <mergeCell ref="B5:B8"/>
    <mergeCell ref="B2:F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5DBB1-A15F-4D4A-A48F-3AF1BDBD8D80}">
  <dimension ref="B2:S18"/>
  <sheetViews>
    <sheetView topLeftCell="A3" workbookViewId="0">
      <selection activeCell="I8" sqref="I8"/>
    </sheetView>
  </sheetViews>
  <sheetFormatPr defaultColWidth="11.5703125" defaultRowHeight="15"/>
  <cols>
    <col min="1" max="1" width="11.5703125" style="1" customWidth="1"/>
    <col min="2" max="2" width="11.28515625" style="1" bestFit="1" customWidth="1"/>
    <col min="3" max="3" width="13.140625" style="1" bestFit="1" customWidth="1"/>
    <col min="4" max="4" width="14.7109375" style="1" bestFit="1" customWidth="1"/>
    <col min="5" max="5" width="19.28515625" style="1" bestFit="1" customWidth="1"/>
    <col min="6" max="6" width="14.7109375" style="1" bestFit="1" customWidth="1"/>
    <col min="7" max="8" width="15.28515625" style="1" bestFit="1" customWidth="1"/>
    <col min="9" max="10" width="11.5703125" style="1"/>
    <col min="11" max="11" width="15.28515625" style="1" bestFit="1" customWidth="1"/>
    <col min="12" max="16384" width="11.5703125" style="1"/>
  </cols>
  <sheetData>
    <row r="2" spans="2:19">
      <c r="B2" s="188" t="s">
        <v>118</v>
      </c>
      <c r="C2" s="188"/>
      <c r="D2" s="188"/>
      <c r="E2" s="188"/>
      <c r="F2" s="188"/>
      <c r="G2" s="188"/>
      <c r="H2" s="188"/>
      <c r="J2" s="1">
        <v>400</v>
      </c>
    </row>
    <row r="4" spans="2:19" ht="71.25">
      <c r="B4" s="28" t="s">
        <v>119</v>
      </c>
      <c r="C4" s="28" t="s">
        <v>120</v>
      </c>
      <c r="D4" s="28" t="s">
        <v>121</v>
      </c>
      <c r="E4" s="28" t="s">
        <v>122</v>
      </c>
      <c r="F4" s="28" t="s">
        <v>123</v>
      </c>
      <c r="G4" s="28" t="s">
        <v>124</v>
      </c>
      <c r="H4" s="28" t="s">
        <v>125</v>
      </c>
    </row>
    <row r="5" spans="2:19" ht="15" customHeight="1">
      <c r="B5" s="174">
        <f>AVERAGE(DEMANDA_PREVISIÓN!M46:AB46)</f>
        <v>3821</v>
      </c>
      <c r="C5" s="85">
        <v>20</v>
      </c>
      <c r="D5" s="85">
        <f>C5*365</f>
        <v>7300</v>
      </c>
      <c r="E5" s="200">
        <f>(SUM(DEMANDA_PREVISIÓN!O45:O46)+SUM(DEMANDA_PREVISIÓN!O49:O50)+SUM(DEMANDA_PREVISIÓN!O53:O54)+SUM(DEMANDA_PREVISIÓN!O57:O58))/4</f>
        <v>7655.25</v>
      </c>
      <c r="F5" s="85">
        <f>C5*180</f>
        <v>3600</v>
      </c>
      <c r="G5" s="86" t="s">
        <v>12</v>
      </c>
      <c r="H5" s="87">
        <f>3142*1000</f>
        <v>3142000</v>
      </c>
    </row>
    <row r="6" spans="2:19">
      <c r="B6" s="174"/>
      <c r="C6" s="4">
        <v>25</v>
      </c>
      <c r="D6" s="4">
        <f t="shared" ref="D6:D13" si="0">C6*365</f>
        <v>9125</v>
      </c>
      <c r="E6" s="200"/>
      <c r="F6" s="4">
        <f t="shared" ref="F6:F13" si="1">C6*180</f>
        <v>4500</v>
      </c>
      <c r="G6" s="21">
        <f>(C6-$C$5)*50000</f>
        <v>250000</v>
      </c>
      <c r="H6" s="22">
        <f>$H$5-G6</f>
        <v>2892000</v>
      </c>
      <c r="J6" s="1" t="s">
        <v>126</v>
      </c>
      <c r="K6" s="1">
        <v>120</v>
      </c>
      <c r="L6" s="1">
        <f>20*31</f>
        <v>620</v>
      </c>
      <c r="M6" s="1">
        <f>K6-L6</f>
        <v>-500</v>
      </c>
      <c r="N6" s="1">
        <f>21*20</f>
        <v>420</v>
      </c>
      <c r="P6" s="1" t="s">
        <v>127</v>
      </c>
      <c r="R6" s="1" t="s">
        <v>128</v>
      </c>
      <c r="S6" s="1" t="s">
        <v>129</v>
      </c>
    </row>
    <row r="7" spans="2:19">
      <c r="B7" s="174"/>
      <c r="C7" s="4">
        <v>30</v>
      </c>
      <c r="D7" s="4">
        <f>C7*365</f>
        <v>10950</v>
      </c>
      <c r="E7" s="200"/>
      <c r="F7" s="4">
        <f t="shared" si="1"/>
        <v>5400</v>
      </c>
      <c r="G7" s="21">
        <f>(C7-$C$5)*50000</f>
        <v>500000</v>
      </c>
      <c r="H7" s="22">
        <f>$H$5-G7</f>
        <v>2642000</v>
      </c>
      <c r="J7" s="1" t="s">
        <v>130</v>
      </c>
      <c r="K7" s="1">
        <v>247</v>
      </c>
      <c r="L7" s="1">
        <f t="shared" ref="L7:L8" si="2">20*31</f>
        <v>620</v>
      </c>
      <c r="M7" s="1">
        <v>20</v>
      </c>
      <c r="P7" s="1" t="s">
        <v>131</v>
      </c>
    </row>
    <row r="8" spans="2:19">
      <c r="B8" s="174"/>
      <c r="C8" s="4">
        <v>35</v>
      </c>
      <c r="D8" s="4">
        <f t="shared" si="0"/>
        <v>12775</v>
      </c>
      <c r="E8" s="200"/>
      <c r="F8" s="4">
        <f t="shared" si="1"/>
        <v>6300</v>
      </c>
      <c r="G8" s="21">
        <f t="shared" ref="G8:G13" si="3">(C8-$C$5)*50000</f>
        <v>750000</v>
      </c>
      <c r="H8" s="22">
        <f>$H$5-G8</f>
        <v>2392000</v>
      </c>
      <c r="J8" s="1" t="s">
        <v>101</v>
      </c>
      <c r="K8" s="1">
        <v>473</v>
      </c>
      <c r="L8" s="1">
        <f t="shared" si="2"/>
        <v>620</v>
      </c>
      <c r="M8" s="1">
        <v>30</v>
      </c>
    </row>
    <row r="9" spans="2:19">
      <c r="B9" s="174"/>
      <c r="C9" s="4">
        <v>40</v>
      </c>
      <c r="D9" s="4">
        <f t="shared" si="0"/>
        <v>14600</v>
      </c>
      <c r="E9" s="200"/>
      <c r="F9" s="4">
        <f t="shared" si="1"/>
        <v>7200</v>
      </c>
      <c r="G9" s="21">
        <f t="shared" si="3"/>
        <v>1000000</v>
      </c>
      <c r="H9" s="22">
        <f t="shared" ref="H7:H13" si="4">$H$5-G9</f>
        <v>2142000</v>
      </c>
      <c r="L9" s="1">
        <f>50*30</f>
        <v>1500</v>
      </c>
    </row>
    <row r="10" spans="2:19">
      <c r="B10" s="174"/>
      <c r="C10" s="85">
        <v>45</v>
      </c>
      <c r="D10" s="85">
        <f>C10*365</f>
        <v>16425</v>
      </c>
      <c r="E10" s="200"/>
      <c r="F10" s="85">
        <f t="shared" si="1"/>
        <v>8100</v>
      </c>
      <c r="G10" s="86">
        <f t="shared" si="3"/>
        <v>1250000</v>
      </c>
      <c r="H10" s="88">
        <f t="shared" si="4"/>
        <v>1892000</v>
      </c>
      <c r="J10" s="85">
        <f>F10-E5</f>
        <v>444.75</v>
      </c>
      <c r="L10" s="1">
        <f t="shared" ref="L10:L17" si="5">50*30</f>
        <v>1500</v>
      </c>
    </row>
    <row r="11" spans="2:19">
      <c r="B11" s="174"/>
      <c r="C11" s="85">
        <v>50</v>
      </c>
      <c r="D11" s="85">
        <f t="shared" si="0"/>
        <v>18250</v>
      </c>
      <c r="E11" s="200"/>
      <c r="F11" s="85">
        <f t="shared" si="1"/>
        <v>9000</v>
      </c>
      <c r="G11" s="86">
        <f t="shared" si="3"/>
        <v>1500000</v>
      </c>
      <c r="H11" s="168">
        <f t="shared" si="4"/>
        <v>1642000</v>
      </c>
      <c r="J11" s="85">
        <f>F11-E6</f>
        <v>9000</v>
      </c>
      <c r="L11" s="1">
        <f t="shared" si="5"/>
        <v>1500</v>
      </c>
    </row>
    <row r="12" spans="2:19">
      <c r="B12" s="174"/>
      <c r="C12" s="85">
        <v>55</v>
      </c>
      <c r="D12" s="85">
        <f t="shared" si="0"/>
        <v>20075</v>
      </c>
      <c r="E12" s="200"/>
      <c r="F12" s="85">
        <f t="shared" si="1"/>
        <v>9900</v>
      </c>
      <c r="G12" s="86">
        <f t="shared" si="3"/>
        <v>1750000</v>
      </c>
      <c r="H12" s="88">
        <f t="shared" si="4"/>
        <v>1392000</v>
      </c>
      <c r="J12" s="85">
        <f>F12-E7</f>
        <v>9900</v>
      </c>
      <c r="L12" s="1">
        <f t="shared" si="5"/>
        <v>1500</v>
      </c>
    </row>
    <row r="13" spans="2:19">
      <c r="B13" s="174"/>
      <c r="C13" s="85">
        <v>60</v>
      </c>
      <c r="D13" s="85">
        <f t="shared" si="0"/>
        <v>21900</v>
      </c>
      <c r="E13" s="200"/>
      <c r="F13" s="85">
        <f t="shared" si="1"/>
        <v>10800</v>
      </c>
      <c r="G13" s="86">
        <f t="shared" si="3"/>
        <v>2000000</v>
      </c>
      <c r="H13" s="88">
        <f t="shared" si="4"/>
        <v>1142000</v>
      </c>
      <c r="J13" s="85">
        <f t="shared" ref="J13" si="6">F13-E8</f>
        <v>10800</v>
      </c>
      <c r="L13" s="1">
        <f t="shared" si="5"/>
        <v>1500</v>
      </c>
    </row>
    <row r="14" spans="2:19">
      <c r="L14" s="1">
        <f t="shared" si="5"/>
        <v>1500</v>
      </c>
    </row>
    <row r="15" spans="2:19">
      <c r="L15" s="1">
        <f t="shared" si="5"/>
        <v>1500</v>
      </c>
    </row>
    <row r="16" spans="2:19">
      <c r="L16" s="1">
        <f t="shared" si="5"/>
        <v>1500</v>
      </c>
    </row>
    <row r="17" spans="11:12">
      <c r="L17" s="1">
        <f t="shared" si="5"/>
        <v>1500</v>
      </c>
    </row>
    <row r="18" spans="11:12">
      <c r="K18" s="167">
        <f>H11</f>
        <v>1642000</v>
      </c>
    </row>
  </sheetData>
  <mergeCells count="3">
    <mergeCell ref="B2:H2"/>
    <mergeCell ref="B5:B13"/>
    <mergeCell ref="E5:E1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13DA2-0973-4290-8861-B77907135B21}">
  <dimension ref="B3:R735"/>
  <sheetViews>
    <sheetView topLeftCell="A361" zoomScale="85" zoomScaleNormal="85" workbookViewId="0">
      <selection activeCell="N10" sqref="N10:P20"/>
    </sheetView>
  </sheetViews>
  <sheetFormatPr defaultColWidth="11.5703125" defaultRowHeight="15"/>
  <cols>
    <col min="1" max="2" width="11.5703125" style="18"/>
    <col min="3" max="3" width="13.85546875" style="18" bestFit="1" customWidth="1"/>
    <col min="4" max="4" width="11.5703125" style="18"/>
    <col min="5" max="5" width="5.85546875" style="18" bestFit="1" customWidth="1"/>
    <col min="6" max="6" width="18.28515625" style="18" customWidth="1"/>
    <col min="7" max="7" width="2.28515625" style="18" customWidth="1"/>
    <col min="8" max="8" width="12.140625" style="18" bestFit="1" customWidth="1"/>
    <col min="9" max="9" width="10.28515625" style="18" bestFit="1" customWidth="1"/>
    <col min="10" max="10" width="15.28515625" style="18" bestFit="1" customWidth="1"/>
    <col min="11" max="11" width="2.42578125" style="18" customWidth="1"/>
    <col min="12" max="12" width="14" style="18" bestFit="1" customWidth="1"/>
    <col min="13" max="13" width="14.28515625" style="18" bestFit="1" customWidth="1"/>
    <col min="14" max="19" width="11.5703125" style="18" customWidth="1"/>
    <col min="20" max="20" width="8.28515625" style="18" bestFit="1" customWidth="1"/>
    <col min="21" max="16384" width="11.5703125" style="18"/>
  </cols>
  <sheetData>
    <row r="3" spans="2:18" ht="15.75" thickBot="1"/>
    <row r="4" spans="2:18" ht="15.75" thickBot="1">
      <c r="B4" s="93" t="s">
        <v>0</v>
      </c>
      <c r="C4" s="93" t="s">
        <v>1</v>
      </c>
      <c r="D4" s="93" t="s">
        <v>2</v>
      </c>
      <c r="E4" s="93" t="s">
        <v>3</v>
      </c>
      <c r="F4" s="93" t="s">
        <v>4</v>
      </c>
      <c r="G4" s="94"/>
      <c r="H4" s="119" t="s">
        <v>6</v>
      </c>
      <c r="I4" s="120" t="s">
        <v>7</v>
      </c>
      <c r="J4" s="96" t="s">
        <v>8</v>
      </c>
      <c r="K4" s="94"/>
      <c r="L4" s="96" t="s">
        <v>9</v>
      </c>
      <c r="M4" s="121" t="s">
        <v>10</v>
      </c>
      <c r="Q4" s="140" t="s">
        <v>56</v>
      </c>
      <c r="R4" s="140" t="s">
        <v>57</v>
      </c>
    </row>
    <row r="5" spans="2:18">
      <c r="B5" s="122" t="s">
        <v>12</v>
      </c>
      <c r="C5" s="122" t="s">
        <v>12</v>
      </c>
      <c r="D5" s="122" t="s">
        <v>12</v>
      </c>
      <c r="E5" s="123">
        <v>730</v>
      </c>
      <c r="F5" s="123">
        <f>PRUEBA_HISTÓRICO!F734</f>
        <v>24</v>
      </c>
      <c r="G5" s="124"/>
      <c r="H5" s="122">
        <v>0</v>
      </c>
      <c r="I5" s="125">
        <v>150</v>
      </c>
      <c r="J5" s="99">
        <v>150</v>
      </c>
      <c r="K5" s="101"/>
      <c r="L5" s="99">
        <v>20</v>
      </c>
      <c r="M5" s="143">
        <v>800</v>
      </c>
      <c r="Q5" s="141">
        <v>10.916666666666666</v>
      </c>
      <c r="R5" s="174">
        <v>1</v>
      </c>
    </row>
    <row r="6" spans="2:18">
      <c r="B6" s="175">
        <v>2027</v>
      </c>
      <c r="C6" s="186" t="s">
        <v>13</v>
      </c>
      <c r="D6" s="171" t="s">
        <v>14</v>
      </c>
      <c r="E6" s="23">
        <v>731</v>
      </c>
      <c r="F6" s="23">
        <f>DEMANDA_PREVISIÓN!E735</f>
        <v>44</v>
      </c>
      <c r="G6" s="101"/>
      <c r="H6" s="93">
        <v>0</v>
      </c>
      <c r="I6" s="125">
        <v>150</v>
      </c>
      <c r="J6" s="99">
        <v>150</v>
      </c>
      <c r="K6" s="101"/>
      <c r="L6" s="99">
        <v>20</v>
      </c>
      <c r="M6" s="143">
        <v>800</v>
      </c>
      <c r="Q6" s="141">
        <v>10.926273148148148</v>
      </c>
      <c r="R6" s="174"/>
    </row>
    <row r="7" spans="2:18">
      <c r="B7" s="176"/>
      <c r="C7" s="186"/>
      <c r="D7" s="172"/>
      <c r="E7" s="23">
        <v>732</v>
      </c>
      <c r="F7" s="23">
        <f>DEMANDA_PREVISIÓN!E736</f>
        <v>41</v>
      </c>
      <c r="G7" s="101"/>
      <c r="H7" s="93">
        <v>0</v>
      </c>
      <c r="I7" s="125">
        <v>150</v>
      </c>
      <c r="J7" s="99">
        <v>150</v>
      </c>
      <c r="K7" s="101"/>
      <c r="L7" s="99">
        <v>20</v>
      </c>
      <c r="M7" s="143">
        <v>800</v>
      </c>
      <c r="Q7" s="141">
        <v>10.9358796296296</v>
      </c>
      <c r="R7" s="174"/>
    </row>
    <row r="8" spans="2:18">
      <c r="B8" s="176"/>
      <c r="C8" s="186"/>
      <c r="D8" s="172"/>
      <c r="E8" s="23">
        <v>733</v>
      </c>
      <c r="F8" s="23">
        <f>DEMANDA_PREVISIÓN!E737</f>
        <v>41</v>
      </c>
      <c r="G8" s="101"/>
      <c r="H8" s="93">
        <v>0</v>
      </c>
      <c r="I8" s="125">
        <v>150</v>
      </c>
      <c r="J8" s="99">
        <v>150</v>
      </c>
      <c r="K8" s="101"/>
      <c r="L8" s="99">
        <v>20</v>
      </c>
      <c r="M8" s="143">
        <v>800</v>
      </c>
      <c r="Q8" s="141">
        <v>10.9454861111111</v>
      </c>
      <c r="R8" s="174"/>
    </row>
    <row r="9" spans="2:18">
      <c r="B9" s="176"/>
      <c r="C9" s="186"/>
      <c r="D9" s="172"/>
      <c r="E9" s="23">
        <v>734</v>
      </c>
      <c r="F9" s="23">
        <f>DEMANDA_PREVISIÓN!E738</f>
        <v>54</v>
      </c>
      <c r="G9" s="101"/>
      <c r="H9" s="125">
        <v>150</v>
      </c>
      <c r="I9" s="46"/>
      <c r="J9" s="99">
        <v>150</v>
      </c>
      <c r="K9" s="47"/>
      <c r="L9" s="99">
        <v>20</v>
      </c>
      <c r="M9" s="143">
        <v>800</v>
      </c>
      <c r="Q9" s="141">
        <v>10.955092592592599</v>
      </c>
      <c r="R9" s="174"/>
    </row>
    <row r="10" spans="2:18">
      <c r="B10" s="176"/>
      <c r="C10" s="186"/>
      <c r="D10" s="172"/>
      <c r="E10" s="23">
        <v>735</v>
      </c>
      <c r="F10" s="23">
        <f>DEMANDA_PREVISIÓN!E739</f>
        <v>40</v>
      </c>
      <c r="G10" s="101"/>
      <c r="H10" s="93">
        <f>H9-F10</f>
        <v>110</v>
      </c>
      <c r="I10" s="99">
        <v>150</v>
      </c>
      <c r="J10" s="99">
        <v>150</v>
      </c>
      <c r="K10" s="101"/>
      <c r="L10" s="99">
        <v>20</v>
      </c>
      <c r="M10" s="143">
        <v>800</v>
      </c>
      <c r="N10" s="44"/>
      <c r="O10" s="44"/>
      <c r="P10" s="44"/>
      <c r="Q10" s="141">
        <v>10.964699074074099</v>
      </c>
      <c r="R10" s="174"/>
    </row>
    <row r="11" spans="2:18">
      <c r="B11" s="176"/>
      <c r="C11" s="186"/>
      <c r="D11" s="172"/>
      <c r="E11" s="23">
        <v>736</v>
      </c>
      <c r="F11" s="23">
        <f>DEMANDA_PREVISIÓN!E740</f>
        <v>46</v>
      </c>
      <c r="G11" s="101"/>
      <c r="H11" s="93">
        <f>H10-F11</f>
        <v>64</v>
      </c>
      <c r="I11" s="99">
        <v>150</v>
      </c>
      <c r="J11" s="126">
        <v>200</v>
      </c>
      <c r="K11" s="101"/>
      <c r="L11" s="126">
        <v>20</v>
      </c>
      <c r="M11" s="143">
        <v>800</v>
      </c>
      <c r="N11" s="44">
        <f>J11/L11</f>
        <v>10</v>
      </c>
      <c r="O11" s="44">
        <f>1500+200*1000</f>
        <v>201500</v>
      </c>
      <c r="P11" s="44"/>
      <c r="Q11" s="141">
        <v>10.974305555555601</v>
      </c>
      <c r="R11" s="174"/>
    </row>
    <row r="12" spans="2:18">
      <c r="B12" s="176"/>
      <c r="C12" s="186"/>
      <c r="D12" s="172"/>
      <c r="E12" s="23">
        <v>737</v>
      </c>
      <c r="F12" s="23">
        <f>DEMANDA_PREVISIÓN!E741</f>
        <v>33</v>
      </c>
      <c r="G12" s="101"/>
      <c r="H12" s="93">
        <f>H11-F12</f>
        <v>31</v>
      </c>
      <c r="I12" s="99">
        <v>150</v>
      </c>
      <c r="J12" s="126">
        <v>200</v>
      </c>
      <c r="K12" s="101"/>
      <c r="L12" s="126">
        <v>20</v>
      </c>
      <c r="M12" s="143">
        <v>800</v>
      </c>
      <c r="N12" s="44">
        <f>J12/L12</f>
        <v>10</v>
      </c>
      <c r="O12" s="44"/>
      <c r="P12" s="44"/>
      <c r="Q12" s="141">
        <v>10.983912037036999</v>
      </c>
      <c r="R12" s="174"/>
    </row>
    <row r="13" spans="2:18">
      <c r="B13" s="176"/>
      <c r="C13" s="186"/>
      <c r="D13" s="172"/>
      <c r="E13" s="23">
        <v>738</v>
      </c>
      <c r="F13" s="23">
        <f>DEMANDA_PREVISIÓN!E742</f>
        <v>46</v>
      </c>
      <c r="G13" s="101"/>
      <c r="H13" s="127">
        <v>0</v>
      </c>
      <c r="I13" s="99">
        <v>150</v>
      </c>
      <c r="J13" s="126">
        <v>200</v>
      </c>
      <c r="K13" s="101"/>
      <c r="L13" s="126">
        <v>20</v>
      </c>
      <c r="M13" s="143">
        <v>800</v>
      </c>
      <c r="N13" s="44">
        <f t="shared" ref="N12:N20" si="0">J13/L13</f>
        <v>10</v>
      </c>
      <c r="O13" s="44"/>
      <c r="P13" s="44"/>
      <c r="Q13" s="141">
        <v>10.993518518518499</v>
      </c>
      <c r="R13" s="174"/>
    </row>
    <row r="14" spans="2:18">
      <c r="B14" s="176"/>
      <c r="C14" s="186"/>
      <c r="D14" s="172"/>
      <c r="E14" s="23">
        <v>739</v>
      </c>
      <c r="F14" s="23">
        <f>DEMANDA_PREVISIÓN!E743</f>
        <v>37</v>
      </c>
      <c r="G14" s="101"/>
      <c r="H14" s="127">
        <v>0</v>
      </c>
      <c r="I14" s="99">
        <v>150</v>
      </c>
      <c r="J14" s="126">
        <v>200</v>
      </c>
      <c r="K14" s="101"/>
      <c r="L14" s="126">
        <v>20</v>
      </c>
      <c r="M14" s="143">
        <v>800</v>
      </c>
      <c r="N14" s="44">
        <f t="shared" si="0"/>
        <v>10</v>
      </c>
      <c r="O14" s="44"/>
      <c r="P14" s="44" t="s">
        <v>132</v>
      </c>
      <c r="Q14" s="141">
        <v>11.003125000000001</v>
      </c>
      <c r="R14" s="174">
        <v>2</v>
      </c>
    </row>
    <row r="15" spans="2:18">
      <c r="B15" s="176"/>
      <c r="C15" s="186"/>
      <c r="D15" s="172"/>
      <c r="E15" s="23">
        <v>740</v>
      </c>
      <c r="F15" s="23">
        <f>DEMANDA_PREVISIÓN!E744</f>
        <v>35</v>
      </c>
      <c r="G15" s="101"/>
      <c r="H15" s="127">
        <v>0</v>
      </c>
      <c r="I15" s="99">
        <v>150</v>
      </c>
      <c r="J15" s="126">
        <v>200</v>
      </c>
      <c r="K15" s="101"/>
      <c r="L15" s="126">
        <v>20</v>
      </c>
      <c r="M15" s="143">
        <v>800</v>
      </c>
      <c r="N15" s="44">
        <f t="shared" si="0"/>
        <v>10</v>
      </c>
      <c r="O15" s="44"/>
      <c r="P15" s="44"/>
      <c r="Q15" s="141">
        <v>11.0127314814815</v>
      </c>
      <c r="R15" s="174"/>
    </row>
    <row r="16" spans="2:18">
      <c r="B16" s="176"/>
      <c r="C16" s="186"/>
      <c r="D16" s="172"/>
      <c r="E16" s="23">
        <v>741</v>
      </c>
      <c r="F16" s="23">
        <f>DEMANDA_PREVISIÓN!E745</f>
        <v>37</v>
      </c>
      <c r="G16" s="101"/>
      <c r="H16" s="127">
        <v>0</v>
      </c>
      <c r="I16" s="99">
        <v>150</v>
      </c>
      <c r="J16" s="126">
        <v>200</v>
      </c>
      <c r="K16" s="101"/>
      <c r="L16" s="126">
        <v>20</v>
      </c>
      <c r="M16" s="143">
        <v>800</v>
      </c>
      <c r="N16" s="44">
        <f t="shared" si="0"/>
        <v>10</v>
      </c>
      <c r="O16" s="44">
        <f>5000/200</f>
        <v>25</v>
      </c>
      <c r="P16" s="44">
        <f>O16*O11</f>
        <v>5037500</v>
      </c>
      <c r="Q16" s="141">
        <v>11.022337962963</v>
      </c>
      <c r="R16" s="174"/>
    </row>
    <row r="17" spans="2:18">
      <c r="B17" s="176"/>
      <c r="C17" s="186"/>
      <c r="D17" s="172"/>
      <c r="E17" s="23">
        <v>742</v>
      </c>
      <c r="F17" s="23">
        <f>DEMANDA_PREVISIÓN!E746</f>
        <v>31</v>
      </c>
      <c r="G17" s="101"/>
      <c r="H17" s="99">
        <v>150</v>
      </c>
      <c r="I17" s="23"/>
      <c r="J17" s="126">
        <v>200</v>
      </c>
      <c r="K17" s="101"/>
      <c r="L17" s="126">
        <v>20</v>
      </c>
      <c r="M17" s="143">
        <v>800</v>
      </c>
      <c r="N17" s="44">
        <f t="shared" si="0"/>
        <v>10</v>
      </c>
      <c r="O17" s="169" t="s">
        <v>133</v>
      </c>
      <c r="P17" s="44"/>
      <c r="Q17" s="141">
        <v>11.0319444444445</v>
      </c>
      <c r="R17" s="174"/>
    </row>
    <row r="18" spans="2:18">
      <c r="B18" s="176"/>
      <c r="C18" s="186"/>
      <c r="D18" s="172"/>
      <c r="E18" s="23">
        <v>743</v>
      </c>
      <c r="F18" s="23">
        <f>DEMANDA_PREVISIÓN!E747</f>
        <v>46</v>
      </c>
      <c r="G18" s="101"/>
      <c r="H18" s="23">
        <f>H17-F18</f>
        <v>104</v>
      </c>
      <c r="I18" s="23"/>
      <c r="J18" s="126">
        <v>200</v>
      </c>
      <c r="K18" s="101"/>
      <c r="L18" s="126">
        <v>20</v>
      </c>
      <c r="M18" s="143">
        <v>800</v>
      </c>
      <c r="N18" s="44">
        <f t="shared" si="0"/>
        <v>10</v>
      </c>
      <c r="O18" s="44"/>
      <c r="P18" s="44"/>
      <c r="Q18" s="141">
        <v>11.0415509259259</v>
      </c>
      <c r="R18" s="174"/>
    </row>
    <row r="19" spans="2:18">
      <c r="B19" s="176"/>
      <c r="C19" s="186"/>
      <c r="D19" s="172"/>
      <c r="E19" s="23">
        <v>744</v>
      </c>
      <c r="F19" s="23">
        <f>DEMANDA_PREVISIÓN!E748</f>
        <v>47</v>
      </c>
      <c r="G19" s="101"/>
      <c r="H19" s="23">
        <f>H18-F19</f>
        <v>57</v>
      </c>
      <c r="I19" s="23"/>
      <c r="J19" s="126">
        <v>200</v>
      </c>
      <c r="K19" s="101"/>
      <c r="L19" s="126">
        <v>20</v>
      </c>
      <c r="M19" s="143">
        <v>800</v>
      </c>
      <c r="N19" s="44">
        <f t="shared" si="0"/>
        <v>10</v>
      </c>
      <c r="O19" s="44"/>
      <c r="P19" s="44"/>
      <c r="Q19" s="141">
        <v>11.0511574074074</v>
      </c>
      <c r="R19" s="174"/>
    </row>
    <row r="20" spans="2:18">
      <c r="B20" s="176"/>
      <c r="C20" s="186"/>
      <c r="D20" s="172"/>
      <c r="E20" s="23">
        <v>745</v>
      </c>
      <c r="F20" s="23">
        <f>DEMANDA_PREVISIÓN!E749</f>
        <v>34</v>
      </c>
      <c r="G20" s="101"/>
      <c r="H20" s="23">
        <f>H19-F20</f>
        <v>23</v>
      </c>
      <c r="I20" s="126">
        <v>200</v>
      </c>
      <c r="J20" s="126">
        <v>200</v>
      </c>
      <c r="K20" s="101"/>
      <c r="L20" s="126">
        <v>20</v>
      </c>
      <c r="M20" s="143">
        <v>800</v>
      </c>
      <c r="N20" s="44">
        <f t="shared" si="0"/>
        <v>10</v>
      </c>
      <c r="O20" s="44"/>
      <c r="P20" s="44"/>
      <c r="Q20" s="141">
        <v>11.0607638888889</v>
      </c>
      <c r="R20" s="174"/>
    </row>
    <row r="21" spans="2:18">
      <c r="B21" s="176"/>
      <c r="C21" s="186"/>
      <c r="D21" s="172"/>
      <c r="E21" s="23">
        <v>746</v>
      </c>
      <c r="F21" s="23">
        <f>DEMANDA_PREVISIÓN!E750</f>
        <v>41</v>
      </c>
      <c r="G21" s="101"/>
      <c r="H21" s="127">
        <v>0</v>
      </c>
      <c r="I21" s="126">
        <v>200</v>
      </c>
      <c r="J21" s="128">
        <v>200</v>
      </c>
      <c r="K21" s="101"/>
      <c r="L21" s="128">
        <v>20</v>
      </c>
      <c r="M21" s="143">
        <v>800</v>
      </c>
      <c r="Q21" s="141">
        <v>11.0703703703704</v>
      </c>
      <c r="R21" s="174"/>
    </row>
    <row r="22" spans="2:18">
      <c r="B22" s="176"/>
      <c r="C22" s="186"/>
      <c r="D22" s="172"/>
      <c r="E22" s="23">
        <v>747</v>
      </c>
      <c r="F22" s="23">
        <f>DEMANDA_PREVISIÓN!E751</f>
        <v>40</v>
      </c>
      <c r="G22" s="101"/>
      <c r="H22" s="127">
        <v>0</v>
      </c>
      <c r="I22" s="126">
        <v>200</v>
      </c>
      <c r="J22" s="128">
        <v>200</v>
      </c>
      <c r="K22" s="101"/>
      <c r="L22" s="128">
        <v>20</v>
      </c>
      <c r="M22" s="143">
        <v>800</v>
      </c>
      <c r="Q22" s="141">
        <v>11.0799768518519</v>
      </c>
      <c r="R22" s="174"/>
    </row>
    <row r="23" spans="2:18">
      <c r="B23" s="176"/>
      <c r="C23" s="186"/>
      <c r="D23" s="172"/>
      <c r="E23" s="23">
        <v>748</v>
      </c>
      <c r="F23" s="23">
        <f>DEMANDA_PREVISIÓN!E752</f>
        <v>28</v>
      </c>
      <c r="G23" s="101"/>
      <c r="H23" s="127">
        <v>0</v>
      </c>
      <c r="I23" s="126">
        <v>200</v>
      </c>
      <c r="J23" s="128">
        <v>200</v>
      </c>
      <c r="K23" s="101"/>
      <c r="L23" s="128">
        <v>20</v>
      </c>
      <c r="M23" s="143">
        <v>800</v>
      </c>
      <c r="Q23" s="141">
        <v>11.0895833333333</v>
      </c>
      <c r="R23" s="174"/>
    </row>
    <row r="24" spans="2:18">
      <c r="B24" s="176"/>
      <c r="C24" s="186"/>
      <c r="D24" s="172"/>
      <c r="E24" s="23">
        <v>749</v>
      </c>
      <c r="F24" s="23">
        <f>DEMANDA_PREVISIÓN!E753</f>
        <v>42</v>
      </c>
      <c r="G24" s="101"/>
      <c r="H24" s="127">
        <v>0</v>
      </c>
      <c r="I24" s="126">
        <v>200</v>
      </c>
      <c r="J24" s="128">
        <v>200</v>
      </c>
      <c r="K24" s="101"/>
      <c r="L24" s="128">
        <v>20</v>
      </c>
      <c r="M24" s="143">
        <v>800</v>
      </c>
      <c r="Q24" s="141">
        <v>11.0991898148148</v>
      </c>
      <c r="R24" s="174"/>
    </row>
    <row r="25" spans="2:18">
      <c r="B25" s="176"/>
      <c r="C25" s="186"/>
      <c r="D25" s="172"/>
      <c r="E25" s="23">
        <v>750</v>
      </c>
      <c r="F25" s="23">
        <f>DEMANDA_PREVISIÓN!E754</f>
        <v>32</v>
      </c>
      <c r="G25" s="101"/>
      <c r="H25" s="127">
        <v>0</v>
      </c>
      <c r="I25" s="126">
        <v>200</v>
      </c>
      <c r="J25" s="128">
        <v>200</v>
      </c>
      <c r="K25" s="101"/>
      <c r="L25" s="128">
        <v>20</v>
      </c>
      <c r="M25" s="143">
        <v>800</v>
      </c>
      <c r="Q25" s="141">
        <v>11.108796296296299</v>
      </c>
      <c r="R25" s="174"/>
    </row>
    <row r="26" spans="2:18">
      <c r="B26" s="176"/>
      <c r="C26" s="186"/>
      <c r="D26" s="172"/>
      <c r="E26" s="23">
        <v>751</v>
      </c>
      <c r="F26" s="23">
        <f>DEMANDA_PREVISIÓN!E755</f>
        <v>48</v>
      </c>
      <c r="G26" s="101"/>
      <c r="H26" s="127">
        <v>0</v>
      </c>
      <c r="I26" s="126">
        <v>200</v>
      </c>
      <c r="J26" s="128">
        <v>200</v>
      </c>
      <c r="K26" s="101"/>
      <c r="L26" s="128">
        <v>20</v>
      </c>
      <c r="M26" s="143">
        <v>800</v>
      </c>
      <c r="Q26" s="141">
        <v>11.118402777777799</v>
      </c>
      <c r="R26" s="174"/>
    </row>
    <row r="27" spans="2:18">
      <c r="B27" s="176"/>
      <c r="C27" s="186"/>
      <c r="D27" s="172"/>
      <c r="E27" s="23">
        <v>752</v>
      </c>
      <c r="F27" s="23">
        <f>DEMANDA_PREVISIÓN!E756</f>
        <v>31</v>
      </c>
      <c r="G27" s="101"/>
      <c r="H27" s="126">
        <v>200</v>
      </c>
      <c r="I27" s="23"/>
      <c r="J27" s="128">
        <v>200</v>
      </c>
      <c r="K27" s="101"/>
      <c r="L27" s="128">
        <v>20</v>
      </c>
      <c r="M27" s="143">
        <v>800</v>
      </c>
      <c r="Q27" s="141">
        <v>11.128009259259301</v>
      </c>
      <c r="R27" s="174"/>
    </row>
    <row r="28" spans="2:18">
      <c r="B28" s="176"/>
      <c r="C28" s="186"/>
      <c r="D28" s="172"/>
      <c r="E28" s="23">
        <v>753</v>
      </c>
      <c r="F28" s="23">
        <f>DEMANDA_PREVISIÓN!E757</f>
        <v>48</v>
      </c>
      <c r="G28" s="101"/>
      <c r="H28" s="23">
        <f>H27-F28</f>
        <v>152</v>
      </c>
      <c r="I28" s="23"/>
      <c r="J28" s="128">
        <v>200</v>
      </c>
      <c r="K28" s="101"/>
      <c r="L28" s="128">
        <v>20</v>
      </c>
      <c r="M28" s="143">
        <v>800</v>
      </c>
      <c r="Q28" s="141">
        <v>11.137615740740801</v>
      </c>
      <c r="R28" s="174"/>
    </row>
    <row r="29" spans="2:18">
      <c r="B29" s="176"/>
      <c r="C29" s="186"/>
      <c r="D29" s="172"/>
      <c r="E29" s="23">
        <v>754</v>
      </c>
      <c r="F29" s="23">
        <f>DEMANDA_PREVISIÓN!E758</f>
        <v>50</v>
      </c>
      <c r="G29" s="101"/>
      <c r="H29" s="23">
        <f>H28-F29</f>
        <v>102</v>
      </c>
      <c r="I29" s="23"/>
      <c r="J29" s="128">
        <v>200</v>
      </c>
      <c r="K29" s="101"/>
      <c r="L29" s="128">
        <v>20</v>
      </c>
      <c r="M29" s="143">
        <v>800</v>
      </c>
      <c r="Q29" s="141">
        <v>11.147222222222201</v>
      </c>
      <c r="R29" s="174"/>
    </row>
    <row r="30" spans="2:18">
      <c r="B30" s="176"/>
      <c r="C30" s="186"/>
      <c r="D30" s="172"/>
      <c r="E30" s="23">
        <v>755</v>
      </c>
      <c r="F30" s="23">
        <f>DEMANDA_PREVISIÓN!E759</f>
        <v>38</v>
      </c>
      <c r="G30" s="101"/>
      <c r="H30" s="23">
        <f>H29-F30</f>
        <v>64</v>
      </c>
      <c r="I30" s="128">
        <v>200</v>
      </c>
      <c r="J30" s="128">
        <v>200</v>
      </c>
      <c r="K30" s="101"/>
      <c r="L30" s="128">
        <v>20</v>
      </c>
      <c r="M30" s="143">
        <v>800</v>
      </c>
      <c r="Q30" s="141">
        <v>11.156828703703701</v>
      </c>
      <c r="R30" s="174"/>
    </row>
    <row r="31" spans="2:18">
      <c r="B31" s="176"/>
      <c r="C31" s="186"/>
      <c r="D31" s="172"/>
      <c r="E31" s="23">
        <v>756</v>
      </c>
      <c r="F31" s="23">
        <f>DEMANDA_PREVISIÓN!E760</f>
        <v>31</v>
      </c>
      <c r="G31" s="101"/>
      <c r="H31" s="23">
        <f>H30-F31</f>
        <v>33</v>
      </c>
      <c r="I31" s="128">
        <v>200</v>
      </c>
      <c r="J31" s="129">
        <v>200</v>
      </c>
      <c r="K31" s="101"/>
      <c r="L31" s="129">
        <v>20</v>
      </c>
      <c r="M31" s="143">
        <v>800</v>
      </c>
      <c r="Q31" s="141">
        <v>11.1664351851852</v>
      </c>
      <c r="R31" s="174"/>
    </row>
    <row r="32" spans="2:18">
      <c r="B32" s="176"/>
      <c r="C32" s="186"/>
      <c r="D32" s="172"/>
      <c r="E32" s="23">
        <v>757</v>
      </c>
      <c r="F32" s="23">
        <f>DEMANDA_PREVISIÓN!E761</f>
        <v>41</v>
      </c>
      <c r="G32" s="101"/>
      <c r="H32" s="130">
        <v>0</v>
      </c>
      <c r="I32" s="128">
        <v>200</v>
      </c>
      <c r="J32" s="129">
        <v>200</v>
      </c>
      <c r="K32" s="101"/>
      <c r="L32" s="129">
        <v>20</v>
      </c>
      <c r="M32" s="143">
        <v>800</v>
      </c>
      <c r="Q32" s="141">
        <v>11.1760416666667</v>
      </c>
      <c r="R32" s="174"/>
    </row>
    <row r="33" spans="2:18">
      <c r="B33" s="176"/>
      <c r="C33" s="186"/>
      <c r="D33" s="172"/>
      <c r="E33" s="23">
        <v>758</v>
      </c>
      <c r="F33" s="23">
        <f>DEMANDA_PREVISIÓN!E762</f>
        <v>44</v>
      </c>
      <c r="G33" s="101"/>
      <c r="H33" s="130">
        <v>0</v>
      </c>
      <c r="I33" s="128">
        <v>200</v>
      </c>
      <c r="J33" s="129">
        <v>200</v>
      </c>
      <c r="K33" s="101"/>
      <c r="L33" s="129">
        <v>20</v>
      </c>
      <c r="M33" s="143">
        <v>800</v>
      </c>
      <c r="Q33" s="141">
        <v>11.1856481481482</v>
      </c>
      <c r="R33" s="174"/>
    </row>
    <row r="34" spans="2:18">
      <c r="B34" s="176"/>
      <c r="C34" s="186"/>
      <c r="D34" s="172"/>
      <c r="E34" s="23">
        <v>759</v>
      </c>
      <c r="F34" s="23">
        <f>DEMANDA_PREVISIÓN!E763</f>
        <v>34</v>
      </c>
      <c r="G34" s="101"/>
      <c r="H34" s="130">
        <v>0</v>
      </c>
      <c r="I34" s="128">
        <v>200</v>
      </c>
      <c r="J34" s="129">
        <v>200</v>
      </c>
      <c r="K34" s="101"/>
      <c r="L34" s="129">
        <v>20</v>
      </c>
      <c r="M34" s="143">
        <v>800</v>
      </c>
      <c r="Q34" s="141">
        <v>11.1952546296296</v>
      </c>
      <c r="R34" s="174"/>
    </row>
    <row r="35" spans="2:18">
      <c r="B35" s="176"/>
      <c r="C35" s="186"/>
      <c r="D35" s="172"/>
      <c r="E35" s="23">
        <v>760</v>
      </c>
      <c r="F35" s="23">
        <f>DEMANDA_PREVISIÓN!E764</f>
        <v>34</v>
      </c>
      <c r="G35" s="101"/>
      <c r="H35" s="130">
        <v>0</v>
      </c>
      <c r="I35" s="128">
        <v>200</v>
      </c>
      <c r="J35" s="129">
        <v>200</v>
      </c>
      <c r="K35" s="101"/>
      <c r="L35" s="129">
        <v>20</v>
      </c>
      <c r="M35" s="143">
        <v>800</v>
      </c>
      <c r="Q35" s="141">
        <v>11.2048611111111</v>
      </c>
      <c r="R35" s="174"/>
    </row>
    <row r="36" spans="2:18">
      <c r="B36" s="176"/>
      <c r="C36" s="186"/>
      <c r="D36" s="173"/>
      <c r="E36" s="23">
        <v>761</v>
      </c>
      <c r="F36" s="23">
        <f>DEMANDA_PREVISIÓN!E765</f>
        <v>49</v>
      </c>
      <c r="G36" s="101"/>
      <c r="H36" s="130">
        <v>0</v>
      </c>
      <c r="I36" s="128">
        <v>200</v>
      </c>
      <c r="J36" s="129">
        <v>200</v>
      </c>
      <c r="K36" s="101"/>
      <c r="L36" s="129">
        <v>20</v>
      </c>
      <c r="M36" s="143">
        <v>800</v>
      </c>
      <c r="Q36" s="141">
        <v>11.2144675925926</v>
      </c>
      <c r="R36" s="174"/>
    </row>
    <row r="37" spans="2:18">
      <c r="B37" s="176"/>
      <c r="C37" s="186"/>
      <c r="D37" s="171" t="s">
        <v>42</v>
      </c>
      <c r="E37" s="23">
        <v>762</v>
      </c>
      <c r="F37" s="23">
        <f>DEMANDA_PREVISIÓN!E766</f>
        <v>41</v>
      </c>
      <c r="G37" s="101"/>
      <c r="H37" s="128">
        <v>200</v>
      </c>
      <c r="I37" s="23"/>
      <c r="J37" s="129">
        <v>200</v>
      </c>
      <c r="K37" s="101"/>
      <c r="L37" s="129">
        <v>20</v>
      </c>
      <c r="M37" s="143">
        <v>800</v>
      </c>
      <c r="Q37" s="141">
        <v>11.2240740740741</v>
      </c>
      <c r="R37" s="174"/>
    </row>
    <row r="38" spans="2:18">
      <c r="B38" s="176"/>
      <c r="C38" s="186"/>
      <c r="D38" s="172"/>
      <c r="E38" s="23">
        <v>763</v>
      </c>
      <c r="F38" s="23">
        <f>DEMANDA_PREVISIÓN!E767</f>
        <v>40</v>
      </c>
      <c r="G38" s="101"/>
      <c r="H38" s="23">
        <f>H37-F38</f>
        <v>160</v>
      </c>
      <c r="I38" s="23"/>
      <c r="J38" s="129">
        <v>200</v>
      </c>
      <c r="K38" s="101"/>
      <c r="L38" s="129">
        <v>20</v>
      </c>
      <c r="M38" s="143">
        <v>800</v>
      </c>
      <c r="Q38" s="141">
        <v>11.233680555555599</v>
      </c>
      <c r="R38" s="174"/>
    </row>
    <row r="39" spans="2:18">
      <c r="B39" s="176"/>
      <c r="C39" s="186"/>
      <c r="D39" s="172"/>
      <c r="E39" s="23">
        <v>764</v>
      </c>
      <c r="F39" s="23">
        <f>DEMANDA_PREVISIÓN!E768</f>
        <v>46</v>
      </c>
      <c r="G39" s="101"/>
      <c r="H39" s="23">
        <f>H38-F39</f>
        <v>114</v>
      </c>
      <c r="I39" s="23"/>
      <c r="J39" s="129">
        <v>200</v>
      </c>
      <c r="K39" s="101"/>
      <c r="L39" s="129">
        <v>20</v>
      </c>
      <c r="M39" s="143">
        <v>800</v>
      </c>
      <c r="Q39" s="141">
        <v>11.243287037037099</v>
      </c>
      <c r="R39" s="174"/>
    </row>
    <row r="40" spans="2:18" ht="16.149999999999999" customHeight="1">
      <c r="B40" s="176"/>
      <c r="C40" s="186"/>
      <c r="D40" s="172"/>
      <c r="E40" s="23">
        <v>765</v>
      </c>
      <c r="F40" s="23">
        <f>DEMANDA_PREVISIÓN!E769</f>
        <v>31</v>
      </c>
      <c r="G40" s="101"/>
      <c r="H40" s="23">
        <f>H39-F40</f>
        <v>83</v>
      </c>
      <c r="I40" s="129">
        <v>200</v>
      </c>
      <c r="J40" s="129">
        <v>200</v>
      </c>
      <c r="K40" s="101"/>
      <c r="L40" s="129">
        <v>20</v>
      </c>
      <c r="M40" s="143">
        <v>800</v>
      </c>
      <c r="Q40" s="141">
        <v>11.2528935185185</v>
      </c>
      <c r="R40" s="174"/>
    </row>
    <row r="41" spans="2:18">
      <c r="B41" s="176"/>
      <c r="C41" s="186"/>
      <c r="D41" s="172"/>
      <c r="E41" s="23">
        <v>766</v>
      </c>
      <c r="F41" s="23">
        <f>DEMANDA_PREVISIÓN!E770</f>
        <v>38</v>
      </c>
      <c r="G41" s="101"/>
      <c r="H41" s="23">
        <f>H40-F41</f>
        <v>45</v>
      </c>
      <c r="I41" s="129">
        <v>200</v>
      </c>
      <c r="J41" s="131">
        <v>200</v>
      </c>
      <c r="K41" s="101"/>
      <c r="L41" s="131">
        <v>20</v>
      </c>
      <c r="M41" s="143">
        <v>800</v>
      </c>
      <c r="Q41" s="141">
        <v>11.262499999999999</v>
      </c>
      <c r="R41" s="174"/>
    </row>
    <row r="42" spans="2:18">
      <c r="B42" s="176"/>
      <c r="C42" s="186"/>
      <c r="D42" s="172"/>
      <c r="E42" s="23">
        <v>767</v>
      </c>
      <c r="F42" s="23">
        <f>DEMANDA_PREVISIÓN!E771</f>
        <v>39</v>
      </c>
      <c r="G42" s="101"/>
      <c r="H42" s="23">
        <f>H41-F42</f>
        <v>6</v>
      </c>
      <c r="I42" s="129">
        <v>200</v>
      </c>
      <c r="J42" s="131">
        <v>200</v>
      </c>
      <c r="K42" s="101"/>
      <c r="L42" s="131">
        <v>20</v>
      </c>
      <c r="M42" s="143">
        <v>800</v>
      </c>
      <c r="Q42" s="141">
        <v>11.272106481481501</v>
      </c>
      <c r="R42" s="174"/>
    </row>
    <row r="43" spans="2:18" ht="16.149999999999999" customHeight="1">
      <c r="B43" s="176"/>
      <c r="C43" s="186"/>
      <c r="D43" s="172"/>
      <c r="E43" s="23">
        <v>768</v>
      </c>
      <c r="F43" s="23">
        <f>DEMANDA_PREVISIÓN!E772</f>
        <v>40</v>
      </c>
      <c r="G43" s="101"/>
      <c r="H43" s="130">
        <v>0</v>
      </c>
      <c r="I43" s="129">
        <v>200</v>
      </c>
      <c r="J43" s="131">
        <v>200</v>
      </c>
      <c r="K43" s="101"/>
      <c r="L43" s="131">
        <v>20</v>
      </c>
      <c r="M43" s="143">
        <v>800</v>
      </c>
      <c r="Q43" s="141">
        <v>11.281712962963001</v>
      </c>
      <c r="R43" s="174"/>
    </row>
    <row r="44" spans="2:18">
      <c r="B44" s="176"/>
      <c r="C44" s="186"/>
      <c r="D44" s="172"/>
      <c r="E44" s="23">
        <v>769</v>
      </c>
      <c r="F44" s="23">
        <f>DEMANDA_PREVISIÓN!E773</f>
        <v>48</v>
      </c>
      <c r="G44" s="101"/>
      <c r="H44" s="130">
        <v>0</v>
      </c>
      <c r="I44" s="129">
        <v>200</v>
      </c>
      <c r="J44" s="131">
        <v>200</v>
      </c>
      <c r="K44" s="101"/>
      <c r="L44" s="131">
        <v>20</v>
      </c>
      <c r="M44" s="143">
        <v>800</v>
      </c>
      <c r="Q44" s="141">
        <v>11.2913194444445</v>
      </c>
      <c r="R44" s="174"/>
    </row>
    <row r="45" spans="2:18" ht="16.149999999999999" customHeight="1">
      <c r="B45" s="176"/>
      <c r="C45" s="186"/>
      <c r="D45" s="172"/>
      <c r="E45" s="23">
        <v>770</v>
      </c>
      <c r="F45" s="23">
        <f>DEMANDA_PREVISIÓN!E774</f>
        <v>39</v>
      </c>
      <c r="G45" s="101"/>
      <c r="H45" s="130">
        <v>0</v>
      </c>
      <c r="I45" s="129">
        <v>200</v>
      </c>
      <c r="J45" s="131">
        <v>200</v>
      </c>
      <c r="K45" s="101"/>
      <c r="L45" s="131">
        <v>20</v>
      </c>
      <c r="M45" s="143">
        <v>800</v>
      </c>
      <c r="Q45" s="141">
        <v>11.300925925925901</v>
      </c>
      <c r="R45" s="174"/>
    </row>
    <row r="46" spans="2:18">
      <c r="B46" s="176"/>
      <c r="C46" s="186"/>
      <c r="D46" s="172"/>
      <c r="E46" s="23">
        <v>771</v>
      </c>
      <c r="F46" s="23">
        <f>DEMANDA_PREVISIÓN!E775</f>
        <v>42</v>
      </c>
      <c r="G46" s="101"/>
      <c r="H46" s="130">
        <v>0</v>
      </c>
      <c r="I46" s="129">
        <v>200</v>
      </c>
      <c r="J46" s="131">
        <v>200</v>
      </c>
      <c r="K46" s="101"/>
      <c r="L46" s="131">
        <v>20</v>
      </c>
      <c r="M46" s="143">
        <v>800</v>
      </c>
      <c r="Q46" s="141">
        <v>11.310532407407401</v>
      </c>
      <c r="R46" s="174"/>
    </row>
    <row r="47" spans="2:18">
      <c r="B47" s="176"/>
      <c r="C47" s="186"/>
      <c r="D47" s="172"/>
      <c r="E47" s="23">
        <v>772</v>
      </c>
      <c r="F47" s="23">
        <f>DEMANDA_PREVISIÓN!E776</f>
        <v>43</v>
      </c>
      <c r="G47" s="101"/>
      <c r="H47" s="129">
        <v>200</v>
      </c>
      <c r="I47" s="23"/>
      <c r="J47" s="131">
        <v>200</v>
      </c>
      <c r="K47" s="101"/>
      <c r="L47" s="131">
        <v>20</v>
      </c>
      <c r="M47" s="143">
        <v>800</v>
      </c>
      <c r="Q47" s="141">
        <v>11.3201388888889</v>
      </c>
      <c r="R47" s="174"/>
    </row>
    <row r="48" spans="2:18" ht="16.149999999999999" customHeight="1">
      <c r="B48" s="176"/>
      <c r="C48" s="186"/>
      <c r="D48" s="172"/>
      <c r="E48" s="23">
        <v>773</v>
      </c>
      <c r="F48" s="23">
        <f>DEMANDA_PREVISIÓN!E777</f>
        <v>48</v>
      </c>
      <c r="G48" s="101"/>
      <c r="H48" s="23">
        <f>H47-F48</f>
        <v>152</v>
      </c>
      <c r="I48" s="23"/>
      <c r="J48" s="131">
        <v>200</v>
      </c>
      <c r="K48" s="101"/>
      <c r="L48" s="131">
        <v>20</v>
      </c>
      <c r="M48" s="143">
        <v>800</v>
      </c>
      <c r="Q48" s="141">
        <v>11.3297453703704</v>
      </c>
      <c r="R48" s="174"/>
    </row>
    <row r="49" spans="2:18">
      <c r="B49" s="176"/>
      <c r="C49" s="186"/>
      <c r="D49" s="172"/>
      <c r="E49" s="23">
        <v>774</v>
      </c>
      <c r="F49" s="23">
        <f>DEMANDA_PREVISIÓN!E778</f>
        <v>45</v>
      </c>
      <c r="G49" s="101"/>
      <c r="H49" s="23">
        <f>H48-F49</f>
        <v>107</v>
      </c>
      <c r="I49" s="23"/>
      <c r="J49" s="131">
        <v>200</v>
      </c>
      <c r="K49" s="101"/>
      <c r="L49" s="131">
        <v>20</v>
      </c>
      <c r="M49" s="143">
        <v>800</v>
      </c>
      <c r="Q49" s="141">
        <v>11.3393518518519</v>
      </c>
      <c r="R49" s="174"/>
    </row>
    <row r="50" spans="2:18">
      <c r="B50" s="176"/>
      <c r="C50" s="186"/>
      <c r="D50" s="172"/>
      <c r="E50" s="23">
        <v>775</v>
      </c>
      <c r="F50" s="23">
        <f>DEMANDA_PREVISIÓN!E779</f>
        <v>53</v>
      </c>
      <c r="G50" s="101"/>
      <c r="H50" s="23">
        <f>H49-F50</f>
        <v>54</v>
      </c>
      <c r="I50" s="131">
        <v>200</v>
      </c>
      <c r="J50" s="131">
        <v>200</v>
      </c>
      <c r="K50" s="101"/>
      <c r="L50" s="131">
        <v>20</v>
      </c>
      <c r="M50" s="143">
        <v>800</v>
      </c>
      <c r="Q50" s="141">
        <v>11.3489583333334</v>
      </c>
      <c r="R50" s="174"/>
    </row>
    <row r="51" spans="2:18" ht="16.149999999999999" customHeight="1">
      <c r="B51" s="176"/>
      <c r="C51" s="186"/>
      <c r="D51" s="172"/>
      <c r="E51" s="23">
        <v>776</v>
      </c>
      <c r="F51" s="23">
        <f>DEMANDA_PREVISIÓN!E780</f>
        <v>27</v>
      </c>
      <c r="G51" s="101"/>
      <c r="H51" s="23">
        <f>H50-F51</f>
        <v>27</v>
      </c>
      <c r="I51" s="131">
        <v>200</v>
      </c>
      <c r="J51" s="126">
        <v>200</v>
      </c>
      <c r="K51" s="101"/>
      <c r="L51" s="126">
        <v>20</v>
      </c>
      <c r="M51" s="143">
        <v>800</v>
      </c>
      <c r="Q51" s="141">
        <v>11.3585648148148</v>
      </c>
      <c r="R51" s="174"/>
    </row>
    <row r="52" spans="2:18">
      <c r="B52" s="176"/>
      <c r="C52" s="186"/>
      <c r="D52" s="172"/>
      <c r="E52" s="23">
        <v>777</v>
      </c>
      <c r="F52" s="23">
        <f>DEMANDA_PREVISIÓN!E781</f>
        <v>38</v>
      </c>
      <c r="G52" s="101"/>
      <c r="H52" s="130">
        <v>0</v>
      </c>
      <c r="I52" s="131">
        <v>200</v>
      </c>
      <c r="J52" s="126">
        <v>200</v>
      </c>
      <c r="K52" s="101"/>
      <c r="L52" s="126">
        <v>20</v>
      </c>
      <c r="M52" s="143">
        <v>800</v>
      </c>
      <c r="Q52" s="141">
        <v>11.3681712962963</v>
      </c>
      <c r="R52" s="174"/>
    </row>
    <row r="53" spans="2:18">
      <c r="B53" s="176"/>
      <c r="C53" s="186"/>
      <c r="D53" s="172"/>
      <c r="E53" s="23">
        <v>778</v>
      </c>
      <c r="F53" s="23">
        <f>DEMANDA_PREVISIÓN!E782</f>
        <v>40</v>
      </c>
      <c r="G53" s="101"/>
      <c r="H53" s="130">
        <v>0</v>
      </c>
      <c r="I53" s="131">
        <v>200</v>
      </c>
      <c r="J53" s="126">
        <v>200</v>
      </c>
      <c r="K53" s="101"/>
      <c r="L53" s="126">
        <v>20</v>
      </c>
      <c r="M53" s="143">
        <v>800</v>
      </c>
      <c r="Q53" s="141">
        <v>11.3777777777778</v>
      </c>
      <c r="R53" s="174"/>
    </row>
    <row r="54" spans="2:18">
      <c r="B54" s="176"/>
      <c r="C54" s="186"/>
      <c r="D54" s="172"/>
      <c r="E54" s="23">
        <v>779</v>
      </c>
      <c r="F54" s="23">
        <f>DEMANDA_PREVISIÓN!E783</f>
        <v>38</v>
      </c>
      <c r="G54" s="101"/>
      <c r="H54" s="130">
        <v>0</v>
      </c>
      <c r="I54" s="131">
        <v>200</v>
      </c>
      <c r="J54" s="126">
        <v>200</v>
      </c>
      <c r="K54" s="101"/>
      <c r="L54" s="126">
        <v>20</v>
      </c>
      <c r="M54" s="143">
        <v>800</v>
      </c>
      <c r="Q54" s="141">
        <v>11.387384259259299</v>
      </c>
      <c r="R54" s="174"/>
    </row>
    <row r="55" spans="2:18">
      <c r="B55" s="176"/>
      <c r="C55" s="186"/>
      <c r="D55" s="172"/>
      <c r="E55" s="23">
        <v>780</v>
      </c>
      <c r="F55" s="23">
        <f>DEMANDA_PREVISIÓN!E784</f>
        <v>40</v>
      </c>
      <c r="G55" s="101"/>
      <c r="H55" s="130">
        <v>0</v>
      </c>
      <c r="I55" s="131">
        <v>200</v>
      </c>
      <c r="J55" s="126">
        <v>200</v>
      </c>
      <c r="K55" s="101"/>
      <c r="L55" s="126">
        <v>20</v>
      </c>
      <c r="M55" s="143">
        <v>800</v>
      </c>
      <c r="Q55" s="141">
        <v>11.396990740740801</v>
      </c>
      <c r="R55" s="174"/>
    </row>
    <row r="56" spans="2:18">
      <c r="B56" s="176"/>
      <c r="C56" s="186"/>
      <c r="D56" s="172"/>
      <c r="E56" s="23">
        <v>781</v>
      </c>
      <c r="F56" s="23">
        <f>DEMANDA_PREVISIÓN!E785</f>
        <v>36</v>
      </c>
      <c r="G56" s="101"/>
      <c r="H56" s="130">
        <v>0</v>
      </c>
      <c r="I56" s="131">
        <v>200</v>
      </c>
      <c r="J56" s="126">
        <v>200</v>
      </c>
      <c r="K56" s="101"/>
      <c r="L56" s="126">
        <v>20</v>
      </c>
      <c r="M56" s="143">
        <v>800</v>
      </c>
      <c r="Q56" s="141">
        <v>11.406597222222199</v>
      </c>
      <c r="R56" s="174"/>
    </row>
    <row r="57" spans="2:18">
      <c r="B57" s="176"/>
      <c r="C57" s="186"/>
      <c r="D57" s="172"/>
      <c r="E57" s="23">
        <v>782</v>
      </c>
      <c r="F57" s="23">
        <f>DEMANDA_PREVISIÓN!E786</f>
        <v>45</v>
      </c>
      <c r="G57" s="101"/>
      <c r="H57" s="131">
        <v>200</v>
      </c>
      <c r="I57" s="23"/>
      <c r="J57" s="126">
        <v>200</v>
      </c>
      <c r="K57" s="101"/>
      <c r="L57" s="126">
        <v>20</v>
      </c>
      <c r="M57" s="143">
        <v>800</v>
      </c>
      <c r="Q57" s="141">
        <v>11.416203703703699</v>
      </c>
      <c r="R57" s="174"/>
    </row>
    <row r="58" spans="2:18">
      <c r="B58" s="176"/>
      <c r="C58" s="186"/>
      <c r="D58" s="172"/>
      <c r="E58" s="23">
        <v>783</v>
      </c>
      <c r="F58" s="23">
        <f>DEMANDA_PREVISIÓN!E787</f>
        <v>38</v>
      </c>
      <c r="G58" s="101"/>
      <c r="H58" s="23">
        <f>H57-F58</f>
        <v>162</v>
      </c>
      <c r="I58" s="23"/>
      <c r="J58" s="126">
        <v>200</v>
      </c>
      <c r="K58" s="101"/>
      <c r="L58" s="126">
        <v>20</v>
      </c>
      <c r="M58" s="143">
        <v>800</v>
      </c>
      <c r="Q58" s="141">
        <v>11.425810185185201</v>
      </c>
      <c r="R58" s="174"/>
    </row>
    <row r="59" spans="2:18">
      <c r="B59" s="176"/>
      <c r="C59" s="186"/>
      <c r="D59" s="172"/>
      <c r="E59" s="23">
        <v>784</v>
      </c>
      <c r="F59" s="23">
        <f>DEMANDA_PREVISIÓN!E788</f>
        <v>36</v>
      </c>
      <c r="G59" s="101"/>
      <c r="H59" s="23">
        <f>H58-F59</f>
        <v>126</v>
      </c>
      <c r="I59" s="23"/>
      <c r="J59" s="126">
        <v>200</v>
      </c>
      <c r="K59" s="101"/>
      <c r="L59" s="126">
        <v>20</v>
      </c>
      <c r="M59" s="143">
        <v>800</v>
      </c>
      <c r="Q59" s="141">
        <v>11.435416666666701</v>
      </c>
      <c r="R59" s="174"/>
    </row>
    <row r="60" spans="2:18">
      <c r="B60" s="176"/>
      <c r="C60" s="186"/>
      <c r="D60" s="172"/>
      <c r="E60" s="23">
        <v>785</v>
      </c>
      <c r="F60" s="23">
        <f>DEMANDA_PREVISIÓN!E789</f>
        <v>51</v>
      </c>
      <c r="G60" s="101"/>
      <c r="H60" s="23">
        <f>H59-F60</f>
        <v>75</v>
      </c>
      <c r="I60" s="126">
        <v>200</v>
      </c>
      <c r="J60" s="126">
        <v>200</v>
      </c>
      <c r="K60" s="101"/>
      <c r="L60" s="126">
        <v>20</v>
      </c>
      <c r="M60" s="143">
        <v>800</v>
      </c>
      <c r="Q60" s="141">
        <v>11.4450231481482</v>
      </c>
      <c r="R60" s="174"/>
    </row>
    <row r="61" spans="2:18">
      <c r="B61" s="176"/>
      <c r="C61" s="186"/>
      <c r="D61" s="172"/>
      <c r="E61" s="23">
        <v>786</v>
      </c>
      <c r="F61" s="23">
        <f>DEMANDA_PREVISIÓN!E790</f>
        <v>45</v>
      </c>
      <c r="G61" s="101"/>
      <c r="H61" s="23">
        <f>H60-F61</f>
        <v>30</v>
      </c>
      <c r="I61" s="126">
        <v>200</v>
      </c>
      <c r="J61" s="132">
        <v>200</v>
      </c>
      <c r="K61" s="101"/>
      <c r="L61" s="132">
        <v>20</v>
      </c>
      <c r="M61" s="143">
        <v>800</v>
      </c>
      <c r="Q61" s="141">
        <v>11.4546296296297</v>
      </c>
      <c r="R61" s="174"/>
    </row>
    <row r="62" spans="2:18">
      <c r="B62" s="176"/>
      <c r="C62" s="186"/>
      <c r="D62" s="172"/>
      <c r="E62" s="23">
        <v>787</v>
      </c>
      <c r="F62" s="23">
        <f>DEMANDA_PREVISIÓN!E791</f>
        <v>36</v>
      </c>
      <c r="G62" s="101"/>
      <c r="H62" s="130">
        <v>0</v>
      </c>
      <c r="I62" s="126">
        <v>200</v>
      </c>
      <c r="J62" s="132">
        <v>200</v>
      </c>
      <c r="K62" s="101"/>
      <c r="L62" s="132">
        <v>20</v>
      </c>
      <c r="M62" s="143">
        <v>800</v>
      </c>
      <c r="Q62" s="141">
        <v>11.4642361111111</v>
      </c>
      <c r="R62" s="174"/>
    </row>
    <row r="63" spans="2:18">
      <c r="B63" s="176"/>
      <c r="C63" s="186"/>
      <c r="D63" s="172"/>
      <c r="E63" s="23">
        <v>788</v>
      </c>
      <c r="F63" s="23">
        <f>DEMANDA_PREVISIÓN!E792</f>
        <v>40</v>
      </c>
      <c r="G63" s="101"/>
      <c r="H63" s="130">
        <v>0</v>
      </c>
      <c r="I63" s="126">
        <v>200</v>
      </c>
      <c r="J63" s="132">
        <v>200</v>
      </c>
      <c r="K63" s="101"/>
      <c r="L63" s="132">
        <v>20</v>
      </c>
      <c r="M63" s="143">
        <v>800</v>
      </c>
      <c r="Q63" s="141">
        <v>11.4738425925926</v>
      </c>
      <c r="R63" s="174"/>
    </row>
    <row r="64" spans="2:18">
      <c r="B64" s="176"/>
      <c r="C64" s="186"/>
      <c r="D64" s="173"/>
      <c r="E64" s="23">
        <v>789</v>
      </c>
      <c r="F64" s="23">
        <f>DEMANDA_PREVISIÓN!E793</f>
        <v>42</v>
      </c>
      <c r="G64" s="101"/>
      <c r="H64" s="130">
        <v>0</v>
      </c>
      <c r="I64" s="126">
        <v>200</v>
      </c>
      <c r="J64" s="132">
        <v>200</v>
      </c>
      <c r="K64" s="101"/>
      <c r="L64" s="132">
        <v>20</v>
      </c>
      <c r="M64" s="143">
        <v>800</v>
      </c>
      <c r="Q64" s="141">
        <v>11.4834490740741</v>
      </c>
      <c r="R64" s="174"/>
    </row>
    <row r="65" spans="2:18">
      <c r="B65" s="176"/>
      <c r="C65" s="186"/>
      <c r="D65" s="171" t="s">
        <v>43</v>
      </c>
      <c r="E65" s="23">
        <v>790</v>
      </c>
      <c r="F65" s="23">
        <f>DEMANDA_PREVISIÓN!E794</f>
        <v>39</v>
      </c>
      <c r="G65" s="101"/>
      <c r="H65" s="130">
        <v>0</v>
      </c>
      <c r="I65" s="126">
        <v>200</v>
      </c>
      <c r="J65" s="132">
        <v>200</v>
      </c>
      <c r="K65" s="101"/>
      <c r="L65" s="132">
        <v>20</v>
      </c>
      <c r="M65" s="143">
        <v>800</v>
      </c>
      <c r="Q65" s="141">
        <v>11.4930555555556</v>
      </c>
      <c r="R65" s="174"/>
    </row>
    <row r="66" spans="2:18">
      <c r="B66" s="176"/>
      <c r="C66" s="186"/>
      <c r="D66" s="172"/>
      <c r="E66" s="23">
        <v>791</v>
      </c>
      <c r="F66" s="23">
        <f>DEMANDA_PREVISIÓN!E795</f>
        <v>37</v>
      </c>
      <c r="G66" s="101"/>
      <c r="H66" s="130">
        <v>0</v>
      </c>
      <c r="I66" s="126">
        <v>200</v>
      </c>
      <c r="J66" s="132">
        <v>200</v>
      </c>
      <c r="K66" s="101"/>
      <c r="L66" s="132">
        <v>20</v>
      </c>
      <c r="M66" s="143">
        <v>800</v>
      </c>
      <c r="Q66" s="141">
        <v>11.5026620370371</v>
      </c>
      <c r="R66" s="174"/>
    </row>
    <row r="67" spans="2:18">
      <c r="B67" s="176"/>
      <c r="C67" s="186"/>
      <c r="D67" s="172"/>
      <c r="E67" s="23">
        <v>792</v>
      </c>
      <c r="F67" s="23">
        <f>DEMANDA_PREVISIÓN!E796</f>
        <v>35</v>
      </c>
      <c r="G67" s="101"/>
      <c r="H67" s="126">
        <v>200</v>
      </c>
      <c r="I67" s="23"/>
      <c r="J67" s="132">
        <v>200</v>
      </c>
      <c r="K67" s="101"/>
      <c r="L67" s="132">
        <v>20</v>
      </c>
      <c r="M67" s="143">
        <v>800</v>
      </c>
      <c r="Q67" s="141">
        <v>11.512268518518599</v>
      </c>
      <c r="R67" s="174"/>
    </row>
    <row r="68" spans="2:18">
      <c r="B68" s="176"/>
      <c r="C68" s="186"/>
      <c r="D68" s="172"/>
      <c r="E68" s="23">
        <v>793</v>
      </c>
      <c r="F68" s="23">
        <f>DEMANDA_PREVISIÓN!E797</f>
        <v>39</v>
      </c>
      <c r="G68" s="101"/>
      <c r="H68" s="23">
        <f>H67-F68</f>
        <v>161</v>
      </c>
      <c r="I68" s="23"/>
      <c r="J68" s="132">
        <v>200</v>
      </c>
      <c r="K68" s="101"/>
      <c r="L68" s="132">
        <v>20</v>
      </c>
      <c r="M68" s="143">
        <v>800</v>
      </c>
      <c r="Q68" s="141">
        <v>11.521875</v>
      </c>
      <c r="R68" s="174"/>
    </row>
    <row r="69" spans="2:18">
      <c r="B69" s="176"/>
      <c r="C69" s="186"/>
      <c r="D69" s="172"/>
      <c r="E69" s="23">
        <v>794</v>
      </c>
      <c r="F69" s="23">
        <f>DEMANDA_PREVISIÓN!E798</f>
        <v>39</v>
      </c>
      <c r="G69" s="101"/>
      <c r="H69" s="23">
        <f>H68-F69</f>
        <v>122</v>
      </c>
      <c r="I69" s="23"/>
      <c r="J69" s="132">
        <v>200</v>
      </c>
      <c r="K69" s="101"/>
      <c r="L69" s="132">
        <v>20</v>
      </c>
      <c r="M69" s="143">
        <v>800</v>
      </c>
      <c r="Q69" s="141">
        <v>11.531481481481499</v>
      </c>
      <c r="R69" s="174"/>
    </row>
    <row r="70" spans="2:18">
      <c r="B70" s="176"/>
      <c r="C70" s="186"/>
      <c r="D70" s="172"/>
      <c r="E70" s="23">
        <v>795</v>
      </c>
      <c r="F70" s="23">
        <f>DEMANDA_PREVISIÓN!E799</f>
        <v>45</v>
      </c>
      <c r="G70" s="101"/>
      <c r="H70" s="23">
        <f>H69-F70</f>
        <v>77</v>
      </c>
      <c r="I70" s="132">
        <v>200</v>
      </c>
      <c r="J70" s="132">
        <v>200</v>
      </c>
      <c r="K70" s="101"/>
      <c r="L70" s="132">
        <v>20</v>
      </c>
      <c r="M70" s="143">
        <v>800</v>
      </c>
      <c r="Q70" s="141">
        <v>11.541087962962999</v>
      </c>
      <c r="R70" s="174"/>
    </row>
    <row r="71" spans="2:18">
      <c r="B71" s="176"/>
      <c r="C71" s="186"/>
      <c r="D71" s="172"/>
      <c r="E71" s="23">
        <v>796</v>
      </c>
      <c r="F71" s="23">
        <f>DEMANDA_PREVISIÓN!E800</f>
        <v>34</v>
      </c>
      <c r="G71" s="101"/>
      <c r="H71" s="23">
        <f>H70-F71</f>
        <v>43</v>
      </c>
      <c r="I71" s="132">
        <v>200</v>
      </c>
      <c r="J71" s="128">
        <v>200</v>
      </c>
      <c r="K71" s="101"/>
      <c r="L71" s="128">
        <v>20</v>
      </c>
      <c r="M71" s="143">
        <v>800</v>
      </c>
      <c r="Q71" s="141">
        <v>11.550694444444501</v>
      </c>
      <c r="R71" s="174"/>
    </row>
    <row r="72" spans="2:18">
      <c r="B72" s="176"/>
      <c r="C72" s="186"/>
      <c r="D72" s="172"/>
      <c r="E72" s="23">
        <v>797</v>
      </c>
      <c r="F72" s="23">
        <f>DEMANDA_PREVISIÓN!E801</f>
        <v>51</v>
      </c>
      <c r="G72" s="101"/>
      <c r="H72" s="130">
        <v>0</v>
      </c>
      <c r="I72" s="132">
        <v>200</v>
      </c>
      <c r="J72" s="128">
        <v>200</v>
      </c>
      <c r="K72" s="101"/>
      <c r="L72" s="128">
        <v>20</v>
      </c>
      <c r="M72" s="143">
        <v>800</v>
      </c>
      <c r="Q72" s="141">
        <v>11.560300925926001</v>
      </c>
      <c r="R72" s="174"/>
    </row>
    <row r="73" spans="2:18">
      <c r="B73" s="176"/>
      <c r="C73" s="186"/>
      <c r="D73" s="172"/>
      <c r="E73" s="23">
        <v>798</v>
      </c>
      <c r="F73" s="23">
        <f>DEMANDA_PREVISIÓN!E802</f>
        <v>36</v>
      </c>
      <c r="G73" s="101"/>
      <c r="H73" s="130">
        <v>0</v>
      </c>
      <c r="I73" s="132">
        <v>200</v>
      </c>
      <c r="J73" s="128">
        <v>200</v>
      </c>
      <c r="K73" s="101"/>
      <c r="L73" s="128">
        <v>20</v>
      </c>
      <c r="M73" s="143">
        <v>800</v>
      </c>
      <c r="Q73" s="141">
        <v>11.569907407407401</v>
      </c>
      <c r="R73" s="174"/>
    </row>
    <row r="74" spans="2:18">
      <c r="B74" s="176"/>
      <c r="C74" s="186"/>
      <c r="D74" s="172"/>
      <c r="E74" s="23">
        <v>799</v>
      </c>
      <c r="F74" s="23">
        <f>DEMANDA_PREVISIÓN!E803</f>
        <v>37</v>
      </c>
      <c r="G74" s="101"/>
      <c r="H74" s="130">
        <v>0</v>
      </c>
      <c r="I74" s="132">
        <v>200</v>
      </c>
      <c r="J74" s="128">
        <v>200</v>
      </c>
      <c r="K74" s="101"/>
      <c r="L74" s="128">
        <v>20</v>
      </c>
      <c r="M74" s="143">
        <v>800</v>
      </c>
      <c r="Q74" s="141">
        <v>11.579513888888901</v>
      </c>
      <c r="R74" s="174"/>
    </row>
    <row r="75" spans="2:18">
      <c r="B75" s="176"/>
      <c r="C75" s="186"/>
      <c r="D75" s="172"/>
      <c r="E75" s="23">
        <v>800</v>
      </c>
      <c r="F75" s="23">
        <f>DEMANDA_PREVISIÓN!E804</f>
        <v>47</v>
      </c>
      <c r="G75" s="101"/>
      <c r="H75" s="130">
        <v>0</v>
      </c>
      <c r="I75" s="132">
        <v>200</v>
      </c>
      <c r="J75" s="128">
        <v>200</v>
      </c>
      <c r="K75" s="101"/>
      <c r="L75" s="128">
        <v>20</v>
      </c>
      <c r="M75" s="143">
        <v>800</v>
      </c>
      <c r="Q75" s="141">
        <v>11.5891203703704</v>
      </c>
      <c r="R75" s="174"/>
    </row>
    <row r="76" spans="2:18">
      <c r="B76" s="176"/>
      <c r="C76" s="186"/>
      <c r="D76" s="172"/>
      <c r="E76" s="23">
        <v>801</v>
      </c>
      <c r="F76" s="23">
        <f>DEMANDA_PREVISIÓN!E805</f>
        <v>41</v>
      </c>
      <c r="G76" s="101"/>
      <c r="H76" s="130">
        <v>0</v>
      </c>
      <c r="I76" s="132">
        <v>200</v>
      </c>
      <c r="J76" s="128">
        <v>200</v>
      </c>
      <c r="K76" s="101"/>
      <c r="L76" s="128">
        <v>20</v>
      </c>
      <c r="M76" s="143">
        <v>800</v>
      </c>
      <c r="Q76" s="141">
        <v>11.5987268518519</v>
      </c>
      <c r="R76" s="174"/>
    </row>
    <row r="77" spans="2:18">
      <c r="B77" s="176"/>
      <c r="C77" s="186"/>
      <c r="D77" s="172"/>
      <c r="E77" s="23">
        <v>802</v>
      </c>
      <c r="F77" s="23">
        <f>DEMANDA_PREVISIÓN!E806</f>
        <v>41</v>
      </c>
      <c r="G77" s="101"/>
      <c r="H77" s="132">
        <v>200</v>
      </c>
      <c r="I77" s="23"/>
      <c r="J77" s="128">
        <v>200</v>
      </c>
      <c r="K77" s="101"/>
      <c r="L77" s="128">
        <v>20</v>
      </c>
      <c r="M77" s="143">
        <v>800</v>
      </c>
      <c r="Q77" s="141">
        <v>11.6083333333334</v>
      </c>
      <c r="R77" s="174"/>
    </row>
    <row r="78" spans="2:18">
      <c r="B78" s="176"/>
      <c r="C78" s="186"/>
      <c r="D78" s="172"/>
      <c r="E78" s="23">
        <v>803</v>
      </c>
      <c r="F78" s="23">
        <f>DEMANDA_PREVISIÓN!E807</f>
        <v>42</v>
      </c>
      <c r="G78" s="101"/>
      <c r="H78" s="23">
        <f>H77-F78</f>
        <v>158</v>
      </c>
      <c r="I78" s="23"/>
      <c r="J78" s="128">
        <v>200</v>
      </c>
      <c r="K78" s="101"/>
      <c r="L78" s="128">
        <v>20</v>
      </c>
      <c r="M78" s="143">
        <v>800</v>
      </c>
      <c r="Q78" s="141">
        <v>11.6179398148149</v>
      </c>
      <c r="R78" s="174"/>
    </row>
    <row r="79" spans="2:18">
      <c r="B79" s="176"/>
      <c r="C79" s="186"/>
      <c r="D79" s="172"/>
      <c r="E79" s="23">
        <v>804</v>
      </c>
      <c r="F79" s="23">
        <f>DEMANDA_PREVISIÓN!E808</f>
        <v>48</v>
      </c>
      <c r="G79" s="101"/>
      <c r="H79" s="23">
        <f>H78-F79</f>
        <v>110</v>
      </c>
      <c r="I79" s="23"/>
      <c r="J79" s="128">
        <v>200</v>
      </c>
      <c r="K79" s="101"/>
      <c r="L79" s="128">
        <v>20</v>
      </c>
      <c r="M79" s="143">
        <v>800</v>
      </c>
      <c r="Q79" s="141">
        <v>11.6275462962963</v>
      </c>
      <c r="R79" s="174"/>
    </row>
    <row r="80" spans="2:18">
      <c r="B80" s="176"/>
      <c r="C80" s="186"/>
      <c r="D80" s="172"/>
      <c r="E80" s="23">
        <v>805</v>
      </c>
      <c r="F80" s="23">
        <f>DEMANDA_PREVISIÓN!E809</f>
        <v>55</v>
      </c>
      <c r="G80" s="101"/>
      <c r="H80" s="23">
        <f>H79-F80</f>
        <v>55</v>
      </c>
      <c r="I80" s="128">
        <v>200</v>
      </c>
      <c r="J80" s="128">
        <v>200</v>
      </c>
      <c r="K80" s="101"/>
      <c r="L80" s="128">
        <v>20</v>
      </c>
      <c r="M80" s="143">
        <v>800</v>
      </c>
      <c r="Q80" s="141">
        <v>11.6371527777778</v>
      </c>
      <c r="R80" s="174"/>
    </row>
    <row r="81" spans="2:18">
      <c r="B81" s="176"/>
      <c r="C81" s="186"/>
      <c r="D81" s="172"/>
      <c r="E81" s="23">
        <v>806</v>
      </c>
      <c r="F81" s="23">
        <f>DEMANDA_PREVISIÓN!E810</f>
        <v>50</v>
      </c>
      <c r="G81" s="101"/>
      <c r="H81" s="23">
        <f>H80-F81</f>
        <v>5</v>
      </c>
      <c r="I81" s="128">
        <v>200</v>
      </c>
      <c r="J81" s="133">
        <v>200</v>
      </c>
      <c r="K81" s="101"/>
      <c r="L81" s="133">
        <v>20</v>
      </c>
      <c r="M81" s="143">
        <v>800</v>
      </c>
      <c r="Q81" s="141">
        <v>11.6467592592593</v>
      </c>
      <c r="R81" s="174"/>
    </row>
    <row r="82" spans="2:18">
      <c r="B82" s="176"/>
      <c r="C82" s="186"/>
      <c r="D82" s="172"/>
      <c r="E82" s="23">
        <v>807</v>
      </c>
      <c r="F82" s="23">
        <f>DEMANDA_PREVISIÓN!E811</f>
        <v>44</v>
      </c>
      <c r="G82" s="101"/>
      <c r="H82" s="130">
        <v>0</v>
      </c>
      <c r="I82" s="128">
        <v>200</v>
      </c>
      <c r="J82" s="133">
        <v>200</v>
      </c>
      <c r="K82" s="101"/>
      <c r="L82" s="133">
        <v>20</v>
      </c>
      <c r="M82" s="143">
        <v>800</v>
      </c>
      <c r="Q82" s="141">
        <v>11.656365740740799</v>
      </c>
      <c r="R82" s="174"/>
    </row>
    <row r="83" spans="2:18">
      <c r="B83" s="176"/>
      <c r="C83" s="186"/>
      <c r="D83" s="172"/>
      <c r="E83" s="23">
        <v>808</v>
      </c>
      <c r="F83" s="23">
        <f>DEMANDA_PREVISIÓN!E812</f>
        <v>41</v>
      </c>
      <c r="G83" s="101"/>
      <c r="H83" s="130">
        <v>0</v>
      </c>
      <c r="I83" s="128">
        <v>200</v>
      </c>
      <c r="J83" s="133">
        <v>200</v>
      </c>
      <c r="K83" s="101"/>
      <c r="L83" s="133">
        <v>20</v>
      </c>
      <c r="M83" s="143">
        <v>800</v>
      </c>
      <c r="Q83" s="141">
        <v>11.665972222222299</v>
      </c>
      <c r="R83" s="174"/>
    </row>
    <row r="84" spans="2:18">
      <c r="B84" s="176"/>
      <c r="C84" s="186"/>
      <c r="D84" s="172"/>
      <c r="E84" s="23">
        <v>809</v>
      </c>
      <c r="F84" s="23">
        <f>DEMANDA_PREVISIÓN!E813</f>
        <v>38</v>
      </c>
      <c r="G84" s="101"/>
      <c r="H84" s="130">
        <v>0</v>
      </c>
      <c r="I84" s="128">
        <v>200</v>
      </c>
      <c r="J84" s="133">
        <v>200</v>
      </c>
      <c r="K84" s="101"/>
      <c r="L84" s="133">
        <v>20</v>
      </c>
      <c r="M84" s="143">
        <v>800</v>
      </c>
      <c r="Q84" s="141">
        <v>11.6755787037037</v>
      </c>
      <c r="R84" s="174"/>
    </row>
    <row r="85" spans="2:18">
      <c r="B85" s="176"/>
      <c r="C85" s="186"/>
      <c r="D85" s="172"/>
      <c r="E85" s="23">
        <v>810</v>
      </c>
      <c r="F85" s="23">
        <f>DEMANDA_PREVISIÓN!E814</f>
        <v>44</v>
      </c>
      <c r="G85" s="101"/>
      <c r="H85" s="130">
        <v>0</v>
      </c>
      <c r="I85" s="128">
        <v>200</v>
      </c>
      <c r="J85" s="133">
        <v>200</v>
      </c>
      <c r="K85" s="101"/>
      <c r="L85" s="133">
        <v>20</v>
      </c>
      <c r="M85" s="143">
        <v>800</v>
      </c>
      <c r="Q85" s="141">
        <v>11.685185185185199</v>
      </c>
      <c r="R85" s="174"/>
    </row>
    <row r="86" spans="2:18">
      <c r="B86" s="176"/>
      <c r="C86" s="186"/>
      <c r="D86" s="172"/>
      <c r="E86" s="23">
        <v>811</v>
      </c>
      <c r="F86" s="23">
        <f>DEMANDA_PREVISIÓN!E815</f>
        <v>39</v>
      </c>
      <c r="G86" s="101"/>
      <c r="H86" s="130">
        <v>0</v>
      </c>
      <c r="I86" s="128">
        <v>200</v>
      </c>
      <c r="J86" s="133">
        <v>200</v>
      </c>
      <c r="K86" s="101"/>
      <c r="L86" s="133">
        <v>20</v>
      </c>
      <c r="M86" s="143">
        <v>800</v>
      </c>
      <c r="Q86" s="141">
        <v>11.694791666666699</v>
      </c>
      <c r="R86" s="174"/>
    </row>
    <row r="87" spans="2:18">
      <c r="B87" s="176"/>
      <c r="C87" s="186"/>
      <c r="D87" s="172"/>
      <c r="E87" s="23">
        <v>812</v>
      </c>
      <c r="F87" s="23">
        <f>DEMANDA_PREVISIÓN!E816</f>
        <v>52</v>
      </c>
      <c r="G87" s="101"/>
      <c r="H87" s="128">
        <v>200</v>
      </c>
      <c r="I87" s="23"/>
      <c r="J87" s="133">
        <v>200</v>
      </c>
      <c r="K87" s="101"/>
      <c r="L87" s="133">
        <v>20</v>
      </c>
      <c r="M87" s="143">
        <v>800</v>
      </c>
      <c r="Q87" s="141">
        <v>11.704398148148201</v>
      </c>
      <c r="R87" s="174"/>
    </row>
    <row r="88" spans="2:18">
      <c r="B88" s="176"/>
      <c r="C88" s="186"/>
      <c r="D88" s="172"/>
      <c r="E88" s="23">
        <v>813</v>
      </c>
      <c r="F88" s="23">
        <f>DEMANDA_PREVISIÓN!E817</f>
        <v>47</v>
      </c>
      <c r="G88" s="101"/>
      <c r="H88" s="23">
        <f>H87-F88</f>
        <v>153</v>
      </c>
      <c r="I88" s="23"/>
      <c r="J88" s="133">
        <v>200</v>
      </c>
      <c r="K88" s="101"/>
      <c r="L88" s="133">
        <v>20</v>
      </c>
      <c r="M88" s="143">
        <v>800</v>
      </c>
      <c r="Q88" s="141">
        <v>11.7140046296297</v>
      </c>
      <c r="R88" s="174"/>
    </row>
    <row r="89" spans="2:18">
      <c r="B89" s="176"/>
      <c r="C89" s="186"/>
      <c r="D89" s="172"/>
      <c r="E89" s="23">
        <v>814</v>
      </c>
      <c r="F89" s="23">
        <f>DEMANDA_PREVISIÓN!E818</f>
        <v>43</v>
      </c>
      <c r="G89" s="101"/>
      <c r="H89" s="23">
        <f>H88-F89</f>
        <v>110</v>
      </c>
      <c r="I89" s="23"/>
      <c r="J89" s="133">
        <v>200</v>
      </c>
      <c r="K89" s="101"/>
      <c r="L89" s="133">
        <v>20</v>
      </c>
      <c r="M89" s="143">
        <v>800</v>
      </c>
      <c r="Q89" s="141">
        <v>11.7236111111112</v>
      </c>
      <c r="R89" s="174"/>
    </row>
    <row r="90" spans="2:18">
      <c r="B90" s="176"/>
      <c r="C90" s="186"/>
      <c r="D90" s="172"/>
      <c r="E90" s="23">
        <v>815</v>
      </c>
      <c r="F90" s="23">
        <f>DEMANDA_PREVISIÓN!E819</f>
        <v>56</v>
      </c>
      <c r="G90" s="101"/>
      <c r="H90" s="23">
        <f>H89-F90</f>
        <v>54</v>
      </c>
      <c r="I90" s="133">
        <v>200</v>
      </c>
      <c r="J90" s="133">
        <v>200</v>
      </c>
      <c r="K90" s="101"/>
      <c r="L90" s="133">
        <v>20</v>
      </c>
      <c r="M90" s="143">
        <v>800</v>
      </c>
      <c r="Q90" s="141">
        <v>11.733217592592601</v>
      </c>
      <c r="R90" s="174"/>
    </row>
    <row r="91" spans="2:18">
      <c r="B91" s="176"/>
      <c r="C91" s="186"/>
      <c r="D91" s="172"/>
      <c r="E91" s="23">
        <v>816</v>
      </c>
      <c r="F91" s="23">
        <f>DEMANDA_PREVISIÓN!E820</f>
        <v>45</v>
      </c>
      <c r="G91" s="101"/>
      <c r="H91" s="23">
        <f>H90-F91</f>
        <v>9</v>
      </c>
      <c r="I91" s="133">
        <v>200</v>
      </c>
      <c r="J91" s="134">
        <v>200</v>
      </c>
      <c r="K91" s="101"/>
      <c r="L91" s="134">
        <v>20</v>
      </c>
      <c r="M91" s="143">
        <v>800</v>
      </c>
      <c r="Q91" s="141">
        <v>11.7428240740741</v>
      </c>
      <c r="R91" s="174"/>
    </row>
    <row r="92" spans="2:18">
      <c r="B92" s="176"/>
      <c r="C92" s="186"/>
      <c r="D92" s="172"/>
      <c r="E92" s="23">
        <v>817</v>
      </c>
      <c r="F92" s="23">
        <f>DEMANDA_PREVISIÓN!E821</f>
        <v>49</v>
      </c>
      <c r="G92" s="101"/>
      <c r="H92" s="130">
        <v>0</v>
      </c>
      <c r="I92" s="133">
        <v>200</v>
      </c>
      <c r="J92" s="134">
        <v>200</v>
      </c>
      <c r="K92" s="101"/>
      <c r="L92" s="134">
        <v>20</v>
      </c>
      <c r="M92" s="143">
        <v>800</v>
      </c>
      <c r="Q92" s="141">
        <v>11.7524305555556</v>
      </c>
      <c r="R92" s="174"/>
    </row>
    <row r="93" spans="2:18">
      <c r="B93" s="176"/>
      <c r="C93" s="186"/>
      <c r="D93" s="172"/>
      <c r="E93" s="23">
        <v>818</v>
      </c>
      <c r="F93" s="23">
        <f>DEMANDA_PREVISIÓN!E822</f>
        <v>43</v>
      </c>
      <c r="G93" s="101"/>
      <c r="H93" s="130">
        <v>0</v>
      </c>
      <c r="I93" s="133">
        <v>200</v>
      </c>
      <c r="J93" s="134">
        <v>200</v>
      </c>
      <c r="K93" s="101"/>
      <c r="L93" s="134">
        <v>20</v>
      </c>
      <c r="M93" s="143">
        <v>800</v>
      </c>
      <c r="Q93" s="141">
        <v>11.7620370370371</v>
      </c>
      <c r="R93" s="174"/>
    </row>
    <row r="94" spans="2:18">
      <c r="B94" s="176"/>
      <c r="C94" s="186"/>
      <c r="D94" s="172"/>
      <c r="E94" s="23">
        <v>819</v>
      </c>
      <c r="F94" s="23">
        <f>DEMANDA_PREVISIÓN!E823</f>
        <v>47</v>
      </c>
      <c r="G94" s="101"/>
      <c r="H94" s="130">
        <v>0</v>
      </c>
      <c r="I94" s="133">
        <v>200</v>
      </c>
      <c r="J94" s="134">
        <v>200</v>
      </c>
      <c r="K94" s="101"/>
      <c r="L94" s="134">
        <v>20</v>
      </c>
      <c r="M94" s="143">
        <v>800</v>
      </c>
      <c r="Q94" s="141">
        <v>11.7716435185186</v>
      </c>
      <c r="R94" s="174"/>
    </row>
    <row r="95" spans="2:18">
      <c r="B95" s="176"/>
      <c r="C95" s="186"/>
      <c r="D95" s="173"/>
      <c r="E95" s="135">
        <v>820</v>
      </c>
      <c r="F95" s="136">
        <f>DEMANDA_PREVISIÓN!E824</f>
        <v>44</v>
      </c>
      <c r="G95" s="101"/>
      <c r="H95" s="130">
        <v>0</v>
      </c>
      <c r="I95" s="133">
        <v>200</v>
      </c>
      <c r="J95" s="134">
        <v>200</v>
      </c>
      <c r="K95" s="101"/>
      <c r="L95" s="134">
        <v>20</v>
      </c>
      <c r="M95" s="143">
        <v>800</v>
      </c>
      <c r="Q95" s="141">
        <v>11.78125</v>
      </c>
      <c r="R95" s="174"/>
    </row>
    <row r="96" spans="2:18">
      <c r="B96" s="176"/>
      <c r="C96" s="186" t="s">
        <v>44</v>
      </c>
      <c r="D96" s="171" t="s">
        <v>45</v>
      </c>
      <c r="E96" s="23">
        <v>821</v>
      </c>
      <c r="F96" s="23">
        <f>DEMANDA_PREVISIÓN!E825</f>
        <v>42</v>
      </c>
      <c r="G96" s="101"/>
      <c r="H96" s="130">
        <v>0</v>
      </c>
      <c r="I96" s="133">
        <v>200</v>
      </c>
      <c r="J96" s="134">
        <v>200</v>
      </c>
      <c r="K96" s="101"/>
      <c r="L96" s="134">
        <v>20</v>
      </c>
      <c r="M96" s="143">
        <v>800</v>
      </c>
      <c r="Q96" s="141">
        <v>11.7908564814815</v>
      </c>
      <c r="R96" s="174"/>
    </row>
    <row r="97" spans="2:18">
      <c r="B97" s="176"/>
      <c r="C97" s="186"/>
      <c r="D97" s="172"/>
      <c r="E97" s="23">
        <v>822</v>
      </c>
      <c r="F97" s="23">
        <f>DEMANDA_PREVISIÓN!E826</f>
        <v>49</v>
      </c>
      <c r="G97" s="101"/>
      <c r="H97" s="133">
        <f>I96</f>
        <v>200</v>
      </c>
      <c r="I97" s="23"/>
      <c r="J97" s="134">
        <v>200</v>
      </c>
      <c r="K97" s="101"/>
      <c r="L97" s="134">
        <v>20</v>
      </c>
      <c r="M97" s="143">
        <v>800</v>
      </c>
      <c r="Q97" s="141">
        <v>11.800462962963</v>
      </c>
      <c r="R97" s="174"/>
    </row>
    <row r="98" spans="2:18">
      <c r="B98" s="176"/>
      <c r="C98" s="186"/>
      <c r="D98" s="172"/>
      <c r="E98" s="23">
        <v>823</v>
      </c>
      <c r="F98" s="23">
        <f>DEMANDA_PREVISIÓN!E827</f>
        <v>43</v>
      </c>
      <c r="G98" s="101"/>
      <c r="H98" s="23">
        <f>H97-F98</f>
        <v>157</v>
      </c>
      <c r="I98" s="23"/>
      <c r="J98" s="134">
        <v>200</v>
      </c>
      <c r="K98" s="101"/>
      <c r="L98" s="134">
        <v>20</v>
      </c>
      <c r="M98" s="143">
        <v>800</v>
      </c>
      <c r="Q98" s="141">
        <v>11.810069444444499</v>
      </c>
      <c r="R98" s="174"/>
    </row>
    <row r="99" spans="2:18">
      <c r="B99" s="176"/>
      <c r="C99" s="186"/>
      <c r="D99" s="172"/>
      <c r="E99" s="23">
        <v>824</v>
      </c>
      <c r="F99" s="23">
        <f>DEMANDA_PREVISIÓN!E828</f>
        <v>29</v>
      </c>
      <c r="G99" s="101"/>
      <c r="H99" s="23">
        <f>H98-F99</f>
        <v>128</v>
      </c>
      <c r="I99" s="23"/>
      <c r="J99" s="134">
        <v>200</v>
      </c>
      <c r="K99" s="101"/>
      <c r="L99" s="134">
        <v>20</v>
      </c>
      <c r="M99" s="143">
        <v>800</v>
      </c>
      <c r="Q99" s="141">
        <v>11.819675925925999</v>
      </c>
      <c r="R99" s="174"/>
    </row>
    <row r="100" spans="2:18">
      <c r="B100" s="176"/>
      <c r="C100" s="186"/>
      <c r="D100" s="172"/>
      <c r="E100" s="23">
        <v>825</v>
      </c>
      <c r="F100" s="23">
        <f>DEMANDA_PREVISIÓN!E829</f>
        <v>32</v>
      </c>
      <c r="G100" s="101"/>
      <c r="H100" s="23">
        <f>H99-F100</f>
        <v>96</v>
      </c>
      <c r="I100" s="134">
        <v>200</v>
      </c>
      <c r="J100" s="134">
        <v>200</v>
      </c>
      <c r="K100" s="101"/>
      <c r="L100" s="134">
        <v>20</v>
      </c>
      <c r="M100" s="143">
        <v>800</v>
      </c>
      <c r="Q100" s="141">
        <v>11.829282407407501</v>
      </c>
      <c r="R100" s="174"/>
    </row>
    <row r="101" spans="2:18">
      <c r="B101" s="176"/>
      <c r="C101" s="186"/>
      <c r="D101" s="172"/>
      <c r="E101" s="23">
        <v>826</v>
      </c>
      <c r="F101" s="23">
        <f>DEMANDA_PREVISIÓN!E830</f>
        <v>36</v>
      </c>
      <c r="G101" s="101"/>
      <c r="H101" s="23">
        <f>H100-F101</f>
        <v>60</v>
      </c>
      <c r="I101" s="134">
        <v>200</v>
      </c>
      <c r="J101" s="128">
        <v>400</v>
      </c>
      <c r="K101" s="101"/>
      <c r="L101" s="128">
        <v>50</v>
      </c>
      <c r="M101" s="143">
        <v>800</v>
      </c>
      <c r="Q101" s="141">
        <v>11.838888888888899</v>
      </c>
      <c r="R101" s="174"/>
    </row>
    <row r="102" spans="2:18">
      <c r="B102" s="176"/>
      <c r="C102" s="186"/>
      <c r="D102" s="172"/>
      <c r="E102" s="23">
        <v>827</v>
      </c>
      <c r="F102" s="23">
        <f>DEMANDA_PREVISIÓN!E831</f>
        <v>51</v>
      </c>
      <c r="G102" s="101"/>
      <c r="H102" s="23">
        <f>H101-F102</f>
        <v>9</v>
      </c>
      <c r="I102" s="134">
        <v>200</v>
      </c>
      <c r="J102" s="128">
        <v>400</v>
      </c>
      <c r="K102" s="101"/>
      <c r="L102" s="128">
        <v>50</v>
      </c>
      <c r="M102" s="143">
        <v>800</v>
      </c>
      <c r="Q102" s="141">
        <v>11.848495370370401</v>
      </c>
      <c r="R102" s="174"/>
    </row>
    <row r="103" spans="2:18">
      <c r="B103" s="176"/>
      <c r="C103" s="186"/>
      <c r="D103" s="172"/>
      <c r="E103" s="23">
        <v>828</v>
      </c>
      <c r="F103" s="23">
        <f>DEMANDA_PREVISIÓN!E832</f>
        <v>44</v>
      </c>
      <c r="G103" s="101"/>
      <c r="H103" s="130">
        <v>0</v>
      </c>
      <c r="I103" s="134">
        <v>200</v>
      </c>
      <c r="J103" s="128">
        <v>400</v>
      </c>
      <c r="K103" s="101"/>
      <c r="L103" s="128">
        <v>50</v>
      </c>
      <c r="M103" s="143">
        <v>800</v>
      </c>
      <c r="Q103" s="141">
        <v>11.858101851851901</v>
      </c>
      <c r="R103" s="174"/>
    </row>
    <row r="104" spans="2:18">
      <c r="B104" s="176"/>
      <c r="C104" s="186"/>
      <c r="D104" s="172"/>
      <c r="E104" s="23">
        <v>829</v>
      </c>
      <c r="F104" s="23">
        <f>DEMANDA_PREVISIÓN!E833</f>
        <v>40</v>
      </c>
      <c r="G104" s="101"/>
      <c r="H104" s="130">
        <v>0</v>
      </c>
      <c r="I104" s="134">
        <v>200</v>
      </c>
      <c r="J104" s="128">
        <v>400</v>
      </c>
      <c r="K104" s="101"/>
      <c r="L104" s="128">
        <v>50</v>
      </c>
      <c r="M104" s="143">
        <v>800</v>
      </c>
      <c r="Q104" s="141">
        <v>11.8677083333334</v>
      </c>
      <c r="R104" s="174"/>
    </row>
    <row r="105" spans="2:18">
      <c r="B105" s="176"/>
      <c r="C105" s="186"/>
      <c r="D105" s="172"/>
      <c r="E105" s="23">
        <v>830</v>
      </c>
      <c r="F105" s="23">
        <f>DEMANDA_PREVISIÓN!E834</f>
        <v>46</v>
      </c>
      <c r="G105" s="101"/>
      <c r="H105" s="130">
        <v>0</v>
      </c>
      <c r="I105" s="134">
        <v>200</v>
      </c>
      <c r="J105" s="128">
        <v>400</v>
      </c>
      <c r="K105" s="101"/>
      <c r="L105" s="128">
        <v>50</v>
      </c>
      <c r="M105" s="143">
        <v>800</v>
      </c>
      <c r="Q105" s="141">
        <v>11.8773148148149</v>
      </c>
      <c r="R105" s="174"/>
    </row>
    <row r="106" spans="2:18">
      <c r="B106" s="176"/>
      <c r="C106" s="186"/>
      <c r="D106" s="172"/>
      <c r="E106" s="23">
        <v>831</v>
      </c>
      <c r="F106" s="23">
        <f>DEMANDA_PREVISIÓN!E835</f>
        <v>30</v>
      </c>
      <c r="G106" s="101"/>
      <c r="H106" s="130">
        <v>0</v>
      </c>
      <c r="I106" s="134">
        <v>200</v>
      </c>
      <c r="J106" s="128">
        <v>400</v>
      </c>
      <c r="K106" s="101"/>
      <c r="L106" s="128">
        <v>50</v>
      </c>
      <c r="M106" s="143">
        <v>800</v>
      </c>
      <c r="Q106" s="141">
        <v>11.8869212962964</v>
      </c>
      <c r="R106" s="174"/>
    </row>
    <row r="107" spans="2:18">
      <c r="B107" s="176"/>
      <c r="C107" s="186"/>
      <c r="D107" s="172"/>
      <c r="E107" s="23">
        <v>832</v>
      </c>
      <c r="F107" s="23">
        <f>DEMANDA_PREVISIÓN!E836</f>
        <v>45</v>
      </c>
      <c r="G107" s="101"/>
      <c r="H107" s="134">
        <v>200</v>
      </c>
      <c r="I107" s="23"/>
      <c r="J107" s="128">
        <v>400</v>
      </c>
      <c r="K107" s="101"/>
      <c r="L107" s="128">
        <v>50</v>
      </c>
      <c r="M107" s="143">
        <v>800</v>
      </c>
      <c r="Q107" s="141">
        <v>11.8965277777778</v>
      </c>
      <c r="R107" s="174"/>
    </row>
    <row r="108" spans="2:18">
      <c r="B108" s="176"/>
      <c r="C108" s="186"/>
      <c r="D108" s="172"/>
      <c r="E108" s="23">
        <v>833</v>
      </c>
      <c r="F108" s="23">
        <f>DEMANDA_PREVISIÓN!E837</f>
        <v>43</v>
      </c>
      <c r="G108" s="101"/>
      <c r="H108" s="23">
        <f>H107-F108</f>
        <v>157</v>
      </c>
      <c r="I108" s="128">
        <v>400</v>
      </c>
      <c r="J108" s="128">
        <v>400</v>
      </c>
      <c r="K108" s="101"/>
      <c r="L108" s="128">
        <v>50</v>
      </c>
      <c r="M108" s="143">
        <v>800</v>
      </c>
      <c r="Q108" s="141">
        <v>11.9061342592593</v>
      </c>
      <c r="R108" s="174"/>
    </row>
    <row r="109" spans="2:18">
      <c r="B109" s="176"/>
      <c r="C109" s="186"/>
      <c r="D109" s="172"/>
      <c r="E109" s="23">
        <v>834</v>
      </c>
      <c r="F109" s="23">
        <f>DEMANDA_PREVISIÓN!E838</f>
        <v>47</v>
      </c>
      <c r="G109" s="101"/>
      <c r="H109" s="23">
        <f>H108-F109</f>
        <v>110</v>
      </c>
      <c r="I109" s="128">
        <v>400</v>
      </c>
      <c r="J109" s="129">
        <v>400</v>
      </c>
      <c r="K109" s="101"/>
      <c r="L109" s="129">
        <v>50</v>
      </c>
      <c r="M109" s="143">
        <v>800</v>
      </c>
      <c r="Q109" s="141">
        <v>11.9157407407408</v>
      </c>
      <c r="R109" s="174"/>
    </row>
    <row r="110" spans="2:18">
      <c r="B110" s="176"/>
      <c r="C110" s="186"/>
      <c r="D110" s="172"/>
      <c r="E110" s="23">
        <v>835</v>
      </c>
      <c r="F110" s="23">
        <f>DEMANDA_PREVISIÓN!E839</f>
        <v>50</v>
      </c>
      <c r="G110" s="101"/>
      <c r="H110" s="23">
        <f>H109-F110</f>
        <v>60</v>
      </c>
      <c r="I110" s="128">
        <v>400</v>
      </c>
      <c r="J110" s="129">
        <v>400</v>
      </c>
      <c r="K110" s="101"/>
      <c r="L110" s="129">
        <v>50</v>
      </c>
      <c r="M110" s="143">
        <v>800</v>
      </c>
      <c r="Q110" s="141">
        <v>11.9253472222223</v>
      </c>
      <c r="R110" s="174"/>
    </row>
    <row r="111" spans="2:18">
      <c r="B111" s="176"/>
      <c r="C111" s="186"/>
      <c r="D111" s="172"/>
      <c r="E111" s="23">
        <v>836</v>
      </c>
      <c r="F111" s="23">
        <f>DEMANDA_PREVISIÓN!E840</f>
        <v>49</v>
      </c>
      <c r="G111" s="101"/>
      <c r="H111" s="23">
        <f>H110-F111</f>
        <v>11</v>
      </c>
      <c r="I111" s="128">
        <v>400</v>
      </c>
      <c r="J111" s="129">
        <v>400</v>
      </c>
      <c r="K111" s="101"/>
      <c r="L111" s="129">
        <v>50</v>
      </c>
      <c r="M111" s="143">
        <v>800</v>
      </c>
      <c r="Q111" s="141">
        <v>11.934953703703799</v>
      </c>
      <c r="R111" s="174"/>
    </row>
    <row r="112" spans="2:18">
      <c r="B112" s="176"/>
      <c r="C112" s="186"/>
      <c r="D112" s="172"/>
      <c r="E112" s="23">
        <v>837</v>
      </c>
      <c r="F112" s="23">
        <f>DEMANDA_PREVISIÓN!E841</f>
        <v>42</v>
      </c>
      <c r="G112" s="101"/>
      <c r="H112" s="130">
        <v>0</v>
      </c>
      <c r="I112" s="128">
        <v>400</v>
      </c>
      <c r="J112" s="129">
        <v>400</v>
      </c>
      <c r="K112" s="101"/>
      <c r="L112" s="129">
        <v>50</v>
      </c>
      <c r="M112" s="143">
        <v>800</v>
      </c>
      <c r="Q112" s="141">
        <v>11.9445601851852</v>
      </c>
      <c r="R112" s="174"/>
    </row>
    <row r="113" spans="2:18">
      <c r="B113" s="176"/>
      <c r="C113" s="186"/>
      <c r="D113" s="172"/>
      <c r="E113" s="23">
        <v>838</v>
      </c>
      <c r="F113" s="23">
        <f>DEMANDA_PREVISIÓN!E842</f>
        <v>37</v>
      </c>
      <c r="G113" s="101"/>
      <c r="H113" s="130">
        <v>0</v>
      </c>
      <c r="I113" s="128">
        <v>400</v>
      </c>
      <c r="J113" s="129">
        <v>400</v>
      </c>
      <c r="K113" s="101"/>
      <c r="L113" s="129">
        <v>50</v>
      </c>
      <c r="M113" s="143">
        <v>800</v>
      </c>
      <c r="Q113" s="141">
        <v>11.954166666666699</v>
      </c>
      <c r="R113" s="174"/>
    </row>
    <row r="114" spans="2:18">
      <c r="B114" s="176"/>
      <c r="C114" s="186"/>
      <c r="D114" s="172"/>
      <c r="E114" s="23">
        <v>839</v>
      </c>
      <c r="F114" s="23">
        <f>DEMANDA_PREVISIÓN!E843</f>
        <v>46</v>
      </c>
      <c r="G114" s="101"/>
      <c r="H114" s="130">
        <v>0</v>
      </c>
      <c r="I114" s="128">
        <v>400</v>
      </c>
      <c r="J114" s="129">
        <v>400</v>
      </c>
      <c r="K114" s="101"/>
      <c r="L114" s="129">
        <v>50</v>
      </c>
      <c r="M114" s="143">
        <v>800</v>
      </c>
      <c r="Q114" s="141">
        <v>11.963773148148199</v>
      </c>
      <c r="R114" s="174"/>
    </row>
    <row r="115" spans="2:18">
      <c r="B115" s="176"/>
      <c r="C115" s="186"/>
      <c r="D115" s="172"/>
      <c r="E115" s="23">
        <v>840</v>
      </c>
      <c r="F115" s="23">
        <f>DEMANDA_PREVISIÓN!E844</f>
        <v>40</v>
      </c>
      <c r="G115" s="101"/>
      <c r="H115" s="128">
        <f>I114+H114</f>
        <v>400</v>
      </c>
      <c r="J115" s="129">
        <v>400</v>
      </c>
      <c r="K115" s="47"/>
      <c r="L115" s="129">
        <v>50</v>
      </c>
      <c r="M115" s="143">
        <v>800</v>
      </c>
      <c r="Q115" s="141">
        <v>11.973379629629701</v>
      </c>
      <c r="R115" s="174"/>
    </row>
    <row r="116" spans="2:18">
      <c r="B116" s="176"/>
      <c r="C116" s="186"/>
      <c r="D116" s="172"/>
      <c r="E116" s="23">
        <v>841</v>
      </c>
      <c r="F116" s="23">
        <f>DEMANDA_PREVISIÓN!E845</f>
        <v>39</v>
      </c>
      <c r="G116" s="101"/>
      <c r="H116" s="23">
        <f t="shared" ref="H116:H122" si="1">H115-F116</f>
        <v>361</v>
      </c>
      <c r="I116" s="129">
        <v>400</v>
      </c>
      <c r="J116" s="129">
        <v>400</v>
      </c>
      <c r="K116" s="101"/>
      <c r="L116" s="129">
        <v>50</v>
      </c>
      <c r="M116" s="143">
        <v>800</v>
      </c>
      <c r="Q116" s="141">
        <v>11.982986111111201</v>
      </c>
      <c r="R116" s="174"/>
    </row>
    <row r="117" spans="2:18">
      <c r="B117" s="176"/>
      <c r="C117" s="186"/>
      <c r="D117" s="172"/>
      <c r="E117" s="23">
        <v>842</v>
      </c>
      <c r="F117" s="23">
        <f>DEMANDA_PREVISIÓN!E846</f>
        <v>46</v>
      </c>
      <c r="G117" s="101"/>
      <c r="H117" s="23">
        <f t="shared" si="1"/>
        <v>315</v>
      </c>
      <c r="I117" s="129">
        <v>400</v>
      </c>
      <c r="J117" s="137">
        <v>400</v>
      </c>
      <c r="K117" s="101"/>
      <c r="L117" s="137">
        <v>50</v>
      </c>
      <c r="M117" s="143">
        <v>800</v>
      </c>
      <c r="Q117" s="141">
        <v>11.9925925925927</v>
      </c>
      <c r="R117" s="174"/>
    </row>
    <row r="118" spans="2:18">
      <c r="B118" s="176"/>
      <c r="C118" s="186"/>
      <c r="D118" s="172"/>
      <c r="E118" s="23">
        <v>843</v>
      </c>
      <c r="F118" s="23">
        <f>DEMANDA_PREVISIÓN!E847</f>
        <v>41</v>
      </c>
      <c r="G118" s="101"/>
      <c r="H118" s="23">
        <f t="shared" si="1"/>
        <v>274</v>
      </c>
      <c r="I118" s="129">
        <v>400</v>
      </c>
      <c r="J118" s="137">
        <v>400</v>
      </c>
      <c r="K118" s="101"/>
      <c r="L118" s="137">
        <v>50</v>
      </c>
      <c r="M118" s="143">
        <v>800</v>
      </c>
      <c r="Q118" s="141">
        <v>12.002199074074101</v>
      </c>
      <c r="R118" s="174">
        <v>3</v>
      </c>
    </row>
    <row r="119" spans="2:18">
      <c r="B119" s="176"/>
      <c r="C119" s="186"/>
      <c r="D119" s="172"/>
      <c r="E119" s="23">
        <v>844</v>
      </c>
      <c r="F119" s="23">
        <f>DEMANDA_PREVISIÓN!E848</f>
        <v>53</v>
      </c>
      <c r="G119" s="101"/>
      <c r="H119" s="23">
        <f t="shared" si="1"/>
        <v>221</v>
      </c>
      <c r="I119" s="129">
        <v>400</v>
      </c>
      <c r="J119" s="137">
        <v>400</v>
      </c>
      <c r="K119" s="101"/>
      <c r="L119" s="137">
        <v>50</v>
      </c>
      <c r="M119" s="143">
        <v>800</v>
      </c>
      <c r="Q119" s="141">
        <v>12.0118055555556</v>
      </c>
      <c r="R119" s="174"/>
    </row>
    <row r="120" spans="2:18">
      <c r="B120" s="176"/>
      <c r="C120" s="186"/>
      <c r="D120" s="172"/>
      <c r="E120" s="23">
        <v>845</v>
      </c>
      <c r="F120" s="23">
        <f>DEMANDA_PREVISIÓN!E849</f>
        <v>42</v>
      </c>
      <c r="G120" s="101"/>
      <c r="H120" s="23">
        <f t="shared" si="1"/>
        <v>179</v>
      </c>
      <c r="I120" s="129">
        <v>400</v>
      </c>
      <c r="J120" s="137">
        <v>400</v>
      </c>
      <c r="K120" s="101"/>
      <c r="L120" s="137">
        <v>50</v>
      </c>
      <c r="M120" s="143">
        <v>800</v>
      </c>
      <c r="Q120" s="141">
        <v>12.0214120370371</v>
      </c>
      <c r="R120" s="174"/>
    </row>
    <row r="121" spans="2:18">
      <c r="B121" s="176"/>
      <c r="C121" s="186"/>
      <c r="D121" s="172"/>
      <c r="E121" s="23">
        <v>846</v>
      </c>
      <c r="F121" s="23">
        <f>DEMANDA_PREVISIÓN!E850</f>
        <v>35</v>
      </c>
      <c r="G121" s="101"/>
      <c r="H121" s="23">
        <f t="shared" si="1"/>
        <v>144</v>
      </c>
      <c r="I121" s="129">
        <v>400</v>
      </c>
      <c r="J121" s="137">
        <v>400</v>
      </c>
      <c r="K121" s="101"/>
      <c r="L121" s="137">
        <v>50</v>
      </c>
      <c r="M121" s="143">
        <v>800</v>
      </c>
      <c r="Q121" s="141">
        <v>12.0310185185186</v>
      </c>
      <c r="R121" s="174"/>
    </row>
    <row r="122" spans="2:18">
      <c r="B122" s="176"/>
      <c r="C122" s="186"/>
      <c r="D122" s="172"/>
      <c r="E122" s="23">
        <v>847</v>
      </c>
      <c r="F122" s="23">
        <f>DEMANDA_PREVISIÓN!E851</f>
        <v>55</v>
      </c>
      <c r="G122" s="101"/>
      <c r="H122" s="23">
        <f t="shared" si="1"/>
        <v>89</v>
      </c>
      <c r="I122" s="129">
        <v>400</v>
      </c>
      <c r="J122" s="137">
        <v>400</v>
      </c>
      <c r="K122" s="101"/>
      <c r="L122" s="137">
        <v>50</v>
      </c>
      <c r="M122" s="143">
        <v>800</v>
      </c>
      <c r="Q122" s="141">
        <v>12.0406250000001</v>
      </c>
      <c r="R122" s="174"/>
    </row>
    <row r="123" spans="2:18">
      <c r="B123" s="176"/>
      <c r="C123" s="186"/>
      <c r="D123" s="172"/>
      <c r="E123" s="23">
        <v>848</v>
      </c>
      <c r="F123" s="23">
        <f>DEMANDA_PREVISIÓN!E852</f>
        <v>49</v>
      </c>
      <c r="G123" s="101"/>
      <c r="H123" s="129">
        <f>I122+H122</f>
        <v>489</v>
      </c>
      <c r="I123" s="23"/>
      <c r="J123" s="137">
        <v>400</v>
      </c>
      <c r="K123" s="101"/>
      <c r="L123" s="137">
        <v>50</v>
      </c>
      <c r="M123" s="143">
        <v>800</v>
      </c>
      <c r="Q123" s="141">
        <v>12.0502314814815</v>
      </c>
      <c r="R123" s="174"/>
    </row>
    <row r="124" spans="2:18">
      <c r="B124" s="176"/>
      <c r="C124" s="186"/>
      <c r="D124" s="172"/>
      <c r="E124" s="23">
        <v>849</v>
      </c>
      <c r="F124" s="23">
        <f>DEMANDA_PREVISIÓN!E853</f>
        <v>53</v>
      </c>
      <c r="G124" s="101"/>
      <c r="H124" s="23">
        <f t="shared" ref="H124:H130" si="2">H123-F124</f>
        <v>436</v>
      </c>
      <c r="I124" s="137">
        <v>400</v>
      </c>
      <c r="J124" s="137">
        <v>400</v>
      </c>
      <c r="K124" s="101"/>
      <c r="L124" s="137">
        <v>50</v>
      </c>
      <c r="M124" s="143">
        <v>800</v>
      </c>
      <c r="Q124" s="141">
        <v>12.059837962963</v>
      </c>
      <c r="R124" s="174"/>
    </row>
    <row r="125" spans="2:18">
      <c r="B125" s="176"/>
      <c r="C125" s="186"/>
      <c r="D125" s="173"/>
      <c r="E125" s="23">
        <v>850</v>
      </c>
      <c r="F125" s="23">
        <f>DEMANDA_PREVISIÓN!E854</f>
        <v>48</v>
      </c>
      <c r="G125" s="101"/>
      <c r="H125" s="23">
        <f t="shared" si="2"/>
        <v>388</v>
      </c>
      <c r="I125" s="137">
        <v>400</v>
      </c>
      <c r="J125" s="138">
        <v>400</v>
      </c>
      <c r="K125" s="101"/>
      <c r="L125" s="138">
        <v>50</v>
      </c>
      <c r="M125" s="143">
        <v>800</v>
      </c>
      <c r="Q125" s="141">
        <v>12.0694444444445</v>
      </c>
      <c r="R125" s="174"/>
    </row>
    <row r="126" spans="2:18">
      <c r="B126" s="176"/>
      <c r="C126" s="186"/>
      <c r="D126" s="171" t="s">
        <v>46</v>
      </c>
      <c r="E126" s="23">
        <v>851</v>
      </c>
      <c r="F126" s="23">
        <f>DEMANDA_PREVISIÓN!E855</f>
        <v>49</v>
      </c>
      <c r="G126" s="101"/>
      <c r="H126" s="23">
        <f t="shared" si="2"/>
        <v>339</v>
      </c>
      <c r="I126" s="137">
        <v>400</v>
      </c>
      <c r="J126" s="138">
        <v>400</v>
      </c>
      <c r="K126" s="101"/>
      <c r="L126" s="138">
        <v>50</v>
      </c>
      <c r="M126" s="143">
        <v>800</v>
      </c>
      <c r="Q126" s="141">
        <v>12.079050925925999</v>
      </c>
      <c r="R126" s="174"/>
    </row>
    <row r="127" spans="2:18">
      <c r="B127" s="176"/>
      <c r="C127" s="186"/>
      <c r="D127" s="172"/>
      <c r="E127" s="40">
        <v>852</v>
      </c>
      <c r="F127" s="23">
        <f>DEMANDA_PREVISIÓN!E856</f>
        <v>42</v>
      </c>
      <c r="G127" s="101"/>
      <c r="H127" s="23">
        <f t="shared" si="2"/>
        <v>297</v>
      </c>
      <c r="I127" s="137">
        <v>400</v>
      </c>
      <c r="J127" s="138">
        <v>400</v>
      </c>
      <c r="K127" s="101"/>
      <c r="L127" s="138">
        <v>50</v>
      </c>
      <c r="M127" s="143">
        <v>800</v>
      </c>
      <c r="Q127" s="141">
        <v>12.088657407407499</v>
      </c>
      <c r="R127" s="174"/>
    </row>
    <row r="128" spans="2:18">
      <c r="B128" s="176"/>
      <c r="C128" s="186"/>
      <c r="D128" s="172"/>
      <c r="E128" s="23">
        <v>853</v>
      </c>
      <c r="F128" s="23">
        <f>DEMANDA_PREVISIÓN!E857</f>
        <v>45</v>
      </c>
      <c r="G128" s="101"/>
      <c r="H128" s="23">
        <f t="shared" si="2"/>
        <v>252</v>
      </c>
      <c r="I128" s="137">
        <v>400</v>
      </c>
      <c r="J128" s="138">
        <v>400</v>
      </c>
      <c r="K128" s="101"/>
      <c r="L128" s="138">
        <v>50</v>
      </c>
      <c r="M128" s="143">
        <v>800</v>
      </c>
      <c r="Q128" s="141">
        <v>12.098263888889001</v>
      </c>
      <c r="R128" s="174"/>
    </row>
    <row r="129" spans="2:18">
      <c r="B129" s="176"/>
      <c r="C129" s="186"/>
      <c r="D129" s="172"/>
      <c r="E129" s="23">
        <v>854</v>
      </c>
      <c r="F129" s="23">
        <f>DEMANDA_PREVISIÓN!E858</f>
        <v>41</v>
      </c>
      <c r="G129" s="101"/>
      <c r="H129" s="23">
        <f t="shared" si="2"/>
        <v>211</v>
      </c>
      <c r="I129" s="137">
        <v>400</v>
      </c>
      <c r="J129" s="138">
        <v>400</v>
      </c>
      <c r="K129" s="101"/>
      <c r="L129" s="138">
        <v>50</v>
      </c>
      <c r="M129" s="143">
        <v>800</v>
      </c>
      <c r="Q129" s="141">
        <v>12.107870370370399</v>
      </c>
      <c r="R129" s="174"/>
    </row>
    <row r="130" spans="2:18">
      <c r="B130" s="176"/>
      <c r="C130" s="186"/>
      <c r="D130" s="172"/>
      <c r="E130" s="23">
        <v>855</v>
      </c>
      <c r="F130" s="23">
        <f>DEMANDA_PREVISIÓN!E859</f>
        <v>43</v>
      </c>
      <c r="G130" s="101"/>
      <c r="H130" s="23">
        <f t="shared" si="2"/>
        <v>168</v>
      </c>
      <c r="I130" s="137">
        <v>400</v>
      </c>
      <c r="J130" s="138">
        <v>400</v>
      </c>
      <c r="K130" s="101"/>
      <c r="L130" s="138">
        <v>50</v>
      </c>
      <c r="M130" s="143">
        <v>800</v>
      </c>
      <c r="Q130" s="141">
        <v>12.117476851851899</v>
      </c>
      <c r="R130" s="174"/>
    </row>
    <row r="131" spans="2:18">
      <c r="B131" s="176"/>
      <c r="C131" s="186"/>
      <c r="D131" s="172"/>
      <c r="E131" s="23">
        <v>856</v>
      </c>
      <c r="F131" s="23">
        <f>DEMANDA_PREVISIÓN!E860</f>
        <v>43</v>
      </c>
      <c r="G131" s="101"/>
      <c r="H131" s="137">
        <f>I130+H130</f>
        <v>568</v>
      </c>
      <c r="I131" s="23"/>
      <c r="J131" s="138">
        <v>400</v>
      </c>
      <c r="K131" s="101"/>
      <c r="L131" s="138">
        <v>50</v>
      </c>
      <c r="M131" s="143">
        <v>800</v>
      </c>
      <c r="Q131" s="141">
        <v>12.127083333333401</v>
      </c>
      <c r="R131" s="174"/>
    </row>
    <row r="132" spans="2:18">
      <c r="B132" s="176"/>
      <c r="C132" s="186"/>
      <c r="D132" s="172"/>
      <c r="E132" s="23">
        <v>857</v>
      </c>
      <c r="F132" s="23">
        <f>DEMANDA_PREVISIÓN!E861</f>
        <v>45</v>
      </c>
      <c r="G132" s="101"/>
      <c r="H132" s="23">
        <f t="shared" ref="H132:H138" si="3">H131-F132</f>
        <v>523</v>
      </c>
      <c r="I132" s="138">
        <v>400</v>
      </c>
      <c r="J132" s="138">
        <v>400</v>
      </c>
      <c r="K132" s="101"/>
      <c r="L132" s="138">
        <v>50</v>
      </c>
      <c r="M132" s="143">
        <v>800</v>
      </c>
      <c r="Q132" s="141">
        <v>12.136689814814901</v>
      </c>
      <c r="R132" s="174"/>
    </row>
    <row r="133" spans="2:18">
      <c r="B133" s="176"/>
      <c r="C133" s="186"/>
      <c r="D133" s="172"/>
      <c r="E133" s="23">
        <v>858</v>
      </c>
      <c r="F133" s="23">
        <f>DEMANDA_PREVISIÓN!E862</f>
        <v>35</v>
      </c>
      <c r="G133" s="101"/>
      <c r="H133" s="23">
        <f t="shared" si="3"/>
        <v>488</v>
      </c>
      <c r="I133" s="138">
        <v>400</v>
      </c>
      <c r="J133" s="134">
        <v>400</v>
      </c>
      <c r="K133" s="101"/>
      <c r="L133" s="134">
        <v>50</v>
      </c>
      <c r="M133" s="143">
        <v>800</v>
      </c>
      <c r="Q133" s="141">
        <v>12.1462962962964</v>
      </c>
      <c r="R133" s="174"/>
    </row>
    <row r="134" spans="2:18">
      <c r="B134" s="176"/>
      <c r="C134" s="186"/>
      <c r="D134" s="172"/>
      <c r="E134" s="23">
        <v>859</v>
      </c>
      <c r="F134" s="23">
        <f>DEMANDA_PREVISIÓN!E863</f>
        <v>42</v>
      </c>
      <c r="G134" s="101"/>
      <c r="H134" s="23">
        <f t="shared" si="3"/>
        <v>446</v>
      </c>
      <c r="I134" s="138">
        <v>400</v>
      </c>
      <c r="J134" s="134">
        <v>400</v>
      </c>
      <c r="K134" s="101"/>
      <c r="L134" s="134">
        <v>50</v>
      </c>
      <c r="M134" s="143">
        <v>800</v>
      </c>
      <c r="Q134" s="141">
        <v>12.155902777777801</v>
      </c>
      <c r="R134" s="174"/>
    </row>
    <row r="135" spans="2:18">
      <c r="B135" s="176"/>
      <c r="C135" s="186"/>
      <c r="D135" s="172"/>
      <c r="E135" s="23">
        <v>860</v>
      </c>
      <c r="F135" s="23">
        <f>DEMANDA_PREVISIÓN!E864</f>
        <v>42</v>
      </c>
      <c r="G135" s="101"/>
      <c r="H135" s="23">
        <f t="shared" si="3"/>
        <v>404</v>
      </c>
      <c r="I135" s="138">
        <v>400</v>
      </c>
      <c r="J135" s="134">
        <v>400</v>
      </c>
      <c r="K135" s="101"/>
      <c r="L135" s="134">
        <v>50</v>
      </c>
      <c r="M135" s="143">
        <v>800</v>
      </c>
      <c r="Q135" s="141">
        <v>12.1655092592593</v>
      </c>
      <c r="R135" s="174"/>
    </row>
    <row r="136" spans="2:18">
      <c r="B136" s="176"/>
      <c r="C136" s="186"/>
      <c r="D136" s="172"/>
      <c r="E136" s="23">
        <v>861</v>
      </c>
      <c r="F136" s="23">
        <f>DEMANDA_PREVISIÓN!E865</f>
        <v>38</v>
      </c>
      <c r="G136" s="101"/>
      <c r="H136" s="23">
        <f t="shared" si="3"/>
        <v>366</v>
      </c>
      <c r="I136" s="138">
        <v>400</v>
      </c>
      <c r="J136" s="134">
        <v>400</v>
      </c>
      <c r="K136" s="101"/>
      <c r="L136" s="134">
        <v>50</v>
      </c>
      <c r="M136" s="143">
        <v>800</v>
      </c>
      <c r="Q136" s="141">
        <v>12.1751157407408</v>
      </c>
      <c r="R136" s="174"/>
    </row>
    <row r="137" spans="2:18">
      <c r="B137" s="176"/>
      <c r="C137" s="186"/>
      <c r="D137" s="172"/>
      <c r="E137" s="23">
        <v>862</v>
      </c>
      <c r="F137" s="23">
        <f>DEMANDA_PREVISIÓN!E866</f>
        <v>51</v>
      </c>
      <c r="G137" s="101"/>
      <c r="H137" s="23">
        <f t="shared" si="3"/>
        <v>315</v>
      </c>
      <c r="I137" s="138">
        <v>400</v>
      </c>
      <c r="J137" s="134">
        <v>400</v>
      </c>
      <c r="K137" s="101"/>
      <c r="L137" s="134">
        <v>50</v>
      </c>
      <c r="M137" s="143">
        <v>800</v>
      </c>
      <c r="Q137" s="141">
        <v>12.1847222222223</v>
      </c>
      <c r="R137" s="174"/>
    </row>
    <row r="138" spans="2:18">
      <c r="B138" s="176"/>
      <c r="C138" s="186"/>
      <c r="D138" s="172"/>
      <c r="E138" s="23">
        <v>863</v>
      </c>
      <c r="F138" s="23">
        <f>DEMANDA_PREVISIÓN!E867</f>
        <v>32</v>
      </c>
      <c r="G138" s="101"/>
      <c r="H138" s="23">
        <f t="shared" si="3"/>
        <v>283</v>
      </c>
      <c r="I138" s="138">
        <v>400</v>
      </c>
      <c r="J138" s="134">
        <v>400</v>
      </c>
      <c r="K138" s="101"/>
      <c r="L138" s="134">
        <v>50</v>
      </c>
      <c r="M138" s="143">
        <v>800</v>
      </c>
      <c r="Q138" s="141">
        <v>12.1943287037038</v>
      </c>
      <c r="R138" s="174"/>
    </row>
    <row r="139" spans="2:18">
      <c r="B139" s="176"/>
      <c r="C139" s="186"/>
      <c r="D139" s="172"/>
      <c r="E139" s="23">
        <v>864</v>
      </c>
      <c r="F139" s="23">
        <f>DEMANDA_PREVISIÓN!E868</f>
        <v>39</v>
      </c>
      <c r="G139" s="101"/>
      <c r="H139" s="138">
        <f>I138+H138</f>
        <v>683</v>
      </c>
      <c r="I139" s="23"/>
      <c r="J139" s="134">
        <v>400</v>
      </c>
      <c r="K139" s="101"/>
      <c r="L139" s="134">
        <v>50</v>
      </c>
      <c r="M139" s="143">
        <v>800</v>
      </c>
      <c r="Q139" s="141">
        <v>12.2039351851853</v>
      </c>
      <c r="R139" s="174"/>
    </row>
    <row r="140" spans="2:18">
      <c r="B140" s="176"/>
      <c r="C140" s="186"/>
      <c r="D140" s="172"/>
      <c r="E140" s="23">
        <v>865</v>
      </c>
      <c r="F140" s="23">
        <f>DEMANDA_PREVISIÓN!E869</f>
        <v>51</v>
      </c>
      <c r="G140" s="101"/>
      <c r="H140" s="23">
        <f t="shared" ref="H140:H146" si="4">H139-F140</f>
        <v>632</v>
      </c>
      <c r="I140" s="134">
        <v>400</v>
      </c>
      <c r="J140" s="134">
        <v>400</v>
      </c>
      <c r="K140" s="101"/>
      <c r="L140" s="134">
        <v>50</v>
      </c>
      <c r="M140" s="143">
        <v>800</v>
      </c>
      <c r="Q140" s="141">
        <v>12.2135416666667</v>
      </c>
      <c r="R140" s="174"/>
    </row>
    <row r="141" spans="2:18">
      <c r="B141" s="176"/>
      <c r="C141" s="186"/>
      <c r="D141" s="172"/>
      <c r="E141" s="23">
        <v>866</v>
      </c>
      <c r="F141" s="23">
        <f>DEMANDA_PREVISIÓN!E870</f>
        <v>41</v>
      </c>
      <c r="G141" s="101"/>
      <c r="H141" s="23">
        <f t="shared" si="4"/>
        <v>591</v>
      </c>
      <c r="I141" s="134">
        <v>400</v>
      </c>
      <c r="J141" s="128">
        <v>400</v>
      </c>
      <c r="K141" s="101"/>
      <c r="L141" s="128">
        <v>50</v>
      </c>
      <c r="M141" s="143">
        <v>800</v>
      </c>
      <c r="Q141" s="141">
        <v>12.2231481481482</v>
      </c>
      <c r="R141" s="174"/>
    </row>
    <row r="142" spans="2:18">
      <c r="B142" s="176"/>
      <c r="C142" s="186"/>
      <c r="D142" s="172"/>
      <c r="E142" s="23">
        <v>867</v>
      </c>
      <c r="F142" s="23">
        <f>DEMANDA_PREVISIÓN!E871</f>
        <v>44</v>
      </c>
      <c r="G142" s="101"/>
      <c r="H142" s="23">
        <f t="shared" si="4"/>
        <v>547</v>
      </c>
      <c r="I142" s="134">
        <v>400</v>
      </c>
      <c r="J142" s="128">
        <v>400</v>
      </c>
      <c r="K142" s="101"/>
      <c r="L142" s="128">
        <v>50</v>
      </c>
      <c r="M142" s="143">
        <v>800</v>
      </c>
      <c r="Q142" s="141">
        <v>12.232754629629699</v>
      </c>
      <c r="R142" s="174"/>
    </row>
    <row r="143" spans="2:18">
      <c r="B143" s="176"/>
      <c r="C143" s="186"/>
      <c r="D143" s="172"/>
      <c r="E143" s="23">
        <v>868</v>
      </c>
      <c r="F143" s="23">
        <f>DEMANDA_PREVISIÓN!E872</f>
        <v>38</v>
      </c>
      <c r="G143" s="101"/>
      <c r="H143" s="23">
        <f t="shared" si="4"/>
        <v>509</v>
      </c>
      <c r="I143" s="134">
        <v>400</v>
      </c>
      <c r="J143" s="128">
        <v>400</v>
      </c>
      <c r="K143" s="101"/>
      <c r="L143" s="128">
        <v>50</v>
      </c>
      <c r="M143" s="143">
        <v>800</v>
      </c>
      <c r="Q143" s="141">
        <v>12.242361111111199</v>
      </c>
      <c r="R143" s="174"/>
    </row>
    <row r="144" spans="2:18">
      <c r="B144" s="176"/>
      <c r="C144" s="186"/>
      <c r="D144" s="172"/>
      <c r="E144" s="23">
        <v>869</v>
      </c>
      <c r="F144" s="23">
        <f>DEMANDA_PREVISIÓN!E873</f>
        <v>41</v>
      </c>
      <c r="G144" s="101"/>
      <c r="H144" s="23">
        <f t="shared" si="4"/>
        <v>468</v>
      </c>
      <c r="I144" s="134">
        <v>400</v>
      </c>
      <c r="J144" s="128">
        <v>400</v>
      </c>
      <c r="K144" s="101"/>
      <c r="L144" s="128">
        <v>50</v>
      </c>
      <c r="M144" s="143">
        <v>800</v>
      </c>
      <c r="Q144" s="141">
        <v>12.251967592592701</v>
      </c>
      <c r="R144" s="174"/>
    </row>
    <row r="145" spans="2:18">
      <c r="B145" s="176"/>
      <c r="C145" s="186"/>
      <c r="D145" s="172"/>
      <c r="E145" s="23">
        <v>870</v>
      </c>
      <c r="F145" s="23">
        <f>DEMANDA_PREVISIÓN!E874</f>
        <v>45</v>
      </c>
      <c r="G145" s="101"/>
      <c r="H145" s="23">
        <f t="shared" si="4"/>
        <v>423</v>
      </c>
      <c r="I145" s="134">
        <v>400</v>
      </c>
      <c r="J145" s="128">
        <v>400</v>
      </c>
      <c r="K145" s="101"/>
      <c r="L145" s="128">
        <v>50</v>
      </c>
      <c r="M145" s="143">
        <v>800</v>
      </c>
      <c r="Q145" s="141">
        <v>12.261574074074099</v>
      </c>
      <c r="R145" s="174"/>
    </row>
    <row r="146" spans="2:18">
      <c r="B146" s="176"/>
      <c r="C146" s="186"/>
      <c r="D146" s="172"/>
      <c r="E146" s="23">
        <v>871</v>
      </c>
      <c r="F146" s="23">
        <f>DEMANDA_PREVISIÓN!E875</f>
        <v>46</v>
      </c>
      <c r="G146" s="101"/>
      <c r="H146" s="23">
        <f t="shared" si="4"/>
        <v>377</v>
      </c>
      <c r="I146" s="134">
        <v>400</v>
      </c>
      <c r="J146" s="128">
        <v>400</v>
      </c>
      <c r="K146" s="101"/>
      <c r="L146" s="128">
        <v>50</v>
      </c>
      <c r="M146" s="143">
        <v>800</v>
      </c>
      <c r="Q146" s="141">
        <v>12.271180555555601</v>
      </c>
      <c r="R146" s="174"/>
    </row>
    <row r="147" spans="2:18">
      <c r="B147" s="176"/>
      <c r="C147" s="186"/>
      <c r="D147" s="172"/>
      <c r="E147" s="23">
        <v>872</v>
      </c>
      <c r="F147" s="23">
        <f>DEMANDA_PREVISIÓN!E876</f>
        <v>45</v>
      </c>
      <c r="G147" s="101"/>
      <c r="H147" s="134">
        <f>I146+H146</f>
        <v>777</v>
      </c>
      <c r="I147" s="23"/>
      <c r="J147" s="128">
        <v>400</v>
      </c>
      <c r="K147" s="101"/>
      <c r="L147" s="128">
        <v>50</v>
      </c>
      <c r="M147" s="143">
        <v>800</v>
      </c>
      <c r="Q147" s="141">
        <v>12.280787037037101</v>
      </c>
      <c r="R147" s="174"/>
    </row>
    <row r="148" spans="2:18">
      <c r="B148" s="176"/>
      <c r="C148" s="186"/>
      <c r="D148" s="172"/>
      <c r="E148" s="23">
        <v>873</v>
      </c>
      <c r="F148" s="23">
        <f>DEMANDA_PREVISIÓN!E877</f>
        <v>48</v>
      </c>
      <c r="G148" s="101"/>
      <c r="H148" s="23">
        <f>H147-F148</f>
        <v>729</v>
      </c>
      <c r="I148" s="128">
        <v>400</v>
      </c>
      <c r="J148" s="128">
        <v>400</v>
      </c>
      <c r="K148" s="101"/>
      <c r="L148" s="128">
        <v>50</v>
      </c>
      <c r="M148" s="143">
        <v>800</v>
      </c>
      <c r="Q148" s="141">
        <v>12.2903935185186</v>
      </c>
      <c r="R148" s="174"/>
    </row>
    <row r="149" spans="2:18">
      <c r="B149" s="176"/>
      <c r="C149" s="186"/>
      <c r="D149" s="172"/>
      <c r="E149" s="23">
        <v>874</v>
      </c>
      <c r="F149" s="23">
        <f>DEMANDA_PREVISIÓN!E878</f>
        <v>47</v>
      </c>
      <c r="G149" s="101"/>
      <c r="H149" s="23">
        <f>H148-F149</f>
        <v>682</v>
      </c>
      <c r="I149" s="128">
        <v>400</v>
      </c>
      <c r="J149" s="129">
        <v>400</v>
      </c>
      <c r="K149" s="101"/>
      <c r="L149" s="129">
        <v>50</v>
      </c>
      <c r="M149" s="143">
        <v>800</v>
      </c>
      <c r="Q149" s="141">
        <v>12.3000000000001</v>
      </c>
      <c r="R149" s="174"/>
    </row>
    <row r="150" spans="2:18">
      <c r="B150" s="176"/>
      <c r="C150" s="186"/>
      <c r="D150" s="172"/>
      <c r="E150" s="23">
        <v>875</v>
      </c>
      <c r="F150" s="23">
        <f>DEMANDA_PREVISIÓN!E879</f>
        <v>48</v>
      </c>
      <c r="G150" s="101"/>
      <c r="H150" s="23">
        <f>H149-F150</f>
        <v>634</v>
      </c>
      <c r="I150" s="128">
        <v>400</v>
      </c>
      <c r="J150" s="129">
        <v>400</v>
      </c>
      <c r="K150" s="101"/>
      <c r="L150" s="129">
        <v>50</v>
      </c>
      <c r="M150" s="143">
        <v>800</v>
      </c>
      <c r="Q150" s="141">
        <v>12.3096064814816</v>
      </c>
      <c r="R150" s="174"/>
    </row>
    <row r="151" spans="2:18">
      <c r="B151" s="176"/>
      <c r="C151" s="186"/>
      <c r="D151" s="172"/>
      <c r="E151" s="23">
        <v>876</v>
      </c>
      <c r="F151" s="23">
        <f>DEMANDA_PREVISIÓN!E880</f>
        <v>45</v>
      </c>
      <c r="G151" s="101"/>
      <c r="H151" s="23">
        <f>H150-F151</f>
        <v>589</v>
      </c>
      <c r="I151" s="128">
        <v>400</v>
      </c>
      <c r="J151" s="129">
        <v>400</v>
      </c>
      <c r="K151" s="101"/>
      <c r="L151" s="129">
        <v>50</v>
      </c>
      <c r="M151" s="143">
        <v>800</v>
      </c>
      <c r="Q151" s="141">
        <v>12.319212962963</v>
      </c>
      <c r="R151" s="174"/>
    </row>
    <row r="152" spans="2:18">
      <c r="B152" s="176"/>
      <c r="C152" s="186"/>
      <c r="D152" s="172"/>
      <c r="E152" s="23">
        <v>877</v>
      </c>
      <c r="F152" s="23">
        <f>DEMANDA_PREVISIÓN!E881</f>
        <v>35</v>
      </c>
      <c r="G152" s="101"/>
      <c r="H152" s="23">
        <f t="shared" ref="H152:H154" si="5">H151-F152</f>
        <v>554</v>
      </c>
      <c r="I152" s="128">
        <v>400</v>
      </c>
      <c r="J152" s="129">
        <v>400</v>
      </c>
      <c r="K152" s="101"/>
      <c r="L152" s="129">
        <v>50</v>
      </c>
      <c r="M152" s="143">
        <v>800</v>
      </c>
      <c r="Q152" s="141">
        <v>12.3288194444445</v>
      </c>
      <c r="R152" s="174"/>
    </row>
    <row r="153" spans="2:18">
      <c r="B153" s="176"/>
      <c r="C153" s="186"/>
      <c r="D153" s="172"/>
      <c r="E153" s="23">
        <v>878</v>
      </c>
      <c r="F153" s="23">
        <f>DEMANDA_PREVISIÓN!E882</f>
        <v>33</v>
      </c>
      <c r="G153" s="101"/>
      <c r="H153" s="23">
        <f t="shared" si="5"/>
        <v>521</v>
      </c>
      <c r="I153" s="128">
        <v>400</v>
      </c>
      <c r="J153" s="129">
        <v>400</v>
      </c>
      <c r="K153" s="101"/>
      <c r="L153" s="129">
        <v>50</v>
      </c>
      <c r="M153" s="143">
        <v>800</v>
      </c>
      <c r="Q153" s="141">
        <v>12.338425925926</v>
      </c>
      <c r="R153" s="174"/>
    </row>
    <row r="154" spans="2:18">
      <c r="B154" s="176"/>
      <c r="C154" s="186"/>
      <c r="D154" s="172"/>
      <c r="E154" s="23">
        <v>879</v>
      </c>
      <c r="F154" s="23">
        <f>DEMANDA_PREVISIÓN!E883</f>
        <v>41</v>
      </c>
      <c r="G154" s="101"/>
      <c r="H154" s="23">
        <f t="shared" si="5"/>
        <v>480</v>
      </c>
      <c r="I154" s="128">
        <v>400</v>
      </c>
      <c r="J154" s="129">
        <v>400</v>
      </c>
      <c r="K154" s="101"/>
      <c r="L154" s="129">
        <v>50</v>
      </c>
      <c r="M154" s="143">
        <v>800</v>
      </c>
      <c r="Q154" s="141">
        <v>12.3480324074075</v>
      </c>
      <c r="R154" s="174"/>
    </row>
    <row r="155" spans="2:18">
      <c r="B155" s="176"/>
      <c r="C155" s="186"/>
      <c r="D155" s="172"/>
      <c r="E155" s="23">
        <v>880</v>
      </c>
      <c r="F155" s="23">
        <f>DEMANDA_PREVISIÓN!E884</f>
        <v>37</v>
      </c>
      <c r="G155" s="101"/>
      <c r="H155" s="128">
        <f>I154+H154</f>
        <v>880</v>
      </c>
      <c r="J155" s="129">
        <v>400</v>
      </c>
      <c r="K155" s="47"/>
      <c r="L155" s="129">
        <v>50</v>
      </c>
      <c r="M155" s="143">
        <v>800</v>
      </c>
      <c r="Q155" s="141">
        <v>12.357638888888999</v>
      </c>
      <c r="R155" s="174"/>
    </row>
    <row r="156" spans="2:18">
      <c r="B156" s="176"/>
      <c r="C156" s="186"/>
      <c r="D156" s="173"/>
      <c r="E156" s="23">
        <v>881</v>
      </c>
      <c r="F156" s="23">
        <f>DEMANDA_PREVISIÓN!E885</f>
        <v>34</v>
      </c>
      <c r="G156" s="101"/>
      <c r="H156" s="23">
        <f t="shared" ref="H156:H162" si="6">H155-F156</f>
        <v>846</v>
      </c>
      <c r="I156" s="129">
        <v>400</v>
      </c>
      <c r="J156" s="129">
        <v>400</v>
      </c>
      <c r="K156" s="101"/>
      <c r="L156" s="129">
        <v>50</v>
      </c>
      <c r="M156" s="143">
        <v>800</v>
      </c>
      <c r="Q156" s="141">
        <v>12.367245370370499</v>
      </c>
      <c r="R156" s="174"/>
    </row>
    <row r="157" spans="2:18">
      <c r="B157" s="176"/>
      <c r="C157" s="186"/>
      <c r="D157" s="171" t="s">
        <v>47</v>
      </c>
      <c r="E157" s="23">
        <v>882</v>
      </c>
      <c r="F157" s="23">
        <f>DEMANDA_PREVISIÓN!E886</f>
        <v>35</v>
      </c>
      <c r="G157" s="101"/>
      <c r="H157" s="23">
        <f t="shared" si="6"/>
        <v>811</v>
      </c>
      <c r="I157" s="129">
        <v>400</v>
      </c>
      <c r="J157" s="137">
        <v>400</v>
      </c>
      <c r="K157" s="101"/>
      <c r="L157" s="137">
        <v>50</v>
      </c>
      <c r="M157" s="143">
        <v>800</v>
      </c>
      <c r="Q157" s="141">
        <v>12.3768518518519</v>
      </c>
      <c r="R157" s="174"/>
    </row>
    <row r="158" spans="2:18">
      <c r="B158" s="176"/>
      <c r="C158" s="186"/>
      <c r="D158" s="172"/>
      <c r="E158" s="23">
        <v>883</v>
      </c>
      <c r="F158" s="23">
        <f>DEMANDA_PREVISIÓN!E887</f>
        <v>31</v>
      </c>
      <c r="G158" s="101"/>
      <c r="H158" s="23">
        <f t="shared" si="6"/>
        <v>780</v>
      </c>
      <c r="I158" s="129">
        <v>400</v>
      </c>
      <c r="J158" s="137">
        <v>400</v>
      </c>
      <c r="K158" s="101"/>
      <c r="L158" s="137">
        <v>50</v>
      </c>
      <c r="M158" s="143">
        <v>800</v>
      </c>
      <c r="Q158" s="141">
        <v>12.386458333333399</v>
      </c>
      <c r="R158" s="174"/>
    </row>
    <row r="159" spans="2:18">
      <c r="B159" s="176"/>
      <c r="C159" s="186"/>
      <c r="D159" s="172"/>
      <c r="E159" s="23">
        <v>884</v>
      </c>
      <c r="F159" s="23">
        <f>DEMANDA_PREVISIÓN!E888</f>
        <v>37</v>
      </c>
      <c r="G159" s="101"/>
      <c r="H159" s="23">
        <f t="shared" si="6"/>
        <v>743</v>
      </c>
      <c r="I159" s="129">
        <v>400</v>
      </c>
      <c r="J159" s="137">
        <v>400</v>
      </c>
      <c r="K159" s="101"/>
      <c r="L159" s="137">
        <v>50</v>
      </c>
      <c r="M159" s="143">
        <v>800</v>
      </c>
      <c r="Q159" s="141">
        <v>12.396064814814901</v>
      </c>
      <c r="R159" s="174"/>
    </row>
    <row r="160" spans="2:18">
      <c r="B160" s="176"/>
      <c r="C160" s="186"/>
      <c r="D160" s="172"/>
      <c r="E160" s="23">
        <v>885</v>
      </c>
      <c r="F160" s="23">
        <f>DEMANDA_PREVISIÓN!E889</f>
        <v>38</v>
      </c>
      <c r="G160" s="101"/>
      <c r="H160" s="23">
        <f t="shared" si="6"/>
        <v>705</v>
      </c>
      <c r="I160" s="129">
        <v>400</v>
      </c>
      <c r="J160" s="137">
        <v>400</v>
      </c>
      <c r="K160" s="101"/>
      <c r="L160" s="137">
        <v>50</v>
      </c>
      <c r="M160" s="143">
        <v>800</v>
      </c>
      <c r="Q160" s="141">
        <v>12.405671296296401</v>
      </c>
      <c r="R160" s="174"/>
    </row>
    <row r="161" spans="2:18">
      <c r="B161" s="176"/>
      <c r="C161" s="186"/>
      <c r="D161" s="172"/>
      <c r="E161" s="23">
        <v>886</v>
      </c>
      <c r="F161" s="23">
        <f>DEMANDA_PREVISIÓN!E890</f>
        <v>46</v>
      </c>
      <c r="G161" s="101"/>
      <c r="H161" s="23">
        <f t="shared" si="6"/>
        <v>659</v>
      </c>
      <c r="I161" s="129">
        <v>400</v>
      </c>
      <c r="J161" s="137">
        <v>400</v>
      </c>
      <c r="K161" s="101"/>
      <c r="L161" s="137">
        <v>50</v>
      </c>
      <c r="M161" s="143">
        <v>800</v>
      </c>
      <c r="Q161" s="141">
        <v>12.4152777777779</v>
      </c>
      <c r="R161" s="174"/>
    </row>
    <row r="162" spans="2:18">
      <c r="B162" s="176"/>
      <c r="C162" s="186"/>
      <c r="D162" s="172"/>
      <c r="E162" s="23">
        <v>887</v>
      </c>
      <c r="F162" s="23">
        <f>DEMANDA_PREVISIÓN!E891</f>
        <v>34</v>
      </c>
      <c r="G162" s="101"/>
      <c r="H162" s="23">
        <f t="shared" si="6"/>
        <v>625</v>
      </c>
      <c r="I162" s="129">
        <v>400</v>
      </c>
      <c r="J162" s="137">
        <v>400</v>
      </c>
      <c r="K162" s="101"/>
      <c r="L162" s="137">
        <v>50</v>
      </c>
      <c r="M162" s="143">
        <v>800</v>
      </c>
      <c r="Q162" s="141">
        <v>12.424884259259301</v>
      </c>
      <c r="R162" s="174"/>
    </row>
    <row r="163" spans="2:18">
      <c r="B163" s="176"/>
      <c r="C163" s="186"/>
      <c r="D163" s="172"/>
      <c r="E163" s="23">
        <v>888</v>
      </c>
      <c r="F163" s="23">
        <f>DEMANDA_PREVISIÓN!E892</f>
        <v>34</v>
      </c>
      <c r="G163" s="101"/>
      <c r="H163" s="129">
        <f>I162+H162</f>
        <v>1025</v>
      </c>
      <c r="I163" s="23"/>
      <c r="J163" s="137">
        <v>400</v>
      </c>
      <c r="K163" s="101"/>
      <c r="L163" s="137">
        <v>50</v>
      </c>
      <c r="M163" s="143">
        <v>400</v>
      </c>
      <c r="Q163" s="141">
        <v>12.434490740740801</v>
      </c>
      <c r="R163" s="174"/>
    </row>
    <row r="164" spans="2:18">
      <c r="B164" s="176"/>
      <c r="C164" s="186"/>
      <c r="D164" s="172"/>
      <c r="E164" s="23">
        <v>889</v>
      </c>
      <c r="F164" s="23">
        <f>DEMANDA_PREVISIÓN!E893</f>
        <v>48</v>
      </c>
      <c r="G164" s="101"/>
      <c r="H164" s="23">
        <f t="shared" ref="H164:H170" si="7">H163-F164</f>
        <v>977</v>
      </c>
      <c r="I164" s="137">
        <v>400</v>
      </c>
      <c r="J164" s="137">
        <v>400</v>
      </c>
      <c r="K164" s="101"/>
      <c r="L164" s="137">
        <v>50</v>
      </c>
      <c r="M164" s="143">
        <v>400</v>
      </c>
      <c r="Q164" s="141">
        <v>12.4440972222223</v>
      </c>
      <c r="R164" s="174"/>
    </row>
    <row r="165" spans="2:18">
      <c r="B165" s="176"/>
      <c r="C165" s="186"/>
      <c r="D165" s="172"/>
      <c r="E165" s="23">
        <v>890</v>
      </c>
      <c r="F165" s="23">
        <f>DEMANDA_PREVISIÓN!E894</f>
        <v>37</v>
      </c>
      <c r="G165" s="101"/>
      <c r="H165" s="23">
        <f t="shared" si="7"/>
        <v>940</v>
      </c>
      <c r="I165" s="137">
        <v>400</v>
      </c>
      <c r="J165" s="138">
        <v>400</v>
      </c>
      <c r="K165" s="101"/>
      <c r="L165" s="138">
        <v>50</v>
      </c>
      <c r="M165" s="143">
        <v>400</v>
      </c>
      <c r="Q165" s="141">
        <v>12.4537037037038</v>
      </c>
      <c r="R165" s="174"/>
    </row>
    <row r="166" spans="2:18">
      <c r="B166" s="176"/>
      <c r="C166" s="186"/>
      <c r="D166" s="172"/>
      <c r="E166" s="23">
        <v>891</v>
      </c>
      <c r="F166" s="23">
        <f>DEMANDA_PREVISIÓN!E895</f>
        <v>47</v>
      </c>
      <c r="G166" s="101"/>
      <c r="H166" s="23">
        <f t="shared" si="7"/>
        <v>893</v>
      </c>
      <c r="I166" s="137">
        <v>400</v>
      </c>
      <c r="J166" s="138">
        <v>400</v>
      </c>
      <c r="K166" s="101"/>
      <c r="L166" s="138">
        <v>50</v>
      </c>
      <c r="M166" s="143">
        <v>400</v>
      </c>
      <c r="Q166" s="141">
        <v>12.4633101851853</v>
      </c>
      <c r="R166" s="174"/>
    </row>
    <row r="167" spans="2:18">
      <c r="B167" s="176"/>
      <c r="C167" s="186"/>
      <c r="D167" s="172"/>
      <c r="E167" s="23">
        <v>892</v>
      </c>
      <c r="F167" s="23">
        <f>DEMANDA_PREVISIÓN!E896</f>
        <v>44</v>
      </c>
      <c r="G167" s="101"/>
      <c r="H167" s="23">
        <f t="shared" si="7"/>
        <v>849</v>
      </c>
      <c r="I167" s="137">
        <v>400</v>
      </c>
      <c r="J167" s="138">
        <v>400</v>
      </c>
      <c r="K167" s="101"/>
      <c r="L167" s="138">
        <v>50</v>
      </c>
      <c r="M167" s="143">
        <v>400</v>
      </c>
      <c r="Q167" s="141">
        <v>12.4729166666668</v>
      </c>
      <c r="R167" s="174"/>
    </row>
    <row r="168" spans="2:18">
      <c r="B168" s="176"/>
      <c r="C168" s="186"/>
      <c r="D168" s="172"/>
      <c r="E168" s="23">
        <v>893</v>
      </c>
      <c r="F168" s="23">
        <f>DEMANDA_PREVISIÓN!E897</f>
        <v>42</v>
      </c>
      <c r="G168" s="101"/>
      <c r="H168" s="23">
        <f t="shared" si="7"/>
        <v>807</v>
      </c>
      <c r="I168" s="137">
        <v>400</v>
      </c>
      <c r="J168" s="138">
        <v>400</v>
      </c>
      <c r="K168" s="101"/>
      <c r="L168" s="138">
        <v>50</v>
      </c>
      <c r="M168" s="143">
        <v>400</v>
      </c>
      <c r="Q168" s="141">
        <v>12.4825231481482</v>
      </c>
      <c r="R168" s="174"/>
    </row>
    <row r="169" spans="2:18">
      <c r="B169" s="176"/>
      <c r="C169" s="186"/>
      <c r="D169" s="172"/>
      <c r="E169" s="23">
        <v>894</v>
      </c>
      <c r="F169" s="23">
        <f>DEMANDA_PREVISIÓN!E898</f>
        <v>31</v>
      </c>
      <c r="G169" s="101"/>
      <c r="H169" s="23">
        <f t="shared" si="7"/>
        <v>776</v>
      </c>
      <c r="I169" s="137">
        <v>400</v>
      </c>
      <c r="J169" s="138">
        <v>400</v>
      </c>
      <c r="K169" s="101"/>
      <c r="L169" s="138">
        <v>50</v>
      </c>
      <c r="M169" s="143">
        <v>400</v>
      </c>
      <c r="Q169" s="141">
        <v>12.4921296296297</v>
      </c>
      <c r="R169" s="174"/>
    </row>
    <row r="170" spans="2:18">
      <c r="B170" s="176"/>
      <c r="C170" s="186"/>
      <c r="D170" s="172"/>
      <c r="E170" s="23">
        <v>895</v>
      </c>
      <c r="F170" s="23">
        <f>DEMANDA_PREVISIÓN!E899</f>
        <v>41</v>
      </c>
      <c r="G170" s="101"/>
      <c r="H170" s="23">
        <f t="shared" si="7"/>
        <v>735</v>
      </c>
      <c r="I170" s="137">
        <v>400</v>
      </c>
      <c r="J170" s="138">
        <v>400</v>
      </c>
      <c r="K170" s="101"/>
      <c r="L170" s="138">
        <v>50</v>
      </c>
      <c r="M170" s="143">
        <v>400</v>
      </c>
      <c r="Q170" s="141">
        <v>12.5017361111112</v>
      </c>
      <c r="R170" s="174"/>
    </row>
    <row r="171" spans="2:18">
      <c r="B171" s="176"/>
      <c r="C171" s="186"/>
      <c r="D171" s="172"/>
      <c r="E171" s="23">
        <v>896</v>
      </c>
      <c r="F171" s="23">
        <f>DEMANDA_PREVISIÓN!E900</f>
        <v>38</v>
      </c>
      <c r="G171" s="101"/>
      <c r="H171" s="137">
        <f>I170+H170</f>
        <v>1135</v>
      </c>
      <c r="I171" s="23"/>
      <c r="J171" s="138">
        <v>400</v>
      </c>
      <c r="K171" s="101"/>
      <c r="L171" s="138">
        <v>50</v>
      </c>
      <c r="M171" s="143">
        <v>400</v>
      </c>
      <c r="Q171" s="141">
        <v>12.511342592592699</v>
      </c>
      <c r="R171" s="174"/>
    </row>
    <row r="172" spans="2:18">
      <c r="B172" s="176"/>
      <c r="C172" s="186"/>
      <c r="D172" s="172"/>
      <c r="E172" s="23">
        <v>897</v>
      </c>
      <c r="F172" s="23">
        <f>DEMANDA_PREVISIÓN!E901</f>
        <v>37</v>
      </c>
      <c r="G172" s="101"/>
      <c r="H172" s="23">
        <f t="shared" ref="H172:H178" si="8">H171-F172</f>
        <v>1098</v>
      </c>
      <c r="I172" s="138">
        <v>400</v>
      </c>
      <c r="J172" s="138">
        <v>400</v>
      </c>
      <c r="K172" s="101"/>
      <c r="L172" s="138">
        <v>50</v>
      </c>
      <c r="M172" s="143">
        <v>400</v>
      </c>
      <c r="Q172" s="141">
        <v>12.520949074074201</v>
      </c>
      <c r="R172" s="174"/>
    </row>
    <row r="173" spans="2:18">
      <c r="B173" s="176"/>
      <c r="C173" s="186"/>
      <c r="D173" s="172"/>
      <c r="E173" s="23">
        <v>898</v>
      </c>
      <c r="F173" s="23">
        <f>DEMANDA_PREVISIÓN!E902</f>
        <v>48</v>
      </c>
      <c r="G173" s="101"/>
      <c r="H173" s="23">
        <f t="shared" si="8"/>
        <v>1050</v>
      </c>
      <c r="I173" s="138">
        <v>400</v>
      </c>
      <c r="J173" s="134">
        <v>400</v>
      </c>
      <c r="K173" s="101"/>
      <c r="L173" s="134">
        <v>50</v>
      </c>
      <c r="M173" s="143">
        <v>400</v>
      </c>
      <c r="Q173" s="141">
        <v>12.530555555555599</v>
      </c>
      <c r="R173" s="174"/>
    </row>
    <row r="174" spans="2:18">
      <c r="B174" s="176"/>
      <c r="C174" s="186"/>
      <c r="D174" s="172"/>
      <c r="E174" s="23">
        <v>899</v>
      </c>
      <c r="F174" s="23">
        <f>DEMANDA_PREVISIÓN!E903</f>
        <v>34</v>
      </c>
      <c r="G174" s="101"/>
      <c r="H174" s="23">
        <f t="shared" si="8"/>
        <v>1016</v>
      </c>
      <c r="I174" s="138">
        <v>400</v>
      </c>
      <c r="J174" s="134">
        <v>400</v>
      </c>
      <c r="K174" s="101"/>
      <c r="L174" s="134">
        <v>50</v>
      </c>
      <c r="M174" s="143">
        <v>400</v>
      </c>
      <c r="Q174" s="141">
        <v>12.540162037037099</v>
      </c>
      <c r="R174" s="174"/>
    </row>
    <row r="175" spans="2:18">
      <c r="B175" s="176"/>
      <c r="C175" s="186"/>
      <c r="D175" s="172"/>
      <c r="E175" s="23">
        <v>900</v>
      </c>
      <c r="F175" s="23">
        <f>DEMANDA_PREVISIÓN!E904</f>
        <v>46</v>
      </c>
      <c r="G175" s="101"/>
      <c r="H175" s="23">
        <f t="shared" si="8"/>
        <v>970</v>
      </c>
      <c r="I175" s="138">
        <v>400</v>
      </c>
      <c r="J175" s="134">
        <v>400</v>
      </c>
      <c r="K175" s="101"/>
      <c r="L175" s="134">
        <v>50</v>
      </c>
      <c r="M175" s="143">
        <v>400</v>
      </c>
      <c r="Q175" s="141">
        <v>12.549768518518601</v>
      </c>
      <c r="R175" s="174"/>
    </row>
    <row r="176" spans="2:18">
      <c r="B176" s="176"/>
      <c r="C176" s="186"/>
      <c r="D176" s="172"/>
      <c r="E176" s="23">
        <v>901</v>
      </c>
      <c r="F176" s="23">
        <f>DEMANDA_PREVISIÓN!E905</f>
        <v>48</v>
      </c>
      <c r="G176" s="101"/>
      <c r="H176" s="23">
        <f t="shared" si="8"/>
        <v>922</v>
      </c>
      <c r="I176" s="138">
        <v>400</v>
      </c>
      <c r="J176" s="134">
        <v>400</v>
      </c>
      <c r="K176" s="101"/>
      <c r="L176" s="134">
        <v>50</v>
      </c>
      <c r="M176" s="143">
        <v>400</v>
      </c>
      <c r="Q176" s="141">
        <v>12.559375000000101</v>
      </c>
      <c r="R176" s="174"/>
    </row>
    <row r="177" spans="2:18">
      <c r="B177" s="176"/>
      <c r="C177" s="186"/>
      <c r="D177" s="172"/>
      <c r="E177" s="23">
        <v>902</v>
      </c>
      <c r="F177" s="23">
        <f>DEMANDA_PREVISIÓN!E906</f>
        <v>46</v>
      </c>
      <c r="G177" s="101"/>
      <c r="H177" s="23">
        <f t="shared" si="8"/>
        <v>876</v>
      </c>
      <c r="I177" s="138">
        <v>400</v>
      </c>
      <c r="J177" s="134">
        <v>400</v>
      </c>
      <c r="K177" s="101"/>
      <c r="L177" s="134">
        <v>50</v>
      </c>
      <c r="M177" s="143">
        <v>400</v>
      </c>
      <c r="Q177" s="141">
        <v>12.5689814814816</v>
      </c>
      <c r="R177" s="174"/>
    </row>
    <row r="178" spans="2:18">
      <c r="B178" s="176"/>
      <c r="C178" s="186"/>
      <c r="D178" s="172"/>
      <c r="E178" s="23">
        <v>903</v>
      </c>
      <c r="F178" s="23">
        <f>DEMANDA_PREVISIÓN!E907</f>
        <v>41</v>
      </c>
      <c r="G178" s="101"/>
      <c r="H178" s="23">
        <f t="shared" si="8"/>
        <v>835</v>
      </c>
      <c r="I178" s="138">
        <v>400</v>
      </c>
      <c r="J178" s="134">
        <v>400</v>
      </c>
      <c r="K178" s="101"/>
      <c r="L178" s="134">
        <v>50</v>
      </c>
      <c r="M178" s="143">
        <v>400</v>
      </c>
      <c r="Q178" s="141">
        <v>12.5785879629631</v>
      </c>
      <c r="R178" s="174"/>
    </row>
    <row r="179" spans="2:18">
      <c r="B179" s="176"/>
      <c r="C179" s="186"/>
      <c r="D179" s="172"/>
      <c r="E179" s="23">
        <v>904</v>
      </c>
      <c r="F179" s="23">
        <f>DEMANDA_PREVISIÓN!E908</f>
        <v>38</v>
      </c>
      <c r="G179" s="101"/>
      <c r="H179" s="138">
        <f>I178+H178</f>
        <v>1235</v>
      </c>
      <c r="I179" s="23"/>
      <c r="J179" s="134">
        <v>400</v>
      </c>
      <c r="K179" s="101"/>
      <c r="L179" s="134">
        <v>50</v>
      </c>
      <c r="M179" s="143">
        <v>400</v>
      </c>
      <c r="Q179" s="141">
        <v>12.5881944444445</v>
      </c>
      <c r="R179" s="174"/>
    </row>
    <row r="180" spans="2:18">
      <c r="B180" s="176"/>
      <c r="C180" s="186"/>
      <c r="D180" s="172"/>
      <c r="E180" s="23">
        <v>905</v>
      </c>
      <c r="F180" s="23">
        <f>DEMANDA_PREVISIÓN!E909</f>
        <v>48</v>
      </c>
      <c r="G180" s="101"/>
      <c r="H180" s="23">
        <f t="shared" ref="H180:H186" si="9">H179-F180</f>
        <v>1187</v>
      </c>
      <c r="I180" s="134">
        <v>400</v>
      </c>
      <c r="J180" s="134">
        <v>400</v>
      </c>
      <c r="K180" s="101"/>
      <c r="L180" s="134">
        <v>50</v>
      </c>
      <c r="M180" s="143">
        <v>400</v>
      </c>
      <c r="Q180" s="141">
        <v>12.597800925926</v>
      </c>
      <c r="R180" s="174"/>
    </row>
    <row r="181" spans="2:18">
      <c r="B181" s="176"/>
      <c r="C181" s="186"/>
      <c r="D181" s="172"/>
      <c r="E181" s="23">
        <v>906</v>
      </c>
      <c r="F181" s="23">
        <f>DEMANDA_PREVISIÓN!E910</f>
        <v>43</v>
      </c>
      <c r="G181" s="101"/>
      <c r="H181" s="23">
        <f t="shared" si="9"/>
        <v>1144</v>
      </c>
      <c r="I181" s="134">
        <v>400</v>
      </c>
      <c r="J181" s="128">
        <v>400</v>
      </c>
      <c r="K181" s="101"/>
      <c r="L181" s="128">
        <v>50</v>
      </c>
      <c r="M181" s="143">
        <v>400</v>
      </c>
      <c r="Q181" s="141">
        <v>12.6074074074075</v>
      </c>
      <c r="R181" s="174"/>
    </row>
    <row r="182" spans="2:18">
      <c r="B182" s="176"/>
      <c r="C182" s="186"/>
      <c r="D182" s="172"/>
      <c r="E182" s="23">
        <v>907</v>
      </c>
      <c r="F182" s="23">
        <f>DEMANDA_PREVISIÓN!E911</f>
        <v>43</v>
      </c>
      <c r="G182" s="101"/>
      <c r="H182" s="23">
        <f t="shared" si="9"/>
        <v>1101</v>
      </c>
      <c r="I182" s="134">
        <v>400</v>
      </c>
      <c r="J182" s="128">
        <v>400</v>
      </c>
      <c r="K182" s="101"/>
      <c r="L182" s="128">
        <v>50</v>
      </c>
      <c r="M182" s="143">
        <v>400</v>
      </c>
      <c r="Q182" s="141">
        <v>12.617013888889</v>
      </c>
      <c r="R182" s="174"/>
    </row>
    <row r="183" spans="2:18">
      <c r="B183" s="176"/>
      <c r="C183" s="186"/>
      <c r="D183" s="172"/>
      <c r="E183" s="23">
        <v>908</v>
      </c>
      <c r="F183" s="23">
        <f>DEMANDA_PREVISIÓN!E912</f>
        <v>36</v>
      </c>
      <c r="G183" s="101"/>
      <c r="H183" s="23">
        <f t="shared" si="9"/>
        <v>1065</v>
      </c>
      <c r="I183" s="134">
        <v>400</v>
      </c>
      <c r="J183" s="128">
        <v>400</v>
      </c>
      <c r="K183" s="101"/>
      <c r="L183" s="128">
        <v>50</v>
      </c>
      <c r="M183" s="143">
        <v>400</v>
      </c>
      <c r="Q183" s="141">
        <v>12.6266203703705</v>
      </c>
      <c r="R183" s="174"/>
    </row>
    <row r="184" spans="2:18">
      <c r="B184" s="176"/>
      <c r="C184" s="186"/>
      <c r="D184" s="172"/>
      <c r="E184" s="23">
        <v>909</v>
      </c>
      <c r="F184" s="23">
        <f>DEMANDA_PREVISIÓN!E913</f>
        <v>39</v>
      </c>
      <c r="G184" s="101"/>
      <c r="H184" s="23">
        <f t="shared" si="9"/>
        <v>1026</v>
      </c>
      <c r="I184" s="134">
        <v>400</v>
      </c>
      <c r="J184" s="128">
        <v>400</v>
      </c>
      <c r="K184" s="101"/>
      <c r="L184" s="128">
        <v>50</v>
      </c>
      <c r="M184" s="143">
        <v>400</v>
      </c>
      <c r="Q184" s="141">
        <v>12.6362268518519</v>
      </c>
      <c r="R184" s="174"/>
    </row>
    <row r="185" spans="2:18">
      <c r="B185" s="176"/>
      <c r="C185" s="186"/>
      <c r="D185" s="172"/>
      <c r="E185" s="23">
        <v>910</v>
      </c>
      <c r="F185" s="23">
        <f>DEMANDA_PREVISIÓN!E914</f>
        <v>40</v>
      </c>
      <c r="G185" s="101"/>
      <c r="H185" s="23">
        <f t="shared" si="9"/>
        <v>986</v>
      </c>
      <c r="I185" s="134">
        <v>400</v>
      </c>
      <c r="J185" s="128">
        <v>400</v>
      </c>
      <c r="K185" s="101"/>
      <c r="L185" s="128">
        <v>50</v>
      </c>
      <c r="M185" s="143">
        <v>400</v>
      </c>
      <c r="Q185" s="141">
        <v>12.6458333333334</v>
      </c>
      <c r="R185" s="174"/>
    </row>
    <row r="186" spans="2:18">
      <c r="B186" s="176"/>
      <c r="C186" s="186"/>
      <c r="D186" s="173"/>
      <c r="E186" s="23">
        <v>911</v>
      </c>
      <c r="F186" s="23">
        <f>DEMANDA_PREVISIÓN!E915</f>
        <v>42</v>
      </c>
      <c r="G186" s="101"/>
      <c r="H186" s="23">
        <f t="shared" si="9"/>
        <v>944</v>
      </c>
      <c r="I186" s="134">
        <v>400</v>
      </c>
      <c r="J186" s="128">
        <v>400</v>
      </c>
      <c r="K186" s="101"/>
      <c r="L186" s="128">
        <v>50</v>
      </c>
      <c r="M186" s="143">
        <v>400</v>
      </c>
      <c r="Q186" s="141">
        <v>12.655439814814899</v>
      </c>
      <c r="R186" s="174"/>
    </row>
    <row r="187" spans="2:18">
      <c r="B187" s="176"/>
      <c r="C187" s="174" t="s">
        <v>48</v>
      </c>
      <c r="D187" s="171" t="s">
        <v>49</v>
      </c>
      <c r="E187" s="23">
        <v>912</v>
      </c>
      <c r="F187" s="23">
        <f>DEMANDA_PREVISIÓN!E916</f>
        <v>37</v>
      </c>
      <c r="G187" s="101"/>
      <c r="H187" s="134">
        <f>I186+H186</f>
        <v>1344</v>
      </c>
      <c r="I187" s="23"/>
      <c r="J187" s="128">
        <v>400</v>
      </c>
      <c r="K187" s="101"/>
      <c r="L187" s="128">
        <v>50</v>
      </c>
      <c r="M187" s="143">
        <v>400</v>
      </c>
      <c r="Q187" s="141">
        <v>12.665046296296399</v>
      </c>
      <c r="R187" s="174"/>
    </row>
    <row r="188" spans="2:18">
      <c r="B188" s="176"/>
      <c r="C188" s="174"/>
      <c r="D188" s="172"/>
      <c r="E188" s="23">
        <v>913</v>
      </c>
      <c r="F188" s="23">
        <f>DEMANDA_PREVISIÓN!E917</f>
        <v>33</v>
      </c>
      <c r="G188" s="101"/>
      <c r="H188" s="23">
        <f>H187-F188</f>
        <v>1311</v>
      </c>
      <c r="I188" s="128">
        <v>400</v>
      </c>
      <c r="J188" s="128">
        <v>400</v>
      </c>
      <c r="K188" s="101"/>
      <c r="L188" s="128">
        <v>50</v>
      </c>
      <c r="M188" s="143">
        <v>400</v>
      </c>
      <c r="Q188" s="141">
        <v>12.674652777777901</v>
      </c>
      <c r="R188" s="174"/>
    </row>
    <row r="189" spans="2:18">
      <c r="B189" s="176"/>
      <c r="C189" s="174"/>
      <c r="D189" s="172"/>
      <c r="E189" s="23">
        <v>914</v>
      </c>
      <c r="F189" s="23">
        <f>DEMANDA_PREVISIÓN!E918</f>
        <v>46</v>
      </c>
      <c r="G189" s="101"/>
      <c r="H189" s="23">
        <f>H188-F189</f>
        <v>1265</v>
      </c>
      <c r="I189" s="128">
        <v>400</v>
      </c>
      <c r="J189" s="129">
        <v>400</v>
      </c>
      <c r="K189" s="101"/>
      <c r="L189" s="129">
        <v>50</v>
      </c>
      <c r="M189" s="143">
        <v>400</v>
      </c>
      <c r="Q189" s="141">
        <v>12.684259259259401</v>
      </c>
      <c r="R189" s="174"/>
    </row>
    <row r="190" spans="2:18">
      <c r="B190" s="176"/>
      <c r="C190" s="174"/>
      <c r="D190" s="172"/>
      <c r="E190" s="23">
        <v>915</v>
      </c>
      <c r="F190" s="23">
        <f>DEMANDA_PREVISIÓN!E919</f>
        <v>36</v>
      </c>
      <c r="G190" s="101"/>
      <c r="H190" s="23">
        <f>H189-F190</f>
        <v>1229</v>
      </c>
      <c r="I190" s="128">
        <v>400</v>
      </c>
      <c r="J190" s="129">
        <v>400</v>
      </c>
      <c r="K190" s="101"/>
      <c r="L190" s="129">
        <v>50</v>
      </c>
      <c r="M190" s="143">
        <v>400</v>
      </c>
      <c r="Q190" s="141">
        <v>12.693865740740801</v>
      </c>
      <c r="R190" s="174"/>
    </row>
    <row r="191" spans="2:18">
      <c r="B191" s="176"/>
      <c r="C191" s="174"/>
      <c r="D191" s="172"/>
      <c r="E191" s="23">
        <v>916</v>
      </c>
      <c r="F191" s="23">
        <f>DEMANDA_PREVISIÓN!E920</f>
        <v>33</v>
      </c>
      <c r="G191" s="101"/>
      <c r="H191" s="23">
        <f>H190-F191</f>
        <v>1196</v>
      </c>
      <c r="I191" s="128">
        <v>400</v>
      </c>
      <c r="J191" s="129">
        <v>400</v>
      </c>
      <c r="K191" s="101"/>
      <c r="L191" s="129">
        <v>50</v>
      </c>
      <c r="M191" s="143">
        <v>400</v>
      </c>
      <c r="Q191" s="141">
        <v>12.703472222222301</v>
      </c>
      <c r="R191" s="174"/>
    </row>
    <row r="192" spans="2:18">
      <c r="B192" s="176"/>
      <c r="C192" s="174"/>
      <c r="D192" s="172"/>
      <c r="E192" s="23">
        <v>917</v>
      </c>
      <c r="F192" s="23">
        <f>DEMANDA_PREVISIÓN!E921</f>
        <v>33</v>
      </c>
      <c r="G192" s="101"/>
      <c r="H192" s="23">
        <f t="shared" ref="H192:H194" si="10">H191-F192</f>
        <v>1163</v>
      </c>
      <c r="I192" s="128">
        <v>400</v>
      </c>
      <c r="J192" s="129">
        <v>400</v>
      </c>
      <c r="K192" s="101"/>
      <c r="L192" s="129">
        <v>50</v>
      </c>
      <c r="M192" s="143">
        <v>400</v>
      </c>
      <c r="Q192" s="141">
        <v>12.7130787037038</v>
      </c>
      <c r="R192" s="174"/>
    </row>
    <row r="193" spans="2:18">
      <c r="B193" s="176"/>
      <c r="C193" s="174"/>
      <c r="D193" s="172"/>
      <c r="E193" s="23">
        <v>918</v>
      </c>
      <c r="F193" s="23">
        <f>DEMANDA_PREVISIÓN!E922</f>
        <v>37</v>
      </c>
      <c r="G193" s="101"/>
      <c r="H193" s="23">
        <f t="shared" si="10"/>
        <v>1126</v>
      </c>
      <c r="I193" s="128">
        <v>400</v>
      </c>
      <c r="J193" s="129">
        <v>400</v>
      </c>
      <c r="K193" s="101"/>
      <c r="L193" s="129">
        <v>50</v>
      </c>
      <c r="M193" s="143">
        <v>400</v>
      </c>
      <c r="Q193" s="141">
        <v>12.7226851851853</v>
      </c>
      <c r="R193" s="174"/>
    </row>
    <row r="194" spans="2:18">
      <c r="B194" s="176"/>
      <c r="C194" s="174"/>
      <c r="D194" s="172"/>
      <c r="E194" s="23">
        <v>919</v>
      </c>
      <c r="F194" s="23">
        <f>DEMANDA_PREVISIÓN!E923</f>
        <v>38</v>
      </c>
      <c r="G194" s="101"/>
      <c r="H194" s="23">
        <f t="shared" si="10"/>
        <v>1088</v>
      </c>
      <c r="I194" s="128">
        <v>400</v>
      </c>
      <c r="J194" s="129">
        <v>400</v>
      </c>
      <c r="K194" s="101"/>
      <c r="L194" s="129">
        <v>50</v>
      </c>
      <c r="M194" s="143">
        <v>400</v>
      </c>
      <c r="Q194" s="141">
        <v>12.7322916666668</v>
      </c>
      <c r="R194" s="174"/>
    </row>
    <row r="195" spans="2:18">
      <c r="B195" s="176"/>
      <c r="C195" s="174"/>
      <c r="D195" s="172"/>
      <c r="E195" s="23">
        <v>920</v>
      </c>
      <c r="F195" s="23">
        <f>DEMANDA_PREVISIÓN!E924</f>
        <v>36</v>
      </c>
      <c r="G195" s="101"/>
      <c r="H195" s="128">
        <f>I194+H194</f>
        <v>1488</v>
      </c>
      <c r="J195" s="129">
        <v>400</v>
      </c>
      <c r="K195" s="47"/>
      <c r="L195" s="129">
        <v>50</v>
      </c>
      <c r="M195" s="143">
        <v>400</v>
      </c>
      <c r="Q195" s="141">
        <v>12.7418981481482</v>
      </c>
      <c r="R195" s="174"/>
    </row>
    <row r="196" spans="2:18">
      <c r="B196" s="176"/>
      <c r="C196" s="174"/>
      <c r="D196" s="172"/>
      <c r="E196" s="23">
        <v>921</v>
      </c>
      <c r="F196" s="23">
        <f>DEMANDA_PREVISIÓN!E925</f>
        <v>40</v>
      </c>
      <c r="G196" s="101"/>
      <c r="H196" s="23">
        <f t="shared" ref="H196:H202" si="11">H195-F196</f>
        <v>1448</v>
      </c>
      <c r="I196" s="129">
        <v>400</v>
      </c>
      <c r="J196" s="129">
        <v>400</v>
      </c>
      <c r="K196" s="101"/>
      <c r="L196" s="129">
        <v>50</v>
      </c>
      <c r="M196" s="143">
        <v>400</v>
      </c>
      <c r="Q196" s="141">
        <v>12.7515046296297</v>
      </c>
      <c r="R196" s="174"/>
    </row>
    <row r="197" spans="2:18">
      <c r="B197" s="176"/>
      <c r="C197" s="174"/>
      <c r="D197" s="172"/>
      <c r="E197" s="23">
        <v>922</v>
      </c>
      <c r="F197" s="23">
        <f>DEMANDA_PREVISIÓN!E926</f>
        <v>39</v>
      </c>
      <c r="G197" s="101"/>
      <c r="H197" s="23">
        <f t="shared" si="11"/>
        <v>1409</v>
      </c>
      <c r="I197" s="129">
        <v>400</v>
      </c>
      <c r="J197" s="137">
        <v>400</v>
      </c>
      <c r="K197" s="101"/>
      <c r="L197" s="137">
        <v>50</v>
      </c>
      <c r="M197" s="143">
        <v>400</v>
      </c>
      <c r="Q197" s="141">
        <v>12.7611111111112</v>
      </c>
      <c r="R197" s="174"/>
    </row>
    <row r="198" spans="2:18">
      <c r="B198" s="176"/>
      <c r="C198" s="174"/>
      <c r="D198" s="172"/>
      <c r="E198" s="23">
        <v>923</v>
      </c>
      <c r="F198" s="23">
        <f>DEMANDA_PREVISIÓN!E927</f>
        <v>34</v>
      </c>
      <c r="G198" s="101"/>
      <c r="H198" s="23">
        <f t="shared" si="11"/>
        <v>1375</v>
      </c>
      <c r="I198" s="129">
        <v>400</v>
      </c>
      <c r="J198" s="137">
        <v>400</v>
      </c>
      <c r="K198" s="101"/>
      <c r="L198" s="137">
        <v>50</v>
      </c>
      <c r="M198" s="143">
        <v>400</v>
      </c>
      <c r="Q198" s="141">
        <v>12.7707175925927</v>
      </c>
      <c r="R198" s="174"/>
    </row>
    <row r="199" spans="2:18">
      <c r="B199" s="176"/>
      <c r="C199" s="174"/>
      <c r="D199" s="172"/>
      <c r="E199" s="23">
        <v>924</v>
      </c>
      <c r="F199" s="23">
        <f>DEMANDA_PREVISIÓN!E928</f>
        <v>40</v>
      </c>
      <c r="G199" s="101"/>
      <c r="H199" s="23">
        <f t="shared" si="11"/>
        <v>1335</v>
      </c>
      <c r="I199" s="129">
        <v>400</v>
      </c>
      <c r="J199" s="137">
        <v>400</v>
      </c>
      <c r="K199" s="101"/>
      <c r="L199" s="137">
        <v>50</v>
      </c>
      <c r="M199" s="143">
        <v>400</v>
      </c>
      <c r="Q199" s="141">
        <v>12.780324074074199</v>
      </c>
      <c r="R199" s="174"/>
    </row>
    <row r="200" spans="2:18">
      <c r="B200" s="176"/>
      <c r="C200" s="174"/>
      <c r="D200" s="172"/>
      <c r="E200" s="23">
        <v>925</v>
      </c>
      <c r="F200" s="23">
        <f>DEMANDA_PREVISIÓN!E929</f>
        <v>28</v>
      </c>
      <c r="G200" s="101"/>
      <c r="H200" s="23">
        <f t="shared" si="11"/>
        <v>1307</v>
      </c>
      <c r="I200" s="129">
        <v>400</v>
      </c>
      <c r="J200" s="137">
        <v>400</v>
      </c>
      <c r="K200" s="101"/>
      <c r="L200" s="137">
        <v>50</v>
      </c>
      <c r="M200" s="143">
        <v>400</v>
      </c>
      <c r="Q200" s="141">
        <v>12.789930555555699</v>
      </c>
      <c r="R200" s="174"/>
    </row>
    <row r="201" spans="2:18">
      <c r="B201" s="176"/>
      <c r="C201" s="174"/>
      <c r="D201" s="172"/>
      <c r="E201" s="23">
        <v>926</v>
      </c>
      <c r="F201" s="23">
        <f>DEMANDA_PREVISIÓN!E930</f>
        <v>49</v>
      </c>
      <c r="G201" s="101"/>
      <c r="H201" s="23">
        <f t="shared" si="11"/>
        <v>1258</v>
      </c>
      <c r="I201" s="129">
        <v>400</v>
      </c>
      <c r="J201" s="137">
        <v>400</v>
      </c>
      <c r="K201" s="101"/>
      <c r="L201" s="137">
        <v>50</v>
      </c>
      <c r="M201" s="143">
        <v>400</v>
      </c>
      <c r="Q201" s="141">
        <v>12.7995370370371</v>
      </c>
      <c r="R201" s="174"/>
    </row>
    <row r="202" spans="2:18">
      <c r="B202" s="176"/>
      <c r="C202" s="174"/>
      <c r="D202" s="172"/>
      <c r="E202" s="23">
        <v>927</v>
      </c>
      <c r="F202" s="23">
        <f>DEMANDA_PREVISIÓN!E931</f>
        <v>39</v>
      </c>
      <c r="G202" s="101"/>
      <c r="H202" s="23">
        <f t="shared" si="11"/>
        <v>1219</v>
      </c>
      <c r="I202" s="129">
        <v>400</v>
      </c>
      <c r="J202" s="137">
        <v>400</v>
      </c>
      <c r="K202" s="101"/>
      <c r="L202" s="137">
        <v>50</v>
      </c>
      <c r="M202" s="143">
        <v>400</v>
      </c>
      <c r="Q202" s="141">
        <v>12.809143518518599</v>
      </c>
      <c r="R202" s="174"/>
    </row>
    <row r="203" spans="2:18">
      <c r="B203" s="176"/>
      <c r="C203" s="174"/>
      <c r="D203" s="172"/>
      <c r="E203" s="23">
        <v>928</v>
      </c>
      <c r="F203" s="23">
        <f>DEMANDA_PREVISIÓN!E932</f>
        <v>34</v>
      </c>
      <c r="G203" s="101"/>
      <c r="H203" s="129">
        <f>I202+H202</f>
        <v>1619</v>
      </c>
      <c r="I203" s="23"/>
      <c r="J203" s="137">
        <v>400</v>
      </c>
      <c r="K203" s="101"/>
      <c r="L203" s="137">
        <v>50</v>
      </c>
      <c r="M203" s="143">
        <v>400</v>
      </c>
      <c r="Q203" s="141">
        <v>12.818750000000099</v>
      </c>
      <c r="R203" s="174"/>
    </row>
    <row r="204" spans="2:18">
      <c r="B204" s="176"/>
      <c r="C204" s="174"/>
      <c r="D204" s="172"/>
      <c r="E204" s="23">
        <v>929</v>
      </c>
      <c r="F204" s="23">
        <f>DEMANDA_PREVISIÓN!E933</f>
        <v>27</v>
      </c>
      <c r="G204" s="101"/>
      <c r="H204" s="23">
        <f t="shared" ref="H204:H210" si="12">H203-F204</f>
        <v>1592</v>
      </c>
      <c r="I204" s="137">
        <v>400</v>
      </c>
      <c r="J204" s="137">
        <v>400</v>
      </c>
      <c r="K204" s="101"/>
      <c r="L204" s="137">
        <v>50</v>
      </c>
      <c r="M204" s="143">
        <v>400</v>
      </c>
      <c r="Q204" s="141">
        <v>12.828356481481601</v>
      </c>
      <c r="R204" s="174"/>
    </row>
    <row r="205" spans="2:18">
      <c r="B205" s="176"/>
      <c r="C205" s="174"/>
      <c r="D205" s="172"/>
      <c r="E205" s="23">
        <v>930</v>
      </c>
      <c r="F205" s="23">
        <f>DEMANDA_PREVISIÓN!E934</f>
        <v>39</v>
      </c>
      <c r="G205" s="101"/>
      <c r="H205" s="23">
        <f t="shared" si="12"/>
        <v>1553</v>
      </c>
      <c r="I205" s="137">
        <v>400</v>
      </c>
      <c r="J205" s="138">
        <v>400</v>
      </c>
      <c r="K205" s="101"/>
      <c r="L205" s="138">
        <v>50</v>
      </c>
      <c r="M205" s="143">
        <v>400</v>
      </c>
      <c r="Q205" s="141">
        <v>12.8379629629631</v>
      </c>
      <c r="R205" s="174"/>
    </row>
    <row r="206" spans="2:18">
      <c r="B206" s="176"/>
      <c r="C206" s="174"/>
      <c r="D206" s="172"/>
      <c r="E206" s="23">
        <v>931</v>
      </c>
      <c r="F206" s="23">
        <f>DEMANDA_PREVISIÓN!E935</f>
        <v>46</v>
      </c>
      <c r="G206" s="101"/>
      <c r="H206" s="23">
        <f t="shared" si="12"/>
        <v>1507</v>
      </c>
      <c r="I206" s="137">
        <v>400</v>
      </c>
      <c r="J206" s="138">
        <v>400</v>
      </c>
      <c r="K206" s="101"/>
      <c r="L206" s="138">
        <v>50</v>
      </c>
      <c r="M206" s="143">
        <v>400</v>
      </c>
      <c r="Q206" s="141">
        <v>12.8475694444446</v>
      </c>
      <c r="R206" s="174"/>
    </row>
    <row r="207" spans="2:18">
      <c r="B207" s="176"/>
      <c r="C207" s="174"/>
      <c r="D207" s="172"/>
      <c r="E207" s="23">
        <v>932</v>
      </c>
      <c r="F207" s="23">
        <f>DEMANDA_PREVISIÓN!E936</f>
        <v>41</v>
      </c>
      <c r="G207" s="101"/>
      <c r="H207" s="23">
        <f t="shared" si="12"/>
        <v>1466</v>
      </c>
      <c r="I207" s="137">
        <v>400</v>
      </c>
      <c r="J207" s="138">
        <v>400</v>
      </c>
      <c r="K207" s="101"/>
      <c r="L207" s="138">
        <v>50</v>
      </c>
      <c r="M207" s="143">
        <v>400</v>
      </c>
      <c r="Q207" s="141">
        <v>12.857175925926001</v>
      </c>
      <c r="R207" s="174"/>
    </row>
    <row r="208" spans="2:18">
      <c r="B208" s="176"/>
      <c r="C208" s="174"/>
      <c r="D208" s="172"/>
      <c r="E208" s="23">
        <v>933</v>
      </c>
      <c r="F208" s="23">
        <f>DEMANDA_PREVISIÓN!E937</f>
        <v>32</v>
      </c>
      <c r="G208" s="101"/>
      <c r="H208" s="23">
        <f t="shared" si="12"/>
        <v>1434</v>
      </c>
      <c r="I208" s="137">
        <v>400</v>
      </c>
      <c r="J208" s="138">
        <v>400</v>
      </c>
      <c r="K208" s="101"/>
      <c r="L208" s="138">
        <v>50</v>
      </c>
      <c r="M208" s="143">
        <v>400</v>
      </c>
      <c r="Q208" s="141">
        <v>12.8667824074075</v>
      </c>
      <c r="R208" s="174"/>
    </row>
    <row r="209" spans="2:18">
      <c r="B209" s="176"/>
      <c r="C209" s="174"/>
      <c r="D209" s="172"/>
      <c r="E209" s="23">
        <v>934</v>
      </c>
      <c r="F209" s="23">
        <f>DEMANDA_PREVISIÓN!E938</f>
        <v>43</v>
      </c>
      <c r="G209" s="101"/>
      <c r="H209" s="23">
        <f t="shared" si="12"/>
        <v>1391</v>
      </c>
      <c r="I209" s="137">
        <v>400</v>
      </c>
      <c r="J209" s="138">
        <v>400</v>
      </c>
      <c r="K209" s="101"/>
      <c r="L209" s="138">
        <v>50</v>
      </c>
      <c r="M209" s="143">
        <v>400</v>
      </c>
      <c r="Q209" s="141">
        <v>12.876388888889</v>
      </c>
      <c r="R209" s="174"/>
    </row>
    <row r="210" spans="2:18">
      <c r="B210" s="176"/>
      <c r="C210" s="174"/>
      <c r="D210" s="172"/>
      <c r="E210" s="23">
        <v>935</v>
      </c>
      <c r="F210" s="23">
        <f>DEMANDA_PREVISIÓN!E939</f>
        <v>44</v>
      </c>
      <c r="G210" s="101"/>
      <c r="H210" s="23">
        <f t="shared" si="12"/>
        <v>1347</v>
      </c>
      <c r="I210" s="137">
        <v>400</v>
      </c>
      <c r="J210" s="138">
        <v>400</v>
      </c>
      <c r="K210" s="101"/>
      <c r="L210" s="138">
        <v>50</v>
      </c>
      <c r="M210" s="143">
        <v>400</v>
      </c>
      <c r="Q210" s="141">
        <v>12.8859953703705</v>
      </c>
      <c r="R210" s="174"/>
    </row>
    <row r="211" spans="2:18">
      <c r="B211" s="176"/>
      <c r="C211" s="174"/>
      <c r="D211" s="172"/>
      <c r="E211" s="23">
        <v>936</v>
      </c>
      <c r="F211" s="23">
        <f>DEMANDA_PREVISIÓN!E940</f>
        <v>36</v>
      </c>
      <c r="G211" s="101"/>
      <c r="H211" s="137">
        <f>I210+H210</f>
        <v>1747</v>
      </c>
      <c r="I211" s="23"/>
      <c r="J211" s="138">
        <v>400</v>
      </c>
      <c r="K211" s="101"/>
      <c r="L211" s="138">
        <v>50</v>
      </c>
      <c r="M211" s="143">
        <v>400</v>
      </c>
      <c r="Q211" s="141">
        <v>12.895601851852</v>
      </c>
      <c r="R211" s="174"/>
    </row>
    <row r="212" spans="2:18">
      <c r="B212" s="176"/>
      <c r="C212" s="174"/>
      <c r="D212" s="172"/>
      <c r="E212" s="23">
        <v>937</v>
      </c>
      <c r="F212" s="23">
        <f>DEMANDA_PREVISIÓN!E941</f>
        <v>29</v>
      </c>
      <c r="G212" s="101"/>
      <c r="H212" s="23">
        <f t="shared" ref="H212:H218" si="13">H211-F212</f>
        <v>1718</v>
      </c>
      <c r="I212" s="138">
        <v>400</v>
      </c>
      <c r="J212" s="138">
        <v>400</v>
      </c>
      <c r="K212" s="101"/>
      <c r="L212" s="138">
        <v>50</v>
      </c>
      <c r="M212" s="143">
        <v>400</v>
      </c>
      <c r="Q212" s="141">
        <v>12.9052083333334</v>
      </c>
      <c r="R212" s="174"/>
    </row>
    <row r="213" spans="2:18">
      <c r="B213" s="176"/>
      <c r="C213" s="174"/>
      <c r="D213" s="172"/>
      <c r="E213" s="23">
        <v>938</v>
      </c>
      <c r="F213" s="23">
        <f>DEMANDA_PREVISIÓN!E942</f>
        <v>39</v>
      </c>
      <c r="G213" s="101"/>
      <c r="H213" s="23">
        <f t="shared" si="13"/>
        <v>1679</v>
      </c>
      <c r="I213" s="138">
        <v>400</v>
      </c>
      <c r="J213" s="134">
        <v>400</v>
      </c>
      <c r="K213" s="101"/>
      <c r="L213" s="134">
        <v>50</v>
      </c>
      <c r="M213" s="143">
        <v>400</v>
      </c>
      <c r="Q213" s="141">
        <v>12.9148148148149</v>
      </c>
      <c r="R213" s="174"/>
    </row>
    <row r="214" spans="2:18">
      <c r="B214" s="176"/>
      <c r="C214" s="174"/>
      <c r="D214" s="172"/>
      <c r="E214" s="23">
        <v>939</v>
      </c>
      <c r="F214" s="23">
        <f>DEMANDA_PREVISIÓN!E943</f>
        <v>30</v>
      </c>
      <c r="G214" s="101"/>
      <c r="H214" s="23">
        <f t="shared" si="13"/>
        <v>1649</v>
      </c>
      <c r="I214" s="138">
        <v>400</v>
      </c>
      <c r="J214" s="134">
        <v>400</v>
      </c>
      <c r="K214" s="101"/>
      <c r="L214" s="134">
        <v>50</v>
      </c>
      <c r="M214" s="143">
        <v>400</v>
      </c>
      <c r="Q214" s="141">
        <v>12.9244212962964</v>
      </c>
      <c r="R214" s="174"/>
    </row>
    <row r="215" spans="2:18">
      <c r="B215" s="176"/>
      <c r="C215" s="174"/>
      <c r="D215" s="172"/>
      <c r="E215" s="23">
        <v>940</v>
      </c>
      <c r="F215" s="23">
        <f>DEMANDA_PREVISIÓN!E944</f>
        <v>24</v>
      </c>
      <c r="G215" s="101"/>
      <c r="H215" s="23">
        <f t="shared" si="13"/>
        <v>1625</v>
      </c>
      <c r="I215" s="138">
        <v>400</v>
      </c>
      <c r="J215" s="134">
        <v>400</v>
      </c>
      <c r="K215" s="101"/>
      <c r="L215" s="134">
        <v>50</v>
      </c>
      <c r="M215" s="143">
        <v>400</v>
      </c>
      <c r="Q215" s="141">
        <v>12.934027777777899</v>
      </c>
      <c r="R215" s="174"/>
    </row>
    <row r="216" spans="2:18">
      <c r="B216" s="176"/>
      <c r="C216" s="174"/>
      <c r="D216" s="172"/>
      <c r="E216" s="23">
        <v>941</v>
      </c>
      <c r="F216" s="23">
        <f>DEMANDA_PREVISIÓN!E945</f>
        <v>39</v>
      </c>
      <c r="G216" s="101"/>
      <c r="H216" s="23">
        <f t="shared" si="13"/>
        <v>1586</v>
      </c>
      <c r="I216" s="138">
        <v>400</v>
      </c>
      <c r="J216" s="134">
        <v>400</v>
      </c>
      <c r="K216" s="101"/>
      <c r="L216" s="134">
        <v>50</v>
      </c>
      <c r="M216" s="143">
        <v>400</v>
      </c>
      <c r="Q216" s="141">
        <v>12.943634259259399</v>
      </c>
      <c r="R216" s="174"/>
    </row>
    <row r="217" spans="2:18">
      <c r="B217" s="176"/>
      <c r="C217" s="174"/>
      <c r="D217" s="173"/>
      <c r="E217" s="23">
        <v>942</v>
      </c>
      <c r="F217" s="23">
        <f>DEMANDA_PREVISIÓN!E946</f>
        <v>33</v>
      </c>
      <c r="G217" s="101"/>
      <c r="H217" s="23">
        <f t="shared" si="13"/>
        <v>1553</v>
      </c>
      <c r="I217" s="138">
        <v>400</v>
      </c>
      <c r="J217" s="134">
        <v>400</v>
      </c>
      <c r="K217" s="101"/>
      <c r="L217" s="134">
        <v>50</v>
      </c>
      <c r="M217" s="143">
        <v>400</v>
      </c>
      <c r="Q217" s="141">
        <v>12.953240740740901</v>
      </c>
      <c r="R217" s="174"/>
    </row>
    <row r="218" spans="2:18">
      <c r="B218" s="176"/>
      <c r="C218" s="174"/>
      <c r="D218" s="171" t="s">
        <v>50</v>
      </c>
      <c r="E218" s="23">
        <v>943</v>
      </c>
      <c r="F218" s="23">
        <f>DEMANDA_PREVISIÓN!E947</f>
        <v>29</v>
      </c>
      <c r="G218" s="101"/>
      <c r="H218" s="23">
        <f t="shared" si="13"/>
        <v>1524</v>
      </c>
      <c r="I218" s="138">
        <v>400</v>
      </c>
      <c r="J218" s="134">
        <v>400</v>
      </c>
      <c r="K218" s="101"/>
      <c r="L218" s="134">
        <v>50</v>
      </c>
      <c r="M218" s="143">
        <v>400</v>
      </c>
      <c r="Q218" s="141">
        <v>12.962847222222299</v>
      </c>
      <c r="R218" s="174"/>
    </row>
    <row r="219" spans="2:18">
      <c r="B219" s="176"/>
      <c r="C219" s="174"/>
      <c r="D219" s="172"/>
      <c r="E219" s="23">
        <v>944</v>
      </c>
      <c r="F219" s="23">
        <f>DEMANDA_PREVISIÓN!E948</f>
        <v>41</v>
      </c>
      <c r="G219" s="101"/>
      <c r="H219" s="138">
        <f>I218+H218</f>
        <v>1924</v>
      </c>
      <c r="I219" s="23"/>
      <c r="J219" s="134">
        <v>400</v>
      </c>
      <c r="K219" s="101"/>
      <c r="L219" s="134">
        <v>50</v>
      </c>
      <c r="M219" s="143">
        <v>400</v>
      </c>
      <c r="Q219" s="141">
        <v>12.972453703703801</v>
      </c>
      <c r="R219" s="174"/>
    </row>
    <row r="220" spans="2:18">
      <c r="B220" s="176"/>
      <c r="C220" s="174"/>
      <c r="D220" s="172"/>
      <c r="E220" s="23">
        <v>945</v>
      </c>
      <c r="F220" s="23">
        <f>DEMANDA_PREVISIÓN!E949</f>
        <v>27</v>
      </c>
      <c r="G220" s="101"/>
      <c r="H220" s="23">
        <f t="shared" ref="H220:H226" si="14">H219-F220</f>
        <v>1897</v>
      </c>
      <c r="I220" s="134">
        <v>400</v>
      </c>
      <c r="J220" s="134">
        <v>400</v>
      </c>
      <c r="K220" s="101"/>
      <c r="L220" s="134">
        <v>50</v>
      </c>
      <c r="M220" s="143">
        <v>400</v>
      </c>
      <c r="Q220" s="141">
        <v>12.982060185185301</v>
      </c>
      <c r="R220" s="174"/>
    </row>
    <row r="221" spans="2:18">
      <c r="B221" s="176"/>
      <c r="C221" s="174"/>
      <c r="D221" s="172"/>
      <c r="E221" s="23">
        <v>946</v>
      </c>
      <c r="F221" s="23">
        <f>DEMANDA_PREVISIÓN!E950</f>
        <v>38</v>
      </c>
      <c r="G221" s="101"/>
      <c r="H221" s="23">
        <f t="shared" si="14"/>
        <v>1859</v>
      </c>
      <c r="I221" s="134">
        <v>400</v>
      </c>
      <c r="J221" s="128">
        <v>400</v>
      </c>
      <c r="K221" s="101"/>
      <c r="L221" s="128">
        <v>50</v>
      </c>
      <c r="M221" s="143">
        <v>400</v>
      </c>
      <c r="Q221" s="141">
        <v>12.9916666666668</v>
      </c>
      <c r="R221" s="174"/>
    </row>
    <row r="222" spans="2:18">
      <c r="B222" s="176"/>
      <c r="C222" s="174"/>
      <c r="D222" s="172"/>
      <c r="E222" s="23">
        <v>947</v>
      </c>
      <c r="F222" s="23">
        <f>DEMANDA_PREVISIÓN!E951</f>
        <v>38</v>
      </c>
      <c r="G222" s="101"/>
      <c r="H222" s="23">
        <f t="shared" si="14"/>
        <v>1821</v>
      </c>
      <c r="I222" s="134">
        <v>400</v>
      </c>
      <c r="J222" s="128">
        <v>400</v>
      </c>
      <c r="K222" s="101"/>
      <c r="L222" s="128">
        <v>50</v>
      </c>
      <c r="M222" s="143">
        <v>400</v>
      </c>
      <c r="Q222" s="141">
        <v>13.0012731481483</v>
      </c>
      <c r="R222" s="174"/>
    </row>
    <row r="223" spans="2:18">
      <c r="B223" s="176"/>
      <c r="C223" s="174"/>
      <c r="D223" s="172"/>
      <c r="E223" s="23">
        <v>948</v>
      </c>
      <c r="F223" s="23">
        <f>DEMANDA_PREVISIÓN!E952</f>
        <v>38</v>
      </c>
      <c r="G223" s="101"/>
      <c r="H223" s="23">
        <f t="shared" si="14"/>
        <v>1783</v>
      </c>
      <c r="I223" s="134">
        <v>400</v>
      </c>
      <c r="J223" s="128">
        <v>400</v>
      </c>
      <c r="K223" s="101"/>
      <c r="L223" s="128">
        <v>50</v>
      </c>
      <c r="M223" s="143">
        <v>400</v>
      </c>
      <c r="Q223" s="141">
        <v>13.0108796296297</v>
      </c>
      <c r="R223" s="174"/>
    </row>
    <row r="224" spans="2:18">
      <c r="B224" s="176"/>
      <c r="C224" s="174"/>
      <c r="D224" s="172"/>
      <c r="E224" s="23">
        <v>949</v>
      </c>
      <c r="F224" s="23">
        <f>DEMANDA_PREVISIÓN!E953</f>
        <v>42</v>
      </c>
      <c r="G224" s="101"/>
      <c r="H224" s="23">
        <f t="shared" si="14"/>
        <v>1741</v>
      </c>
      <c r="I224" s="134">
        <v>400</v>
      </c>
      <c r="J224" s="128">
        <v>400</v>
      </c>
      <c r="K224" s="101"/>
      <c r="L224" s="128">
        <v>50</v>
      </c>
      <c r="M224" s="143">
        <v>400</v>
      </c>
      <c r="Q224" s="141">
        <v>13.0204861111112</v>
      </c>
      <c r="R224" s="174"/>
    </row>
    <row r="225" spans="2:18">
      <c r="B225" s="176"/>
      <c r="C225" s="174"/>
      <c r="D225" s="172"/>
      <c r="E225" s="23">
        <v>950</v>
      </c>
      <c r="F225" s="23">
        <f>DEMANDA_PREVISIÓN!E954</f>
        <v>35</v>
      </c>
      <c r="G225" s="101"/>
      <c r="H225" s="23">
        <f t="shared" si="14"/>
        <v>1706</v>
      </c>
      <c r="I225" s="134">
        <v>400</v>
      </c>
      <c r="J225" s="128">
        <v>400</v>
      </c>
      <c r="K225" s="101"/>
      <c r="L225" s="128">
        <v>50</v>
      </c>
      <c r="M225" s="143">
        <v>400</v>
      </c>
      <c r="Q225" s="141">
        <v>13.0300925925927</v>
      </c>
      <c r="R225" s="174"/>
    </row>
    <row r="226" spans="2:18">
      <c r="B226" s="176"/>
      <c r="C226" s="174"/>
      <c r="D226" s="172"/>
      <c r="E226" s="23">
        <v>951</v>
      </c>
      <c r="F226" s="23">
        <f>DEMANDA_PREVISIÓN!E955</f>
        <v>32</v>
      </c>
      <c r="G226" s="101"/>
      <c r="H226" s="23">
        <f t="shared" si="14"/>
        <v>1674</v>
      </c>
      <c r="I226" s="134">
        <v>400</v>
      </c>
      <c r="J226" s="128">
        <v>400</v>
      </c>
      <c r="K226" s="101"/>
      <c r="L226" s="128">
        <v>50</v>
      </c>
      <c r="M226" s="143">
        <v>400</v>
      </c>
      <c r="Q226" s="141">
        <v>13.0396990740742</v>
      </c>
      <c r="R226" s="174"/>
    </row>
    <row r="227" spans="2:18">
      <c r="B227" s="176"/>
      <c r="C227" s="174"/>
      <c r="D227" s="172"/>
      <c r="E227" s="23">
        <v>952</v>
      </c>
      <c r="F227" s="23">
        <f>DEMANDA_PREVISIÓN!E956</f>
        <v>28</v>
      </c>
      <c r="G227" s="101"/>
      <c r="H227" s="134">
        <f>I226+H226</f>
        <v>2074</v>
      </c>
      <c r="I227" s="23"/>
      <c r="J227" s="128">
        <v>400</v>
      </c>
      <c r="K227" s="101"/>
      <c r="L227" s="128">
        <v>50</v>
      </c>
      <c r="M227" s="143">
        <v>400</v>
      </c>
      <c r="Q227" s="141">
        <v>13.0493055555557</v>
      </c>
      <c r="R227" s="174"/>
    </row>
    <row r="228" spans="2:18">
      <c r="B228" s="176"/>
      <c r="C228" s="174"/>
      <c r="D228" s="172"/>
      <c r="E228" s="23">
        <v>953</v>
      </c>
      <c r="F228" s="23">
        <f>DEMANDA_PREVISIÓN!E957</f>
        <v>30</v>
      </c>
      <c r="G228" s="101"/>
      <c r="H228" s="23">
        <f>H227-F228</f>
        <v>2044</v>
      </c>
      <c r="I228" s="128">
        <v>400</v>
      </c>
      <c r="J228" s="128">
        <v>400</v>
      </c>
      <c r="K228" s="101"/>
      <c r="L228" s="128">
        <v>50</v>
      </c>
      <c r="M228" s="143">
        <v>400</v>
      </c>
      <c r="Q228" s="141">
        <v>13.058912037037199</v>
      </c>
      <c r="R228" s="174"/>
    </row>
    <row r="229" spans="2:18">
      <c r="B229" s="176"/>
      <c r="C229" s="174"/>
      <c r="D229" s="172"/>
      <c r="E229" s="23">
        <v>954</v>
      </c>
      <c r="F229" s="23">
        <f>DEMANDA_PREVISIÓN!E958</f>
        <v>33</v>
      </c>
      <c r="G229" s="101"/>
      <c r="H229" s="23">
        <f>H228-F229</f>
        <v>2011</v>
      </c>
      <c r="I229" s="128">
        <v>400</v>
      </c>
      <c r="J229" s="129">
        <v>400</v>
      </c>
      <c r="K229" s="101"/>
      <c r="L229" s="129">
        <v>50</v>
      </c>
      <c r="M229" s="143">
        <v>400</v>
      </c>
      <c r="Q229" s="141">
        <v>13.0685185185186</v>
      </c>
      <c r="R229" s="174"/>
    </row>
    <row r="230" spans="2:18">
      <c r="B230" s="176"/>
      <c r="C230" s="174"/>
      <c r="D230" s="172"/>
      <c r="E230" s="23">
        <v>955</v>
      </c>
      <c r="F230" s="23">
        <f>DEMANDA_PREVISIÓN!E959</f>
        <v>32</v>
      </c>
      <c r="G230" s="101"/>
      <c r="H230" s="23">
        <f>H229-F230</f>
        <v>1979</v>
      </c>
      <c r="I230" s="128">
        <v>400</v>
      </c>
      <c r="J230" s="129">
        <v>400</v>
      </c>
      <c r="K230" s="101"/>
      <c r="L230" s="129">
        <v>50</v>
      </c>
      <c r="M230" s="143">
        <v>400</v>
      </c>
      <c r="Q230" s="141">
        <v>13.078125000000099</v>
      </c>
      <c r="R230" s="174"/>
    </row>
    <row r="231" spans="2:18">
      <c r="B231" s="176"/>
      <c r="C231" s="174"/>
      <c r="D231" s="172"/>
      <c r="E231" s="23">
        <v>956</v>
      </c>
      <c r="F231" s="23">
        <f>DEMANDA_PREVISIÓN!E960</f>
        <v>50</v>
      </c>
      <c r="G231" s="101"/>
      <c r="H231" s="23">
        <f>H230-F231</f>
        <v>1929</v>
      </c>
      <c r="I231" s="128">
        <v>400</v>
      </c>
      <c r="J231" s="129">
        <v>400</v>
      </c>
      <c r="K231" s="101"/>
      <c r="L231" s="129">
        <v>50</v>
      </c>
      <c r="M231" s="143">
        <v>400</v>
      </c>
      <c r="Q231" s="141">
        <v>13.087731481481599</v>
      </c>
      <c r="R231" s="174"/>
    </row>
    <row r="232" spans="2:18">
      <c r="B232" s="176"/>
      <c r="C232" s="174"/>
      <c r="D232" s="172"/>
      <c r="E232" s="23">
        <v>957</v>
      </c>
      <c r="F232" s="23">
        <f>DEMANDA_PREVISIÓN!E961</f>
        <v>36</v>
      </c>
      <c r="G232" s="101"/>
      <c r="H232" s="23">
        <f t="shared" ref="H232:H234" si="15">H231-F232</f>
        <v>1893</v>
      </c>
      <c r="I232" s="128">
        <v>400</v>
      </c>
      <c r="J232" s="129">
        <v>400</v>
      </c>
      <c r="K232" s="101"/>
      <c r="L232" s="129">
        <v>50</v>
      </c>
      <c r="M232" s="143">
        <v>400</v>
      </c>
      <c r="Q232" s="141">
        <v>13.097337962963101</v>
      </c>
      <c r="R232" s="174"/>
    </row>
    <row r="233" spans="2:18">
      <c r="B233" s="176"/>
      <c r="C233" s="174"/>
      <c r="D233" s="172"/>
      <c r="E233" s="23">
        <v>958</v>
      </c>
      <c r="F233" s="23">
        <f>DEMANDA_PREVISIÓN!E962</f>
        <v>31</v>
      </c>
      <c r="G233" s="101"/>
      <c r="H233" s="23">
        <f t="shared" si="15"/>
        <v>1862</v>
      </c>
      <c r="I233" s="128">
        <v>400</v>
      </c>
      <c r="J233" s="129">
        <v>400</v>
      </c>
      <c r="K233" s="101"/>
      <c r="L233" s="129">
        <v>50</v>
      </c>
      <c r="M233" s="143">
        <v>400</v>
      </c>
      <c r="Q233" s="141">
        <v>13.106944444444601</v>
      </c>
      <c r="R233" s="174"/>
    </row>
    <row r="234" spans="2:18">
      <c r="B234" s="176"/>
      <c r="C234" s="174"/>
      <c r="D234" s="172"/>
      <c r="E234" s="23">
        <v>959</v>
      </c>
      <c r="F234" s="23">
        <f>DEMANDA_PREVISIÓN!E963</f>
        <v>29</v>
      </c>
      <c r="G234" s="101"/>
      <c r="H234" s="23">
        <f t="shared" si="15"/>
        <v>1833</v>
      </c>
      <c r="I234" s="128">
        <v>400</v>
      </c>
      <c r="J234" s="129">
        <v>400</v>
      </c>
      <c r="K234" s="101"/>
      <c r="L234" s="129">
        <v>50</v>
      </c>
      <c r="M234" s="143">
        <v>400</v>
      </c>
      <c r="Q234" s="141">
        <v>13.116550925925999</v>
      </c>
      <c r="R234" s="174"/>
    </row>
    <row r="235" spans="2:18">
      <c r="B235" s="176"/>
      <c r="C235" s="174"/>
      <c r="D235" s="172"/>
      <c r="E235" s="23">
        <v>960</v>
      </c>
      <c r="F235" s="23">
        <f>DEMANDA_PREVISIÓN!E964</f>
        <v>38</v>
      </c>
      <c r="G235" s="101"/>
      <c r="H235" s="128">
        <f>I234+H234</f>
        <v>2233</v>
      </c>
      <c r="J235" s="129">
        <v>400</v>
      </c>
      <c r="K235" s="47"/>
      <c r="L235" s="129">
        <v>50</v>
      </c>
      <c r="M235" s="143">
        <v>400</v>
      </c>
      <c r="Q235" s="141">
        <v>13.126157407407501</v>
      </c>
      <c r="R235" s="174"/>
    </row>
    <row r="236" spans="2:18">
      <c r="B236" s="176"/>
      <c r="C236" s="174"/>
      <c r="D236" s="172"/>
      <c r="E236" s="23">
        <v>961</v>
      </c>
      <c r="F236" s="23">
        <f>DEMANDA_PREVISIÓN!E965</f>
        <v>40</v>
      </c>
      <c r="G236" s="101"/>
      <c r="H236" s="23">
        <f t="shared" ref="H236:H242" si="16">H235-F236</f>
        <v>2193</v>
      </c>
      <c r="I236" s="129">
        <v>400</v>
      </c>
      <c r="J236" s="129">
        <v>400</v>
      </c>
      <c r="K236" s="101"/>
      <c r="L236" s="129">
        <v>50</v>
      </c>
      <c r="M236" s="143">
        <v>400</v>
      </c>
      <c r="Q236" s="141">
        <v>13.135763888889</v>
      </c>
      <c r="R236" s="174"/>
    </row>
    <row r="237" spans="2:18">
      <c r="B237" s="176"/>
      <c r="C237" s="174"/>
      <c r="D237" s="172"/>
      <c r="E237" s="23">
        <v>962</v>
      </c>
      <c r="F237" s="23">
        <f>DEMANDA_PREVISIÓN!E966</f>
        <v>33</v>
      </c>
      <c r="G237" s="101"/>
      <c r="H237" s="23">
        <f t="shared" si="16"/>
        <v>2160</v>
      </c>
      <c r="I237" s="129">
        <v>400</v>
      </c>
      <c r="J237" s="137">
        <v>400</v>
      </c>
      <c r="K237" s="101"/>
      <c r="L237" s="137">
        <v>50</v>
      </c>
      <c r="M237" s="143">
        <v>400</v>
      </c>
      <c r="Q237" s="141">
        <v>13.1453703703705</v>
      </c>
      <c r="R237" s="174"/>
    </row>
    <row r="238" spans="2:18">
      <c r="B238" s="176"/>
      <c r="C238" s="174"/>
      <c r="D238" s="172"/>
      <c r="E238" s="23">
        <v>963</v>
      </c>
      <c r="F238" s="23">
        <f>DEMANDA_PREVISIÓN!E967</f>
        <v>34</v>
      </c>
      <c r="G238" s="101"/>
      <c r="H238" s="23">
        <f t="shared" si="16"/>
        <v>2126</v>
      </c>
      <c r="I238" s="129">
        <v>400</v>
      </c>
      <c r="J238" s="137">
        <v>400</v>
      </c>
      <c r="K238" s="101"/>
      <c r="L238" s="137">
        <v>50</v>
      </c>
      <c r="M238" s="143">
        <v>400</v>
      </c>
      <c r="Q238" s="141">
        <v>13.154976851852</v>
      </c>
      <c r="R238" s="174"/>
    </row>
    <row r="239" spans="2:18">
      <c r="B239" s="176"/>
      <c r="C239" s="174"/>
      <c r="D239" s="172"/>
      <c r="E239" s="23">
        <v>964</v>
      </c>
      <c r="F239" s="23">
        <f>DEMANDA_PREVISIÓN!E968</f>
        <v>33</v>
      </c>
      <c r="G239" s="101"/>
      <c r="H239" s="23">
        <f t="shared" si="16"/>
        <v>2093</v>
      </c>
      <c r="I239" s="129">
        <v>400</v>
      </c>
      <c r="J239" s="137">
        <v>400</v>
      </c>
      <c r="K239" s="101"/>
      <c r="L239" s="137">
        <v>50</v>
      </c>
      <c r="M239" s="143">
        <v>400</v>
      </c>
      <c r="Q239" s="141">
        <v>13.1645833333335</v>
      </c>
      <c r="R239" s="174"/>
    </row>
    <row r="240" spans="2:18">
      <c r="B240" s="176"/>
      <c r="C240" s="174"/>
      <c r="D240" s="172"/>
      <c r="E240" s="23">
        <v>965</v>
      </c>
      <c r="F240" s="23">
        <f>DEMANDA_PREVISIÓN!E969</f>
        <v>32</v>
      </c>
      <c r="G240" s="101"/>
      <c r="H240" s="23">
        <f t="shared" si="16"/>
        <v>2061</v>
      </c>
      <c r="I240" s="129">
        <v>400</v>
      </c>
      <c r="J240" s="137">
        <v>400</v>
      </c>
      <c r="K240" s="101"/>
      <c r="L240" s="137">
        <v>50</v>
      </c>
      <c r="M240" s="143">
        <v>400</v>
      </c>
      <c r="Q240" s="141">
        <v>13.1741898148149</v>
      </c>
      <c r="R240" s="174"/>
    </row>
    <row r="241" spans="2:18">
      <c r="B241" s="176"/>
      <c r="C241" s="174"/>
      <c r="D241" s="172"/>
      <c r="E241" s="23">
        <v>966</v>
      </c>
      <c r="F241" s="23">
        <f>DEMANDA_PREVISIÓN!E970</f>
        <v>39</v>
      </c>
      <c r="G241" s="101"/>
      <c r="H241" s="23">
        <f t="shared" si="16"/>
        <v>2022</v>
      </c>
      <c r="I241" s="129">
        <v>400</v>
      </c>
      <c r="J241" s="137">
        <v>400</v>
      </c>
      <c r="K241" s="101"/>
      <c r="L241" s="137">
        <v>50</v>
      </c>
      <c r="M241" s="143">
        <v>400</v>
      </c>
      <c r="Q241" s="141">
        <v>13.1837962962964</v>
      </c>
      <c r="R241" s="174"/>
    </row>
    <row r="242" spans="2:18">
      <c r="B242" s="176"/>
      <c r="C242" s="174"/>
      <c r="D242" s="172"/>
      <c r="E242" s="23">
        <v>967</v>
      </c>
      <c r="F242" s="23">
        <f>DEMANDA_PREVISIÓN!E971</f>
        <v>32</v>
      </c>
      <c r="G242" s="101"/>
      <c r="H242" s="23">
        <f t="shared" si="16"/>
        <v>1990</v>
      </c>
      <c r="I242" s="129">
        <v>400</v>
      </c>
      <c r="J242" s="137">
        <v>400</v>
      </c>
      <c r="K242" s="101"/>
      <c r="L242" s="137">
        <v>50</v>
      </c>
      <c r="M242" s="143">
        <v>400</v>
      </c>
      <c r="Q242" s="141">
        <v>13.1934027777779</v>
      </c>
      <c r="R242" s="174"/>
    </row>
    <row r="243" spans="2:18">
      <c r="B243" s="176"/>
      <c r="C243" s="174"/>
      <c r="D243" s="172"/>
      <c r="E243" s="23">
        <v>968</v>
      </c>
      <c r="F243" s="23">
        <f>DEMANDA_PREVISIÓN!E972</f>
        <v>34</v>
      </c>
      <c r="G243" s="101"/>
      <c r="H243" s="129">
        <f>I242+H242</f>
        <v>2390</v>
      </c>
      <c r="I243" s="23"/>
      <c r="J243" s="137">
        <v>400</v>
      </c>
      <c r="K243" s="101"/>
      <c r="L243" s="137">
        <v>50</v>
      </c>
      <c r="M243" s="143">
        <v>400</v>
      </c>
      <c r="Q243" s="141">
        <v>13.203009259259399</v>
      </c>
      <c r="R243" s="174"/>
    </row>
    <row r="244" spans="2:18">
      <c r="B244" s="176"/>
      <c r="C244" s="174"/>
      <c r="D244" s="172"/>
      <c r="E244" s="23">
        <v>969</v>
      </c>
      <c r="F244" s="23">
        <f>DEMANDA_PREVISIÓN!E973</f>
        <v>29</v>
      </c>
      <c r="G244" s="101"/>
      <c r="H244" s="23">
        <f t="shared" ref="H244:H250" si="17">H243-F244</f>
        <v>2361</v>
      </c>
      <c r="I244" s="137">
        <v>400</v>
      </c>
      <c r="J244" s="137">
        <v>400</v>
      </c>
      <c r="K244" s="101"/>
      <c r="L244" s="137">
        <v>50</v>
      </c>
      <c r="M244" s="143">
        <v>400</v>
      </c>
      <c r="Q244" s="141">
        <v>13.212615740740899</v>
      </c>
      <c r="R244" s="174"/>
    </row>
    <row r="245" spans="2:18">
      <c r="B245" s="176"/>
      <c r="C245" s="174"/>
      <c r="D245" s="172"/>
      <c r="E245" s="23">
        <v>970</v>
      </c>
      <c r="F245" s="23">
        <f>DEMANDA_PREVISIÓN!E974</f>
        <v>36</v>
      </c>
      <c r="G245" s="101"/>
      <c r="H245" s="23">
        <f t="shared" si="17"/>
        <v>2325</v>
      </c>
      <c r="I245" s="137">
        <v>400</v>
      </c>
      <c r="J245" s="138">
        <v>400</v>
      </c>
      <c r="K245" s="101"/>
      <c r="L245" s="138">
        <v>50</v>
      </c>
      <c r="M245" s="143">
        <v>400</v>
      </c>
      <c r="Q245" s="141">
        <v>13.222222222222401</v>
      </c>
      <c r="R245" s="174"/>
    </row>
    <row r="246" spans="2:18">
      <c r="B246" s="176"/>
      <c r="C246" s="174"/>
      <c r="D246" s="172"/>
      <c r="E246" s="23">
        <v>971</v>
      </c>
      <c r="F246" s="23">
        <f>DEMANDA_PREVISIÓN!E975</f>
        <v>30</v>
      </c>
      <c r="G246" s="101"/>
      <c r="H246" s="23">
        <f t="shared" si="17"/>
        <v>2295</v>
      </c>
      <c r="I246" s="137">
        <v>400</v>
      </c>
      <c r="J246" s="138">
        <v>400</v>
      </c>
      <c r="K246" s="101"/>
      <c r="L246" s="138">
        <v>50</v>
      </c>
      <c r="M246" s="143">
        <v>400</v>
      </c>
      <c r="Q246" s="141">
        <v>13.231828703703799</v>
      </c>
      <c r="R246" s="174"/>
    </row>
    <row r="247" spans="2:18">
      <c r="B247" s="176"/>
      <c r="C247" s="174"/>
      <c r="D247" s="172"/>
      <c r="E247" s="23">
        <v>972</v>
      </c>
      <c r="F247" s="23">
        <f>DEMANDA_PREVISIÓN!E976</f>
        <v>37</v>
      </c>
      <c r="G247" s="101"/>
      <c r="H247" s="23">
        <f t="shared" si="17"/>
        <v>2258</v>
      </c>
      <c r="I247" s="137">
        <v>400</v>
      </c>
      <c r="J247" s="138">
        <v>400</v>
      </c>
      <c r="K247" s="101"/>
      <c r="L247" s="138">
        <v>50</v>
      </c>
      <c r="M247" s="143">
        <v>400</v>
      </c>
      <c r="Q247" s="141">
        <v>13.241435185185299</v>
      </c>
      <c r="R247" s="174"/>
    </row>
    <row r="248" spans="2:18">
      <c r="B248" s="176"/>
      <c r="C248" s="174"/>
      <c r="D248" s="173"/>
      <c r="E248" s="23">
        <v>973</v>
      </c>
      <c r="F248" s="23">
        <f>DEMANDA_PREVISIÓN!E977</f>
        <v>39</v>
      </c>
      <c r="G248" s="101"/>
      <c r="H248" s="23">
        <f t="shared" si="17"/>
        <v>2219</v>
      </c>
      <c r="I248" s="137">
        <v>400</v>
      </c>
      <c r="J248" s="138">
        <v>400</v>
      </c>
      <c r="K248" s="101"/>
      <c r="L248" s="138">
        <v>50</v>
      </c>
      <c r="M248" s="143">
        <v>400</v>
      </c>
      <c r="Q248" s="141">
        <v>13.251041666666801</v>
      </c>
      <c r="R248" s="174"/>
    </row>
    <row r="249" spans="2:18">
      <c r="B249" s="176"/>
      <c r="C249" s="174"/>
      <c r="D249" s="171" t="s">
        <v>51</v>
      </c>
      <c r="E249" s="23">
        <v>974</v>
      </c>
      <c r="F249" s="23">
        <f>DEMANDA_PREVISIÓN!E978</f>
        <v>25</v>
      </c>
      <c r="G249" s="101"/>
      <c r="H249" s="23">
        <f t="shared" si="17"/>
        <v>2194</v>
      </c>
      <c r="I249" s="137">
        <v>400</v>
      </c>
      <c r="J249" s="138">
        <v>400</v>
      </c>
      <c r="K249" s="101"/>
      <c r="L249" s="138">
        <v>50</v>
      </c>
      <c r="M249" s="143">
        <v>400</v>
      </c>
      <c r="Q249" s="141">
        <v>13.260648148148301</v>
      </c>
      <c r="R249" s="174"/>
    </row>
    <row r="250" spans="2:18">
      <c r="B250" s="176"/>
      <c r="C250" s="174"/>
      <c r="D250" s="172"/>
      <c r="E250" s="23">
        <v>975</v>
      </c>
      <c r="F250" s="23">
        <f>DEMANDA_PREVISIÓN!E979</f>
        <v>33</v>
      </c>
      <c r="G250" s="101"/>
      <c r="H250" s="23">
        <f t="shared" si="17"/>
        <v>2161</v>
      </c>
      <c r="I250" s="137">
        <v>400</v>
      </c>
      <c r="J250" s="138">
        <v>400</v>
      </c>
      <c r="K250" s="101"/>
      <c r="L250" s="138">
        <v>50</v>
      </c>
      <c r="M250" s="143">
        <v>400</v>
      </c>
      <c r="Q250" s="141">
        <v>13.2702546296298</v>
      </c>
      <c r="R250" s="174"/>
    </row>
    <row r="251" spans="2:18">
      <c r="B251" s="176"/>
      <c r="C251" s="174"/>
      <c r="D251" s="172"/>
      <c r="E251" s="23">
        <v>976</v>
      </c>
      <c r="F251" s="23">
        <f>DEMANDA_PREVISIÓN!E980</f>
        <v>23</v>
      </c>
      <c r="G251" s="101"/>
      <c r="H251" s="137">
        <f>I250+H250</f>
        <v>2561</v>
      </c>
      <c r="I251" s="23"/>
      <c r="J251" s="138">
        <v>400</v>
      </c>
      <c r="K251" s="101"/>
      <c r="L251" s="138">
        <v>50</v>
      </c>
      <c r="M251" s="143">
        <v>400</v>
      </c>
      <c r="Q251" s="141">
        <v>13.279861111111201</v>
      </c>
      <c r="R251" s="174"/>
    </row>
    <row r="252" spans="2:18">
      <c r="B252" s="176"/>
      <c r="C252" s="174"/>
      <c r="D252" s="172"/>
      <c r="E252" s="23">
        <v>977</v>
      </c>
      <c r="F252" s="23">
        <f>DEMANDA_PREVISIÓN!E981</f>
        <v>28</v>
      </c>
      <c r="G252" s="101"/>
      <c r="H252" s="23">
        <f t="shared" ref="H252:H258" si="18">H251-F252</f>
        <v>2533</v>
      </c>
      <c r="I252" s="138">
        <v>400</v>
      </c>
      <c r="J252" s="138">
        <v>400</v>
      </c>
      <c r="K252" s="101"/>
      <c r="L252" s="138">
        <v>50</v>
      </c>
      <c r="M252" s="143">
        <v>400</v>
      </c>
      <c r="Q252" s="141">
        <v>13.2894675925927</v>
      </c>
      <c r="R252" s="174"/>
    </row>
    <row r="253" spans="2:18">
      <c r="B253" s="176"/>
      <c r="C253" s="174"/>
      <c r="D253" s="172"/>
      <c r="E253" s="23">
        <v>978</v>
      </c>
      <c r="F253" s="23">
        <f>DEMANDA_PREVISIÓN!E982</f>
        <v>29</v>
      </c>
      <c r="G253" s="101"/>
      <c r="H253" s="23">
        <f t="shared" si="18"/>
        <v>2504</v>
      </c>
      <c r="I253" s="138">
        <v>400</v>
      </c>
      <c r="J253" s="134">
        <v>400</v>
      </c>
      <c r="K253" s="101"/>
      <c r="L253" s="134">
        <v>50</v>
      </c>
      <c r="M253" s="143">
        <v>400</v>
      </c>
      <c r="Q253" s="141">
        <v>13.2990740740742</v>
      </c>
      <c r="R253" s="174"/>
    </row>
    <row r="254" spans="2:18">
      <c r="B254" s="176"/>
      <c r="C254" s="174"/>
      <c r="D254" s="172"/>
      <c r="E254" s="23">
        <v>979</v>
      </c>
      <c r="F254" s="23">
        <f>DEMANDA_PREVISIÓN!E983</f>
        <v>33</v>
      </c>
      <c r="G254" s="101"/>
      <c r="H254" s="23">
        <f t="shared" si="18"/>
        <v>2471</v>
      </c>
      <c r="I254" s="138">
        <v>400</v>
      </c>
      <c r="J254" s="134">
        <v>400</v>
      </c>
      <c r="K254" s="101"/>
      <c r="L254" s="134">
        <v>50</v>
      </c>
      <c r="M254" s="143">
        <v>400</v>
      </c>
      <c r="Q254" s="141">
        <v>13.3086805555557</v>
      </c>
      <c r="R254" s="174"/>
    </row>
    <row r="255" spans="2:18">
      <c r="B255" s="176"/>
      <c r="C255" s="174"/>
      <c r="D255" s="172"/>
      <c r="E255" s="23">
        <v>980</v>
      </c>
      <c r="F255" s="23">
        <f>DEMANDA_PREVISIÓN!E984</f>
        <v>29</v>
      </c>
      <c r="G255" s="101"/>
      <c r="H255" s="23">
        <f t="shared" si="18"/>
        <v>2442</v>
      </c>
      <c r="I255" s="138">
        <v>400</v>
      </c>
      <c r="J255" s="134">
        <v>400</v>
      </c>
      <c r="K255" s="101"/>
      <c r="L255" s="134">
        <v>50</v>
      </c>
      <c r="M255" s="143">
        <v>400</v>
      </c>
      <c r="Q255" s="141">
        <v>13.3182870370372</v>
      </c>
      <c r="R255" s="174"/>
    </row>
    <row r="256" spans="2:18">
      <c r="B256" s="176"/>
      <c r="C256" s="174"/>
      <c r="D256" s="172"/>
      <c r="E256" s="23">
        <v>981</v>
      </c>
      <c r="F256" s="23">
        <f>DEMANDA_PREVISIÓN!E985</f>
        <v>35</v>
      </c>
      <c r="G256" s="101"/>
      <c r="H256" s="23">
        <f t="shared" si="18"/>
        <v>2407</v>
      </c>
      <c r="I256" s="138">
        <v>400</v>
      </c>
      <c r="J256" s="134">
        <v>400</v>
      </c>
      <c r="K256" s="101"/>
      <c r="L256" s="134">
        <v>50</v>
      </c>
      <c r="M256" s="143">
        <v>400</v>
      </c>
      <c r="Q256" s="141">
        <v>13.3278935185187</v>
      </c>
      <c r="R256" s="174"/>
    </row>
    <row r="257" spans="2:18">
      <c r="B257" s="176"/>
      <c r="C257" s="174"/>
      <c r="D257" s="172"/>
      <c r="E257" s="23">
        <v>982</v>
      </c>
      <c r="F257" s="23">
        <f>DEMANDA_PREVISIÓN!E986</f>
        <v>38</v>
      </c>
      <c r="G257" s="101"/>
      <c r="H257" s="23">
        <f t="shared" si="18"/>
        <v>2369</v>
      </c>
      <c r="I257" s="138">
        <v>400</v>
      </c>
      <c r="J257" s="134">
        <v>400</v>
      </c>
      <c r="K257" s="101"/>
      <c r="L257" s="134">
        <v>50</v>
      </c>
      <c r="M257" s="143">
        <v>400</v>
      </c>
      <c r="Q257" s="141">
        <v>13.3375000000001</v>
      </c>
      <c r="R257" s="174"/>
    </row>
    <row r="258" spans="2:18">
      <c r="B258" s="176"/>
      <c r="C258" s="174"/>
      <c r="D258" s="172"/>
      <c r="E258" s="23">
        <v>983</v>
      </c>
      <c r="F258" s="23">
        <f>DEMANDA_PREVISIÓN!E987</f>
        <v>19</v>
      </c>
      <c r="G258" s="101"/>
      <c r="H258" s="23">
        <f t="shared" si="18"/>
        <v>2350</v>
      </c>
      <c r="I258" s="138">
        <v>400</v>
      </c>
      <c r="J258" s="134">
        <v>400</v>
      </c>
      <c r="K258" s="101"/>
      <c r="L258" s="134">
        <v>50</v>
      </c>
      <c r="M258" s="143">
        <v>400</v>
      </c>
      <c r="Q258" s="141">
        <v>13.3471064814816</v>
      </c>
      <c r="R258" s="174"/>
    </row>
    <row r="259" spans="2:18">
      <c r="B259" s="176"/>
      <c r="C259" s="174"/>
      <c r="D259" s="172"/>
      <c r="E259" s="23">
        <v>984</v>
      </c>
      <c r="F259" s="23">
        <f>DEMANDA_PREVISIÓN!E988</f>
        <v>34</v>
      </c>
      <c r="G259" s="101"/>
      <c r="H259" s="138">
        <f>I258+H258</f>
        <v>2750</v>
      </c>
      <c r="I259" s="23"/>
      <c r="J259" s="134">
        <v>400</v>
      </c>
      <c r="K259" s="101"/>
      <c r="L259" s="134">
        <v>50</v>
      </c>
      <c r="M259" s="143">
        <v>400</v>
      </c>
      <c r="Q259" s="141">
        <v>13.356712962963099</v>
      </c>
      <c r="R259" s="174"/>
    </row>
    <row r="260" spans="2:18">
      <c r="B260" s="176"/>
      <c r="C260" s="174"/>
      <c r="D260" s="172"/>
      <c r="E260" s="23">
        <v>985</v>
      </c>
      <c r="F260" s="23">
        <f>DEMANDA_PREVISIÓN!E989</f>
        <v>29</v>
      </c>
      <c r="G260" s="101"/>
      <c r="H260" s="23">
        <f t="shared" ref="H260:H266" si="19">H259-F260</f>
        <v>2721</v>
      </c>
      <c r="I260" s="134">
        <v>400</v>
      </c>
      <c r="J260" s="134">
        <v>400</v>
      </c>
      <c r="K260" s="101"/>
      <c r="L260" s="134">
        <v>50</v>
      </c>
      <c r="M260" s="143">
        <v>400</v>
      </c>
      <c r="Q260" s="141">
        <v>13.366319444444599</v>
      </c>
      <c r="R260" s="174"/>
    </row>
    <row r="261" spans="2:18">
      <c r="B261" s="176"/>
      <c r="C261" s="174"/>
      <c r="D261" s="172"/>
      <c r="E261" s="23">
        <v>986</v>
      </c>
      <c r="F261" s="23">
        <f>DEMANDA_PREVISIÓN!E990</f>
        <v>25</v>
      </c>
      <c r="G261" s="101"/>
      <c r="H261" s="23">
        <f t="shared" si="19"/>
        <v>2696</v>
      </c>
      <c r="I261" s="134">
        <v>400</v>
      </c>
      <c r="J261" s="128">
        <v>400</v>
      </c>
      <c r="K261" s="101"/>
      <c r="L261" s="128">
        <v>50</v>
      </c>
      <c r="M261" s="143">
        <v>400</v>
      </c>
      <c r="Q261" s="141">
        <v>13.375925925926101</v>
      </c>
      <c r="R261" s="174"/>
    </row>
    <row r="262" spans="2:18">
      <c r="B262" s="176"/>
      <c r="C262" s="174"/>
      <c r="D262" s="172"/>
      <c r="E262" s="23">
        <v>987</v>
      </c>
      <c r="F262" s="23">
        <f>DEMANDA_PREVISIÓN!E991</f>
        <v>32</v>
      </c>
      <c r="G262" s="101"/>
      <c r="H262" s="23">
        <f t="shared" si="19"/>
        <v>2664</v>
      </c>
      <c r="I262" s="134">
        <v>400</v>
      </c>
      <c r="J262" s="128">
        <v>400</v>
      </c>
      <c r="K262" s="101"/>
      <c r="L262" s="128">
        <v>50</v>
      </c>
      <c r="M262" s="143">
        <v>400</v>
      </c>
      <c r="Q262" s="141">
        <v>13.385532407407499</v>
      </c>
      <c r="R262" s="174"/>
    </row>
    <row r="263" spans="2:18">
      <c r="B263" s="176"/>
      <c r="C263" s="174"/>
      <c r="D263" s="172"/>
      <c r="E263" s="23">
        <v>988</v>
      </c>
      <c r="F263" s="23">
        <f>DEMANDA_PREVISIÓN!E992</f>
        <v>38</v>
      </c>
      <c r="G263" s="101"/>
      <c r="H263" s="23">
        <f t="shared" si="19"/>
        <v>2626</v>
      </c>
      <c r="I263" s="134">
        <v>400</v>
      </c>
      <c r="J263" s="128">
        <v>400</v>
      </c>
      <c r="K263" s="101"/>
      <c r="L263" s="128">
        <v>50</v>
      </c>
      <c r="M263" s="143">
        <v>400</v>
      </c>
      <c r="Q263" s="141">
        <v>13.395138888889001</v>
      </c>
      <c r="R263" s="174"/>
    </row>
    <row r="264" spans="2:18">
      <c r="B264" s="176"/>
      <c r="C264" s="174"/>
      <c r="D264" s="172"/>
      <c r="E264" s="23">
        <v>989</v>
      </c>
      <c r="F264" s="23">
        <f>DEMANDA_PREVISIÓN!E993</f>
        <v>24</v>
      </c>
      <c r="G264" s="101"/>
      <c r="H264" s="23">
        <f t="shared" si="19"/>
        <v>2602</v>
      </c>
      <c r="I264" s="134">
        <v>400</v>
      </c>
      <c r="J264" s="128">
        <v>400</v>
      </c>
      <c r="K264" s="101"/>
      <c r="L264" s="128">
        <v>50</v>
      </c>
      <c r="M264" s="143">
        <v>400</v>
      </c>
      <c r="Q264" s="141">
        <v>13.404745370370501</v>
      </c>
      <c r="R264" s="174"/>
    </row>
    <row r="265" spans="2:18">
      <c r="B265" s="176"/>
      <c r="C265" s="174"/>
      <c r="D265" s="172"/>
      <c r="E265" s="23">
        <v>990</v>
      </c>
      <c r="F265" s="23">
        <f>DEMANDA_PREVISIÓN!E994</f>
        <v>39</v>
      </c>
      <c r="G265" s="101"/>
      <c r="H265" s="23">
        <f t="shared" si="19"/>
        <v>2563</v>
      </c>
      <c r="I265" s="134">
        <v>400</v>
      </c>
      <c r="J265" s="128">
        <v>400</v>
      </c>
      <c r="K265" s="101"/>
      <c r="L265" s="128">
        <v>50</v>
      </c>
      <c r="M265" s="143">
        <v>400</v>
      </c>
      <c r="Q265" s="141">
        <v>13.414351851852</v>
      </c>
      <c r="R265" s="174"/>
    </row>
    <row r="266" spans="2:18">
      <c r="B266" s="176"/>
      <c r="C266" s="174"/>
      <c r="D266" s="172"/>
      <c r="E266" s="23">
        <v>991</v>
      </c>
      <c r="F266" s="23">
        <f>DEMANDA_PREVISIÓN!E995</f>
        <v>30</v>
      </c>
      <c r="G266" s="101"/>
      <c r="H266" s="23">
        <f t="shared" si="19"/>
        <v>2533</v>
      </c>
      <c r="I266" s="134">
        <v>400</v>
      </c>
      <c r="J266" s="128">
        <v>400</v>
      </c>
      <c r="K266" s="101"/>
      <c r="L266" s="128">
        <v>50</v>
      </c>
      <c r="M266" s="143">
        <v>400</v>
      </c>
      <c r="Q266" s="141">
        <v>13.4239583333335</v>
      </c>
      <c r="R266" s="174"/>
    </row>
    <row r="267" spans="2:18">
      <c r="B267" s="176"/>
      <c r="C267" s="174"/>
      <c r="D267" s="172"/>
      <c r="E267" s="23">
        <v>992</v>
      </c>
      <c r="F267" s="23">
        <f>DEMANDA_PREVISIÓN!E996</f>
        <v>32</v>
      </c>
      <c r="G267" s="101"/>
      <c r="H267" s="134">
        <f>I266+H266</f>
        <v>2933</v>
      </c>
      <c r="I267" s="23"/>
      <c r="J267" s="128">
        <v>400</v>
      </c>
      <c r="K267" s="101"/>
      <c r="L267" s="128">
        <v>50</v>
      </c>
      <c r="M267" s="143">
        <v>400</v>
      </c>
      <c r="Q267" s="141">
        <v>13.433564814815</v>
      </c>
      <c r="R267" s="174"/>
    </row>
    <row r="268" spans="2:18">
      <c r="B268" s="176"/>
      <c r="C268" s="174"/>
      <c r="D268" s="172"/>
      <c r="E268" s="23">
        <v>993</v>
      </c>
      <c r="F268" s="23">
        <f>DEMANDA_PREVISIÓN!E997</f>
        <v>32</v>
      </c>
      <c r="G268" s="101"/>
      <c r="H268" s="23">
        <f>H267-F268</f>
        <v>2901</v>
      </c>
      <c r="I268" s="128">
        <v>400</v>
      </c>
      <c r="J268" s="128">
        <v>400</v>
      </c>
      <c r="K268" s="101"/>
      <c r="L268" s="128">
        <v>50</v>
      </c>
      <c r="M268" s="143">
        <v>400</v>
      </c>
      <c r="Q268" s="141">
        <v>13.4431712962964</v>
      </c>
      <c r="R268" s="174"/>
    </row>
    <row r="269" spans="2:18">
      <c r="B269" s="176"/>
      <c r="C269" s="174"/>
      <c r="D269" s="172"/>
      <c r="E269" s="23">
        <v>994</v>
      </c>
      <c r="F269" s="23">
        <f>DEMANDA_PREVISIÓN!E998</f>
        <v>31</v>
      </c>
      <c r="G269" s="101"/>
      <c r="H269" s="23">
        <f>H268-F269</f>
        <v>2870</v>
      </c>
      <c r="I269" s="128">
        <v>400</v>
      </c>
      <c r="J269" s="129">
        <v>400</v>
      </c>
      <c r="K269" s="101"/>
      <c r="L269" s="129">
        <v>50</v>
      </c>
      <c r="M269" s="143">
        <v>400</v>
      </c>
      <c r="Q269" s="141">
        <v>13.4527777777779</v>
      </c>
      <c r="R269" s="174"/>
    </row>
    <row r="270" spans="2:18">
      <c r="B270" s="176"/>
      <c r="C270" s="174"/>
      <c r="D270" s="172"/>
      <c r="E270" s="23">
        <v>995</v>
      </c>
      <c r="F270" s="23">
        <f>DEMANDA_PREVISIÓN!E999</f>
        <v>40</v>
      </c>
      <c r="G270" s="101"/>
      <c r="H270" s="23">
        <f>H269-F270</f>
        <v>2830</v>
      </c>
      <c r="I270" s="128">
        <v>400</v>
      </c>
      <c r="J270" s="129">
        <v>400</v>
      </c>
      <c r="K270" s="101"/>
      <c r="L270" s="129">
        <v>50</v>
      </c>
      <c r="M270" s="143">
        <v>400</v>
      </c>
      <c r="Q270" s="141">
        <v>13.4623842592594</v>
      </c>
      <c r="R270" s="174"/>
    </row>
    <row r="271" spans="2:18">
      <c r="B271" s="176"/>
      <c r="C271" s="174"/>
      <c r="D271" s="172"/>
      <c r="E271" s="23">
        <v>996</v>
      </c>
      <c r="F271" s="23">
        <f>DEMANDA_PREVISIÓN!E1000</f>
        <v>37</v>
      </c>
      <c r="G271" s="101"/>
      <c r="H271" s="23">
        <f>H270-F271</f>
        <v>2793</v>
      </c>
      <c r="I271" s="128">
        <v>400</v>
      </c>
      <c r="J271" s="129">
        <v>400</v>
      </c>
      <c r="K271" s="101"/>
      <c r="L271" s="129">
        <v>50</v>
      </c>
      <c r="M271" s="143">
        <v>400</v>
      </c>
      <c r="Q271" s="141">
        <v>13.4719907407409</v>
      </c>
      <c r="R271" s="174"/>
    </row>
    <row r="272" spans="2:18">
      <c r="B272" s="176"/>
      <c r="C272" s="174"/>
      <c r="D272" s="172"/>
      <c r="E272" s="23">
        <v>997</v>
      </c>
      <c r="F272" s="23">
        <f>DEMANDA_PREVISIÓN!E1001</f>
        <v>29</v>
      </c>
      <c r="G272" s="101"/>
      <c r="H272" s="23">
        <f t="shared" ref="H272:H274" si="20">H271-F272</f>
        <v>2764</v>
      </c>
      <c r="I272" s="128">
        <v>400</v>
      </c>
      <c r="J272" s="129">
        <v>400</v>
      </c>
      <c r="K272" s="101"/>
      <c r="L272" s="129">
        <v>50</v>
      </c>
      <c r="M272" s="143">
        <v>400</v>
      </c>
      <c r="Q272" s="141">
        <v>13.481597222222399</v>
      </c>
      <c r="R272" s="174"/>
    </row>
    <row r="273" spans="2:18">
      <c r="B273" s="176"/>
      <c r="C273" s="174"/>
      <c r="D273" s="172"/>
      <c r="E273" s="23">
        <v>998</v>
      </c>
      <c r="F273" s="23">
        <f>DEMANDA_PREVISIÓN!E1002</f>
        <v>33</v>
      </c>
      <c r="G273" s="101"/>
      <c r="H273" s="23">
        <f t="shared" si="20"/>
        <v>2731</v>
      </c>
      <c r="I273" s="128">
        <v>400</v>
      </c>
      <c r="J273" s="129">
        <v>400</v>
      </c>
      <c r="K273" s="101"/>
      <c r="L273" s="129">
        <v>50</v>
      </c>
      <c r="M273" s="143">
        <v>400</v>
      </c>
      <c r="Q273" s="141">
        <v>13.4912037037038</v>
      </c>
      <c r="R273" s="174"/>
    </row>
    <row r="274" spans="2:18">
      <c r="B274" s="176"/>
      <c r="C274" s="174"/>
      <c r="D274" s="172"/>
      <c r="E274" s="23">
        <v>999</v>
      </c>
      <c r="F274" s="23">
        <f>DEMANDA_PREVISIÓN!E1003</f>
        <v>28</v>
      </c>
      <c r="G274" s="101"/>
      <c r="H274" s="23">
        <f t="shared" si="20"/>
        <v>2703</v>
      </c>
      <c r="I274" s="128">
        <v>400</v>
      </c>
      <c r="J274" s="129">
        <v>400</v>
      </c>
      <c r="K274" s="101"/>
      <c r="L274" s="129">
        <v>50</v>
      </c>
      <c r="M274" s="143">
        <v>400</v>
      </c>
      <c r="Q274" s="141">
        <v>13.5008101851853</v>
      </c>
      <c r="R274" s="174"/>
    </row>
    <row r="275" spans="2:18">
      <c r="B275" s="176"/>
      <c r="C275" s="174"/>
      <c r="D275" s="172"/>
      <c r="E275" s="23">
        <v>1000</v>
      </c>
      <c r="F275" s="23">
        <f>DEMANDA_PREVISIÓN!E1004</f>
        <v>25</v>
      </c>
      <c r="G275" s="101"/>
      <c r="H275" s="128">
        <f>I274+H274</f>
        <v>3103</v>
      </c>
      <c r="J275" s="129">
        <v>400</v>
      </c>
      <c r="K275" s="47"/>
      <c r="L275" s="129">
        <v>50</v>
      </c>
      <c r="M275" s="143">
        <v>400</v>
      </c>
      <c r="Q275" s="141">
        <v>13.510416666666799</v>
      </c>
      <c r="R275" s="174"/>
    </row>
    <row r="276" spans="2:18">
      <c r="B276" s="176"/>
      <c r="C276" s="174"/>
      <c r="D276" s="172"/>
      <c r="E276" s="23">
        <v>1001</v>
      </c>
      <c r="F276" s="23">
        <f>DEMANDA_PREVISIÓN!E1005</f>
        <v>29</v>
      </c>
      <c r="G276" s="101"/>
      <c r="H276" s="23">
        <f t="shared" ref="H276:H282" si="21">H275-F276</f>
        <v>3074</v>
      </c>
      <c r="I276" s="129">
        <v>400</v>
      </c>
      <c r="J276" s="129">
        <v>400</v>
      </c>
      <c r="K276" s="101"/>
      <c r="L276" s="129">
        <v>50</v>
      </c>
      <c r="M276" s="143">
        <v>400</v>
      </c>
      <c r="Q276" s="141">
        <v>13.520023148148301</v>
      </c>
      <c r="R276" s="174"/>
    </row>
    <row r="277" spans="2:18">
      <c r="B277" s="176"/>
      <c r="C277" s="174"/>
      <c r="D277" s="172"/>
      <c r="E277" s="23">
        <v>1002</v>
      </c>
      <c r="F277" s="23">
        <f>DEMANDA_PREVISIÓN!E1006</f>
        <v>32</v>
      </c>
      <c r="G277" s="101"/>
      <c r="H277" s="23">
        <f t="shared" si="21"/>
        <v>3042</v>
      </c>
      <c r="I277" s="129">
        <v>400</v>
      </c>
      <c r="J277" s="137">
        <v>400</v>
      </c>
      <c r="K277" s="101"/>
      <c r="L277" s="137">
        <v>50</v>
      </c>
      <c r="M277" s="143">
        <v>400</v>
      </c>
      <c r="Q277" s="141">
        <v>13.529629629629801</v>
      </c>
      <c r="R277" s="174"/>
    </row>
    <row r="278" spans="2:18">
      <c r="B278" s="176"/>
      <c r="C278" s="174"/>
      <c r="D278" s="173"/>
      <c r="E278" s="23">
        <v>1003</v>
      </c>
      <c r="F278" s="23">
        <f>DEMANDA_PREVISIÓN!E1007</f>
        <v>36</v>
      </c>
      <c r="G278" s="101"/>
      <c r="H278" s="23">
        <f t="shared" si="21"/>
        <v>3006</v>
      </c>
      <c r="I278" s="129">
        <v>400</v>
      </c>
      <c r="J278" s="137">
        <v>400</v>
      </c>
      <c r="K278" s="101"/>
      <c r="L278" s="137">
        <v>50</v>
      </c>
      <c r="M278" s="143">
        <v>400</v>
      </c>
      <c r="Q278" s="141">
        <v>13.5392361111113</v>
      </c>
      <c r="R278" s="174"/>
    </row>
    <row r="279" spans="2:18">
      <c r="B279" s="176"/>
      <c r="C279" s="174" t="s">
        <v>52</v>
      </c>
      <c r="D279" s="171" t="s">
        <v>53</v>
      </c>
      <c r="E279" s="23">
        <v>1004</v>
      </c>
      <c r="F279" s="23">
        <f>DEMANDA_PREVISIÓN!E1008</f>
        <v>42</v>
      </c>
      <c r="G279" s="101"/>
      <c r="H279" s="23">
        <f t="shared" si="21"/>
        <v>2964</v>
      </c>
      <c r="I279" s="129">
        <v>400</v>
      </c>
      <c r="J279" s="137">
        <v>400</v>
      </c>
      <c r="K279" s="101"/>
      <c r="L279" s="137">
        <v>50</v>
      </c>
      <c r="M279" s="118"/>
      <c r="Q279" s="141">
        <v>13.548842592592701</v>
      </c>
      <c r="R279" s="174"/>
    </row>
    <row r="280" spans="2:18">
      <c r="B280" s="176"/>
      <c r="C280" s="174"/>
      <c r="D280" s="172"/>
      <c r="E280" s="23">
        <v>1005</v>
      </c>
      <c r="F280" s="23">
        <f>DEMANDA_PREVISIÓN!E1009</f>
        <v>35</v>
      </c>
      <c r="G280" s="101"/>
      <c r="H280" s="23">
        <f t="shared" si="21"/>
        <v>2929</v>
      </c>
      <c r="I280" s="129">
        <v>400</v>
      </c>
      <c r="J280" s="137">
        <v>400</v>
      </c>
      <c r="K280" s="101"/>
      <c r="L280" s="137">
        <v>50</v>
      </c>
      <c r="M280" s="118"/>
      <c r="Q280" s="141">
        <v>13.558449074074201</v>
      </c>
      <c r="R280" s="174"/>
    </row>
    <row r="281" spans="2:18">
      <c r="B281" s="176"/>
      <c r="C281" s="174"/>
      <c r="D281" s="172"/>
      <c r="E281" s="23">
        <v>1006</v>
      </c>
      <c r="F281" s="23">
        <f>DEMANDA_PREVISIÓN!E1010</f>
        <v>41</v>
      </c>
      <c r="G281" s="101"/>
      <c r="H281" s="23">
        <f t="shared" si="21"/>
        <v>2888</v>
      </c>
      <c r="I281" s="129">
        <v>400</v>
      </c>
      <c r="J281" s="137">
        <v>400</v>
      </c>
      <c r="K281" s="101"/>
      <c r="L281" s="137">
        <v>50</v>
      </c>
      <c r="M281" s="118"/>
      <c r="Q281" s="141">
        <v>13.5680555555557</v>
      </c>
      <c r="R281" s="174"/>
    </row>
    <row r="282" spans="2:18">
      <c r="B282" s="176"/>
      <c r="C282" s="174"/>
      <c r="D282" s="172"/>
      <c r="E282" s="23">
        <v>1007</v>
      </c>
      <c r="F282" s="23">
        <f>DEMANDA_PREVISIÓN!E1011</f>
        <v>25</v>
      </c>
      <c r="G282" s="101"/>
      <c r="H282" s="23">
        <f t="shared" si="21"/>
        <v>2863</v>
      </c>
      <c r="I282" s="129">
        <v>400</v>
      </c>
      <c r="J282" s="137">
        <v>400</v>
      </c>
      <c r="K282" s="101"/>
      <c r="L282" s="137">
        <v>50</v>
      </c>
      <c r="M282" s="118"/>
      <c r="Q282" s="141">
        <v>13.5776620370372</v>
      </c>
      <c r="R282" s="174"/>
    </row>
    <row r="283" spans="2:18">
      <c r="B283" s="176"/>
      <c r="C283" s="174"/>
      <c r="D283" s="172"/>
      <c r="E283" s="23">
        <v>1008</v>
      </c>
      <c r="F283" s="23">
        <f>DEMANDA_PREVISIÓN!E1012</f>
        <v>28</v>
      </c>
      <c r="G283" s="101"/>
      <c r="H283" s="129">
        <f>I282+H282</f>
        <v>3263</v>
      </c>
      <c r="I283" s="23"/>
      <c r="J283" s="137">
        <v>400</v>
      </c>
      <c r="K283" s="101"/>
      <c r="L283" s="137">
        <v>50</v>
      </c>
      <c r="M283" s="118"/>
      <c r="Q283" s="141">
        <v>13.5872685185187</v>
      </c>
      <c r="R283" s="174"/>
    </row>
    <row r="284" spans="2:18">
      <c r="B284" s="176"/>
      <c r="C284" s="174"/>
      <c r="D284" s="172"/>
      <c r="E284" s="23">
        <v>1009</v>
      </c>
      <c r="F284" s="23">
        <f>DEMANDA_PREVISIÓN!E1013</f>
        <v>31</v>
      </c>
      <c r="G284" s="101"/>
      <c r="H284" s="23">
        <f t="shared" ref="H284:H290" si="22">H283-F284</f>
        <v>3232</v>
      </c>
      <c r="I284" s="137">
        <v>400</v>
      </c>
      <c r="J284" s="137">
        <v>400</v>
      </c>
      <c r="K284" s="101"/>
      <c r="L284" s="137">
        <v>50</v>
      </c>
      <c r="M284" s="118"/>
      <c r="Q284" s="141">
        <v>13.5968750000001</v>
      </c>
      <c r="R284" s="174"/>
    </row>
    <row r="285" spans="2:18">
      <c r="B285" s="176"/>
      <c r="C285" s="174"/>
      <c r="D285" s="172"/>
      <c r="E285" s="23">
        <v>1010</v>
      </c>
      <c r="F285" s="23">
        <f>DEMANDA_PREVISIÓN!E1014</f>
        <v>28</v>
      </c>
      <c r="G285" s="101"/>
      <c r="H285" s="23">
        <f t="shared" si="22"/>
        <v>3204</v>
      </c>
      <c r="I285" s="137">
        <v>400</v>
      </c>
      <c r="J285" s="138">
        <v>400</v>
      </c>
      <c r="K285" s="101"/>
      <c r="L285" s="138">
        <v>50</v>
      </c>
      <c r="M285" s="118"/>
      <c r="Q285" s="141">
        <v>13.6064814814816</v>
      </c>
      <c r="R285" s="174"/>
    </row>
    <row r="286" spans="2:18">
      <c r="B286" s="176"/>
      <c r="C286" s="174"/>
      <c r="D286" s="172"/>
      <c r="E286" s="23">
        <v>1011</v>
      </c>
      <c r="F286" s="23">
        <f>DEMANDA_PREVISIÓN!E1015</f>
        <v>36</v>
      </c>
      <c r="G286" s="101"/>
      <c r="H286" s="23">
        <f t="shared" si="22"/>
        <v>3168</v>
      </c>
      <c r="I286" s="137">
        <v>400</v>
      </c>
      <c r="J286" s="138">
        <v>400</v>
      </c>
      <c r="K286" s="101"/>
      <c r="L286" s="138">
        <v>50</v>
      </c>
      <c r="M286" s="118"/>
      <c r="Q286" s="141">
        <v>13.6160879629631</v>
      </c>
      <c r="R286" s="174"/>
    </row>
    <row r="287" spans="2:18">
      <c r="B287" s="176"/>
      <c r="C287" s="174"/>
      <c r="D287" s="172"/>
      <c r="E287" s="23">
        <v>1012</v>
      </c>
      <c r="F287" s="23">
        <f>DEMANDA_PREVISIÓN!E1016</f>
        <v>29</v>
      </c>
      <c r="G287" s="101"/>
      <c r="H287" s="23">
        <f t="shared" si="22"/>
        <v>3139</v>
      </c>
      <c r="I287" s="137">
        <v>400</v>
      </c>
      <c r="J287" s="138">
        <v>400</v>
      </c>
      <c r="K287" s="101"/>
      <c r="L287" s="138">
        <v>50</v>
      </c>
      <c r="M287" s="118"/>
      <c r="Q287" s="141">
        <v>13.6256944444446</v>
      </c>
      <c r="R287" s="174"/>
    </row>
    <row r="288" spans="2:18">
      <c r="B288" s="176"/>
      <c r="C288" s="174"/>
      <c r="D288" s="172"/>
      <c r="E288" s="23">
        <v>1013</v>
      </c>
      <c r="F288" s="23">
        <f>DEMANDA_PREVISIÓN!E1017</f>
        <v>39</v>
      </c>
      <c r="G288" s="101"/>
      <c r="H288" s="23">
        <f t="shared" si="22"/>
        <v>3100</v>
      </c>
      <c r="I288" s="137">
        <v>400</v>
      </c>
      <c r="J288" s="138">
        <v>400</v>
      </c>
      <c r="K288" s="101"/>
      <c r="L288" s="138">
        <v>50</v>
      </c>
      <c r="M288" s="118"/>
      <c r="Q288" s="141">
        <v>13.635300925926099</v>
      </c>
      <c r="R288" s="174"/>
    </row>
    <row r="289" spans="2:18">
      <c r="B289" s="176"/>
      <c r="C289" s="174"/>
      <c r="D289" s="172"/>
      <c r="E289" s="23">
        <v>1014</v>
      </c>
      <c r="F289" s="23">
        <f>DEMANDA_PREVISIÓN!E1018</f>
        <v>33</v>
      </c>
      <c r="G289" s="101"/>
      <c r="H289" s="23">
        <f t="shared" si="22"/>
        <v>3067</v>
      </c>
      <c r="I289" s="137">
        <v>400</v>
      </c>
      <c r="J289" s="138">
        <v>400</v>
      </c>
      <c r="K289" s="101"/>
      <c r="L289" s="138">
        <v>50</v>
      </c>
      <c r="M289" s="118"/>
      <c r="Q289" s="141">
        <v>13.644907407407601</v>
      </c>
      <c r="R289" s="174"/>
    </row>
    <row r="290" spans="2:18">
      <c r="B290" s="176"/>
      <c r="C290" s="174"/>
      <c r="D290" s="172"/>
      <c r="E290" s="23">
        <v>1015</v>
      </c>
      <c r="F290" s="23">
        <f>DEMANDA_PREVISIÓN!E1019</f>
        <v>31</v>
      </c>
      <c r="G290" s="101"/>
      <c r="H290" s="23">
        <f t="shared" si="22"/>
        <v>3036</v>
      </c>
      <c r="I290" s="137">
        <v>400</v>
      </c>
      <c r="J290" s="138">
        <v>400</v>
      </c>
      <c r="K290" s="101"/>
      <c r="L290" s="138">
        <v>50</v>
      </c>
      <c r="M290" s="118"/>
      <c r="Q290" s="141">
        <v>13.654513888888999</v>
      </c>
      <c r="R290" s="174"/>
    </row>
    <row r="291" spans="2:18">
      <c r="B291" s="176"/>
      <c r="C291" s="174"/>
      <c r="D291" s="172"/>
      <c r="E291" s="23">
        <v>1016</v>
      </c>
      <c r="F291" s="23">
        <f>DEMANDA_PREVISIÓN!E1020</f>
        <v>39</v>
      </c>
      <c r="G291" s="101"/>
      <c r="H291" s="137">
        <f>I290+H290</f>
        <v>3436</v>
      </c>
      <c r="I291" s="23"/>
      <c r="J291" s="138">
        <v>400</v>
      </c>
      <c r="K291" s="101"/>
      <c r="L291" s="138">
        <v>50</v>
      </c>
      <c r="M291" s="118"/>
      <c r="Q291" s="141">
        <v>13.664120370370499</v>
      </c>
      <c r="R291" s="174"/>
    </row>
    <row r="292" spans="2:18">
      <c r="B292" s="176"/>
      <c r="C292" s="174"/>
      <c r="D292" s="172"/>
      <c r="E292" s="23">
        <v>1017</v>
      </c>
      <c r="F292" s="23">
        <f>DEMANDA_PREVISIÓN!E1021</f>
        <v>29</v>
      </c>
      <c r="G292" s="101"/>
      <c r="H292" s="23">
        <f t="shared" ref="H292:H298" si="23">H291-F292</f>
        <v>3407</v>
      </c>
      <c r="I292" s="138">
        <v>400</v>
      </c>
      <c r="J292" s="138">
        <v>400</v>
      </c>
      <c r="K292" s="101"/>
      <c r="L292" s="138">
        <v>50</v>
      </c>
      <c r="M292" s="118"/>
      <c r="Q292" s="141">
        <v>13.673726851852001</v>
      </c>
      <c r="R292" s="174"/>
    </row>
    <row r="293" spans="2:18">
      <c r="B293" s="176"/>
      <c r="C293" s="174"/>
      <c r="D293" s="172"/>
      <c r="E293" s="23">
        <v>1018</v>
      </c>
      <c r="F293" s="23">
        <f>DEMANDA_PREVISIÓN!E1022</f>
        <v>22</v>
      </c>
      <c r="G293" s="101"/>
      <c r="H293" s="23">
        <f t="shared" si="23"/>
        <v>3385</v>
      </c>
      <c r="I293" s="138">
        <v>400</v>
      </c>
      <c r="J293" s="134">
        <v>400</v>
      </c>
      <c r="K293" s="101"/>
      <c r="L293" s="134">
        <v>50</v>
      </c>
      <c r="M293" s="118"/>
      <c r="Q293" s="141">
        <v>13.683333333333501</v>
      </c>
      <c r="R293" s="174"/>
    </row>
    <row r="294" spans="2:18">
      <c r="B294" s="176"/>
      <c r="C294" s="174"/>
      <c r="D294" s="172"/>
      <c r="E294" s="23">
        <v>1019</v>
      </c>
      <c r="F294" s="23">
        <f>DEMANDA_PREVISIÓN!E1023</f>
        <v>40</v>
      </c>
      <c r="G294" s="101"/>
      <c r="H294" s="23">
        <f t="shared" si="23"/>
        <v>3345</v>
      </c>
      <c r="I294" s="138">
        <v>400</v>
      </c>
      <c r="J294" s="134">
        <v>400</v>
      </c>
      <c r="K294" s="101"/>
      <c r="L294" s="134">
        <v>50</v>
      </c>
      <c r="M294" s="118"/>
      <c r="Q294" s="141">
        <v>13.692939814815</v>
      </c>
      <c r="R294" s="174"/>
    </row>
    <row r="295" spans="2:18">
      <c r="B295" s="176"/>
      <c r="C295" s="174"/>
      <c r="D295" s="172"/>
      <c r="E295" s="23">
        <v>1020</v>
      </c>
      <c r="F295" s="23">
        <f>DEMANDA_PREVISIÓN!E1024</f>
        <v>30</v>
      </c>
      <c r="G295" s="101"/>
      <c r="H295" s="23">
        <f t="shared" si="23"/>
        <v>3315</v>
      </c>
      <c r="I295" s="138">
        <v>400</v>
      </c>
      <c r="J295" s="134">
        <v>400</v>
      </c>
      <c r="K295" s="101"/>
      <c r="L295" s="134">
        <v>50</v>
      </c>
      <c r="M295" s="118"/>
      <c r="Q295" s="141">
        <v>13.7025462962965</v>
      </c>
      <c r="R295" s="174"/>
    </row>
    <row r="296" spans="2:18">
      <c r="B296" s="176"/>
      <c r="C296" s="174"/>
      <c r="D296" s="172"/>
      <c r="E296" s="23">
        <v>1021</v>
      </c>
      <c r="F296" s="23">
        <f>DEMANDA_PREVISIÓN!E1025</f>
        <v>34</v>
      </c>
      <c r="G296" s="101"/>
      <c r="H296" s="23">
        <f t="shared" si="23"/>
        <v>3281</v>
      </c>
      <c r="I296" s="138">
        <v>400</v>
      </c>
      <c r="J296" s="134">
        <v>400</v>
      </c>
      <c r="K296" s="101"/>
      <c r="L296" s="134">
        <v>50</v>
      </c>
      <c r="M296" s="118"/>
      <c r="Q296" s="141">
        <v>13.7121527777779</v>
      </c>
      <c r="R296" s="174"/>
    </row>
    <row r="297" spans="2:18">
      <c r="B297" s="176"/>
      <c r="C297" s="174"/>
      <c r="D297" s="172"/>
      <c r="E297" s="23">
        <v>1022</v>
      </c>
      <c r="F297" s="23">
        <f>DEMANDA_PREVISIÓN!E1026</f>
        <v>35</v>
      </c>
      <c r="G297" s="101"/>
      <c r="H297" s="23">
        <f t="shared" si="23"/>
        <v>3246</v>
      </c>
      <c r="I297" s="138">
        <v>400</v>
      </c>
      <c r="J297" s="134">
        <v>400</v>
      </c>
      <c r="K297" s="101"/>
      <c r="L297" s="134">
        <v>50</v>
      </c>
      <c r="M297" s="118"/>
      <c r="Q297" s="141">
        <v>13.7217592592594</v>
      </c>
      <c r="R297" s="174"/>
    </row>
    <row r="298" spans="2:18">
      <c r="B298" s="176"/>
      <c r="C298" s="174"/>
      <c r="D298" s="172"/>
      <c r="E298" s="23">
        <v>1023</v>
      </c>
      <c r="F298" s="23">
        <f>DEMANDA_PREVISIÓN!E1027</f>
        <v>41</v>
      </c>
      <c r="G298" s="101"/>
      <c r="H298" s="23">
        <f t="shared" si="23"/>
        <v>3205</v>
      </c>
      <c r="I298" s="138">
        <v>400</v>
      </c>
      <c r="J298" s="134">
        <v>400</v>
      </c>
      <c r="K298" s="101"/>
      <c r="L298" s="134">
        <v>50</v>
      </c>
      <c r="M298" s="118"/>
      <c r="Q298" s="141">
        <v>13.7313657407409</v>
      </c>
      <c r="R298" s="174"/>
    </row>
    <row r="299" spans="2:18">
      <c r="B299" s="176"/>
      <c r="C299" s="174"/>
      <c r="D299" s="172"/>
      <c r="E299" s="23">
        <v>1024</v>
      </c>
      <c r="F299" s="23">
        <f>DEMANDA_PREVISIÓN!E1028</f>
        <v>26</v>
      </c>
      <c r="G299" s="101"/>
      <c r="H299" s="138">
        <f>I298+H298</f>
        <v>3605</v>
      </c>
      <c r="I299" s="23"/>
      <c r="J299" s="134">
        <v>400</v>
      </c>
      <c r="K299" s="101"/>
      <c r="L299" s="134">
        <v>50</v>
      </c>
      <c r="M299" s="118"/>
      <c r="Q299" s="141">
        <v>13.7409722222224</v>
      </c>
      <c r="R299" s="174"/>
    </row>
    <row r="300" spans="2:18">
      <c r="B300" s="176"/>
      <c r="C300" s="174"/>
      <c r="D300" s="172"/>
      <c r="E300" s="23">
        <v>1025</v>
      </c>
      <c r="F300" s="23">
        <f>DEMANDA_PREVISIÓN!E1029</f>
        <v>34</v>
      </c>
      <c r="G300" s="101"/>
      <c r="H300" s="23">
        <f t="shared" ref="H300:H306" si="24">H299-F300</f>
        <v>3571</v>
      </c>
      <c r="I300" s="134">
        <v>400</v>
      </c>
      <c r="J300" s="134">
        <v>400</v>
      </c>
      <c r="K300" s="101"/>
      <c r="L300" s="134">
        <v>50</v>
      </c>
      <c r="M300" s="118"/>
      <c r="Q300" s="141">
        <v>13.7505787037039</v>
      </c>
      <c r="R300" s="174"/>
    </row>
    <row r="301" spans="2:18">
      <c r="B301" s="176"/>
      <c r="C301" s="174"/>
      <c r="D301" s="172"/>
      <c r="E301" s="23">
        <v>1026</v>
      </c>
      <c r="F301" s="23">
        <f>DEMANDA_PREVISIÓN!E1030</f>
        <v>35</v>
      </c>
      <c r="G301" s="101"/>
      <c r="H301" s="23">
        <f t="shared" si="24"/>
        <v>3536</v>
      </c>
      <c r="I301" s="134">
        <v>400</v>
      </c>
      <c r="J301" s="128">
        <v>400</v>
      </c>
      <c r="K301" s="101"/>
      <c r="L301" s="128">
        <v>50</v>
      </c>
      <c r="M301" s="118"/>
      <c r="Q301" s="141">
        <v>13.7601851851853</v>
      </c>
      <c r="R301" s="174"/>
    </row>
    <row r="302" spans="2:18">
      <c r="B302" s="176"/>
      <c r="C302" s="174"/>
      <c r="D302" s="172"/>
      <c r="E302" s="23">
        <v>1027</v>
      </c>
      <c r="F302" s="23">
        <f>DEMANDA_PREVISIÓN!E1031</f>
        <v>39</v>
      </c>
      <c r="G302" s="101"/>
      <c r="H302" s="23">
        <f t="shared" si="24"/>
        <v>3497</v>
      </c>
      <c r="I302" s="134">
        <v>400</v>
      </c>
      <c r="J302" s="128">
        <v>400</v>
      </c>
      <c r="K302" s="101"/>
      <c r="L302" s="128">
        <v>50</v>
      </c>
      <c r="M302" s="118"/>
      <c r="Q302" s="141">
        <v>13.7697916666668</v>
      </c>
      <c r="R302" s="174"/>
    </row>
    <row r="303" spans="2:18">
      <c r="B303" s="176"/>
      <c r="C303" s="174"/>
      <c r="D303" s="172"/>
      <c r="E303" s="23">
        <v>1028</v>
      </c>
      <c r="F303" s="23">
        <f>DEMANDA_PREVISIÓN!E1032</f>
        <v>37</v>
      </c>
      <c r="G303" s="101"/>
      <c r="H303" s="23">
        <f t="shared" si="24"/>
        <v>3460</v>
      </c>
      <c r="I303" s="134">
        <v>400</v>
      </c>
      <c r="J303" s="128">
        <v>400</v>
      </c>
      <c r="K303" s="101"/>
      <c r="L303" s="128">
        <v>50</v>
      </c>
      <c r="M303" s="118"/>
      <c r="Q303" s="141">
        <v>13.779398148148299</v>
      </c>
      <c r="R303" s="174"/>
    </row>
    <row r="304" spans="2:18">
      <c r="B304" s="176"/>
      <c r="C304" s="174"/>
      <c r="D304" s="172"/>
      <c r="E304" s="23">
        <v>1029</v>
      </c>
      <c r="F304" s="23">
        <f>DEMANDA_PREVISIÓN!E1033</f>
        <v>36</v>
      </c>
      <c r="G304" s="101"/>
      <c r="H304" s="23">
        <f t="shared" si="24"/>
        <v>3424</v>
      </c>
      <c r="I304" s="134">
        <v>400</v>
      </c>
      <c r="J304" s="128">
        <v>400</v>
      </c>
      <c r="K304" s="101"/>
      <c r="L304" s="128">
        <v>50</v>
      </c>
      <c r="M304" s="118"/>
      <c r="Q304" s="141">
        <v>13.789004629629799</v>
      </c>
      <c r="R304" s="174"/>
    </row>
    <row r="305" spans="2:18">
      <c r="B305" s="176"/>
      <c r="C305" s="174"/>
      <c r="D305" s="172"/>
      <c r="E305" s="23">
        <v>1030</v>
      </c>
      <c r="F305" s="23">
        <f>DEMANDA_PREVISIÓN!E1034</f>
        <v>33</v>
      </c>
      <c r="G305" s="101"/>
      <c r="H305" s="23">
        <f t="shared" si="24"/>
        <v>3391</v>
      </c>
      <c r="I305" s="134">
        <v>400</v>
      </c>
      <c r="J305" s="128">
        <v>400</v>
      </c>
      <c r="K305" s="101"/>
      <c r="L305" s="128">
        <v>50</v>
      </c>
      <c r="M305" s="118"/>
      <c r="Q305" s="141">
        <v>13.798611111111301</v>
      </c>
      <c r="R305" s="174"/>
    </row>
    <row r="306" spans="2:18">
      <c r="B306" s="176"/>
      <c r="C306" s="174"/>
      <c r="D306" s="172"/>
      <c r="E306" s="23">
        <v>1031</v>
      </c>
      <c r="F306" s="23">
        <f>DEMANDA_PREVISIÓN!E1035</f>
        <v>32</v>
      </c>
      <c r="G306" s="101"/>
      <c r="H306" s="23">
        <f t="shared" si="24"/>
        <v>3359</v>
      </c>
      <c r="I306" s="134">
        <v>400</v>
      </c>
      <c r="J306" s="128">
        <v>400</v>
      </c>
      <c r="K306" s="101"/>
      <c r="L306" s="128">
        <v>50</v>
      </c>
      <c r="M306" s="118"/>
      <c r="Q306" s="141">
        <v>13.808217592592801</v>
      </c>
      <c r="R306" s="174"/>
    </row>
    <row r="307" spans="2:18">
      <c r="B307" s="176"/>
      <c r="C307" s="174"/>
      <c r="D307" s="172"/>
      <c r="E307" s="23">
        <v>1032</v>
      </c>
      <c r="F307" s="23">
        <f>DEMANDA_PREVISIÓN!E1036</f>
        <v>34</v>
      </c>
      <c r="G307" s="101"/>
      <c r="H307" s="134">
        <f>I306+H306</f>
        <v>3759</v>
      </c>
      <c r="I307" s="23"/>
      <c r="J307" s="128">
        <v>400</v>
      </c>
      <c r="K307" s="101"/>
      <c r="L307" s="128">
        <v>50</v>
      </c>
      <c r="M307" s="118"/>
      <c r="Q307" s="141">
        <v>13.817824074074201</v>
      </c>
      <c r="R307" s="174"/>
    </row>
    <row r="308" spans="2:18">
      <c r="B308" s="176"/>
      <c r="C308" s="174"/>
      <c r="D308" s="172"/>
      <c r="E308" s="23">
        <v>1033</v>
      </c>
      <c r="F308" s="23">
        <f>DEMANDA_PREVISIÓN!E1037</f>
        <v>34</v>
      </c>
      <c r="G308" s="101"/>
      <c r="H308" s="23">
        <f>H307-F308</f>
        <v>3725</v>
      </c>
      <c r="I308" s="128">
        <v>400</v>
      </c>
      <c r="J308" s="128">
        <v>400</v>
      </c>
      <c r="K308" s="101"/>
      <c r="L308" s="128">
        <v>50</v>
      </c>
      <c r="M308" s="118"/>
      <c r="Q308" s="141">
        <v>13.827430555555701</v>
      </c>
      <c r="R308" s="174"/>
    </row>
    <row r="309" spans="2:18">
      <c r="B309" s="176"/>
      <c r="C309" s="174"/>
      <c r="D309" s="173"/>
      <c r="E309" s="23">
        <v>1034</v>
      </c>
      <c r="F309" s="23">
        <f>DEMANDA_PREVISIÓN!E1038</f>
        <v>30</v>
      </c>
      <c r="G309" s="101"/>
      <c r="H309" s="23">
        <f>H308-F309</f>
        <v>3695</v>
      </c>
      <c r="I309" s="128">
        <v>400</v>
      </c>
      <c r="J309" s="129">
        <v>400</v>
      </c>
      <c r="K309" s="101"/>
      <c r="L309" s="129">
        <v>50</v>
      </c>
      <c r="M309" s="118"/>
      <c r="Q309" s="141">
        <v>13.8370370370372</v>
      </c>
      <c r="R309" s="174"/>
    </row>
    <row r="310" spans="2:18">
      <c r="B310" s="176"/>
      <c r="C310" s="174"/>
      <c r="D310" s="171" t="s">
        <v>54</v>
      </c>
      <c r="E310" s="23">
        <v>1035</v>
      </c>
      <c r="F310" s="23">
        <f>DEMANDA_PREVISIÓN!E1039</f>
        <v>25</v>
      </c>
      <c r="G310" s="101"/>
      <c r="H310" s="23">
        <f>H309-F310</f>
        <v>3670</v>
      </c>
      <c r="I310" s="128">
        <v>400</v>
      </c>
      <c r="J310" s="129">
        <v>400</v>
      </c>
      <c r="K310" s="101"/>
      <c r="L310" s="129">
        <v>50</v>
      </c>
      <c r="M310" s="118"/>
      <c r="Q310" s="141">
        <v>13.8466435185187</v>
      </c>
      <c r="R310" s="174"/>
    </row>
    <row r="311" spans="2:18">
      <c r="B311" s="176"/>
      <c r="C311" s="174"/>
      <c r="D311" s="172"/>
      <c r="E311" s="23">
        <v>1036</v>
      </c>
      <c r="F311" s="23">
        <f>DEMANDA_PREVISIÓN!E1040</f>
        <v>36</v>
      </c>
      <c r="G311" s="101"/>
      <c r="H311" s="23">
        <f>H310-F311</f>
        <v>3634</v>
      </c>
      <c r="I311" s="128">
        <v>400</v>
      </c>
      <c r="J311" s="129">
        <v>400</v>
      </c>
      <c r="K311" s="101"/>
      <c r="L311" s="129">
        <v>50</v>
      </c>
      <c r="M311" s="118"/>
      <c r="Q311" s="141">
        <v>13.8562500000002</v>
      </c>
      <c r="R311" s="174"/>
    </row>
    <row r="312" spans="2:18">
      <c r="B312" s="176"/>
      <c r="C312" s="174"/>
      <c r="D312" s="172"/>
      <c r="E312" s="23">
        <v>1037</v>
      </c>
      <c r="F312" s="23">
        <f>DEMANDA_PREVISIÓN!E1041</f>
        <v>35</v>
      </c>
      <c r="G312" s="101"/>
      <c r="H312" s="23">
        <f t="shared" ref="H312:H314" si="25">H311-F312</f>
        <v>3599</v>
      </c>
      <c r="I312" s="128">
        <v>400</v>
      </c>
      <c r="J312" s="129">
        <v>400</v>
      </c>
      <c r="K312" s="101"/>
      <c r="L312" s="129">
        <v>50</v>
      </c>
      <c r="M312" s="118"/>
      <c r="Q312" s="141">
        <v>13.8658564814816</v>
      </c>
      <c r="R312" s="174"/>
    </row>
    <row r="313" spans="2:18">
      <c r="B313" s="176"/>
      <c r="C313" s="174"/>
      <c r="D313" s="172"/>
      <c r="E313" s="23">
        <v>1038</v>
      </c>
      <c r="F313" s="23">
        <f>DEMANDA_PREVISIÓN!E1042</f>
        <v>35</v>
      </c>
      <c r="G313" s="101"/>
      <c r="H313" s="23">
        <f t="shared" si="25"/>
        <v>3564</v>
      </c>
      <c r="I313" s="128">
        <v>400</v>
      </c>
      <c r="J313" s="129">
        <v>400</v>
      </c>
      <c r="K313" s="101"/>
      <c r="L313" s="129">
        <v>50</v>
      </c>
      <c r="M313" s="118"/>
      <c r="Q313" s="141">
        <v>13.8754629629631</v>
      </c>
      <c r="R313" s="174"/>
    </row>
    <row r="314" spans="2:18">
      <c r="B314" s="176"/>
      <c r="C314" s="174"/>
      <c r="D314" s="172"/>
      <c r="E314" s="23">
        <v>1039</v>
      </c>
      <c r="F314" s="23">
        <f>DEMANDA_PREVISIÓN!E1043</f>
        <v>39</v>
      </c>
      <c r="G314" s="101"/>
      <c r="H314" s="23">
        <f t="shared" si="25"/>
        <v>3525</v>
      </c>
      <c r="I314" s="128">
        <v>400</v>
      </c>
      <c r="J314" s="129">
        <v>400</v>
      </c>
      <c r="K314" s="101"/>
      <c r="L314" s="129">
        <v>50</v>
      </c>
      <c r="M314" s="118"/>
      <c r="Q314" s="141">
        <v>13.8850694444446</v>
      </c>
      <c r="R314" s="174"/>
    </row>
    <row r="315" spans="2:18">
      <c r="B315" s="176"/>
      <c r="C315" s="174"/>
      <c r="D315" s="172"/>
      <c r="E315" s="23">
        <v>1040</v>
      </c>
      <c r="F315" s="23">
        <f>DEMANDA_PREVISIÓN!E1044</f>
        <v>24</v>
      </c>
      <c r="G315" s="101"/>
      <c r="H315" s="128">
        <f>I314+H314</f>
        <v>3925</v>
      </c>
      <c r="J315" s="129">
        <v>400</v>
      </c>
      <c r="K315" s="47"/>
      <c r="L315" s="129">
        <v>50</v>
      </c>
      <c r="M315" s="118"/>
      <c r="Q315" s="141">
        <v>13.8946759259261</v>
      </c>
      <c r="R315" s="174"/>
    </row>
    <row r="316" spans="2:18">
      <c r="B316" s="176"/>
      <c r="C316" s="174"/>
      <c r="D316" s="172"/>
      <c r="E316" s="23">
        <v>1041</v>
      </c>
      <c r="F316" s="23">
        <f>DEMANDA_PREVISIÓN!E1045</f>
        <v>29</v>
      </c>
      <c r="G316" s="101"/>
      <c r="H316" s="23">
        <f t="shared" ref="H316:H322" si="26">H315-F316</f>
        <v>3896</v>
      </c>
      <c r="I316" s="129">
        <v>400</v>
      </c>
      <c r="J316" s="129">
        <v>400</v>
      </c>
      <c r="K316" s="101"/>
      <c r="L316" s="129">
        <v>50</v>
      </c>
      <c r="M316" s="118"/>
      <c r="Q316" s="141">
        <v>13.904282407407599</v>
      </c>
      <c r="R316" s="174"/>
    </row>
    <row r="317" spans="2:18">
      <c r="B317" s="176"/>
      <c r="C317" s="174"/>
      <c r="D317" s="172"/>
      <c r="E317" s="23">
        <v>1042</v>
      </c>
      <c r="F317" s="23">
        <f>DEMANDA_PREVISIÓN!E1046</f>
        <v>43</v>
      </c>
      <c r="G317" s="101"/>
      <c r="H317" s="23">
        <f t="shared" si="26"/>
        <v>3853</v>
      </c>
      <c r="I317" s="129">
        <v>400</v>
      </c>
      <c r="J317" s="137">
        <v>400</v>
      </c>
      <c r="K317" s="101"/>
      <c r="L317" s="137">
        <v>50</v>
      </c>
      <c r="M317" s="118"/>
      <c r="Q317" s="141">
        <v>13.913888888889099</v>
      </c>
      <c r="R317" s="174"/>
    </row>
    <row r="318" spans="2:18">
      <c r="B318" s="176"/>
      <c r="C318" s="174"/>
      <c r="D318" s="172"/>
      <c r="E318" s="23">
        <v>1043</v>
      </c>
      <c r="F318" s="23">
        <f>DEMANDA_PREVISIÓN!E1047</f>
        <v>30</v>
      </c>
      <c r="G318" s="101"/>
      <c r="H318" s="23">
        <f t="shared" si="26"/>
        <v>3823</v>
      </c>
      <c r="I318" s="129">
        <v>400</v>
      </c>
      <c r="J318" s="137">
        <v>400</v>
      </c>
      <c r="K318" s="101"/>
      <c r="L318" s="137">
        <v>50</v>
      </c>
      <c r="M318" s="118"/>
      <c r="Q318" s="141">
        <v>13.9234953703705</v>
      </c>
      <c r="R318" s="174"/>
    </row>
    <row r="319" spans="2:18">
      <c r="B319" s="176"/>
      <c r="C319" s="174"/>
      <c r="D319" s="172"/>
      <c r="E319" s="23">
        <v>1044</v>
      </c>
      <c r="F319" s="23">
        <f>DEMANDA_PREVISIÓN!E1048</f>
        <v>38</v>
      </c>
      <c r="G319" s="101"/>
      <c r="H319" s="23">
        <f t="shared" si="26"/>
        <v>3785</v>
      </c>
      <c r="I319" s="129">
        <v>400</v>
      </c>
      <c r="J319" s="137">
        <v>400</v>
      </c>
      <c r="K319" s="101"/>
      <c r="L319" s="137">
        <v>50</v>
      </c>
      <c r="M319" s="118"/>
      <c r="Q319" s="141">
        <v>13.933101851851999</v>
      </c>
      <c r="R319" s="174"/>
    </row>
    <row r="320" spans="2:18">
      <c r="B320" s="176"/>
      <c r="C320" s="174"/>
      <c r="D320" s="172"/>
      <c r="E320" s="23">
        <v>1045</v>
      </c>
      <c r="F320" s="23">
        <f>DEMANDA_PREVISIÓN!E1049</f>
        <v>39</v>
      </c>
      <c r="G320" s="101"/>
      <c r="H320" s="23">
        <f t="shared" si="26"/>
        <v>3746</v>
      </c>
      <c r="I320" s="129">
        <v>400</v>
      </c>
      <c r="J320" s="137">
        <v>400</v>
      </c>
      <c r="K320" s="101"/>
      <c r="L320" s="137">
        <v>50</v>
      </c>
      <c r="M320" s="118"/>
      <c r="Q320" s="141">
        <v>13.942708333333499</v>
      </c>
      <c r="R320" s="174"/>
    </row>
    <row r="321" spans="2:18">
      <c r="B321" s="176"/>
      <c r="C321" s="174"/>
      <c r="D321" s="172"/>
      <c r="E321" s="23">
        <v>1046</v>
      </c>
      <c r="F321" s="23">
        <f>DEMANDA_PREVISIÓN!E1050</f>
        <v>32</v>
      </c>
      <c r="G321" s="101"/>
      <c r="H321" s="23">
        <f t="shared" si="26"/>
        <v>3714</v>
      </c>
      <c r="I321" s="129">
        <v>400</v>
      </c>
      <c r="J321" s="137">
        <v>400</v>
      </c>
      <c r="K321" s="101"/>
      <c r="L321" s="137">
        <v>50</v>
      </c>
      <c r="M321" s="118"/>
      <c r="Q321" s="141">
        <v>13.952314814815001</v>
      </c>
      <c r="R321" s="174"/>
    </row>
    <row r="322" spans="2:18">
      <c r="B322" s="176"/>
      <c r="C322" s="174"/>
      <c r="D322" s="172"/>
      <c r="E322" s="23">
        <v>1047</v>
      </c>
      <c r="F322" s="23">
        <f>DEMANDA_PREVISIÓN!E1051</f>
        <v>39</v>
      </c>
      <c r="G322" s="101"/>
      <c r="H322" s="23">
        <f t="shared" si="26"/>
        <v>3675</v>
      </c>
      <c r="I322" s="129">
        <v>400</v>
      </c>
      <c r="J322" s="137">
        <v>400</v>
      </c>
      <c r="K322" s="101"/>
      <c r="L322" s="137">
        <v>50</v>
      </c>
      <c r="M322" s="118"/>
      <c r="Q322" s="141">
        <v>13.9619212962965</v>
      </c>
      <c r="R322" s="174"/>
    </row>
    <row r="323" spans="2:18">
      <c r="B323" s="176"/>
      <c r="C323" s="174"/>
      <c r="D323" s="172"/>
      <c r="E323" s="23">
        <v>1048</v>
      </c>
      <c r="F323" s="23">
        <f>DEMANDA_PREVISIÓN!E1052</f>
        <v>49</v>
      </c>
      <c r="G323" s="101"/>
      <c r="H323" s="129">
        <f>I322+H322</f>
        <v>4075</v>
      </c>
      <c r="I323" s="23"/>
      <c r="J323" s="137">
        <v>400</v>
      </c>
      <c r="K323" s="101"/>
      <c r="L323" s="137">
        <v>50</v>
      </c>
      <c r="M323" s="118"/>
      <c r="Q323" s="141">
        <v>13.971527777777901</v>
      </c>
      <c r="R323" s="174"/>
    </row>
    <row r="324" spans="2:18">
      <c r="B324" s="176"/>
      <c r="C324" s="174"/>
      <c r="D324" s="172"/>
      <c r="E324" s="23">
        <v>1049</v>
      </c>
      <c r="F324" s="23">
        <f>DEMANDA_PREVISIÓN!E1053</f>
        <v>41</v>
      </c>
      <c r="G324" s="101"/>
      <c r="H324" s="23">
        <f t="shared" ref="H324:H330" si="27">H323-F324</f>
        <v>4034</v>
      </c>
      <c r="I324" s="137">
        <v>400</v>
      </c>
      <c r="J324" s="137">
        <v>400</v>
      </c>
      <c r="K324" s="101"/>
      <c r="L324" s="137">
        <v>50</v>
      </c>
      <c r="M324" s="118"/>
      <c r="Q324" s="141">
        <v>13.981134259259401</v>
      </c>
      <c r="R324" s="174"/>
    </row>
    <row r="325" spans="2:18">
      <c r="B325" s="176"/>
      <c r="C325" s="174"/>
      <c r="D325" s="172"/>
      <c r="E325" s="23">
        <v>1050</v>
      </c>
      <c r="F325" s="23">
        <f>DEMANDA_PREVISIÓN!E1054</f>
        <v>33</v>
      </c>
      <c r="G325" s="101"/>
      <c r="H325" s="23">
        <f t="shared" si="27"/>
        <v>4001</v>
      </c>
      <c r="I325" s="137">
        <v>400</v>
      </c>
      <c r="J325" s="138">
        <v>400</v>
      </c>
      <c r="K325" s="101"/>
      <c r="L325" s="138">
        <v>50</v>
      </c>
      <c r="M325" s="118"/>
      <c r="Q325" s="141">
        <v>13.9907407407409</v>
      </c>
      <c r="R325" s="174"/>
    </row>
    <row r="326" spans="2:18">
      <c r="B326" s="176"/>
      <c r="C326" s="174"/>
      <c r="D326" s="172"/>
      <c r="E326" s="23">
        <v>1051</v>
      </c>
      <c r="F326" s="23">
        <f>DEMANDA_PREVISIÓN!E1055</f>
        <v>36</v>
      </c>
      <c r="G326" s="101"/>
      <c r="H326" s="23">
        <f t="shared" si="27"/>
        <v>3965</v>
      </c>
      <c r="I326" s="137">
        <v>400</v>
      </c>
      <c r="J326" s="138">
        <v>400</v>
      </c>
      <c r="K326" s="101"/>
      <c r="L326" s="138">
        <v>50</v>
      </c>
      <c r="M326" s="118"/>
      <c r="Q326" s="141">
        <v>14.0003472222224</v>
      </c>
      <c r="R326" s="174">
        <v>4</v>
      </c>
    </row>
    <row r="327" spans="2:18">
      <c r="B327" s="176"/>
      <c r="C327" s="174"/>
      <c r="D327" s="172"/>
      <c r="E327" s="23">
        <v>1052</v>
      </c>
      <c r="F327" s="23">
        <f>DEMANDA_PREVISIÓN!E1056</f>
        <v>37</v>
      </c>
      <c r="G327" s="101"/>
      <c r="H327" s="23">
        <f t="shared" si="27"/>
        <v>3928</v>
      </c>
      <c r="I327" s="137">
        <v>400</v>
      </c>
      <c r="J327" s="138">
        <v>400</v>
      </c>
      <c r="K327" s="101"/>
      <c r="L327" s="138">
        <v>50</v>
      </c>
      <c r="M327" s="118"/>
      <c r="Q327" s="141">
        <v>14.0099537037039</v>
      </c>
      <c r="R327" s="174"/>
    </row>
    <row r="328" spans="2:18">
      <c r="B328" s="176"/>
      <c r="C328" s="174"/>
      <c r="D328" s="172"/>
      <c r="E328" s="23">
        <v>1053</v>
      </c>
      <c r="F328" s="23">
        <f>DEMANDA_PREVISIÓN!E1057</f>
        <v>30</v>
      </c>
      <c r="G328" s="101"/>
      <c r="H328" s="23">
        <f t="shared" si="27"/>
        <v>3898</v>
      </c>
      <c r="I328" s="137">
        <v>400</v>
      </c>
      <c r="J328" s="138">
        <v>400</v>
      </c>
      <c r="K328" s="101"/>
      <c r="L328" s="138">
        <v>50</v>
      </c>
      <c r="M328" s="118"/>
      <c r="Q328" s="141">
        <v>14.0195601851854</v>
      </c>
      <c r="R328" s="174"/>
    </row>
    <row r="329" spans="2:18">
      <c r="B329" s="176"/>
      <c r="C329" s="174"/>
      <c r="D329" s="172"/>
      <c r="E329" s="23">
        <v>1054</v>
      </c>
      <c r="F329" s="23">
        <f>DEMANDA_PREVISIÓN!E1058</f>
        <v>39</v>
      </c>
      <c r="G329" s="101"/>
      <c r="H329" s="23">
        <f t="shared" si="27"/>
        <v>3859</v>
      </c>
      <c r="I329" s="137">
        <v>400</v>
      </c>
      <c r="J329" s="138">
        <v>400</v>
      </c>
      <c r="K329" s="101"/>
      <c r="L329" s="138">
        <v>50</v>
      </c>
      <c r="M329" s="118"/>
      <c r="Q329" s="141">
        <v>14.0291666666668</v>
      </c>
      <c r="R329" s="174"/>
    </row>
    <row r="330" spans="2:18">
      <c r="B330" s="176"/>
      <c r="C330" s="174"/>
      <c r="D330" s="172"/>
      <c r="E330" s="23">
        <v>1055</v>
      </c>
      <c r="F330" s="23">
        <f>DEMANDA_PREVISIÓN!E1059</f>
        <v>32</v>
      </c>
      <c r="G330" s="101"/>
      <c r="H330" s="23">
        <f t="shared" si="27"/>
        <v>3827</v>
      </c>
      <c r="I330" s="137">
        <v>400</v>
      </c>
      <c r="J330" s="138">
        <v>400</v>
      </c>
      <c r="K330" s="101"/>
      <c r="L330" s="138">
        <v>50</v>
      </c>
      <c r="M330" s="118"/>
      <c r="Q330" s="141">
        <v>14.0387731481483</v>
      </c>
      <c r="R330" s="174"/>
    </row>
    <row r="331" spans="2:18">
      <c r="B331" s="176"/>
      <c r="C331" s="174"/>
      <c r="D331" s="172"/>
      <c r="E331" s="23">
        <v>1056</v>
      </c>
      <c r="F331" s="23">
        <f>DEMANDA_PREVISIÓN!E1060</f>
        <v>38</v>
      </c>
      <c r="G331" s="101"/>
      <c r="H331" s="137">
        <f>I330+H330</f>
        <v>4227</v>
      </c>
      <c r="I331" s="23"/>
      <c r="J331" s="138">
        <v>400</v>
      </c>
      <c r="K331" s="101"/>
      <c r="L331" s="138">
        <v>50</v>
      </c>
      <c r="M331" s="118"/>
      <c r="Q331" s="141">
        <v>14.0483796296298</v>
      </c>
      <c r="R331" s="174"/>
    </row>
    <row r="332" spans="2:18">
      <c r="B332" s="176"/>
      <c r="C332" s="174"/>
      <c r="D332" s="172"/>
      <c r="E332" s="23">
        <v>1057</v>
      </c>
      <c r="F332" s="23">
        <f>DEMANDA_PREVISIÓN!E1061</f>
        <v>39</v>
      </c>
      <c r="G332" s="101"/>
      <c r="H332" s="23">
        <f t="shared" ref="H332:H338" si="28">H331-F332</f>
        <v>4188</v>
      </c>
      <c r="I332" s="138">
        <v>400</v>
      </c>
      <c r="J332" s="138">
        <v>400</v>
      </c>
      <c r="K332" s="101"/>
      <c r="L332" s="138">
        <v>50</v>
      </c>
      <c r="M332" s="118"/>
      <c r="Q332" s="141">
        <v>14.057986111111299</v>
      </c>
      <c r="R332" s="174"/>
    </row>
    <row r="333" spans="2:18">
      <c r="B333" s="176"/>
      <c r="C333" s="174"/>
      <c r="D333" s="172"/>
      <c r="E333" s="23">
        <v>1058</v>
      </c>
      <c r="F333" s="23">
        <f>DEMANDA_PREVISIÓN!E1062</f>
        <v>43</v>
      </c>
      <c r="G333" s="101"/>
      <c r="H333" s="23">
        <f t="shared" si="28"/>
        <v>4145</v>
      </c>
      <c r="I333" s="138">
        <v>400</v>
      </c>
      <c r="J333" s="134">
        <v>400</v>
      </c>
      <c r="K333" s="101"/>
      <c r="L333" s="134">
        <v>50</v>
      </c>
      <c r="M333" s="118"/>
      <c r="Q333" s="141">
        <v>14.067592592592799</v>
      </c>
      <c r="R333" s="174"/>
    </row>
    <row r="334" spans="2:18">
      <c r="B334" s="176"/>
      <c r="C334" s="174"/>
      <c r="D334" s="172"/>
      <c r="E334" s="23">
        <v>1059</v>
      </c>
      <c r="F334" s="23">
        <f>DEMANDA_PREVISIÓN!E1063</f>
        <v>35</v>
      </c>
      <c r="G334" s="101"/>
      <c r="H334" s="23">
        <f t="shared" si="28"/>
        <v>4110</v>
      </c>
      <c r="I334" s="138">
        <v>400</v>
      </c>
      <c r="J334" s="134">
        <v>400</v>
      </c>
      <c r="K334" s="101"/>
      <c r="L334" s="134">
        <v>50</v>
      </c>
      <c r="M334" s="118"/>
      <c r="Q334" s="141">
        <v>14.077199074074199</v>
      </c>
      <c r="R334" s="174"/>
    </row>
    <row r="335" spans="2:18">
      <c r="B335" s="176"/>
      <c r="C335" s="174"/>
      <c r="D335" s="172"/>
      <c r="E335" s="23">
        <v>1060</v>
      </c>
      <c r="F335" s="23">
        <f>DEMANDA_PREVISIÓN!E1064</f>
        <v>37</v>
      </c>
      <c r="G335" s="101"/>
      <c r="H335" s="23">
        <f t="shared" si="28"/>
        <v>4073</v>
      </c>
      <c r="I335" s="138">
        <v>400</v>
      </c>
      <c r="J335" s="134">
        <v>400</v>
      </c>
      <c r="K335" s="101"/>
      <c r="L335" s="134">
        <v>50</v>
      </c>
      <c r="M335" s="118"/>
      <c r="Q335" s="141">
        <v>14.086805555555699</v>
      </c>
      <c r="R335" s="174"/>
    </row>
    <row r="336" spans="2:18">
      <c r="B336" s="176"/>
      <c r="C336" s="174"/>
      <c r="D336" s="172"/>
      <c r="E336" s="23">
        <v>1061</v>
      </c>
      <c r="F336" s="23">
        <f>DEMANDA_PREVISIÓN!E1065</f>
        <v>35</v>
      </c>
      <c r="G336" s="101"/>
      <c r="H336" s="23">
        <f t="shared" si="28"/>
        <v>4038</v>
      </c>
      <c r="I336" s="138">
        <v>400</v>
      </c>
      <c r="J336" s="134">
        <v>400</v>
      </c>
      <c r="K336" s="101"/>
      <c r="L336" s="134">
        <v>50</v>
      </c>
      <c r="M336" s="118"/>
      <c r="Q336" s="141">
        <v>14.096412037037201</v>
      </c>
      <c r="R336" s="174"/>
    </row>
    <row r="337" spans="2:18">
      <c r="B337" s="176"/>
      <c r="C337" s="174"/>
      <c r="D337" s="172"/>
      <c r="E337" s="23">
        <v>1062</v>
      </c>
      <c r="F337" s="23">
        <f>DEMANDA_PREVISIÓN!E1066</f>
        <v>30</v>
      </c>
      <c r="G337" s="101"/>
      <c r="H337" s="23">
        <f t="shared" si="28"/>
        <v>4008</v>
      </c>
      <c r="I337" s="138">
        <v>400</v>
      </c>
      <c r="J337" s="134">
        <v>400</v>
      </c>
      <c r="K337" s="101"/>
      <c r="L337" s="134">
        <v>50</v>
      </c>
      <c r="M337" s="118"/>
      <c r="Q337" s="141">
        <v>14.106018518518701</v>
      </c>
      <c r="R337" s="174"/>
    </row>
    <row r="338" spans="2:18">
      <c r="B338" s="176"/>
      <c r="C338" s="174"/>
      <c r="D338" s="172"/>
      <c r="E338" s="23">
        <v>1063</v>
      </c>
      <c r="F338" s="23">
        <f>DEMANDA_PREVISIÓN!E1067</f>
        <v>38</v>
      </c>
      <c r="G338" s="101"/>
      <c r="H338" s="23">
        <f t="shared" si="28"/>
        <v>3970</v>
      </c>
      <c r="I338" s="138">
        <v>400</v>
      </c>
      <c r="J338" s="134">
        <v>400</v>
      </c>
      <c r="K338" s="101"/>
      <c r="L338" s="134">
        <v>50</v>
      </c>
      <c r="M338" s="118"/>
      <c r="Q338" s="141">
        <v>14.1156250000002</v>
      </c>
      <c r="R338" s="174"/>
    </row>
    <row r="339" spans="2:18">
      <c r="B339" s="176"/>
      <c r="C339" s="174"/>
      <c r="D339" s="173"/>
      <c r="E339" s="23">
        <v>1064</v>
      </c>
      <c r="F339" s="23">
        <f>DEMANDA_PREVISIÓN!E1068</f>
        <v>40</v>
      </c>
      <c r="G339" s="101"/>
      <c r="H339" s="138">
        <f>I338+H338</f>
        <v>4370</v>
      </c>
      <c r="I339" s="23"/>
      <c r="J339" s="134">
        <v>400</v>
      </c>
      <c r="K339" s="101"/>
      <c r="L339" s="134">
        <v>50</v>
      </c>
      <c r="M339" s="118"/>
      <c r="Q339" s="141">
        <v>14.1252314814817</v>
      </c>
      <c r="R339" s="174"/>
    </row>
    <row r="340" spans="2:18">
      <c r="B340" s="176"/>
      <c r="C340" s="174"/>
      <c r="D340" s="171" t="s">
        <v>55</v>
      </c>
      <c r="E340" s="23">
        <v>1065</v>
      </c>
      <c r="F340" s="23">
        <f>DEMANDA_PREVISIÓN!E1069</f>
        <v>36</v>
      </c>
      <c r="G340" s="101"/>
      <c r="H340" s="23">
        <f t="shared" ref="H340:H346" si="29">H339-F340</f>
        <v>4334</v>
      </c>
      <c r="I340" s="134">
        <v>400</v>
      </c>
      <c r="J340" s="134">
        <v>400</v>
      </c>
      <c r="K340" s="101"/>
      <c r="L340" s="134">
        <v>50</v>
      </c>
      <c r="M340" s="118"/>
      <c r="Q340" s="141">
        <v>14.1348379629631</v>
      </c>
      <c r="R340" s="174"/>
    </row>
    <row r="341" spans="2:18">
      <c r="B341" s="176"/>
      <c r="C341" s="174"/>
      <c r="D341" s="172"/>
      <c r="E341" s="23">
        <v>1066</v>
      </c>
      <c r="F341" s="23">
        <f>DEMANDA_PREVISIÓN!E1070</f>
        <v>31</v>
      </c>
      <c r="G341" s="101"/>
      <c r="H341" s="23">
        <f t="shared" si="29"/>
        <v>4303</v>
      </c>
      <c r="I341" s="134">
        <v>400</v>
      </c>
      <c r="J341" s="128">
        <v>400</v>
      </c>
      <c r="K341" s="101"/>
      <c r="L341" s="128">
        <v>50</v>
      </c>
      <c r="M341" s="118"/>
      <c r="Q341" s="141">
        <v>14.1444444444446</v>
      </c>
      <c r="R341" s="174"/>
    </row>
    <row r="342" spans="2:18">
      <c r="B342" s="176"/>
      <c r="C342" s="174"/>
      <c r="D342" s="172"/>
      <c r="E342" s="23">
        <v>1067</v>
      </c>
      <c r="F342" s="23">
        <f>DEMANDA_PREVISIÓN!E1071</f>
        <v>32</v>
      </c>
      <c r="G342" s="101"/>
      <c r="H342" s="23">
        <f t="shared" si="29"/>
        <v>4271</v>
      </c>
      <c r="I342" s="134">
        <v>400</v>
      </c>
      <c r="J342" s="128">
        <v>400</v>
      </c>
      <c r="K342" s="101"/>
      <c r="L342" s="128">
        <v>50</v>
      </c>
      <c r="M342" s="118"/>
      <c r="Q342" s="141">
        <v>14.1540509259261</v>
      </c>
      <c r="R342" s="174"/>
    </row>
    <row r="343" spans="2:18">
      <c r="B343" s="176"/>
      <c r="C343" s="174"/>
      <c r="D343" s="172"/>
      <c r="E343" s="23">
        <v>1068</v>
      </c>
      <c r="F343" s="23">
        <f>DEMANDA_PREVISIÓN!E1072</f>
        <v>41</v>
      </c>
      <c r="G343" s="101"/>
      <c r="H343" s="23">
        <f t="shared" si="29"/>
        <v>4230</v>
      </c>
      <c r="I343" s="134">
        <v>400</v>
      </c>
      <c r="J343" s="128">
        <v>400</v>
      </c>
      <c r="K343" s="101"/>
      <c r="L343" s="128">
        <v>50</v>
      </c>
      <c r="M343" s="118"/>
      <c r="Q343" s="141">
        <v>14.1636574074076</v>
      </c>
      <c r="R343" s="174"/>
    </row>
    <row r="344" spans="2:18">
      <c r="B344" s="176"/>
      <c r="C344" s="174"/>
      <c r="D344" s="172"/>
      <c r="E344" s="23">
        <v>1069</v>
      </c>
      <c r="F344" s="23">
        <f>DEMANDA_PREVISIÓN!E1073</f>
        <v>46</v>
      </c>
      <c r="G344" s="101"/>
      <c r="H344" s="23">
        <f t="shared" si="29"/>
        <v>4184</v>
      </c>
      <c r="I344" s="134">
        <v>400</v>
      </c>
      <c r="J344" s="128">
        <v>400</v>
      </c>
      <c r="K344" s="101"/>
      <c r="L344" s="128">
        <v>50</v>
      </c>
      <c r="M344" s="118"/>
      <c r="Q344" s="141">
        <v>14.1732638888891</v>
      </c>
      <c r="R344" s="174"/>
    </row>
    <row r="345" spans="2:18">
      <c r="B345" s="176"/>
      <c r="C345" s="174"/>
      <c r="D345" s="172"/>
      <c r="E345" s="23">
        <v>1070</v>
      </c>
      <c r="F345" s="23">
        <f>DEMANDA_PREVISIÓN!E1074</f>
        <v>33</v>
      </c>
      <c r="G345" s="101"/>
      <c r="H345" s="23">
        <f t="shared" si="29"/>
        <v>4151</v>
      </c>
      <c r="I345" s="134">
        <v>400</v>
      </c>
      <c r="J345" s="128">
        <v>400</v>
      </c>
      <c r="K345" s="101"/>
      <c r="L345" s="128">
        <v>50</v>
      </c>
      <c r="M345" s="118"/>
      <c r="Q345" s="141">
        <v>14.182870370370599</v>
      </c>
      <c r="R345" s="174"/>
    </row>
    <row r="346" spans="2:18">
      <c r="B346" s="176"/>
      <c r="C346" s="174"/>
      <c r="D346" s="172"/>
      <c r="E346" s="23">
        <v>1071</v>
      </c>
      <c r="F346" s="23">
        <f>DEMANDA_PREVISIÓN!E1075</f>
        <v>34</v>
      </c>
      <c r="G346" s="101"/>
      <c r="H346" s="23">
        <f t="shared" si="29"/>
        <v>4117</v>
      </c>
      <c r="I346" s="134">
        <v>400</v>
      </c>
      <c r="J346" s="128">
        <v>400</v>
      </c>
      <c r="K346" s="101"/>
      <c r="L346" s="128">
        <v>50</v>
      </c>
      <c r="M346" s="118"/>
      <c r="Q346" s="141">
        <v>14.192476851852</v>
      </c>
      <c r="R346" s="174"/>
    </row>
    <row r="347" spans="2:18">
      <c r="B347" s="176"/>
      <c r="C347" s="174"/>
      <c r="D347" s="172"/>
      <c r="E347" s="23">
        <v>1072</v>
      </c>
      <c r="F347" s="23">
        <f>DEMANDA_PREVISIÓN!E1076</f>
        <v>33</v>
      </c>
      <c r="G347" s="101"/>
      <c r="H347" s="134">
        <f>I346+H346</f>
        <v>4517</v>
      </c>
      <c r="I347" s="23"/>
      <c r="J347" s="128">
        <v>400</v>
      </c>
      <c r="K347" s="101"/>
      <c r="L347" s="128">
        <v>50</v>
      </c>
      <c r="M347" s="118"/>
      <c r="Q347" s="141">
        <v>14.202083333333499</v>
      </c>
      <c r="R347" s="174"/>
    </row>
    <row r="348" spans="2:18">
      <c r="B348" s="176"/>
      <c r="C348" s="174"/>
      <c r="D348" s="172"/>
      <c r="E348" s="23">
        <v>1073</v>
      </c>
      <c r="F348" s="23">
        <f>DEMANDA_PREVISIÓN!E1077</f>
        <v>38</v>
      </c>
      <c r="G348" s="101"/>
      <c r="H348" s="23">
        <f>H347-F348</f>
        <v>4479</v>
      </c>
      <c r="I348" s="128">
        <v>400</v>
      </c>
      <c r="J348" s="128">
        <v>400</v>
      </c>
      <c r="K348" s="101"/>
      <c r="L348" s="128">
        <v>50</v>
      </c>
      <c r="M348" s="118"/>
      <c r="Q348" s="141">
        <v>14.211689814814999</v>
      </c>
      <c r="R348" s="174"/>
    </row>
    <row r="349" spans="2:18">
      <c r="B349" s="176"/>
      <c r="C349" s="174"/>
      <c r="D349" s="172"/>
      <c r="E349" s="23">
        <v>1074</v>
      </c>
      <c r="F349" s="23">
        <f>DEMANDA_PREVISIÓN!E1078</f>
        <v>40</v>
      </c>
      <c r="G349" s="101"/>
      <c r="H349" s="23">
        <f>H348-F349</f>
        <v>4439</v>
      </c>
      <c r="I349" s="128">
        <v>400</v>
      </c>
      <c r="J349" s="129">
        <v>400</v>
      </c>
      <c r="K349" s="101"/>
      <c r="L349" s="129">
        <v>50</v>
      </c>
      <c r="M349" s="118"/>
      <c r="Q349" s="141">
        <v>14.221296296296501</v>
      </c>
      <c r="R349" s="174"/>
    </row>
    <row r="350" spans="2:18">
      <c r="B350" s="176"/>
      <c r="C350" s="174"/>
      <c r="D350" s="172"/>
      <c r="E350" s="23">
        <v>1075</v>
      </c>
      <c r="F350" s="23">
        <f>DEMANDA_PREVISIÓN!E1079</f>
        <v>40</v>
      </c>
      <c r="G350" s="101"/>
      <c r="H350" s="23">
        <f>H349-F350</f>
        <v>4399</v>
      </c>
      <c r="I350" s="128">
        <v>400</v>
      </c>
      <c r="J350" s="129">
        <v>400</v>
      </c>
      <c r="K350" s="101"/>
      <c r="L350" s="129">
        <v>50</v>
      </c>
      <c r="M350" s="118"/>
      <c r="Q350" s="141">
        <v>14.230902777778001</v>
      </c>
      <c r="R350" s="174"/>
    </row>
    <row r="351" spans="2:18">
      <c r="B351" s="176"/>
      <c r="C351" s="174"/>
      <c r="D351" s="172"/>
      <c r="E351" s="23">
        <v>1076</v>
      </c>
      <c r="F351" s="23">
        <f>DEMANDA_PREVISIÓN!E1080</f>
        <v>41</v>
      </c>
      <c r="G351" s="101"/>
      <c r="H351" s="23">
        <f>H350-F351</f>
        <v>4358</v>
      </c>
      <c r="I351" s="128">
        <v>400</v>
      </c>
      <c r="J351" s="129">
        <v>400</v>
      </c>
      <c r="K351" s="101"/>
      <c r="L351" s="129">
        <v>50</v>
      </c>
      <c r="M351" s="118"/>
      <c r="Q351" s="141">
        <v>14.240509259259399</v>
      </c>
      <c r="R351" s="174"/>
    </row>
    <row r="352" spans="2:18">
      <c r="B352" s="176"/>
      <c r="C352" s="174"/>
      <c r="D352" s="172"/>
      <c r="E352" s="23">
        <v>1077</v>
      </c>
      <c r="F352" s="23">
        <f>DEMANDA_PREVISIÓN!E1081</f>
        <v>38</v>
      </c>
      <c r="G352" s="101"/>
      <c r="H352" s="23">
        <f t="shared" ref="H352:H354" si="30">H351-F352</f>
        <v>4320</v>
      </c>
      <c r="I352" s="128">
        <v>400</v>
      </c>
      <c r="J352" s="129">
        <v>400</v>
      </c>
      <c r="K352" s="101"/>
      <c r="L352" s="129">
        <v>50</v>
      </c>
      <c r="M352" s="118"/>
      <c r="Q352" s="141">
        <v>14.250115740740901</v>
      </c>
      <c r="R352" s="174"/>
    </row>
    <row r="353" spans="2:18">
      <c r="B353" s="176"/>
      <c r="C353" s="174"/>
      <c r="D353" s="172"/>
      <c r="E353" s="23">
        <v>1078</v>
      </c>
      <c r="F353" s="23">
        <f>DEMANDA_PREVISIÓN!E1082</f>
        <v>44</v>
      </c>
      <c r="G353" s="101"/>
      <c r="H353" s="23">
        <f t="shared" si="30"/>
        <v>4276</v>
      </c>
      <c r="I353" s="128">
        <v>400</v>
      </c>
      <c r="J353" s="129">
        <v>400</v>
      </c>
      <c r="K353" s="101"/>
      <c r="L353" s="129">
        <v>50</v>
      </c>
      <c r="M353" s="118"/>
      <c r="Q353" s="141">
        <v>14.2597222222224</v>
      </c>
      <c r="R353" s="174"/>
    </row>
    <row r="354" spans="2:18">
      <c r="B354" s="176"/>
      <c r="C354" s="174"/>
      <c r="D354" s="172"/>
      <c r="E354" s="23">
        <v>1079</v>
      </c>
      <c r="F354" s="23">
        <f>DEMANDA_PREVISIÓN!E1083</f>
        <v>41</v>
      </c>
      <c r="G354" s="101"/>
      <c r="H354" s="23">
        <f t="shared" si="30"/>
        <v>4235</v>
      </c>
      <c r="I354" s="128">
        <v>400</v>
      </c>
      <c r="J354" s="129">
        <v>400</v>
      </c>
      <c r="K354" s="101"/>
      <c r="L354" s="129">
        <v>50</v>
      </c>
      <c r="M354" s="118"/>
      <c r="Q354" s="141">
        <v>14.2693287037039</v>
      </c>
      <c r="R354" s="174"/>
    </row>
    <row r="355" spans="2:18">
      <c r="B355" s="176"/>
      <c r="C355" s="174"/>
      <c r="D355" s="172"/>
      <c r="E355" s="23">
        <v>1080</v>
      </c>
      <c r="F355" s="23">
        <f>DEMANDA_PREVISIÓN!E1084</f>
        <v>36</v>
      </c>
      <c r="G355" s="101"/>
      <c r="H355" s="128">
        <f>I354+H354</f>
        <v>4635</v>
      </c>
      <c r="J355" s="129">
        <v>400</v>
      </c>
      <c r="K355" s="47"/>
      <c r="L355" s="129">
        <v>50</v>
      </c>
      <c r="M355" s="118"/>
      <c r="Q355" s="141">
        <v>14.2789351851854</v>
      </c>
      <c r="R355" s="174"/>
    </row>
    <row r="356" spans="2:18">
      <c r="B356" s="176"/>
      <c r="C356" s="174"/>
      <c r="D356" s="172"/>
      <c r="E356" s="23">
        <v>1081</v>
      </c>
      <c r="F356" s="23">
        <f>DEMANDA_PREVISIÓN!E1085</f>
        <v>40</v>
      </c>
      <c r="G356" s="101"/>
      <c r="H356" s="23">
        <f t="shared" ref="H356:H362" si="31">H355-F356</f>
        <v>4595</v>
      </c>
      <c r="I356" s="129">
        <v>400</v>
      </c>
      <c r="J356" s="129">
        <v>400</v>
      </c>
      <c r="K356" s="101"/>
      <c r="L356" s="129">
        <v>50</v>
      </c>
      <c r="M356" s="118"/>
      <c r="Q356" s="141">
        <v>14.2885416666669</v>
      </c>
      <c r="R356" s="174"/>
    </row>
    <row r="357" spans="2:18">
      <c r="B357" s="176"/>
      <c r="C357" s="174"/>
      <c r="D357" s="172"/>
      <c r="E357" s="23">
        <v>1082</v>
      </c>
      <c r="F357" s="23">
        <f>DEMANDA_PREVISIÓN!E1086</f>
        <v>39</v>
      </c>
      <c r="G357" s="101"/>
      <c r="H357" s="23">
        <f t="shared" si="31"/>
        <v>4556</v>
      </c>
      <c r="I357" s="129">
        <v>400</v>
      </c>
      <c r="J357" s="137">
        <v>400</v>
      </c>
      <c r="K357" s="101"/>
      <c r="L357" s="137">
        <v>50</v>
      </c>
      <c r="M357" s="118"/>
      <c r="Q357" s="141">
        <v>14.2981481481483</v>
      </c>
      <c r="R357" s="174"/>
    </row>
    <row r="358" spans="2:18">
      <c r="B358" s="176"/>
      <c r="C358" s="174"/>
      <c r="D358" s="172"/>
      <c r="E358" s="23">
        <v>1083</v>
      </c>
      <c r="F358" s="23">
        <f>DEMANDA_PREVISIÓN!E1087</f>
        <v>33</v>
      </c>
      <c r="G358" s="101"/>
      <c r="H358" s="23">
        <f t="shared" si="31"/>
        <v>4523</v>
      </c>
      <c r="I358" s="129">
        <v>400</v>
      </c>
      <c r="J358" s="137">
        <v>400</v>
      </c>
      <c r="K358" s="101"/>
      <c r="L358" s="137">
        <v>50</v>
      </c>
      <c r="M358" s="118"/>
      <c r="Q358" s="141">
        <v>14.3077546296298</v>
      </c>
      <c r="R358" s="174"/>
    </row>
    <row r="359" spans="2:18">
      <c r="B359" s="176"/>
      <c r="C359" s="174"/>
      <c r="D359" s="172"/>
      <c r="E359" s="23">
        <v>1084</v>
      </c>
      <c r="F359" s="23">
        <f>DEMANDA_PREVISIÓN!E1088</f>
        <v>36</v>
      </c>
      <c r="G359" s="101"/>
      <c r="H359" s="23">
        <f t="shared" si="31"/>
        <v>4487</v>
      </c>
      <c r="I359" s="129">
        <v>400</v>
      </c>
      <c r="J359" s="137">
        <v>400</v>
      </c>
      <c r="K359" s="101"/>
      <c r="L359" s="137">
        <v>50</v>
      </c>
      <c r="M359" s="118"/>
      <c r="Q359" s="141">
        <v>14.3173611111113</v>
      </c>
      <c r="R359" s="174"/>
    </row>
    <row r="360" spans="2:18">
      <c r="B360" s="176"/>
      <c r="C360" s="174"/>
      <c r="D360" s="172"/>
      <c r="E360" s="23">
        <v>1085</v>
      </c>
      <c r="F360" s="23">
        <f>DEMANDA_PREVISIÓN!E1089</f>
        <v>36</v>
      </c>
      <c r="G360" s="101"/>
      <c r="H360" s="23">
        <f t="shared" si="31"/>
        <v>4451</v>
      </c>
      <c r="I360" s="129">
        <v>400</v>
      </c>
      <c r="J360" s="137">
        <v>400</v>
      </c>
      <c r="K360" s="101"/>
      <c r="L360" s="137">
        <v>50</v>
      </c>
      <c r="M360" s="118"/>
      <c r="Q360" s="141">
        <v>14.3269675925928</v>
      </c>
      <c r="R360" s="174"/>
    </row>
    <row r="361" spans="2:18">
      <c r="B361" s="176"/>
      <c r="C361" s="174"/>
      <c r="D361" s="172"/>
      <c r="E361" s="23">
        <v>1086</v>
      </c>
      <c r="F361" s="23">
        <f>DEMANDA_PREVISIÓN!E1090</f>
        <v>35</v>
      </c>
      <c r="G361" s="101"/>
      <c r="H361" s="23">
        <f t="shared" si="31"/>
        <v>4416</v>
      </c>
      <c r="I361" s="129">
        <v>400</v>
      </c>
      <c r="J361" s="137">
        <v>400</v>
      </c>
      <c r="K361" s="101"/>
      <c r="L361" s="137">
        <v>50</v>
      </c>
      <c r="M361" s="118"/>
      <c r="Q361" s="141">
        <v>14.336574074074299</v>
      </c>
      <c r="R361" s="174"/>
    </row>
    <row r="362" spans="2:18">
      <c r="B362" s="176"/>
      <c r="C362" s="174"/>
      <c r="D362" s="172"/>
      <c r="E362" s="23">
        <v>1087</v>
      </c>
      <c r="F362" s="23">
        <f>DEMANDA_PREVISIÓN!E1091</f>
        <v>31</v>
      </c>
      <c r="G362" s="101"/>
      <c r="H362" s="23">
        <f t="shared" si="31"/>
        <v>4385</v>
      </c>
      <c r="I362" s="129">
        <v>400</v>
      </c>
      <c r="J362" s="137">
        <v>400</v>
      </c>
      <c r="K362" s="101"/>
      <c r="L362" s="137">
        <v>50</v>
      </c>
      <c r="M362" s="118"/>
      <c r="Q362" s="141">
        <v>14.3461805555557</v>
      </c>
      <c r="R362" s="174"/>
    </row>
    <row r="363" spans="2:18">
      <c r="B363" s="176"/>
      <c r="C363" s="174"/>
      <c r="D363" s="172"/>
      <c r="E363" s="23">
        <v>1088</v>
      </c>
      <c r="F363" s="23">
        <f>DEMANDA_PREVISIÓN!E1092</f>
        <v>32</v>
      </c>
      <c r="G363" s="101"/>
      <c r="H363" s="129">
        <f>I362+H362</f>
        <v>4785</v>
      </c>
      <c r="I363" s="23"/>
      <c r="J363" s="137">
        <v>400</v>
      </c>
      <c r="K363" s="101"/>
      <c r="L363" s="137">
        <v>50</v>
      </c>
      <c r="M363" s="118"/>
      <c r="Q363" s="141">
        <v>14.355787037037199</v>
      </c>
      <c r="R363" s="174"/>
    </row>
    <row r="364" spans="2:18">
      <c r="B364" s="176"/>
      <c r="C364" s="174"/>
      <c r="D364" s="172"/>
      <c r="E364" s="23">
        <v>1089</v>
      </c>
      <c r="F364" s="23">
        <f>DEMANDA_PREVISIÓN!E1093</f>
        <v>37</v>
      </c>
      <c r="G364" s="101"/>
      <c r="H364" s="23">
        <f t="shared" ref="H364:H370" si="32">H363-F364</f>
        <v>4748</v>
      </c>
      <c r="I364" s="137">
        <v>400</v>
      </c>
      <c r="J364" s="137">
        <v>400</v>
      </c>
      <c r="K364" s="101"/>
      <c r="L364" s="137">
        <v>50</v>
      </c>
      <c r="M364" s="118"/>
      <c r="Q364" s="141">
        <v>14.365393518518699</v>
      </c>
      <c r="R364" s="174"/>
    </row>
    <row r="365" spans="2:18">
      <c r="B365" s="176"/>
      <c r="C365" s="174"/>
      <c r="D365" s="172"/>
      <c r="E365" s="23">
        <v>1090</v>
      </c>
      <c r="F365" s="23">
        <f>DEMANDA_PREVISIÓN!E1094</f>
        <v>37</v>
      </c>
      <c r="G365" s="101"/>
      <c r="H365" s="23">
        <f t="shared" si="32"/>
        <v>4711</v>
      </c>
      <c r="I365" s="137">
        <v>400</v>
      </c>
      <c r="J365" s="138">
        <v>400</v>
      </c>
      <c r="K365" s="101"/>
      <c r="L365" s="138">
        <v>50</v>
      </c>
      <c r="M365" s="118"/>
      <c r="Q365" s="141">
        <v>14.375000000000201</v>
      </c>
      <c r="R365" s="174"/>
    </row>
    <row r="366" spans="2:18">
      <c r="B366" s="176"/>
      <c r="C366" s="174"/>
      <c r="D366" s="172"/>
      <c r="E366" s="23">
        <v>1091</v>
      </c>
      <c r="F366" s="23">
        <f>DEMANDA_PREVISIÓN!E1095</f>
        <v>36</v>
      </c>
      <c r="G366" s="101"/>
      <c r="H366" s="23">
        <f t="shared" si="32"/>
        <v>4675</v>
      </c>
      <c r="I366" s="137">
        <v>400</v>
      </c>
      <c r="J366" s="138">
        <v>400</v>
      </c>
      <c r="K366" s="101"/>
      <c r="L366" s="138">
        <v>50</v>
      </c>
      <c r="M366" s="118"/>
      <c r="Q366" s="141">
        <v>14.384606481481701</v>
      </c>
      <c r="R366" s="174"/>
    </row>
    <row r="367" spans="2:18">
      <c r="B367" s="176"/>
      <c r="C367" s="174"/>
      <c r="D367" s="172"/>
      <c r="E367" s="23">
        <v>1092</v>
      </c>
      <c r="F367" s="23">
        <f>DEMANDA_PREVISIÓN!E1096</f>
        <v>32</v>
      </c>
      <c r="G367" s="101"/>
      <c r="H367" s="23">
        <f t="shared" si="32"/>
        <v>4643</v>
      </c>
      <c r="I367" s="137">
        <v>400</v>
      </c>
      <c r="J367" s="138">
        <v>400</v>
      </c>
      <c r="K367" s="101"/>
      <c r="L367" s="138">
        <v>50</v>
      </c>
      <c r="M367" s="118"/>
      <c r="Q367" s="141">
        <v>14.3942129629632</v>
      </c>
      <c r="R367" s="174"/>
    </row>
    <row r="368" spans="2:18">
      <c r="B368" s="176"/>
      <c r="C368" s="174"/>
      <c r="D368" s="172"/>
      <c r="E368" s="23">
        <v>1093</v>
      </c>
      <c r="F368" s="23">
        <f>DEMANDA_PREVISIÓN!E1097</f>
        <v>34</v>
      </c>
      <c r="G368" s="101"/>
      <c r="H368" s="23">
        <f t="shared" si="32"/>
        <v>4609</v>
      </c>
      <c r="I368" s="137">
        <v>400</v>
      </c>
      <c r="J368" s="138">
        <v>400</v>
      </c>
      <c r="K368" s="101"/>
      <c r="L368" s="138">
        <v>50</v>
      </c>
      <c r="M368" s="118"/>
      <c r="Q368" s="141">
        <v>14.403819444444601</v>
      </c>
      <c r="R368" s="174"/>
    </row>
    <row r="369" spans="2:18">
      <c r="B369" s="176"/>
      <c r="C369" s="174"/>
      <c r="D369" s="172"/>
      <c r="E369" s="23">
        <v>1094</v>
      </c>
      <c r="F369" s="23">
        <f>DEMANDA_PREVISIÓN!E1098</f>
        <v>38</v>
      </c>
      <c r="G369" s="101"/>
      <c r="H369" s="23">
        <f t="shared" si="32"/>
        <v>4571</v>
      </c>
      <c r="I369" s="137">
        <v>400</v>
      </c>
      <c r="J369" s="138">
        <v>400</v>
      </c>
      <c r="K369" s="101"/>
      <c r="L369" s="138">
        <v>50</v>
      </c>
      <c r="M369" s="118"/>
      <c r="Q369" s="141">
        <v>14.4134259259261</v>
      </c>
      <c r="R369" s="174"/>
    </row>
    <row r="370" spans="2:18">
      <c r="B370" s="177"/>
      <c r="C370" s="174"/>
      <c r="D370" s="173"/>
      <c r="E370" s="23">
        <v>1095</v>
      </c>
      <c r="F370" s="23">
        <f>DEMANDA_PREVISIÓN!E1099</f>
        <v>27</v>
      </c>
      <c r="G370" s="101"/>
      <c r="H370" s="23">
        <f t="shared" si="32"/>
        <v>4544</v>
      </c>
      <c r="I370" s="137">
        <v>400</v>
      </c>
      <c r="J370" s="138">
        <v>400</v>
      </c>
      <c r="K370" s="101"/>
      <c r="L370" s="138">
        <v>50</v>
      </c>
      <c r="M370" s="118"/>
      <c r="Q370" s="141">
        <v>14.4230324074076</v>
      </c>
      <c r="R370" s="174"/>
    </row>
    <row r="371" spans="2:18">
      <c r="B371" s="175">
        <v>2027</v>
      </c>
      <c r="C371" s="186" t="s">
        <v>13</v>
      </c>
      <c r="D371" s="171" t="s">
        <v>14</v>
      </c>
      <c r="E371" s="23">
        <v>1096</v>
      </c>
      <c r="F371" s="23">
        <f>DEMANDA_PREVISIÓN!E1100</f>
        <v>45</v>
      </c>
      <c r="G371" s="101"/>
      <c r="H371" s="137">
        <f>I370+H370</f>
        <v>4944</v>
      </c>
      <c r="I371" s="23"/>
      <c r="J371" s="138">
        <v>400</v>
      </c>
      <c r="K371" s="101"/>
      <c r="L371" s="138">
        <v>50</v>
      </c>
      <c r="M371" s="118"/>
      <c r="Q371" s="141">
        <v>14.4326388888891</v>
      </c>
      <c r="R371" s="174"/>
    </row>
    <row r="372" spans="2:18">
      <c r="B372" s="176"/>
      <c r="C372" s="186"/>
      <c r="D372" s="172"/>
      <c r="E372" s="23">
        <v>1097</v>
      </c>
      <c r="F372" s="23">
        <f>DEMANDA_PREVISIÓN!E1101</f>
        <v>42</v>
      </c>
      <c r="G372" s="101"/>
      <c r="H372" s="23">
        <f t="shared" ref="H372:H378" si="33">H371-F372</f>
        <v>4902</v>
      </c>
      <c r="I372" s="138">
        <v>400</v>
      </c>
      <c r="J372" s="138">
        <v>400</v>
      </c>
      <c r="K372" s="101"/>
      <c r="L372" s="138">
        <v>50</v>
      </c>
      <c r="M372" s="118"/>
      <c r="Q372" s="141">
        <v>14.4422453703706</v>
      </c>
      <c r="R372" s="174"/>
    </row>
    <row r="373" spans="2:18">
      <c r="B373" s="176"/>
      <c r="C373" s="186"/>
      <c r="D373" s="172"/>
      <c r="E373" s="23">
        <v>1098</v>
      </c>
      <c r="F373" s="23">
        <f>DEMANDA_PREVISIÓN!E1102</f>
        <v>42</v>
      </c>
      <c r="G373" s="101"/>
      <c r="H373" s="23">
        <f t="shared" si="33"/>
        <v>4860</v>
      </c>
      <c r="I373" s="138">
        <v>400</v>
      </c>
      <c r="J373" s="134">
        <v>400</v>
      </c>
      <c r="K373" s="101"/>
      <c r="L373" s="134">
        <v>50</v>
      </c>
      <c r="M373" s="118"/>
      <c r="Q373" s="141">
        <v>14.451851851852</v>
      </c>
      <c r="R373" s="174"/>
    </row>
    <row r="374" spans="2:18">
      <c r="B374" s="176"/>
      <c r="C374" s="186"/>
      <c r="D374" s="172"/>
      <c r="E374" s="23">
        <v>1099</v>
      </c>
      <c r="F374" s="23">
        <f>DEMANDA_PREVISIÓN!E1103</f>
        <v>55</v>
      </c>
      <c r="G374" s="101"/>
      <c r="H374" s="23">
        <f t="shared" si="33"/>
        <v>4805</v>
      </c>
      <c r="I374" s="138">
        <v>400</v>
      </c>
      <c r="J374" s="134">
        <v>400</v>
      </c>
      <c r="K374" s="101"/>
      <c r="L374" s="134">
        <v>50</v>
      </c>
      <c r="M374" s="118"/>
      <c r="Q374" s="141">
        <v>14.4614583333335</v>
      </c>
      <c r="R374" s="174"/>
    </row>
    <row r="375" spans="2:18">
      <c r="B375" s="176"/>
      <c r="C375" s="186"/>
      <c r="D375" s="172"/>
      <c r="E375" s="23">
        <v>1100</v>
      </c>
      <c r="F375" s="23">
        <f>DEMANDA_PREVISIÓN!E1104</f>
        <v>41</v>
      </c>
      <c r="G375" s="101"/>
      <c r="H375" s="23">
        <f t="shared" si="33"/>
        <v>4764</v>
      </c>
      <c r="I375" s="138">
        <v>400</v>
      </c>
      <c r="J375" s="134">
        <v>400</v>
      </c>
      <c r="K375" s="101"/>
      <c r="L375" s="134">
        <v>50</v>
      </c>
      <c r="M375" s="118"/>
      <c r="Q375" s="141">
        <v>14.471064814815</v>
      </c>
      <c r="R375" s="174"/>
    </row>
    <row r="376" spans="2:18">
      <c r="B376" s="176"/>
      <c r="C376" s="186"/>
      <c r="D376" s="172"/>
      <c r="E376" s="23">
        <v>1101</v>
      </c>
      <c r="F376" s="23">
        <f>DEMANDA_PREVISIÓN!E1105</f>
        <v>47</v>
      </c>
      <c r="G376" s="101"/>
      <c r="H376" s="23">
        <f t="shared" si="33"/>
        <v>4717</v>
      </c>
      <c r="I376" s="138">
        <v>400</v>
      </c>
      <c r="J376" s="134">
        <v>400</v>
      </c>
      <c r="K376" s="101"/>
      <c r="L376" s="134">
        <v>50</v>
      </c>
      <c r="M376" s="118"/>
      <c r="Q376" s="141">
        <v>14.480671296296499</v>
      </c>
      <c r="R376" s="174"/>
    </row>
    <row r="377" spans="2:18">
      <c r="B377" s="176"/>
      <c r="C377" s="186"/>
      <c r="D377" s="172"/>
      <c r="E377" s="23">
        <v>1102</v>
      </c>
      <c r="F377" s="23">
        <f>DEMANDA_PREVISIÓN!E1106</f>
        <v>34</v>
      </c>
      <c r="G377" s="101"/>
      <c r="H377" s="23">
        <f t="shared" si="33"/>
        <v>4683</v>
      </c>
      <c r="I377" s="138">
        <v>400</v>
      </c>
      <c r="J377" s="134">
        <v>400</v>
      </c>
      <c r="K377" s="101"/>
      <c r="L377" s="134">
        <v>50</v>
      </c>
      <c r="M377" s="118"/>
      <c r="Q377" s="141">
        <v>14.490277777777999</v>
      </c>
      <c r="R377" s="174"/>
    </row>
    <row r="378" spans="2:18">
      <c r="B378" s="176"/>
      <c r="C378" s="186"/>
      <c r="D378" s="172"/>
      <c r="E378" s="23">
        <v>1103</v>
      </c>
      <c r="F378" s="23">
        <f>DEMANDA_PREVISIÓN!E1107</f>
        <v>47</v>
      </c>
      <c r="G378" s="101"/>
      <c r="H378" s="23">
        <f t="shared" si="33"/>
        <v>4636</v>
      </c>
      <c r="I378" s="138">
        <v>400</v>
      </c>
      <c r="J378" s="134">
        <v>400</v>
      </c>
      <c r="K378" s="101"/>
      <c r="L378" s="134">
        <v>50</v>
      </c>
      <c r="M378" s="118"/>
      <c r="Q378" s="141">
        <v>14.499884259259501</v>
      </c>
      <c r="R378" s="174"/>
    </row>
    <row r="379" spans="2:18">
      <c r="B379" s="176"/>
      <c r="C379" s="186"/>
      <c r="D379" s="172"/>
      <c r="E379" s="23">
        <v>1104</v>
      </c>
      <c r="F379" s="23">
        <f>DEMANDA_PREVISIÓN!E1108</f>
        <v>38</v>
      </c>
      <c r="G379" s="101"/>
      <c r="H379" s="138">
        <f>I378+H378</f>
        <v>5036</v>
      </c>
      <c r="I379" s="23"/>
      <c r="J379" s="134">
        <v>400</v>
      </c>
      <c r="K379" s="101"/>
      <c r="L379" s="134">
        <v>50</v>
      </c>
      <c r="M379" s="118"/>
      <c r="Q379" s="141">
        <v>14.509490740740899</v>
      </c>
      <c r="R379" s="174"/>
    </row>
    <row r="380" spans="2:18">
      <c r="B380" s="176"/>
      <c r="C380" s="186"/>
      <c r="D380" s="172"/>
      <c r="E380" s="23">
        <v>1105</v>
      </c>
      <c r="F380" s="23">
        <f>DEMANDA_PREVISIÓN!E1109</f>
        <v>35</v>
      </c>
      <c r="G380" s="101"/>
      <c r="H380" s="23">
        <f t="shared" ref="H380:H386" si="34">H379-F380</f>
        <v>5001</v>
      </c>
      <c r="I380" s="134">
        <v>400</v>
      </c>
      <c r="J380" s="134">
        <v>400</v>
      </c>
      <c r="K380" s="101"/>
      <c r="L380" s="134">
        <v>50</v>
      </c>
      <c r="M380" s="118"/>
      <c r="Q380" s="141">
        <v>14.519097222222401</v>
      </c>
      <c r="R380" s="174"/>
    </row>
    <row r="381" spans="2:18">
      <c r="B381" s="176"/>
      <c r="C381" s="186"/>
      <c r="D381" s="172"/>
      <c r="E381" s="23">
        <v>1106</v>
      </c>
      <c r="F381" s="23">
        <f>DEMANDA_PREVISIÓN!E1110</f>
        <v>37</v>
      </c>
      <c r="G381" s="101"/>
      <c r="H381" s="23">
        <f t="shared" si="34"/>
        <v>4964</v>
      </c>
      <c r="I381" s="134">
        <v>400</v>
      </c>
      <c r="J381" s="128">
        <v>400</v>
      </c>
      <c r="K381" s="101"/>
      <c r="L381" s="128">
        <v>50</v>
      </c>
      <c r="M381" s="118"/>
      <c r="Q381" s="141">
        <v>14.528703703703901</v>
      </c>
      <c r="R381" s="174"/>
    </row>
    <row r="382" spans="2:18">
      <c r="B382" s="176"/>
      <c r="C382" s="186"/>
      <c r="D382" s="172"/>
      <c r="E382" s="23">
        <v>1107</v>
      </c>
      <c r="F382" s="23">
        <f>DEMANDA_PREVISIÓN!E1111</f>
        <v>32</v>
      </c>
      <c r="G382" s="101"/>
      <c r="H382" s="23">
        <f t="shared" si="34"/>
        <v>4932</v>
      </c>
      <c r="I382" s="134">
        <v>400</v>
      </c>
      <c r="J382" s="128">
        <v>400</v>
      </c>
      <c r="K382" s="101"/>
      <c r="L382" s="128">
        <v>50</v>
      </c>
      <c r="M382" s="118"/>
      <c r="Q382" s="141">
        <v>14.5383101851854</v>
      </c>
      <c r="R382" s="174"/>
    </row>
    <row r="383" spans="2:18">
      <c r="B383" s="176"/>
      <c r="C383" s="186"/>
      <c r="D383" s="172"/>
      <c r="E383" s="23">
        <v>1108</v>
      </c>
      <c r="F383" s="23">
        <f>DEMANDA_PREVISIÓN!E1112</f>
        <v>47</v>
      </c>
      <c r="G383" s="101"/>
      <c r="H383" s="23">
        <f t="shared" si="34"/>
        <v>4885</v>
      </c>
      <c r="I383" s="134">
        <v>400</v>
      </c>
      <c r="J383" s="128">
        <v>400</v>
      </c>
      <c r="K383" s="101"/>
      <c r="L383" s="128">
        <v>50</v>
      </c>
      <c r="M383" s="118"/>
      <c r="Q383" s="141">
        <v>14.5479166666669</v>
      </c>
      <c r="R383" s="174"/>
    </row>
    <row r="384" spans="2:18">
      <c r="B384" s="176"/>
      <c r="C384" s="186"/>
      <c r="D384" s="172"/>
      <c r="E384" s="23">
        <v>1109</v>
      </c>
      <c r="F384" s="23">
        <f>DEMANDA_PREVISIÓN!E1113</f>
        <v>47</v>
      </c>
      <c r="G384" s="101"/>
      <c r="H384" s="23">
        <f t="shared" si="34"/>
        <v>4838</v>
      </c>
      <c r="I384" s="134">
        <v>400</v>
      </c>
      <c r="J384" s="128">
        <v>400</v>
      </c>
      <c r="K384" s="101"/>
      <c r="L384" s="128">
        <v>50</v>
      </c>
      <c r="M384" s="118"/>
      <c r="Q384" s="141">
        <v>14.5575231481484</v>
      </c>
      <c r="R384" s="174"/>
    </row>
    <row r="385" spans="2:18">
      <c r="B385" s="176"/>
      <c r="C385" s="186"/>
      <c r="D385" s="172"/>
      <c r="E385" s="23">
        <v>1110</v>
      </c>
      <c r="F385" s="23">
        <f>DEMANDA_PREVISIÓN!E1114</f>
        <v>35</v>
      </c>
      <c r="G385" s="101"/>
      <c r="H385" s="23">
        <f t="shared" si="34"/>
        <v>4803</v>
      </c>
      <c r="I385" s="134">
        <v>400</v>
      </c>
      <c r="J385" s="128">
        <v>400</v>
      </c>
      <c r="K385" s="101"/>
      <c r="L385" s="128">
        <v>50</v>
      </c>
      <c r="M385" s="118"/>
      <c r="Q385" s="141">
        <v>14.5671296296298</v>
      </c>
      <c r="R385" s="174"/>
    </row>
    <row r="386" spans="2:18">
      <c r="B386" s="176"/>
      <c r="C386" s="186"/>
      <c r="D386" s="172"/>
      <c r="E386" s="23">
        <v>1111</v>
      </c>
      <c r="F386" s="23">
        <f>DEMANDA_PREVISIÓN!E1115</f>
        <v>42</v>
      </c>
      <c r="G386" s="101"/>
      <c r="H386" s="23">
        <f t="shared" si="34"/>
        <v>4761</v>
      </c>
      <c r="I386" s="134">
        <v>400</v>
      </c>
      <c r="J386" s="128">
        <v>400</v>
      </c>
      <c r="K386" s="101"/>
      <c r="L386" s="128">
        <v>50</v>
      </c>
      <c r="M386" s="118"/>
      <c r="Q386" s="141">
        <v>14.5767361111113</v>
      </c>
      <c r="R386" s="174"/>
    </row>
    <row r="387" spans="2:18">
      <c r="B387" s="176"/>
      <c r="C387" s="186"/>
      <c r="D387" s="172"/>
      <c r="E387" s="23">
        <v>1112</v>
      </c>
      <c r="F387" s="23">
        <f>DEMANDA_PREVISIÓN!E1116</f>
        <v>41</v>
      </c>
      <c r="G387" s="101"/>
      <c r="H387" s="134">
        <f>I386+H386</f>
        <v>5161</v>
      </c>
      <c r="I387" s="23"/>
      <c r="J387" s="128">
        <v>400</v>
      </c>
      <c r="K387" s="101"/>
      <c r="L387" s="128">
        <v>50</v>
      </c>
      <c r="M387" s="118"/>
      <c r="Q387" s="141">
        <v>14.5863425925928</v>
      </c>
      <c r="R387" s="174"/>
    </row>
    <row r="388" spans="2:18">
      <c r="B388" s="176"/>
      <c r="C388" s="186"/>
      <c r="D388" s="172"/>
      <c r="E388" s="23">
        <v>1113</v>
      </c>
      <c r="F388" s="23">
        <f>DEMANDA_PREVISIÓN!E1117</f>
        <v>28</v>
      </c>
      <c r="G388" s="101"/>
      <c r="H388" s="23">
        <f>H387-F388</f>
        <v>5133</v>
      </c>
      <c r="I388" s="128">
        <v>400</v>
      </c>
      <c r="J388" s="128">
        <v>400</v>
      </c>
      <c r="K388" s="101"/>
      <c r="L388" s="128">
        <v>50</v>
      </c>
      <c r="M388" s="118"/>
      <c r="Q388" s="141">
        <v>14.5959490740743</v>
      </c>
      <c r="R388" s="174"/>
    </row>
    <row r="389" spans="2:18">
      <c r="B389" s="176"/>
      <c r="C389" s="186"/>
      <c r="D389" s="172"/>
      <c r="E389" s="23">
        <v>1114</v>
      </c>
      <c r="F389" s="23">
        <f>DEMANDA_PREVISIÓN!E1118</f>
        <v>42</v>
      </c>
      <c r="G389" s="101"/>
      <c r="H389" s="23">
        <f>H388-F389</f>
        <v>5091</v>
      </c>
      <c r="I389" s="128">
        <v>400</v>
      </c>
      <c r="J389" s="129">
        <v>400</v>
      </c>
      <c r="K389" s="101"/>
      <c r="L389" s="129">
        <v>50</v>
      </c>
      <c r="M389" s="118"/>
      <c r="Q389" s="141">
        <v>14.605555555555799</v>
      </c>
      <c r="R389" s="174"/>
    </row>
    <row r="390" spans="2:18">
      <c r="B390" s="176"/>
      <c r="C390" s="186"/>
      <c r="D390" s="172"/>
      <c r="E390" s="23">
        <v>1115</v>
      </c>
      <c r="F390" s="23">
        <f>DEMANDA_PREVISIÓN!E1119</f>
        <v>33</v>
      </c>
      <c r="G390" s="101"/>
      <c r="H390" s="23">
        <f>H389-F390</f>
        <v>5058</v>
      </c>
      <c r="I390" s="128">
        <v>400</v>
      </c>
      <c r="J390" s="129">
        <v>400</v>
      </c>
      <c r="K390" s="101"/>
      <c r="L390" s="129">
        <v>50</v>
      </c>
      <c r="M390" s="118"/>
      <c r="Q390" s="141">
        <v>14.6151620370372</v>
      </c>
      <c r="R390" s="174"/>
    </row>
    <row r="391" spans="2:18">
      <c r="B391" s="176"/>
      <c r="C391" s="186"/>
      <c r="D391" s="172"/>
      <c r="E391" s="23">
        <v>1116</v>
      </c>
      <c r="F391" s="23">
        <f>DEMANDA_PREVISIÓN!E1120</f>
        <v>48</v>
      </c>
      <c r="G391" s="101"/>
      <c r="H391" s="23">
        <f>H390-F391</f>
        <v>5010</v>
      </c>
      <c r="I391" s="128">
        <v>400</v>
      </c>
      <c r="J391" s="129">
        <v>400</v>
      </c>
      <c r="K391" s="101"/>
      <c r="L391" s="129">
        <v>50</v>
      </c>
      <c r="M391" s="118"/>
      <c r="Q391" s="141">
        <v>14.6247685185187</v>
      </c>
      <c r="R391" s="174"/>
    </row>
    <row r="392" spans="2:18">
      <c r="B392" s="176"/>
      <c r="C392" s="186"/>
      <c r="D392" s="172"/>
      <c r="E392" s="23">
        <v>1117</v>
      </c>
      <c r="F392" s="23">
        <f>DEMANDA_PREVISIÓN!E1121</f>
        <v>31</v>
      </c>
      <c r="G392" s="101"/>
      <c r="H392" s="23">
        <f t="shared" ref="H392:H394" si="35">H391-F392</f>
        <v>4979</v>
      </c>
      <c r="I392" s="128">
        <v>400</v>
      </c>
      <c r="J392" s="129">
        <v>400</v>
      </c>
      <c r="K392" s="101"/>
      <c r="L392" s="129">
        <v>50</v>
      </c>
      <c r="M392" s="118"/>
      <c r="Q392" s="141">
        <v>14.634375000000199</v>
      </c>
      <c r="R392" s="174"/>
    </row>
    <row r="393" spans="2:18">
      <c r="B393" s="176"/>
      <c r="C393" s="186"/>
      <c r="D393" s="172"/>
      <c r="E393" s="23">
        <v>1118</v>
      </c>
      <c r="F393" s="23">
        <f>DEMANDA_PREVISIÓN!E1122</f>
        <v>48</v>
      </c>
      <c r="G393" s="101"/>
      <c r="H393" s="23">
        <f t="shared" si="35"/>
        <v>4931</v>
      </c>
      <c r="I393" s="128">
        <v>400</v>
      </c>
      <c r="J393" s="129">
        <v>400</v>
      </c>
      <c r="K393" s="101"/>
      <c r="L393" s="129">
        <v>50</v>
      </c>
      <c r="M393" s="118"/>
      <c r="Q393" s="141">
        <v>14.643981481481701</v>
      </c>
      <c r="R393" s="174"/>
    </row>
    <row r="394" spans="2:18">
      <c r="B394" s="176"/>
      <c r="C394" s="186"/>
      <c r="D394" s="172"/>
      <c r="E394" s="23">
        <v>1119</v>
      </c>
      <c r="F394" s="23">
        <f>DEMANDA_PREVISIÓN!E1123</f>
        <v>50</v>
      </c>
      <c r="G394" s="101"/>
      <c r="H394" s="23">
        <f t="shared" si="35"/>
        <v>4881</v>
      </c>
      <c r="I394" s="128">
        <v>400</v>
      </c>
      <c r="J394" s="129">
        <v>400</v>
      </c>
      <c r="K394" s="101"/>
      <c r="L394" s="129">
        <v>50</v>
      </c>
      <c r="M394" s="118"/>
      <c r="Q394" s="141">
        <v>14.653587962963201</v>
      </c>
      <c r="R394" s="174"/>
    </row>
    <row r="395" spans="2:18">
      <c r="B395" s="176"/>
      <c r="C395" s="186"/>
      <c r="D395" s="172"/>
      <c r="E395" s="23">
        <v>1120</v>
      </c>
      <c r="F395" s="23">
        <f>DEMANDA_PREVISIÓN!E1124</f>
        <v>39</v>
      </c>
      <c r="G395" s="101"/>
      <c r="H395" s="128">
        <f>I394+H394</f>
        <v>5281</v>
      </c>
      <c r="J395" s="129">
        <v>400</v>
      </c>
      <c r="K395" s="47"/>
      <c r="L395" s="129">
        <v>50</v>
      </c>
      <c r="M395" s="118"/>
      <c r="Q395" s="141">
        <v>14.6631944444447</v>
      </c>
      <c r="R395" s="174"/>
    </row>
    <row r="396" spans="2:18">
      <c r="B396" s="176"/>
      <c r="C396" s="186"/>
      <c r="D396" s="172"/>
      <c r="E396" s="23">
        <v>1121</v>
      </c>
      <c r="F396" s="23">
        <f>DEMANDA_PREVISIÓN!E1125</f>
        <v>32</v>
      </c>
      <c r="G396" s="101"/>
      <c r="H396" s="23">
        <f t="shared" ref="H396:H402" si="36">H395-F396</f>
        <v>5249</v>
      </c>
      <c r="I396" s="129">
        <v>400</v>
      </c>
      <c r="J396" s="129">
        <v>400</v>
      </c>
      <c r="K396" s="101"/>
      <c r="L396" s="129">
        <v>50</v>
      </c>
      <c r="M396" s="118"/>
      <c r="Q396" s="141">
        <v>14.672800925926101</v>
      </c>
      <c r="R396" s="174"/>
    </row>
    <row r="397" spans="2:18">
      <c r="B397" s="176"/>
      <c r="C397" s="186"/>
      <c r="D397" s="172"/>
      <c r="E397" s="23">
        <v>1122</v>
      </c>
      <c r="F397" s="23">
        <f>DEMANDA_PREVISIÓN!E1126</f>
        <v>42</v>
      </c>
      <c r="G397" s="101"/>
      <c r="H397" s="23">
        <f t="shared" si="36"/>
        <v>5207</v>
      </c>
      <c r="I397" s="129">
        <v>400</v>
      </c>
      <c r="J397" s="137">
        <v>400</v>
      </c>
      <c r="K397" s="101"/>
      <c r="L397" s="137">
        <v>50</v>
      </c>
      <c r="M397" s="118"/>
      <c r="Q397" s="141">
        <v>14.682407407407601</v>
      </c>
      <c r="R397" s="174"/>
    </row>
    <row r="398" spans="2:18">
      <c r="B398" s="176"/>
      <c r="C398" s="186"/>
      <c r="D398" s="172"/>
      <c r="E398" s="23">
        <v>1123</v>
      </c>
      <c r="F398" s="23">
        <f>DEMANDA_PREVISIÓN!E1127</f>
        <v>45</v>
      </c>
      <c r="G398" s="101"/>
      <c r="H398" s="23">
        <f t="shared" si="36"/>
        <v>5162</v>
      </c>
      <c r="I398" s="129">
        <v>400</v>
      </c>
      <c r="J398" s="137">
        <v>400</v>
      </c>
      <c r="K398" s="101"/>
      <c r="L398" s="137">
        <v>50</v>
      </c>
      <c r="M398" s="118"/>
      <c r="Q398" s="141">
        <v>14.6920138888891</v>
      </c>
      <c r="R398" s="174"/>
    </row>
    <row r="399" spans="2:18">
      <c r="B399" s="176"/>
      <c r="C399" s="186"/>
      <c r="D399" s="172"/>
      <c r="E399" s="23">
        <v>1124</v>
      </c>
      <c r="F399" s="23">
        <f>DEMANDA_PREVISIÓN!E1128</f>
        <v>35</v>
      </c>
      <c r="G399" s="101"/>
      <c r="H399" s="23">
        <f t="shared" si="36"/>
        <v>5127</v>
      </c>
      <c r="I399" s="129">
        <v>400</v>
      </c>
      <c r="J399" s="137">
        <v>400</v>
      </c>
      <c r="K399" s="101"/>
      <c r="L399" s="137">
        <v>50</v>
      </c>
      <c r="M399" s="118"/>
      <c r="Q399" s="141">
        <v>14.7016203703706</v>
      </c>
      <c r="R399" s="174"/>
    </row>
    <row r="400" spans="2:18">
      <c r="B400" s="176"/>
      <c r="C400" s="186"/>
      <c r="D400" s="172"/>
      <c r="E400" s="23">
        <v>1125</v>
      </c>
      <c r="F400" s="23">
        <f>DEMANDA_PREVISIÓN!E1129</f>
        <v>35</v>
      </c>
      <c r="G400" s="101"/>
      <c r="H400" s="23">
        <f t="shared" si="36"/>
        <v>5092</v>
      </c>
      <c r="I400" s="129">
        <v>400</v>
      </c>
      <c r="J400" s="137">
        <v>400</v>
      </c>
      <c r="K400" s="101"/>
      <c r="L400" s="137">
        <v>50</v>
      </c>
      <c r="M400" s="118"/>
      <c r="Q400" s="141">
        <v>14.7112268518521</v>
      </c>
      <c r="R400" s="174"/>
    </row>
    <row r="401" spans="2:18">
      <c r="B401" s="176"/>
      <c r="C401" s="186"/>
      <c r="D401" s="173"/>
      <c r="E401" s="23">
        <v>1126</v>
      </c>
      <c r="F401" s="23">
        <f>DEMANDA_PREVISIÓN!E1130</f>
        <v>50</v>
      </c>
      <c r="G401" s="101"/>
      <c r="H401" s="23">
        <f t="shared" si="36"/>
        <v>5042</v>
      </c>
      <c r="I401" s="129">
        <v>400</v>
      </c>
      <c r="J401" s="137">
        <v>400</v>
      </c>
      <c r="K401" s="101"/>
      <c r="L401" s="137">
        <v>50</v>
      </c>
      <c r="M401" s="118"/>
      <c r="Q401" s="141">
        <v>14.7208333333335</v>
      </c>
      <c r="R401" s="174"/>
    </row>
    <row r="402" spans="2:18">
      <c r="B402" s="176"/>
      <c r="C402" s="186"/>
      <c r="D402" s="171" t="s">
        <v>42</v>
      </c>
      <c r="E402" s="23">
        <v>1127</v>
      </c>
      <c r="F402" s="23">
        <f>DEMANDA_PREVISIÓN!E1131</f>
        <v>42</v>
      </c>
      <c r="G402" s="101"/>
      <c r="H402" s="23">
        <f t="shared" si="36"/>
        <v>5000</v>
      </c>
      <c r="I402" s="129">
        <v>400</v>
      </c>
      <c r="J402" s="137">
        <v>400</v>
      </c>
      <c r="K402" s="101"/>
      <c r="L402" s="137">
        <v>50</v>
      </c>
      <c r="M402" s="118"/>
      <c r="Q402" s="141">
        <v>14.730439814815</v>
      </c>
      <c r="R402" s="174"/>
    </row>
    <row r="403" spans="2:18">
      <c r="B403" s="176"/>
      <c r="C403" s="186"/>
      <c r="D403" s="172"/>
      <c r="E403" s="23">
        <v>1128</v>
      </c>
      <c r="F403" s="23">
        <f>DEMANDA_PREVISIÓN!E1132</f>
        <v>41</v>
      </c>
      <c r="G403" s="101"/>
      <c r="H403" s="129">
        <f>I402+H402</f>
        <v>5400</v>
      </c>
      <c r="I403" s="23"/>
      <c r="J403" s="137">
        <v>400</v>
      </c>
      <c r="K403" s="101"/>
      <c r="L403" s="137">
        <v>50</v>
      </c>
      <c r="M403" s="118"/>
      <c r="Q403" s="141">
        <v>14.7400462962965</v>
      </c>
      <c r="R403" s="174"/>
    </row>
    <row r="404" spans="2:18">
      <c r="B404" s="176"/>
      <c r="C404" s="186"/>
      <c r="D404" s="172"/>
      <c r="E404" s="23">
        <v>1129</v>
      </c>
      <c r="F404" s="23">
        <f>DEMANDA_PREVISIÓN!E1133</f>
        <v>47</v>
      </c>
      <c r="G404" s="101"/>
      <c r="H404" s="23">
        <f t="shared" ref="H404:H410" si="37">H403-F404</f>
        <v>5353</v>
      </c>
      <c r="I404" s="137">
        <v>400</v>
      </c>
      <c r="J404" s="137">
        <v>400</v>
      </c>
      <c r="K404" s="101"/>
      <c r="L404" s="137">
        <v>50</v>
      </c>
      <c r="M404" s="118"/>
      <c r="Q404" s="141">
        <v>14.749652777778</v>
      </c>
      <c r="R404" s="174"/>
    </row>
    <row r="405" spans="2:18">
      <c r="B405" s="176"/>
      <c r="C405" s="186"/>
      <c r="D405" s="172"/>
      <c r="E405" s="23">
        <v>1130</v>
      </c>
      <c r="F405" s="23">
        <f>DEMANDA_PREVISIÓN!E1134</f>
        <v>32</v>
      </c>
      <c r="G405" s="101"/>
      <c r="H405" s="23">
        <f t="shared" si="37"/>
        <v>5321</v>
      </c>
      <c r="I405" s="137">
        <v>400</v>
      </c>
      <c r="J405" s="138">
        <v>400</v>
      </c>
      <c r="K405" s="101"/>
      <c r="L405" s="138">
        <v>50</v>
      </c>
      <c r="M405" s="118"/>
      <c r="Q405" s="141">
        <v>14.759259259259499</v>
      </c>
      <c r="R405" s="174"/>
    </row>
    <row r="406" spans="2:18">
      <c r="B406" s="176"/>
      <c r="C406" s="186"/>
      <c r="D406" s="172"/>
      <c r="E406" s="23">
        <v>1131</v>
      </c>
      <c r="F406" s="23">
        <f>DEMANDA_PREVISIÓN!E1135</f>
        <v>39</v>
      </c>
      <c r="G406" s="101"/>
      <c r="H406" s="23">
        <f t="shared" si="37"/>
        <v>5282</v>
      </c>
      <c r="I406" s="137">
        <v>400</v>
      </c>
      <c r="J406" s="138">
        <v>400</v>
      </c>
      <c r="K406" s="101"/>
      <c r="L406" s="138">
        <v>50</v>
      </c>
      <c r="M406" s="118"/>
      <c r="Q406" s="141">
        <v>14.768865740740999</v>
      </c>
      <c r="R406" s="174"/>
    </row>
    <row r="407" spans="2:18">
      <c r="B407" s="176"/>
      <c r="C407" s="186"/>
      <c r="D407" s="172"/>
      <c r="E407" s="23">
        <v>1132</v>
      </c>
      <c r="F407" s="23">
        <f>DEMANDA_PREVISIÓN!E1136</f>
        <v>39</v>
      </c>
      <c r="G407" s="101"/>
      <c r="H407" s="23">
        <f t="shared" si="37"/>
        <v>5243</v>
      </c>
      <c r="I407" s="137">
        <v>400</v>
      </c>
      <c r="J407" s="138">
        <v>400</v>
      </c>
      <c r="K407" s="101"/>
      <c r="L407" s="138">
        <v>50</v>
      </c>
      <c r="M407" s="118"/>
      <c r="Q407" s="141">
        <v>14.778472222222399</v>
      </c>
      <c r="R407" s="174"/>
    </row>
    <row r="408" spans="2:18">
      <c r="B408" s="176"/>
      <c r="C408" s="186"/>
      <c r="D408" s="172"/>
      <c r="E408" s="23">
        <v>1133</v>
      </c>
      <c r="F408" s="23">
        <f>DEMANDA_PREVISIÓN!E1137</f>
        <v>41</v>
      </c>
      <c r="G408" s="101"/>
      <c r="H408" s="23">
        <f t="shared" si="37"/>
        <v>5202</v>
      </c>
      <c r="I408" s="137">
        <v>400</v>
      </c>
      <c r="J408" s="138">
        <v>400</v>
      </c>
      <c r="K408" s="101"/>
      <c r="L408" s="138">
        <v>50</v>
      </c>
      <c r="M408" s="118"/>
      <c r="Q408" s="141">
        <v>14.788078703703899</v>
      </c>
      <c r="R408" s="174"/>
    </row>
    <row r="409" spans="2:18">
      <c r="B409" s="176"/>
      <c r="C409" s="186"/>
      <c r="D409" s="172"/>
      <c r="E409" s="23">
        <v>1134</v>
      </c>
      <c r="F409" s="23">
        <f>DEMANDA_PREVISIÓN!E1138</f>
        <v>49</v>
      </c>
      <c r="G409" s="101"/>
      <c r="H409" s="23">
        <f t="shared" si="37"/>
        <v>5153</v>
      </c>
      <c r="I409" s="137">
        <v>400</v>
      </c>
      <c r="J409" s="138">
        <v>400</v>
      </c>
      <c r="K409" s="101"/>
      <c r="L409" s="138">
        <v>50</v>
      </c>
      <c r="M409" s="118"/>
      <c r="Q409" s="141">
        <v>14.797685185185401</v>
      </c>
      <c r="R409" s="174"/>
    </row>
    <row r="410" spans="2:18">
      <c r="B410" s="176"/>
      <c r="C410" s="186"/>
      <c r="D410" s="172"/>
      <c r="E410" s="23">
        <v>1135</v>
      </c>
      <c r="F410" s="23">
        <f>DEMANDA_PREVISIÓN!E1139</f>
        <v>39</v>
      </c>
      <c r="G410" s="101"/>
      <c r="H410" s="23">
        <f t="shared" si="37"/>
        <v>5114</v>
      </c>
      <c r="I410" s="137">
        <v>400</v>
      </c>
      <c r="J410" s="138">
        <v>400</v>
      </c>
      <c r="K410" s="101"/>
      <c r="L410" s="138">
        <v>50</v>
      </c>
      <c r="M410" s="118"/>
      <c r="Q410" s="141">
        <v>14.807291666666901</v>
      </c>
      <c r="R410" s="174"/>
    </row>
    <row r="411" spans="2:18">
      <c r="B411" s="176"/>
      <c r="C411" s="186"/>
      <c r="D411" s="172"/>
      <c r="E411" s="23">
        <v>1136</v>
      </c>
      <c r="F411" s="23">
        <f>DEMANDA_PREVISIÓN!E1140</f>
        <v>43</v>
      </c>
      <c r="G411" s="101"/>
      <c r="H411" s="137">
        <f>I410+H410</f>
        <v>5514</v>
      </c>
      <c r="I411" s="23"/>
      <c r="J411" s="138">
        <v>400</v>
      </c>
      <c r="K411" s="101"/>
      <c r="L411" s="138">
        <v>50</v>
      </c>
      <c r="M411" s="118"/>
      <c r="Q411" s="141">
        <v>14.8168981481484</v>
      </c>
      <c r="R411" s="174"/>
    </row>
    <row r="412" spans="2:18">
      <c r="B412" s="176"/>
      <c r="C412" s="186"/>
      <c r="D412" s="172"/>
      <c r="E412" s="23">
        <v>1137</v>
      </c>
      <c r="F412" s="23">
        <f>DEMANDA_PREVISIÓN!E1141</f>
        <v>44</v>
      </c>
      <c r="G412" s="101"/>
      <c r="H412" s="23">
        <f t="shared" ref="H412:H418" si="38">H411-F412</f>
        <v>5470</v>
      </c>
      <c r="I412" s="138">
        <v>400</v>
      </c>
      <c r="J412" s="138">
        <v>400</v>
      </c>
      <c r="K412" s="101"/>
      <c r="L412" s="138">
        <v>50</v>
      </c>
      <c r="M412" s="118"/>
      <c r="Q412" s="141">
        <v>14.826504629629801</v>
      </c>
      <c r="R412" s="174"/>
    </row>
    <row r="413" spans="2:18">
      <c r="B413" s="176"/>
      <c r="C413" s="186"/>
      <c r="D413" s="172"/>
      <c r="E413" s="23">
        <v>1138</v>
      </c>
      <c r="F413" s="23">
        <f>DEMANDA_PREVISIÓN!E1142</f>
        <v>49</v>
      </c>
      <c r="G413" s="101"/>
      <c r="H413" s="23">
        <f t="shared" si="38"/>
        <v>5421</v>
      </c>
      <c r="I413" s="138">
        <v>400</v>
      </c>
      <c r="J413" s="134">
        <v>400</v>
      </c>
      <c r="K413" s="101"/>
      <c r="L413" s="134">
        <v>50</v>
      </c>
      <c r="M413" s="118"/>
      <c r="Q413" s="141">
        <v>14.8361111111113</v>
      </c>
      <c r="R413" s="174"/>
    </row>
    <row r="414" spans="2:18">
      <c r="B414" s="176"/>
      <c r="C414" s="186"/>
      <c r="D414" s="172"/>
      <c r="E414" s="23">
        <v>1139</v>
      </c>
      <c r="F414" s="23">
        <f>DEMANDA_PREVISIÓN!E1143</f>
        <v>46</v>
      </c>
      <c r="G414" s="101"/>
      <c r="H414" s="23">
        <f t="shared" si="38"/>
        <v>5375</v>
      </c>
      <c r="I414" s="138">
        <v>400</v>
      </c>
      <c r="J414" s="134">
        <v>400</v>
      </c>
      <c r="K414" s="101"/>
      <c r="L414" s="134">
        <v>50</v>
      </c>
      <c r="M414" s="118"/>
      <c r="Q414" s="141">
        <v>14.8457175925928</v>
      </c>
      <c r="R414" s="174"/>
    </row>
    <row r="415" spans="2:18">
      <c r="B415" s="176"/>
      <c r="C415" s="186"/>
      <c r="D415" s="172"/>
      <c r="E415" s="23">
        <v>1140</v>
      </c>
      <c r="F415" s="23">
        <f>DEMANDA_PREVISIÓN!E1144</f>
        <v>53</v>
      </c>
      <c r="G415" s="101"/>
      <c r="H415" s="23">
        <f t="shared" si="38"/>
        <v>5322</v>
      </c>
      <c r="I415" s="138">
        <v>400</v>
      </c>
      <c r="J415" s="134">
        <v>400</v>
      </c>
      <c r="K415" s="101"/>
      <c r="L415" s="134">
        <v>50</v>
      </c>
      <c r="M415" s="118"/>
      <c r="Q415" s="141">
        <v>14.8553240740743</v>
      </c>
      <c r="R415" s="174"/>
    </row>
    <row r="416" spans="2:18">
      <c r="B416" s="176"/>
      <c r="C416" s="186"/>
      <c r="D416" s="172"/>
      <c r="E416" s="23">
        <v>1141</v>
      </c>
      <c r="F416" s="23">
        <f>DEMANDA_PREVISIÓN!E1145</f>
        <v>28</v>
      </c>
      <c r="G416" s="101"/>
      <c r="H416" s="23">
        <f t="shared" si="38"/>
        <v>5294</v>
      </c>
      <c r="I416" s="138">
        <v>400</v>
      </c>
      <c r="J416" s="134">
        <v>400</v>
      </c>
      <c r="K416" s="101"/>
      <c r="L416" s="134">
        <v>50</v>
      </c>
      <c r="M416" s="118"/>
      <c r="Q416" s="141">
        <v>14.8649305555558</v>
      </c>
      <c r="R416" s="174"/>
    </row>
    <row r="417" spans="2:18">
      <c r="B417" s="176"/>
      <c r="C417" s="186"/>
      <c r="D417" s="172"/>
      <c r="E417" s="23">
        <v>1142</v>
      </c>
      <c r="F417" s="23">
        <f>DEMANDA_PREVISIÓN!E1146</f>
        <v>39</v>
      </c>
      <c r="G417" s="101"/>
      <c r="H417" s="23">
        <f t="shared" si="38"/>
        <v>5255</v>
      </c>
      <c r="I417" s="138">
        <v>400</v>
      </c>
      <c r="J417" s="134">
        <v>400</v>
      </c>
      <c r="K417" s="101"/>
      <c r="L417" s="134">
        <v>50</v>
      </c>
      <c r="M417" s="118"/>
      <c r="Q417" s="141">
        <v>14.8745370370373</v>
      </c>
      <c r="R417" s="174"/>
    </row>
    <row r="418" spans="2:18">
      <c r="B418" s="176"/>
      <c r="C418" s="186"/>
      <c r="D418" s="172"/>
      <c r="E418" s="23">
        <v>1143</v>
      </c>
      <c r="F418" s="23">
        <f>DEMANDA_PREVISIÓN!E1147</f>
        <v>41</v>
      </c>
      <c r="G418" s="101"/>
      <c r="H418" s="23">
        <f t="shared" si="38"/>
        <v>5214</v>
      </c>
      <c r="I418" s="138">
        <v>400</v>
      </c>
      <c r="J418" s="134">
        <v>400</v>
      </c>
      <c r="K418" s="101"/>
      <c r="L418" s="134">
        <v>50</v>
      </c>
      <c r="M418" s="118"/>
      <c r="Q418" s="141">
        <v>14.8841435185187</v>
      </c>
      <c r="R418" s="174"/>
    </row>
    <row r="419" spans="2:18">
      <c r="B419" s="176"/>
      <c r="C419" s="186"/>
      <c r="D419" s="172"/>
      <c r="E419" s="23">
        <v>1144</v>
      </c>
      <c r="F419" s="23">
        <f>DEMANDA_PREVISIÓN!E1148</f>
        <v>39</v>
      </c>
      <c r="G419" s="101"/>
      <c r="H419" s="138">
        <f>I418+H418</f>
        <v>5614</v>
      </c>
      <c r="I419" s="23"/>
      <c r="J419" s="134">
        <v>400</v>
      </c>
      <c r="K419" s="101"/>
      <c r="L419" s="134">
        <v>50</v>
      </c>
      <c r="M419" s="118"/>
      <c r="Q419" s="141">
        <v>14.8937500000002</v>
      </c>
      <c r="R419" s="174"/>
    </row>
    <row r="420" spans="2:18">
      <c r="B420" s="176"/>
      <c r="C420" s="186"/>
      <c r="D420" s="172"/>
      <c r="E420" s="23">
        <v>1145</v>
      </c>
      <c r="F420" s="23">
        <f>DEMANDA_PREVISIÓN!E1149</f>
        <v>40</v>
      </c>
      <c r="G420" s="101"/>
      <c r="H420" s="23">
        <f t="shared" ref="H420:H426" si="39">H419-F420</f>
        <v>5574</v>
      </c>
      <c r="I420" s="134">
        <v>400</v>
      </c>
      <c r="J420" s="134">
        <v>400</v>
      </c>
      <c r="K420" s="101"/>
      <c r="L420" s="134">
        <v>50</v>
      </c>
      <c r="M420" s="118"/>
      <c r="Q420" s="141">
        <v>14.903356481481699</v>
      </c>
      <c r="R420" s="174"/>
    </row>
    <row r="421" spans="2:18">
      <c r="B421" s="176"/>
      <c r="C421" s="186"/>
      <c r="D421" s="172"/>
      <c r="E421" s="23">
        <v>1146</v>
      </c>
      <c r="F421" s="23">
        <f>DEMANDA_PREVISIÓN!E1150</f>
        <v>37</v>
      </c>
      <c r="G421" s="101"/>
      <c r="H421" s="23">
        <f t="shared" si="39"/>
        <v>5537</v>
      </c>
      <c r="I421" s="134">
        <v>400</v>
      </c>
      <c r="J421" s="128">
        <v>400</v>
      </c>
      <c r="K421" s="101"/>
      <c r="L421" s="128">
        <v>50</v>
      </c>
      <c r="M421" s="118"/>
      <c r="Q421" s="141">
        <v>14.912962962963199</v>
      </c>
      <c r="R421" s="174"/>
    </row>
    <row r="422" spans="2:18">
      <c r="B422" s="176"/>
      <c r="C422" s="186"/>
      <c r="D422" s="172"/>
      <c r="E422" s="23">
        <v>1147</v>
      </c>
      <c r="F422" s="23">
        <f>DEMANDA_PREVISIÓN!E1151</f>
        <v>45</v>
      </c>
      <c r="G422" s="101"/>
      <c r="H422" s="23">
        <f t="shared" si="39"/>
        <v>5492</v>
      </c>
      <c r="I422" s="134">
        <v>400</v>
      </c>
      <c r="J422" s="128">
        <v>400</v>
      </c>
      <c r="K422" s="101"/>
      <c r="L422" s="128">
        <v>50</v>
      </c>
      <c r="M422" s="118"/>
      <c r="Q422" s="141">
        <v>14.922569444444701</v>
      </c>
      <c r="R422" s="174"/>
    </row>
    <row r="423" spans="2:18">
      <c r="B423" s="176"/>
      <c r="C423" s="186"/>
      <c r="D423" s="172"/>
      <c r="E423" s="23">
        <v>1148</v>
      </c>
      <c r="F423" s="23">
        <f>DEMANDA_PREVISIÓN!E1152</f>
        <v>39</v>
      </c>
      <c r="G423" s="101"/>
      <c r="H423" s="23">
        <f t="shared" si="39"/>
        <v>5453</v>
      </c>
      <c r="I423" s="134">
        <v>400</v>
      </c>
      <c r="J423" s="128">
        <v>400</v>
      </c>
      <c r="K423" s="101"/>
      <c r="L423" s="128">
        <v>50</v>
      </c>
      <c r="M423" s="118"/>
      <c r="Q423" s="141">
        <v>14.932175925926099</v>
      </c>
      <c r="R423" s="174"/>
    </row>
    <row r="424" spans="2:18">
      <c r="B424" s="176"/>
      <c r="C424" s="186"/>
      <c r="D424" s="172"/>
      <c r="E424" s="23">
        <v>1149</v>
      </c>
      <c r="F424" s="23">
        <f>DEMANDA_PREVISIÓN!E1153</f>
        <v>37</v>
      </c>
      <c r="G424" s="101"/>
      <c r="H424" s="23">
        <f t="shared" si="39"/>
        <v>5416</v>
      </c>
      <c r="I424" s="134">
        <v>400</v>
      </c>
      <c r="J424" s="128">
        <v>400</v>
      </c>
      <c r="K424" s="101"/>
      <c r="L424" s="128">
        <v>50</v>
      </c>
      <c r="M424" s="118"/>
      <c r="Q424" s="141">
        <v>14.941782407407601</v>
      </c>
      <c r="R424" s="174"/>
    </row>
    <row r="425" spans="2:18">
      <c r="B425" s="176"/>
      <c r="C425" s="186"/>
      <c r="D425" s="172"/>
      <c r="E425" s="23">
        <v>1150</v>
      </c>
      <c r="F425" s="23">
        <f>DEMANDA_PREVISIÓN!E1154</f>
        <v>51</v>
      </c>
      <c r="G425" s="101"/>
      <c r="H425" s="23">
        <f t="shared" si="39"/>
        <v>5365</v>
      </c>
      <c r="I425" s="134">
        <v>400</v>
      </c>
      <c r="J425" s="128">
        <v>400</v>
      </c>
      <c r="K425" s="101"/>
      <c r="L425" s="128">
        <v>50</v>
      </c>
      <c r="M425" s="118"/>
      <c r="Q425" s="141">
        <v>14.951388888889101</v>
      </c>
      <c r="R425" s="174"/>
    </row>
    <row r="426" spans="2:18">
      <c r="B426" s="176"/>
      <c r="C426" s="186"/>
      <c r="D426" s="172"/>
      <c r="E426" s="23">
        <v>1151</v>
      </c>
      <c r="F426" s="23">
        <f>DEMANDA_PREVISIÓN!E1155</f>
        <v>45</v>
      </c>
      <c r="G426" s="101"/>
      <c r="H426" s="23">
        <f t="shared" si="39"/>
        <v>5320</v>
      </c>
      <c r="I426" s="134">
        <v>400</v>
      </c>
      <c r="J426" s="128">
        <v>400</v>
      </c>
      <c r="K426" s="101"/>
      <c r="L426" s="128">
        <v>50</v>
      </c>
      <c r="M426" s="118"/>
      <c r="Q426" s="141">
        <v>14.9609953703706</v>
      </c>
      <c r="R426" s="174"/>
    </row>
    <row r="427" spans="2:18">
      <c r="B427" s="176"/>
      <c r="C427" s="186"/>
      <c r="D427" s="172"/>
      <c r="E427" s="23">
        <v>1152</v>
      </c>
      <c r="F427" s="23">
        <f>DEMANDA_PREVISIÓN!E1156</f>
        <v>36</v>
      </c>
      <c r="G427" s="101"/>
      <c r="H427" s="134">
        <f>I426+H426</f>
        <v>5720</v>
      </c>
      <c r="I427" s="23"/>
      <c r="J427" s="128">
        <v>400</v>
      </c>
      <c r="K427" s="101"/>
      <c r="L427" s="128">
        <v>50</v>
      </c>
      <c r="M427" s="118"/>
      <c r="Q427" s="141">
        <v>14.9706018518521</v>
      </c>
      <c r="R427" s="174"/>
    </row>
    <row r="428" spans="2:18">
      <c r="B428" s="176"/>
      <c r="C428" s="186"/>
      <c r="D428" s="172"/>
      <c r="E428" s="23">
        <v>1153</v>
      </c>
      <c r="F428" s="23">
        <f>DEMANDA_PREVISIÓN!E1157</f>
        <v>41</v>
      </c>
      <c r="G428" s="101"/>
      <c r="H428" s="23">
        <f>H427-F428</f>
        <v>5679</v>
      </c>
      <c r="I428" s="128">
        <v>400</v>
      </c>
      <c r="J428" s="128">
        <v>400</v>
      </c>
      <c r="K428" s="101"/>
      <c r="L428" s="128">
        <v>50</v>
      </c>
      <c r="M428" s="118"/>
      <c r="Q428" s="141">
        <v>14.9802083333336</v>
      </c>
      <c r="R428" s="174"/>
    </row>
    <row r="429" spans="2:18">
      <c r="B429" s="176"/>
      <c r="C429" s="186"/>
      <c r="D429" s="173"/>
      <c r="E429" s="23">
        <v>1154</v>
      </c>
      <c r="F429" s="23">
        <f>DEMANDA_PREVISIÓN!E1158</f>
        <v>43</v>
      </c>
      <c r="G429" s="101"/>
      <c r="H429" s="23">
        <f>H428-F429</f>
        <v>5636</v>
      </c>
      <c r="I429" s="128">
        <v>400</v>
      </c>
      <c r="J429" s="129">
        <v>400</v>
      </c>
      <c r="K429" s="101"/>
      <c r="L429" s="129">
        <v>50</v>
      </c>
      <c r="M429" s="118"/>
      <c r="Q429" s="141">
        <v>14.989814814815</v>
      </c>
      <c r="R429" s="174"/>
    </row>
    <row r="430" spans="2:18">
      <c r="B430" s="176"/>
      <c r="C430" s="186"/>
      <c r="D430" s="171" t="s">
        <v>43</v>
      </c>
      <c r="E430" s="23">
        <v>1155</v>
      </c>
      <c r="F430" s="23">
        <f>DEMANDA_PREVISIÓN!E1159</f>
        <v>39</v>
      </c>
      <c r="G430" s="101"/>
      <c r="H430" s="23">
        <f>H429-F430</f>
        <v>5597</v>
      </c>
      <c r="I430" s="128">
        <v>400</v>
      </c>
      <c r="J430" s="129">
        <v>400</v>
      </c>
      <c r="K430" s="101"/>
      <c r="L430" s="129">
        <v>50</v>
      </c>
      <c r="M430" s="118"/>
      <c r="Q430" s="141">
        <v>14.9994212962965</v>
      </c>
      <c r="R430" s="174"/>
    </row>
    <row r="431" spans="2:18">
      <c r="B431" s="176"/>
      <c r="C431" s="186"/>
      <c r="D431" s="172"/>
      <c r="E431" s="23">
        <v>1156</v>
      </c>
      <c r="F431" s="23">
        <f>DEMANDA_PREVISIÓN!E1160</f>
        <v>38</v>
      </c>
      <c r="G431" s="101"/>
      <c r="H431" s="23">
        <f>H430-F431</f>
        <v>5559</v>
      </c>
      <c r="I431" s="128">
        <v>400</v>
      </c>
      <c r="J431" s="129">
        <v>400</v>
      </c>
      <c r="K431" s="101"/>
      <c r="L431" s="129">
        <v>50</v>
      </c>
      <c r="M431" s="118"/>
      <c r="Q431" s="141">
        <v>15.009027777778</v>
      </c>
      <c r="R431" s="174">
        <v>5</v>
      </c>
    </row>
    <row r="432" spans="2:18">
      <c r="B432" s="176"/>
      <c r="C432" s="186"/>
      <c r="D432" s="172"/>
      <c r="E432" s="23">
        <v>1157</v>
      </c>
      <c r="F432" s="23">
        <f>DEMANDA_PREVISIÓN!E1161</f>
        <v>36</v>
      </c>
      <c r="G432" s="101"/>
      <c r="H432" s="23">
        <f t="shared" ref="H432:H434" si="40">H431-F432</f>
        <v>5523</v>
      </c>
      <c r="I432" s="128">
        <v>400</v>
      </c>
      <c r="J432" s="129">
        <v>400</v>
      </c>
      <c r="K432" s="101"/>
      <c r="L432" s="129">
        <v>50</v>
      </c>
      <c r="M432" s="118"/>
      <c r="Q432" s="141">
        <v>15.0186342592595</v>
      </c>
      <c r="R432" s="174"/>
    </row>
    <row r="433" spans="2:18">
      <c r="B433" s="176"/>
      <c r="C433" s="186"/>
      <c r="D433" s="172"/>
      <c r="E433" s="23">
        <v>1158</v>
      </c>
      <c r="F433" s="23">
        <f>DEMANDA_PREVISIÓN!E1162</f>
        <v>40</v>
      </c>
      <c r="G433" s="101"/>
      <c r="H433" s="23">
        <f t="shared" si="40"/>
        <v>5483</v>
      </c>
      <c r="I433" s="128">
        <v>400</v>
      </c>
      <c r="J433" s="129">
        <v>400</v>
      </c>
      <c r="K433" s="101"/>
      <c r="L433" s="129">
        <v>50</v>
      </c>
      <c r="M433" s="118"/>
      <c r="Q433" s="141">
        <v>15.028240740740999</v>
      </c>
      <c r="R433" s="174"/>
    </row>
    <row r="434" spans="2:18">
      <c r="B434" s="176"/>
      <c r="C434" s="186"/>
      <c r="D434" s="172"/>
      <c r="E434" s="23">
        <v>1159</v>
      </c>
      <c r="F434" s="23">
        <f>DEMANDA_PREVISIÓN!E1163</f>
        <v>40</v>
      </c>
      <c r="G434" s="101"/>
      <c r="H434" s="23">
        <f t="shared" si="40"/>
        <v>5443</v>
      </c>
      <c r="I434" s="128">
        <v>400</v>
      </c>
      <c r="J434" s="129">
        <v>400</v>
      </c>
      <c r="K434" s="101"/>
      <c r="L434" s="129">
        <v>50</v>
      </c>
      <c r="M434" s="118"/>
      <c r="Q434" s="141">
        <v>15.037847222222499</v>
      </c>
      <c r="R434" s="174"/>
    </row>
    <row r="435" spans="2:18">
      <c r="B435" s="176"/>
      <c r="C435" s="186"/>
      <c r="D435" s="172"/>
      <c r="E435" s="23">
        <v>1160</v>
      </c>
      <c r="F435" s="23">
        <f>DEMANDA_PREVISIÓN!E1164</f>
        <v>45</v>
      </c>
      <c r="G435" s="101"/>
      <c r="H435" s="128">
        <f>I434+H434</f>
        <v>5843</v>
      </c>
      <c r="J435" s="129">
        <v>400</v>
      </c>
      <c r="K435" s="47"/>
      <c r="L435" s="129">
        <v>50</v>
      </c>
      <c r="M435" s="118"/>
      <c r="Q435" s="141">
        <v>15.0474537037039</v>
      </c>
      <c r="R435" s="174"/>
    </row>
    <row r="436" spans="2:18">
      <c r="B436" s="176"/>
      <c r="C436" s="186"/>
      <c r="D436" s="172"/>
      <c r="E436" s="23">
        <v>1161</v>
      </c>
      <c r="F436" s="23">
        <f>DEMANDA_PREVISIÓN!E1165</f>
        <v>34</v>
      </c>
      <c r="G436" s="101"/>
      <c r="H436" s="23">
        <f t="shared" ref="H436:H442" si="41">H435-F436</f>
        <v>5809</v>
      </c>
      <c r="I436" s="129">
        <v>400</v>
      </c>
      <c r="J436" s="129">
        <v>400</v>
      </c>
      <c r="K436" s="101"/>
      <c r="L436" s="129">
        <v>50</v>
      </c>
      <c r="M436" s="118"/>
      <c r="Q436" s="141">
        <v>15.057060185185399</v>
      </c>
      <c r="R436" s="174"/>
    </row>
    <row r="437" spans="2:18">
      <c r="B437" s="176"/>
      <c r="C437" s="186"/>
      <c r="D437" s="172"/>
      <c r="E437" s="23">
        <v>1162</v>
      </c>
      <c r="F437" s="23">
        <f>DEMANDA_PREVISIÓN!E1166</f>
        <v>52</v>
      </c>
      <c r="G437" s="101"/>
      <c r="H437" s="23">
        <f t="shared" si="41"/>
        <v>5757</v>
      </c>
      <c r="I437" s="129">
        <v>400</v>
      </c>
      <c r="J437" s="137">
        <v>400</v>
      </c>
      <c r="K437" s="101"/>
      <c r="L437" s="137">
        <v>50</v>
      </c>
      <c r="M437" s="118"/>
      <c r="Q437" s="141">
        <v>15.066666666666899</v>
      </c>
      <c r="R437" s="174"/>
    </row>
    <row r="438" spans="2:18">
      <c r="B438" s="176"/>
      <c r="C438" s="186"/>
      <c r="D438" s="172"/>
      <c r="E438" s="23">
        <v>1163</v>
      </c>
      <c r="F438" s="23">
        <f>DEMANDA_PREVISIÓN!E1167</f>
        <v>37</v>
      </c>
      <c r="G438" s="101"/>
      <c r="H438" s="23">
        <f t="shared" si="41"/>
        <v>5720</v>
      </c>
      <c r="I438" s="129">
        <v>400</v>
      </c>
      <c r="J438" s="137">
        <v>400</v>
      </c>
      <c r="K438" s="101"/>
      <c r="L438" s="137">
        <v>50</v>
      </c>
      <c r="M438" s="118"/>
      <c r="Q438" s="141">
        <v>15.076273148148401</v>
      </c>
      <c r="R438" s="174"/>
    </row>
    <row r="439" spans="2:18">
      <c r="B439" s="176"/>
      <c r="C439" s="186"/>
      <c r="D439" s="172"/>
      <c r="E439" s="23">
        <v>1164</v>
      </c>
      <c r="F439" s="23">
        <f>DEMANDA_PREVISIÓN!E1168</f>
        <v>38</v>
      </c>
      <c r="G439" s="101"/>
      <c r="H439" s="23">
        <f t="shared" si="41"/>
        <v>5682</v>
      </c>
      <c r="I439" s="129">
        <v>400</v>
      </c>
      <c r="J439" s="137">
        <v>400</v>
      </c>
      <c r="K439" s="101"/>
      <c r="L439" s="137">
        <v>50</v>
      </c>
      <c r="M439" s="118"/>
      <c r="Q439" s="141">
        <v>15.0858796296299</v>
      </c>
      <c r="R439" s="174"/>
    </row>
    <row r="440" spans="2:18">
      <c r="B440" s="176"/>
      <c r="C440" s="186"/>
      <c r="D440" s="172"/>
      <c r="E440" s="23">
        <v>1165</v>
      </c>
      <c r="F440" s="23">
        <f>DEMANDA_PREVISIÓN!E1169</f>
        <v>48</v>
      </c>
      <c r="G440" s="101"/>
      <c r="H440" s="23">
        <f t="shared" si="41"/>
        <v>5634</v>
      </c>
      <c r="I440" s="129">
        <v>400</v>
      </c>
      <c r="J440" s="137">
        <v>400</v>
      </c>
      <c r="K440" s="101"/>
      <c r="L440" s="137">
        <v>50</v>
      </c>
      <c r="M440" s="118"/>
      <c r="Q440" s="141">
        <v>15.095486111111301</v>
      </c>
      <c r="R440" s="174"/>
    </row>
    <row r="441" spans="2:18">
      <c r="B441" s="176"/>
      <c r="C441" s="186"/>
      <c r="D441" s="172"/>
      <c r="E441" s="23">
        <v>1166</v>
      </c>
      <c r="F441" s="23">
        <f>DEMANDA_PREVISIÓN!E1170</f>
        <v>42</v>
      </c>
      <c r="G441" s="101"/>
      <c r="H441" s="23">
        <f t="shared" si="41"/>
        <v>5592</v>
      </c>
      <c r="I441" s="129">
        <v>400</v>
      </c>
      <c r="J441" s="137">
        <v>400</v>
      </c>
      <c r="K441" s="101"/>
      <c r="L441" s="137">
        <v>50</v>
      </c>
      <c r="M441" s="118"/>
      <c r="Q441" s="141">
        <v>15.105092592592801</v>
      </c>
      <c r="R441" s="174"/>
    </row>
    <row r="442" spans="2:18">
      <c r="B442" s="176"/>
      <c r="C442" s="186"/>
      <c r="D442" s="172"/>
      <c r="E442" s="23">
        <v>1167</v>
      </c>
      <c r="F442" s="23">
        <f>DEMANDA_PREVISIÓN!E1171</f>
        <v>41</v>
      </c>
      <c r="G442" s="101"/>
      <c r="H442" s="23">
        <f t="shared" si="41"/>
        <v>5551</v>
      </c>
      <c r="I442" s="129">
        <v>400</v>
      </c>
      <c r="J442" s="137">
        <v>400</v>
      </c>
      <c r="K442" s="101"/>
      <c r="L442" s="137">
        <v>50</v>
      </c>
      <c r="M442" s="118"/>
      <c r="Q442" s="141">
        <v>15.1146990740743</v>
      </c>
      <c r="R442" s="174"/>
    </row>
    <row r="443" spans="2:18">
      <c r="B443" s="176"/>
      <c r="C443" s="186"/>
      <c r="D443" s="172"/>
      <c r="E443" s="23">
        <v>1168</v>
      </c>
      <c r="F443" s="23">
        <f>DEMANDA_PREVISIÓN!E1172</f>
        <v>43</v>
      </c>
      <c r="G443" s="101"/>
      <c r="H443" s="129">
        <f>I442+H442</f>
        <v>5951</v>
      </c>
      <c r="I443" s="23"/>
      <c r="J443" s="137">
        <v>400</v>
      </c>
      <c r="K443" s="101"/>
      <c r="L443" s="137">
        <v>50</v>
      </c>
      <c r="M443" s="118"/>
      <c r="Q443" s="141">
        <v>15.1243055555558</v>
      </c>
      <c r="R443" s="174"/>
    </row>
    <row r="444" spans="2:18">
      <c r="B444" s="176"/>
      <c r="C444" s="186"/>
      <c r="D444" s="172"/>
      <c r="E444" s="23">
        <v>1169</v>
      </c>
      <c r="F444" s="23">
        <f>DEMANDA_PREVISIÓN!E1173</f>
        <v>49</v>
      </c>
      <c r="G444" s="101"/>
      <c r="H444" s="23">
        <f t="shared" ref="H444:H450" si="42">H443-F444</f>
        <v>5902</v>
      </c>
      <c r="I444" s="137">
        <v>400</v>
      </c>
      <c r="J444" s="137">
        <v>400</v>
      </c>
      <c r="K444" s="101"/>
      <c r="L444" s="137">
        <v>50</v>
      </c>
      <c r="M444" s="118"/>
      <c r="Q444" s="141">
        <v>15.1339120370373</v>
      </c>
      <c r="R444" s="174"/>
    </row>
    <row r="445" spans="2:18">
      <c r="B445" s="176"/>
      <c r="C445" s="186"/>
      <c r="D445" s="172"/>
      <c r="E445" s="23">
        <v>1170</v>
      </c>
      <c r="F445" s="23">
        <f>DEMANDA_PREVISIÓN!E1174</f>
        <v>55</v>
      </c>
      <c r="G445" s="101"/>
      <c r="H445" s="23">
        <f t="shared" si="42"/>
        <v>5847</v>
      </c>
      <c r="I445" s="137">
        <v>400</v>
      </c>
      <c r="J445" s="138">
        <v>400</v>
      </c>
      <c r="K445" s="101"/>
      <c r="L445" s="138">
        <v>50</v>
      </c>
      <c r="M445" s="118"/>
      <c r="Q445" s="141">
        <v>15.1435185185188</v>
      </c>
      <c r="R445" s="174"/>
    </row>
    <row r="446" spans="2:18">
      <c r="B446" s="176"/>
      <c r="C446" s="186"/>
      <c r="D446" s="172"/>
      <c r="E446" s="23">
        <v>1171</v>
      </c>
      <c r="F446" s="23">
        <f>DEMANDA_PREVISIÓN!E1175</f>
        <v>51</v>
      </c>
      <c r="G446" s="101"/>
      <c r="H446" s="23">
        <f t="shared" si="42"/>
        <v>5796</v>
      </c>
      <c r="I446" s="137">
        <v>400</v>
      </c>
      <c r="J446" s="138">
        <v>400</v>
      </c>
      <c r="K446" s="101"/>
      <c r="L446" s="138">
        <v>50</v>
      </c>
      <c r="M446" s="118"/>
      <c r="Q446" s="141">
        <v>15.1531250000002</v>
      </c>
      <c r="R446" s="174"/>
    </row>
    <row r="447" spans="2:18">
      <c r="B447" s="176"/>
      <c r="C447" s="186"/>
      <c r="D447" s="172"/>
      <c r="E447" s="23">
        <v>1172</v>
      </c>
      <c r="F447" s="23">
        <f>DEMANDA_PREVISIÓN!E1176</f>
        <v>44</v>
      </c>
      <c r="G447" s="101"/>
      <c r="H447" s="23">
        <f t="shared" si="42"/>
        <v>5752</v>
      </c>
      <c r="I447" s="137">
        <v>400</v>
      </c>
      <c r="J447" s="138">
        <v>400</v>
      </c>
      <c r="K447" s="101"/>
      <c r="L447" s="138">
        <v>50</v>
      </c>
      <c r="M447" s="118"/>
      <c r="Q447" s="141">
        <v>15.1627314814817</v>
      </c>
      <c r="R447" s="174"/>
    </row>
    <row r="448" spans="2:18">
      <c r="B448" s="176"/>
      <c r="C448" s="186"/>
      <c r="D448" s="172"/>
      <c r="E448" s="23">
        <v>1173</v>
      </c>
      <c r="F448" s="23">
        <f>DEMANDA_PREVISIÓN!E1177</f>
        <v>41</v>
      </c>
      <c r="G448" s="101"/>
      <c r="H448" s="23">
        <f t="shared" si="42"/>
        <v>5711</v>
      </c>
      <c r="I448" s="137">
        <v>400</v>
      </c>
      <c r="J448" s="138">
        <v>400</v>
      </c>
      <c r="K448" s="101"/>
      <c r="L448" s="138">
        <v>50</v>
      </c>
      <c r="M448" s="118"/>
      <c r="Q448" s="141">
        <v>15.1723379629632</v>
      </c>
      <c r="R448" s="174"/>
    </row>
    <row r="449" spans="2:18">
      <c r="B449" s="176"/>
      <c r="C449" s="186"/>
      <c r="D449" s="172"/>
      <c r="E449" s="23">
        <v>1174</v>
      </c>
      <c r="F449" s="23">
        <f>DEMANDA_PREVISIÓN!E1178</f>
        <v>39</v>
      </c>
      <c r="G449" s="101"/>
      <c r="H449" s="23">
        <f t="shared" si="42"/>
        <v>5672</v>
      </c>
      <c r="I449" s="137">
        <v>400</v>
      </c>
      <c r="J449" s="138">
        <v>400</v>
      </c>
      <c r="K449" s="101"/>
      <c r="L449" s="138">
        <v>50</v>
      </c>
      <c r="M449" s="118"/>
      <c r="Q449" s="141">
        <v>15.181944444444699</v>
      </c>
      <c r="R449" s="174"/>
    </row>
    <row r="450" spans="2:18">
      <c r="B450" s="176"/>
      <c r="C450" s="186"/>
      <c r="D450" s="172"/>
      <c r="E450" s="23">
        <v>1175</v>
      </c>
      <c r="F450" s="23">
        <f>DEMANDA_PREVISIÓN!E1179</f>
        <v>45</v>
      </c>
      <c r="G450" s="101"/>
      <c r="H450" s="23">
        <f t="shared" si="42"/>
        <v>5627</v>
      </c>
      <c r="I450" s="137">
        <v>400</v>
      </c>
      <c r="J450" s="138">
        <v>400</v>
      </c>
      <c r="K450" s="101"/>
      <c r="L450" s="138">
        <v>50</v>
      </c>
      <c r="M450" s="118"/>
      <c r="Q450" s="141">
        <v>15.191550925926199</v>
      </c>
      <c r="R450" s="174"/>
    </row>
    <row r="451" spans="2:18">
      <c r="B451" s="176"/>
      <c r="C451" s="186"/>
      <c r="D451" s="172"/>
      <c r="E451" s="23">
        <v>1176</v>
      </c>
      <c r="F451" s="23">
        <f>DEMANDA_PREVISIÓN!E1180</f>
        <v>40</v>
      </c>
      <c r="G451" s="101"/>
      <c r="H451" s="137">
        <f>I450+H450</f>
        <v>6027</v>
      </c>
      <c r="I451" s="23"/>
      <c r="J451" s="138">
        <v>400</v>
      </c>
      <c r="K451" s="101"/>
      <c r="L451" s="138">
        <v>50</v>
      </c>
      <c r="M451" s="118"/>
      <c r="Q451" s="141">
        <v>15.201157407407599</v>
      </c>
      <c r="R451" s="174"/>
    </row>
    <row r="452" spans="2:18">
      <c r="B452" s="176"/>
      <c r="C452" s="186"/>
      <c r="D452" s="172"/>
      <c r="E452" s="23">
        <v>1177</v>
      </c>
      <c r="F452" s="23">
        <f>DEMANDA_PREVISIÓN!E1181</f>
        <v>53</v>
      </c>
      <c r="G452" s="101"/>
      <c r="H452" s="23">
        <f t="shared" ref="H452:H458" si="43">H451-F452</f>
        <v>5974</v>
      </c>
      <c r="I452" s="138">
        <v>400</v>
      </c>
      <c r="J452" s="138">
        <v>400</v>
      </c>
      <c r="K452" s="101"/>
      <c r="L452" s="138">
        <v>50</v>
      </c>
      <c r="M452" s="118"/>
      <c r="Q452" s="141">
        <v>15.210763888889099</v>
      </c>
      <c r="R452" s="174"/>
    </row>
    <row r="453" spans="2:18">
      <c r="B453" s="176"/>
      <c r="C453" s="186"/>
      <c r="D453" s="172"/>
      <c r="E453" s="23">
        <v>1178</v>
      </c>
      <c r="F453" s="23">
        <f>DEMANDA_PREVISIÓN!E1182</f>
        <v>47</v>
      </c>
      <c r="G453" s="101"/>
      <c r="H453" s="23">
        <f t="shared" si="43"/>
        <v>5927</v>
      </c>
      <c r="I453" s="138">
        <v>400</v>
      </c>
      <c r="J453" s="134">
        <v>400</v>
      </c>
      <c r="K453" s="101"/>
      <c r="L453" s="134">
        <v>50</v>
      </c>
      <c r="M453" s="118"/>
      <c r="Q453" s="141">
        <v>15.220370370370601</v>
      </c>
      <c r="R453" s="174"/>
    </row>
    <row r="454" spans="2:18">
      <c r="B454" s="176"/>
      <c r="C454" s="186"/>
      <c r="D454" s="172"/>
      <c r="E454" s="23">
        <v>1179</v>
      </c>
      <c r="F454" s="23">
        <f>DEMANDA_PREVISIÓN!E1183</f>
        <v>44</v>
      </c>
      <c r="G454" s="101"/>
      <c r="H454" s="23">
        <f t="shared" si="43"/>
        <v>5883</v>
      </c>
      <c r="I454" s="138">
        <v>400</v>
      </c>
      <c r="J454" s="134">
        <v>400</v>
      </c>
      <c r="K454" s="101"/>
      <c r="L454" s="134">
        <v>50</v>
      </c>
      <c r="M454" s="118"/>
      <c r="Q454" s="141">
        <v>15.229976851852101</v>
      </c>
      <c r="R454" s="174"/>
    </row>
    <row r="455" spans="2:18">
      <c r="B455" s="176"/>
      <c r="C455" s="186"/>
      <c r="D455" s="172"/>
      <c r="E455" s="23">
        <v>1180</v>
      </c>
      <c r="F455" s="23">
        <f>DEMANDA_PREVISIÓN!E1184</f>
        <v>57</v>
      </c>
      <c r="G455" s="101"/>
      <c r="H455" s="23">
        <f t="shared" si="43"/>
        <v>5826</v>
      </c>
      <c r="I455" s="138">
        <v>400</v>
      </c>
      <c r="J455" s="134">
        <v>400</v>
      </c>
      <c r="K455" s="101"/>
      <c r="L455" s="134">
        <v>50</v>
      </c>
      <c r="M455" s="118"/>
      <c r="Q455" s="141">
        <v>15.2395833333336</v>
      </c>
      <c r="R455" s="174"/>
    </row>
    <row r="456" spans="2:18">
      <c r="B456" s="176"/>
      <c r="C456" s="186"/>
      <c r="D456" s="172"/>
      <c r="E456" s="23">
        <v>1181</v>
      </c>
      <c r="F456" s="23">
        <f>DEMANDA_PREVISIÓN!E1185</f>
        <v>46</v>
      </c>
      <c r="G456" s="101"/>
      <c r="H456" s="23">
        <f t="shared" si="43"/>
        <v>5780</v>
      </c>
      <c r="I456" s="138">
        <v>400</v>
      </c>
      <c r="J456" s="134">
        <v>400</v>
      </c>
      <c r="K456" s="101"/>
      <c r="L456" s="134">
        <v>50</v>
      </c>
      <c r="M456" s="118"/>
      <c r="Q456" s="141">
        <v>15.2491898148151</v>
      </c>
      <c r="R456" s="174"/>
    </row>
    <row r="457" spans="2:18">
      <c r="B457" s="176"/>
      <c r="C457" s="186"/>
      <c r="D457" s="172"/>
      <c r="E457" s="23">
        <v>1182</v>
      </c>
      <c r="F457" s="23">
        <f>DEMANDA_PREVISIÓN!E1186</f>
        <v>50</v>
      </c>
      <c r="G457" s="101"/>
      <c r="H457" s="23">
        <f t="shared" si="43"/>
        <v>5730</v>
      </c>
      <c r="I457" s="138">
        <v>400</v>
      </c>
      <c r="J457" s="134">
        <v>400</v>
      </c>
      <c r="K457" s="101"/>
      <c r="L457" s="134">
        <v>50</v>
      </c>
      <c r="M457" s="118"/>
      <c r="Q457" s="141">
        <v>15.2587962962965</v>
      </c>
      <c r="R457" s="174"/>
    </row>
    <row r="458" spans="2:18">
      <c r="B458" s="176"/>
      <c r="C458" s="186"/>
      <c r="D458" s="172"/>
      <c r="E458" s="23">
        <v>1183</v>
      </c>
      <c r="F458" s="23">
        <f>DEMANDA_PREVISIÓN!E1187</f>
        <v>43</v>
      </c>
      <c r="G458" s="101"/>
      <c r="H458" s="23">
        <f t="shared" si="43"/>
        <v>5687</v>
      </c>
      <c r="I458" s="138">
        <v>400</v>
      </c>
      <c r="J458" s="134">
        <v>400</v>
      </c>
      <c r="K458" s="101"/>
      <c r="L458" s="134">
        <v>50</v>
      </c>
      <c r="M458" s="118"/>
      <c r="Q458" s="141">
        <v>15.268402777778</v>
      </c>
      <c r="R458" s="174"/>
    </row>
    <row r="459" spans="2:18">
      <c r="B459" s="176"/>
      <c r="C459" s="186"/>
      <c r="D459" s="172"/>
      <c r="E459" s="23">
        <v>1184</v>
      </c>
      <c r="F459" s="23">
        <f>DEMANDA_PREVISIÓN!E1188</f>
        <v>47</v>
      </c>
      <c r="G459" s="101"/>
      <c r="H459" s="138">
        <f>I458+H458</f>
        <v>6087</v>
      </c>
      <c r="I459" s="23"/>
      <c r="J459" s="134">
        <v>400</v>
      </c>
      <c r="K459" s="101"/>
      <c r="L459" s="134">
        <v>50</v>
      </c>
      <c r="M459" s="118"/>
      <c r="Q459" s="141">
        <v>15.2780092592595</v>
      </c>
      <c r="R459" s="174"/>
    </row>
    <row r="460" spans="2:18">
      <c r="B460" s="176"/>
      <c r="C460" s="186"/>
      <c r="D460" s="173"/>
      <c r="E460" s="23">
        <v>1185</v>
      </c>
      <c r="F460" s="23">
        <f>DEMANDA_PREVISIÓN!E1189</f>
        <v>45</v>
      </c>
      <c r="G460" s="101"/>
      <c r="H460" s="23">
        <f t="shared" ref="H460:H466" si="44">H459-F460</f>
        <v>6042</v>
      </c>
      <c r="I460" s="134">
        <v>400</v>
      </c>
      <c r="J460" s="134">
        <v>400</v>
      </c>
      <c r="K460" s="101"/>
      <c r="L460" s="134">
        <v>50</v>
      </c>
      <c r="M460" s="118"/>
      <c r="Q460" s="141">
        <v>15.287615740741</v>
      </c>
      <c r="R460" s="174"/>
    </row>
    <row r="461" spans="2:18">
      <c r="B461" s="176"/>
      <c r="C461" s="186" t="s">
        <v>44</v>
      </c>
      <c r="D461" s="171" t="s">
        <v>45</v>
      </c>
      <c r="E461" s="23">
        <v>1186</v>
      </c>
      <c r="F461" s="23">
        <f>DEMANDA_PREVISIÓN!E1190</f>
        <v>43</v>
      </c>
      <c r="G461" s="101"/>
      <c r="H461" s="23">
        <f t="shared" si="44"/>
        <v>5999</v>
      </c>
      <c r="I461" s="134">
        <v>400</v>
      </c>
      <c r="J461" s="128">
        <v>400</v>
      </c>
      <c r="K461" s="101"/>
      <c r="L461" s="128">
        <v>50</v>
      </c>
      <c r="M461" s="118"/>
      <c r="Q461" s="141">
        <v>15.2972222222225</v>
      </c>
      <c r="R461" s="174"/>
    </row>
    <row r="462" spans="2:18">
      <c r="B462" s="176"/>
      <c r="C462" s="186"/>
      <c r="D462" s="172"/>
      <c r="E462" s="23">
        <v>1187</v>
      </c>
      <c r="F462" s="23">
        <f>DEMANDA_PREVISIÓN!E1191</f>
        <v>50</v>
      </c>
      <c r="G462" s="101"/>
      <c r="H462" s="23">
        <f t="shared" si="44"/>
        <v>5949</v>
      </c>
      <c r="I462" s="134">
        <v>400</v>
      </c>
      <c r="J462" s="128">
        <v>400</v>
      </c>
      <c r="K462" s="101"/>
      <c r="L462" s="128">
        <v>50</v>
      </c>
      <c r="M462" s="118"/>
      <c r="Q462" s="141">
        <v>15.3068287037039</v>
      </c>
      <c r="R462" s="174"/>
    </row>
    <row r="463" spans="2:18">
      <c r="B463" s="176"/>
      <c r="C463" s="186"/>
      <c r="D463" s="172"/>
      <c r="E463" s="23">
        <v>1188</v>
      </c>
      <c r="F463" s="23">
        <f>DEMANDA_PREVISIÓN!E1192</f>
        <v>44</v>
      </c>
      <c r="G463" s="101"/>
      <c r="H463" s="23">
        <f t="shared" si="44"/>
        <v>5905</v>
      </c>
      <c r="I463" s="134">
        <v>400</v>
      </c>
      <c r="J463" s="128">
        <v>400</v>
      </c>
      <c r="K463" s="101"/>
      <c r="L463" s="128">
        <v>50</v>
      </c>
      <c r="M463" s="118"/>
      <c r="Q463" s="141">
        <v>15.3164351851854</v>
      </c>
      <c r="R463" s="174"/>
    </row>
    <row r="464" spans="2:18">
      <c r="B464" s="176"/>
      <c r="C464" s="186"/>
      <c r="D464" s="172"/>
      <c r="E464" s="23">
        <v>1189</v>
      </c>
      <c r="F464" s="23">
        <f>DEMANDA_PREVISIÓN!E1193</f>
        <v>30</v>
      </c>
      <c r="G464" s="101"/>
      <c r="H464" s="23">
        <f t="shared" si="44"/>
        <v>5875</v>
      </c>
      <c r="I464" s="134">
        <v>400</v>
      </c>
      <c r="J464" s="128">
        <v>400</v>
      </c>
      <c r="K464" s="101"/>
      <c r="L464" s="128">
        <v>50</v>
      </c>
      <c r="M464" s="118"/>
      <c r="Q464" s="141">
        <v>15.326041666666899</v>
      </c>
      <c r="R464" s="174"/>
    </row>
    <row r="465" spans="2:18">
      <c r="B465" s="176"/>
      <c r="C465" s="186"/>
      <c r="D465" s="172"/>
      <c r="E465" s="23">
        <v>1190</v>
      </c>
      <c r="F465" s="23">
        <f>DEMANDA_PREVISIÓN!E1194</f>
        <v>33</v>
      </c>
      <c r="G465" s="101"/>
      <c r="H465" s="23">
        <f t="shared" si="44"/>
        <v>5842</v>
      </c>
      <c r="I465" s="134">
        <v>400</v>
      </c>
      <c r="J465" s="128">
        <v>400</v>
      </c>
      <c r="K465" s="101"/>
      <c r="L465" s="128">
        <v>50</v>
      </c>
      <c r="M465" s="118"/>
      <c r="Q465" s="141">
        <v>15.335648148148399</v>
      </c>
      <c r="R465" s="174"/>
    </row>
    <row r="466" spans="2:18">
      <c r="B466" s="176"/>
      <c r="C466" s="186"/>
      <c r="D466" s="172"/>
      <c r="E466" s="23">
        <v>1191</v>
      </c>
      <c r="F466" s="23">
        <f>DEMANDA_PREVISIÓN!E1195</f>
        <v>36</v>
      </c>
      <c r="G466" s="101"/>
      <c r="H466" s="23">
        <f t="shared" si="44"/>
        <v>5806</v>
      </c>
      <c r="I466" s="134">
        <v>400</v>
      </c>
      <c r="J466" s="128">
        <v>400</v>
      </c>
      <c r="K466" s="101"/>
      <c r="L466" s="128">
        <v>50</v>
      </c>
      <c r="M466" s="118"/>
      <c r="Q466" s="141">
        <v>15.345254629629901</v>
      </c>
      <c r="R466" s="174"/>
    </row>
    <row r="467" spans="2:18">
      <c r="B467" s="176"/>
      <c r="C467" s="186"/>
      <c r="D467" s="172"/>
      <c r="E467" s="23">
        <v>1192</v>
      </c>
      <c r="F467" s="23">
        <f>DEMANDA_PREVISIÓN!E1196</f>
        <v>52</v>
      </c>
      <c r="G467" s="101"/>
      <c r="H467" s="134">
        <f>I466+H466</f>
        <v>6206</v>
      </c>
      <c r="I467" s="23"/>
      <c r="J467" s="128">
        <v>400</v>
      </c>
      <c r="K467" s="101"/>
      <c r="L467" s="128">
        <v>50</v>
      </c>
      <c r="M467" s="118"/>
      <c r="Q467" s="141">
        <v>15.354861111111401</v>
      </c>
      <c r="R467" s="174"/>
    </row>
    <row r="468" spans="2:18">
      <c r="B468" s="176"/>
      <c r="C468" s="186"/>
      <c r="D468" s="172"/>
      <c r="E468" s="23">
        <v>1193</v>
      </c>
      <c r="F468" s="23">
        <f>DEMANDA_PREVISIÓN!E1197</f>
        <v>45</v>
      </c>
      <c r="G468" s="101"/>
      <c r="H468" s="23">
        <f>H467-F468</f>
        <v>6161</v>
      </c>
      <c r="I468" s="128">
        <v>400</v>
      </c>
      <c r="J468" s="128">
        <v>400</v>
      </c>
      <c r="K468" s="101"/>
      <c r="L468" s="128">
        <v>50</v>
      </c>
      <c r="M468" s="118"/>
      <c r="Q468" s="141">
        <v>15.364467592592799</v>
      </c>
      <c r="R468" s="174"/>
    </row>
    <row r="469" spans="2:18">
      <c r="B469" s="176"/>
      <c r="C469" s="186"/>
      <c r="D469" s="172"/>
      <c r="E469" s="23">
        <v>1194</v>
      </c>
      <c r="F469" s="23">
        <f>DEMANDA_PREVISIÓN!E1198</f>
        <v>41</v>
      </c>
      <c r="G469" s="101"/>
      <c r="H469" s="23">
        <f>H468-F469</f>
        <v>6120</v>
      </c>
      <c r="I469" s="128">
        <v>400</v>
      </c>
      <c r="J469" s="129">
        <v>400</v>
      </c>
      <c r="K469" s="101"/>
      <c r="L469" s="129">
        <v>50</v>
      </c>
      <c r="M469" s="118"/>
      <c r="Q469" s="141">
        <v>15.374074074074301</v>
      </c>
      <c r="R469" s="174"/>
    </row>
    <row r="470" spans="2:18">
      <c r="B470" s="176"/>
      <c r="C470" s="186"/>
      <c r="D470" s="172"/>
      <c r="E470" s="23">
        <v>1195</v>
      </c>
      <c r="F470" s="23">
        <f>DEMANDA_PREVISIÓN!E1199</f>
        <v>47</v>
      </c>
      <c r="G470" s="101"/>
      <c r="H470" s="23">
        <f>H469-F470</f>
        <v>6073</v>
      </c>
      <c r="I470" s="128">
        <v>400</v>
      </c>
      <c r="J470" s="129">
        <v>400</v>
      </c>
      <c r="K470" s="101"/>
      <c r="L470" s="129">
        <v>50</v>
      </c>
      <c r="M470" s="118"/>
      <c r="Q470" s="141">
        <v>15.3836805555558</v>
      </c>
      <c r="R470" s="174"/>
    </row>
    <row r="471" spans="2:18">
      <c r="B471" s="176"/>
      <c r="C471" s="186"/>
      <c r="D471" s="172"/>
      <c r="E471" s="23">
        <v>1196</v>
      </c>
      <c r="F471" s="23">
        <f>DEMANDA_PREVISIÓN!E1200</f>
        <v>31</v>
      </c>
      <c r="G471" s="101"/>
      <c r="H471" s="23">
        <f>H470-F471</f>
        <v>6042</v>
      </c>
      <c r="I471" s="128">
        <v>400</v>
      </c>
      <c r="J471" s="129">
        <v>400</v>
      </c>
      <c r="K471" s="101"/>
      <c r="L471" s="129">
        <v>50</v>
      </c>
      <c r="M471" s="118"/>
      <c r="Q471" s="141">
        <v>15.3932870370373</v>
      </c>
      <c r="R471" s="174"/>
    </row>
    <row r="472" spans="2:18">
      <c r="B472" s="176"/>
      <c r="C472" s="186"/>
      <c r="D472" s="172"/>
      <c r="E472" s="23">
        <v>1197</v>
      </c>
      <c r="F472" s="23">
        <f>DEMANDA_PREVISIÓN!E1201</f>
        <v>45</v>
      </c>
      <c r="G472" s="101"/>
      <c r="H472" s="23">
        <f t="shared" ref="H472:H474" si="45">H471-F472</f>
        <v>5997</v>
      </c>
      <c r="I472" s="128">
        <v>400</v>
      </c>
      <c r="J472" s="129">
        <v>400</v>
      </c>
      <c r="K472" s="101"/>
      <c r="L472" s="129">
        <v>50</v>
      </c>
      <c r="M472" s="118"/>
      <c r="Q472" s="141">
        <v>15.4028935185188</v>
      </c>
      <c r="R472" s="174"/>
    </row>
    <row r="473" spans="2:18">
      <c r="B473" s="176"/>
      <c r="C473" s="186"/>
      <c r="D473" s="172"/>
      <c r="E473" s="23">
        <v>1198</v>
      </c>
      <c r="F473" s="23">
        <f>DEMANDA_PREVISIÓN!E1202</f>
        <v>44</v>
      </c>
      <c r="G473" s="101"/>
      <c r="H473" s="23">
        <f t="shared" si="45"/>
        <v>5953</v>
      </c>
      <c r="I473" s="128">
        <v>400</v>
      </c>
      <c r="J473" s="129">
        <v>400</v>
      </c>
      <c r="K473" s="101"/>
      <c r="L473" s="129">
        <v>50</v>
      </c>
      <c r="M473" s="118"/>
      <c r="Q473" s="141">
        <v>15.4125000000003</v>
      </c>
      <c r="R473" s="174"/>
    </row>
    <row r="474" spans="2:18">
      <c r="B474" s="176"/>
      <c r="C474" s="186"/>
      <c r="D474" s="172"/>
      <c r="E474" s="23">
        <v>1199</v>
      </c>
      <c r="F474" s="23">
        <f>DEMANDA_PREVISIÓN!E1203</f>
        <v>48</v>
      </c>
      <c r="G474" s="101"/>
      <c r="H474" s="23">
        <f t="shared" si="45"/>
        <v>5905</v>
      </c>
      <c r="I474" s="128">
        <v>400</v>
      </c>
      <c r="J474" s="129">
        <v>400</v>
      </c>
      <c r="K474" s="101"/>
      <c r="L474" s="129">
        <v>50</v>
      </c>
      <c r="M474" s="118"/>
      <c r="Q474" s="141">
        <v>15.4221064814817</v>
      </c>
      <c r="R474" s="174"/>
    </row>
    <row r="475" spans="2:18">
      <c r="B475" s="176"/>
      <c r="C475" s="186"/>
      <c r="D475" s="172"/>
      <c r="E475" s="23">
        <v>1200</v>
      </c>
      <c r="F475" s="23">
        <f>DEMANDA_PREVISIÓN!E1204</f>
        <v>51</v>
      </c>
      <c r="G475" s="101"/>
      <c r="H475" s="128">
        <f>I474+H474</f>
        <v>6305</v>
      </c>
      <c r="J475" s="129">
        <v>400</v>
      </c>
      <c r="K475" s="47"/>
      <c r="L475" s="129">
        <v>50</v>
      </c>
      <c r="M475" s="118"/>
      <c r="Q475" s="141">
        <v>15.4317129629632</v>
      </c>
      <c r="R475" s="174"/>
    </row>
    <row r="476" spans="2:18">
      <c r="B476" s="176"/>
      <c r="C476" s="186"/>
      <c r="D476" s="172"/>
      <c r="E476" s="23">
        <v>1201</v>
      </c>
      <c r="F476" s="23">
        <f>DEMANDA_PREVISIÓN!E1205</f>
        <v>50</v>
      </c>
      <c r="G476" s="101"/>
      <c r="H476" s="23">
        <f t="shared" ref="H476:H482" si="46">H475-F476</f>
        <v>6255</v>
      </c>
      <c r="I476" s="129">
        <v>400</v>
      </c>
      <c r="J476" s="129">
        <v>400</v>
      </c>
      <c r="K476" s="101"/>
      <c r="L476" s="129">
        <v>50</v>
      </c>
      <c r="M476" s="118"/>
      <c r="Q476" s="141">
        <v>15.4413194444447</v>
      </c>
      <c r="R476" s="174"/>
    </row>
    <row r="477" spans="2:18">
      <c r="B477" s="176"/>
      <c r="C477" s="186"/>
      <c r="D477" s="172"/>
      <c r="E477" s="23">
        <v>1202</v>
      </c>
      <c r="F477" s="23">
        <f>DEMANDA_PREVISIÓN!E1206</f>
        <v>42</v>
      </c>
      <c r="G477" s="101"/>
      <c r="H477" s="23">
        <f t="shared" si="46"/>
        <v>6213</v>
      </c>
      <c r="I477" s="129">
        <v>400</v>
      </c>
      <c r="J477" s="137">
        <v>400</v>
      </c>
      <c r="K477" s="101"/>
      <c r="L477" s="137">
        <v>50</v>
      </c>
      <c r="M477" s="118"/>
      <c r="Q477" s="141">
        <v>15.4509259259262</v>
      </c>
      <c r="R477" s="174"/>
    </row>
    <row r="478" spans="2:18">
      <c r="B478" s="176"/>
      <c r="C478" s="186"/>
      <c r="D478" s="172"/>
      <c r="E478" s="23">
        <v>1203</v>
      </c>
      <c r="F478" s="23">
        <f>DEMANDA_PREVISIÓN!E1207</f>
        <v>37</v>
      </c>
      <c r="G478" s="101"/>
      <c r="H478" s="23">
        <f t="shared" si="46"/>
        <v>6176</v>
      </c>
      <c r="I478" s="129">
        <v>400</v>
      </c>
      <c r="J478" s="137">
        <v>400</v>
      </c>
      <c r="K478" s="101"/>
      <c r="L478" s="137">
        <v>50</v>
      </c>
      <c r="M478" s="118"/>
      <c r="Q478" s="141">
        <v>15.460532407407699</v>
      </c>
      <c r="R478" s="174"/>
    </row>
    <row r="479" spans="2:18">
      <c r="B479" s="176"/>
      <c r="C479" s="186"/>
      <c r="D479" s="172"/>
      <c r="E479" s="23">
        <v>1204</v>
      </c>
      <c r="F479" s="23">
        <f>DEMANDA_PREVISIÓN!E1208</f>
        <v>46</v>
      </c>
      <c r="G479" s="101"/>
      <c r="H479" s="23">
        <f t="shared" si="46"/>
        <v>6130</v>
      </c>
      <c r="I479" s="129">
        <v>400</v>
      </c>
      <c r="J479" s="137">
        <v>400</v>
      </c>
      <c r="K479" s="101"/>
      <c r="L479" s="137">
        <v>50</v>
      </c>
      <c r="M479" s="118"/>
      <c r="Q479" s="141">
        <v>15.4701388888891</v>
      </c>
      <c r="R479" s="174"/>
    </row>
    <row r="480" spans="2:18">
      <c r="B480" s="176"/>
      <c r="C480" s="186"/>
      <c r="D480" s="172"/>
      <c r="E480" s="23">
        <v>1205</v>
      </c>
      <c r="F480" s="23">
        <f>DEMANDA_PREVISIÓN!E1209</f>
        <v>41</v>
      </c>
      <c r="G480" s="101"/>
      <c r="H480" s="23">
        <f t="shared" si="46"/>
        <v>6089</v>
      </c>
      <c r="I480" s="129">
        <v>400</v>
      </c>
      <c r="J480" s="137">
        <v>400</v>
      </c>
      <c r="K480" s="101"/>
      <c r="L480" s="137">
        <v>50</v>
      </c>
      <c r="M480" s="118"/>
      <c r="Q480" s="141">
        <v>15.479745370370599</v>
      </c>
      <c r="R480" s="174"/>
    </row>
    <row r="481" spans="2:18">
      <c r="B481" s="176"/>
      <c r="C481" s="186"/>
      <c r="D481" s="172"/>
      <c r="E481" s="23">
        <v>1206</v>
      </c>
      <c r="F481" s="23">
        <f>DEMANDA_PREVISIÓN!E1210</f>
        <v>40</v>
      </c>
      <c r="G481" s="101"/>
      <c r="H481" s="23">
        <f t="shared" si="46"/>
        <v>6049</v>
      </c>
      <c r="I481" s="129">
        <v>400</v>
      </c>
      <c r="J481" s="137">
        <v>400</v>
      </c>
      <c r="K481" s="101"/>
      <c r="L481" s="137">
        <v>50</v>
      </c>
      <c r="M481" s="118"/>
      <c r="Q481" s="141">
        <v>15.489351851852099</v>
      </c>
      <c r="R481" s="174"/>
    </row>
    <row r="482" spans="2:18">
      <c r="B482" s="176"/>
      <c r="C482" s="186"/>
      <c r="D482" s="172"/>
      <c r="E482" s="23">
        <v>1207</v>
      </c>
      <c r="F482" s="23">
        <f>DEMANDA_PREVISIÓN!E1211</f>
        <v>46</v>
      </c>
      <c r="G482" s="101"/>
      <c r="H482" s="23">
        <f t="shared" si="46"/>
        <v>6003</v>
      </c>
      <c r="I482" s="129">
        <v>400</v>
      </c>
      <c r="J482" s="137">
        <v>400</v>
      </c>
      <c r="K482" s="101"/>
      <c r="L482" s="137">
        <v>50</v>
      </c>
      <c r="M482" s="118"/>
      <c r="Q482" s="141">
        <v>15.498958333333601</v>
      </c>
      <c r="R482" s="174"/>
    </row>
    <row r="483" spans="2:18">
      <c r="B483" s="176"/>
      <c r="C483" s="186"/>
      <c r="D483" s="172"/>
      <c r="E483" s="23">
        <v>1208</v>
      </c>
      <c r="F483" s="23">
        <f>DEMANDA_PREVISIÓN!E1212</f>
        <v>42</v>
      </c>
      <c r="G483" s="101"/>
      <c r="H483" s="129">
        <f>I482+H482</f>
        <v>6403</v>
      </c>
      <c r="I483" s="23"/>
      <c r="J483" s="137">
        <v>400</v>
      </c>
      <c r="K483" s="101"/>
      <c r="L483" s="137">
        <v>50</v>
      </c>
      <c r="M483" s="118"/>
      <c r="Q483" s="141">
        <v>15.508564814815101</v>
      </c>
      <c r="R483" s="174"/>
    </row>
    <row r="484" spans="2:18">
      <c r="B484" s="176"/>
      <c r="C484" s="186"/>
      <c r="D484" s="172"/>
      <c r="E484" s="23">
        <v>1209</v>
      </c>
      <c r="F484" s="23">
        <f>DEMANDA_PREVISIÓN!E1213</f>
        <v>54</v>
      </c>
      <c r="G484" s="101"/>
      <c r="H484" s="23">
        <f t="shared" ref="H484:H490" si="47">H483-F484</f>
        <v>6349</v>
      </c>
      <c r="I484" s="137">
        <v>400</v>
      </c>
      <c r="J484" s="137">
        <v>400</v>
      </c>
      <c r="K484" s="101"/>
      <c r="L484" s="137">
        <v>50</v>
      </c>
      <c r="M484" s="118"/>
      <c r="Q484" s="141">
        <v>15.5181712962966</v>
      </c>
      <c r="R484" s="174"/>
    </row>
    <row r="485" spans="2:18">
      <c r="B485" s="176"/>
      <c r="C485" s="186"/>
      <c r="D485" s="172"/>
      <c r="E485" s="23">
        <v>1210</v>
      </c>
      <c r="F485" s="23">
        <f>DEMANDA_PREVISIÓN!E1214</f>
        <v>43</v>
      </c>
      <c r="G485" s="101"/>
      <c r="H485" s="23">
        <f t="shared" si="47"/>
        <v>6306</v>
      </c>
      <c r="I485" s="137">
        <v>400</v>
      </c>
      <c r="J485" s="138">
        <v>400</v>
      </c>
      <c r="K485" s="101"/>
      <c r="L485" s="138">
        <v>50</v>
      </c>
      <c r="M485" s="118"/>
      <c r="Q485" s="141">
        <v>15.527777777778001</v>
      </c>
      <c r="R485" s="174"/>
    </row>
    <row r="486" spans="2:18">
      <c r="B486" s="176"/>
      <c r="C486" s="186"/>
      <c r="D486" s="172"/>
      <c r="E486" s="23">
        <v>1211</v>
      </c>
      <c r="F486" s="23">
        <f>DEMANDA_PREVISIÓN!E1215</f>
        <v>36</v>
      </c>
      <c r="G486" s="101"/>
      <c r="H486" s="23">
        <f t="shared" si="47"/>
        <v>6270</v>
      </c>
      <c r="I486" s="137">
        <v>400</v>
      </c>
      <c r="J486" s="138">
        <v>400</v>
      </c>
      <c r="K486" s="101"/>
      <c r="L486" s="138">
        <v>50</v>
      </c>
      <c r="M486" s="118"/>
      <c r="Q486" s="141">
        <v>15.5373842592595</v>
      </c>
      <c r="R486" s="174"/>
    </row>
    <row r="487" spans="2:18">
      <c r="B487" s="176"/>
      <c r="C487" s="186"/>
      <c r="D487" s="172"/>
      <c r="E487" s="23">
        <v>1212</v>
      </c>
      <c r="F487" s="23">
        <f>DEMANDA_PREVISIÓN!E1216</f>
        <v>56</v>
      </c>
      <c r="G487" s="101"/>
      <c r="H487" s="23">
        <f t="shared" si="47"/>
        <v>6214</v>
      </c>
      <c r="I487" s="137">
        <v>400</v>
      </c>
      <c r="J487" s="138">
        <v>400</v>
      </c>
      <c r="K487" s="101"/>
      <c r="L487" s="138">
        <v>50</v>
      </c>
      <c r="M487" s="118"/>
      <c r="Q487" s="141">
        <v>15.546990740741</v>
      </c>
      <c r="R487" s="174"/>
    </row>
    <row r="488" spans="2:18">
      <c r="B488" s="176"/>
      <c r="C488" s="186"/>
      <c r="D488" s="172"/>
      <c r="E488" s="23">
        <v>1213</v>
      </c>
      <c r="F488" s="23">
        <f>DEMANDA_PREVISIÓN!E1217</f>
        <v>49</v>
      </c>
      <c r="G488" s="101"/>
      <c r="H488" s="23">
        <f t="shared" si="47"/>
        <v>6165</v>
      </c>
      <c r="I488" s="137">
        <v>400</v>
      </c>
      <c r="J488" s="138">
        <v>400</v>
      </c>
      <c r="K488" s="101"/>
      <c r="L488" s="138">
        <v>50</v>
      </c>
      <c r="M488" s="118"/>
      <c r="Q488" s="141">
        <v>15.5565972222225</v>
      </c>
      <c r="R488" s="174"/>
    </row>
    <row r="489" spans="2:18">
      <c r="B489" s="176"/>
      <c r="C489" s="186"/>
      <c r="D489" s="172"/>
      <c r="E489" s="23">
        <v>1214</v>
      </c>
      <c r="F489" s="23">
        <f>DEMANDA_PREVISIÓN!E1218</f>
        <v>54</v>
      </c>
      <c r="G489" s="101"/>
      <c r="H489" s="23">
        <f t="shared" si="47"/>
        <v>6111</v>
      </c>
      <c r="I489" s="137">
        <v>400</v>
      </c>
      <c r="J489" s="138">
        <v>400</v>
      </c>
      <c r="K489" s="101"/>
      <c r="L489" s="138">
        <v>50</v>
      </c>
      <c r="M489" s="118"/>
      <c r="Q489" s="141">
        <v>15.566203703704</v>
      </c>
      <c r="R489" s="174"/>
    </row>
    <row r="490" spans="2:18">
      <c r="B490" s="176"/>
      <c r="C490" s="186"/>
      <c r="D490" s="173"/>
      <c r="E490" s="23">
        <v>1215</v>
      </c>
      <c r="F490" s="23">
        <f>DEMANDA_PREVISIÓN!E1219</f>
        <v>49</v>
      </c>
      <c r="G490" s="101"/>
      <c r="H490" s="23">
        <f t="shared" si="47"/>
        <v>6062</v>
      </c>
      <c r="I490" s="137">
        <v>400</v>
      </c>
      <c r="J490" s="138">
        <v>400</v>
      </c>
      <c r="K490" s="101"/>
      <c r="L490" s="138">
        <v>50</v>
      </c>
      <c r="M490" s="118"/>
      <c r="Q490" s="141">
        <v>15.5758101851854</v>
      </c>
      <c r="R490" s="174"/>
    </row>
    <row r="491" spans="2:18">
      <c r="B491" s="176"/>
      <c r="C491" s="186"/>
      <c r="D491" s="171" t="s">
        <v>46</v>
      </c>
      <c r="E491" s="23">
        <v>1216</v>
      </c>
      <c r="F491" s="23">
        <f>DEMANDA_PREVISIÓN!E1220</f>
        <v>50</v>
      </c>
      <c r="G491" s="101"/>
      <c r="H491" s="137">
        <f>I490+H490</f>
        <v>6462</v>
      </c>
      <c r="I491" s="23"/>
      <c r="J491" s="138">
        <v>400</v>
      </c>
      <c r="K491" s="101"/>
      <c r="L491" s="138">
        <v>50</v>
      </c>
      <c r="M491" s="118"/>
      <c r="Q491" s="141">
        <v>15.5854166666669</v>
      </c>
      <c r="R491" s="174"/>
    </row>
    <row r="492" spans="2:18">
      <c r="B492" s="176"/>
      <c r="C492" s="186"/>
      <c r="D492" s="172"/>
      <c r="E492" s="23">
        <v>1217</v>
      </c>
      <c r="F492" s="23">
        <f>DEMANDA_PREVISIÓN!E1221</f>
        <v>43</v>
      </c>
      <c r="G492" s="101"/>
      <c r="H492" s="23">
        <f t="shared" ref="H492:H498" si="48">H491-F492</f>
        <v>6419</v>
      </c>
      <c r="I492" s="138">
        <v>400</v>
      </c>
      <c r="J492" s="138">
        <v>400</v>
      </c>
      <c r="K492" s="101"/>
      <c r="L492" s="138">
        <v>50</v>
      </c>
      <c r="M492" s="118"/>
      <c r="Q492" s="141">
        <v>15.5950231481484</v>
      </c>
      <c r="R492" s="174"/>
    </row>
    <row r="493" spans="2:18">
      <c r="B493" s="176"/>
      <c r="C493" s="186"/>
      <c r="D493" s="172"/>
      <c r="E493" s="23">
        <v>1218</v>
      </c>
      <c r="F493" s="23">
        <f>DEMANDA_PREVISIÓN!E1222</f>
        <v>46</v>
      </c>
      <c r="G493" s="101"/>
      <c r="H493" s="23">
        <f t="shared" si="48"/>
        <v>6373</v>
      </c>
      <c r="I493" s="138">
        <v>400</v>
      </c>
      <c r="J493" s="134">
        <v>400</v>
      </c>
      <c r="K493" s="101"/>
      <c r="L493" s="134">
        <v>50</v>
      </c>
      <c r="M493" s="118"/>
      <c r="Q493" s="141">
        <v>15.604629629629899</v>
      </c>
      <c r="R493" s="174"/>
    </row>
    <row r="494" spans="2:18">
      <c r="B494" s="176"/>
      <c r="C494" s="186"/>
      <c r="D494" s="172"/>
      <c r="E494" s="23">
        <v>1219</v>
      </c>
      <c r="F494" s="23">
        <f>DEMANDA_PREVISIÓN!E1223</f>
        <v>41</v>
      </c>
      <c r="G494" s="101"/>
      <c r="H494" s="23">
        <f t="shared" si="48"/>
        <v>6332</v>
      </c>
      <c r="I494" s="138">
        <v>400</v>
      </c>
      <c r="J494" s="134">
        <v>400</v>
      </c>
      <c r="K494" s="101"/>
      <c r="L494" s="134">
        <v>50</v>
      </c>
      <c r="M494" s="118"/>
      <c r="Q494" s="141">
        <v>15.614236111111399</v>
      </c>
      <c r="R494" s="174"/>
    </row>
    <row r="495" spans="2:18">
      <c r="B495" s="176"/>
      <c r="C495" s="186"/>
      <c r="D495" s="172"/>
      <c r="E495" s="23">
        <v>1220</v>
      </c>
      <c r="F495" s="23">
        <f>DEMANDA_PREVISIÓN!E1224</f>
        <v>44</v>
      </c>
      <c r="G495" s="101"/>
      <c r="H495" s="23">
        <f t="shared" si="48"/>
        <v>6288</v>
      </c>
      <c r="I495" s="138">
        <v>400</v>
      </c>
      <c r="J495" s="134">
        <v>400</v>
      </c>
      <c r="K495" s="101"/>
      <c r="L495" s="134">
        <v>50</v>
      </c>
      <c r="M495" s="118"/>
      <c r="Q495" s="141">
        <v>15.623842592592901</v>
      </c>
      <c r="R495" s="174"/>
    </row>
    <row r="496" spans="2:18">
      <c r="B496" s="176"/>
      <c r="C496" s="186"/>
      <c r="D496" s="172"/>
      <c r="E496" s="23">
        <v>1221</v>
      </c>
      <c r="F496" s="23">
        <f>DEMANDA_PREVISIÓN!E1225</f>
        <v>43</v>
      </c>
      <c r="G496" s="101"/>
      <c r="H496" s="23">
        <f t="shared" si="48"/>
        <v>6245</v>
      </c>
      <c r="I496" s="138">
        <v>400</v>
      </c>
      <c r="J496" s="134">
        <v>400</v>
      </c>
      <c r="K496" s="101"/>
      <c r="L496" s="134">
        <v>50</v>
      </c>
      <c r="M496" s="118"/>
      <c r="Q496" s="141">
        <v>15.633449074074299</v>
      </c>
      <c r="R496" s="174"/>
    </row>
    <row r="497" spans="2:18">
      <c r="B497" s="176"/>
      <c r="C497" s="186"/>
      <c r="D497" s="172"/>
      <c r="E497" s="23">
        <v>1222</v>
      </c>
      <c r="F497" s="23">
        <f>DEMANDA_PREVISIÓN!E1226</f>
        <v>46</v>
      </c>
      <c r="G497" s="101"/>
      <c r="H497" s="23">
        <f t="shared" si="48"/>
        <v>6199</v>
      </c>
      <c r="I497" s="138">
        <v>400</v>
      </c>
      <c r="J497" s="134">
        <v>400</v>
      </c>
      <c r="K497" s="101"/>
      <c r="L497" s="134">
        <v>50</v>
      </c>
      <c r="M497" s="118"/>
      <c r="Q497" s="141">
        <v>15.643055555555801</v>
      </c>
      <c r="R497" s="174"/>
    </row>
    <row r="498" spans="2:18">
      <c r="B498" s="176"/>
      <c r="C498" s="186"/>
      <c r="D498" s="172"/>
      <c r="E498" s="23">
        <v>1223</v>
      </c>
      <c r="F498" s="23">
        <f>DEMANDA_PREVISIÓN!E1227</f>
        <v>36</v>
      </c>
      <c r="G498" s="101"/>
      <c r="H498" s="23">
        <f t="shared" si="48"/>
        <v>6163</v>
      </c>
      <c r="I498" s="138">
        <v>400</v>
      </c>
      <c r="J498" s="134">
        <v>400</v>
      </c>
      <c r="K498" s="101"/>
      <c r="L498" s="134">
        <v>50</v>
      </c>
      <c r="M498" s="118"/>
      <c r="Q498" s="141">
        <v>15.652662037037301</v>
      </c>
      <c r="R498" s="174"/>
    </row>
    <row r="499" spans="2:18">
      <c r="B499" s="176"/>
      <c r="C499" s="186"/>
      <c r="D499" s="172"/>
      <c r="E499" s="23">
        <v>1224</v>
      </c>
      <c r="F499" s="23">
        <f>DEMANDA_PREVISIÓN!E1228</f>
        <v>43</v>
      </c>
      <c r="G499" s="101"/>
      <c r="H499" s="138">
        <f>I498+H498</f>
        <v>6563</v>
      </c>
      <c r="I499" s="23"/>
      <c r="J499" s="134">
        <v>400</v>
      </c>
      <c r="K499" s="101"/>
      <c r="L499" s="134">
        <v>50</v>
      </c>
      <c r="M499" s="118"/>
      <c r="Q499" s="141">
        <v>15.6622685185188</v>
      </c>
      <c r="R499" s="174"/>
    </row>
    <row r="500" spans="2:18">
      <c r="B500" s="176"/>
      <c r="C500" s="186"/>
      <c r="D500" s="172"/>
      <c r="E500" s="23">
        <v>1225</v>
      </c>
      <c r="F500" s="23">
        <f>DEMANDA_PREVISIÓN!E1229</f>
        <v>42</v>
      </c>
      <c r="G500" s="101"/>
      <c r="H500" s="23">
        <f t="shared" ref="H500:H506" si="49">H499-F500</f>
        <v>6521</v>
      </c>
      <c r="I500" s="134">
        <v>400</v>
      </c>
      <c r="J500" s="134">
        <v>400</v>
      </c>
      <c r="K500" s="101"/>
      <c r="L500" s="134">
        <v>50</v>
      </c>
      <c r="M500" s="118"/>
      <c r="Q500" s="141">
        <v>15.6718750000003</v>
      </c>
      <c r="R500" s="174"/>
    </row>
    <row r="501" spans="2:18">
      <c r="B501" s="176"/>
      <c r="C501" s="186"/>
      <c r="D501" s="172"/>
      <c r="E501" s="23">
        <v>1226</v>
      </c>
      <c r="F501" s="23">
        <f>DEMANDA_PREVISIÓN!E1230</f>
        <v>39</v>
      </c>
      <c r="G501" s="101"/>
      <c r="H501" s="23">
        <f t="shared" si="49"/>
        <v>6482</v>
      </c>
      <c r="I501" s="134">
        <v>400</v>
      </c>
      <c r="J501" s="128">
        <v>400</v>
      </c>
      <c r="K501" s="101"/>
      <c r="L501" s="128">
        <v>50</v>
      </c>
      <c r="M501" s="118"/>
      <c r="Q501" s="141">
        <v>15.681481481481701</v>
      </c>
      <c r="R501" s="174"/>
    </row>
    <row r="502" spans="2:18">
      <c r="B502" s="176"/>
      <c r="C502" s="186"/>
      <c r="D502" s="172"/>
      <c r="E502" s="23">
        <v>1227</v>
      </c>
      <c r="F502" s="23">
        <f>DEMANDA_PREVISIÓN!E1231</f>
        <v>51</v>
      </c>
      <c r="G502" s="101"/>
      <c r="H502" s="23">
        <f t="shared" si="49"/>
        <v>6431</v>
      </c>
      <c r="I502" s="134">
        <v>400</v>
      </c>
      <c r="J502" s="128">
        <v>400</v>
      </c>
      <c r="K502" s="101"/>
      <c r="L502" s="128">
        <v>50</v>
      </c>
      <c r="M502" s="118"/>
      <c r="Q502" s="141">
        <v>15.6910879629632</v>
      </c>
      <c r="R502" s="174"/>
    </row>
    <row r="503" spans="2:18">
      <c r="B503" s="176"/>
      <c r="C503" s="186"/>
      <c r="D503" s="172"/>
      <c r="E503" s="23">
        <v>1228</v>
      </c>
      <c r="F503" s="23">
        <f>DEMANDA_PREVISIÓN!E1232</f>
        <v>33</v>
      </c>
      <c r="G503" s="101"/>
      <c r="H503" s="23">
        <f t="shared" si="49"/>
        <v>6398</v>
      </c>
      <c r="I503" s="134">
        <v>400</v>
      </c>
      <c r="J503" s="128">
        <v>400</v>
      </c>
      <c r="K503" s="101"/>
      <c r="L503" s="128">
        <v>50</v>
      </c>
      <c r="M503" s="118"/>
      <c r="Q503" s="141">
        <v>15.7006944444447</v>
      </c>
      <c r="R503" s="174"/>
    </row>
    <row r="504" spans="2:18">
      <c r="B504" s="176"/>
      <c r="C504" s="186"/>
      <c r="D504" s="172"/>
      <c r="E504" s="23">
        <v>1229</v>
      </c>
      <c r="F504" s="23">
        <f>DEMANDA_PREVISIÓN!E1233</f>
        <v>40</v>
      </c>
      <c r="G504" s="101"/>
      <c r="H504" s="23">
        <f t="shared" si="49"/>
        <v>6358</v>
      </c>
      <c r="I504" s="134">
        <v>400</v>
      </c>
      <c r="J504" s="128">
        <v>400</v>
      </c>
      <c r="K504" s="101"/>
      <c r="L504" s="128">
        <v>50</v>
      </c>
      <c r="M504" s="118"/>
      <c r="Q504" s="141">
        <v>15.7103009259262</v>
      </c>
      <c r="R504" s="174"/>
    </row>
    <row r="505" spans="2:18">
      <c r="B505" s="176"/>
      <c r="C505" s="186"/>
      <c r="D505" s="172"/>
      <c r="E505" s="23">
        <v>1230</v>
      </c>
      <c r="F505" s="23">
        <f>DEMANDA_PREVISIÓN!E1234</f>
        <v>52</v>
      </c>
      <c r="G505" s="101"/>
      <c r="H505" s="23">
        <f t="shared" si="49"/>
        <v>6306</v>
      </c>
      <c r="I505" s="134">
        <v>400</v>
      </c>
      <c r="J505" s="128">
        <v>400</v>
      </c>
      <c r="K505" s="101"/>
      <c r="L505" s="128">
        <v>50</v>
      </c>
      <c r="M505" s="118"/>
      <c r="Q505" s="141">
        <v>15.7199074074077</v>
      </c>
      <c r="R505" s="174"/>
    </row>
    <row r="506" spans="2:18">
      <c r="B506" s="176"/>
      <c r="C506" s="186"/>
      <c r="D506" s="172"/>
      <c r="E506" s="23">
        <v>1231</v>
      </c>
      <c r="F506" s="23">
        <f>DEMANDA_PREVISIÓN!E1235</f>
        <v>42</v>
      </c>
      <c r="G506" s="101"/>
      <c r="H506" s="23">
        <f t="shared" si="49"/>
        <v>6264</v>
      </c>
      <c r="I506" s="134">
        <v>400</v>
      </c>
      <c r="J506" s="128">
        <v>400</v>
      </c>
      <c r="K506" s="101"/>
      <c r="L506" s="128">
        <v>50</v>
      </c>
      <c r="M506" s="118"/>
      <c r="Q506" s="141">
        <v>15.729513888889199</v>
      </c>
      <c r="R506" s="174"/>
    </row>
    <row r="507" spans="2:18">
      <c r="B507" s="176"/>
      <c r="C507" s="186"/>
      <c r="D507" s="172"/>
      <c r="E507" s="23">
        <v>1232</v>
      </c>
      <c r="F507" s="23">
        <f>DEMANDA_PREVISIÓN!E1236</f>
        <v>45</v>
      </c>
      <c r="G507" s="101"/>
      <c r="H507" s="134">
        <f>I506+H506</f>
        <v>6664</v>
      </c>
      <c r="I507" s="23"/>
      <c r="J507" s="128">
        <v>400</v>
      </c>
      <c r="K507" s="101"/>
      <c r="L507" s="128">
        <v>50</v>
      </c>
      <c r="M507" s="118"/>
      <c r="Q507" s="141">
        <v>15.7391203703706</v>
      </c>
      <c r="R507" s="174"/>
    </row>
    <row r="508" spans="2:18">
      <c r="B508" s="176"/>
      <c r="C508" s="186"/>
      <c r="D508" s="172"/>
      <c r="E508" s="23">
        <v>1233</v>
      </c>
      <c r="F508" s="23">
        <f>DEMANDA_PREVISIÓN!E1237</f>
        <v>39</v>
      </c>
      <c r="G508" s="101"/>
      <c r="H508" s="23">
        <f>H507-F508</f>
        <v>6625</v>
      </c>
      <c r="I508" s="128">
        <v>400</v>
      </c>
      <c r="J508" s="128">
        <v>400</v>
      </c>
      <c r="K508" s="101"/>
      <c r="L508" s="128">
        <v>50</v>
      </c>
      <c r="M508" s="118"/>
      <c r="Q508" s="141">
        <v>15.7487268518521</v>
      </c>
      <c r="R508" s="174"/>
    </row>
    <row r="509" spans="2:18">
      <c r="B509" s="176"/>
      <c r="C509" s="186"/>
      <c r="D509" s="172"/>
      <c r="E509" s="23">
        <v>1234</v>
      </c>
      <c r="F509" s="23">
        <f>DEMANDA_PREVISIÓN!E1238</f>
        <v>42</v>
      </c>
      <c r="G509" s="101"/>
      <c r="H509" s="23">
        <f>H508-F509</f>
        <v>6583</v>
      </c>
      <c r="I509" s="128">
        <v>400</v>
      </c>
      <c r="J509" s="129">
        <v>400</v>
      </c>
      <c r="K509" s="101"/>
      <c r="L509" s="129">
        <v>50</v>
      </c>
      <c r="M509" s="118"/>
      <c r="Q509" s="141">
        <v>15.758333333333599</v>
      </c>
      <c r="R509" s="174"/>
    </row>
    <row r="510" spans="2:18">
      <c r="B510" s="176"/>
      <c r="C510" s="186"/>
      <c r="D510" s="172"/>
      <c r="E510" s="23">
        <v>1235</v>
      </c>
      <c r="F510" s="23">
        <f>DEMANDA_PREVISIÓN!E1239</f>
        <v>46</v>
      </c>
      <c r="G510" s="101"/>
      <c r="H510" s="23">
        <f>H509-F510</f>
        <v>6537</v>
      </c>
      <c r="I510" s="128">
        <v>400</v>
      </c>
      <c r="J510" s="129">
        <v>400</v>
      </c>
      <c r="K510" s="101"/>
      <c r="L510" s="129">
        <v>50</v>
      </c>
      <c r="M510" s="118"/>
      <c r="Q510" s="141">
        <v>15.767939814815101</v>
      </c>
      <c r="R510" s="174"/>
    </row>
    <row r="511" spans="2:18">
      <c r="B511" s="176"/>
      <c r="C511" s="186"/>
      <c r="D511" s="172"/>
      <c r="E511" s="23">
        <v>1236</v>
      </c>
      <c r="F511" s="23">
        <f>DEMANDA_PREVISIÓN!E1240</f>
        <v>46</v>
      </c>
      <c r="G511" s="101"/>
      <c r="H511" s="23">
        <f>H510-F511</f>
        <v>6491</v>
      </c>
      <c r="I511" s="128">
        <v>400</v>
      </c>
      <c r="J511" s="129">
        <v>400</v>
      </c>
      <c r="K511" s="101"/>
      <c r="L511" s="129">
        <v>50</v>
      </c>
      <c r="M511" s="118"/>
      <c r="Q511" s="141">
        <v>15.777546296296601</v>
      </c>
      <c r="R511" s="174"/>
    </row>
    <row r="512" spans="2:18">
      <c r="B512" s="176"/>
      <c r="C512" s="186"/>
      <c r="D512" s="172"/>
      <c r="E512" s="23">
        <v>1237</v>
      </c>
      <c r="F512" s="23">
        <f>DEMANDA_PREVISIÓN!E1241</f>
        <v>46</v>
      </c>
      <c r="G512" s="101"/>
      <c r="H512" s="23">
        <f t="shared" ref="H512:H514" si="50">H511-F512</f>
        <v>6445</v>
      </c>
      <c r="I512" s="128">
        <v>400</v>
      </c>
      <c r="J512" s="129">
        <v>400</v>
      </c>
      <c r="K512" s="101"/>
      <c r="L512" s="129">
        <v>50</v>
      </c>
      <c r="M512" s="118"/>
      <c r="Q512" s="141">
        <v>15.787152777777999</v>
      </c>
      <c r="R512" s="174"/>
    </row>
    <row r="513" spans="2:18">
      <c r="B513" s="176"/>
      <c r="C513" s="186"/>
      <c r="D513" s="172"/>
      <c r="E513" s="23">
        <v>1238</v>
      </c>
      <c r="F513" s="23">
        <f>DEMANDA_PREVISIÓN!E1242</f>
        <v>48</v>
      </c>
      <c r="G513" s="101"/>
      <c r="H513" s="23">
        <f t="shared" si="50"/>
        <v>6397</v>
      </c>
      <c r="I513" s="128">
        <v>400</v>
      </c>
      <c r="J513" s="129">
        <v>400</v>
      </c>
      <c r="K513" s="101"/>
      <c r="L513" s="129">
        <v>50</v>
      </c>
      <c r="M513" s="118"/>
      <c r="Q513" s="141">
        <v>15.796759259259501</v>
      </c>
      <c r="R513" s="174"/>
    </row>
    <row r="514" spans="2:18">
      <c r="B514" s="176"/>
      <c r="C514" s="186"/>
      <c r="D514" s="172"/>
      <c r="E514" s="23">
        <v>1239</v>
      </c>
      <c r="F514" s="23">
        <f>DEMANDA_PREVISIÓN!E1243</f>
        <v>48</v>
      </c>
      <c r="G514" s="101"/>
      <c r="H514" s="23">
        <f t="shared" si="50"/>
        <v>6349</v>
      </c>
      <c r="I514" s="128">
        <v>400</v>
      </c>
      <c r="J514" s="129">
        <v>400</v>
      </c>
      <c r="K514" s="101"/>
      <c r="L514" s="129">
        <v>50</v>
      </c>
      <c r="M514" s="118"/>
      <c r="Q514" s="141">
        <v>15.806365740741001</v>
      </c>
      <c r="R514" s="174"/>
    </row>
    <row r="515" spans="2:18">
      <c r="B515" s="176"/>
      <c r="C515" s="186"/>
      <c r="D515" s="172"/>
      <c r="E515" s="23">
        <v>1240</v>
      </c>
      <c r="F515" s="23">
        <f>DEMANDA_PREVISIÓN!E1244</f>
        <v>49</v>
      </c>
      <c r="G515" s="101"/>
      <c r="H515" s="128">
        <f>I514+H514</f>
        <v>6749</v>
      </c>
      <c r="J515" s="129">
        <v>400</v>
      </c>
      <c r="K515" s="47"/>
      <c r="L515" s="129">
        <v>50</v>
      </c>
      <c r="M515" s="118"/>
      <c r="Q515" s="141">
        <v>15.8159722222225</v>
      </c>
      <c r="R515" s="174"/>
    </row>
    <row r="516" spans="2:18">
      <c r="B516" s="176"/>
      <c r="C516" s="186"/>
      <c r="D516" s="172"/>
      <c r="E516" s="23">
        <v>1241</v>
      </c>
      <c r="F516" s="23">
        <f>DEMANDA_PREVISIÓN!E1245</f>
        <v>46</v>
      </c>
      <c r="G516" s="101"/>
      <c r="H516" s="23">
        <f t="shared" ref="H516:H522" si="51">H515-F516</f>
        <v>6703</v>
      </c>
      <c r="I516" s="129">
        <v>400</v>
      </c>
      <c r="J516" s="129">
        <v>400</v>
      </c>
      <c r="K516" s="101"/>
      <c r="L516" s="129">
        <v>50</v>
      </c>
      <c r="M516" s="118"/>
      <c r="Q516" s="141">
        <v>15.825578703704</v>
      </c>
      <c r="R516" s="174"/>
    </row>
    <row r="517" spans="2:18">
      <c r="B517" s="176"/>
      <c r="C517" s="186"/>
      <c r="D517" s="172"/>
      <c r="E517" s="23">
        <v>1242</v>
      </c>
      <c r="F517" s="23">
        <f>DEMANDA_PREVISIÓN!E1246</f>
        <v>36</v>
      </c>
      <c r="G517" s="101"/>
      <c r="H517" s="23">
        <f t="shared" si="51"/>
        <v>6667</v>
      </c>
      <c r="I517" s="129">
        <v>400</v>
      </c>
      <c r="J517" s="137">
        <v>400</v>
      </c>
      <c r="K517" s="101"/>
      <c r="L517" s="137">
        <v>50</v>
      </c>
      <c r="M517" s="118"/>
      <c r="Q517" s="141">
        <v>15.8351851851855</v>
      </c>
      <c r="R517" s="174"/>
    </row>
    <row r="518" spans="2:18">
      <c r="B518" s="176"/>
      <c r="C518" s="186"/>
      <c r="D518" s="172"/>
      <c r="E518" s="23">
        <v>1243</v>
      </c>
      <c r="F518" s="23">
        <f>DEMANDA_PREVISIÓN!E1247</f>
        <v>34</v>
      </c>
      <c r="G518" s="101"/>
      <c r="H518" s="23">
        <f t="shared" si="51"/>
        <v>6633</v>
      </c>
      <c r="I518" s="129">
        <v>400</v>
      </c>
      <c r="J518" s="137">
        <v>400</v>
      </c>
      <c r="K518" s="101"/>
      <c r="L518" s="137">
        <v>50</v>
      </c>
      <c r="M518" s="118"/>
      <c r="Q518" s="141">
        <v>15.8447916666669</v>
      </c>
      <c r="R518" s="174"/>
    </row>
    <row r="519" spans="2:18">
      <c r="B519" s="176"/>
      <c r="C519" s="186"/>
      <c r="D519" s="172"/>
      <c r="E519" s="23">
        <v>1244</v>
      </c>
      <c r="F519" s="23">
        <f>DEMANDA_PREVISIÓN!E1248</f>
        <v>41</v>
      </c>
      <c r="G519" s="101"/>
      <c r="H519" s="23">
        <f t="shared" si="51"/>
        <v>6592</v>
      </c>
      <c r="I519" s="129">
        <v>400</v>
      </c>
      <c r="J519" s="137">
        <v>400</v>
      </c>
      <c r="K519" s="101"/>
      <c r="L519" s="137">
        <v>50</v>
      </c>
      <c r="M519" s="118"/>
      <c r="Q519" s="141">
        <v>15.8543981481484</v>
      </c>
      <c r="R519" s="174"/>
    </row>
    <row r="520" spans="2:18">
      <c r="B520" s="176"/>
      <c r="C520" s="186"/>
      <c r="D520" s="172"/>
      <c r="E520" s="23">
        <v>1245</v>
      </c>
      <c r="F520" s="23">
        <f>DEMANDA_PREVISIÓN!E1249</f>
        <v>38</v>
      </c>
      <c r="G520" s="101"/>
      <c r="H520" s="23">
        <f t="shared" si="51"/>
        <v>6554</v>
      </c>
      <c r="I520" s="129">
        <v>400</v>
      </c>
      <c r="J520" s="137">
        <v>400</v>
      </c>
      <c r="K520" s="101"/>
      <c r="L520" s="137">
        <v>50</v>
      </c>
      <c r="M520" s="118"/>
      <c r="Q520" s="141">
        <v>15.8640046296299</v>
      </c>
      <c r="R520" s="174"/>
    </row>
    <row r="521" spans="2:18">
      <c r="B521" s="176"/>
      <c r="C521" s="186"/>
      <c r="D521" s="173"/>
      <c r="E521" s="23">
        <v>1246</v>
      </c>
      <c r="F521" s="23">
        <f>DEMANDA_PREVISIÓN!E1250</f>
        <v>35</v>
      </c>
      <c r="G521" s="101"/>
      <c r="H521" s="23">
        <f t="shared" si="51"/>
        <v>6519</v>
      </c>
      <c r="I521" s="129">
        <v>400</v>
      </c>
      <c r="J521" s="137">
        <v>400</v>
      </c>
      <c r="K521" s="101"/>
      <c r="L521" s="137">
        <v>50</v>
      </c>
      <c r="M521" s="118"/>
      <c r="Q521" s="141">
        <v>15.8736111111114</v>
      </c>
      <c r="R521" s="174"/>
    </row>
    <row r="522" spans="2:18">
      <c r="B522" s="176"/>
      <c r="C522" s="186"/>
      <c r="D522" s="171" t="s">
        <v>47</v>
      </c>
      <c r="E522" s="23">
        <v>1247</v>
      </c>
      <c r="F522" s="23">
        <f>DEMANDA_PREVISIÓN!E1251</f>
        <v>36</v>
      </c>
      <c r="G522" s="101"/>
      <c r="H522" s="23">
        <f t="shared" si="51"/>
        <v>6483</v>
      </c>
      <c r="I522" s="129">
        <v>400</v>
      </c>
      <c r="J522" s="137">
        <v>400</v>
      </c>
      <c r="K522" s="101"/>
      <c r="L522" s="137">
        <v>50</v>
      </c>
      <c r="M522" s="118"/>
      <c r="Q522" s="141">
        <v>15.883217592592899</v>
      </c>
      <c r="R522" s="174"/>
    </row>
    <row r="523" spans="2:18">
      <c r="B523" s="176"/>
      <c r="C523" s="186"/>
      <c r="D523" s="172"/>
      <c r="E523" s="23">
        <v>1248</v>
      </c>
      <c r="F523" s="23">
        <f>DEMANDA_PREVISIÓN!E1252</f>
        <v>32</v>
      </c>
      <c r="G523" s="101"/>
      <c r="H523" s="129">
        <f>I522+H522</f>
        <v>6883</v>
      </c>
      <c r="I523" s="23"/>
      <c r="J523" s="137">
        <v>400</v>
      </c>
      <c r="K523" s="101"/>
      <c r="L523" s="137">
        <v>50</v>
      </c>
      <c r="M523" s="118"/>
      <c r="Q523" s="141">
        <v>15.892824074074399</v>
      </c>
      <c r="R523" s="174"/>
    </row>
    <row r="524" spans="2:18">
      <c r="B524" s="176"/>
      <c r="C524" s="186"/>
      <c r="D524" s="172"/>
      <c r="E524" s="23">
        <v>1249</v>
      </c>
      <c r="F524" s="23">
        <f>DEMANDA_PREVISIÓN!E1253</f>
        <v>38</v>
      </c>
      <c r="G524" s="101"/>
      <c r="H524" s="23">
        <f t="shared" ref="H524:H530" si="52">H523-F524</f>
        <v>6845</v>
      </c>
      <c r="I524" s="137">
        <v>400</v>
      </c>
      <c r="J524" s="137">
        <v>400</v>
      </c>
      <c r="K524" s="101"/>
      <c r="L524" s="137">
        <v>50</v>
      </c>
      <c r="M524" s="118"/>
      <c r="Q524" s="141">
        <v>15.902430555555799</v>
      </c>
      <c r="R524" s="174"/>
    </row>
    <row r="525" spans="2:18">
      <c r="B525" s="176"/>
      <c r="C525" s="186"/>
      <c r="D525" s="172"/>
      <c r="E525" s="23">
        <v>1250</v>
      </c>
      <c r="F525" s="23">
        <f>DEMANDA_PREVISIÓN!E1254</f>
        <v>39</v>
      </c>
      <c r="G525" s="101"/>
      <c r="H525" s="23">
        <f t="shared" si="52"/>
        <v>6806</v>
      </c>
      <c r="I525" s="137">
        <v>400</v>
      </c>
      <c r="J525" s="138">
        <v>400</v>
      </c>
      <c r="K525" s="101"/>
      <c r="L525" s="138">
        <v>50</v>
      </c>
      <c r="M525" s="118"/>
      <c r="Q525" s="141">
        <v>15.912037037037299</v>
      </c>
      <c r="R525" s="174"/>
    </row>
    <row r="526" spans="2:18">
      <c r="B526" s="176"/>
      <c r="C526" s="186"/>
      <c r="D526" s="172"/>
      <c r="E526" s="23">
        <v>1251</v>
      </c>
      <c r="F526" s="23">
        <f>DEMANDA_PREVISIÓN!E1255</f>
        <v>46</v>
      </c>
      <c r="G526" s="101"/>
      <c r="H526" s="23">
        <f t="shared" si="52"/>
        <v>6760</v>
      </c>
      <c r="I526" s="137">
        <v>400</v>
      </c>
      <c r="J526" s="138">
        <v>400</v>
      </c>
      <c r="K526" s="101"/>
      <c r="L526" s="138">
        <v>50</v>
      </c>
      <c r="M526" s="118"/>
      <c r="Q526" s="141">
        <v>15.921643518518801</v>
      </c>
      <c r="R526" s="174"/>
    </row>
    <row r="527" spans="2:18">
      <c r="B527" s="176"/>
      <c r="C527" s="186"/>
      <c r="D527" s="172"/>
      <c r="E527" s="23">
        <v>1252</v>
      </c>
      <c r="F527" s="23">
        <f>DEMANDA_PREVISIÓN!E1256</f>
        <v>35</v>
      </c>
      <c r="G527" s="101"/>
      <c r="H527" s="23">
        <f t="shared" si="52"/>
        <v>6725</v>
      </c>
      <c r="I527" s="137">
        <v>400</v>
      </c>
      <c r="J527" s="138">
        <v>400</v>
      </c>
      <c r="K527" s="101"/>
      <c r="L527" s="138">
        <v>50</v>
      </c>
      <c r="M527" s="118"/>
      <c r="Q527" s="141">
        <v>15.931250000000301</v>
      </c>
      <c r="R527" s="174"/>
    </row>
    <row r="528" spans="2:18">
      <c r="B528" s="176"/>
      <c r="C528" s="186"/>
      <c r="D528" s="172"/>
      <c r="E528" s="23">
        <v>1253</v>
      </c>
      <c r="F528" s="23">
        <f>DEMANDA_PREVISIÓN!E1257</f>
        <v>34</v>
      </c>
      <c r="G528" s="101"/>
      <c r="H528" s="23">
        <f t="shared" si="52"/>
        <v>6691</v>
      </c>
      <c r="I528" s="137">
        <v>400</v>
      </c>
      <c r="J528" s="138">
        <v>400</v>
      </c>
      <c r="K528" s="101"/>
      <c r="L528" s="138">
        <v>50</v>
      </c>
      <c r="M528" s="118"/>
      <c r="Q528" s="141">
        <v>15.9408564814818</v>
      </c>
      <c r="R528" s="174"/>
    </row>
    <row r="529" spans="2:18">
      <c r="B529" s="176"/>
      <c r="C529" s="186"/>
      <c r="D529" s="172"/>
      <c r="E529" s="23">
        <v>1254</v>
      </c>
      <c r="F529" s="23">
        <f>DEMANDA_PREVISIÓN!E1258</f>
        <v>49</v>
      </c>
      <c r="G529" s="101"/>
      <c r="H529" s="23">
        <f t="shared" si="52"/>
        <v>6642</v>
      </c>
      <c r="I529" s="137">
        <v>400</v>
      </c>
      <c r="J529" s="138">
        <v>400</v>
      </c>
      <c r="K529" s="101"/>
      <c r="L529" s="138">
        <v>50</v>
      </c>
      <c r="M529" s="118"/>
      <c r="Q529" s="141">
        <v>15.950462962963201</v>
      </c>
      <c r="R529" s="174"/>
    </row>
    <row r="530" spans="2:18">
      <c r="B530" s="176"/>
      <c r="C530" s="186"/>
      <c r="D530" s="172"/>
      <c r="E530" s="23">
        <v>1255</v>
      </c>
      <c r="F530" s="23">
        <f>DEMANDA_PREVISIÓN!E1259</f>
        <v>37</v>
      </c>
      <c r="G530" s="101"/>
      <c r="H530" s="23">
        <f t="shared" si="52"/>
        <v>6605</v>
      </c>
      <c r="I530" s="137">
        <v>400</v>
      </c>
      <c r="J530" s="138">
        <v>400</v>
      </c>
      <c r="K530" s="101"/>
      <c r="L530" s="138">
        <v>50</v>
      </c>
      <c r="M530" s="118"/>
      <c r="Q530" s="141">
        <v>15.9600694444447</v>
      </c>
      <c r="R530" s="174"/>
    </row>
    <row r="531" spans="2:18">
      <c r="B531" s="176"/>
      <c r="C531" s="186"/>
      <c r="D531" s="172"/>
      <c r="E531" s="23">
        <v>1256</v>
      </c>
      <c r="F531" s="23">
        <f>DEMANDA_PREVISIÓN!E1260</f>
        <v>48</v>
      </c>
      <c r="G531" s="101"/>
      <c r="H531" s="137">
        <f>I530+H530</f>
        <v>7005</v>
      </c>
      <c r="I531" s="23"/>
      <c r="J531" s="138">
        <v>400</v>
      </c>
      <c r="K531" s="101"/>
      <c r="L531" s="138">
        <v>50</v>
      </c>
      <c r="M531" s="118"/>
      <c r="Q531" s="141">
        <v>15.9696759259262</v>
      </c>
      <c r="R531" s="174"/>
    </row>
    <row r="532" spans="2:18">
      <c r="B532" s="176"/>
      <c r="C532" s="186"/>
      <c r="D532" s="172"/>
      <c r="E532" s="23">
        <v>1257</v>
      </c>
      <c r="F532" s="23">
        <f>DEMANDA_PREVISIÓN!E1261</f>
        <v>44</v>
      </c>
      <c r="G532" s="101"/>
      <c r="H532" s="23">
        <f t="shared" ref="H532:H538" si="53">H531-F532</f>
        <v>6961</v>
      </c>
      <c r="I532" s="138">
        <v>400</v>
      </c>
      <c r="J532" s="138">
        <v>400</v>
      </c>
      <c r="K532" s="101"/>
      <c r="L532" s="138">
        <v>50</v>
      </c>
      <c r="M532" s="118"/>
      <c r="Q532" s="141">
        <v>15.9792824074077</v>
      </c>
      <c r="R532" s="174"/>
    </row>
    <row r="533" spans="2:18">
      <c r="B533" s="176"/>
      <c r="C533" s="186"/>
      <c r="D533" s="172"/>
      <c r="E533" s="23">
        <v>1258</v>
      </c>
      <c r="F533" s="23">
        <f>DEMANDA_PREVISIÓN!E1262</f>
        <v>42</v>
      </c>
      <c r="G533" s="101"/>
      <c r="H533" s="23">
        <f t="shared" si="53"/>
        <v>6919</v>
      </c>
      <c r="I533" s="138">
        <v>400</v>
      </c>
      <c r="J533" s="134">
        <v>400</v>
      </c>
      <c r="K533" s="101"/>
      <c r="L533" s="134">
        <v>50</v>
      </c>
      <c r="M533" s="118"/>
      <c r="Q533" s="141">
        <v>15.9888888888892</v>
      </c>
      <c r="R533" s="174"/>
    </row>
    <row r="534" spans="2:18">
      <c r="B534" s="176"/>
      <c r="C534" s="186"/>
      <c r="D534" s="172"/>
      <c r="E534" s="23">
        <v>1259</v>
      </c>
      <c r="F534" s="23">
        <f>DEMANDA_PREVISIÓN!E1263</f>
        <v>31</v>
      </c>
      <c r="G534" s="101"/>
      <c r="H534" s="23">
        <f t="shared" si="53"/>
        <v>6888</v>
      </c>
      <c r="I534" s="138">
        <v>400</v>
      </c>
      <c r="J534" s="134">
        <v>400</v>
      </c>
      <c r="K534" s="101"/>
      <c r="L534" s="134">
        <v>50</v>
      </c>
      <c r="M534" s="118"/>
      <c r="Q534" s="141">
        <v>15.9984953703707</v>
      </c>
      <c r="R534" s="174"/>
    </row>
    <row r="535" spans="2:18">
      <c r="B535" s="176"/>
      <c r="C535" s="186"/>
      <c r="D535" s="172"/>
      <c r="E535" s="23">
        <v>1260</v>
      </c>
      <c r="F535" s="23">
        <f>DEMANDA_PREVISIÓN!E1264</f>
        <v>42</v>
      </c>
      <c r="G535" s="101"/>
      <c r="H535" s="23">
        <f t="shared" si="53"/>
        <v>6846</v>
      </c>
      <c r="I535" s="138">
        <v>400</v>
      </c>
      <c r="J535" s="134">
        <v>400</v>
      </c>
      <c r="K535" s="101"/>
      <c r="L535" s="134">
        <v>50</v>
      </c>
      <c r="M535" s="118"/>
      <c r="Q535" s="141">
        <v>16.0081018518521</v>
      </c>
      <c r="R535" s="174">
        <v>6</v>
      </c>
    </row>
    <row r="536" spans="2:18">
      <c r="B536" s="176"/>
      <c r="C536" s="186"/>
      <c r="D536" s="172"/>
      <c r="E536" s="23">
        <v>1261</v>
      </c>
      <c r="F536" s="23">
        <f>DEMANDA_PREVISIÓN!E1265</f>
        <v>39</v>
      </c>
      <c r="G536" s="101"/>
      <c r="H536" s="23">
        <f t="shared" si="53"/>
        <v>6807</v>
      </c>
      <c r="I536" s="138">
        <v>400</v>
      </c>
      <c r="J536" s="134">
        <v>400</v>
      </c>
      <c r="K536" s="101"/>
      <c r="L536" s="134">
        <v>50</v>
      </c>
      <c r="M536" s="118"/>
      <c r="Q536" s="141">
        <v>16.017708333333601</v>
      </c>
      <c r="R536" s="174"/>
    </row>
    <row r="537" spans="2:18">
      <c r="B537" s="176"/>
      <c r="C537" s="186"/>
      <c r="D537" s="172"/>
      <c r="E537" s="23">
        <v>1262</v>
      </c>
      <c r="F537" s="23">
        <f>DEMANDA_PREVISIÓN!E1266</f>
        <v>38</v>
      </c>
      <c r="G537" s="101"/>
      <c r="H537" s="23">
        <f t="shared" si="53"/>
        <v>6769</v>
      </c>
      <c r="I537" s="138">
        <v>400</v>
      </c>
      <c r="J537" s="134">
        <v>400</v>
      </c>
      <c r="K537" s="101"/>
      <c r="L537" s="134">
        <v>50</v>
      </c>
      <c r="M537" s="118"/>
      <c r="Q537" s="141">
        <v>16.027314814815099</v>
      </c>
      <c r="R537" s="174"/>
    </row>
    <row r="538" spans="2:18">
      <c r="B538" s="176"/>
      <c r="C538" s="186"/>
      <c r="D538" s="172"/>
      <c r="E538" s="23">
        <v>1263</v>
      </c>
      <c r="F538" s="23">
        <f>DEMANDA_PREVISIÓN!E1267</f>
        <v>49</v>
      </c>
      <c r="G538" s="101"/>
      <c r="H538" s="23">
        <f t="shared" si="53"/>
        <v>6720</v>
      </c>
      <c r="I538" s="138">
        <v>400</v>
      </c>
      <c r="J538" s="134">
        <v>400</v>
      </c>
      <c r="K538" s="101"/>
      <c r="L538" s="134">
        <v>50</v>
      </c>
      <c r="M538" s="118"/>
      <c r="Q538" s="141">
        <v>16.036921296296601</v>
      </c>
      <c r="R538" s="174"/>
    </row>
    <row r="539" spans="2:18">
      <c r="B539" s="176"/>
      <c r="C539" s="186"/>
      <c r="D539" s="172"/>
      <c r="E539" s="23">
        <v>1264</v>
      </c>
      <c r="F539" s="23">
        <f>DEMANDA_PREVISIÓN!E1268</f>
        <v>34</v>
      </c>
      <c r="G539" s="101"/>
      <c r="H539" s="138">
        <f>I538+H538</f>
        <v>7120</v>
      </c>
      <c r="I539" s="23"/>
      <c r="J539" s="134">
        <v>400</v>
      </c>
      <c r="K539" s="101"/>
      <c r="L539" s="134">
        <v>50</v>
      </c>
      <c r="M539" s="118"/>
      <c r="Q539" s="141">
        <v>16.046527777778099</v>
      </c>
      <c r="R539" s="174"/>
    </row>
    <row r="540" spans="2:18">
      <c r="B540" s="176"/>
      <c r="C540" s="186"/>
      <c r="D540" s="172"/>
      <c r="E540" s="23">
        <v>1265</v>
      </c>
      <c r="F540" s="23">
        <f>DEMANDA_PREVISIÓN!E1269</f>
        <v>47</v>
      </c>
      <c r="G540" s="101"/>
      <c r="H540" s="23">
        <f t="shared" ref="H540:H546" si="54">H539-F540</f>
        <v>7073</v>
      </c>
      <c r="I540" s="134">
        <v>400</v>
      </c>
      <c r="J540" s="134">
        <v>400</v>
      </c>
      <c r="K540" s="101"/>
      <c r="L540" s="134">
        <v>50</v>
      </c>
      <c r="M540" s="118"/>
      <c r="Q540" s="141">
        <v>16.056134259259501</v>
      </c>
      <c r="R540" s="174"/>
    </row>
    <row r="541" spans="2:18">
      <c r="B541" s="176"/>
      <c r="C541" s="186"/>
      <c r="D541" s="172"/>
      <c r="E541" s="23">
        <v>1266</v>
      </c>
      <c r="F541" s="23">
        <f>DEMANDA_PREVISIÓN!E1270</f>
        <v>49</v>
      </c>
      <c r="G541" s="101"/>
      <c r="H541" s="23">
        <f t="shared" si="54"/>
        <v>7024</v>
      </c>
      <c r="I541" s="134">
        <v>400</v>
      </c>
      <c r="J541" s="128">
        <v>400</v>
      </c>
      <c r="K541" s="101"/>
      <c r="L541" s="128">
        <v>50</v>
      </c>
      <c r="M541" s="118"/>
      <c r="Q541" s="141">
        <v>16.065740740740999</v>
      </c>
      <c r="R541" s="174"/>
    </row>
    <row r="542" spans="2:18">
      <c r="B542" s="176"/>
      <c r="C542" s="186"/>
      <c r="D542" s="172"/>
      <c r="E542" s="23">
        <v>1267</v>
      </c>
      <c r="F542" s="23">
        <f>DEMANDA_PREVISIÓN!E1271</f>
        <v>47</v>
      </c>
      <c r="G542" s="101"/>
      <c r="H542" s="23">
        <f t="shared" si="54"/>
        <v>6977</v>
      </c>
      <c r="I542" s="134">
        <v>400</v>
      </c>
      <c r="J542" s="128">
        <v>400</v>
      </c>
      <c r="K542" s="101"/>
      <c r="L542" s="128">
        <v>50</v>
      </c>
      <c r="M542" s="118"/>
      <c r="Q542" s="141">
        <v>16.075347222222501</v>
      </c>
      <c r="R542" s="174"/>
    </row>
    <row r="543" spans="2:18">
      <c r="B543" s="176"/>
      <c r="C543" s="186"/>
      <c r="D543" s="172"/>
      <c r="E543" s="23">
        <v>1268</v>
      </c>
      <c r="F543" s="23">
        <f>DEMANDA_PREVISIÓN!E1272</f>
        <v>42</v>
      </c>
      <c r="G543" s="101"/>
      <c r="H543" s="23">
        <f t="shared" si="54"/>
        <v>6935</v>
      </c>
      <c r="I543" s="134">
        <v>400</v>
      </c>
      <c r="J543" s="128">
        <v>400</v>
      </c>
      <c r="K543" s="101"/>
      <c r="L543" s="128">
        <v>50</v>
      </c>
      <c r="M543" s="118"/>
      <c r="Q543" s="141">
        <v>16.084953703703999</v>
      </c>
      <c r="R543" s="174"/>
    </row>
    <row r="544" spans="2:18">
      <c r="B544" s="176"/>
      <c r="C544" s="186"/>
      <c r="D544" s="172"/>
      <c r="E544" s="23">
        <v>1269</v>
      </c>
      <c r="F544" s="23">
        <f>DEMANDA_PREVISIÓN!E1273</f>
        <v>39</v>
      </c>
      <c r="G544" s="101"/>
      <c r="H544" s="23">
        <f t="shared" si="54"/>
        <v>6896</v>
      </c>
      <c r="I544" s="134">
        <v>400</v>
      </c>
      <c r="J544" s="128">
        <v>400</v>
      </c>
      <c r="K544" s="101"/>
      <c r="L544" s="128">
        <v>50</v>
      </c>
      <c r="M544" s="118"/>
      <c r="Q544" s="141">
        <v>16.0945601851855</v>
      </c>
      <c r="R544" s="174"/>
    </row>
    <row r="545" spans="2:18">
      <c r="B545" s="176"/>
      <c r="C545" s="186"/>
      <c r="D545" s="172"/>
      <c r="E545" s="23">
        <v>1270</v>
      </c>
      <c r="F545" s="23">
        <f>DEMANDA_PREVISIÓN!E1274</f>
        <v>49</v>
      </c>
      <c r="G545" s="101"/>
      <c r="H545" s="23">
        <f t="shared" si="54"/>
        <v>6847</v>
      </c>
      <c r="I545" s="134">
        <v>400</v>
      </c>
      <c r="J545" s="128">
        <v>400</v>
      </c>
      <c r="K545" s="101"/>
      <c r="L545" s="128">
        <v>50</v>
      </c>
      <c r="M545" s="118"/>
      <c r="Q545" s="141">
        <v>16.104166666666998</v>
      </c>
      <c r="R545" s="174"/>
    </row>
    <row r="546" spans="2:18">
      <c r="B546" s="176"/>
      <c r="C546" s="186"/>
      <c r="D546" s="172"/>
      <c r="E546" s="23">
        <v>1271</v>
      </c>
      <c r="F546" s="23">
        <f>DEMANDA_PREVISIÓN!E1275</f>
        <v>43</v>
      </c>
      <c r="G546" s="101"/>
      <c r="H546" s="23">
        <f t="shared" si="54"/>
        <v>6804</v>
      </c>
      <c r="I546" s="134">
        <v>400</v>
      </c>
      <c r="J546" s="128">
        <v>400</v>
      </c>
      <c r="K546" s="101"/>
      <c r="L546" s="128">
        <v>50</v>
      </c>
      <c r="M546" s="118"/>
      <c r="Q546" s="141">
        <v>16.1137731481484</v>
      </c>
      <c r="R546" s="174"/>
    </row>
    <row r="547" spans="2:18">
      <c r="B547" s="176"/>
      <c r="C547" s="186"/>
      <c r="D547" s="172"/>
      <c r="E547" s="23">
        <v>1272</v>
      </c>
      <c r="F547" s="23">
        <f>DEMANDA_PREVISIÓN!E1276</f>
        <v>44</v>
      </c>
      <c r="G547" s="101"/>
      <c r="H547" s="134">
        <f>I546+H546</f>
        <v>7204</v>
      </c>
      <c r="I547" s="23"/>
      <c r="J547" s="128">
        <v>400</v>
      </c>
      <c r="K547" s="101"/>
      <c r="L547" s="128">
        <v>50</v>
      </c>
      <c r="M547" s="118"/>
      <c r="Q547" s="141">
        <v>16.123379629629898</v>
      </c>
      <c r="R547" s="174"/>
    </row>
    <row r="548" spans="2:18">
      <c r="B548" s="176"/>
      <c r="C548" s="186"/>
      <c r="D548" s="172"/>
      <c r="E548" s="23">
        <v>1273</v>
      </c>
      <c r="F548" s="23">
        <f>DEMANDA_PREVISIÓN!E1277</f>
        <v>37</v>
      </c>
      <c r="G548" s="101"/>
      <c r="H548" s="23">
        <f>H547-F548</f>
        <v>7167</v>
      </c>
      <c r="I548" s="128">
        <v>400</v>
      </c>
      <c r="J548" s="128">
        <v>400</v>
      </c>
      <c r="K548" s="101"/>
      <c r="L548" s="128">
        <v>50</v>
      </c>
      <c r="M548" s="118"/>
      <c r="Q548" s="141">
        <v>16.1329861111114</v>
      </c>
      <c r="R548" s="174"/>
    </row>
    <row r="549" spans="2:18">
      <c r="B549" s="176"/>
      <c r="C549" s="186"/>
      <c r="D549" s="172"/>
      <c r="E549" s="23">
        <v>1274</v>
      </c>
      <c r="F549" s="23">
        <f>DEMANDA_PREVISIÓN!E1278</f>
        <v>40</v>
      </c>
      <c r="G549" s="101"/>
      <c r="H549" s="23">
        <f>H548-F549</f>
        <v>7127</v>
      </c>
      <c r="I549" s="128">
        <v>400</v>
      </c>
      <c r="J549" s="129">
        <v>400</v>
      </c>
      <c r="K549" s="101"/>
      <c r="L549" s="129">
        <v>50</v>
      </c>
      <c r="M549" s="118"/>
      <c r="Q549" s="141">
        <v>16.142592592592901</v>
      </c>
      <c r="R549" s="174"/>
    </row>
    <row r="550" spans="2:18">
      <c r="B550" s="176"/>
      <c r="C550" s="186"/>
      <c r="D550" s="172"/>
      <c r="E550" s="23">
        <v>1275</v>
      </c>
      <c r="F550" s="23">
        <f>DEMANDA_PREVISIÓN!E1279</f>
        <v>41</v>
      </c>
      <c r="G550" s="101"/>
      <c r="H550" s="23">
        <f>H549-F550</f>
        <v>7086</v>
      </c>
      <c r="I550" s="128">
        <v>400</v>
      </c>
      <c r="J550" s="129">
        <v>400</v>
      </c>
      <c r="K550" s="101"/>
      <c r="L550" s="129">
        <v>50</v>
      </c>
      <c r="M550" s="118"/>
      <c r="Q550" s="141">
        <v>16.152199074074399</v>
      </c>
      <c r="R550" s="174"/>
    </row>
    <row r="551" spans="2:18">
      <c r="B551" s="176"/>
      <c r="C551" s="186"/>
      <c r="D551" s="173"/>
      <c r="E551" s="23">
        <v>1276</v>
      </c>
      <c r="F551" s="23">
        <f>DEMANDA_PREVISIÓN!E1280</f>
        <v>43</v>
      </c>
      <c r="G551" s="101"/>
      <c r="H551" s="23">
        <f>H550-F551</f>
        <v>7043</v>
      </c>
      <c r="I551" s="128">
        <v>400</v>
      </c>
      <c r="J551" s="129">
        <v>400</v>
      </c>
      <c r="K551" s="101"/>
      <c r="L551" s="129">
        <v>50</v>
      </c>
      <c r="M551" s="118"/>
      <c r="Q551" s="141">
        <v>16.161805555555802</v>
      </c>
      <c r="R551" s="174"/>
    </row>
    <row r="552" spans="2:18">
      <c r="B552" s="176"/>
      <c r="C552" s="174" t="s">
        <v>48</v>
      </c>
      <c r="D552" s="171" t="s">
        <v>49</v>
      </c>
      <c r="E552" s="23">
        <v>1277</v>
      </c>
      <c r="F552" s="23">
        <f>DEMANDA_PREVISIÓN!E1281</f>
        <v>38</v>
      </c>
      <c r="G552" s="101"/>
      <c r="H552" s="23">
        <f t="shared" ref="H552:H554" si="55">H551-F552</f>
        <v>7005</v>
      </c>
      <c r="I552" s="128">
        <v>400</v>
      </c>
      <c r="J552" s="129">
        <v>400</v>
      </c>
      <c r="K552" s="101"/>
      <c r="L552" s="129">
        <v>50</v>
      </c>
      <c r="M552" s="118"/>
      <c r="Q552" s="141">
        <v>16.1714120370373</v>
      </c>
      <c r="R552" s="174"/>
    </row>
    <row r="553" spans="2:18">
      <c r="B553" s="176"/>
      <c r="C553" s="174"/>
      <c r="D553" s="172"/>
      <c r="E553" s="23">
        <v>1278</v>
      </c>
      <c r="F553" s="23">
        <f>DEMANDA_PREVISIÓN!E1282</f>
        <v>34</v>
      </c>
      <c r="G553" s="101"/>
      <c r="H553" s="23">
        <f t="shared" si="55"/>
        <v>6971</v>
      </c>
      <c r="I553" s="128">
        <v>400</v>
      </c>
      <c r="J553" s="129">
        <v>400</v>
      </c>
      <c r="K553" s="101"/>
      <c r="L553" s="129">
        <v>50</v>
      </c>
      <c r="M553" s="118"/>
      <c r="Q553" s="141">
        <v>16.181018518518801</v>
      </c>
      <c r="R553" s="174"/>
    </row>
    <row r="554" spans="2:18">
      <c r="B554" s="176"/>
      <c r="C554" s="174"/>
      <c r="D554" s="172"/>
      <c r="E554" s="23">
        <v>1279</v>
      </c>
      <c r="F554" s="23">
        <f>DEMANDA_PREVISIÓN!E1283</f>
        <v>47</v>
      </c>
      <c r="G554" s="101"/>
      <c r="H554" s="23">
        <f t="shared" si="55"/>
        <v>6924</v>
      </c>
      <c r="I554" s="128">
        <v>400</v>
      </c>
      <c r="J554" s="129">
        <v>400</v>
      </c>
      <c r="K554" s="101"/>
      <c r="L554" s="129">
        <v>50</v>
      </c>
      <c r="M554" s="118"/>
      <c r="Q554" s="141">
        <v>16.190625000000299</v>
      </c>
      <c r="R554" s="174"/>
    </row>
    <row r="555" spans="2:18">
      <c r="B555" s="176"/>
      <c r="C555" s="174"/>
      <c r="D555" s="172"/>
      <c r="E555" s="23">
        <v>1280</v>
      </c>
      <c r="F555" s="23">
        <f>DEMANDA_PREVISIÓN!E1284</f>
        <v>36</v>
      </c>
      <c r="G555" s="101"/>
      <c r="H555" s="128">
        <f>I554+H554</f>
        <v>7324</v>
      </c>
      <c r="J555" s="129">
        <v>400</v>
      </c>
      <c r="K555" s="47"/>
      <c r="L555" s="129">
        <v>50</v>
      </c>
      <c r="M555" s="118"/>
      <c r="Q555" s="141">
        <v>16.200231481481801</v>
      </c>
      <c r="R555" s="174"/>
    </row>
    <row r="556" spans="2:18">
      <c r="B556" s="176"/>
      <c r="C556" s="174"/>
      <c r="D556" s="172"/>
      <c r="E556" s="23">
        <v>1281</v>
      </c>
      <c r="F556" s="23">
        <f>DEMANDA_PREVISIÓN!E1285</f>
        <v>34</v>
      </c>
      <c r="G556" s="101"/>
      <c r="H556" s="23">
        <f t="shared" ref="H556:H562" si="56">H555-F556</f>
        <v>7290</v>
      </c>
      <c r="I556" s="129">
        <v>400</v>
      </c>
      <c r="J556" s="129">
        <v>400</v>
      </c>
      <c r="K556" s="101"/>
      <c r="L556" s="129">
        <v>50</v>
      </c>
      <c r="M556" s="118"/>
      <c r="Q556" s="141">
        <v>16.209837962963299</v>
      </c>
      <c r="R556" s="174"/>
    </row>
    <row r="557" spans="2:18">
      <c r="B557" s="176"/>
      <c r="C557" s="174"/>
      <c r="D557" s="172"/>
      <c r="E557" s="23">
        <v>1282</v>
      </c>
      <c r="F557" s="23">
        <f>DEMANDA_PREVISIÓN!E1286</f>
        <v>34</v>
      </c>
      <c r="G557" s="101"/>
      <c r="H557" s="23">
        <f t="shared" si="56"/>
        <v>7256</v>
      </c>
      <c r="I557" s="129">
        <v>400</v>
      </c>
      <c r="J557" s="137">
        <v>400</v>
      </c>
      <c r="K557" s="101"/>
      <c r="L557" s="137">
        <v>50</v>
      </c>
      <c r="M557" s="118"/>
      <c r="Q557" s="141">
        <v>16.219444444444701</v>
      </c>
      <c r="R557" s="174"/>
    </row>
    <row r="558" spans="2:18">
      <c r="B558" s="176"/>
      <c r="C558" s="174"/>
      <c r="D558" s="172"/>
      <c r="E558" s="23">
        <v>1283</v>
      </c>
      <c r="F558" s="23">
        <f>DEMANDA_PREVISIÓN!E1287</f>
        <v>38</v>
      </c>
      <c r="G558" s="101"/>
      <c r="H558" s="23">
        <f t="shared" si="56"/>
        <v>7218</v>
      </c>
      <c r="I558" s="129">
        <v>400</v>
      </c>
      <c r="J558" s="137">
        <v>400</v>
      </c>
      <c r="K558" s="101"/>
      <c r="L558" s="137">
        <v>50</v>
      </c>
      <c r="M558" s="118"/>
      <c r="Q558" s="141">
        <v>16.229050925926199</v>
      </c>
      <c r="R558" s="174"/>
    </row>
    <row r="559" spans="2:18">
      <c r="B559" s="176"/>
      <c r="C559" s="174"/>
      <c r="D559" s="172"/>
      <c r="E559" s="23">
        <v>1284</v>
      </c>
      <c r="F559" s="23">
        <f>DEMANDA_PREVISIÓN!E1288</f>
        <v>38</v>
      </c>
      <c r="G559" s="101"/>
      <c r="H559" s="23">
        <f t="shared" si="56"/>
        <v>7180</v>
      </c>
      <c r="I559" s="129">
        <v>400</v>
      </c>
      <c r="J559" s="137">
        <v>400</v>
      </c>
      <c r="K559" s="101"/>
      <c r="L559" s="137">
        <v>50</v>
      </c>
      <c r="M559" s="118"/>
      <c r="Q559" s="141">
        <v>16.2386574074077</v>
      </c>
      <c r="R559" s="174"/>
    </row>
    <row r="560" spans="2:18">
      <c r="B560" s="176"/>
      <c r="C560" s="174"/>
      <c r="D560" s="172"/>
      <c r="E560" s="23">
        <v>1285</v>
      </c>
      <c r="F560" s="23">
        <f>DEMANDA_PREVISIÓN!E1289</f>
        <v>36</v>
      </c>
      <c r="G560" s="101"/>
      <c r="H560" s="23">
        <f t="shared" si="56"/>
        <v>7144</v>
      </c>
      <c r="I560" s="129">
        <v>400</v>
      </c>
      <c r="J560" s="137">
        <v>400</v>
      </c>
      <c r="K560" s="101"/>
      <c r="L560" s="137">
        <v>50</v>
      </c>
      <c r="M560" s="118"/>
      <c r="Q560" s="141">
        <v>16.248263888889198</v>
      </c>
      <c r="R560" s="174"/>
    </row>
    <row r="561" spans="2:18">
      <c r="B561" s="176"/>
      <c r="C561" s="174"/>
      <c r="D561" s="172"/>
      <c r="E561" s="23">
        <v>1286</v>
      </c>
      <c r="F561" s="23">
        <f>DEMANDA_PREVISIÓN!E1290</f>
        <v>41</v>
      </c>
      <c r="G561" s="101"/>
      <c r="H561" s="23">
        <f t="shared" si="56"/>
        <v>7103</v>
      </c>
      <c r="I561" s="129">
        <v>400</v>
      </c>
      <c r="J561" s="137">
        <v>400</v>
      </c>
      <c r="K561" s="101"/>
      <c r="L561" s="137">
        <v>50</v>
      </c>
      <c r="M561" s="118"/>
      <c r="Q561" s="141">
        <v>16.2578703703707</v>
      </c>
      <c r="R561" s="174"/>
    </row>
    <row r="562" spans="2:18">
      <c r="B562" s="176"/>
      <c r="C562" s="174"/>
      <c r="D562" s="172"/>
      <c r="E562" s="23">
        <v>1287</v>
      </c>
      <c r="F562" s="23">
        <f>DEMANDA_PREVISIÓN!E1291</f>
        <v>40</v>
      </c>
      <c r="G562" s="101"/>
      <c r="H562" s="23">
        <f t="shared" si="56"/>
        <v>7063</v>
      </c>
      <c r="I562" s="129">
        <v>400</v>
      </c>
      <c r="J562" s="137">
        <v>400</v>
      </c>
      <c r="K562" s="101"/>
      <c r="L562" s="137">
        <v>50</v>
      </c>
      <c r="M562" s="118"/>
      <c r="Q562" s="141">
        <v>16.267476851852201</v>
      </c>
      <c r="R562" s="174"/>
    </row>
    <row r="563" spans="2:18">
      <c r="B563" s="176"/>
      <c r="C563" s="174"/>
      <c r="D563" s="172"/>
      <c r="E563" s="23">
        <v>1288</v>
      </c>
      <c r="F563" s="23">
        <f>DEMANDA_PREVISIÓN!E1292</f>
        <v>35</v>
      </c>
      <c r="G563" s="101"/>
      <c r="H563" s="129">
        <f>I562+H562</f>
        <v>7463</v>
      </c>
      <c r="I563" s="23"/>
      <c r="J563" s="137">
        <v>400</v>
      </c>
      <c r="K563" s="101"/>
      <c r="L563" s="137">
        <v>50</v>
      </c>
      <c r="M563" s="118"/>
      <c r="Q563" s="141">
        <v>16.2770833333336</v>
      </c>
      <c r="R563" s="174"/>
    </row>
    <row r="564" spans="2:18">
      <c r="B564" s="176"/>
      <c r="C564" s="174"/>
      <c r="D564" s="172"/>
      <c r="E564" s="23">
        <v>1289</v>
      </c>
      <c r="F564" s="23">
        <f>DEMANDA_PREVISIÓN!E1293</f>
        <v>40</v>
      </c>
      <c r="G564" s="101"/>
      <c r="H564" s="23">
        <f t="shared" ref="H564:H570" si="57">H563-F564</f>
        <v>7423</v>
      </c>
      <c r="I564" s="137">
        <v>400</v>
      </c>
      <c r="J564" s="137">
        <v>400</v>
      </c>
      <c r="K564" s="101"/>
      <c r="L564" s="137">
        <v>50</v>
      </c>
      <c r="M564" s="118"/>
      <c r="Q564" s="141">
        <v>16.286689814815102</v>
      </c>
      <c r="R564" s="174"/>
    </row>
    <row r="565" spans="2:18">
      <c r="B565" s="176"/>
      <c r="C565" s="174"/>
      <c r="D565" s="172"/>
      <c r="E565" s="23">
        <v>1290</v>
      </c>
      <c r="F565" s="23">
        <f>DEMANDA_PREVISIÓN!E1294</f>
        <v>29</v>
      </c>
      <c r="G565" s="101"/>
      <c r="H565" s="23">
        <f t="shared" si="57"/>
        <v>7394</v>
      </c>
      <c r="I565" s="137">
        <v>400</v>
      </c>
      <c r="J565" s="138">
        <v>400</v>
      </c>
      <c r="K565" s="101"/>
      <c r="L565" s="138">
        <v>50</v>
      </c>
      <c r="M565" s="118"/>
      <c r="Q565" s="141">
        <v>16.2962962962966</v>
      </c>
      <c r="R565" s="174"/>
    </row>
    <row r="566" spans="2:18">
      <c r="B566" s="176"/>
      <c r="C566" s="174"/>
      <c r="D566" s="172"/>
      <c r="E566" s="23">
        <v>1291</v>
      </c>
      <c r="F566" s="23">
        <f>DEMANDA_PREVISIÓN!E1295</f>
        <v>50</v>
      </c>
      <c r="G566" s="101"/>
      <c r="H566" s="23">
        <f t="shared" si="57"/>
        <v>7344</v>
      </c>
      <c r="I566" s="137">
        <v>400</v>
      </c>
      <c r="J566" s="138">
        <v>400</v>
      </c>
      <c r="K566" s="101"/>
      <c r="L566" s="138">
        <v>50</v>
      </c>
      <c r="M566" s="118"/>
      <c r="Q566" s="141">
        <v>16.305902777778101</v>
      </c>
      <c r="R566" s="174"/>
    </row>
    <row r="567" spans="2:18">
      <c r="B567" s="176"/>
      <c r="C567" s="174"/>
      <c r="D567" s="172"/>
      <c r="E567" s="23">
        <v>1292</v>
      </c>
      <c r="F567" s="23">
        <f>DEMANDA_PREVISIÓN!E1296</f>
        <v>40</v>
      </c>
      <c r="G567" s="101"/>
      <c r="H567" s="23">
        <f t="shared" si="57"/>
        <v>7304</v>
      </c>
      <c r="I567" s="137">
        <v>400</v>
      </c>
      <c r="J567" s="138">
        <v>400</v>
      </c>
      <c r="K567" s="101"/>
      <c r="L567" s="138">
        <v>50</v>
      </c>
      <c r="M567" s="118"/>
      <c r="Q567" s="141">
        <v>16.315509259259599</v>
      </c>
      <c r="R567" s="174"/>
    </row>
    <row r="568" spans="2:18">
      <c r="B568" s="176"/>
      <c r="C568" s="174"/>
      <c r="D568" s="172"/>
      <c r="E568" s="23">
        <v>1293</v>
      </c>
      <c r="F568" s="23">
        <f>DEMANDA_PREVISIÓN!E1297</f>
        <v>34</v>
      </c>
      <c r="G568" s="101"/>
      <c r="H568" s="23">
        <f t="shared" si="57"/>
        <v>7270</v>
      </c>
      <c r="I568" s="137">
        <v>400</v>
      </c>
      <c r="J568" s="138">
        <v>400</v>
      </c>
      <c r="K568" s="101"/>
      <c r="L568" s="138">
        <v>50</v>
      </c>
      <c r="M568" s="118"/>
      <c r="Q568" s="141">
        <v>16.325115740741001</v>
      </c>
      <c r="R568" s="174"/>
    </row>
    <row r="569" spans="2:18">
      <c r="B569" s="176"/>
      <c r="C569" s="174"/>
      <c r="D569" s="172"/>
      <c r="E569" s="23">
        <v>1294</v>
      </c>
      <c r="F569" s="23">
        <f>DEMANDA_PREVISIÓN!E1298</f>
        <v>27</v>
      </c>
      <c r="G569" s="101"/>
      <c r="H569" s="23">
        <f t="shared" si="57"/>
        <v>7243</v>
      </c>
      <c r="I569" s="137">
        <v>400</v>
      </c>
      <c r="J569" s="138">
        <v>400</v>
      </c>
      <c r="K569" s="101"/>
      <c r="L569" s="138">
        <v>50</v>
      </c>
      <c r="M569" s="118"/>
      <c r="Q569" s="141">
        <v>16.334722222222499</v>
      </c>
      <c r="R569" s="174"/>
    </row>
    <row r="570" spans="2:18">
      <c r="B570" s="176"/>
      <c r="C570" s="174"/>
      <c r="D570" s="172"/>
      <c r="E570" s="23">
        <v>1295</v>
      </c>
      <c r="F570" s="23">
        <f>DEMANDA_PREVISIÓN!E1299</f>
        <v>39</v>
      </c>
      <c r="G570" s="101"/>
      <c r="H570" s="23">
        <f t="shared" si="57"/>
        <v>7204</v>
      </c>
      <c r="I570" s="137">
        <v>400</v>
      </c>
      <c r="J570" s="138">
        <v>400</v>
      </c>
      <c r="K570" s="101"/>
      <c r="L570" s="138">
        <v>50</v>
      </c>
      <c r="M570" s="118"/>
      <c r="Q570" s="141">
        <v>16.344328703704001</v>
      </c>
      <c r="R570" s="174"/>
    </row>
    <row r="571" spans="2:18">
      <c r="B571" s="176"/>
      <c r="C571" s="174"/>
      <c r="D571" s="172"/>
      <c r="E571" s="23">
        <v>1296</v>
      </c>
      <c r="F571" s="23">
        <f>DEMANDA_PREVISIÓN!E1300</f>
        <v>47</v>
      </c>
      <c r="G571" s="101"/>
      <c r="H571" s="137">
        <f>I570+H570</f>
        <v>7604</v>
      </c>
      <c r="I571" s="23"/>
      <c r="J571" s="138">
        <v>400</v>
      </c>
      <c r="K571" s="101"/>
      <c r="L571" s="138">
        <v>50</v>
      </c>
      <c r="M571" s="118"/>
      <c r="Q571" s="141">
        <v>16.353935185185499</v>
      </c>
      <c r="R571" s="174"/>
    </row>
    <row r="572" spans="2:18">
      <c r="B572" s="176"/>
      <c r="C572" s="174"/>
      <c r="D572" s="172"/>
      <c r="E572" s="23">
        <v>1297</v>
      </c>
      <c r="F572" s="23">
        <f>DEMANDA_PREVISIÓN!E1301</f>
        <v>42</v>
      </c>
      <c r="G572" s="101"/>
      <c r="H572" s="23">
        <f t="shared" ref="H572:H578" si="58">H571-F572</f>
        <v>7562</v>
      </c>
      <c r="I572" s="138">
        <v>400</v>
      </c>
      <c r="J572" s="138">
        <v>400</v>
      </c>
      <c r="K572" s="101"/>
      <c r="L572" s="138">
        <v>50</v>
      </c>
      <c r="M572" s="118"/>
      <c r="Q572" s="141">
        <v>16.363541666667</v>
      </c>
      <c r="R572" s="174"/>
    </row>
    <row r="573" spans="2:18">
      <c r="B573" s="176"/>
      <c r="C573" s="174"/>
      <c r="D573" s="172"/>
      <c r="E573" s="23">
        <v>1298</v>
      </c>
      <c r="F573" s="23">
        <f>DEMANDA_PREVISIÓN!E1302</f>
        <v>33</v>
      </c>
      <c r="G573" s="101"/>
      <c r="H573" s="23">
        <f t="shared" si="58"/>
        <v>7529</v>
      </c>
      <c r="I573" s="138">
        <v>400</v>
      </c>
      <c r="J573" s="134">
        <v>400</v>
      </c>
      <c r="K573" s="101"/>
      <c r="L573" s="134">
        <v>50</v>
      </c>
      <c r="M573" s="118"/>
      <c r="Q573" s="141">
        <v>16.373148148148498</v>
      </c>
      <c r="R573" s="174"/>
    </row>
    <row r="574" spans="2:18">
      <c r="B574" s="176"/>
      <c r="C574" s="174"/>
      <c r="D574" s="172"/>
      <c r="E574" s="23">
        <v>1299</v>
      </c>
      <c r="F574" s="23">
        <f>DEMANDA_PREVISIÓN!E1303</f>
        <v>44</v>
      </c>
      <c r="G574" s="101"/>
      <c r="H574" s="23">
        <f t="shared" si="58"/>
        <v>7485</v>
      </c>
      <c r="I574" s="138">
        <v>400</v>
      </c>
      <c r="J574" s="134">
        <v>400</v>
      </c>
      <c r="K574" s="101"/>
      <c r="L574" s="134">
        <v>50</v>
      </c>
      <c r="M574" s="118"/>
      <c r="Q574" s="141">
        <v>16.3827546296299</v>
      </c>
      <c r="R574" s="174"/>
    </row>
    <row r="575" spans="2:18">
      <c r="B575" s="176"/>
      <c r="C575" s="174"/>
      <c r="D575" s="172"/>
      <c r="E575" s="23">
        <v>1300</v>
      </c>
      <c r="F575" s="23">
        <f>DEMANDA_PREVISIÓN!E1304</f>
        <v>44</v>
      </c>
      <c r="G575" s="101"/>
      <c r="H575" s="23">
        <f t="shared" si="58"/>
        <v>7441</v>
      </c>
      <c r="I575" s="138">
        <v>400</v>
      </c>
      <c r="J575" s="134">
        <v>400</v>
      </c>
      <c r="K575" s="101"/>
      <c r="L575" s="134">
        <v>50</v>
      </c>
      <c r="M575" s="118"/>
      <c r="Q575" s="141">
        <v>16.392361111111398</v>
      </c>
      <c r="R575" s="174"/>
    </row>
    <row r="576" spans="2:18">
      <c r="B576" s="176"/>
      <c r="C576" s="174"/>
      <c r="D576" s="172"/>
      <c r="E576" s="23">
        <v>1301</v>
      </c>
      <c r="F576" s="23">
        <f>DEMANDA_PREVISIÓN!E1305</f>
        <v>37</v>
      </c>
      <c r="G576" s="101"/>
      <c r="H576" s="23">
        <f t="shared" si="58"/>
        <v>7404</v>
      </c>
      <c r="I576" s="138">
        <v>400</v>
      </c>
      <c r="J576" s="134">
        <v>400</v>
      </c>
      <c r="K576" s="101"/>
      <c r="L576" s="134">
        <v>50</v>
      </c>
      <c r="M576" s="118"/>
      <c r="Q576" s="141">
        <v>16.4019675925929</v>
      </c>
      <c r="R576" s="174"/>
    </row>
    <row r="577" spans="2:18">
      <c r="B577" s="176"/>
      <c r="C577" s="174"/>
      <c r="D577" s="172"/>
      <c r="E577" s="23">
        <v>1302</v>
      </c>
      <c r="F577" s="23">
        <f>DEMANDA_PREVISIÓN!E1306</f>
        <v>29</v>
      </c>
      <c r="G577" s="101"/>
      <c r="H577" s="23">
        <f t="shared" si="58"/>
        <v>7375</v>
      </c>
      <c r="I577" s="138">
        <v>400</v>
      </c>
      <c r="J577" s="134">
        <v>400</v>
      </c>
      <c r="K577" s="101"/>
      <c r="L577" s="134">
        <v>50</v>
      </c>
      <c r="M577" s="118"/>
      <c r="Q577" s="141">
        <v>16.411574074074402</v>
      </c>
      <c r="R577" s="174"/>
    </row>
    <row r="578" spans="2:18">
      <c r="B578" s="176"/>
      <c r="C578" s="174"/>
      <c r="D578" s="172"/>
      <c r="E578" s="23">
        <v>1303</v>
      </c>
      <c r="F578" s="23">
        <f>DEMANDA_PREVISIÓN!E1307</f>
        <v>40</v>
      </c>
      <c r="G578" s="101"/>
      <c r="H578" s="23">
        <f t="shared" si="58"/>
        <v>7335</v>
      </c>
      <c r="I578" s="138">
        <v>400</v>
      </c>
      <c r="J578" s="134">
        <v>400</v>
      </c>
      <c r="K578" s="101"/>
      <c r="L578" s="134">
        <v>50</v>
      </c>
      <c r="M578" s="118"/>
      <c r="Q578" s="141">
        <v>16.4211805555559</v>
      </c>
      <c r="R578" s="174"/>
    </row>
    <row r="579" spans="2:18">
      <c r="B579" s="176"/>
      <c r="C579" s="174"/>
      <c r="D579" s="172"/>
      <c r="E579" s="23">
        <v>1304</v>
      </c>
      <c r="F579" s="23">
        <f>DEMANDA_PREVISIÓN!E1308</f>
        <v>31</v>
      </c>
      <c r="G579" s="101"/>
      <c r="H579" s="138">
        <f>I578+H578</f>
        <v>7735</v>
      </c>
      <c r="I579" s="23"/>
      <c r="J579" s="134">
        <v>400</v>
      </c>
      <c r="K579" s="101"/>
      <c r="L579" s="134">
        <v>50</v>
      </c>
      <c r="M579" s="118"/>
      <c r="Q579" s="141">
        <v>16.430787037037302</v>
      </c>
      <c r="R579" s="174"/>
    </row>
    <row r="580" spans="2:18">
      <c r="B580" s="176"/>
      <c r="C580" s="174"/>
      <c r="D580" s="172"/>
      <c r="E580" s="23">
        <v>1305</v>
      </c>
      <c r="F580" s="23">
        <f>DEMANDA_PREVISIÓN!E1309</f>
        <v>25</v>
      </c>
      <c r="G580" s="101"/>
      <c r="H580" s="23">
        <f t="shared" ref="H580:H586" si="59">H579-F580</f>
        <v>7710</v>
      </c>
      <c r="I580" s="134">
        <v>400</v>
      </c>
      <c r="J580" s="134">
        <v>400</v>
      </c>
      <c r="K580" s="101"/>
      <c r="L580" s="134">
        <v>50</v>
      </c>
      <c r="M580" s="118"/>
      <c r="Q580" s="141">
        <v>16.4403935185188</v>
      </c>
      <c r="R580" s="174"/>
    </row>
    <row r="581" spans="2:18">
      <c r="B581" s="176"/>
      <c r="C581" s="174"/>
      <c r="D581" s="172"/>
      <c r="E581" s="23">
        <v>1306</v>
      </c>
      <c r="F581" s="23">
        <f>DEMANDA_PREVISIÓN!E1310</f>
        <v>39</v>
      </c>
      <c r="G581" s="101"/>
      <c r="H581" s="23">
        <f t="shared" si="59"/>
        <v>7671</v>
      </c>
      <c r="I581" s="134">
        <v>400</v>
      </c>
      <c r="J581" s="128">
        <v>400</v>
      </c>
      <c r="K581" s="101"/>
      <c r="L581" s="128">
        <v>50</v>
      </c>
      <c r="M581" s="118"/>
      <c r="Q581" s="141">
        <v>16.450000000000301</v>
      </c>
      <c r="R581" s="174"/>
    </row>
    <row r="582" spans="2:18">
      <c r="B582" s="176"/>
      <c r="C582" s="174"/>
      <c r="D582" s="173"/>
      <c r="E582" s="23">
        <v>1307</v>
      </c>
      <c r="F582" s="23">
        <f>DEMANDA_PREVISIÓN!E1311</f>
        <v>33</v>
      </c>
      <c r="G582" s="101"/>
      <c r="H582" s="23">
        <f t="shared" si="59"/>
        <v>7638</v>
      </c>
      <c r="I582" s="134">
        <v>400</v>
      </c>
      <c r="J582" s="128">
        <v>400</v>
      </c>
      <c r="K582" s="101"/>
      <c r="L582" s="128">
        <v>50</v>
      </c>
      <c r="M582" s="118"/>
      <c r="Q582" s="141">
        <v>16.459606481481799</v>
      </c>
      <c r="R582" s="174"/>
    </row>
    <row r="583" spans="2:18">
      <c r="B583" s="176"/>
      <c r="C583" s="174"/>
      <c r="D583" s="171" t="s">
        <v>50</v>
      </c>
      <c r="E583" s="23">
        <v>1308</v>
      </c>
      <c r="F583" s="23">
        <f>DEMANDA_PREVISIÓN!E1312</f>
        <v>30</v>
      </c>
      <c r="G583" s="101"/>
      <c r="H583" s="23">
        <f t="shared" si="59"/>
        <v>7608</v>
      </c>
      <c r="I583" s="134">
        <v>400</v>
      </c>
      <c r="J583" s="128">
        <v>400</v>
      </c>
      <c r="K583" s="101"/>
      <c r="L583" s="128">
        <v>50</v>
      </c>
      <c r="M583" s="118"/>
      <c r="Q583" s="141">
        <v>16.469212962963301</v>
      </c>
      <c r="R583" s="174"/>
    </row>
    <row r="584" spans="2:18">
      <c r="B584" s="176"/>
      <c r="C584" s="174"/>
      <c r="D584" s="172"/>
      <c r="E584" s="23">
        <v>1309</v>
      </c>
      <c r="F584" s="23">
        <f>DEMANDA_PREVISIÓN!E1313</f>
        <v>42</v>
      </c>
      <c r="G584" s="101"/>
      <c r="H584" s="23">
        <f t="shared" si="59"/>
        <v>7566</v>
      </c>
      <c r="I584" s="134">
        <v>400</v>
      </c>
      <c r="J584" s="128">
        <v>400</v>
      </c>
      <c r="K584" s="101"/>
      <c r="L584" s="128">
        <v>50</v>
      </c>
      <c r="M584" s="118"/>
      <c r="Q584" s="141">
        <v>16.478819444444799</v>
      </c>
      <c r="R584" s="174"/>
    </row>
    <row r="585" spans="2:18">
      <c r="B585" s="176"/>
      <c r="C585" s="174"/>
      <c r="D585" s="172"/>
      <c r="E585" s="23">
        <v>1310</v>
      </c>
      <c r="F585" s="23">
        <f>DEMANDA_PREVISIÓN!E1314</f>
        <v>27</v>
      </c>
      <c r="G585" s="101"/>
      <c r="H585" s="23">
        <f t="shared" si="59"/>
        <v>7539</v>
      </c>
      <c r="I585" s="134">
        <v>400</v>
      </c>
      <c r="J585" s="128">
        <v>400</v>
      </c>
      <c r="K585" s="101"/>
      <c r="L585" s="128">
        <v>50</v>
      </c>
      <c r="M585" s="118"/>
      <c r="Q585" s="141">
        <v>16.488425925926201</v>
      </c>
      <c r="R585" s="174"/>
    </row>
    <row r="586" spans="2:18">
      <c r="B586" s="176"/>
      <c r="C586" s="174"/>
      <c r="D586" s="172"/>
      <c r="E586" s="23">
        <v>1311</v>
      </c>
      <c r="F586" s="23">
        <f>DEMANDA_PREVISIÓN!E1315</f>
        <v>39</v>
      </c>
      <c r="G586" s="101"/>
      <c r="H586" s="23">
        <f t="shared" si="59"/>
        <v>7500</v>
      </c>
      <c r="I586" s="134">
        <v>400</v>
      </c>
      <c r="J586" s="128">
        <v>400</v>
      </c>
      <c r="K586" s="101"/>
      <c r="L586" s="128">
        <v>50</v>
      </c>
      <c r="M586" s="118"/>
      <c r="Q586" s="141">
        <v>16.498032407407699</v>
      </c>
      <c r="R586" s="174"/>
    </row>
    <row r="587" spans="2:18">
      <c r="B587" s="176"/>
      <c r="C587" s="174"/>
      <c r="D587" s="172"/>
      <c r="E587" s="23">
        <v>1312</v>
      </c>
      <c r="F587" s="23">
        <f>DEMANDA_PREVISIÓN!E1316</f>
        <v>39</v>
      </c>
      <c r="G587" s="101"/>
      <c r="H587" s="134">
        <f>I586+H586</f>
        <v>7900</v>
      </c>
      <c r="I587" s="23"/>
      <c r="J587" s="128">
        <v>400</v>
      </c>
      <c r="K587" s="101"/>
      <c r="L587" s="128">
        <v>50</v>
      </c>
      <c r="M587" s="118"/>
      <c r="Q587" s="141">
        <v>16.507638888889201</v>
      </c>
      <c r="R587" s="174"/>
    </row>
    <row r="588" spans="2:18">
      <c r="B588" s="176"/>
      <c r="C588" s="174"/>
      <c r="D588" s="172"/>
      <c r="E588" s="23">
        <v>1313</v>
      </c>
      <c r="F588" s="23">
        <f>DEMANDA_PREVISIÓN!E1317</f>
        <v>39</v>
      </c>
      <c r="G588" s="101"/>
      <c r="H588" s="23">
        <f>H587-F588</f>
        <v>7861</v>
      </c>
      <c r="I588" s="128">
        <v>400</v>
      </c>
      <c r="J588" s="128">
        <v>400</v>
      </c>
      <c r="K588" s="101"/>
      <c r="L588" s="128">
        <v>50</v>
      </c>
      <c r="M588" s="118"/>
      <c r="Q588" s="141">
        <v>16.517245370370699</v>
      </c>
      <c r="R588" s="174"/>
    </row>
    <row r="589" spans="2:18">
      <c r="B589" s="176"/>
      <c r="C589" s="174"/>
      <c r="D589" s="172"/>
      <c r="E589" s="23">
        <v>1314</v>
      </c>
      <c r="F589" s="23">
        <f>DEMANDA_PREVISIÓN!E1318</f>
        <v>43</v>
      </c>
      <c r="G589" s="101"/>
      <c r="H589" s="23">
        <f>H588-F589</f>
        <v>7818</v>
      </c>
      <c r="I589" s="128">
        <v>400</v>
      </c>
      <c r="J589" s="129">
        <v>400</v>
      </c>
      <c r="K589" s="101"/>
      <c r="L589" s="129">
        <v>50</v>
      </c>
      <c r="M589" s="118"/>
      <c r="Q589" s="141">
        <v>16.5268518518522</v>
      </c>
      <c r="R589" s="174"/>
    </row>
    <row r="590" spans="2:18">
      <c r="B590" s="176"/>
      <c r="C590" s="174"/>
      <c r="D590" s="172"/>
      <c r="E590" s="23">
        <v>1315</v>
      </c>
      <c r="F590" s="23">
        <f>DEMANDA_PREVISIÓN!E1319</f>
        <v>36</v>
      </c>
      <c r="G590" s="101"/>
      <c r="H590" s="23">
        <f>H589-F590</f>
        <v>7782</v>
      </c>
      <c r="I590" s="128">
        <v>400</v>
      </c>
      <c r="J590" s="129">
        <v>400</v>
      </c>
      <c r="K590" s="101"/>
      <c r="L590" s="129">
        <v>50</v>
      </c>
      <c r="M590" s="118"/>
      <c r="Q590" s="141">
        <v>16.536458333333599</v>
      </c>
      <c r="R590" s="174"/>
    </row>
    <row r="591" spans="2:18">
      <c r="B591" s="176"/>
      <c r="C591" s="174"/>
      <c r="D591" s="172"/>
      <c r="E591" s="23">
        <v>1316</v>
      </c>
      <c r="F591" s="23">
        <f>DEMANDA_PREVISIÓN!E1320</f>
        <v>33</v>
      </c>
      <c r="G591" s="101"/>
      <c r="H591" s="23">
        <f>H590-F591</f>
        <v>7749</v>
      </c>
      <c r="I591" s="128">
        <v>400</v>
      </c>
      <c r="J591" s="129">
        <v>400</v>
      </c>
      <c r="K591" s="101"/>
      <c r="L591" s="129">
        <v>50</v>
      </c>
      <c r="M591" s="118"/>
      <c r="Q591" s="141">
        <v>16.5460648148151</v>
      </c>
      <c r="R591" s="174"/>
    </row>
    <row r="592" spans="2:18">
      <c r="B592" s="176"/>
      <c r="C592" s="174"/>
      <c r="D592" s="172"/>
      <c r="E592" s="23">
        <v>1317</v>
      </c>
      <c r="F592" s="23">
        <f>DEMANDA_PREVISIÓN!E1321</f>
        <v>29</v>
      </c>
      <c r="G592" s="101"/>
      <c r="H592" s="23">
        <f t="shared" ref="H592:H594" si="60">H591-F592</f>
        <v>7720</v>
      </c>
      <c r="I592" s="128">
        <v>400</v>
      </c>
      <c r="J592" s="129">
        <v>400</v>
      </c>
      <c r="K592" s="101"/>
      <c r="L592" s="129">
        <v>50</v>
      </c>
      <c r="M592" s="118"/>
      <c r="Q592" s="141">
        <v>16.555671296296602</v>
      </c>
      <c r="R592" s="174"/>
    </row>
    <row r="593" spans="2:18">
      <c r="B593" s="176"/>
      <c r="C593" s="174"/>
      <c r="D593" s="172"/>
      <c r="E593" s="23">
        <v>1318</v>
      </c>
      <c r="F593" s="23">
        <f>DEMANDA_PREVISIÓN!E1322</f>
        <v>31</v>
      </c>
      <c r="G593" s="101"/>
      <c r="H593" s="23">
        <f t="shared" si="60"/>
        <v>7689</v>
      </c>
      <c r="I593" s="128">
        <v>400</v>
      </c>
      <c r="J593" s="129">
        <v>400</v>
      </c>
      <c r="K593" s="101"/>
      <c r="L593" s="129">
        <v>50</v>
      </c>
      <c r="M593" s="118"/>
      <c r="Q593" s="141">
        <v>16.5652777777781</v>
      </c>
      <c r="R593" s="174"/>
    </row>
    <row r="594" spans="2:18">
      <c r="B594" s="176"/>
      <c r="C594" s="174"/>
      <c r="D594" s="172"/>
      <c r="E594" s="23">
        <v>1319</v>
      </c>
      <c r="F594" s="23">
        <f>DEMANDA_PREVISIÓN!E1323</f>
        <v>34</v>
      </c>
      <c r="G594" s="101"/>
      <c r="H594" s="23">
        <f t="shared" si="60"/>
        <v>7655</v>
      </c>
      <c r="I594" s="128">
        <v>400</v>
      </c>
      <c r="J594" s="129">
        <v>400</v>
      </c>
      <c r="K594" s="101"/>
      <c r="L594" s="129">
        <v>50</v>
      </c>
      <c r="M594" s="118"/>
      <c r="Q594" s="141">
        <v>16.574884259259601</v>
      </c>
      <c r="R594" s="174"/>
    </row>
    <row r="595" spans="2:18">
      <c r="B595" s="176"/>
      <c r="C595" s="174"/>
      <c r="D595" s="172"/>
      <c r="E595" s="23">
        <v>1320</v>
      </c>
      <c r="F595" s="23">
        <f>DEMANDA_PREVISIÓN!E1324</f>
        <v>32</v>
      </c>
      <c r="G595" s="101"/>
      <c r="H595" s="128">
        <f>I594+H594</f>
        <v>8055</v>
      </c>
      <c r="J595" s="129">
        <v>400</v>
      </c>
      <c r="K595" s="47"/>
      <c r="L595" s="129">
        <v>50</v>
      </c>
      <c r="M595" s="118"/>
      <c r="Q595" s="141">
        <v>16.584490740741099</v>
      </c>
      <c r="R595" s="174"/>
    </row>
    <row r="596" spans="2:18">
      <c r="B596" s="176"/>
      <c r="C596" s="174"/>
      <c r="D596" s="172"/>
      <c r="E596" s="23">
        <v>1321</v>
      </c>
      <c r="F596" s="23">
        <f>DEMANDA_PREVISIÓN!E1325</f>
        <v>50</v>
      </c>
      <c r="G596" s="101"/>
      <c r="H596" s="23">
        <f t="shared" ref="H596:H602" si="61">H595-F596</f>
        <v>8005</v>
      </c>
      <c r="I596" s="129">
        <v>400</v>
      </c>
      <c r="J596" s="129">
        <v>400</v>
      </c>
      <c r="K596" s="101"/>
      <c r="L596" s="129">
        <v>50</v>
      </c>
      <c r="M596" s="118"/>
      <c r="Q596" s="141">
        <v>16.594097222222501</v>
      </c>
      <c r="R596" s="174"/>
    </row>
    <row r="597" spans="2:18">
      <c r="B597" s="176"/>
      <c r="C597" s="174"/>
      <c r="D597" s="172"/>
      <c r="E597" s="23">
        <v>1322</v>
      </c>
      <c r="F597" s="23">
        <f>DEMANDA_PREVISIÓN!E1326</f>
        <v>37</v>
      </c>
      <c r="G597" s="101"/>
      <c r="H597" s="23">
        <f t="shared" si="61"/>
        <v>7968</v>
      </c>
      <c r="I597" s="129">
        <v>400</v>
      </c>
      <c r="J597" s="137">
        <v>400</v>
      </c>
      <c r="K597" s="101"/>
      <c r="L597" s="137">
        <v>50</v>
      </c>
      <c r="M597" s="118"/>
      <c r="Q597" s="141">
        <v>16.603703703703999</v>
      </c>
      <c r="R597" s="174"/>
    </row>
    <row r="598" spans="2:18">
      <c r="B598" s="176"/>
      <c r="C598" s="174"/>
      <c r="D598" s="172"/>
      <c r="E598" s="23">
        <v>1323</v>
      </c>
      <c r="F598" s="23">
        <f>DEMANDA_PREVISIÓN!E1327</f>
        <v>32</v>
      </c>
      <c r="G598" s="101"/>
      <c r="H598" s="23">
        <f t="shared" si="61"/>
        <v>7936</v>
      </c>
      <c r="I598" s="129">
        <v>400</v>
      </c>
      <c r="J598" s="137">
        <v>400</v>
      </c>
      <c r="K598" s="101"/>
      <c r="L598" s="137">
        <v>50</v>
      </c>
      <c r="M598" s="118"/>
      <c r="Q598" s="141">
        <v>16.613310185185501</v>
      </c>
      <c r="R598" s="174"/>
    </row>
    <row r="599" spans="2:18">
      <c r="B599" s="176"/>
      <c r="C599" s="174"/>
      <c r="D599" s="172"/>
      <c r="E599" s="23">
        <v>1324</v>
      </c>
      <c r="F599" s="23">
        <f>DEMANDA_PREVISIÓN!E1328</f>
        <v>30</v>
      </c>
      <c r="G599" s="101"/>
      <c r="H599" s="23">
        <f t="shared" si="61"/>
        <v>7906</v>
      </c>
      <c r="I599" s="129">
        <v>400</v>
      </c>
      <c r="J599" s="137">
        <v>400</v>
      </c>
      <c r="K599" s="101"/>
      <c r="L599" s="137">
        <v>50</v>
      </c>
      <c r="M599" s="118"/>
      <c r="Q599" s="141">
        <v>16.622916666666999</v>
      </c>
      <c r="R599" s="174"/>
    </row>
    <row r="600" spans="2:18">
      <c r="B600" s="176"/>
      <c r="C600" s="174"/>
      <c r="D600" s="172"/>
      <c r="E600" s="23">
        <v>1325</v>
      </c>
      <c r="F600" s="23">
        <f>DEMANDA_PREVISIÓN!E1329</f>
        <v>39</v>
      </c>
      <c r="G600" s="101"/>
      <c r="H600" s="23">
        <f t="shared" si="61"/>
        <v>7867</v>
      </c>
      <c r="I600" s="129">
        <v>400</v>
      </c>
      <c r="J600" s="137">
        <v>400</v>
      </c>
      <c r="K600" s="101"/>
      <c r="L600" s="137">
        <v>50</v>
      </c>
      <c r="M600" s="118"/>
      <c r="Q600" s="141">
        <v>16.632523148148501</v>
      </c>
      <c r="R600" s="174"/>
    </row>
    <row r="601" spans="2:18">
      <c r="B601" s="176"/>
      <c r="C601" s="174"/>
      <c r="D601" s="172"/>
      <c r="E601" s="23">
        <v>1326</v>
      </c>
      <c r="F601" s="23">
        <f>DEMANDA_PREVISIÓN!E1330</f>
        <v>41</v>
      </c>
      <c r="G601" s="101"/>
      <c r="H601" s="23">
        <f t="shared" si="61"/>
        <v>7826</v>
      </c>
      <c r="I601" s="129">
        <v>400</v>
      </c>
      <c r="J601" s="137">
        <v>400</v>
      </c>
      <c r="K601" s="101"/>
      <c r="L601" s="137">
        <v>50</v>
      </c>
      <c r="M601" s="118"/>
      <c r="Q601" s="141">
        <v>16.642129629629899</v>
      </c>
      <c r="R601" s="174"/>
    </row>
    <row r="602" spans="2:18">
      <c r="B602" s="176"/>
      <c r="C602" s="174"/>
      <c r="D602" s="172"/>
      <c r="E602" s="23">
        <v>1327</v>
      </c>
      <c r="F602" s="23">
        <f>DEMANDA_PREVISIÓN!E1331</f>
        <v>34</v>
      </c>
      <c r="G602" s="101"/>
      <c r="H602" s="23">
        <f t="shared" si="61"/>
        <v>7792</v>
      </c>
      <c r="I602" s="129">
        <v>400</v>
      </c>
      <c r="J602" s="137">
        <v>400</v>
      </c>
      <c r="K602" s="101"/>
      <c r="L602" s="137">
        <v>50</v>
      </c>
      <c r="M602" s="118"/>
      <c r="Q602" s="141">
        <v>16.651736111111401</v>
      </c>
      <c r="R602" s="174"/>
    </row>
    <row r="603" spans="2:18">
      <c r="B603" s="176"/>
      <c r="C603" s="174"/>
      <c r="D603" s="172"/>
      <c r="E603" s="23">
        <v>1328</v>
      </c>
      <c r="F603" s="23">
        <f>DEMANDA_PREVISIÓN!E1332</f>
        <v>35</v>
      </c>
      <c r="G603" s="101"/>
      <c r="H603" s="129">
        <f>I602+H602</f>
        <v>8192</v>
      </c>
      <c r="I603" s="23"/>
      <c r="J603" s="137">
        <v>400</v>
      </c>
      <c r="K603" s="101"/>
      <c r="L603" s="137">
        <v>50</v>
      </c>
      <c r="M603" s="118"/>
      <c r="Q603" s="141">
        <v>16.661342592592899</v>
      </c>
      <c r="R603" s="174"/>
    </row>
    <row r="604" spans="2:18">
      <c r="B604" s="176"/>
      <c r="C604" s="174"/>
      <c r="D604" s="172"/>
      <c r="E604" s="23">
        <v>1329</v>
      </c>
      <c r="F604" s="23">
        <f>DEMANDA_PREVISIÓN!E1333</f>
        <v>34</v>
      </c>
      <c r="G604" s="101"/>
      <c r="H604" s="23">
        <f t="shared" ref="H604:H610" si="62">H603-F604</f>
        <v>8158</v>
      </c>
      <c r="I604" s="137">
        <v>400</v>
      </c>
      <c r="J604" s="137">
        <v>400</v>
      </c>
      <c r="K604" s="101"/>
      <c r="L604" s="137">
        <v>50</v>
      </c>
      <c r="M604" s="118"/>
      <c r="Q604" s="141">
        <v>16.6709490740744</v>
      </c>
      <c r="R604" s="174"/>
    </row>
    <row r="605" spans="2:18">
      <c r="B605" s="176"/>
      <c r="C605" s="174"/>
      <c r="D605" s="172"/>
      <c r="E605" s="23">
        <v>1330</v>
      </c>
      <c r="F605" s="23">
        <f>DEMANDA_PREVISIÓN!E1334</f>
        <v>33</v>
      </c>
      <c r="G605" s="101"/>
      <c r="H605" s="23">
        <f t="shared" si="62"/>
        <v>8125</v>
      </c>
      <c r="I605" s="137">
        <v>400</v>
      </c>
      <c r="J605" s="138">
        <v>400</v>
      </c>
      <c r="K605" s="101"/>
      <c r="L605" s="138">
        <v>50</v>
      </c>
      <c r="M605" s="118"/>
      <c r="Q605" s="141">
        <v>16.680555555555902</v>
      </c>
      <c r="R605" s="174"/>
    </row>
    <row r="606" spans="2:18">
      <c r="B606" s="176"/>
      <c r="C606" s="174"/>
      <c r="D606" s="172"/>
      <c r="E606" s="23">
        <v>1331</v>
      </c>
      <c r="F606" s="23">
        <f>DEMANDA_PREVISIÓN!E1335</f>
        <v>40</v>
      </c>
      <c r="G606" s="101"/>
      <c r="H606" s="23">
        <f t="shared" si="62"/>
        <v>8085</v>
      </c>
      <c r="I606" s="137">
        <v>400</v>
      </c>
      <c r="J606" s="138">
        <v>400</v>
      </c>
      <c r="K606" s="101"/>
      <c r="L606" s="138">
        <v>50</v>
      </c>
      <c r="M606" s="118"/>
      <c r="Q606" s="141">
        <v>16.6901620370374</v>
      </c>
      <c r="R606" s="174"/>
    </row>
    <row r="607" spans="2:18">
      <c r="B607" s="176"/>
      <c r="C607" s="174"/>
      <c r="D607" s="172"/>
      <c r="E607" s="23">
        <v>1332</v>
      </c>
      <c r="F607" s="23">
        <f>DEMANDA_PREVISIÓN!E1336</f>
        <v>32</v>
      </c>
      <c r="G607" s="101"/>
      <c r="H607" s="23">
        <f t="shared" si="62"/>
        <v>8053</v>
      </c>
      <c r="I607" s="137">
        <v>400</v>
      </c>
      <c r="J607" s="138">
        <v>400</v>
      </c>
      <c r="K607" s="101"/>
      <c r="L607" s="138">
        <v>50</v>
      </c>
      <c r="M607" s="118"/>
      <c r="Q607" s="141">
        <v>16.699768518518798</v>
      </c>
      <c r="R607" s="174"/>
    </row>
    <row r="608" spans="2:18">
      <c r="B608" s="176"/>
      <c r="C608" s="174"/>
      <c r="D608" s="172"/>
      <c r="E608" s="23">
        <v>1333</v>
      </c>
      <c r="F608" s="23">
        <f>DEMANDA_PREVISIÓN!E1337</f>
        <v>34</v>
      </c>
      <c r="G608" s="101"/>
      <c r="H608" s="23">
        <f t="shared" si="62"/>
        <v>8019</v>
      </c>
      <c r="I608" s="137">
        <v>400</v>
      </c>
      <c r="J608" s="138">
        <v>400</v>
      </c>
      <c r="K608" s="101"/>
      <c r="L608" s="138">
        <v>50</v>
      </c>
      <c r="M608" s="118"/>
      <c r="Q608" s="141">
        <v>16.7093750000003</v>
      </c>
      <c r="R608" s="174"/>
    </row>
    <row r="609" spans="2:18">
      <c r="B609" s="176"/>
      <c r="C609" s="174"/>
      <c r="D609" s="172"/>
      <c r="E609" s="23">
        <v>1334</v>
      </c>
      <c r="F609" s="23">
        <f>DEMANDA_PREVISIÓN!E1338</f>
        <v>30</v>
      </c>
      <c r="G609" s="101"/>
      <c r="H609" s="23">
        <f t="shared" si="62"/>
        <v>7989</v>
      </c>
      <c r="I609" s="137">
        <v>400</v>
      </c>
      <c r="J609" s="138">
        <v>400</v>
      </c>
      <c r="K609" s="101"/>
      <c r="L609" s="138">
        <v>50</v>
      </c>
      <c r="M609" s="118"/>
      <c r="Q609" s="141">
        <v>16.718981481481801</v>
      </c>
      <c r="R609" s="174"/>
    </row>
    <row r="610" spans="2:18">
      <c r="B610" s="176"/>
      <c r="C610" s="174"/>
      <c r="D610" s="172"/>
      <c r="E610" s="23">
        <v>1335</v>
      </c>
      <c r="F610" s="23">
        <f>DEMANDA_PREVISIÓN!E1339</f>
        <v>36</v>
      </c>
      <c r="G610" s="101"/>
      <c r="H610" s="23">
        <f t="shared" si="62"/>
        <v>7953</v>
      </c>
      <c r="I610" s="137">
        <v>400</v>
      </c>
      <c r="J610" s="138">
        <v>400</v>
      </c>
      <c r="K610" s="101"/>
      <c r="L610" s="138">
        <v>50</v>
      </c>
      <c r="M610" s="118"/>
      <c r="Q610" s="141">
        <v>16.728587962963299</v>
      </c>
      <c r="R610" s="174"/>
    </row>
    <row r="611" spans="2:18">
      <c r="B611" s="176"/>
      <c r="C611" s="174"/>
      <c r="D611" s="172"/>
      <c r="E611" s="23">
        <v>1336</v>
      </c>
      <c r="F611" s="23">
        <f>DEMANDA_PREVISIÓN!E1340</f>
        <v>31</v>
      </c>
      <c r="G611" s="101"/>
      <c r="H611" s="137">
        <f>I610+H610</f>
        <v>8353</v>
      </c>
      <c r="I611" s="23"/>
      <c r="J611" s="138">
        <v>400</v>
      </c>
      <c r="K611" s="101"/>
      <c r="L611" s="138">
        <v>50</v>
      </c>
      <c r="M611" s="118"/>
      <c r="Q611" s="141">
        <v>16.738194444444801</v>
      </c>
      <c r="R611" s="174"/>
    </row>
    <row r="612" spans="2:18">
      <c r="B612" s="176"/>
      <c r="C612" s="174"/>
      <c r="D612" s="172"/>
      <c r="E612" s="23">
        <v>1337</v>
      </c>
      <c r="F612" s="23">
        <f>DEMANDA_PREVISIÓN!E1341</f>
        <v>38</v>
      </c>
      <c r="G612" s="101"/>
      <c r="H612" s="23">
        <f t="shared" ref="H612:H618" si="63">H611-F612</f>
        <v>8315</v>
      </c>
      <c r="I612" s="138">
        <v>400</v>
      </c>
      <c r="J612" s="138">
        <v>400</v>
      </c>
      <c r="K612" s="101"/>
      <c r="L612" s="138">
        <v>50</v>
      </c>
      <c r="M612" s="118"/>
      <c r="Q612" s="141">
        <v>16.747800925926299</v>
      </c>
      <c r="R612" s="174"/>
    </row>
    <row r="613" spans="2:18">
      <c r="B613" s="176"/>
      <c r="C613" s="174"/>
      <c r="D613" s="173"/>
      <c r="E613" s="23">
        <v>1338</v>
      </c>
      <c r="F613" s="23">
        <f>DEMANDA_PREVISIÓN!E1342</f>
        <v>40</v>
      </c>
      <c r="G613" s="101"/>
      <c r="H613" s="23">
        <f t="shared" si="63"/>
        <v>8275</v>
      </c>
      <c r="I613" s="138">
        <v>400</v>
      </c>
      <c r="J613" s="134">
        <v>400</v>
      </c>
      <c r="K613" s="101"/>
      <c r="L613" s="134">
        <v>50</v>
      </c>
      <c r="M613" s="118"/>
      <c r="Q613" s="141">
        <v>16.757407407407701</v>
      </c>
      <c r="R613" s="174"/>
    </row>
    <row r="614" spans="2:18">
      <c r="B614" s="176"/>
      <c r="C614" s="174"/>
      <c r="D614" s="171" t="s">
        <v>51</v>
      </c>
      <c r="E614" s="23">
        <v>1339</v>
      </c>
      <c r="F614" s="23">
        <f>DEMANDA_PREVISIÓN!E1343</f>
        <v>26</v>
      </c>
      <c r="G614" s="101"/>
      <c r="H614" s="23">
        <f t="shared" si="63"/>
        <v>8249</v>
      </c>
      <c r="I614" s="138">
        <v>400</v>
      </c>
      <c r="J614" s="134">
        <v>400</v>
      </c>
      <c r="K614" s="101"/>
      <c r="L614" s="134">
        <v>50</v>
      </c>
      <c r="M614" s="118"/>
      <c r="Q614" s="141">
        <v>16.767013888889199</v>
      </c>
      <c r="R614" s="174"/>
    </row>
    <row r="615" spans="2:18">
      <c r="B615" s="176"/>
      <c r="C615" s="174"/>
      <c r="D615" s="172"/>
      <c r="E615" s="23">
        <v>1340</v>
      </c>
      <c r="F615" s="23">
        <f>DEMANDA_PREVISIÓN!E1344</f>
        <v>34</v>
      </c>
      <c r="G615" s="101"/>
      <c r="H615" s="23">
        <f t="shared" si="63"/>
        <v>8215</v>
      </c>
      <c r="I615" s="138">
        <v>400</v>
      </c>
      <c r="J615" s="134">
        <v>400</v>
      </c>
      <c r="K615" s="101"/>
      <c r="L615" s="134">
        <v>50</v>
      </c>
      <c r="M615" s="118"/>
      <c r="Q615" s="141">
        <v>16.776620370370701</v>
      </c>
      <c r="R615" s="174"/>
    </row>
    <row r="616" spans="2:18">
      <c r="B616" s="176"/>
      <c r="C616" s="174"/>
      <c r="D616" s="172"/>
      <c r="E616" s="23">
        <v>1341</v>
      </c>
      <c r="F616" s="23">
        <f>DEMANDA_PREVISIÓN!E1345</f>
        <v>23</v>
      </c>
      <c r="G616" s="101"/>
      <c r="H616" s="23">
        <f t="shared" si="63"/>
        <v>8192</v>
      </c>
      <c r="I616" s="138">
        <v>400</v>
      </c>
      <c r="J616" s="134">
        <v>400</v>
      </c>
      <c r="K616" s="101"/>
      <c r="L616" s="134">
        <v>50</v>
      </c>
      <c r="M616" s="118"/>
      <c r="Q616" s="141">
        <v>16.786226851852199</v>
      </c>
      <c r="R616" s="174"/>
    </row>
    <row r="617" spans="2:18">
      <c r="B617" s="176"/>
      <c r="C617" s="174"/>
      <c r="D617" s="172"/>
      <c r="E617" s="23">
        <v>1342</v>
      </c>
      <c r="F617" s="23">
        <f>DEMANDA_PREVISIÓN!E1346</f>
        <v>29</v>
      </c>
      <c r="G617" s="101"/>
      <c r="H617" s="23">
        <f t="shared" si="63"/>
        <v>8163</v>
      </c>
      <c r="I617" s="138">
        <v>400</v>
      </c>
      <c r="J617" s="134">
        <v>400</v>
      </c>
      <c r="K617" s="101"/>
      <c r="L617" s="134">
        <v>50</v>
      </c>
      <c r="M617" s="118"/>
      <c r="Q617" s="141">
        <v>16.7958333333337</v>
      </c>
      <c r="R617" s="174"/>
    </row>
    <row r="618" spans="2:18">
      <c r="B618" s="176"/>
      <c r="C618" s="174"/>
      <c r="D618" s="172"/>
      <c r="E618" s="23">
        <v>1343</v>
      </c>
      <c r="F618" s="23">
        <f>DEMANDA_PREVISIÓN!E1347</f>
        <v>30</v>
      </c>
      <c r="G618" s="101"/>
      <c r="H618" s="23">
        <f t="shared" si="63"/>
        <v>8133</v>
      </c>
      <c r="I618" s="138">
        <v>400</v>
      </c>
      <c r="J618" s="134">
        <v>400</v>
      </c>
      <c r="K618" s="101"/>
      <c r="L618" s="134">
        <v>50</v>
      </c>
      <c r="M618" s="118"/>
      <c r="Q618" s="141">
        <v>16.805439814815099</v>
      </c>
      <c r="R618" s="174"/>
    </row>
    <row r="619" spans="2:18">
      <c r="B619" s="176"/>
      <c r="C619" s="174"/>
      <c r="D619" s="172"/>
      <c r="E619" s="23">
        <v>1344</v>
      </c>
      <c r="F619" s="23">
        <f>DEMANDA_PREVISIÓN!E1348</f>
        <v>34</v>
      </c>
      <c r="G619" s="101"/>
      <c r="H619" s="138">
        <f>I618+H618</f>
        <v>8533</v>
      </c>
      <c r="I619" s="23"/>
      <c r="J619" s="134">
        <v>400</v>
      </c>
      <c r="K619" s="101"/>
      <c r="L619" s="134">
        <v>50</v>
      </c>
      <c r="M619" s="118"/>
      <c r="Q619" s="141">
        <v>16.8150462962966</v>
      </c>
      <c r="R619" s="174"/>
    </row>
    <row r="620" spans="2:18">
      <c r="B620" s="176"/>
      <c r="C620" s="174"/>
      <c r="D620" s="172"/>
      <c r="E620" s="23">
        <v>1345</v>
      </c>
      <c r="F620" s="23">
        <f>DEMANDA_PREVISIÓN!E1349</f>
        <v>29</v>
      </c>
      <c r="G620" s="101"/>
      <c r="H620" s="23">
        <f t="shared" ref="H620:H626" si="64">H619-F620</f>
        <v>8504</v>
      </c>
      <c r="I620" s="134">
        <v>400</v>
      </c>
      <c r="J620" s="134">
        <v>400</v>
      </c>
      <c r="K620" s="101"/>
      <c r="L620" s="134">
        <v>50</v>
      </c>
      <c r="M620" s="118"/>
      <c r="Q620" s="141">
        <v>16.824652777778098</v>
      </c>
      <c r="R620" s="174"/>
    </row>
    <row r="621" spans="2:18">
      <c r="B621" s="176"/>
      <c r="C621" s="174"/>
      <c r="D621" s="172"/>
      <c r="E621" s="23">
        <v>1346</v>
      </c>
      <c r="F621" s="23">
        <f>DEMANDA_PREVISIÓN!E1350</f>
        <v>35</v>
      </c>
      <c r="G621" s="101"/>
      <c r="H621" s="23">
        <f t="shared" si="64"/>
        <v>8469</v>
      </c>
      <c r="I621" s="134">
        <v>400</v>
      </c>
      <c r="J621" s="128">
        <v>400</v>
      </c>
      <c r="K621" s="101"/>
      <c r="L621" s="128">
        <v>50</v>
      </c>
      <c r="M621" s="118"/>
      <c r="Q621" s="141">
        <v>16.8342592592596</v>
      </c>
      <c r="R621" s="174"/>
    </row>
    <row r="622" spans="2:18">
      <c r="B622" s="176"/>
      <c r="C622" s="174"/>
      <c r="D622" s="172"/>
      <c r="E622" s="23">
        <v>1347</v>
      </c>
      <c r="F622" s="23">
        <f>DEMANDA_PREVISIÓN!E1351</f>
        <v>39</v>
      </c>
      <c r="G622" s="101"/>
      <c r="H622" s="23">
        <f t="shared" si="64"/>
        <v>8430</v>
      </c>
      <c r="I622" s="134">
        <v>400</v>
      </c>
      <c r="J622" s="128">
        <v>400</v>
      </c>
      <c r="K622" s="101"/>
      <c r="L622" s="128">
        <v>50</v>
      </c>
      <c r="M622" s="118"/>
      <c r="Q622" s="141">
        <v>16.843865740741101</v>
      </c>
      <c r="R622" s="174"/>
    </row>
    <row r="623" spans="2:18">
      <c r="B623" s="176"/>
      <c r="C623" s="174"/>
      <c r="D623" s="172"/>
      <c r="E623" s="23">
        <v>1348</v>
      </c>
      <c r="F623" s="23">
        <f>DEMANDA_PREVISIÓN!E1352</f>
        <v>20</v>
      </c>
      <c r="G623" s="101"/>
      <c r="H623" s="23">
        <f t="shared" si="64"/>
        <v>8410</v>
      </c>
      <c r="I623" s="134">
        <v>400</v>
      </c>
      <c r="J623" s="128">
        <v>400</v>
      </c>
      <c r="K623" s="101"/>
      <c r="L623" s="128">
        <v>50</v>
      </c>
      <c r="M623" s="118"/>
      <c r="Q623" s="141">
        <v>16.853472222222599</v>
      </c>
      <c r="R623" s="174"/>
    </row>
    <row r="624" spans="2:18">
      <c r="B624" s="176"/>
      <c r="C624" s="174"/>
      <c r="D624" s="172"/>
      <c r="E624" s="23">
        <v>1349</v>
      </c>
      <c r="F624" s="23">
        <f>DEMANDA_PREVISIÓN!E1353</f>
        <v>35</v>
      </c>
      <c r="G624" s="101"/>
      <c r="H624" s="23">
        <f t="shared" si="64"/>
        <v>8375</v>
      </c>
      <c r="I624" s="134">
        <v>400</v>
      </c>
      <c r="J624" s="128">
        <v>400</v>
      </c>
      <c r="K624" s="101"/>
      <c r="L624" s="128">
        <v>50</v>
      </c>
      <c r="M624" s="118"/>
      <c r="Q624" s="141">
        <v>16.863078703704002</v>
      </c>
      <c r="R624" s="174"/>
    </row>
    <row r="625" spans="2:18">
      <c r="B625" s="176"/>
      <c r="C625" s="174"/>
      <c r="D625" s="172"/>
      <c r="E625" s="23">
        <v>1350</v>
      </c>
      <c r="F625" s="23">
        <f>DEMANDA_PREVISIÓN!E1354</f>
        <v>29</v>
      </c>
      <c r="G625" s="101"/>
      <c r="H625" s="23">
        <f t="shared" si="64"/>
        <v>8346</v>
      </c>
      <c r="I625" s="134">
        <v>400</v>
      </c>
      <c r="J625" s="128">
        <v>400</v>
      </c>
      <c r="K625" s="101"/>
      <c r="L625" s="128">
        <v>50</v>
      </c>
      <c r="M625" s="118"/>
      <c r="Q625" s="141">
        <v>16.8726851851855</v>
      </c>
      <c r="R625" s="174"/>
    </row>
    <row r="626" spans="2:18">
      <c r="B626" s="176"/>
      <c r="C626" s="174"/>
      <c r="D626" s="172"/>
      <c r="E626" s="23">
        <v>1351</v>
      </c>
      <c r="F626" s="23">
        <f>DEMANDA_PREVISIÓN!E1355</f>
        <v>26</v>
      </c>
      <c r="G626" s="101"/>
      <c r="H626" s="23">
        <f t="shared" si="64"/>
        <v>8320</v>
      </c>
      <c r="I626" s="134">
        <v>400</v>
      </c>
      <c r="J626" s="128">
        <v>400</v>
      </c>
      <c r="K626" s="101"/>
      <c r="L626" s="128">
        <v>50</v>
      </c>
      <c r="M626" s="118"/>
      <c r="Q626" s="141">
        <v>16.882291666667001</v>
      </c>
      <c r="R626" s="174"/>
    </row>
    <row r="627" spans="2:18">
      <c r="B627" s="176"/>
      <c r="C627" s="174"/>
      <c r="D627" s="172"/>
      <c r="E627" s="23">
        <v>1352</v>
      </c>
      <c r="F627" s="23">
        <f>DEMANDA_PREVISIÓN!E1356</f>
        <v>33</v>
      </c>
      <c r="G627" s="101"/>
      <c r="H627" s="134">
        <f>I626+H626</f>
        <v>8720</v>
      </c>
      <c r="I627" s="23"/>
      <c r="J627" s="128">
        <v>400</v>
      </c>
      <c r="K627" s="101"/>
      <c r="L627" s="128">
        <v>50</v>
      </c>
      <c r="M627" s="118"/>
      <c r="Q627" s="141">
        <v>16.891898148148499</v>
      </c>
      <c r="R627" s="174"/>
    </row>
    <row r="628" spans="2:18">
      <c r="B628" s="176"/>
      <c r="C628" s="174"/>
      <c r="D628" s="172"/>
      <c r="E628" s="23">
        <v>1353</v>
      </c>
      <c r="F628" s="23">
        <f>DEMANDA_PREVISIÓN!E1357</f>
        <v>39</v>
      </c>
      <c r="G628" s="101"/>
      <c r="H628" s="23">
        <f>H627-F628</f>
        <v>8681</v>
      </c>
      <c r="I628" s="128">
        <v>400</v>
      </c>
      <c r="J628" s="128">
        <v>400</v>
      </c>
      <c r="K628" s="101"/>
      <c r="L628" s="128">
        <v>50</v>
      </c>
      <c r="M628" s="118"/>
      <c r="Q628" s="141">
        <v>16.901504629630001</v>
      </c>
      <c r="R628" s="174"/>
    </row>
    <row r="629" spans="2:18">
      <c r="B629" s="176"/>
      <c r="C629" s="174"/>
      <c r="D629" s="172"/>
      <c r="E629" s="23">
        <v>1354</v>
      </c>
      <c r="F629" s="23">
        <f>DEMANDA_PREVISIÓN!E1358</f>
        <v>24</v>
      </c>
      <c r="G629" s="101"/>
      <c r="H629" s="23">
        <f>H628-F629</f>
        <v>8657</v>
      </c>
      <c r="I629" s="128">
        <v>400</v>
      </c>
      <c r="J629" s="129">
        <v>400</v>
      </c>
      <c r="K629" s="101"/>
      <c r="L629" s="129">
        <v>50</v>
      </c>
      <c r="M629" s="118"/>
      <c r="Q629" s="141">
        <v>16.911111111111399</v>
      </c>
      <c r="R629" s="174"/>
    </row>
    <row r="630" spans="2:18">
      <c r="B630" s="176"/>
      <c r="C630" s="174"/>
      <c r="D630" s="172"/>
      <c r="E630" s="23">
        <v>1355</v>
      </c>
      <c r="F630" s="23">
        <f>DEMANDA_PREVISIÓN!E1359</f>
        <v>39</v>
      </c>
      <c r="G630" s="101"/>
      <c r="H630" s="23">
        <f>H629-F630</f>
        <v>8618</v>
      </c>
      <c r="I630" s="128">
        <v>400</v>
      </c>
      <c r="J630" s="129">
        <v>400</v>
      </c>
      <c r="K630" s="101"/>
      <c r="L630" s="129">
        <v>50</v>
      </c>
      <c r="M630" s="118"/>
      <c r="Q630" s="141">
        <v>16.920717592592901</v>
      </c>
      <c r="R630" s="174"/>
    </row>
    <row r="631" spans="2:18">
      <c r="B631" s="176"/>
      <c r="C631" s="174"/>
      <c r="D631" s="172"/>
      <c r="E631" s="23">
        <v>1356</v>
      </c>
      <c r="F631" s="23">
        <f>DEMANDA_PREVISIÓN!E1360</f>
        <v>31</v>
      </c>
      <c r="G631" s="101"/>
      <c r="H631" s="23">
        <f>H630-F631</f>
        <v>8587</v>
      </c>
      <c r="I631" s="128">
        <v>400</v>
      </c>
      <c r="J631" s="129">
        <v>400</v>
      </c>
      <c r="K631" s="101"/>
      <c r="L631" s="129">
        <v>50</v>
      </c>
      <c r="M631" s="118"/>
      <c r="Q631" s="141">
        <v>16.930324074074399</v>
      </c>
      <c r="R631" s="174"/>
    </row>
    <row r="632" spans="2:18">
      <c r="B632" s="176"/>
      <c r="C632" s="174"/>
      <c r="D632" s="172"/>
      <c r="E632" s="23">
        <v>1357</v>
      </c>
      <c r="F632" s="23">
        <f>DEMANDA_PREVISIÓN!E1361</f>
        <v>32</v>
      </c>
      <c r="G632" s="101"/>
      <c r="H632" s="23">
        <f t="shared" ref="H632:H634" si="65">H631-F632</f>
        <v>8555</v>
      </c>
      <c r="I632" s="128">
        <v>400</v>
      </c>
      <c r="J632" s="129">
        <v>400</v>
      </c>
      <c r="K632" s="101"/>
      <c r="L632" s="129">
        <v>50</v>
      </c>
      <c r="M632" s="118"/>
      <c r="Q632" s="141">
        <v>16.9399305555559</v>
      </c>
      <c r="R632" s="174"/>
    </row>
    <row r="633" spans="2:18">
      <c r="B633" s="176"/>
      <c r="C633" s="174"/>
      <c r="D633" s="172"/>
      <c r="E633" s="23">
        <v>1358</v>
      </c>
      <c r="F633" s="23">
        <f>DEMANDA_PREVISIÓN!E1362</f>
        <v>33</v>
      </c>
      <c r="G633" s="101"/>
      <c r="H633" s="23">
        <f t="shared" si="65"/>
        <v>8522</v>
      </c>
      <c r="I633" s="128">
        <v>400</v>
      </c>
      <c r="J633" s="129">
        <v>400</v>
      </c>
      <c r="K633" s="101"/>
      <c r="L633" s="129">
        <v>50</v>
      </c>
      <c r="M633" s="118"/>
      <c r="Q633" s="141">
        <v>16.949537037037398</v>
      </c>
      <c r="R633" s="174"/>
    </row>
    <row r="634" spans="2:18">
      <c r="B634" s="176"/>
      <c r="C634" s="174"/>
      <c r="D634" s="172"/>
      <c r="E634" s="23">
        <v>1359</v>
      </c>
      <c r="F634" s="23">
        <f>DEMANDA_PREVISIÓN!E1363</f>
        <v>32</v>
      </c>
      <c r="G634" s="101"/>
      <c r="H634" s="23">
        <f t="shared" si="65"/>
        <v>8490</v>
      </c>
      <c r="I634" s="128">
        <v>400</v>
      </c>
      <c r="J634" s="129">
        <v>400</v>
      </c>
      <c r="K634" s="101"/>
      <c r="L634" s="129">
        <v>50</v>
      </c>
      <c r="M634" s="118"/>
      <c r="Q634" s="141">
        <v>16.9591435185189</v>
      </c>
      <c r="R634" s="174"/>
    </row>
    <row r="635" spans="2:18">
      <c r="B635" s="176"/>
      <c r="C635" s="174"/>
      <c r="D635" s="172"/>
      <c r="E635" s="23">
        <v>1360</v>
      </c>
      <c r="F635" s="23">
        <f>DEMANDA_PREVISIÓN!E1364</f>
        <v>41</v>
      </c>
      <c r="G635" s="101"/>
      <c r="H635" s="128">
        <f>I634+H634</f>
        <v>8890</v>
      </c>
      <c r="J635" s="129">
        <v>400</v>
      </c>
      <c r="K635" s="47"/>
      <c r="L635" s="129">
        <v>50</v>
      </c>
      <c r="M635" s="118"/>
      <c r="Q635" s="141">
        <v>16.968750000000298</v>
      </c>
      <c r="R635" s="174"/>
    </row>
    <row r="636" spans="2:18">
      <c r="B636" s="176"/>
      <c r="C636" s="174"/>
      <c r="D636" s="172"/>
      <c r="E636" s="23">
        <v>1361</v>
      </c>
      <c r="F636" s="23">
        <f>DEMANDA_PREVISIÓN!E1365</f>
        <v>37</v>
      </c>
      <c r="G636" s="101"/>
      <c r="H636" s="23">
        <f t="shared" ref="H636:H642" si="66">H635-F636</f>
        <v>8853</v>
      </c>
      <c r="I636" s="129">
        <v>400</v>
      </c>
      <c r="J636" s="129">
        <v>400</v>
      </c>
      <c r="K636" s="101"/>
      <c r="L636" s="129">
        <v>50</v>
      </c>
      <c r="M636" s="118"/>
      <c r="Q636" s="141">
        <v>16.9783564814818</v>
      </c>
      <c r="R636" s="174"/>
    </row>
    <row r="637" spans="2:18">
      <c r="B637" s="176"/>
      <c r="C637" s="174"/>
      <c r="D637" s="172"/>
      <c r="E637" s="23">
        <v>1362</v>
      </c>
      <c r="F637" s="23">
        <f>DEMANDA_PREVISIÓN!E1366</f>
        <v>30</v>
      </c>
      <c r="G637" s="101"/>
      <c r="H637" s="23">
        <f t="shared" si="66"/>
        <v>8823</v>
      </c>
      <c r="I637" s="129">
        <v>400</v>
      </c>
      <c r="J637" s="137">
        <v>400</v>
      </c>
      <c r="K637" s="101"/>
      <c r="L637" s="137">
        <v>50</v>
      </c>
      <c r="M637" s="118"/>
      <c r="Q637" s="141">
        <v>16.987962962963302</v>
      </c>
      <c r="R637" s="174"/>
    </row>
    <row r="638" spans="2:18">
      <c r="B638" s="176"/>
      <c r="C638" s="174"/>
      <c r="D638" s="172"/>
      <c r="E638" s="23">
        <v>1363</v>
      </c>
      <c r="F638" s="23">
        <f>DEMANDA_PREVISIÓN!E1367</f>
        <v>33</v>
      </c>
      <c r="G638" s="101"/>
      <c r="H638" s="23">
        <f t="shared" si="66"/>
        <v>8790</v>
      </c>
      <c r="I638" s="129">
        <v>400</v>
      </c>
      <c r="J638" s="137">
        <v>400</v>
      </c>
      <c r="K638" s="101"/>
      <c r="L638" s="137">
        <v>50</v>
      </c>
      <c r="M638" s="118"/>
      <c r="Q638" s="141">
        <v>16.9975694444448</v>
      </c>
      <c r="R638" s="174"/>
    </row>
    <row r="639" spans="2:18">
      <c r="B639" s="176"/>
      <c r="C639" s="174"/>
      <c r="D639" s="172"/>
      <c r="E639" s="23">
        <v>1364</v>
      </c>
      <c r="F639" s="23">
        <f>DEMANDA_PREVISIÓN!E1368</f>
        <v>29</v>
      </c>
      <c r="G639" s="101"/>
      <c r="H639" s="23">
        <f t="shared" si="66"/>
        <v>8761</v>
      </c>
      <c r="I639" s="129">
        <v>400</v>
      </c>
      <c r="J639" s="137">
        <v>400</v>
      </c>
      <c r="K639" s="101"/>
      <c r="L639" s="137">
        <v>50</v>
      </c>
      <c r="M639" s="118"/>
      <c r="Q639" s="141">
        <v>17.007175925926301</v>
      </c>
      <c r="R639" s="174">
        <v>7</v>
      </c>
    </row>
    <row r="640" spans="2:18">
      <c r="B640" s="176"/>
      <c r="C640" s="174"/>
      <c r="D640" s="172"/>
      <c r="E640" s="23">
        <v>1365</v>
      </c>
      <c r="F640" s="23">
        <f>DEMANDA_PREVISIÓN!E1369</f>
        <v>26</v>
      </c>
      <c r="G640" s="101"/>
      <c r="H640" s="23">
        <f t="shared" si="66"/>
        <v>8735</v>
      </c>
      <c r="I640" s="129">
        <v>400</v>
      </c>
      <c r="J640" s="137">
        <v>400</v>
      </c>
      <c r="K640" s="101"/>
      <c r="L640" s="137">
        <v>50</v>
      </c>
      <c r="M640" s="118"/>
      <c r="Q640" s="141">
        <v>17.0167824074077</v>
      </c>
      <c r="R640" s="174"/>
    </row>
    <row r="641" spans="2:18">
      <c r="B641" s="176"/>
      <c r="C641" s="174"/>
      <c r="D641" s="172"/>
      <c r="E641" s="23">
        <v>1366</v>
      </c>
      <c r="F641" s="23">
        <f>DEMANDA_PREVISIÓN!E1370</f>
        <v>30</v>
      </c>
      <c r="G641" s="101"/>
      <c r="H641" s="23">
        <f t="shared" si="66"/>
        <v>8705</v>
      </c>
      <c r="I641" s="129">
        <v>400</v>
      </c>
      <c r="J641" s="137">
        <v>400</v>
      </c>
      <c r="K641" s="101"/>
      <c r="L641" s="137">
        <v>50</v>
      </c>
      <c r="M641" s="118"/>
      <c r="Q641" s="141">
        <v>17.026388888889201</v>
      </c>
      <c r="R641" s="174"/>
    </row>
    <row r="642" spans="2:18">
      <c r="B642" s="176"/>
      <c r="C642" s="174"/>
      <c r="D642" s="172"/>
      <c r="E642" s="23">
        <v>1367</v>
      </c>
      <c r="F642" s="23">
        <f>DEMANDA_PREVISIÓN!E1371</f>
        <v>33</v>
      </c>
      <c r="G642" s="101"/>
      <c r="H642" s="23">
        <f t="shared" si="66"/>
        <v>8672</v>
      </c>
      <c r="I642" s="129">
        <v>400</v>
      </c>
      <c r="J642" s="137">
        <v>400</v>
      </c>
      <c r="K642" s="101"/>
      <c r="L642" s="137">
        <v>50</v>
      </c>
      <c r="M642" s="118"/>
      <c r="Q642" s="141">
        <v>17.035995370370699</v>
      </c>
      <c r="R642" s="174"/>
    </row>
    <row r="643" spans="2:18">
      <c r="B643" s="176"/>
      <c r="C643" s="174"/>
      <c r="D643" s="173"/>
      <c r="E643" s="23">
        <v>1368</v>
      </c>
      <c r="F643" s="23">
        <f>DEMANDA_PREVISIÓN!E1372</f>
        <v>36</v>
      </c>
      <c r="G643" s="101"/>
      <c r="H643" s="129">
        <f>I642+H642</f>
        <v>9072</v>
      </c>
      <c r="I643" s="23"/>
      <c r="J643" s="137">
        <v>400</v>
      </c>
      <c r="K643" s="101"/>
      <c r="L643" s="137">
        <v>50</v>
      </c>
      <c r="M643" s="118"/>
      <c r="Q643" s="141">
        <v>17.045601851852201</v>
      </c>
      <c r="R643" s="174"/>
    </row>
    <row r="644" spans="2:18">
      <c r="B644" s="176"/>
      <c r="C644" s="174" t="s">
        <v>52</v>
      </c>
      <c r="D644" s="171" t="s">
        <v>53</v>
      </c>
      <c r="E644" s="23">
        <v>1369</v>
      </c>
      <c r="F644" s="23">
        <f>DEMANDA_PREVISIÓN!E1373</f>
        <v>43</v>
      </c>
      <c r="G644" s="101"/>
      <c r="H644" s="23">
        <f t="shared" ref="H644:H650" si="67">H643-F644</f>
        <v>9029</v>
      </c>
      <c r="I644" s="137">
        <v>400</v>
      </c>
      <c r="J644" s="137">
        <v>400</v>
      </c>
      <c r="K644" s="101"/>
      <c r="L644" s="137">
        <v>50</v>
      </c>
      <c r="M644" s="118"/>
      <c r="Q644" s="141">
        <v>17.055208333333699</v>
      </c>
      <c r="R644" s="174"/>
    </row>
    <row r="645" spans="2:18">
      <c r="B645" s="176"/>
      <c r="C645" s="174"/>
      <c r="D645" s="172"/>
      <c r="E645" s="23">
        <v>1370</v>
      </c>
      <c r="F645" s="23">
        <f>DEMANDA_PREVISIÓN!E1374</f>
        <v>36</v>
      </c>
      <c r="G645" s="101"/>
      <c r="H645" s="23">
        <f t="shared" si="67"/>
        <v>8993</v>
      </c>
      <c r="I645" s="137">
        <v>400</v>
      </c>
      <c r="J645" s="138">
        <v>400</v>
      </c>
      <c r="K645" s="101"/>
      <c r="L645" s="138">
        <v>50</v>
      </c>
      <c r="M645" s="118"/>
      <c r="Q645" s="141">
        <v>17.0648148148152</v>
      </c>
      <c r="R645" s="174"/>
    </row>
    <row r="646" spans="2:18">
      <c r="B646" s="176"/>
      <c r="C646" s="174"/>
      <c r="D646" s="172"/>
      <c r="E646" s="23">
        <v>1371</v>
      </c>
      <c r="F646" s="23">
        <f>DEMANDA_PREVISIÓN!E1375</f>
        <v>42</v>
      </c>
      <c r="G646" s="101"/>
      <c r="H646" s="23">
        <f t="shared" si="67"/>
        <v>8951</v>
      </c>
      <c r="I646" s="137">
        <v>400</v>
      </c>
      <c r="J646" s="138">
        <v>400</v>
      </c>
      <c r="K646" s="101"/>
      <c r="L646" s="138">
        <v>50</v>
      </c>
      <c r="M646" s="118"/>
      <c r="Q646" s="141">
        <v>17.074421296296599</v>
      </c>
      <c r="R646" s="174"/>
    </row>
    <row r="647" spans="2:18">
      <c r="B647" s="176"/>
      <c r="C647" s="174"/>
      <c r="D647" s="172"/>
      <c r="E647" s="23">
        <v>1372</v>
      </c>
      <c r="F647" s="23">
        <f>DEMANDA_PREVISIÓN!E1376</f>
        <v>26</v>
      </c>
      <c r="G647" s="101"/>
      <c r="H647" s="23">
        <f t="shared" si="67"/>
        <v>8925</v>
      </c>
      <c r="I647" s="137">
        <v>400</v>
      </c>
      <c r="J647" s="138">
        <v>400</v>
      </c>
      <c r="K647" s="101"/>
      <c r="L647" s="138">
        <v>50</v>
      </c>
      <c r="M647" s="118"/>
      <c r="Q647" s="141">
        <v>17.0840277777781</v>
      </c>
      <c r="R647" s="174"/>
    </row>
    <row r="648" spans="2:18">
      <c r="B648" s="176"/>
      <c r="C648" s="174"/>
      <c r="D648" s="172"/>
      <c r="E648" s="23">
        <v>1373</v>
      </c>
      <c r="F648" s="23">
        <f>DEMANDA_PREVISIÓN!E1377</f>
        <v>29</v>
      </c>
      <c r="G648" s="101"/>
      <c r="H648" s="23">
        <f t="shared" si="67"/>
        <v>8896</v>
      </c>
      <c r="I648" s="137">
        <v>400</v>
      </c>
      <c r="J648" s="138">
        <v>400</v>
      </c>
      <c r="K648" s="101"/>
      <c r="L648" s="138">
        <v>50</v>
      </c>
      <c r="M648" s="118"/>
      <c r="Q648" s="141">
        <v>17.093634259259598</v>
      </c>
      <c r="R648" s="174"/>
    </row>
    <row r="649" spans="2:18">
      <c r="B649" s="176"/>
      <c r="C649" s="174"/>
      <c r="D649" s="172"/>
      <c r="E649" s="23">
        <v>1374</v>
      </c>
      <c r="F649" s="23">
        <f>DEMANDA_PREVISIÓN!E1378</f>
        <v>32</v>
      </c>
      <c r="G649" s="101"/>
      <c r="H649" s="23">
        <f t="shared" si="67"/>
        <v>8864</v>
      </c>
      <c r="I649" s="137">
        <v>400</v>
      </c>
      <c r="J649" s="138">
        <v>400</v>
      </c>
      <c r="K649" s="101"/>
      <c r="L649" s="138">
        <v>50</v>
      </c>
      <c r="M649" s="118"/>
      <c r="Q649" s="141">
        <v>17.1032407407411</v>
      </c>
      <c r="R649" s="174"/>
    </row>
    <row r="650" spans="2:18">
      <c r="B650" s="176"/>
      <c r="C650" s="174"/>
      <c r="D650" s="172"/>
      <c r="E650" s="23">
        <v>1375</v>
      </c>
      <c r="F650" s="23">
        <f>DEMANDA_PREVISIÓN!E1379</f>
        <v>29</v>
      </c>
      <c r="G650" s="101"/>
      <c r="H650" s="23">
        <f t="shared" si="67"/>
        <v>8835</v>
      </c>
      <c r="I650" s="137">
        <v>400</v>
      </c>
      <c r="J650" s="138">
        <v>400</v>
      </c>
      <c r="K650" s="101"/>
      <c r="L650" s="138">
        <v>50</v>
      </c>
      <c r="M650" s="118"/>
      <c r="Q650" s="141">
        <v>17.112847222222602</v>
      </c>
      <c r="R650" s="174"/>
    </row>
    <row r="651" spans="2:18">
      <c r="B651" s="176"/>
      <c r="C651" s="174"/>
      <c r="D651" s="172"/>
      <c r="E651" s="23">
        <v>1376</v>
      </c>
      <c r="F651" s="23">
        <f>DEMANDA_PREVISIÓN!E1380</f>
        <v>37</v>
      </c>
      <c r="G651" s="101"/>
      <c r="H651" s="137">
        <f>I650+H650</f>
        <v>9235</v>
      </c>
      <c r="I651" s="23"/>
      <c r="J651" s="138">
        <v>400</v>
      </c>
      <c r="K651" s="101"/>
      <c r="L651" s="138">
        <v>50</v>
      </c>
      <c r="M651" s="118"/>
      <c r="Q651" s="141">
        <v>17.1224537037041</v>
      </c>
      <c r="R651" s="174"/>
    </row>
    <row r="652" spans="2:18">
      <c r="B652" s="176"/>
      <c r="C652" s="174"/>
      <c r="D652" s="172"/>
      <c r="E652" s="23">
        <v>1377</v>
      </c>
      <c r="F652" s="23">
        <f>DEMANDA_PREVISIÓN!E1381</f>
        <v>30</v>
      </c>
      <c r="G652" s="101"/>
      <c r="H652" s="23">
        <f t="shared" ref="H652:H658" si="68">H651-F652</f>
        <v>9205</v>
      </c>
      <c r="I652" s="138">
        <v>400</v>
      </c>
      <c r="J652" s="138">
        <v>400</v>
      </c>
      <c r="K652" s="101"/>
      <c r="L652" s="138">
        <v>50</v>
      </c>
      <c r="M652" s="118"/>
      <c r="Q652" s="141">
        <v>17.132060185185502</v>
      </c>
      <c r="R652" s="174"/>
    </row>
    <row r="653" spans="2:18">
      <c r="B653" s="176"/>
      <c r="C653" s="174"/>
      <c r="D653" s="172"/>
      <c r="E653" s="23">
        <v>1378</v>
      </c>
      <c r="F653" s="23">
        <f>DEMANDA_PREVISIÓN!E1382</f>
        <v>40</v>
      </c>
      <c r="G653" s="101"/>
      <c r="H653" s="23">
        <f t="shared" si="68"/>
        <v>9165</v>
      </c>
      <c r="I653" s="138">
        <v>400</v>
      </c>
      <c r="J653" s="134">
        <v>400</v>
      </c>
      <c r="K653" s="101"/>
      <c r="L653" s="134">
        <v>50</v>
      </c>
      <c r="M653" s="118"/>
      <c r="Q653" s="141">
        <v>17.141666666667</v>
      </c>
      <c r="R653" s="174"/>
    </row>
    <row r="654" spans="2:18">
      <c r="B654" s="176"/>
      <c r="C654" s="174"/>
      <c r="D654" s="172"/>
      <c r="E654" s="23">
        <v>1379</v>
      </c>
      <c r="F654" s="23">
        <f>DEMANDA_PREVISIÓN!E1383</f>
        <v>34</v>
      </c>
      <c r="G654" s="101"/>
      <c r="H654" s="23">
        <f t="shared" si="68"/>
        <v>9131</v>
      </c>
      <c r="I654" s="138">
        <v>400</v>
      </c>
      <c r="J654" s="134">
        <v>400</v>
      </c>
      <c r="K654" s="101"/>
      <c r="L654" s="134">
        <v>50</v>
      </c>
      <c r="M654" s="118"/>
      <c r="Q654" s="141">
        <v>17.151273148148501</v>
      </c>
      <c r="R654" s="174"/>
    </row>
    <row r="655" spans="2:18">
      <c r="B655" s="176"/>
      <c r="C655" s="174"/>
      <c r="D655" s="172"/>
      <c r="E655" s="23">
        <v>1380</v>
      </c>
      <c r="F655" s="23">
        <f>DEMANDA_PREVISIÓN!E1384</f>
        <v>32</v>
      </c>
      <c r="G655" s="101"/>
      <c r="H655" s="23">
        <f t="shared" si="68"/>
        <v>9099</v>
      </c>
      <c r="I655" s="138">
        <v>400</v>
      </c>
      <c r="J655" s="134">
        <v>400</v>
      </c>
      <c r="K655" s="101"/>
      <c r="L655" s="134">
        <v>50</v>
      </c>
      <c r="M655" s="118"/>
      <c r="Q655" s="141">
        <v>17.160879629629999</v>
      </c>
      <c r="R655" s="174"/>
    </row>
    <row r="656" spans="2:18">
      <c r="B656" s="176"/>
      <c r="C656" s="174"/>
      <c r="D656" s="172"/>
      <c r="E656" s="23">
        <v>1381</v>
      </c>
      <c r="F656" s="23">
        <f>DEMANDA_PREVISIÓN!E1385</f>
        <v>39</v>
      </c>
      <c r="G656" s="101"/>
      <c r="H656" s="23">
        <f t="shared" si="68"/>
        <v>9060</v>
      </c>
      <c r="I656" s="138">
        <v>400</v>
      </c>
      <c r="J656" s="134">
        <v>400</v>
      </c>
      <c r="K656" s="101"/>
      <c r="L656" s="134">
        <v>50</v>
      </c>
      <c r="M656" s="118"/>
      <c r="Q656" s="141">
        <v>17.170486111111501</v>
      </c>
      <c r="R656" s="174"/>
    </row>
    <row r="657" spans="2:18">
      <c r="B657" s="176"/>
      <c r="C657" s="174"/>
      <c r="D657" s="172"/>
      <c r="E657" s="23">
        <v>1382</v>
      </c>
      <c r="F657" s="23">
        <f>DEMANDA_PREVISIÓN!E1386</f>
        <v>30</v>
      </c>
      <c r="G657" s="101"/>
      <c r="H657" s="23">
        <f t="shared" si="68"/>
        <v>9030</v>
      </c>
      <c r="I657" s="138">
        <v>400</v>
      </c>
      <c r="J657" s="134">
        <v>400</v>
      </c>
      <c r="K657" s="101"/>
      <c r="L657" s="134">
        <v>50</v>
      </c>
      <c r="M657" s="118"/>
      <c r="Q657" s="141">
        <v>17.180092592592899</v>
      </c>
      <c r="R657" s="174"/>
    </row>
    <row r="658" spans="2:18">
      <c r="B658" s="176"/>
      <c r="C658" s="174"/>
      <c r="D658" s="172"/>
      <c r="E658" s="23">
        <v>1383</v>
      </c>
      <c r="F658" s="23">
        <f>DEMANDA_PREVISIÓN!E1387</f>
        <v>23</v>
      </c>
      <c r="G658" s="101"/>
      <c r="H658" s="23">
        <f t="shared" si="68"/>
        <v>9007</v>
      </c>
      <c r="I658" s="138">
        <v>400</v>
      </c>
      <c r="J658" s="134">
        <v>400</v>
      </c>
      <c r="K658" s="101"/>
      <c r="L658" s="134">
        <v>50</v>
      </c>
      <c r="M658" s="118"/>
      <c r="Q658" s="141">
        <v>17.189699074074401</v>
      </c>
      <c r="R658" s="174"/>
    </row>
    <row r="659" spans="2:18">
      <c r="B659" s="176"/>
      <c r="C659" s="174"/>
      <c r="D659" s="172"/>
      <c r="E659" s="23">
        <v>1384</v>
      </c>
      <c r="F659" s="23">
        <f>DEMANDA_PREVISIÓN!E1388</f>
        <v>41</v>
      </c>
      <c r="G659" s="101"/>
      <c r="H659" s="138">
        <f>I658+H658</f>
        <v>9407</v>
      </c>
      <c r="I659" s="23"/>
      <c r="J659" s="134">
        <v>400</v>
      </c>
      <c r="K659" s="101"/>
      <c r="L659" s="134">
        <v>50</v>
      </c>
      <c r="M659" s="118"/>
      <c r="Q659" s="141">
        <v>17.199305555555899</v>
      </c>
      <c r="R659" s="174"/>
    </row>
    <row r="660" spans="2:18">
      <c r="B660" s="176"/>
      <c r="C660" s="174"/>
      <c r="D660" s="172"/>
      <c r="E660" s="23">
        <v>1385</v>
      </c>
      <c r="F660" s="23">
        <f>DEMANDA_PREVISIÓN!E1389</f>
        <v>31</v>
      </c>
      <c r="G660" s="101"/>
      <c r="H660" s="23">
        <f t="shared" ref="H660:H666" si="69">H659-F660</f>
        <v>9376</v>
      </c>
      <c r="I660" s="134">
        <v>400</v>
      </c>
      <c r="J660" s="134">
        <v>400</v>
      </c>
      <c r="K660" s="101"/>
      <c r="L660" s="134">
        <v>50</v>
      </c>
      <c r="M660" s="118"/>
      <c r="Q660" s="141">
        <v>17.2089120370374</v>
      </c>
      <c r="R660" s="174"/>
    </row>
    <row r="661" spans="2:18">
      <c r="B661" s="176"/>
      <c r="C661" s="174"/>
      <c r="D661" s="172"/>
      <c r="E661" s="23">
        <v>1386</v>
      </c>
      <c r="F661" s="23">
        <f>DEMANDA_PREVISIÓN!E1390</f>
        <v>35</v>
      </c>
      <c r="G661" s="101"/>
      <c r="H661" s="23">
        <f t="shared" si="69"/>
        <v>9341</v>
      </c>
      <c r="I661" s="134">
        <v>400</v>
      </c>
      <c r="J661" s="128">
        <v>400</v>
      </c>
      <c r="K661" s="101"/>
      <c r="L661" s="128">
        <v>50</v>
      </c>
      <c r="M661" s="118"/>
      <c r="Q661" s="141">
        <v>17.218518518518898</v>
      </c>
      <c r="R661" s="174"/>
    </row>
    <row r="662" spans="2:18">
      <c r="B662" s="176"/>
      <c r="C662" s="174"/>
      <c r="D662" s="172"/>
      <c r="E662" s="23">
        <v>1387</v>
      </c>
      <c r="F662" s="23">
        <f>DEMANDA_PREVISIÓN!E1391</f>
        <v>36</v>
      </c>
      <c r="G662" s="101"/>
      <c r="H662" s="23">
        <f t="shared" si="69"/>
        <v>9305</v>
      </c>
      <c r="I662" s="134">
        <v>400</v>
      </c>
      <c r="J662" s="128">
        <v>400</v>
      </c>
      <c r="K662" s="101"/>
      <c r="L662" s="128">
        <v>50</v>
      </c>
      <c r="M662" s="118"/>
      <c r="Q662" s="141">
        <v>17.2281250000004</v>
      </c>
      <c r="R662" s="174"/>
    </row>
    <row r="663" spans="2:18">
      <c r="B663" s="176"/>
      <c r="C663" s="174"/>
      <c r="D663" s="172"/>
      <c r="E663" s="23">
        <v>1388</v>
      </c>
      <c r="F663" s="23">
        <f>DEMANDA_PREVISIÓN!E1392</f>
        <v>42</v>
      </c>
      <c r="G663" s="101"/>
      <c r="H663" s="23">
        <f t="shared" si="69"/>
        <v>9263</v>
      </c>
      <c r="I663" s="134">
        <v>400</v>
      </c>
      <c r="J663" s="128">
        <v>400</v>
      </c>
      <c r="K663" s="101"/>
      <c r="L663" s="128">
        <v>50</v>
      </c>
      <c r="M663" s="118"/>
      <c r="Q663" s="141">
        <v>17.237731481481799</v>
      </c>
      <c r="R663" s="174"/>
    </row>
    <row r="664" spans="2:18">
      <c r="B664" s="176"/>
      <c r="C664" s="174"/>
      <c r="D664" s="172"/>
      <c r="E664" s="23">
        <v>1389</v>
      </c>
      <c r="F664" s="23">
        <f>DEMANDA_PREVISIÓN!E1393</f>
        <v>26</v>
      </c>
      <c r="G664" s="101"/>
      <c r="H664" s="23">
        <f t="shared" si="69"/>
        <v>9237</v>
      </c>
      <c r="I664" s="134">
        <v>400</v>
      </c>
      <c r="J664" s="128">
        <v>400</v>
      </c>
      <c r="K664" s="101"/>
      <c r="L664" s="128">
        <v>50</v>
      </c>
      <c r="M664" s="118"/>
      <c r="Q664" s="141">
        <v>17.2473379629633</v>
      </c>
      <c r="R664" s="174"/>
    </row>
    <row r="665" spans="2:18">
      <c r="B665" s="176"/>
      <c r="C665" s="174"/>
      <c r="D665" s="172"/>
      <c r="E665" s="23">
        <v>1390</v>
      </c>
      <c r="F665" s="23">
        <f>DEMANDA_PREVISIÓN!E1394</f>
        <v>35</v>
      </c>
      <c r="G665" s="101"/>
      <c r="H665" s="23">
        <f t="shared" si="69"/>
        <v>9202</v>
      </c>
      <c r="I665" s="134">
        <v>400</v>
      </c>
      <c r="J665" s="128">
        <v>400</v>
      </c>
      <c r="K665" s="101"/>
      <c r="L665" s="128">
        <v>50</v>
      </c>
      <c r="M665" s="118"/>
      <c r="Q665" s="141">
        <v>17.256944444444802</v>
      </c>
      <c r="R665" s="174"/>
    </row>
    <row r="666" spans="2:18">
      <c r="B666" s="176"/>
      <c r="C666" s="174"/>
      <c r="D666" s="172"/>
      <c r="E666" s="23">
        <v>1391</v>
      </c>
      <c r="F666" s="23">
        <f>DEMANDA_PREVISIÓN!E1395</f>
        <v>36</v>
      </c>
      <c r="G666" s="101"/>
      <c r="H666" s="23">
        <f t="shared" si="69"/>
        <v>9166</v>
      </c>
      <c r="I666" s="134">
        <v>400</v>
      </c>
      <c r="J666" s="128">
        <v>400</v>
      </c>
      <c r="K666" s="101"/>
      <c r="L666" s="128">
        <v>50</v>
      </c>
      <c r="M666" s="118"/>
      <c r="Q666" s="141">
        <v>17.2665509259263</v>
      </c>
      <c r="R666" s="174"/>
    </row>
    <row r="667" spans="2:18">
      <c r="B667" s="176"/>
      <c r="C667" s="174"/>
      <c r="D667" s="172"/>
      <c r="E667" s="23">
        <v>1392</v>
      </c>
      <c r="F667" s="23">
        <f>DEMANDA_PREVISIÓN!E1396</f>
        <v>40</v>
      </c>
      <c r="G667" s="101"/>
      <c r="H667" s="134">
        <f>I666+H666</f>
        <v>9566</v>
      </c>
      <c r="I667" s="23"/>
      <c r="J667" s="128">
        <v>400</v>
      </c>
      <c r="K667" s="101"/>
      <c r="L667" s="128">
        <v>50</v>
      </c>
      <c r="M667" s="118"/>
      <c r="Q667" s="141">
        <v>17.276157407407801</v>
      </c>
      <c r="R667" s="174"/>
    </row>
    <row r="668" spans="2:18">
      <c r="B668" s="176"/>
      <c r="C668" s="174"/>
      <c r="D668" s="172"/>
      <c r="E668" s="23">
        <v>1393</v>
      </c>
      <c r="F668" s="23">
        <f>DEMANDA_PREVISIÓN!E1397</f>
        <v>38</v>
      </c>
      <c r="G668" s="101"/>
      <c r="H668" s="23">
        <f>H667-F668</f>
        <v>9528</v>
      </c>
      <c r="I668" s="128">
        <v>400</v>
      </c>
      <c r="J668" s="128">
        <v>400</v>
      </c>
      <c r="K668" s="101"/>
      <c r="L668" s="128">
        <v>50</v>
      </c>
      <c r="M668" s="118"/>
      <c r="Q668" s="141">
        <v>17.2857638888892</v>
      </c>
      <c r="R668" s="174"/>
    </row>
    <row r="669" spans="2:18">
      <c r="B669" s="176"/>
      <c r="C669" s="174"/>
      <c r="D669" s="172"/>
      <c r="E669" s="23">
        <v>1394</v>
      </c>
      <c r="F669" s="23">
        <f>DEMANDA_PREVISIÓN!E1398</f>
        <v>37</v>
      </c>
      <c r="G669" s="101"/>
      <c r="H669" s="23">
        <f>H668-F669</f>
        <v>9491</v>
      </c>
      <c r="I669" s="128">
        <v>400</v>
      </c>
      <c r="J669" s="129">
        <v>400</v>
      </c>
      <c r="K669" s="101"/>
      <c r="L669" s="129">
        <v>50</v>
      </c>
      <c r="M669" s="118"/>
      <c r="Q669" s="141">
        <v>17.295370370370701</v>
      </c>
      <c r="R669" s="174"/>
    </row>
    <row r="670" spans="2:18">
      <c r="B670" s="176"/>
      <c r="C670" s="174"/>
      <c r="D670" s="172"/>
      <c r="E670" s="23">
        <v>1395</v>
      </c>
      <c r="F670" s="23">
        <f>DEMANDA_PREVISIÓN!E1399</f>
        <v>34</v>
      </c>
      <c r="G670" s="101"/>
      <c r="H670" s="23">
        <f>H669-F670</f>
        <v>9457</v>
      </c>
      <c r="I670" s="128">
        <v>400</v>
      </c>
      <c r="J670" s="129">
        <v>400</v>
      </c>
      <c r="K670" s="101"/>
      <c r="L670" s="129">
        <v>50</v>
      </c>
      <c r="M670" s="118"/>
      <c r="Q670" s="141">
        <v>17.304976851852199</v>
      </c>
      <c r="R670" s="174"/>
    </row>
    <row r="671" spans="2:18">
      <c r="B671" s="176"/>
      <c r="C671" s="174"/>
      <c r="D671" s="172"/>
      <c r="E671" s="23">
        <v>1396</v>
      </c>
      <c r="F671" s="23">
        <f>DEMANDA_PREVISIÓN!E1400</f>
        <v>33</v>
      </c>
      <c r="G671" s="101"/>
      <c r="H671" s="23">
        <f>H670-F671</f>
        <v>9424</v>
      </c>
      <c r="I671" s="128">
        <v>400</v>
      </c>
      <c r="J671" s="129">
        <v>400</v>
      </c>
      <c r="K671" s="101"/>
      <c r="L671" s="129">
        <v>50</v>
      </c>
      <c r="M671" s="118"/>
      <c r="Q671" s="141">
        <v>17.314583333333701</v>
      </c>
      <c r="R671" s="174"/>
    </row>
    <row r="672" spans="2:18">
      <c r="B672" s="176"/>
      <c r="C672" s="174"/>
      <c r="D672" s="172"/>
      <c r="E672" s="23">
        <v>1397</v>
      </c>
      <c r="F672" s="23">
        <f>DEMANDA_PREVISIÓN!E1401</f>
        <v>35</v>
      </c>
      <c r="G672" s="101"/>
      <c r="H672" s="23">
        <f t="shared" ref="H672:H674" si="70">H671-F672</f>
        <v>9389</v>
      </c>
      <c r="I672" s="128">
        <v>400</v>
      </c>
      <c r="J672" s="129">
        <v>400</v>
      </c>
      <c r="K672" s="101"/>
      <c r="L672" s="129">
        <v>50</v>
      </c>
      <c r="M672" s="118"/>
      <c r="Q672" s="141">
        <v>17.324189814815199</v>
      </c>
      <c r="R672" s="174"/>
    </row>
    <row r="673" spans="2:18">
      <c r="B673" s="176"/>
      <c r="C673" s="174"/>
      <c r="D673" s="172"/>
      <c r="E673" s="23">
        <v>1398</v>
      </c>
      <c r="F673" s="23">
        <f>DEMANDA_PREVISIÓN!E1402</f>
        <v>34</v>
      </c>
      <c r="G673" s="101"/>
      <c r="H673" s="23">
        <f t="shared" si="70"/>
        <v>9355</v>
      </c>
      <c r="I673" s="128">
        <v>400</v>
      </c>
      <c r="J673" s="129">
        <v>400</v>
      </c>
      <c r="K673" s="101"/>
      <c r="L673" s="129">
        <v>50</v>
      </c>
      <c r="M673" s="118"/>
      <c r="Q673" s="141">
        <v>17.3337962962967</v>
      </c>
      <c r="R673" s="174"/>
    </row>
    <row r="674" spans="2:18">
      <c r="B674" s="176"/>
      <c r="C674" s="174"/>
      <c r="D674" s="173"/>
      <c r="E674" s="23">
        <v>1399</v>
      </c>
      <c r="F674" s="23">
        <f>DEMANDA_PREVISIÓN!E1403</f>
        <v>31</v>
      </c>
      <c r="G674" s="101"/>
      <c r="H674" s="23">
        <f t="shared" si="70"/>
        <v>9324</v>
      </c>
      <c r="I674" s="128">
        <v>400</v>
      </c>
      <c r="J674" s="129">
        <v>400</v>
      </c>
      <c r="K674" s="101"/>
      <c r="L674" s="129">
        <v>50</v>
      </c>
      <c r="M674" s="118"/>
      <c r="Q674" s="141">
        <v>17.343402777778099</v>
      </c>
      <c r="R674" s="174"/>
    </row>
    <row r="675" spans="2:18">
      <c r="B675" s="176"/>
      <c r="C675" s="174"/>
      <c r="D675" s="171" t="s">
        <v>54</v>
      </c>
      <c r="E675" s="23">
        <v>1400</v>
      </c>
      <c r="F675" s="23">
        <f>DEMANDA_PREVISIÓN!E1404</f>
        <v>26</v>
      </c>
      <c r="G675" s="101"/>
      <c r="H675" s="128">
        <f>I674+H674</f>
        <v>9724</v>
      </c>
      <c r="J675" s="129">
        <v>400</v>
      </c>
      <c r="K675" s="47"/>
      <c r="L675" s="129">
        <v>50</v>
      </c>
      <c r="M675" s="118"/>
      <c r="Q675" s="141">
        <v>17.353009259259601</v>
      </c>
      <c r="R675" s="174"/>
    </row>
    <row r="676" spans="2:18">
      <c r="B676" s="176"/>
      <c r="C676" s="174"/>
      <c r="D676" s="172"/>
      <c r="E676" s="23">
        <v>1401</v>
      </c>
      <c r="F676" s="23">
        <f>DEMANDA_PREVISIÓN!E1405</f>
        <v>37</v>
      </c>
      <c r="G676" s="101"/>
      <c r="H676" s="23">
        <f t="shared" ref="H676:H682" si="71">H675-F676</f>
        <v>9687</v>
      </c>
      <c r="I676" s="129">
        <v>400</v>
      </c>
      <c r="J676" s="129">
        <v>400</v>
      </c>
      <c r="K676" s="101"/>
      <c r="L676" s="129">
        <v>50</v>
      </c>
      <c r="M676" s="118"/>
      <c r="Q676" s="141">
        <v>17.362615740741099</v>
      </c>
      <c r="R676" s="174"/>
    </row>
    <row r="677" spans="2:18">
      <c r="B677" s="176"/>
      <c r="C677" s="174"/>
      <c r="D677" s="172"/>
      <c r="E677" s="23">
        <v>1402</v>
      </c>
      <c r="F677" s="23">
        <f>DEMANDA_PREVISIÓN!E1406</f>
        <v>36</v>
      </c>
      <c r="G677" s="101"/>
      <c r="H677" s="23">
        <f t="shared" si="71"/>
        <v>9651</v>
      </c>
      <c r="I677" s="129">
        <v>400</v>
      </c>
      <c r="J677" s="137">
        <v>400</v>
      </c>
      <c r="K677" s="101"/>
      <c r="L677" s="137">
        <v>50</v>
      </c>
      <c r="M677" s="118"/>
      <c r="Q677" s="141">
        <v>17.3722222222226</v>
      </c>
      <c r="R677" s="174"/>
    </row>
    <row r="678" spans="2:18">
      <c r="B678" s="176"/>
      <c r="C678" s="174"/>
      <c r="D678" s="172"/>
      <c r="E678" s="23">
        <v>1403</v>
      </c>
      <c r="F678" s="23">
        <f>DEMANDA_PREVISIÓN!E1407</f>
        <v>36</v>
      </c>
      <c r="G678" s="101"/>
      <c r="H678" s="23">
        <f t="shared" si="71"/>
        <v>9615</v>
      </c>
      <c r="I678" s="129">
        <v>400</v>
      </c>
      <c r="J678" s="137">
        <v>400</v>
      </c>
      <c r="K678" s="101"/>
      <c r="L678" s="137">
        <v>50</v>
      </c>
      <c r="M678" s="118"/>
      <c r="Q678" s="141">
        <v>17.381828703704102</v>
      </c>
      <c r="R678" s="174"/>
    </row>
    <row r="679" spans="2:18">
      <c r="B679" s="176"/>
      <c r="C679" s="174"/>
      <c r="D679" s="172"/>
      <c r="E679" s="23">
        <v>1404</v>
      </c>
      <c r="F679" s="23">
        <f>DEMANDA_PREVISIÓN!E1408</f>
        <v>40</v>
      </c>
      <c r="G679" s="101"/>
      <c r="H679" s="23">
        <f t="shared" si="71"/>
        <v>9575</v>
      </c>
      <c r="I679" s="129">
        <v>400</v>
      </c>
      <c r="J679" s="137">
        <v>400</v>
      </c>
      <c r="K679" s="101"/>
      <c r="L679" s="137">
        <v>50</v>
      </c>
      <c r="M679" s="118"/>
      <c r="Q679" s="141">
        <v>17.3914351851855</v>
      </c>
      <c r="R679" s="174"/>
    </row>
    <row r="680" spans="2:18">
      <c r="B680" s="176"/>
      <c r="C680" s="174"/>
      <c r="D680" s="172"/>
      <c r="E680" s="23">
        <v>1405</v>
      </c>
      <c r="F680" s="23">
        <f>DEMANDA_PREVISIÓN!E1409</f>
        <v>25</v>
      </c>
      <c r="G680" s="101"/>
      <c r="H680" s="23">
        <f t="shared" si="71"/>
        <v>9550</v>
      </c>
      <c r="I680" s="129">
        <v>400</v>
      </c>
      <c r="J680" s="137">
        <v>400</v>
      </c>
      <c r="K680" s="101"/>
      <c r="L680" s="137">
        <v>50</v>
      </c>
      <c r="M680" s="118"/>
      <c r="Q680" s="141">
        <v>17.401041666666998</v>
      </c>
      <c r="R680" s="174"/>
    </row>
    <row r="681" spans="2:18">
      <c r="B681" s="176"/>
      <c r="C681" s="174"/>
      <c r="D681" s="172"/>
      <c r="E681" s="23">
        <v>1406</v>
      </c>
      <c r="F681" s="23">
        <f>DEMANDA_PREVISIÓN!E1410</f>
        <v>29</v>
      </c>
      <c r="G681" s="101"/>
      <c r="H681" s="23">
        <f t="shared" si="71"/>
        <v>9521</v>
      </c>
      <c r="I681" s="129">
        <v>400</v>
      </c>
      <c r="J681" s="137">
        <v>400</v>
      </c>
      <c r="K681" s="101"/>
      <c r="L681" s="137">
        <v>50</v>
      </c>
      <c r="M681" s="118"/>
      <c r="Q681" s="141">
        <v>17.4106481481485</v>
      </c>
      <c r="R681" s="174"/>
    </row>
    <row r="682" spans="2:18">
      <c r="B682" s="176"/>
      <c r="C682" s="174"/>
      <c r="D682" s="172"/>
      <c r="E682" s="23">
        <v>1407</v>
      </c>
      <c r="F682" s="23">
        <f>DEMANDA_PREVISIÓN!E1411</f>
        <v>44</v>
      </c>
      <c r="G682" s="101"/>
      <c r="H682" s="23">
        <f t="shared" si="71"/>
        <v>9477</v>
      </c>
      <c r="I682" s="129">
        <v>400</v>
      </c>
      <c r="J682" s="137">
        <v>400</v>
      </c>
      <c r="K682" s="101"/>
      <c r="L682" s="137">
        <v>50</v>
      </c>
      <c r="M682" s="118"/>
      <c r="Q682" s="141">
        <v>17.420254629630001</v>
      </c>
      <c r="R682" s="174"/>
    </row>
    <row r="683" spans="2:18">
      <c r="B683" s="176"/>
      <c r="C683" s="174"/>
      <c r="D683" s="172"/>
      <c r="E683" s="23">
        <v>1408</v>
      </c>
      <c r="F683" s="23">
        <f>DEMANDA_PREVISIÓN!E1412</f>
        <v>31</v>
      </c>
      <c r="G683" s="101"/>
      <c r="H683" s="129">
        <f>I682+H682</f>
        <v>9877</v>
      </c>
      <c r="I683" s="23"/>
      <c r="J683" s="137">
        <v>400</v>
      </c>
      <c r="K683" s="101"/>
      <c r="L683" s="137">
        <v>50</v>
      </c>
      <c r="M683" s="118"/>
      <c r="Q683" s="141">
        <v>17.429861111111499</v>
      </c>
      <c r="R683" s="174"/>
    </row>
    <row r="684" spans="2:18">
      <c r="B684" s="176"/>
      <c r="C684" s="174"/>
      <c r="D684" s="172"/>
      <c r="E684" s="23">
        <v>1409</v>
      </c>
      <c r="F684" s="23">
        <f>DEMANDA_PREVISIÓN!E1413</f>
        <v>39</v>
      </c>
      <c r="G684" s="101"/>
      <c r="H684" s="23">
        <f t="shared" ref="H684:H690" si="72">H683-F684</f>
        <v>9838</v>
      </c>
      <c r="I684" s="137">
        <v>400</v>
      </c>
      <c r="J684" s="137">
        <v>400</v>
      </c>
      <c r="K684" s="101"/>
      <c r="L684" s="137">
        <v>50</v>
      </c>
      <c r="M684" s="118"/>
      <c r="Q684" s="141">
        <v>17.439467592593001</v>
      </c>
      <c r="R684" s="174"/>
    </row>
    <row r="685" spans="2:18">
      <c r="B685" s="176"/>
      <c r="C685" s="174"/>
      <c r="D685" s="172"/>
      <c r="E685" s="23">
        <v>1410</v>
      </c>
      <c r="F685" s="23">
        <f>DEMANDA_PREVISIÓN!E1414</f>
        <v>40</v>
      </c>
      <c r="G685" s="101"/>
      <c r="H685" s="23">
        <f t="shared" si="72"/>
        <v>9798</v>
      </c>
      <c r="I685" s="137">
        <v>400</v>
      </c>
      <c r="J685" s="138">
        <v>400</v>
      </c>
      <c r="K685" s="101"/>
      <c r="L685" s="138">
        <v>50</v>
      </c>
      <c r="M685" s="118"/>
      <c r="Q685" s="141">
        <v>17.449074074074399</v>
      </c>
      <c r="R685" s="174"/>
    </row>
    <row r="686" spans="2:18">
      <c r="B686" s="176"/>
      <c r="C686" s="174"/>
      <c r="D686" s="172"/>
      <c r="E686" s="23">
        <v>1411</v>
      </c>
      <c r="F686" s="23">
        <f>DEMANDA_PREVISIÓN!E1415</f>
        <v>33</v>
      </c>
      <c r="G686" s="101"/>
      <c r="H686" s="23">
        <f t="shared" si="72"/>
        <v>9765</v>
      </c>
      <c r="I686" s="137">
        <v>400</v>
      </c>
      <c r="J686" s="138">
        <v>400</v>
      </c>
      <c r="K686" s="101"/>
      <c r="L686" s="138">
        <v>50</v>
      </c>
      <c r="M686" s="118"/>
      <c r="Q686" s="141">
        <v>17.458680555555901</v>
      </c>
      <c r="R686" s="174"/>
    </row>
    <row r="687" spans="2:18">
      <c r="B687" s="176"/>
      <c r="C687" s="174"/>
      <c r="D687" s="172"/>
      <c r="E687" s="23">
        <v>1412</v>
      </c>
      <c r="F687" s="23">
        <f>DEMANDA_PREVISIÓN!E1416</f>
        <v>40</v>
      </c>
      <c r="G687" s="101"/>
      <c r="H687" s="23">
        <f t="shared" si="72"/>
        <v>9725</v>
      </c>
      <c r="I687" s="137">
        <v>400</v>
      </c>
      <c r="J687" s="138">
        <v>400</v>
      </c>
      <c r="K687" s="101"/>
      <c r="L687" s="138">
        <v>50</v>
      </c>
      <c r="M687" s="118"/>
      <c r="Q687" s="141">
        <v>17.468287037037399</v>
      </c>
      <c r="R687" s="174"/>
    </row>
    <row r="688" spans="2:18">
      <c r="B688" s="176"/>
      <c r="C688" s="174"/>
      <c r="D688" s="172"/>
      <c r="E688" s="23">
        <v>1413</v>
      </c>
      <c r="F688" s="23">
        <f>DEMANDA_PREVISIÓN!E1417</f>
        <v>49</v>
      </c>
      <c r="G688" s="101"/>
      <c r="H688" s="23">
        <f t="shared" si="72"/>
        <v>9676</v>
      </c>
      <c r="I688" s="137">
        <v>400</v>
      </c>
      <c r="J688" s="138">
        <v>400</v>
      </c>
      <c r="K688" s="101"/>
      <c r="L688" s="138">
        <v>50</v>
      </c>
      <c r="M688" s="118"/>
      <c r="Q688" s="141">
        <v>17.477893518518901</v>
      </c>
      <c r="R688" s="174"/>
    </row>
    <row r="689" spans="2:18">
      <c r="B689" s="176"/>
      <c r="C689" s="174"/>
      <c r="D689" s="172"/>
      <c r="E689" s="23">
        <v>1414</v>
      </c>
      <c r="F689" s="23">
        <f>DEMANDA_PREVISIÓN!E1418</f>
        <v>42</v>
      </c>
      <c r="G689" s="101"/>
      <c r="H689" s="23">
        <f t="shared" si="72"/>
        <v>9634</v>
      </c>
      <c r="I689" s="137">
        <v>400</v>
      </c>
      <c r="J689" s="138">
        <v>400</v>
      </c>
      <c r="K689" s="101"/>
      <c r="L689" s="138">
        <v>50</v>
      </c>
      <c r="M689" s="118"/>
      <c r="Q689" s="141">
        <v>17.487500000000399</v>
      </c>
      <c r="R689" s="174"/>
    </row>
    <row r="690" spans="2:18">
      <c r="B690" s="176"/>
      <c r="C690" s="174"/>
      <c r="D690" s="172"/>
      <c r="E690" s="23">
        <v>1415</v>
      </c>
      <c r="F690" s="23">
        <f>DEMANDA_PREVISIÓN!E1419</f>
        <v>34</v>
      </c>
      <c r="G690" s="101"/>
      <c r="H690" s="23">
        <f t="shared" si="72"/>
        <v>9600</v>
      </c>
      <c r="I690" s="137">
        <v>400</v>
      </c>
      <c r="J690" s="138">
        <v>400</v>
      </c>
      <c r="K690" s="101"/>
      <c r="L690" s="138">
        <v>50</v>
      </c>
      <c r="M690" s="118"/>
      <c r="Q690" s="141">
        <v>17.497106481481801</v>
      </c>
      <c r="R690" s="174"/>
    </row>
    <row r="691" spans="2:18">
      <c r="B691" s="176"/>
      <c r="C691" s="174"/>
      <c r="D691" s="172"/>
      <c r="E691" s="23">
        <v>1416</v>
      </c>
      <c r="F691" s="23">
        <f>DEMANDA_PREVISIÓN!E1420</f>
        <v>36</v>
      </c>
      <c r="G691" s="101"/>
      <c r="H691" s="137">
        <f>I690+H690</f>
        <v>10000</v>
      </c>
      <c r="I691" s="23"/>
      <c r="J691" s="138">
        <v>400</v>
      </c>
      <c r="K691" s="101"/>
      <c r="L691" s="138">
        <v>50</v>
      </c>
      <c r="M691" s="118"/>
      <c r="Q691" s="141">
        <v>17.506712962963299</v>
      </c>
      <c r="R691" s="174"/>
    </row>
    <row r="692" spans="2:18">
      <c r="B692" s="176"/>
      <c r="C692" s="174"/>
      <c r="D692" s="172"/>
      <c r="E692" s="23">
        <v>1417</v>
      </c>
      <c r="F692" s="23">
        <f>DEMANDA_PREVISIÓN!E1421</f>
        <v>38</v>
      </c>
      <c r="G692" s="101"/>
      <c r="H692" s="23">
        <f t="shared" ref="H692:H698" si="73">H691-F692</f>
        <v>9962</v>
      </c>
      <c r="I692" s="138">
        <v>400</v>
      </c>
      <c r="J692" s="138">
        <v>400</v>
      </c>
      <c r="K692" s="101"/>
      <c r="L692" s="138">
        <v>50</v>
      </c>
      <c r="M692" s="118"/>
      <c r="Q692" s="141">
        <v>17.5163194444448</v>
      </c>
      <c r="R692" s="174"/>
    </row>
    <row r="693" spans="2:18">
      <c r="B693" s="176"/>
      <c r="C693" s="174"/>
      <c r="D693" s="172"/>
      <c r="E693" s="23">
        <v>1418</v>
      </c>
      <c r="F693" s="23">
        <f>DEMANDA_PREVISIÓN!E1422</f>
        <v>31</v>
      </c>
      <c r="G693" s="101"/>
      <c r="H693" s="23">
        <f t="shared" si="73"/>
        <v>9931</v>
      </c>
      <c r="I693" s="138">
        <v>400</v>
      </c>
      <c r="J693" s="134">
        <v>400</v>
      </c>
      <c r="K693" s="101"/>
      <c r="L693" s="134">
        <v>50</v>
      </c>
      <c r="M693" s="118"/>
      <c r="Q693" s="141">
        <v>17.525925925926298</v>
      </c>
      <c r="R693" s="174"/>
    </row>
    <row r="694" spans="2:18">
      <c r="B694" s="176"/>
      <c r="C694" s="174"/>
      <c r="D694" s="172"/>
      <c r="E694" s="23">
        <v>1419</v>
      </c>
      <c r="F694" s="23">
        <f>DEMANDA_PREVISIÓN!E1423</f>
        <v>39</v>
      </c>
      <c r="G694" s="101"/>
      <c r="H694" s="23">
        <f t="shared" si="73"/>
        <v>9892</v>
      </c>
      <c r="I694" s="138">
        <v>400</v>
      </c>
      <c r="J694" s="134">
        <v>400</v>
      </c>
      <c r="K694" s="101"/>
      <c r="L694" s="134">
        <v>50</v>
      </c>
      <c r="M694" s="118"/>
      <c r="Q694" s="141">
        <v>17.5355324074078</v>
      </c>
      <c r="R694" s="174"/>
    </row>
    <row r="695" spans="2:18">
      <c r="B695" s="176"/>
      <c r="C695" s="174"/>
      <c r="D695" s="172"/>
      <c r="E695" s="23">
        <v>1420</v>
      </c>
      <c r="F695" s="23">
        <f>DEMANDA_PREVISIÓN!E1424</f>
        <v>33</v>
      </c>
      <c r="G695" s="101"/>
      <c r="H695" s="23">
        <f t="shared" si="73"/>
        <v>9859</v>
      </c>
      <c r="I695" s="138">
        <v>400</v>
      </c>
      <c r="J695" s="134">
        <v>400</v>
      </c>
      <c r="K695" s="101"/>
      <c r="L695" s="134">
        <v>50</v>
      </c>
      <c r="M695" s="118"/>
      <c r="Q695" s="141">
        <v>17.545138888889301</v>
      </c>
      <c r="R695" s="174"/>
    </row>
    <row r="696" spans="2:18">
      <c r="B696" s="176"/>
      <c r="C696" s="174"/>
      <c r="D696" s="172"/>
      <c r="E696" s="23">
        <v>1421</v>
      </c>
      <c r="F696" s="23">
        <f>DEMANDA_PREVISIÓN!E1425</f>
        <v>38</v>
      </c>
      <c r="G696" s="101"/>
      <c r="H696" s="23">
        <f t="shared" si="73"/>
        <v>9821</v>
      </c>
      <c r="I696" s="138">
        <v>400</v>
      </c>
      <c r="J696" s="134">
        <v>400</v>
      </c>
      <c r="K696" s="101"/>
      <c r="L696" s="134">
        <v>50</v>
      </c>
      <c r="M696" s="118"/>
      <c r="Q696" s="141">
        <v>17.5547453703707</v>
      </c>
      <c r="R696" s="174"/>
    </row>
    <row r="697" spans="2:18">
      <c r="B697" s="176"/>
      <c r="C697" s="174"/>
      <c r="D697" s="172"/>
      <c r="E697" s="23">
        <v>1422</v>
      </c>
      <c r="F697" s="23">
        <f>DEMANDA_PREVISIÓN!E1426</f>
        <v>40</v>
      </c>
      <c r="G697" s="101"/>
      <c r="H697" s="23">
        <f t="shared" si="73"/>
        <v>9781</v>
      </c>
      <c r="I697" s="138">
        <v>400</v>
      </c>
      <c r="J697" s="134">
        <v>400</v>
      </c>
      <c r="K697" s="101"/>
      <c r="L697" s="134">
        <v>50</v>
      </c>
      <c r="M697" s="118"/>
      <c r="Q697" s="141">
        <v>17.564351851852201</v>
      </c>
      <c r="R697" s="174"/>
    </row>
    <row r="698" spans="2:18">
      <c r="B698" s="176"/>
      <c r="C698" s="174"/>
      <c r="D698" s="172"/>
      <c r="E698" s="23">
        <v>1423</v>
      </c>
      <c r="F698" s="23">
        <f>DEMANDA_PREVISIÓN!E1427</f>
        <v>44</v>
      </c>
      <c r="G698" s="101"/>
      <c r="H698" s="23">
        <f t="shared" si="73"/>
        <v>9737</v>
      </c>
      <c r="I698" s="138">
        <v>400</v>
      </c>
      <c r="J698" s="134">
        <v>400</v>
      </c>
      <c r="K698" s="101"/>
      <c r="L698" s="134">
        <v>50</v>
      </c>
      <c r="M698" s="118"/>
      <c r="Q698" s="141">
        <v>17.573958333333699</v>
      </c>
      <c r="R698" s="174"/>
    </row>
    <row r="699" spans="2:18">
      <c r="B699" s="176"/>
      <c r="C699" s="174"/>
      <c r="D699" s="172"/>
      <c r="E699" s="23">
        <v>1424</v>
      </c>
      <c r="F699" s="23">
        <f>DEMANDA_PREVISIÓN!E1428</f>
        <v>36</v>
      </c>
      <c r="G699" s="101"/>
      <c r="H699" s="138">
        <f>I698+H698</f>
        <v>10137</v>
      </c>
      <c r="I699" s="23"/>
      <c r="J699" s="134">
        <v>400</v>
      </c>
      <c r="K699" s="101"/>
      <c r="L699" s="134">
        <v>50</v>
      </c>
      <c r="M699" s="118"/>
      <c r="Q699" s="141">
        <v>17.583564814815201</v>
      </c>
      <c r="R699" s="174"/>
    </row>
    <row r="700" spans="2:18">
      <c r="B700" s="176"/>
      <c r="C700" s="174"/>
      <c r="D700" s="172"/>
      <c r="E700" s="23">
        <v>1425</v>
      </c>
      <c r="F700" s="23">
        <f>DEMANDA_PREVISIÓN!E1429</f>
        <v>37</v>
      </c>
      <c r="G700" s="101"/>
      <c r="H700" s="23">
        <f t="shared" ref="H700:H706" si="74">H699-F700</f>
        <v>10100</v>
      </c>
      <c r="I700" s="134">
        <v>400</v>
      </c>
      <c r="J700" s="134">
        <v>400</v>
      </c>
      <c r="K700" s="101"/>
      <c r="L700" s="134">
        <v>50</v>
      </c>
      <c r="M700" s="118"/>
      <c r="Q700" s="141">
        <v>17.593171296296699</v>
      </c>
      <c r="R700" s="174"/>
    </row>
    <row r="701" spans="2:18">
      <c r="B701" s="176"/>
      <c r="C701" s="174"/>
      <c r="D701" s="172"/>
      <c r="E701" s="23">
        <v>1426</v>
      </c>
      <c r="F701" s="23">
        <f>DEMANDA_PREVISIÓN!E1430</f>
        <v>36</v>
      </c>
      <c r="G701" s="101"/>
      <c r="H701" s="23">
        <f t="shared" si="74"/>
        <v>10064</v>
      </c>
      <c r="I701" s="134">
        <v>400</v>
      </c>
      <c r="J701" s="128">
        <v>400</v>
      </c>
      <c r="K701" s="101"/>
      <c r="L701" s="128">
        <v>50</v>
      </c>
      <c r="M701" s="118"/>
      <c r="Q701" s="141">
        <v>17.602777777778201</v>
      </c>
      <c r="R701" s="174"/>
    </row>
    <row r="702" spans="2:18">
      <c r="B702" s="176"/>
      <c r="C702" s="174"/>
      <c r="D702" s="172"/>
      <c r="E702" s="23">
        <v>1427</v>
      </c>
      <c r="F702" s="23">
        <f>DEMANDA_PREVISIÓN!E1431</f>
        <v>31</v>
      </c>
      <c r="G702" s="101"/>
      <c r="H702" s="23">
        <f t="shared" si="74"/>
        <v>10033</v>
      </c>
      <c r="I702" s="134">
        <v>400</v>
      </c>
      <c r="J702" s="128">
        <v>400</v>
      </c>
      <c r="K702" s="101"/>
      <c r="L702" s="128">
        <v>50</v>
      </c>
      <c r="M702" s="118"/>
      <c r="Q702" s="141">
        <v>17.612384259259599</v>
      </c>
      <c r="R702" s="174"/>
    </row>
    <row r="703" spans="2:18">
      <c r="B703" s="176"/>
      <c r="C703" s="174"/>
      <c r="D703" s="172"/>
      <c r="E703" s="23">
        <v>1428</v>
      </c>
      <c r="F703" s="23">
        <f>DEMANDA_PREVISIÓN!E1432</f>
        <v>39</v>
      </c>
      <c r="G703" s="101"/>
      <c r="H703" s="23">
        <f t="shared" si="74"/>
        <v>9994</v>
      </c>
      <c r="I703" s="134">
        <v>400</v>
      </c>
      <c r="J703" s="128">
        <v>400</v>
      </c>
      <c r="K703" s="101"/>
      <c r="L703" s="128">
        <v>50</v>
      </c>
      <c r="M703" s="118"/>
      <c r="Q703" s="141">
        <v>17.621990740741101</v>
      </c>
      <c r="R703" s="174"/>
    </row>
    <row r="704" spans="2:18">
      <c r="B704" s="176"/>
      <c r="C704" s="174"/>
      <c r="D704" s="173"/>
      <c r="E704" s="23">
        <v>1429</v>
      </c>
      <c r="F704" s="23">
        <f>DEMANDA_PREVISIÓN!E1433</f>
        <v>40</v>
      </c>
      <c r="G704" s="101"/>
      <c r="H704" s="23">
        <f t="shared" si="74"/>
        <v>9954</v>
      </c>
      <c r="I704" s="134">
        <v>400</v>
      </c>
      <c r="J704" s="128">
        <v>400</v>
      </c>
      <c r="K704" s="101"/>
      <c r="L704" s="128">
        <v>50</v>
      </c>
      <c r="M704" s="118"/>
      <c r="Q704" s="141">
        <v>17.631597222222599</v>
      </c>
      <c r="R704" s="174"/>
    </row>
    <row r="705" spans="2:18">
      <c r="B705" s="176"/>
      <c r="C705" s="174"/>
      <c r="D705" s="171" t="s">
        <v>55</v>
      </c>
      <c r="E705" s="23">
        <v>1430</v>
      </c>
      <c r="F705" s="23">
        <f>DEMANDA_PREVISIÓN!E1434</f>
        <v>37</v>
      </c>
      <c r="G705" s="101"/>
      <c r="H705" s="23">
        <f t="shared" si="74"/>
        <v>9917</v>
      </c>
      <c r="I705" s="134">
        <v>400</v>
      </c>
      <c r="J705" s="128">
        <v>400</v>
      </c>
      <c r="K705" s="101"/>
      <c r="L705" s="128">
        <v>50</v>
      </c>
      <c r="M705" s="118"/>
      <c r="Q705" s="141">
        <v>17.6412037037041</v>
      </c>
      <c r="R705" s="174"/>
    </row>
    <row r="706" spans="2:18">
      <c r="B706" s="176"/>
      <c r="C706" s="174"/>
      <c r="D706" s="172"/>
      <c r="E706" s="23">
        <v>1431</v>
      </c>
      <c r="F706" s="23">
        <f>DEMANDA_PREVISIÓN!E1435</f>
        <v>32</v>
      </c>
      <c r="G706" s="101"/>
      <c r="H706" s="23">
        <f t="shared" si="74"/>
        <v>9885</v>
      </c>
      <c r="I706" s="134">
        <v>400</v>
      </c>
      <c r="J706" s="128">
        <v>400</v>
      </c>
      <c r="K706" s="101"/>
      <c r="L706" s="128">
        <v>50</v>
      </c>
      <c r="M706" s="118"/>
      <c r="Q706" s="141">
        <v>17.650810185185598</v>
      </c>
      <c r="R706" s="174"/>
    </row>
    <row r="707" spans="2:18">
      <c r="B707" s="176"/>
      <c r="C707" s="174"/>
      <c r="D707" s="172"/>
      <c r="E707" s="23">
        <v>1432</v>
      </c>
      <c r="F707" s="23">
        <f>DEMANDA_PREVISIÓN!E1436</f>
        <v>33</v>
      </c>
      <c r="G707" s="101"/>
      <c r="H707" s="134">
        <f>I706+H706</f>
        <v>10285</v>
      </c>
      <c r="I707" s="23"/>
      <c r="J707" s="128">
        <v>400</v>
      </c>
      <c r="K707" s="101"/>
      <c r="L707" s="128">
        <v>50</v>
      </c>
      <c r="M707" s="118"/>
      <c r="Q707" s="141">
        <v>17.660416666667</v>
      </c>
      <c r="R707" s="174"/>
    </row>
    <row r="708" spans="2:18">
      <c r="B708" s="176"/>
      <c r="C708" s="174"/>
      <c r="D708" s="172"/>
      <c r="E708" s="23">
        <v>1433</v>
      </c>
      <c r="F708" s="23">
        <f>DEMANDA_PREVISIÓN!E1437</f>
        <v>41</v>
      </c>
      <c r="G708" s="101"/>
      <c r="H708" s="23">
        <f>H707-F708</f>
        <v>10244</v>
      </c>
      <c r="I708" s="128">
        <v>400</v>
      </c>
      <c r="J708" s="128">
        <v>400</v>
      </c>
      <c r="K708" s="101"/>
      <c r="L708" s="128">
        <v>50</v>
      </c>
      <c r="M708" s="118"/>
      <c r="Q708" s="141">
        <v>17.670023148148498</v>
      </c>
      <c r="R708" s="174"/>
    </row>
    <row r="709" spans="2:18">
      <c r="B709" s="176"/>
      <c r="C709" s="174"/>
      <c r="D709" s="172"/>
      <c r="E709" s="23">
        <v>1434</v>
      </c>
      <c r="F709" s="23">
        <f>DEMANDA_PREVISIÓN!E1438</f>
        <v>46</v>
      </c>
      <c r="G709" s="101"/>
      <c r="H709" s="23">
        <f>H708-F709</f>
        <v>10198</v>
      </c>
      <c r="I709" s="128">
        <v>400</v>
      </c>
      <c r="J709" s="129">
        <v>400</v>
      </c>
      <c r="K709" s="101"/>
      <c r="L709" s="129">
        <v>50</v>
      </c>
      <c r="M709" s="118"/>
      <c r="Q709" s="141">
        <v>17.67962962963</v>
      </c>
      <c r="R709" s="174"/>
    </row>
    <row r="710" spans="2:18">
      <c r="B710" s="176"/>
      <c r="C710" s="174"/>
      <c r="D710" s="172"/>
      <c r="E710" s="23">
        <v>1435</v>
      </c>
      <c r="F710" s="23">
        <f>DEMANDA_PREVISIÓN!E1439</f>
        <v>33</v>
      </c>
      <c r="G710" s="101"/>
      <c r="H710" s="23">
        <f>H709-F710</f>
        <v>10165</v>
      </c>
      <c r="I710" s="128">
        <v>400</v>
      </c>
      <c r="J710" s="129">
        <v>400</v>
      </c>
      <c r="K710" s="101"/>
      <c r="L710" s="129">
        <v>50</v>
      </c>
      <c r="M710" s="118"/>
      <c r="Q710" s="141">
        <v>17.689236111111502</v>
      </c>
      <c r="R710" s="174"/>
    </row>
    <row r="711" spans="2:18">
      <c r="B711" s="176"/>
      <c r="C711" s="174"/>
      <c r="D711" s="172"/>
      <c r="E711" s="23">
        <v>1436</v>
      </c>
      <c r="F711" s="23">
        <f>DEMANDA_PREVISIÓN!E1440</f>
        <v>34</v>
      </c>
      <c r="G711" s="101"/>
      <c r="H711" s="23">
        <f>H710-F711</f>
        <v>10131</v>
      </c>
      <c r="I711" s="128">
        <v>400</v>
      </c>
      <c r="J711" s="129">
        <v>400</v>
      </c>
      <c r="K711" s="101"/>
      <c r="L711" s="129">
        <v>50</v>
      </c>
      <c r="M711" s="118"/>
      <c r="Q711" s="141">
        <v>17.698842592593</v>
      </c>
      <c r="R711" s="174"/>
    </row>
    <row r="712" spans="2:18">
      <c r="B712" s="176"/>
      <c r="C712" s="174"/>
      <c r="D712" s="172"/>
      <c r="E712" s="23">
        <v>1437</v>
      </c>
      <c r="F712" s="23">
        <f>DEMANDA_PREVISIÓN!E1441</f>
        <v>34</v>
      </c>
      <c r="G712" s="101"/>
      <c r="H712" s="23">
        <f t="shared" ref="H712:H714" si="75">H711-F712</f>
        <v>10097</v>
      </c>
      <c r="I712" s="128">
        <v>400</v>
      </c>
      <c r="J712" s="129">
        <v>400</v>
      </c>
      <c r="K712" s="101"/>
      <c r="L712" s="129">
        <v>50</v>
      </c>
      <c r="M712" s="118"/>
      <c r="Q712" s="141">
        <v>17.708449074074501</v>
      </c>
      <c r="R712" s="174"/>
    </row>
    <row r="713" spans="2:18">
      <c r="B713" s="176"/>
      <c r="C713" s="174"/>
      <c r="D713" s="172"/>
      <c r="E713" s="23">
        <v>1438</v>
      </c>
      <c r="F713" s="23">
        <f>DEMANDA_PREVISIÓN!E1442</f>
        <v>39</v>
      </c>
      <c r="G713" s="101"/>
      <c r="H713" s="23">
        <f t="shared" si="75"/>
        <v>10058</v>
      </c>
      <c r="I713" s="128">
        <v>400</v>
      </c>
      <c r="J713" s="129">
        <v>400</v>
      </c>
      <c r="K713" s="101"/>
      <c r="L713" s="129">
        <v>50</v>
      </c>
      <c r="M713" s="118"/>
      <c r="Q713" s="141">
        <v>17.7180555555559</v>
      </c>
      <c r="R713" s="174"/>
    </row>
    <row r="714" spans="2:18">
      <c r="B714" s="176"/>
      <c r="C714" s="174"/>
      <c r="D714" s="172"/>
      <c r="E714" s="23">
        <v>1439</v>
      </c>
      <c r="F714" s="23">
        <f>DEMANDA_PREVISIÓN!E1443</f>
        <v>40</v>
      </c>
      <c r="G714" s="101"/>
      <c r="H714" s="23">
        <f t="shared" si="75"/>
        <v>10018</v>
      </c>
      <c r="I714" s="128">
        <v>400</v>
      </c>
      <c r="J714" s="129">
        <v>400</v>
      </c>
      <c r="K714" s="101"/>
      <c r="L714" s="129">
        <v>50</v>
      </c>
      <c r="M714" s="118"/>
      <c r="Q714" s="141">
        <v>17.727662037037401</v>
      </c>
      <c r="R714" s="174"/>
    </row>
    <row r="715" spans="2:18">
      <c r="B715" s="176"/>
      <c r="C715" s="174"/>
      <c r="D715" s="172"/>
      <c r="E715" s="23">
        <v>1440</v>
      </c>
      <c r="F715" s="23">
        <f>DEMANDA_PREVISIÓN!E1444</f>
        <v>41</v>
      </c>
      <c r="G715" s="101"/>
      <c r="H715" s="128">
        <f>I714+H714</f>
        <v>10418</v>
      </c>
      <c r="J715" s="129">
        <v>400</v>
      </c>
      <c r="K715" s="47"/>
      <c r="L715" s="129">
        <v>50</v>
      </c>
      <c r="M715" s="118"/>
      <c r="Q715" s="141">
        <v>17.737268518518899</v>
      </c>
      <c r="R715" s="174"/>
    </row>
    <row r="716" spans="2:18">
      <c r="B716" s="176"/>
      <c r="C716" s="174"/>
      <c r="D716" s="172"/>
      <c r="E716" s="23">
        <v>1441</v>
      </c>
      <c r="F716" s="23">
        <f>DEMANDA_PREVISIÓN!E1445</f>
        <v>42</v>
      </c>
      <c r="G716" s="101"/>
      <c r="H716" s="23">
        <f t="shared" ref="H716:H722" si="76">H715-F716</f>
        <v>10376</v>
      </c>
      <c r="I716" s="129">
        <v>400</v>
      </c>
      <c r="J716" s="129">
        <v>400</v>
      </c>
      <c r="K716" s="101"/>
      <c r="L716" s="129">
        <v>50</v>
      </c>
      <c r="M716" s="118"/>
      <c r="Q716" s="141">
        <v>17.746875000000401</v>
      </c>
      <c r="R716" s="174"/>
    </row>
    <row r="717" spans="2:18">
      <c r="B717" s="176"/>
      <c r="C717" s="174"/>
      <c r="D717" s="172"/>
      <c r="E717" s="23">
        <v>1442</v>
      </c>
      <c r="F717" s="23">
        <f>DEMANDA_PREVISIÓN!E1446</f>
        <v>39</v>
      </c>
      <c r="G717" s="101"/>
      <c r="H717" s="23">
        <f t="shared" si="76"/>
        <v>10337</v>
      </c>
      <c r="I717" s="129">
        <v>400</v>
      </c>
      <c r="J717" s="137">
        <v>400</v>
      </c>
      <c r="K717" s="101"/>
      <c r="L717" s="137">
        <v>50</v>
      </c>
      <c r="M717" s="118"/>
      <c r="Q717" s="141">
        <v>17.756481481481899</v>
      </c>
      <c r="R717" s="174"/>
    </row>
    <row r="718" spans="2:18">
      <c r="B718" s="176"/>
      <c r="C718" s="174"/>
      <c r="D718" s="172"/>
      <c r="E718" s="23">
        <v>1443</v>
      </c>
      <c r="F718" s="23">
        <f>DEMANDA_PREVISIÓN!E1447</f>
        <v>44</v>
      </c>
      <c r="G718" s="101"/>
      <c r="H718" s="23">
        <f t="shared" si="76"/>
        <v>10293</v>
      </c>
      <c r="I718" s="129">
        <v>400</v>
      </c>
      <c r="J718" s="137">
        <v>400</v>
      </c>
      <c r="K718" s="101"/>
      <c r="L718" s="137">
        <v>50</v>
      </c>
      <c r="M718" s="118"/>
      <c r="Q718" s="141">
        <v>17.766087962963301</v>
      </c>
      <c r="R718" s="174"/>
    </row>
    <row r="719" spans="2:18">
      <c r="B719" s="176"/>
      <c r="C719" s="174"/>
      <c r="D719" s="172"/>
      <c r="E719" s="23">
        <v>1444</v>
      </c>
      <c r="F719" s="23">
        <f>DEMANDA_PREVISIÓN!E1448</f>
        <v>41</v>
      </c>
      <c r="G719" s="101"/>
      <c r="H719" s="23">
        <f t="shared" si="76"/>
        <v>10252</v>
      </c>
      <c r="I719" s="129">
        <v>400</v>
      </c>
      <c r="J719" s="137">
        <v>400</v>
      </c>
      <c r="K719" s="101"/>
      <c r="L719" s="137">
        <v>50</v>
      </c>
      <c r="M719" s="118"/>
      <c r="Q719" s="141">
        <v>17.775694444444799</v>
      </c>
      <c r="R719" s="174"/>
    </row>
    <row r="720" spans="2:18">
      <c r="B720" s="176"/>
      <c r="C720" s="174"/>
      <c r="D720" s="172"/>
      <c r="E720" s="23">
        <v>1445</v>
      </c>
      <c r="F720" s="23">
        <f>DEMANDA_PREVISIÓN!E1449</f>
        <v>37</v>
      </c>
      <c r="G720" s="101"/>
      <c r="H720" s="23">
        <f t="shared" si="76"/>
        <v>10215</v>
      </c>
      <c r="I720" s="129">
        <v>400</v>
      </c>
      <c r="J720" s="137">
        <v>400</v>
      </c>
      <c r="K720" s="101"/>
      <c r="L720" s="137">
        <v>50</v>
      </c>
      <c r="M720" s="118"/>
      <c r="Q720" s="141">
        <v>17.7853009259263</v>
      </c>
      <c r="R720" s="174"/>
    </row>
    <row r="721" spans="2:18">
      <c r="B721" s="176"/>
      <c r="C721" s="174"/>
      <c r="D721" s="172"/>
      <c r="E721" s="23">
        <v>1446</v>
      </c>
      <c r="F721" s="23">
        <f>DEMANDA_PREVISIÓN!E1450</f>
        <v>41</v>
      </c>
      <c r="G721" s="101"/>
      <c r="H721" s="23">
        <f t="shared" si="76"/>
        <v>10174</v>
      </c>
      <c r="I721" s="129">
        <v>400</v>
      </c>
      <c r="J721" s="137">
        <v>400</v>
      </c>
      <c r="K721" s="101"/>
      <c r="L721" s="137">
        <v>50</v>
      </c>
      <c r="M721" s="118"/>
      <c r="Q721" s="141">
        <v>17.794907407407798</v>
      </c>
      <c r="R721" s="174"/>
    </row>
    <row r="722" spans="2:18">
      <c r="B722" s="176"/>
      <c r="C722" s="174"/>
      <c r="D722" s="172"/>
      <c r="E722" s="23">
        <v>1447</v>
      </c>
      <c r="F722" s="23">
        <f>DEMANDA_PREVISIÓN!E1451</f>
        <v>40</v>
      </c>
      <c r="G722" s="101"/>
      <c r="H722" s="23">
        <f t="shared" si="76"/>
        <v>10134</v>
      </c>
      <c r="I722" s="129">
        <v>400</v>
      </c>
      <c r="J722" s="137">
        <v>400</v>
      </c>
      <c r="K722" s="101"/>
      <c r="L722" s="137">
        <v>50</v>
      </c>
      <c r="M722" s="118"/>
      <c r="Q722" s="141">
        <v>17.8045138888893</v>
      </c>
      <c r="R722" s="174"/>
    </row>
    <row r="723" spans="2:18">
      <c r="B723" s="176"/>
      <c r="C723" s="174"/>
      <c r="D723" s="172"/>
      <c r="E723" s="23">
        <v>1448</v>
      </c>
      <c r="F723" s="23">
        <f>DEMANDA_PREVISIÓN!E1452</f>
        <v>33</v>
      </c>
      <c r="G723" s="101"/>
      <c r="H723" s="129">
        <f>I722+H722</f>
        <v>10534</v>
      </c>
      <c r="I723" s="23"/>
      <c r="J723" s="137">
        <v>400</v>
      </c>
      <c r="K723" s="101"/>
      <c r="L723" s="137">
        <v>50</v>
      </c>
      <c r="M723" s="118"/>
      <c r="Q723" s="141">
        <v>17.814120370370802</v>
      </c>
      <c r="R723" s="174"/>
    </row>
    <row r="724" spans="2:18">
      <c r="B724" s="176"/>
      <c r="C724" s="174"/>
      <c r="D724" s="172"/>
      <c r="E724" s="23">
        <v>1449</v>
      </c>
      <c r="F724" s="23">
        <f>DEMANDA_PREVISIÓN!E1453</f>
        <v>37</v>
      </c>
      <c r="G724" s="101"/>
      <c r="H724" s="23">
        <f t="shared" ref="H724:H730" si="77">H723-F724</f>
        <v>10497</v>
      </c>
      <c r="I724" s="137">
        <v>400</v>
      </c>
      <c r="J724" s="137">
        <v>400</v>
      </c>
      <c r="K724" s="101"/>
      <c r="L724" s="137">
        <v>50</v>
      </c>
      <c r="M724" s="118"/>
      <c r="Q724" s="141">
        <v>17.8237268518522</v>
      </c>
      <c r="R724" s="174"/>
    </row>
    <row r="725" spans="2:18">
      <c r="B725" s="176"/>
      <c r="C725" s="174"/>
      <c r="D725" s="172"/>
      <c r="E725" s="23">
        <v>1450</v>
      </c>
      <c r="F725" s="23">
        <f>DEMANDA_PREVISIÓN!E1454</f>
        <v>37</v>
      </c>
      <c r="G725" s="101"/>
      <c r="H725" s="23">
        <f t="shared" si="77"/>
        <v>10460</v>
      </c>
      <c r="I725" s="137">
        <v>400</v>
      </c>
      <c r="J725" s="138">
        <v>400</v>
      </c>
      <c r="K725" s="101"/>
      <c r="L725" s="138">
        <v>50</v>
      </c>
      <c r="M725" s="118"/>
      <c r="Q725" s="141">
        <v>17.833333333333702</v>
      </c>
      <c r="R725" s="174"/>
    </row>
    <row r="726" spans="2:18">
      <c r="B726" s="176"/>
      <c r="C726" s="174"/>
      <c r="D726" s="172"/>
      <c r="E726" s="23">
        <v>1451</v>
      </c>
      <c r="F726" s="23">
        <f>DEMANDA_PREVISIÓN!E1455</f>
        <v>36</v>
      </c>
      <c r="G726" s="101"/>
      <c r="H726" s="23">
        <f t="shared" si="77"/>
        <v>10424</v>
      </c>
      <c r="I726" s="137">
        <v>400</v>
      </c>
      <c r="J726" s="138">
        <v>400</v>
      </c>
      <c r="K726" s="101"/>
      <c r="L726" s="138">
        <v>50</v>
      </c>
      <c r="M726" s="118"/>
      <c r="Q726" s="141">
        <v>17.8429398148152</v>
      </c>
      <c r="R726" s="174"/>
    </row>
    <row r="727" spans="2:18">
      <c r="B727" s="176"/>
      <c r="C727" s="174"/>
      <c r="D727" s="172"/>
      <c r="E727" s="23">
        <v>1452</v>
      </c>
      <c r="F727" s="23">
        <f>DEMANDA_PREVISIÓN!E1456</f>
        <v>31</v>
      </c>
      <c r="G727" s="101"/>
      <c r="H727" s="23">
        <f t="shared" si="77"/>
        <v>10393</v>
      </c>
      <c r="I727" s="137">
        <v>400</v>
      </c>
      <c r="J727" s="138">
        <v>400</v>
      </c>
      <c r="K727" s="101"/>
      <c r="L727" s="138">
        <v>50</v>
      </c>
      <c r="M727" s="118"/>
      <c r="Q727" s="141">
        <v>17.852546296296701</v>
      </c>
      <c r="R727" s="174"/>
    </row>
    <row r="728" spans="2:18">
      <c r="B728" s="176"/>
      <c r="C728" s="174"/>
      <c r="D728" s="172"/>
      <c r="E728" s="23">
        <v>1453</v>
      </c>
      <c r="F728" s="23">
        <f>DEMANDA_PREVISIÓN!E1457</f>
        <v>33</v>
      </c>
      <c r="G728" s="101"/>
      <c r="H728" s="23">
        <f t="shared" si="77"/>
        <v>10360</v>
      </c>
      <c r="I728" s="137">
        <v>400</v>
      </c>
      <c r="J728" s="138">
        <v>400</v>
      </c>
      <c r="K728" s="101"/>
      <c r="L728" s="138">
        <v>50</v>
      </c>
      <c r="M728" s="118"/>
      <c r="Q728" s="141">
        <v>17.862152777778199</v>
      </c>
      <c r="R728" s="174"/>
    </row>
    <row r="729" spans="2:18">
      <c r="B729" s="176"/>
      <c r="C729" s="174"/>
      <c r="D729" s="172"/>
      <c r="E729" s="23">
        <v>1454</v>
      </c>
      <c r="F729" s="23">
        <f>DEMANDA_PREVISIÓN!E1458</f>
        <v>38</v>
      </c>
      <c r="G729" s="101"/>
      <c r="H729" s="23">
        <f t="shared" si="77"/>
        <v>10322</v>
      </c>
      <c r="I729" s="137">
        <v>400</v>
      </c>
      <c r="J729" s="138">
        <v>400</v>
      </c>
      <c r="K729" s="101"/>
      <c r="L729" s="138">
        <v>50</v>
      </c>
      <c r="M729" s="118"/>
      <c r="Q729" s="141">
        <v>17.871759259259601</v>
      </c>
      <c r="R729" s="174"/>
    </row>
    <row r="730" spans="2:18">
      <c r="B730" s="176"/>
      <c r="C730" s="174"/>
      <c r="D730" s="172"/>
      <c r="E730" s="23">
        <v>1455</v>
      </c>
      <c r="F730" s="23">
        <f>DEMANDA_PREVISIÓN!E1459</f>
        <v>38</v>
      </c>
      <c r="G730" s="101"/>
      <c r="H730" s="23">
        <f t="shared" si="77"/>
        <v>10284</v>
      </c>
      <c r="I730" s="137">
        <v>400</v>
      </c>
      <c r="J730" s="138">
        <v>400</v>
      </c>
      <c r="K730" s="101"/>
      <c r="L730" s="138">
        <v>50</v>
      </c>
      <c r="M730" s="118"/>
      <c r="Q730" s="141">
        <v>17.881365740741099</v>
      </c>
      <c r="R730" s="174"/>
    </row>
    <row r="731" spans="2:18">
      <c r="B731" s="176"/>
      <c r="C731" s="174"/>
      <c r="D731" s="172"/>
      <c r="E731" s="23">
        <v>1456</v>
      </c>
      <c r="F731" s="23">
        <f>DEMANDA_PREVISIÓN!E1460</f>
        <v>37</v>
      </c>
      <c r="G731" s="101"/>
      <c r="H731" s="137">
        <f>I730+H730</f>
        <v>10684</v>
      </c>
      <c r="I731" s="23"/>
      <c r="J731" s="23"/>
      <c r="K731" s="101"/>
      <c r="L731" s="23"/>
      <c r="M731" s="118"/>
      <c r="Q731" s="141">
        <v>17.890972222222601</v>
      </c>
      <c r="R731" s="174"/>
    </row>
    <row r="732" spans="2:18">
      <c r="B732" s="176"/>
      <c r="C732" s="174"/>
      <c r="D732" s="172"/>
      <c r="E732" s="23">
        <v>1457</v>
      </c>
      <c r="F732" s="23">
        <f>DEMANDA_PREVISIÓN!E1461</f>
        <v>33</v>
      </c>
      <c r="G732" s="102"/>
      <c r="H732" s="23">
        <f>H731-F732</f>
        <v>10651</v>
      </c>
      <c r="I732" s="23"/>
      <c r="J732" s="23"/>
      <c r="K732" s="101"/>
      <c r="L732" s="23"/>
      <c r="M732" s="118"/>
      <c r="Q732" s="141">
        <v>17.900578703704099</v>
      </c>
      <c r="R732" s="174"/>
    </row>
    <row r="733" spans="2:18">
      <c r="B733" s="176"/>
      <c r="C733" s="174"/>
      <c r="D733" s="172"/>
      <c r="E733" s="23">
        <v>1458</v>
      </c>
      <c r="F733" s="23">
        <f>DEMANDA_PREVISIÓN!E1462</f>
        <v>35</v>
      </c>
      <c r="G733" s="102"/>
      <c r="H733" s="23">
        <f>H732-F733</f>
        <v>10616</v>
      </c>
      <c r="I733" s="23"/>
      <c r="J733" s="23"/>
      <c r="K733" s="101"/>
      <c r="L733" s="23"/>
      <c r="M733" s="118"/>
      <c r="Q733" s="141">
        <v>17.9101851851856</v>
      </c>
      <c r="R733" s="174"/>
    </row>
    <row r="734" spans="2:18">
      <c r="B734" s="176"/>
      <c r="C734" s="174"/>
      <c r="D734" s="172"/>
      <c r="E734" s="23">
        <v>1459</v>
      </c>
      <c r="F734" s="23">
        <f>DEMANDA_PREVISIÓN!E1463</f>
        <v>39</v>
      </c>
      <c r="G734" s="102"/>
      <c r="H734" s="23">
        <f>H733-F734</f>
        <v>10577</v>
      </c>
      <c r="I734" s="23"/>
      <c r="J734" s="23"/>
      <c r="K734" s="101"/>
      <c r="L734" s="23"/>
      <c r="M734" s="118"/>
      <c r="Q734" s="141">
        <v>17.919791666667098</v>
      </c>
      <c r="R734" s="174"/>
    </row>
    <row r="735" spans="2:18" ht="15.75" thickBot="1">
      <c r="B735" s="177"/>
      <c r="C735" s="174"/>
      <c r="D735" s="173"/>
      <c r="E735" s="139">
        <v>1460</v>
      </c>
      <c r="F735" s="23">
        <f>DEMANDA_PREVISIÓN!E1464</f>
        <v>28</v>
      </c>
      <c r="G735" s="102"/>
      <c r="H735" s="23">
        <f>H734-F735</f>
        <v>10549</v>
      </c>
      <c r="I735" s="23"/>
      <c r="J735" s="23"/>
      <c r="K735" s="101"/>
      <c r="L735" s="23"/>
      <c r="M735" s="118"/>
      <c r="Q735" s="141">
        <v>17.929398148148501</v>
      </c>
      <c r="R735" s="174"/>
    </row>
  </sheetData>
  <mergeCells count="41">
    <mergeCell ref="R5:R13"/>
    <mergeCell ref="B6:B370"/>
    <mergeCell ref="C6:C95"/>
    <mergeCell ref="D6:D36"/>
    <mergeCell ref="R14:R117"/>
    <mergeCell ref="D37:D64"/>
    <mergeCell ref="D65:D95"/>
    <mergeCell ref="C96:C186"/>
    <mergeCell ref="D96:D125"/>
    <mergeCell ref="R118:R325"/>
    <mergeCell ref="D126:D156"/>
    <mergeCell ref="D157:D186"/>
    <mergeCell ref="C187:C278"/>
    <mergeCell ref="D187:D217"/>
    <mergeCell ref="D218:D248"/>
    <mergeCell ref="D249:D278"/>
    <mergeCell ref="B371:B735"/>
    <mergeCell ref="C371:C460"/>
    <mergeCell ref="D371:D401"/>
    <mergeCell ref="D402:D429"/>
    <mergeCell ref="D430:D460"/>
    <mergeCell ref="C279:C370"/>
    <mergeCell ref="D279:D309"/>
    <mergeCell ref="D310:D339"/>
    <mergeCell ref="R326:R430"/>
    <mergeCell ref="D340:D370"/>
    <mergeCell ref="R431:R534"/>
    <mergeCell ref="C461:C551"/>
    <mergeCell ref="D461:D490"/>
    <mergeCell ref="D491:D521"/>
    <mergeCell ref="D522:D551"/>
    <mergeCell ref="R535:R638"/>
    <mergeCell ref="C552:C643"/>
    <mergeCell ref="D552:D582"/>
    <mergeCell ref="D583:D613"/>
    <mergeCell ref="D614:D643"/>
    <mergeCell ref="R639:R735"/>
    <mergeCell ref="C644:C735"/>
    <mergeCell ref="D644:D674"/>
    <mergeCell ref="D675:D704"/>
    <mergeCell ref="D705:D735"/>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DD06-50C4-491A-8985-C15AEDE58BEB}">
  <dimension ref="B1:W751"/>
  <sheetViews>
    <sheetView zoomScale="85" zoomScaleNormal="85" workbookViewId="0">
      <selection activeCell="M42" sqref="M42"/>
    </sheetView>
  </sheetViews>
  <sheetFormatPr defaultColWidth="11.5703125" defaultRowHeight="15"/>
  <cols>
    <col min="1" max="1" width="11.5703125" style="18"/>
    <col min="2" max="2" width="13.85546875" style="18" bestFit="1" customWidth="1"/>
    <col min="3" max="3" width="13.85546875" style="18" customWidth="1"/>
    <col min="4" max="4" width="5.85546875" style="18" bestFit="1" customWidth="1"/>
    <col min="5" max="5" width="12.28515625" style="18" customWidth="1"/>
    <col min="6" max="6" width="10.7109375" style="18" customWidth="1"/>
    <col min="7" max="7" width="17.5703125" style="18" customWidth="1"/>
    <col min="8" max="8" width="10.28515625" style="18" bestFit="1" customWidth="1"/>
    <col min="9" max="9" width="15.28515625" style="18" bestFit="1" customWidth="1"/>
    <col min="10" max="10" width="10.42578125" style="18" customWidth="1"/>
    <col min="11" max="11" width="14" style="18" bestFit="1" customWidth="1"/>
    <col min="12" max="12" width="14.28515625" style="18" bestFit="1" customWidth="1"/>
    <col min="13" max="13" width="14.28515625" style="18" customWidth="1"/>
    <col min="14" max="18" width="11.5703125" style="18"/>
    <col min="19" max="19" width="3.28515625" style="18" bestFit="1" customWidth="1"/>
    <col min="20" max="20" width="22.28515625" style="18" bestFit="1" customWidth="1"/>
    <col min="21" max="16384" width="11.5703125" style="18"/>
  </cols>
  <sheetData>
    <row r="1" spans="2:23">
      <c r="N1" s="18" t="s">
        <v>134</v>
      </c>
    </row>
    <row r="2" spans="2:23">
      <c r="T2" s="18" t="s">
        <v>135</v>
      </c>
    </row>
    <row r="3" spans="2:23" ht="15.75" thickBot="1">
      <c r="N3" s="18" t="s">
        <v>136</v>
      </c>
    </row>
    <row r="4" spans="2:23" ht="16.5" thickBot="1">
      <c r="B4" s="64" t="s">
        <v>1</v>
      </c>
      <c r="C4" s="73" t="s">
        <v>2</v>
      </c>
      <c r="D4" s="64" t="s">
        <v>3</v>
      </c>
      <c r="E4" s="64" t="s">
        <v>4</v>
      </c>
      <c r="F4" s="48"/>
      <c r="G4" s="74" t="s">
        <v>6</v>
      </c>
      <c r="H4" s="37" t="s">
        <v>7</v>
      </c>
      <c r="I4" s="38" t="s">
        <v>8</v>
      </c>
      <c r="J4" s="48"/>
      <c r="K4" s="38" t="s">
        <v>9</v>
      </c>
      <c r="L4" s="72" t="s">
        <v>10</v>
      </c>
      <c r="R4" s="4" t="s">
        <v>10</v>
      </c>
    </row>
    <row r="5" spans="2:23" ht="15.75">
      <c r="B5" s="207" t="s">
        <v>13</v>
      </c>
      <c r="C5" s="204">
        <v>1</v>
      </c>
      <c r="D5" s="67">
        <v>730</v>
      </c>
      <c r="E5" s="67">
        <f>DEMANDA_PREVISIÓN!D734</f>
        <v>24</v>
      </c>
      <c r="F5" s="49"/>
      <c r="G5" s="63">
        <v>0</v>
      </c>
      <c r="H5" s="62">
        <v>150</v>
      </c>
      <c r="I5" s="61">
        <v>150</v>
      </c>
      <c r="J5" s="50"/>
      <c r="K5" s="61">
        <v>20</v>
      </c>
      <c r="L5" s="204"/>
      <c r="N5" s="71" t="s">
        <v>10</v>
      </c>
      <c r="O5" s="71">
        <v>150</v>
      </c>
      <c r="Q5" s="46" t="s">
        <v>137</v>
      </c>
      <c r="R5" s="18">
        <f>H5+K5</f>
        <v>170</v>
      </c>
    </row>
    <row r="6" spans="2:23" ht="15.75">
      <c r="B6" s="207"/>
      <c r="C6" s="205"/>
      <c r="D6" s="27">
        <v>731</v>
      </c>
      <c r="E6" s="27">
        <f>DEMANDA_PREVISIÓN!E735</f>
        <v>44</v>
      </c>
      <c r="F6" s="50"/>
      <c r="G6" s="64">
        <v>0</v>
      </c>
      <c r="H6" s="62">
        <v>150</v>
      </c>
      <c r="I6" s="61">
        <v>150</v>
      </c>
      <c r="J6" s="50"/>
      <c r="K6" s="61">
        <v>20</v>
      </c>
      <c r="L6" s="205"/>
      <c r="W6" s="18" t="s">
        <v>138</v>
      </c>
    </row>
    <row r="7" spans="2:23" ht="15.75">
      <c r="B7" s="207"/>
      <c r="C7" s="205"/>
      <c r="D7" s="27">
        <v>732</v>
      </c>
      <c r="E7" s="27">
        <f>DEMANDA_PREVISIÓN!E736</f>
        <v>41</v>
      </c>
      <c r="F7" s="50"/>
      <c r="G7" s="64">
        <v>0</v>
      </c>
      <c r="H7" s="62">
        <v>150</v>
      </c>
      <c r="I7" s="61">
        <v>150</v>
      </c>
      <c r="J7" s="50"/>
      <c r="K7" s="61">
        <v>20</v>
      </c>
      <c r="L7" s="205"/>
    </row>
    <row r="8" spans="2:23" ht="15.75">
      <c r="B8" s="207"/>
      <c r="C8" s="205"/>
      <c r="D8" s="27">
        <v>733</v>
      </c>
      <c r="E8" s="27">
        <f>DEMANDA_PREVISIÓN!E737</f>
        <v>41</v>
      </c>
      <c r="F8" s="50"/>
      <c r="G8" s="64">
        <v>0</v>
      </c>
      <c r="H8" s="62">
        <v>150</v>
      </c>
      <c r="I8" s="61">
        <v>150</v>
      </c>
      <c r="J8" s="50"/>
      <c r="K8" s="61">
        <v>20</v>
      </c>
      <c r="L8" s="205"/>
      <c r="N8" s="18">
        <v>150</v>
      </c>
      <c r="O8" s="18" t="s">
        <v>139</v>
      </c>
    </row>
    <row r="9" spans="2:23" ht="15.75">
      <c r="B9" s="207"/>
      <c r="C9" s="205"/>
      <c r="D9" s="27">
        <v>734</v>
      </c>
      <c r="E9" s="27">
        <f>DEMANDA_PREVISIÓN!E738</f>
        <v>54</v>
      </c>
      <c r="F9" s="50"/>
      <c r="G9" s="62">
        <v>150</v>
      </c>
      <c r="H9" s="46"/>
      <c r="I9" s="61">
        <v>150</v>
      </c>
      <c r="J9" s="47"/>
      <c r="K9" s="61">
        <v>20</v>
      </c>
      <c r="L9" s="205"/>
      <c r="T9" s="18" t="s">
        <v>140</v>
      </c>
    </row>
    <row r="10" spans="2:23" ht="15.75">
      <c r="B10" s="207"/>
      <c r="C10" s="206"/>
      <c r="D10" s="27">
        <v>735</v>
      </c>
      <c r="E10" s="27">
        <f>DEMANDA_PREVISIÓN!E739</f>
        <v>40</v>
      </c>
      <c r="F10" s="50"/>
      <c r="G10" s="64">
        <f>G9-E10</f>
        <v>110</v>
      </c>
      <c r="H10" s="61">
        <v>150</v>
      </c>
      <c r="I10" s="61">
        <v>150</v>
      </c>
      <c r="J10" s="50"/>
      <c r="K10" s="61">
        <v>20</v>
      </c>
      <c r="L10" s="206"/>
      <c r="M10" s="52"/>
      <c r="N10" s="18">
        <v>20</v>
      </c>
      <c r="O10" s="18" t="s">
        <v>141</v>
      </c>
      <c r="P10" s="52"/>
      <c r="S10" s="44" t="s">
        <v>142</v>
      </c>
      <c r="T10" s="18" t="s">
        <v>143</v>
      </c>
    </row>
    <row r="11" spans="2:23" ht="15.75">
      <c r="B11" s="207"/>
      <c r="C11" s="204">
        <v>2</v>
      </c>
      <c r="D11" s="27">
        <v>736</v>
      </c>
      <c r="E11" s="27">
        <f>DEMANDA_PREVISIÓN!E740</f>
        <v>46</v>
      </c>
      <c r="F11" s="50"/>
      <c r="G11" s="64">
        <f>G10-E11</f>
        <v>64</v>
      </c>
      <c r="H11" s="61">
        <v>150</v>
      </c>
      <c r="I11" s="54">
        <v>200</v>
      </c>
      <c r="J11" s="50"/>
      <c r="K11" s="54">
        <v>20</v>
      </c>
      <c r="L11" s="204"/>
      <c r="S11" s="44" t="s">
        <v>144</v>
      </c>
      <c r="T11" s="18" t="s">
        <v>143</v>
      </c>
    </row>
    <row r="12" spans="2:23" ht="15.75">
      <c r="B12" s="207"/>
      <c r="C12" s="205"/>
      <c r="D12" s="27">
        <v>737</v>
      </c>
      <c r="E12" s="27">
        <f>DEMANDA_PREVISIÓN!E741</f>
        <v>33</v>
      </c>
      <c r="F12" s="50"/>
      <c r="G12" s="64">
        <f>G11-E12</f>
        <v>31</v>
      </c>
      <c r="H12" s="61">
        <v>150</v>
      </c>
      <c r="I12" s="54">
        <v>200</v>
      </c>
      <c r="J12" s="50"/>
      <c r="K12" s="54">
        <v>20</v>
      </c>
      <c r="L12" s="205"/>
      <c r="S12" s="18" t="s">
        <v>145</v>
      </c>
      <c r="T12" s="18" t="s">
        <v>143</v>
      </c>
    </row>
    <row r="13" spans="2:23" ht="15.75">
      <c r="B13" s="207"/>
      <c r="C13" s="205"/>
      <c r="D13" s="27">
        <v>738</v>
      </c>
      <c r="E13" s="27">
        <f>DEMANDA_PREVISIÓN!E742</f>
        <v>46</v>
      </c>
      <c r="F13" s="50"/>
      <c r="G13" s="65">
        <v>0</v>
      </c>
      <c r="H13" s="61">
        <v>150</v>
      </c>
      <c r="I13" s="54">
        <v>200</v>
      </c>
      <c r="J13" s="50"/>
      <c r="K13" s="54">
        <v>20</v>
      </c>
      <c r="L13" s="205"/>
      <c r="N13" s="18">
        <f>N8/N10</f>
        <v>7.5</v>
      </c>
      <c r="O13" s="18" t="s">
        <v>146</v>
      </c>
      <c r="S13" s="18" t="s">
        <v>147</v>
      </c>
      <c r="T13" s="18" t="s">
        <v>143</v>
      </c>
    </row>
    <row r="14" spans="2:23" ht="15.75">
      <c r="B14" s="207"/>
      <c r="C14" s="205"/>
      <c r="D14" s="27">
        <v>739</v>
      </c>
      <c r="E14" s="27">
        <f>DEMANDA_PREVISIÓN!E743</f>
        <v>37</v>
      </c>
      <c r="F14" s="50"/>
      <c r="G14" s="65">
        <v>0</v>
      </c>
      <c r="H14" s="61">
        <v>150</v>
      </c>
      <c r="I14" s="54">
        <v>200</v>
      </c>
      <c r="J14" s="50"/>
      <c r="K14" s="54">
        <v>20</v>
      </c>
      <c r="L14" s="205"/>
      <c r="N14" s="18">
        <v>7</v>
      </c>
      <c r="S14" s="44" t="s">
        <v>148</v>
      </c>
      <c r="T14" s="18" t="s">
        <v>149</v>
      </c>
    </row>
    <row r="15" spans="2:23" ht="15.75">
      <c r="B15" s="207"/>
      <c r="C15" s="205"/>
      <c r="D15" s="27">
        <v>740</v>
      </c>
      <c r="E15" s="27">
        <f>DEMANDA_PREVISIÓN!E744</f>
        <v>35</v>
      </c>
      <c r="F15" s="50"/>
      <c r="G15" s="65">
        <v>0</v>
      </c>
      <c r="H15" s="61">
        <v>150</v>
      </c>
      <c r="I15" s="54">
        <v>200</v>
      </c>
      <c r="J15" s="50"/>
      <c r="K15" s="54">
        <v>20</v>
      </c>
      <c r="L15" s="205"/>
      <c r="N15" s="18">
        <f>14.5</f>
        <v>14.5</v>
      </c>
      <c r="O15" s="18" t="s">
        <v>146</v>
      </c>
      <c r="S15" s="44" t="s">
        <v>150</v>
      </c>
      <c r="T15" s="18" t="s">
        <v>149</v>
      </c>
    </row>
    <row r="16" spans="2:23" ht="15.75">
      <c r="B16" s="207"/>
      <c r="C16" s="205"/>
      <c r="D16" s="27">
        <v>741</v>
      </c>
      <c r="E16" s="27">
        <f>DEMANDA_PREVISIÓN!E745</f>
        <v>37</v>
      </c>
      <c r="F16" s="50"/>
      <c r="G16" s="65">
        <v>0</v>
      </c>
      <c r="H16" s="61">
        <v>150</v>
      </c>
      <c r="I16" s="54">
        <v>200</v>
      </c>
      <c r="J16" s="50"/>
      <c r="K16" s="54">
        <v>20</v>
      </c>
      <c r="L16" s="205"/>
      <c r="S16" s="18" t="s">
        <v>151</v>
      </c>
      <c r="T16" s="18" t="s">
        <v>152</v>
      </c>
    </row>
    <row r="17" spans="2:21" ht="15.75">
      <c r="B17" s="207"/>
      <c r="C17" s="205"/>
      <c r="D17" s="84">
        <v>742</v>
      </c>
      <c r="E17" s="27">
        <f>DEMANDA_PREVISIÓN!E746</f>
        <v>31</v>
      </c>
      <c r="F17" s="50"/>
      <c r="G17" s="61">
        <v>150</v>
      </c>
      <c r="H17" s="27"/>
      <c r="I17" s="54">
        <v>200</v>
      </c>
      <c r="J17" s="50"/>
      <c r="K17" s="54">
        <v>20</v>
      </c>
      <c r="L17" s="205"/>
      <c r="N17" s="4"/>
      <c r="S17" s="18" t="s">
        <v>153</v>
      </c>
      <c r="T17" s="18" t="s">
        <v>149</v>
      </c>
    </row>
    <row r="18" spans="2:21" ht="15.75">
      <c r="B18" s="207"/>
      <c r="C18" s="205"/>
      <c r="D18" s="84">
        <v>743</v>
      </c>
      <c r="E18" s="27">
        <f>DEMANDA_PREVISIÓN!E747</f>
        <v>46</v>
      </c>
      <c r="F18" s="50"/>
      <c r="G18" s="27">
        <f>G17-E18</f>
        <v>104</v>
      </c>
      <c r="H18" s="27"/>
      <c r="I18" s="54">
        <v>200</v>
      </c>
      <c r="J18" s="50"/>
      <c r="K18" s="54">
        <v>20</v>
      </c>
      <c r="L18" s="205"/>
      <c r="N18" s="4"/>
    </row>
    <row r="19" spans="2:21" ht="15.75">
      <c r="B19" s="207"/>
      <c r="C19" s="205"/>
      <c r="D19" s="84">
        <v>744</v>
      </c>
      <c r="E19" s="27">
        <f>DEMANDA_PREVISIÓN!E748</f>
        <v>47</v>
      </c>
      <c r="F19" s="50"/>
      <c r="G19" s="27">
        <f>G18-E19</f>
        <v>57</v>
      </c>
      <c r="H19" s="27"/>
      <c r="I19" s="54">
        <v>200</v>
      </c>
      <c r="J19" s="50"/>
      <c r="K19" s="54">
        <v>20</v>
      </c>
      <c r="L19" s="205"/>
      <c r="N19" s="4">
        <v>400</v>
      </c>
      <c r="S19" s="18" t="s">
        <v>154</v>
      </c>
    </row>
    <row r="20" spans="2:21" ht="15.75">
      <c r="B20" s="207"/>
      <c r="C20" s="205"/>
      <c r="D20" s="27">
        <v>745</v>
      </c>
      <c r="E20" s="27">
        <f>DEMANDA_PREVISIÓN!E749</f>
        <v>34</v>
      </c>
      <c r="F20" s="50"/>
      <c r="G20" s="27">
        <f>G19-E20</f>
        <v>23</v>
      </c>
      <c r="H20" s="54">
        <v>200</v>
      </c>
      <c r="I20" s="54">
        <v>200</v>
      </c>
      <c r="J20" s="50"/>
      <c r="K20" s="54">
        <v>20</v>
      </c>
      <c r="L20" s="205"/>
      <c r="S20" s="18" t="s">
        <v>155</v>
      </c>
    </row>
    <row r="21" spans="2:21" ht="15.75">
      <c r="B21" s="207"/>
      <c r="C21" s="205"/>
      <c r="D21" s="27">
        <v>746</v>
      </c>
      <c r="E21" s="27">
        <f>DEMANDA_PREVISIÓN!E750</f>
        <v>41</v>
      </c>
      <c r="F21" s="50"/>
      <c r="G21" s="82">
        <v>0</v>
      </c>
      <c r="H21" s="54">
        <v>200</v>
      </c>
      <c r="I21" s="57">
        <v>200</v>
      </c>
      <c r="J21" s="50"/>
      <c r="K21" s="57">
        <v>200</v>
      </c>
      <c r="L21" s="205"/>
      <c r="N21" s="18">
        <v>80</v>
      </c>
    </row>
    <row r="22" spans="2:21" ht="15.75">
      <c r="B22" s="207"/>
      <c r="C22" s="205"/>
      <c r="D22" s="27">
        <v>747</v>
      </c>
      <c r="E22" s="27">
        <f>DEMANDA_PREVISIÓN!E751</f>
        <v>40</v>
      </c>
      <c r="F22" s="50"/>
      <c r="G22" s="82">
        <v>0</v>
      </c>
      <c r="H22" s="54">
        <v>200</v>
      </c>
      <c r="I22" s="57">
        <v>200</v>
      </c>
      <c r="J22" s="50"/>
      <c r="K22" s="57">
        <v>200</v>
      </c>
      <c r="L22" s="205"/>
      <c r="S22" s="18" t="s">
        <v>156</v>
      </c>
    </row>
    <row r="23" spans="2:21" ht="15.75">
      <c r="B23" s="207"/>
      <c r="C23" s="205"/>
      <c r="D23" s="27">
        <v>748</v>
      </c>
      <c r="E23" s="27">
        <f>DEMANDA_PREVISIÓN!E752</f>
        <v>28</v>
      </c>
      <c r="F23" s="50"/>
      <c r="G23" s="82">
        <v>0</v>
      </c>
      <c r="H23" s="54">
        <v>200</v>
      </c>
      <c r="I23" s="57">
        <v>200</v>
      </c>
      <c r="J23" s="50"/>
      <c r="K23" s="57">
        <v>200</v>
      </c>
      <c r="L23" s="205"/>
      <c r="N23" s="18">
        <f>N19/N21</f>
        <v>5</v>
      </c>
      <c r="O23" s="18" t="s">
        <v>146</v>
      </c>
      <c r="U23" s="18" t="s">
        <v>157</v>
      </c>
    </row>
    <row r="24" spans="2:21" ht="15.75">
      <c r="B24" s="207"/>
      <c r="C24" s="205"/>
      <c r="D24" s="27">
        <v>749</v>
      </c>
      <c r="E24" s="27">
        <f>DEMANDA_PREVISIÓN!E753</f>
        <v>42</v>
      </c>
      <c r="F24" s="50"/>
      <c r="G24" s="82">
        <v>0</v>
      </c>
      <c r="H24" s="54">
        <v>200</v>
      </c>
      <c r="I24" s="57">
        <v>200</v>
      </c>
      <c r="J24" s="50"/>
      <c r="K24" s="57">
        <v>200</v>
      </c>
      <c r="L24" s="205"/>
    </row>
    <row r="25" spans="2:21" ht="15.75">
      <c r="B25" s="207"/>
      <c r="C25" s="205"/>
      <c r="D25" s="27">
        <v>750</v>
      </c>
      <c r="E25" s="27">
        <f>DEMANDA_PREVISIÓN!E754</f>
        <v>32</v>
      </c>
      <c r="F25" s="50"/>
      <c r="G25" s="82">
        <v>0</v>
      </c>
      <c r="H25" s="54">
        <v>200</v>
      </c>
      <c r="I25" s="57">
        <v>200</v>
      </c>
      <c r="J25" s="50"/>
      <c r="K25" s="57">
        <v>200</v>
      </c>
      <c r="L25" s="205"/>
      <c r="O25" s="18" t="s">
        <v>158</v>
      </c>
    </row>
    <row r="26" spans="2:21" ht="15.75">
      <c r="B26" s="207"/>
      <c r="C26" s="205"/>
      <c r="D26" s="27">
        <v>751</v>
      </c>
      <c r="E26" s="27">
        <f>DEMANDA_PREVISIÓN!E755</f>
        <v>48</v>
      </c>
      <c r="F26" s="50"/>
      <c r="G26" s="82">
        <v>0</v>
      </c>
      <c r="H26" s="54">
        <v>200</v>
      </c>
      <c r="I26" s="57">
        <v>200</v>
      </c>
      <c r="J26" s="50"/>
      <c r="K26" s="57">
        <v>200</v>
      </c>
      <c r="L26" s="205"/>
    </row>
    <row r="27" spans="2:21" ht="15.75">
      <c r="B27" s="207"/>
      <c r="C27" s="205"/>
      <c r="D27" s="84">
        <v>752</v>
      </c>
      <c r="E27" s="27">
        <f>DEMANDA_PREVISIÓN!E756</f>
        <v>31</v>
      </c>
      <c r="F27" s="50"/>
      <c r="G27" s="54">
        <v>200</v>
      </c>
      <c r="H27" s="27"/>
      <c r="I27" s="57">
        <v>200</v>
      </c>
      <c r="J27" s="50"/>
      <c r="K27" s="57">
        <v>200</v>
      </c>
      <c r="L27" s="205"/>
      <c r="N27" s="71" t="s">
        <v>10</v>
      </c>
      <c r="O27" s="71">
        <v>200</v>
      </c>
    </row>
    <row r="28" spans="2:21" ht="15.75">
      <c r="B28" s="207"/>
      <c r="C28" s="205"/>
      <c r="D28" s="84">
        <v>753</v>
      </c>
      <c r="E28" s="27">
        <f>DEMANDA_PREVISIÓN!E757</f>
        <v>48</v>
      </c>
      <c r="F28" s="50"/>
      <c r="G28" s="27">
        <f>G27-E28</f>
        <v>152</v>
      </c>
      <c r="H28" s="27"/>
      <c r="I28" s="57">
        <v>200</v>
      </c>
      <c r="J28" s="50"/>
      <c r="K28" s="57">
        <v>200</v>
      </c>
      <c r="L28" s="205"/>
    </row>
    <row r="29" spans="2:21" ht="15.75">
      <c r="B29" s="207"/>
      <c r="C29" s="205"/>
      <c r="D29" s="84">
        <v>754</v>
      </c>
      <c r="E29" s="27">
        <f>DEMANDA_PREVISIÓN!E758</f>
        <v>50</v>
      </c>
      <c r="F29" s="50"/>
      <c r="G29" s="27">
        <f>G28-E29</f>
        <v>102</v>
      </c>
      <c r="H29" s="27"/>
      <c r="I29" s="57">
        <v>200</v>
      </c>
      <c r="J29" s="50"/>
      <c r="K29" s="57">
        <v>200</v>
      </c>
      <c r="L29" s="205"/>
    </row>
    <row r="30" spans="2:21" ht="15.75">
      <c r="B30" s="207"/>
      <c r="C30" s="205"/>
      <c r="D30" s="27">
        <v>755</v>
      </c>
      <c r="E30" s="27">
        <f>DEMANDA_PREVISIÓN!E759</f>
        <v>38</v>
      </c>
      <c r="F30" s="50"/>
      <c r="G30" s="27">
        <f>G29-E30</f>
        <v>64</v>
      </c>
      <c r="H30" s="57">
        <v>200</v>
      </c>
      <c r="I30" s="57">
        <v>200</v>
      </c>
      <c r="J30" s="50"/>
      <c r="K30" s="57">
        <v>200</v>
      </c>
      <c r="L30" s="205"/>
      <c r="O30" s="18" t="s">
        <v>159</v>
      </c>
    </row>
    <row r="31" spans="2:21" ht="15.75">
      <c r="B31" s="207"/>
      <c r="C31" s="205"/>
      <c r="D31" s="27">
        <v>756</v>
      </c>
      <c r="E31" s="27">
        <f>DEMANDA_PREVISIÓN!E760</f>
        <v>31</v>
      </c>
      <c r="F31" s="50"/>
      <c r="G31" s="27">
        <f>G30-E31</f>
        <v>33</v>
      </c>
      <c r="H31" s="57">
        <v>200</v>
      </c>
      <c r="I31" s="58">
        <v>200</v>
      </c>
      <c r="J31" s="50"/>
      <c r="K31" s="58">
        <v>20</v>
      </c>
      <c r="L31" s="205"/>
    </row>
    <row r="32" spans="2:21" ht="15.75">
      <c r="B32" s="207"/>
      <c r="C32" s="205"/>
      <c r="D32" s="27">
        <v>757</v>
      </c>
      <c r="E32" s="27">
        <f>DEMANDA_PREVISIÓN!E761</f>
        <v>41</v>
      </c>
      <c r="F32" s="50"/>
      <c r="G32" s="60">
        <v>0</v>
      </c>
      <c r="H32" s="57">
        <v>200</v>
      </c>
      <c r="I32" s="58">
        <v>200</v>
      </c>
      <c r="J32" s="50"/>
      <c r="K32" s="58">
        <v>20</v>
      </c>
      <c r="L32" s="205"/>
      <c r="N32" s="18" t="s">
        <v>160</v>
      </c>
      <c r="O32" s="18" t="s">
        <v>161</v>
      </c>
      <c r="P32" s="83" t="s">
        <v>162</v>
      </c>
      <c r="Q32" s="83"/>
      <c r="R32" s="83" t="s">
        <v>163</v>
      </c>
    </row>
    <row r="33" spans="2:17" ht="15.75">
      <c r="B33" s="207"/>
      <c r="C33" s="205"/>
      <c r="D33" s="27">
        <v>758</v>
      </c>
      <c r="E33" s="27">
        <f>DEMANDA_PREVISIÓN!E762</f>
        <v>44</v>
      </c>
      <c r="F33" s="50"/>
      <c r="G33" s="60">
        <v>0</v>
      </c>
      <c r="H33" s="57">
        <v>200</v>
      </c>
      <c r="I33" s="58">
        <v>200</v>
      </c>
      <c r="J33" s="50"/>
      <c r="K33" s="58">
        <v>20</v>
      </c>
      <c r="L33" s="205"/>
      <c r="Q33" s="18">
        <v>150</v>
      </c>
    </row>
    <row r="34" spans="2:17" ht="15.75">
      <c r="B34" s="207"/>
      <c r="C34" s="205"/>
      <c r="D34" s="27">
        <v>759</v>
      </c>
      <c r="E34" s="27">
        <f>DEMANDA_PREVISIÓN!E763</f>
        <v>34</v>
      </c>
      <c r="F34" s="50"/>
      <c r="G34" s="60">
        <v>0</v>
      </c>
      <c r="H34" s="57">
        <v>200</v>
      </c>
      <c r="I34" s="58">
        <v>200</v>
      </c>
      <c r="J34" s="50"/>
      <c r="K34" s="58">
        <v>20</v>
      </c>
      <c r="L34" s="205"/>
    </row>
    <row r="35" spans="2:17" ht="15.75">
      <c r="B35" s="207"/>
      <c r="C35" s="205"/>
      <c r="D35" s="27">
        <v>760</v>
      </c>
      <c r="E35" s="27">
        <f>DEMANDA_PREVISIÓN!E764</f>
        <v>34</v>
      </c>
      <c r="F35" s="50"/>
      <c r="G35" s="60">
        <v>0</v>
      </c>
      <c r="H35" s="57">
        <v>200</v>
      </c>
      <c r="I35" s="58">
        <v>200</v>
      </c>
      <c r="J35" s="50"/>
      <c r="K35" s="58">
        <v>20</v>
      </c>
      <c r="L35" s="205"/>
    </row>
    <row r="36" spans="2:17" ht="15.75">
      <c r="B36" s="207"/>
      <c r="C36" s="205"/>
      <c r="D36" s="27">
        <v>761</v>
      </c>
      <c r="E36" s="27">
        <f>DEMANDA_PREVISIÓN!E765</f>
        <v>49</v>
      </c>
      <c r="F36" s="50"/>
      <c r="G36" s="60">
        <v>0</v>
      </c>
      <c r="H36" s="57">
        <v>200</v>
      </c>
      <c r="I36" s="58">
        <v>200</v>
      </c>
      <c r="J36" s="50"/>
      <c r="K36" s="58">
        <v>20</v>
      </c>
      <c r="L36" s="205"/>
    </row>
    <row r="37" spans="2:17" ht="15.75">
      <c r="B37" s="207"/>
      <c r="C37" s="205"/>
      <c r="D37" s="27">
        <v>762</v>
      </c>
      <c r="E37" s="27">
        <f>DEMANDA_PREVISIÓN!E766</f>
        <v>41</v>
      </c>
      <c r="F37" s="50"/>
      <c r="G37" s="57">
        <v>200</v>
      </c>
      <c r="H37" s="27"/>
      <c r="I37" s="58">
        <v>200</v>
      </c>
      <c r="J37" s="50"/>
      <c r="K37" s="58">
        <v>20</v>
      </c>
      <c r="L37" s="205"/>
    </row>
    <row r="38" spans="2:17" ht="15.75">
      <c r="B38" s="207"/>
      <c r="C38" s="205"/>
      <c r="D38" s="27">
        <v>763</v>
      </c>
      <c r="E38" s="27">
        <f>DEMANDA_PREVISIÓN!E767</f>
        <v>40</v>
      </c>
      <c r="F38" s="50"/>
      <c r="G38" s="27">
        <f>G37-E38</f>
        <v>160</v>
      </c>
      <c r="H38" s="27"/>
      <c r="I38" s="58">
        <v>200</v>
      </c>
      <c r="J38" s="50"/>
      <c r="K38" s="58">
        <v>20</v>
      </c>
      <c r="L38" s="205"/>
    </row>
    <row r="39" spans="2:17" ht="15.75">
      <c r="B39" s="207"/>
      <c r="C39" s="205"/>
      <c r="D39" s="27">
        <v>764</v>
      </c>
      <c r="E39" s="27">
        <f>DEMANDA_PREVISIÓN!E768</f>
        <v>46</v>
      </c>
      <c r="F39" s="50"/>
      <c r="G39" s="27">
        <f>G38-E39</f>
        <v>114</v>
      </c>
      <c r="H39" s="27"/>
      <c r="I39" s="58">
        <v>200</v>
      </c>
      <c r="J39" s="50"/>
      <c r="K39" s="58">
        <v>20</v>
      </c>
      <c r="L39" s="205"/>
    </row>
    <row r="40" spans="2:17" ht="15.75">
      <c r="B40" s="207"/>
      <c r="C40" s="206"/>
      <c r="D40" s="27">
        <v>765</v>
      </c>
      <c r="E40" s="27">
        <f>DEMANDA_PREVISIÓN!E769</f>
        <v>31</v>
      </c>
      <c r="F40" s="50"/>
      <c r="G40" s="27">
        <f>G39-E40</f>
        <v>83</v>
      </c>
      <c r="H40" s="58">
        <v>200</v>
      </c>
      <c r="I40" s="58">
        <v>200</v>
      </c>
      <c r="J40" s="50"/>
      <c r="K40" s="58">
        <v>20</v>
      </c>
      <c r="L40" s="206"/>
    </row>
    <row r="41" spans="2:17" ht="15.75">
      <c r="B41" s="207"/>
      <c r="C41" s="204">
        <v>3</v>
      </c>
      <c r="D41" s="27">
        <v>766</v>
      </c>
      <c r="E41" s="27">
        <f>DEMANDA_PREVISIÓN!E770</f>
        <v>38</v>
      </c>
      <c r="F41" s="50"/>
      <c r="G41" s="27">
        <f>G40-E41</f>
        <v>45</v>
      </c>
      <c r="H41" s="58">
        <v>200</v>
      </c>
      <c r="I41" s="59">
        <v>200</v>
      </c>
      <c r="J41" s="50"/>
      <c r="K41" s="59">
        <v>20</v>
      </c>
      <c r="L41" s="204"/>
    </row>
    <row r="42" spans="2:17" ht="15.75">
      <c r="B42" s="207"/>
      <c r="C42" s="205"/>
      <c r="D42" s="27">
        <v>767</v>
      </c>
      <c r="E42" s="27">
        <f>DEMANDA_PREVISIÓN!E771</f>
        <v>39</v>
      </c>
      <c r="F42" s="50"/>
      <c r="G42" s="27">
        <f>G41-E42</f>
        <v>6</v>
      </c>
      <c r="H42" s="58">
        <v>200</v>
      </c>
      <c r="I42" s="59">
        <v>200</v>
      </c>
      <c r="J42" s="50"/>
      <c r="K42" s="59">
        <v>20</v>
      </c>
      <c r="L42" s="205"/>
    </row>
    <row r="43" spans="2:17" ht="15.75">
      <c r="B43" s="207"/>
      <c r="C43" s="205"/>
      <c r="D43" s="27">
        <v>768</v>
      </c>
      <c r="E43" s="27">
        <f>DEMANDA_PREVISIÓN!E772</f>
        <v>40</v>
      </c>
      <c r="F43" s="50"/>
      <c r="G43" s="60">
        <v>0</v>
      </c>
      <c r="H43" s="58">
        <v>200</v>
      </c>
      <c r="I43" s="59">
        <v>200</v>
      </c>
      <c r="J43" s="50"/>
      <c r="K43" s="59">
        <v>20</v>
      </c>
      <c r="L43" s="205"/>
    </row>
    <row r="44" spans="2:17" ht="15.75">
      <c r="B44" s="207"/>
      <c r="C44" s="205"/>
      <c r="D44" s="27">
        <v>769</v>
      </c>
      <c r="E44" s="27">
        <f>DEMANDA_PREVISIÓN!E773</f>
        <v>48</v>
      </c>
      <c r="F44" s="50"/>
      <c r="G44" s="60">
        <v>0</v>
      </c>
      <c r="H44" s="58">
        <v>200</v>
      </c>
      <c r="I44" s="59">
        <v>200</v>
      </c>
      <c r="J44" s="50"/>
      <c r="K44" s="59">
        <v>20</v>
      </c>
      <c r="L44" s="205"/>
    </row>
    <row r="45" spans="2:17" ht="15.75">
      <c r="B45" s="207"/>
      <c r="C45" s="205"/>
      <c r="D45" s="27">
        <v>770</v>
      </c>
      <c r="E45" s="27">
        <f>DEMANDA_PREVISIÓN!E774</f>
        <v>39</v>
      </c>
      <c r="F45" s="50"/>
      <c r="G45" s="60">
        <v>0</v>
      </c>
      <c r="H45" s="58">
        <v>200</v>
      </c>
      <c r="I45" s="59">
        <v>200</v>
      </c>
      <c r="J45" s="50"/>
      <c r="K45" s="59">
        <v>20</v>
      </c>
      <c r="L45" s="205"/>
    </row>
    <row r="46" spans="2:17" ht="15.75">
      <c r="B46" s="207"/>
      <c r="C46" s="205"/>
      <c r="D46" s="27">
        <v>771</v>
      </c>
      <c r="E46" s="27">
        <f>DEMANDA_PREVISIÓN!E775</f>
        <v>42</v>
      </c>
      <c r="F46" s="50"/>
      <c r="G46" s="60">
        <v>0</v>
      </c>
      <c r="H46" s="58">
        <v>200</v>
      </c>
      <c r="I46" s="59">
        <v>200</v>
      </c>
      <c r="J46" s="50"/>
      <c r="K46" s="59">
        <v>20</v>
      </c>
      <c r="L46" s="205"/>
    </row>
    <row r="47" spans="2:17" ht="15.75">
      <c r="B47" s="207"/>
      <c r="C47" s="205"/>
      <c r="D47" s="27">
        <v>772</v>
      </c>
      <c r="E47" s="27">
        <f>DEMANDA_PREVISIÓN!E776</f>
        <v>43</v>
      </c>
      <c r="F47" s="50"/>
      <c r="G47" s="58">
        <v>200</v>
      </c>
      <c r="H47" s="27"/>
      <c r="I47" s="59">
        <v>200</v>
      </c>
      <c r="J47" s="50"/>
      <c r="K47" s="59">
        <v>20</v>
      </c>
      <c r="L47" s="205"/>
    </row>
    <row r="48" spans="2:17" ht="15.75">
      <c r="B48" s="207"/>
      <c r="C48" s="205"/>
      <c r="D48" s="27">
        <v>773</v>
      </c>
      <c r="E48" s="27">
        <f>DEMANDA_PREVISIÓN!E777</f>
        <v>48</v>
      </c>
      <c r="F48" s="50"/>
      <c r="G48" s="27">
        <f>G47-E48</f>
        <v>152</v>
      </c>
      <c r="H48" s="27"/>
      <c r="I48" s="59">
        <v>200</v>
      </c>
      <c r="J48" s="50"/>
      <c r="K48" s="59">
        <v>20</v>
      </c>
      <c r="L48" s="205"/>
    </row>
    <row r="49" spans="2:12" ht="15.75">
      <c r="B49" s="207"/>
      <c r="C49" s="205"/>
      <c r="D49" s="27">
        <v>774</v>
      </c>
      <c r="E49" s="27">
        <f>DEMANDA_PREVISIÓN!E778</f>
        <v>45</v>
      </c>
      <c r="F49" s="50"/>
      <c r="G49" s="27">
        <f>G48-E49</f>
        <v>107</v>
      </c>
      <c r="H49" s="27"/>
      <c r="I49" s="59">
        <v>200</v>
      </c>
      <c r="J49" s="50"/>
      <c r="K49" s="59">
        <v>20</v>
      </c>
      <c r="L49" s="205"/>
    </row>
    <row r="50" spans="2:12" ht="15.75">
      <c r="B50" s="207"/>
      <c r="C50" s="205"/>
      <c r="D50" s="27">
        <v>775</v>
      </c>
      <c r="E50" s="27">
        <f>DEMANDA_PREVISIÓN!E779</f>
        <v>53</v>
      </c>
      <c r="F50" s="50"/>
      <c r="G50" s="27">
        <f>G49-E50</f>
        <v>54</v>
      </c>
      <c r="H50" s="59">
        <v>200</v>
      </c>
      <c r="I50" s="59">
        <v>200</v>
      </c>
      <c r="J50" s="50"/>
      <c r="K50" s="59">
        <v>20</v>
      </c>
      <c r="L50" s="205"/>
    </row>
    <row r="51" spans="2:12" ht="15.75">
      <c r="B51" s="207"/>
      <c r="C51" s="205"/>
      <c r="D51" s="27">
        <v>776</v>
      </c>
      <c r="E51" s="27">
        <f>DEMANDA_PREVISIÓN!E780</f>
        <v>27</v>
      </c>
      <c r="F51" s="50"/>
      <c r="G51" s="27">
        <f>G50-E51</f>
        <v>27</v>
      </c>
      <c r="H51" s="59">
        <v>200</v>
      </c>
      <c r="I51" s="54">
        <v>200</v>
      </c>
      <c r="J51" s="50"/>
      <c r="K51" s="54">
        <v>20</v>
      </c>
      <c r="L51" s="205"/>
    </row>
    <row r="52" spans="2:12" ht="15.75">
      <c r="B52" s="207"/>
      <c r="C52" s="205"/>
      <c r="D52" s="27">
        <v>777</v>
      </c>
      <c r="E52" s="27">
        <f>DEMANDA_PREVISIÓN!E781</f>
        <v>38</v>
      </c>
      <c r="F52" s="50"/>
      <c r="G52" s="60">
        <v>0</v>
      </c>
      <c r="H52" s="59">
        <v>200</v>
      </c>
      <c r="I52" s="54">
        <v>200</v>
      </c>
      <c r="J52" s="50"/>
      <c r="K52" s="54">
        <v>20</v>
      </c>
      <c r="L52" s="205"/>
    </row>
    <row r="53" spans="2:12" ht="15.75">
      <c r="B53" s="207"/>
      <c r="C53" s="205"/>
      <c r="D53" s="27">
        <v>778</v>
      </c>
      <c r="E53" s="27">
        <f>DEMANDA_PREVISIÓN!E782</f>
        <v>40</v>
      </c>
      <c r="F53" s="50"/>
      <c r="G53" s="60">
        <v>0</v>
      </c>
      <c r="H53" s="59">
        <v>200</v>
      </c>
      <c r="I53" s="54">
        <v>200</v>
      </c>
      <c r="J53" s="50"/>
      <c r="K53" s="54">
        <v>20</v>
      </c>
      <c r="L53" s="205"/>
    </row>
    <row r="54" spans="2:12" ht="15.75">
      <c r="B54" s="207"/>
      <c r="C54" s="205"/>
      <c r="D54" s="27">
        <v>779</v>
      </c>
      <c r="E54" s="27">
        <f>DEMANDA_PREVISIÓN!E783</f>
        <v>38</v>
      </c>
      <c r="F54" s="50"/>
      <c r="G54" s="60">
        <v>0</v>
      </c>
      <c r="H54" s="59">
        <v>200</v>
      </c>
      <c r="I54" s="54">
        <v>200</v>
      </c>
      <c r="J54" s="50"/>
      <c r="K54" s="54">
        <v>20</v>
      </c>
      <c r="L54" s="205"/>
    </row>
    <row r="55" spans="2:12" ht="15.75">
      <c r="B55" s="207"/>
      <c r="C55" s="205"/>
      <c r="D55" s="27">
        <v>780</v>
      </c>
      <c r="E55" s="27">
        <f>DEMANDA_PREVISIÓN!E784</f>
        <v>40</v>
      </c>
      <c r="F55" s="50"/>
      <c r="G55" s="60">
        <v>0</v>
      </c>
      <c r="H55" s="59">
        <v>200</v>
      </c>
      <c r="I55" s="54">
        <v>200</v>
      </c>
      <c r="J55" s="50"/>
      <c r="K55" s="54">
        <v>20</v>
      </c>
      <c r="L55" s="205"/>
    </row>
    <row r="56" spans="2:12" ht="15.75">
      <c r="B56" s="207"/>
      <c r="C56" s="205"/>
      <c r="D56" s="27">
        <v>781</v>
      </c>
      <c r="E56" s="27">
        <f>DEMANDA_PREVISIÓN!E785</f>
        <v>36</v>
      </c>
      <c r="F56" s="50"/>
      <c r="G56" s="60">
        <v>0</v>
      </c>
      <c r="H56" s="59">
        <v>200</v>
      </c>
      <c r="I56" s="54">
        <v>200</v>
      </c>
      <c r="J56" s="50"/>
      <c r="K56" s="54">
        <v>20</v>
      </c>
      <c r="L56" s="205"/>
    </row>
    <row r="57" spans="2:12" ht="15.75">
      <c r="B57" s="207"/>
      <c r="C57" s="205"/>
      <c r="D57" s="27">
        <v>782</v>
      </c>
      <c r="E57" s="27">
        <f>DEMANDA_PREVISIÓN!E786</f>
        <v>45</v>
      </c>
      <c r="F57" s="50"/>
      <c r="G57" s="59">
        <v>200</v>
      </c>
      <c r="H57" s="27"/>
      <c r="I57" s="54">
        <v>200</v>
      </c>
      <c r="J57" s="50"/>
      <c r="K57" s="54">
        <v>20</v>
      </c>
      <c r="L57" s="205"/>
    </row>
    <row r="58" spans="2:12" ht="15.75">
      <c r="B58" s="207"/>
      <c r="C58" s="205"/>
      <c r="D58" s="27">
        <v>783</v>
      </c>
      <c r="E58" s="27">
        <f>DEMANDA_PREVISIÓN!E787</f>
        <v>38</v>
      </c>
      <c r="F58" s="50"/>
      <c r="G58" s="27">
        <f>G57-E58</f>
        <v>162</v>
      </c>
      <c r="H58" s="27"/>
      <c r="I58" s="54">
        <v>200</v>
      </c>
      <c r="J58" s="50"/>
      <c r="K58" s="54">
        <v>20</v>
      </c>
      <c r="L58" s="205"/>
    </row>
    <row r="59" spans="2:12" ht="15.75">
      <c r="B59" s="207"/>
      <c r="C59" s="205"/>
      <c r="D59" s="27">
        <v>784</v>
      </c>
      <c r="E59" s="27">
        <f>DEMANDA_PREVISIÓN!E788</f>
        <v>36</v>
      </c>
      <c r="F59" s="50"/>
      <c r="G59" s="27">
        <f>G58-E59</f>
        <v>126</v>
      </c>
      <c r="H59" s="27"/>
      <c r="I59" s="54">
        <v>200</v>
      </c>
      <c r="J59" s="50"/>
      <c r="K59" s="54">
        <v>20</v>
      </c>
      <c r="L59" s="205"/>
    </row>
    <row r="60" spans="2:12" ht="15.75">
      <c r="B60" s="207"/>
      <c r="C60" s="205"/>
      <c r="D60" s="27">
        <v>785</v>
      </c>
      <c r="E60" s="27">
        <f>DEMANDA_PREVISIÓN!E789</f>
        <v>51</v>
      </c>
      <c r="F60" s="50"/>
      <c r="G60" s="27">
        <f>G59-E60</f>
        <v>75</v>
      </c>
      <c r="H60" s="54">
        <v>200</v>
      </c>
      <c r="I60" s="54">
        <v>200</v>
      </c>
      <c r="J60" s="50"/>
      <c r="K60" s="54">
        <v>20</v>
      </c>
      <c r="L60" s="205"/>
    </row>
    <row r="61" spans="2:12" ht="15.75">
      <c r="B61" s="207"/>
      <c r="C61" s="205"/>
      <c r="D61" s="27">
        <v>786</v>
      </c>
      <c r="E61" s="27">
        <f>DEMANDA_PREVISIÓN!E790</f>
        <v>45</v>
      </c>
      <c r="F61" s="50"/>
      <c r="G61" s="27">
        <f>G60-E61</f>
        <v>30</v>
      </c>
      <c r="H61" s="54">
        <v>200</v>
      </c>
      <c r="I61" s="53">
        <v>200</v>
      </c>
      <c r="J61" s="50"/>
      <c r="K61" s="53">
        <v>20</v>
      </c>
      <c r="L61" s="205"/>
    </row>
    <row r="62" spans="2:12" ht="15.75">
      <c r="B62" s="207"/>
      <c r="C62" s="205"/>
      <c r="D62" s="27">
        <v>787</v>
      </c>
      <c r="E62" s="27">
        <f>DEMANDA_PREVISIÓN!E791</f>
        <v>36</v>
      </c>
      <c r="F62" s="50"/>
      <c r="G62" s="60">
        <v>0</v>
      </c>
      <c r="H62" s="54">
        <v>200</v>
      </c>
      <c r="I62" s="53">
        <v>200</v>
      </c>
      <c r="J62" s="50"/>
      <c r="K62" s="53">
        <v>20</v>
      </c>
      <c r="L62" s="205"/>
    </row>
    <row r="63" spans="2:12" ht="15.75">
      <c r="B63" s="207"/>
      <c r="C63" s="205"/>
      <c r="D63" s="27">
        <v>788</v>
      </c>
      <c r="E63" s="27">
        <f>DEMANDA_PREVISIÓN!E792</f>
        <v>40</v>
      </c>
      <c r="F63" s="50"/>
      <c r="G63" s="60">
        <v>0</v>
      </c>
      <c r="H63" s="54">
        <v>200</v>
      </c>
      <c r="I63" s="53">
        <v>200</v>
      </c>
      <c r="J63" s="50"/>
      <c r="K63" s="53">
        <v>20</v>
      </c>
      <c r="L63" s="205"/>
    </row>
    <row r="64" spans="2:12" ht="15.75">
      <c r="B64" s="207"/>
      <c r="C64" s="205"/>
      <c r="D64" s="27">
        <v>789</v>
      </c>
      <c r="E64" s="27">
        <f>DEMANDA_PREVISIÓN!E793</f>
        <v>42</v>
      </c>
      <c r="F64" s="50"/>
      <c r="G64" s="60">
        <v>0</v>
      </c>
      <c r="H64" s="54">
        <v>200</v>
      </c>
      <c r="I64" s="53">
        <v>200</v>
      </c>
      <c r="J64" s="50"/>
      <c r="K64" s="53">
        <v>20</v>
      </c>
      <c r="L64" s="205"/>
    </row>
    <row r="65" spans="2:12" ht="15.75">
      <c r="B65" s="207"/>
      <c r="C65" s="205"/>
      <c r="D65" s="27">
        <v>790</v>
      </c>
      <c r="E65" s="27">
        <f>DEMANDA_PREVISIÓN!E794</f>
        <v>39</v>
      </c>
      <c r="F65" s="50"/>
      <c r="G65" s="60">
        <v>0</v>
      </c>
      <c r="H65" s="54">
        <v>200</v>
      </c>
      <c r="I65" s="53">
        <v>200</v>
      </c>
      <c r="J65" s="50"/>
      <c r="K65" s="53">
        <v>20</v>
      </c>
      <c r="L65" s="205"/>
    </row>
    <row r="66" spans="2:12" ht="15.75">
      <c r="B66" s="207"/>
      <c r="C66" s="205"/>
      <c r="D66" s="27">
        <v>791</v>
      </c>
      <c r="E66" s="27">
        <f>DEMANDA_PREVISIÓN!E795</f>
        <v>37</v>
      </c>
      <c r="F66" s="50"/>
      <c r="G66" s="60">
        <v>0</v>
      </c>
      <c r="H66" s="54">
        <v>200</v>
      </c>
      <c r="I66" s="53">
        <v>200</v>
      </c>
      <c r="J66" s="50"/>
      <c r="K66" s="53">
        <v>20</v>
      </c>
      <c r="L66" s="205"/>
    </row>
    <row r="67" spans="2:12" ht="15.75">
      <c r="B67" s="207"/>
      <c r="C67" s="205"/>
      <c r="D67" s="27">
        <v>792</v>
      </c>
      <c r="E67" s="27">
        <f>DEMANDA_PREVISIÓN!E796</f>
        <v>35</v>
      </c>
      <c r="F67" s="50"/>
      <c r="G67" s="54">
        <v>200</v>
      </c>
      <c r="H67" s="27"/>
      <c r="I67" s="53">
        <v>200</v>
      </c>
      <c r="J67" s="50"/>
      <c r="K67" s="53">
        <v>20</v>
      </c>
      <c r="L67" s="205"/>
    </row>
    <row r="68" spans="2:12" ht="15.75">
      <c r="B68" s="207"/>
      <c r="C68" s="205"/>
      <c r="D68" s="27">
        <v>793</v>
      </c>
      <c r="E68" s="27">
        <f>DEMANDA_PREVISIÓN!E797</f>
        <v>39</v>
      </c>
      <c r="F68" s="50"/>
      <c r="G68" s="27">
        <f>G67-E68</f>
        <v>161</v>
      </c>
      <c r="H68" s="27"/>
      <c r="I68" s="53">
        <v>200</v>
      </c>
      <c r="J68" s="50"/>
      <c r="K68" s="53">
        <v>20</v>
      </c>
      <c r="L68" s="205"/>
    </row>
    <row r="69" spans="2:12" ht="15.75">
      <c r="B69" s="207"/>
      <c r="C69" s="205"/>
      <c r="D69" s="27">
        <v>794</v>
      </c>
      <c r="E69" s="27">
        <f>DEMANDA_PREVISIÓN!E798</f>
        <v>39</v>
      </c>
      <c r="F69" s="50"/>
      <c r="G69" s="27">
        <f>G68-E69</f>
        <v>122</v>
      </c>
      <c r="H69" s="27"/>
      <c r="I69" s="53">
        <v>200</v>
      </c>
      <c r="J69" s="50"/>
      <c r="K69" s="53">
        <v>20</v>
      </c>
      <c r="L69" s="205"/>
    </row>
    <row r="70" spans="2:12" ht="15.75">
      <c r="B70" s="207"/>
      <c r="C70" s="206"/>
      <c r="D70" s="27">
        <v>795</v>
      </c>
      <c r="E70" s="27">
        <f>DEMANDA_PREVISIÓN!E799</f>
        <v>45</v>
      </c>
      <c r="F70" s="50"/>
      <c r="G70" s="27">
        <f>G69-E70</f>
        <v>77</v>
      </c>
      <c r="H70" s="53">
        <v>200</v>
      </c>
      <c r="I70" s="53">
        <v>200</v>
      </c>
      <c r="J70" s="50"/>
      <c r="K70" s="53">
        <v>20</v>
      </c>
      <c r="L70" s="206"/>
    </row>
    <row r="71" spans="2:12" ht="15.75">
      <c r="B71" s="207"/>
      <c r="C71" s="204">
        <v>4</v>
      </c>
      <c r="D71" s="27">
        <v>796</v>
      </c>
      <c r="E71" s="27">
        <f>DEMANDA_PREVISIÓN!E800</f>
        <v>34</v>
      </c>
      <c r="F71" s="50"/>
      <c r="G71" s="27">
        <f>G70-E71</f>
        <v>43</v>
      </c>
      <c r="H71" s="53">
        <v>200</v>
      </c>
      <c r="I71" s="57">
        <v>200</v>
      </c>
      <c r="J71" s="50"/>
      <c r="K71" s="57">
        <v>20</v>
      </c>
      <c r="L71" s="204"/>
    </row>
    <row r="72" spans="2:12" ht="15.75">
      <c r="B72" s="207"/>
      <c r="C72" s="205"/>
      <c r="D72" s="27">
        <v>797</v>
      </c>
      <c r="E72" s="27">
        <f>DEMANDA_PREVISIÓN!E801</f>
        <v>51</v>
      </c>
      <c r="F72" s="50"/>
      <c r="G72" s="60">
        <v>0</v>
      </c>
      <c r="H72" s="53">
        <v>200</v>
      </c>
      <c r="I72" s="57">
        <v>200</v>
      </c>
      <c r="J72" s="50"/>
      <c r="K72" s="57">
        <v>20</v>
      </c>
      <c r="L72" s="205"/>
    </row>
    <row r="73" spans="2:12" ht="15.75">
      <c r="B73" s="207"/>
      <c r="C73" s="205"/>
      <c r="D73" s="27">
        <v>798</v>
      </c>
      <c r="E73" s="27">
        <f>DEMANDA_PREVISIÓN!E802</f>
        <v>36</v>
      </c>
      <c r="F73" s="50"/>
      <c r="G73" s="60">
        <v>0</v>
      </c>
      <c r="H73" s="53">
        <v>200</v>
      </c>
      <c r="I73" s="57">
        <v>200</v>
      </c>
      <c r="J73" s="50"/>
      <c r="K73" s="57">
        <v>20</v>
      </c>
      <c r="L73" s="205"/>
    </row>
    <row r="74" spans="2:12" ht="15.75">
      <c r="B74" s="207"/>
      <c r="C74" s="205"/>
      <c r="D74" s="27">
        <v>799</v>
      </c>
      <c r="E74" s="27">
        <f>DEMANDA_PREVISIÓN!E803</f>
        <v>37</v>
      </c>
      <c r="F74" s="50"/>
      <c r="G74" s="60">
        <v>0</v>
      </c>
      <c r="H74" s="53">
        <v>200</v>
      </c>
      <c r="I74" s="57">
        <v>200</v>
      </c>
      <c r="J74" s="50"/>
      <c r="K74" s="57">
        <v>20</v>
      </c>
      <c r="L74" s="205"/>
    </row>
    <row r="75" spans="2:12" ht="15.75">
      <c r="B75" s="207"/>
      <c r="C75" s="205"/>
      <c r="D75" s="27">
        <v>800</v>
      </c>
      <c r="E75" s="27">
        <f>DEMANDA_PREVISIÓN!E804</f>
        <v>47</v>
      </c>
      <c r="F75" s="50"/>
      <c r="G75" s="60">
        <v>0</v>
      </c>
      <c r="H75" s="53">
        <v>200</v>
      </c>
      <c r="I75" s="57">
        <v>200</v>
      </c>
      <c r="J75" s="50"/>
      <c r="K75" s="57">
        <v>20</v>
      </c>
      <c r="L75" s="205"/>
    </row>
    <row r="76" spans="2:12" ht="15.75">
      <c r="B76" s="207"/>
      <c r="C76" s="205"/>
      <c r="D76" s="27">
        <v>801</v>
      </c>
      <c r="E76" s="27">
        <f>DEMANDA_PREVISIÓN!E805</f>
        <v>41</v>
      </c>
      <c r="F76" s="50"/>
      <c r="G76" s="60">
        <v>0</v>
      </c>
      <c r="H76" s="53">
        <v>200</v>
      </c>
      <c r="I76" s="57">
        <v>200</v>
      </c>
      <c r="J76" s="50"/>
      <c r="K76" s="57">
        <v>20</v>
      </c>
      <c r="L76" s="205"/>
    </row>
    <row r="77" spans="2:12" ht="15.75">
      <c r="B77" s="207"/>
      <c r="C77" s="205"/>
      <c r="D77" s="27">
        <v>802</v>
      </c>
      <c r="E77" s="27">
        <f>DEMANDA_PREVISIÓN!E806</f>
        <v>41</v>
      </c>
      <c r="F77" s="50"/>
      <c r="G77" s="53">
        <v>200</v>
      </c>
      <c r="H77" s="27"/>
      <c r="I77" s="57">
        <v>200</v>
      </c>
      <c r="J77" s="50"/>
      <c r="K77" s="57">
        <v>20</v>
      </c>
      <c r="L77" s="205"/>
    </row>
    <row r="78" spans="2:12" ht="15.75">
      <c r="B78" s="207"/>
      <c r="C78" s="205"/>
      <c r="D78" s="27">
        <v>803</v>
      </c>
      <c r="E78" s="27">
        <f>DEMANDA_PREVISIÓN!E807</f>
        <v>42</v>
      </c>
      <c r="F78" s="50"/>
      <c r="G78" s="27">
        <f>G77-E78</f>
        <v>158</v>
      </c>
      <c r="H78" s="27"/>
      <c r="I78" s="57">
        <v>200</v>
      </c>
      <c r="J78" s="50"/>
      <c r="K78" s="57">
        <v>20</v>
      </c>
      <c r="L78" s="205"/>
    </row>
    <row r="79" spans="2:12" ht="15.75">
      <c r="B79" s="207"/>
      <c r="C79" s="205"/>
      <c r="D79" s="27">
        <v>804</v>
      </c>
      <c r="E79" s="27">
        <f>DEMANDA_PREVISIÓN!E808</f>
        <v>48</v>
      </c>
      <c r="F79" s="50"/>
      <c r="G79" s="27">
        <f>G78-E79</f>
        <v>110</v>
      </c>
      <c r="H79" s="27"/>
      <c r="I79" s="57">
        <v>200</v>
      </c>
      <c r="J79" s="50"/>
      <c r="K79" s="57">
        <v>20</v>
      </c>
      <c r="L79" s="205"/>
    </row>
    <row r="80" spans="2:12" ht="15.75">
      <c r="B80" s="207"/>
      <c r="C80" s="205"/>
      <c r="D80" s="27">
        <v>805</v>
      </c>
      <c r="E80" s="27">
        <f>DEMANDA_PREVISIÓN!E809</f>
        <v>55</v>
      </c>
      <c r="F80" s="50"/>
      <c r="G80" s="27">
        <f>G79-E80</f>
        <v>55</v>
      </c>
      <c r="H80" s="57">
        <v>200</v>
      </c>
      <c r="I80" s="57">
        <v>200</v>
      </c>
      <c r="J80" s="50"/>
      <c r="K80" s="57">
        <v>20</v>
      </c>
      <c r="L80" s="205"/>
    </row>
    <row r="81" spans="2:18" ht="15.75">
      <c r="B81" s="207"/>
      <c r="C81" s="205"/>
      <c r="D81" s="27">
        <v>806</v>
      </c>
      <c r="E81" s="27">
        <f>DEMANDA_PREVISIÓN!E810</f>
        <v>50</v>
      </c>
      <c r="F81" s="50"/>
      <c r="G81" s="27">
        <f>G80-E81</f>
        <v>5</v>
      </c>
      <c r="H81" s="57">
        <v>200</v>
      </c>
      <c r="I81" s="66">
        <v>200</v>
      </c>
      <c r="J81" s="50"/>
      <c r="K81" s="66">
        <v>20</v>
      </c>
      <c r="L81" s="205"/>
    </row>
    <row r="82" spans="2:18" ht="15.75">
      <c r="B82" s="207"/>
      <c r="C82" s="205"/>
      <c r="D82" s="27">
        <v>807</v>
      </c>
      <c r="E82" s="27">
        <f>DEMANDA_PREVISIÓN!E811</f>
        <v>44</v>
      </c>
      <c r="F82" s="50"/>
      <c r="G82" s="60">
        <v>0</v>
      </c>
      <c r="H82" s="57">
        <v>200</v>
      </c>
      <c r="I82" s="66">
        <v>200</v>
      </c>
      <c r="J82" s="50"/>
      <c r="K82" s="66">
        <v>20</v>
      </c>
      <c r="L82" s="205"/>
    </row>
    <row r="83" spans="2:18" ht="15.75">
      <c r="B83" s="207"/>
      <c r="C83" s="205"/>
      <c r="D83" s="27">
        <v>808</v>
      </c>
      <c r="E83" s="27">
        <f>DEMANDA_PREVISIÓN!E812</f>
        <v>41</v>
      </c>
      <c r="F83" s="50"/>
      <c r="G83" s="60">
        <v>0</v>
      </c>
      <c r="H83" s="57">
        <v>200</v>
      </c>
      <c r="I83" s="66">
        <v>200</v>
      </c>
      <c r="J83" s="50"/>
      <c r="K83" s="66">
        <v>20</v>
      </c>
      <c r="L83" s="205"/>
    </row>
    <row r="84" spans="2:18" ht="15.75">
      <c r="B84" s="207"/>
      <c r="C84" s="205"/>
      <c r="D84" s="27">
        <v>809</v>
      </c>
      <c r="E84" s="27">
        <f>DEMANDA_PREVISIÓN!E813</f>
        <v>38</v>
      </c>
      <c r="F84" s="50"/>
      <c r="G84" s="60">
        <v>0</v>
      </c>
      <c r="H84" s="57">
        <v>200</v>
      </c>
      <c r="I84" s="66">
        <v>200</v>
      </c>
      <c r="J84" s="50"/>
      <c r="K84" s="66">
        <v>20</v>
      </c>
      <c r="L84" s="205"/>
    </row>
    <row r="85" spans="2:18" ht="15.75">
      <c r="B85" s="207"/>
      <c r="C85" s="205"/>
      <c r="D85" s="27">
        <v>810</v>
      </c>
      <c r="E85" s="27">
        <f>DEMANDA_PREVISIÓN!E814</f>
        <v>44</v>
      </c>
      <c r="F85" s="50"/>
      <c r="G85" s="60">
        <v>0</v>
      </c>
      <c r="H85" s="57">
        <v>200</v>
      </c>
      <c r="I85" s="66">
        <v>200</v>
      </c>
      <c r="J85" s="50"/>
      <c r="K85" s="66">
        <v>20</v>
      </c>
      <c r="L85" s="205"/>
    </row>
    <row r="86" spans="2:18" ht="15.75">
      <c r="B86" s="207"/>
      <c r="C86" s="205"/>
      <c r="D86" s="27">
        <v>811</v>
      </c>
      <c r="E86" s="27">
        <f>DEMANDA_PREVISIÓN!E815</f>
        <v>39</v>
      </c>
      <c r="F86" s="50"/>
      <c r="G86" s="60">
        <v>0</v>
      </c>
      <c r="H86" s="57">
        <v>200</v>
      </c>
      <c r="I86" s="66">
        <v>200</v>
      </c>
      <c r="J86" s="50"/>
      <c r="K86" s="66">
        <v>20</v>
      </c>
      <c r="L86" s="205"/>
    </row>
    <row r="87" spans="2:18" ht="15.75">
      <c r="B87" s="207"/>
      <c r="C87" s="205"/>
      <c r="D87" s="27">
        <v>812</v>
      </c>
      <c r="E87" s="27">
        <f>DEMANDA_PREVISIÓN!E816</f>
        <v>52</v>
      </c>
      <c r="F87" s="50"/>
      <c r="G87" s="57">
        <v>200</v>
      </c>
      <c r="H87" s="27"/>
      <c r="I87" s="66">
        <v>200</v>
      </c>
      <c r="J87" s="50"/>
      <c r="K87" s="66">
        <v>20</v>
      </c>
      <c r="L87" s="205"/>
    </row>
    <row r="88" spans="2:18" ht="15.75">
      <c r="B88" s="207"/>
      <c r="C88" s="205"/>
      <c r="D88" s="27">
        <v>813</v>
      </c>
      <c r="E88" s="27">
        <f>DEMANDA_PREVISIÓN!E817</f>
        <v>47</v>
      </c>
      <c r="F88" s="50"/>
      <c r="G88" s="27">
        <f>G87-E88</f>
        <v>153</v>
      </c>
      <c r="H88" s="27"/>
      <c r="I88" s="66">
        <v>200</v>
      </c>
      <c r="J88" s="50"/>
      <c r="K88" s="66">
        <v>20</v>
      </c>
      <c r="L88" s="205"/>
    </row>
    <row r="89" spans="2:18" ht="15.75">
      <c r="B89" s="207"/>
      <c r="C89" s="205"/>
      <c r="D89" s="27">
        <v>814</v>
      </c>
      <c r="E89" s="27">
        <f>DEMANDA_PREVISIÓN!E818</f>
        <v>43</v>
      </c>
      <c r="F89" s="50"/>
      <c r="G89" s="27">
        <f>G88-E89</f>
        <v>110</v>
      </c>
      <c r="H89" s="27"/>
      <c r="I89" s="66">
        <v>200</v>
      </c>
      <c r="J89" s="50"/>
      <c r="K89" s="66">
        <v>20</v>
      </c>
      <c r="L89" s="205"/>
    </row>
    <row r="90" spans="2:18" ht="15.75">
      <c r="B90" s="207"/>
      <c r="C90" s="205"/>
      <c r="D90" s="27">
        <v>815</v>
      </c>
      <c r="E90" s="27">
        <f>DEMANDA_PREVISIÓN!E819</f>
        <v>56</v>
      </c>
      <c r="F90" s="50"/>
      <c r="G90" s="27">
        <f>G89-E90</f>
        <v>54</v>
      </c>
      <c r="H90" s="66">
        <v>200</v>
      </c>
      <c r="I90" s="66">
        <v>200</v>
      </c>
      <c r="J90" s="50"/>
      <c r="K90" s="66">
        <v>20</v>
      </c>
      <c r="L90" s="205"/>
    </row>
    <row r="91" spans="2:18" ht="15.75">
      <c r="B91" s="207"/>
      <c r="C91" s="205"/>
      <c r="D91" s="27">
        <v>816</v>
      </c>
      <c r="E91" s="27">
        <f>DEMANDA_PREVISIÓN!E820</f>
        <v>45</v>
      </c>
      <c r="F91" s="50"/>
      <c r="G91" s="27">
        <f>G90-E91</f>
        <v>9</v>
      </c>
      <c r="H91" s="66">
        <v>200</v>
      </c>
      <c r="I91" s="56">
        <v>200</v>
      </c>
      <c r="J91" s="50"/>
      <c r="K91" s="56">
        <v>20</v>
      </c>
      <c r="L91" s="205"/>
    </row>
    <row r="92" spans="2:18" ht="15.75">
      <c r="B92" s="207"/>
      <c r="C92" s="205"/>
      <c r="D92" s="27">
        <v>817</v>
      </c>
      <c r="E92" s="27">
        <f>DEMANDA_PREVISIÓN!E821</f>
        <v>49</v>
      </c>
      <c r="F92" s="50"/>
      <c r="G92" s="60">
        <v>0</v>
      </c>
      <c r="H92" s="66">
        <v>200</v>
      </c>
      <c r="I92" s="56">
        <v>200</v>
      </c>
      <c r="J92" s="50"/>
      <c r="K92" s="56">
        <v>20</v>
      </c>
      <c r="L92" s="205"/>
    </row>
    <row r="93" spans="2:18" ht="15.75">
      <c r="B93" s="207"/>
      <c r="C93" s="205"/>
      <c r="D93" s="27">
        <v>818</v>
      </c>
      <c r="E93" s="27">
        <f>DEMANDA_PREVISIÓN!E822</f>
        <v>43</v>
      </c>
      <c r="F93" s="50"/>
      <c r="G93" s="60">
        <v>0</v>
      </c>
      <c r="H93" s="66">
        <v>200</v>
      </c>
      <c r="I93" s="56">
        <v>200</v>
      </c>
      <c r="J93" s="50"/>
      <c r="K93" s="56">
        <v>20</v>
      </c>
      <c r="L93" s="205"/>
    </row>
    <row r="94" spans="2:18" ht="15.75">
      <c r="B94" s="207"/>
      <c r="C94" s="205"/>
      <c r="D94" s="27">
        <v>819</v>
      </c>
      <c r="E94" s="27">
        <f>DEMANDA_PREVISIÓN!E823</f>
        <v>47</v>
      </c>
      <c r="F94" s="50"/>
      <c r="G94" s="60">
        <v>0</v>
      </c>
      <c r="H94" s="66">
        <v>200</v>
      </c>
      <c r="I94" s="56">
        <v>200</v>
      </c>
      <c r="J94" s="50"/>
      <c r="K94" s="56">
        <v>20</v>
      </c>
      <c r="L94" s="205"/>
    </row>
    <row r="95" spans="2:18" ht="15.75">
      <c r="B95" s="207" t="s">
        <v>44</v>
      </c>
      <c r="C95" s="205"/>
      <c r="D95" s="55">
        <v>820</v>
      </c>
      <c r="E95" s="35">
        <f>DEMANDA_PREVISIÓN!E824</f>
        <v>44</v>
      </c>
      <c r="F95" s="50"/>
      <c r="G95" s="60">
        <v>0</v>
      </c>
      <c r="H95" s="66">
        <v>200</v>
      </c>
      <c r="I95" s="56">
        <v>200</v>
      </c>
      <c r="J95" s="50"/>
      <c r="K95" s="56">
        <v>20</v>
      </c>
      <c r="L95" s="205"/>
      <c r="R95" s="18" t="s">
        <v>164</v>
      </c>
    </row>
    <row r="96" spans="2:18" ht="15.75">
      <c r="B96" s="207"/>
      <c r="C96" s="205"/>
      <c r="D96" s="27">
        <v>821</v>
      </c>
      <c r="E96" s="27">
        <f>DEMANDA_PREVISIÓN!E825</f>
        <v>42</v>
      </c>
      <c r="F96" s="50"/>
      <c r="G96" s="60">
        <v>0</v>
      </c>
      <c r="H96" s="66">
        <v>200</v>
      </c>
      <c r="I96" s="56">
        <v>200</v>
      </c>
      <c r="J96" s="50"/>
      <c r="K96" s="56">
        <v>20</v>
      </c>
      <c r="L96" s="205"/>
      <c r="N96" s="71" t="s">
        <v>10</v>
      </c>
      <c r="O96" s="71">
        <v>400</v>
      </c>
    </row>
    <row r="97" spans="2:12" ht="15.75">
      <c r="B97" s="207"/>
      <c r="C97" s="205"/>
      <c r="D97" s="27">
        <v>822</v>
      </c>
      <c r="E97" s="27">
        <f>DEMANDA_PREVISIÓN!E826</f>
        <v>49</v>
      </c>
      <c r="F97" s="50"/>
      <c r="G97" s="66">
        <f>H96</f>
        <v>200</v>
      </c>
      <c r="H97" s="27"/>
      <c r="I97" s="56">
        <v>200</v>
      </c>
      <c r="J97" s="50"/>
      <c r="K97" s="56">
        <v>20</v>
      </c>
      <c r="L97" s="205"/>
    </row>
    <row r="98" spans="2:12" ht="15.75">
      <c r="B98" s="207"/>
      <c r="C98" s="205"/>
      <c r="D98" s="27">
        <v>823</v>
      </c>
      <c r="E98" s="27">
        <f>DEMANDA_PREVISIÓN!E827</f>
        <v>43</v>
      </c>
      <c r="F98" s="50"/>
      <c r="G98" s="27">
        <f>G97-E98</f>
        <v>157</v>
      </c>
      <c r="H98" s="27"/>
      <c r="I98" s="56">
        <v>200</v>
      </c>
      <c r="J98" s="50"/>
      <c r="K98" s="56">
        <v>20</v>
      </c>
      <c r="L98" s="205"/>
    </row>
    <row r="99" spans="2:12" ht="15.75">
      <c r="B99" s="207"/>
      <c r="C99" s="205"/>
      <c r="D99" s="27">
        <v>824</v>
      </c>
      <c r="E99" s="27">
        <f>DEMANDA_PREVISIÓN!E828</f>
        <v>29</v>
      </c>
      <c r="F99" s="50"/>
      <c r="G99" s="27">
        <f>G98-E99</f>
        <v>128</v>
      </c>
      <c r="H99" s="27"/>
      <c r="I99" s="56">
        <v>200</v>
      </c>
      <c r="J99" s="50"/>
      <c r="K99" s="56">
        <v>20</v>
      </c>
      <c r="L99" s="205"/>
    </row>
    <row r="100" spans="2:12" ht="15.75">
      <c r="B100" s="207"/>
      <c r="C100" s="206"/>
      <c r="D100" s="27">
        <v>825</v>
      </c>
      <c r="E100" s="27">
        <f>DEMANDA_PREVISIÓN!E829</f>
        <v>32</v>
      </c>
      <c r="F100" s="50"/>
      <c r="G100" s="27">
        <f>G99-E100</f>
        <v>96</v>
      </c>
      <c r="H100" s="56">
        <v>200</v>
      </c>
      <c r="I100" s="56">
        <v>200</v>
      </c>
      <c r="J100" s="50"/>
      <c r="K100" s="56">
        <v>20</v>
      </c>
      <c r="L100" s="206"/>
    </row>
    <row r="101" spans="2:12" ht="15.75">
      <c r="B101" s="207"/>
      <c r="C101" s="201">
        <v>5</v>
      </c>
      <c r="D101" s="27">
        <v>826</v>
      </c>
      <c r="E101" s="27">
        <f>DEMANDA_PREVISIÓN!E830</f>
        <v>36</v>
      </c>
      <c r="F101" s="50"/>
      <c r="G101" s="27">
        <f>G100-E101</f>
        <v>60</v>
      </c>
      <c r="H101" s="56">
        <v>200</v>
      </c>
      <c r="I101" s="57">
        <v>400</v>
      </c>
      <c r="J101" s="50"/>
      <c r="K101" s="57">
        <v>50</v>
      </c>
      <c r="L101" s="201"/>
    </row>
    <row r="102" spans="2:12" ht="15.75">
      <c r="B102" s="207"/>
      <c r="C102" s="202"/>
      <c r="D102" s="27">
        <v>827</v>
      </c>
      <c r="E102" s="27">
        <f>DEMANDA_PREVISIÓN!E831</f>
        <v>51</v>
      </c>
      <c r="F102" s="50"/>
      <c r="G102" s="27">
        <f>G101-E102</f>
        <v>9</v>
      </c>
      <c r="H102" s="56">
        <v>200</v>
      </c>
      <c r="I102" s="57">
        <v>400</v>
      </c>
      <c r="J102" s="50"/>
      <c r="K102" s="57">
        <v>50</v>
      </c>
      <c r="L102" s="202"/>
    </row>
    <row r="103" spans="2:12" ht="15.75">
      <c r="B103" s="207"/>
      <c r="C103" s="202"/>
      <c r="D103" s="27">
        <v>828</v>
      </c>
      <c r="E103" s="27">
        <f>DEMANDA_PREVISIÓN!E832</f>
        <v>44</v>
      </c>
      <c r="F103" s="50"/>
      <c r="G103" s="60">
        <v>0</v>
      </c>
      <c r="H103" s="56">
        <v>200</v>
      </c>
      <c r="I103" s="57">
        <v>400</v>
      </c>
      <c r="J103" s="50"/>
      <c r="K103" s="57">
        <v>50</v>
      </c>
      <c r="L103" s="202"/>
    </row>
    <row r="104" spans="2:12" ht="15.75">
      <c r="B104" s="207"/>
      <c r="C104" s="202"/>
      <c r="D104" s="27">
        <v>829</v>
      </c>
      <c r="E104" s="27">
        <f>DEMANDA_PREVISIÓN!E833</f>
        <v>40</v>
      </c>
      <c r="F104" s="50"/>
      <c r="G104" s="60">
        <v>0</v>
      </c>
      <c r="H104" s="56">
        <v>200</v>
      </c>
      <c r="I104" s="57">
        <v>400</v>
      </c>
      <c r="J104" s="50"/>
      <c r="K104" s="57">
        <v>50</v>
      </c>
      <c r="L104" s="202"/>
    </row>
    <row r="105" spans="2:12" ht="15.75">
      <c r="B105" s="207"/>
      <c r="C105" s="202"/>
      <c r="D105" s="27">
        <v>830</v>
      </c>
      <c r="E105" s="27">
        <f>DEMANDA_PREVISIÓN!E834</f>
        <v>46</v>
      </c>
      <c r="F105" s="50"/>
      <c r="G105" s="60">
        <v>0</v>
      </c>
      <c r="H105" s="56">
        <v>200</v>
      </c>
      <c r="I105" s="57">
        <v>400</v>
      </c>
      <c r="J105" s="50"/>
      <c r="K105" s="57">
        <v>50</v>
      </c>
      <c r="L105" s="202"/>
    </row>
    <row r="106" spans="2:12" ht="15.75">
      <c r="B106" s="207"/>
      <c r="C106" s="202"/>
      <c r="D106" s="27">
        <v>831</v>
      </c>
      <c r="E106" s="27">
        <f>DEMANDA_PREVISIÓN!E835</f>
        <v>30</v>
      </c>
      <c r="F106" s="50"/>
      <c r="G106" s="60">
        <v>0</v>
      </c>
      <c r="H106" s="56">
        <v>200</v>
      </c>
      <c r="I106" s="57">
        <v>400</v>
      </c>
      <c r="J106" s="50"/>
      <c r="K106" s="57">
        <v>50</v>
      </c>
      <c r="L106" s="202"/>
    </row>
    <row r="107" spans="2:12" ht="15.75">
      <c r="B107" s="207"/>
      <c r="C107" s="202"/>
      <c r="D107" s="27">
        <v>832</v>
      </c>
      <c r="E107" s="27">
        <f>DEMANDA_PREVISIÓN!E836</f>
        <v>45</v>
      </c>
      <c r="F107" s="50"/>
      <c r="G107" s="56">
        <v>200</v>
      </c>
      <c r="H107" s="27"/>
      <c r="I107" s="57">
        <v>400</v>
      </c>
      <c r="J107" s="50"/>
      <c r="K107" s="57">
        <v>50</v>
      </c>
      <c r="L107" s="202"/>
    </row>
    <row r="108" spans="2:12" ht="15.75">
      <c r="B108" s="207"/>
      <c r="C108" s="202"/>
      <c r="D108" s="27">
        <v>833</v>
      </c>
      <c r="E108" s="27">
        <f>DEMANDA_PREVISIÓN!E837</f>
        <v>43</v>
      </c>
      <c r="F108" s="50"/>
      <c r="G108" s="27">
        <f>G107-E108</f>
        <v>157</v>
      </c>
      <c r="H108" s="57">
        <v>400</v>
      </c>
      <c r="I108" s="57">
        <v>400</v>
      </c>
      <c r="J108" s="50"/>
      <c r="K108" s="57">
        <v>50</v>
      </c>
      <c r="L108" s="202"/>
    </row>
    <row r="109" spans="2:12" ht="15.75">
      <c r="B109" s="207"/>
      <c r="C109" s="202"/>
      <c r="D109" s="27">
        <v>834</v>
      </c>
      <c r="E109" s="27">
        <f>DEMANDA_PREVISIÓN!E838</f>
        <v>47</v>
      </c>
      <c r="F109" s="50"/>
      <c r="G109" s="27">
        <f>G108-E109</f>
        <v>110</v>
      </c>
      <c r="H109" s="57">
        <v>400</v>
      </c>
      <c r="I109" s="58">
        <v>400</v>
      </c>
      <c r="J109" s="50"/>
      <c r="K109" s="58">
        <v>50</v>
      </c>
      <c r="L109" s="202"/>
    </row>
    <row r="110" spans="2:12" ht="15.75">
      <c r="B110" s="207"/>
      <c r="C110" s="202"/>
      <c r="D110" s="27">
        <v>835</v>
      </c>
      <c r="E110" s="27">
        <f>DEMANDA_PREVISIÓN!E839</f>
        <v>50</v>
      </c>
      <c r="F110" s="50"/>
      <c r="G110" s="27">
        <f>G109-E110</f>
        <v>60</v>
      </c>
      <c r="H110" s="57">
        <v>400</v>
      </c>
      <c r="I110" s="58">
        <v>400</v>
      </c>
      <c r="J110" s="50"/>
      <c r="K110" s="58">
        <v>50</v>
      </c>
      <c r="L110" s="202"/>
    </row>
    <row r="111" spans="2:12" ht="15.75">
      <c r="B111" s="207"/>
      <c r="C111" s="202"/>
      <c r="D111" s="27">
        <v>836</v>
      </c>
      <c r="E111" s="27">
        <f>DEMANDA_PREVISIÓN!E840</f>
        <v>49</v>
      </c>
      <c r="F111" s="50"/>
      <c r="G111" s="27">
        <f>G110-E111</f>
        <v>11</v>
      </c>
      <c r="H111" s="57">
        <v>400</v>
      </c>
      <c r="I111" s="58">
        <v>400</v>
      </c>
      <c r="J111" s="50"/>
      <c r="K111" s="58">
        <v>50</v>
      </c>
      <c r="L111" s="202"/>
    </row>
    <row r="112" spans="2:12" ht="15.75">
      <c r="B112" s="207"/>
      <c r="C112" s="202"/>
      <c r="D112" s="27">
        <v>837</v>
      </c>
      <c r="E112" s="27">
        <f>DEMANDA_PREVISIÓN!E841</f>
        <v>42</v>
      </c>
      <c r="F112" s="50"/>
      <c r="G112" s="60">
        <v>0</v>
      </c>
      <c r="H112" s="57">
        <v>400</v>
      </c>
      <c r="I112" s="58">
        <v>400</v>
      </c>
      <c r="J112" s="50"/>
      <c r="K112" s="58">
        <v>50</v>
      </c>
      <c r="L112" s="202"/>
    </row>
    <row r="113" spans="2:12" ht="15.75">
      <c r="B113" s="207"/>
      <c r="C113" s="202"/>
      <c r="D113" s="27">
        <v>838</v>
      </c>
      <c r="E113" s="27">
        <f>DEMANDA_PREVISIÓN!E842</f>
        <v>37</v>
      </c>
      <c r="F113" s="50"/>
      <c r="G113" s="60">
        <v>0</v>
      </c>
      <c r="H113" s="57">
        <v>400</v>
      </c>
      <c r="I113" s="58">
        <v>400</v>
      </c>
      <c r="J113" s="50"/>
      <c r="K113" s="58">
        <v>50</v>
      </c>
      <c r="L113" s="202"/>
    </row>
    <row r="114" spans="2:12" ht="15.75">
      <c r="B114" s="207"/>
      <c r="C114" s="202"/>
      <c r="D114" s="27">
        <v>839</v>
      </c>
      <c r="E114" s="27">
        <f>DEMANDA_PREVISIÓN!E843</f>
        <v>46</v>
      </c>
      <c r="F114" s="50"/>
      <c r="G114" s="60">
        <v>0</v>
      </c>
      <c r="H114" s="57">
        <v>400</v>
      </c>
      <c r="I114" s="58">
        <v>400</v>
      </c>
      <c r="J114" s="50"/>
      <c r="K114" s="58">
        <v>50</v>
      </c>
      <c r="L114" s="202"/>
    </row>
    <row r="115" spans="2:12" ht="15.75">
      <c r="B115" s="207"/>
      <c r="C115" s="202"/>
      <c r="D115" s="27">
        <v>840</v>
      </c>
      <c r="E115" s="27">
        <f>DEMANDA_PREVISIÓN!E844</f>
        <v>40</v>
      </c>
      <c r="F115" s="50"/>
      <c r="G115" s="57">
        <f>H114+G114</f>
        <v>400</v>
      </c>
      <c r="I115" s="58">
        <v>400</v>
      </c>
      <c r="J115" s="47"/>
      <c r="K115" s="58">
        <v>50</v>
      </c>
      <c r="L115" s="202"/>
    </row>
    <row r="116" spans="2:12" ht="15.75">
      <c r="B116" s="207"/>
      <c r="C116" s="202"/>
      <c r="D116" s="27">
        <v>841</v>
      </c>
      <c r="E116" s="27">
        <f>DEMANDA_PREVISIÓN!E845</f>
        <v>39</v>
      </c>
      <c r="F116" s="50"/>
      <c r="G116" s="27">
        <f t="shared" ref="G116:G122" si="0">G115-E116</f>
        <v>361</v>
      </c>
      <c r="H116" s="58">
        <v>400</v>
      </c>
      <c r="I116" s="58">
        <v>400</v>
      </c>
      <c r="J116" s="50"/>
      <c r="K116" s="58">
        <v>50</v>
      </c>
      <c r="L116" s="202"/>
    </row>
    <row r="117" spans="2:12" ht="15.75">
      <c r="B117" s="207"/>
      <c r="C117" s="202"/>
      <c r="D117" s="27">
        <v>842</v>
      </c>
      <c r="E117" s="27">
        <f>DEMANDA_PREVISIÓN!E846</f>
        <v>46</v>
      </c>
      <c r="F117" s="50"/>
      <c r="G117" s="27">
        <f t="shared" si="0"/>
        <v>315</v>
      </c>
      <c r="H117" s="58">
        <v>400</v>
      </c>
      <c r="I117" s="68">
        <v>400</v>
      </c>
      <c r="J117" s="50"/>
      <c r="K117" s="68">
        <v>50</v>
      </c>
      <c r="L117" s="202"/>
    </row>
    <row r="118" spans="2:12" ht="15.75">
      <c r="B118" s="207"/>
      <c r="C118" s="202"/>
      <c r="D118" s="27">
        <v>843</v>
      </c>
      <c r="E118" s="27">
        <f>DEMANDA_PREVISIÓN!E847</f>
        <v>41</v>
      </c>
      <c r="F118" s="50"/>
      <c r="G118" s="27">
        <f t="shared" si="0"/>
        <v>274</v>
      </c>
      <c r="H118" s="58">
        <v>400</v>
      </c>
      <c r="I118" s="68">
        <v>400</v>
      </c>
      <c r="J118" s="50"/>
      <c r="K118" s="68">
        <v>50</v>
      </c>
      <c r="L118" s="202"/>
    </row>
    <row r="119" spans="2:12" ht="15.75">
      <c r="B119" s="207"/>
      <c r="C119" s="202"/>
      <c r="D119" s="27">
        <v>844</v>
      </c>
      <c r="E119" s="27">
        <f>DEMANDA_PREVISIÓN!E848</f>
        <v>53</v>
      </c>
      <c r="F119" s="50"/>
      <c r="G119" s="27">
        <f t="shared" si="0"/>
        <v>221</v>
      </c>
      <c r="H119" s="58">
        <v>400</v>
      </c>
      <c r="I119" s="68">
        <v>400</v>
      </c>
      <c r="J119" s="50"/>
      <c r="K119" s="68">
        <v>50</v>
      </c>
      <c r="L119" s="202"/>
    </row>
    <row r="120" spans="2:12" ht="15.75">
      <c r="B120" s="207"/>
      <c r="C120" s="202"/>
      <c r="D120" s="27">
        <v>845</v>
      </c>
      <c r="E120" s="27">
        <f>DEMANDA_PREVISIÓN!E849</f>
        <v>42</v>
      </c>
      <c r="F120" s="50"/>
      <c r="G120" s="27">
        <f t="shared" si="0"/>
        <v>179</v>
      </c>
      <c r="H120" s="58">
        <v>400</v>
      </c>
      <c r="I120" s="68">
        <v>400</v>
      </c>
      <c r="J120" s="50"/>
      <c r="K120" s="68">
        <v>50</v>
      </c>
      <c r="L120" s="202"/>
    </row>
    <row r="121" spans="2:12" ht="15.75">
      <c r="B121" s="207"/>
      <c r="C121" s="202"/>
      <c r="D121" s="27">
        <v>846</v>
      </c>
      <c r="E121" s="27">
        <f>DEMANDA_PREVISIÓN!E850</f>
        <v>35</v>
      </c>
      <c r="F121" s="50"/>
      <c r="G121" s="27">
        <f t="shared" si="0"/>
        <v>144</v>
      </c>
      <c r="H121" s="58">
        <v>400</v>
      </c>
      <c r="I121" s="68">
        <v>400</v>
      </c>
      <c r="J121" s="50"/>
      <c r="K121" s="68">
        <v>50</v>
      </c>
      <c r="L121" s="202"/>
    </row>
    <row r="122" spans="2:12" ht="15.75">
      <c r="B122" s="207"/>
      <c r="C122" s="202"/>
      <c r="D122" s="27">
        <v>847</v>
      </c>
      <c r="E122" s="27">
        <f>DEMANDA_PREVISIÓN!E851</f>
        <v>55</v>
      </c>
      <c r="F122" s="50"/>
      <c r="G122" s="27">
        <f t="shared" si="0"/>
        <v>89</v>
      </c>
      <c r="H122" s="58">
        <v>400</v>
      </c>
      <c r="I122" s="68">
        <v>400</v>
      </c>
      <c r="J122" s="50"/>
      <c r="K122" s="68">
        <v>50</v>
      </c>
      <c r="L122" s="202"/>
    </row>
    <row r="123" spans="2:12" ht="15.75">
      <c r="B123" s="207"/>
      <c r="C123" s="202"/>
      <c r="D123" s="27">
        <v>848</v>
      </c>
      <c r="E123" s="27">
        <f>DEMANDA_PREVISIÓN!E852</f>
        <v>49</v>
      </c>
      <c r="F123" s="50"/>
      <c r="G123" s="58">
        <f>H122+G122</f>
        <v>489</v>
      </c>
      <c r="H123" s="27"/>
      <c r="I123" s="68">
        <v>400</v>
      </c>
      <c r="J123" s="50"/>
      <c r="K123" s="68">
        <v>50</v>
      </c>
      <c r="L123" s="202"/>
    </row>
    <row r="124" spans="2:12" ht="15.75">
      <c r="B124" s="207"/>
      <c r="C124" s="202"/>
      <c r="D124" s="27">
        <v>849</v>
      </c>
      <c r="E124" s="27">
        <f>DEMANDA_PREVISIÓN!E853</f>
        <v>53</v>
      </c>
      <c r="F124" s="50"/>
      <c r="G124" s="27">
        <f t="shared" ref="G124:G130" si="1">G123-E124</f>
        <v>436</v>
      </c>
      <c r="H124" s="68">
        <v>400</v>
      </c>
      <c r="I124" s="68">
        <v>400</v>
      </c>
      <c r="J124" s="50"/>
      <c r="K124" s="68">
        <v>50</v>
      </c>
      <c r="L124" s="202"/>
    </row>
    <row r="125" spans="2:12" ht="15.75">
      <c r="B125" s="207"/>
      <c r="C125" s="202"/>
      <c r="D125" s="27">
        <v>850</v>
      </c>
      <c r="E125" s="27">
        <f>DEMANDA_PREVISIÓN!E854</f>
        <v>48</v>
      </c>
      <c r="F125" s="50"/>
      <c r="G125" s="27">
        <f t="shared" si="1"/>
        <v>388</v>
      </c>
      <c r="H125" s="68">
        <v>400</v>
      </c>
      <c r="I125" s="70">
        <v>400</v>
      </c>
      <c r="J125" s="50"/>
      <c r="K125" s="70">
        <v>50</v>
      </c>
      <c r="L125" s="202"/>
    </row>
    <row r="126" spans="2:12" ht="15.75">
      <c r="B126" s="207"/>
      <c r="C126" s="202"/>
      <c r="D126" s="27">
        <v>851</v>
      </c>
      <c r="E126" s="27">
        <f>DEMANDA_PREVISIÓN!E855</f>
        <v>49</v>
      </c>
      <c r="F126" s="50"/>
      <c r="G126" s="27">
        <f t="shared" si="1"/>
        <v>339</v>
      </c>
      <c r="H126" s="68">
        <v>400</v>
      </c>
      <c r="I126" s="70">
        <v>400</v>
      </c>
      <c r="J126" s="50"/>
      <c r="K126" s="70">
        <v>50</v>
      </c>
      <c r="L126" s="202"/>
    </row>
    <row r="127" spans="2:12" ht="15.75">
      <c r="B127" s="207"/>
      <c r="C127" s="202"/>
      <c r="D127" s="39">
        <v>852</v>
      </c>
      <c r="E127" s="27">
        <f>DEMANDA_PREVISIÓN!E856</f>
        <v>42</v>
      </c>
      <c r="F127" s="50"/>
      <c r="G127" s="27">
        <f t="shared" si="1"/>
        <v>297</v>
      </c>
      <c r="H127" s="68">
        <v>400</v>
      </c>
      <c r="I127" s="70">
        <v>400</v>
      </c>
      <c r="J127" s="50"/>
      <c r="K127" s="70">
        <v>50</v>
      </c>
      <c r="L127" s="202"/>
    </row>
    <row r="128" spans="2:12" ht="15.75">
      <c r="B128" s="207"/>
      <c r="C128" s="202"/>
      <c r="D128" s="27">
        <v>853</v>
      </c>
      <c r="E128" s="27">
        <f>DEMANDA_PREVISIÓN!E857</f>
        <v>45</v>
      </c>
      <c r="F128" s="50"/>
      <c r="G128" s="27">
        <f t="shared" si="1"/>
        <v>252</v>
      </c>
      <c r="H128" s="68">
        <v>400</v>
      </c>
      <c r="I128" s="70">
        <v>400</v>
      </c>
      <c r="J128" s="50"/>
      <c r="K128" s="70">
        <v>50</v>
      </c>
      <c r="L128" s="202"/>
    </row>
    <row r="129" spans="2:15" ht="15.75">
      <c r="B129" s="207"/>
      <c r="C129" s="202"/>
      <c r="D129" s="27">
        <v>854</v>
      </c>
      <c r="E129" s="27">
        <f>DEMANDA_PREVISIÓN!E858</f>
        <v>41</v>
      </c>
      <c r="F129" s="50"/>
      <c r="G129" s="27">
        <f t="shared" si="1"/>
        <v>211</v>
      </c>
      <c r="H129" s="68">
        <v>400</v>
      </c>
      <c r="I129" s="70">
        <v>400</v>
      </c>
      <c r="J129" s="50"/>
      <c r="K129" s="70">
        <v>50</v>
      </c>
      <c r="L129" s="202"/>
    </row>
    <row r="130" spans="2:15" ht="15.75">
      <c r="B130" s="207"/>
      <c r="C130" s="202"/>
      <c r="D130" s="27">
        <v>855</v>
      </c>
      <c r="E130" s="27">
        <f>DEMANDA_PREVISIÓN!E859</f>
        <v>43</v>
      </c>
      <c r="F130" s="50"/>
      <c r="G130" s="27">
        <f t="shared" si="1"/>
        <v>168</v>
      </c>
      <c r="H130" s="68">
        <v>400</v>
      </c>
      <c r="I130" s="70">
        <v>400</v>
      </c>
      <c r="J130" s="50"/>
      <c r="K130" s="70">
        <v>50</v>
      </c>
      <c r="L130" s="202"/>
    </row>
    <row r="131" spans="2:15" ht="15.75">
      <c r="B131" s="207"/>
      <c r="C131" s="203"/>
      <c r="D131" s="27">
        <v>856</v>
      </c>
      <c r="E131" s="27">
        <f>DEMANDA_PREVISIÓN!E860</f>
        <v>43</v>
      </c>
      <c r="F131" s="50"/>
      <c r="G131" s="68">
        <f>H130+G130</f>
        <v>568</v>
      </c>
      <c r="H131" s="27"/>
      <c r="I131" s="70">
        <v>400</v>
      </c>
      <c r="J131" s="50"/>
      <c r="K131" s="70">
        <v>50</v>
      </c>
      <c r="L131" s="203"/>
    </row>
    <row r="132" spans="2:15" ht="15.75">
      <c r="B132" s="207"/>
      <c r="C132" s="201">
        <v>6</v>
      </c>
      <c r="D132" s="27">
        <v>857</v>
      </c>
      <c r="E132" s="27">
        <f>DEMANDA_PREVISIÓN!E861</f>
        <v>45</v>
      </c>
      <c r="F132" s="50"/>
      <c r="G132" s="27">
        <f t="shared" ref="G132:G138" si="2">G131-E132</f>
        <v>523</v>
      </c>
      <c r="H132" s="70">
        <v>400</v>
      </c>
      <c r="I132" s="70">
        <v>400</v>
      </c>
      <c r="J132" s="50"/>
      <c r="K132" s="70">
        <v>50</v>
      </c>
      <c r="L132" s="201"/>
    </row>
    <row r="133" spans="2:15" ht="15.75">
      <c r="B133" s="207"/>
      <c r="C133" s="202"/>
      <c r="D133" s="27">
        <v>858</v>
      </c>
      <c r="E133" s="27">
        <f>DEMANDA_PREVISIÓN!E862</f>
        <v>35</v>
      </c>
      <c r="F133" s="50"/>
      <c r="G133" s="27">
        <f t="shared" si="2"/>
        <v>488</v>
      </c>
      <c r="H133" s="70">
        <v>400</v>
      </c>
      <c r="I133" s="56">
        <v>400</v>
      </c>
      <c r="J133" s="50"/>
      <c r="K133" s="56">
        <v>50</v>
      </c>
      <c r="L133" s="202"/>
    </row>
    <row r="134" spans="2:15" ht="15.75">
      <c r="B134" s="207"/>
      <c r="C134" s="202"/>
      <c r="D134" s="27">
        <v>859</v>
      </c>
      <c r="E134" s="27">
        <f>DEMANDA_PREVISIÓN!E863</f>
        <v>42</v>
      </c>
      <c r="F134" s="50"/>
      <c r="G134" s="27">
        <f t="shared" si="2"/>
        <v>446</v>
      </c>
      <c r="H134" s="70">
        <v>400</v>
      </c>
      <c r="I134" s="56">
        <v>400</v>
      </c>
      <c r="J134" s="50"/>
      <c r="K134" s="56">
        <v>50</v>
      </c>
      <c r="L134" s="202"/>
    </row>
    <row r="135" spans="2:15" ht="15.75">
      <c r="B135" s="207"/>
      <c r="C135" s="202"/>
      <c r="D135" s="27">
        <v>860</v>
      </c>
      <c r="E135" s="27">
        <f>DEMANDA_PREVISIÓN!E864</f>
        <v>42</v>
      </c>
      <c r="F135" s="50"/>
      <c r="G135" s="27">
        <f t="shared" si="2"/>
        <v>404</v>
      </c>
      <c r="H135" s="70">
        <v>400</v>
      </c>
      <c r="I135" s="56">
        <v>400</v>
      </c>
      <c r="J135" s="50"/>
      <c r="K135" s="56">
        <v>50</v>
      </c>
      <c r="L135" s="202"/>
    </row>
    <row r="136" spans="2:15" ht="15.75">
      <c r="B136" s="207"/>
      <c r="C136" s="202"/>
      <c r="D136" s="27">
        <v>861</v>
      </c>
      <c r="E136" s="27">
        <f>DEMANDA_PREVISIÓN!E865</f>
        <v>38</v>
      </c>
      <c r="F136" s="50"/>
      <c r="G136" s="27">
        <f t="shared" si="2"/>
        <v>366</v>
      </c>
      <c r="H136" s="70">
        <v>400</v>
      </c>
      <c r="I136" s="56">
        <v>400</v>
      </c>
      <c r="J136" s="50"/>
      <c r="K136" s="56">
        <v>50</v>
      </c>
      <c r="L136" s="202"/>
    </row>
    <row r="137" spans="2:15" ht="15.75">
      <c r="B137" s="207"/>
      <c r="C137" s="202"/>
      <c r="D137" s="27">
        <v>862</v>
      </c>
      <c r="E137" s="27">
        <f>DEMANDA_PREVISIÓN!E866</f>
        <v>51</v>
      </c>
      <c r="F137" s="50"/>
      <c r="G137" s="27">
        <f t="shared" si="2"/>
        <v>315</v>
      </c>
      <c r="H137" s="70">
        <v>400</v>
      </c>
      <c r="I137" s="56">
        <v>400</v>
      </c>
      <c r="J137" s="50"/>
      <c r="K137" s="56">
        <v>50</v>
      </c>
      <c r="L137" s="202"/>
    </row>
    <row r="138" spans="2:15" ht="15.75">
      <c r="B138" s="207"/>
      <c r="C138" s="202"/>
      <c r="D138" s="27">
        <v>863</v>
      </c>
      <c r="E138" s="27">
        <f>DEMANDA_PREVISIÓN!E867</f>
        <v>32</v>
      </c>
      <c r="F138" s="50"/>
      <c r="G138" s="27">
        <f t="shared" si="2"/>
        <v>283</v>
      </c>
      <c r="H138" s="70">
        <v>400</v>
      </c>
      <c r="I138" s="56">
        <v>400</v>
      </c>
      <c r="J138" s="50"/>
      <c r="K138" s="56">
        <v>50</v>
      </c>
      <c r="L138" s="202"/>
    </row>
    <row r="139" spans="2:15" ht="15.75">
      <c r="B139" s="207"/>
      <c r="C139" s="202"/>
      <c r="D139" s="27">
        <v>864</v>
      </c>
      <c r="E139" s="27">
        <f>DEMANDA_PREVISIÓN!E868</f>
        <v>39</v>
      </c>
      <c r="F139" s="50"/>
      <c r="G139" s="70">
        <f>H138+G138</f>
        <v>683</v>
      </c>
      <c r="H139" s="27"/>
      <c r="I139" s="56">
        <v>400</v>
      </c>
      <c r="J139" s="50"/>
      <c r="K139" s="56">
        <v>50</v>
      </c>
      <c r="L139" s="202"/>
    </row>
    <row r="140" spans="2:15" ht="15.75">
      <c r="B140" s="207"/>
      <c r="C140" s="202"/>
      <c r="D140" s="27">
        <v>865</v>
      </c>
      <c r="E140" s="27">
        <f>DEMANDA_PREVISIÓN!E869</f>
        <v>51</v>
      </c>
      <c r="F140" s="50"/>
      <c r="G140" s="27">
        <f t="shared" ref="G140:G146" si="3">G139-E140</f>
        <v>632</v>
      </c>
      <c r="H140" s="56">
        <v>400</v>
      </c>
      <c r="I140" s="56">
        <v>400</v>
      </c>
      <c r="J140" s="50"/>
      <c r="K140" s="56">
        <v>50</v>
      </c>
      <c r="L140" s="202"/>
    </row>
    <row r="141" spans="2:15" ht="15.75">
      <c r="B141" s="207"/>
      <c r="C141" s="202"/>
      <c r="D141" s="27">
        <v>866</v>
      </c>
      <c r="E141" s="27">
        <f>DEMANDA_PREVISIÓN!E870</f>
        <v>41</v>
      </c>
      <c r="F141" s="50"/>
      <c r="G141" s="27">
        <f t="shared" si="3"/>
        <v>591</v>
      </c>
      <c r="H141" s="56">
        <v>400</v>
      </c>
      <c r="I141" s="57">
        <v>400</v>
      </c>
      <c r="J141" s="50"/>
      <c r="K141" s="57">
        <v>50</v>
      </c>
      <c r="L141" s="202"/>
      <c r="M141" s="47"/>
      <c r="N141" s="18">
        <v>600</v>
      </c>
      <c r="O141" s="75">
        <v>1000</v>
      </c>
    </row>
    <row r="142" spans="2:15" ht="15.75">
      <c r="B142" s="207"/>
      <c r="C142" s="202"/>
      <c r="D142" s="27">
        <v>867</v>
      </c>
      <c r="E142" s="27">
        <f>DEMANDA_PREVISIÓN!E871</f>
        <v>44</v>
      </c>
      <c r="F142" s="50"/>
      <c r="G142" s="27">
        <f t="shared" si="3"/>
        <v>547</v>
      </c>
      <c r="H142" s="56">
        <v>400</v>
      </c>
      <c r="I142" s="57">
        <v>400</v>
      </c>
      <c r="J142" s="50"/>
      <c r="K142" s="57">
        <v>50</v>
      </c>
      <c r="L142" s="202"/>
    </row>
    <row r="143" spans="2:15" ht="15.75">
      <c r="B143" s="207"/>
      <c r="C143" s="202"/>
      <c r="D143" s="27">
        <v>868</v>
      </c>
      <c r="E143" s="27">
        <f>DEMANDA_PREVISIÓN!E872</f>
        <v>38</v>
      </c>
      <c r="F143" s="50"/>
      <c r="G143" s="27">
        <f t="shared" si="3"/>
        <v>509</v>
      </c>
      <c r="H143" s="56">
        <v>400</v>
      </c>
      <c r="I143" s="57">
        <v>400</v>
      </c>
      <c r="J143" s="50"/>
      <c r="K143" s="57">
        <v>50</v>
      </c>
      <c r="L143" s="202"/>
    </row>
    <row r="144" spans="2:15" ht="15.75">
      <c r="B144" s="207"/>
      <c r="C144" s="202"/>
      <c r="D144" s="27">
        <v>869</v>
      </c>
      <c r="E144" s="27">
        <f>DEMANDA_PREVISIÓN!E873</f>
        <v>41</v>
      </c>
      <c r="F144" s="50"/>
      <c r="G144" s="27">
        <f t="shared" si="3"/>
        <v>468</v>
      </c>
      <c r="H144" s="56">
        <v>400</v>
      </c>
      <c r="I144" s="57">
        <v>400</v>
      </c>
      <c r="J144" s="50"/>
      <c r="K144" s="57">
        <v>50</v>
      </c>
      <c r="L144" s="202"/>
    </row>
    <row r="145" spans="2:12" ht="15.75">
      <c r="B145" s="207"/>
      <c r="C145" s="202"/>
      <c r="D145" s="27">
        <v>870</v>
      </c>
      <c r="E145" s="27">
        <f>DEMANDA_PREVISIÓN!E874</f>
        <v>45</v>
      </c>
      <c r="F145" s="50"/>
      <c r="G145" s="27">
        <f t="shared" si="3"/>
        <v>423</v>
      </c>
      <c r="H145" s="56">
        <v>400</v>
      </c>
      <c r="I145" s="57">
        <v>400</v>
      </c>
      <c r="J145" s="50"/>
      <c r="K145" s="57">
        <v>50</v>
      </c>
      <c r="L145" s="202"/>
    </row>
    <row r="146" spans="2:12" ht="15.75">
      <c r="B146" s="207"/>
      <c r="C146" s="202"/>
      <c r="D146" s="27">
        <v>871</v>
      </c>
      <c r="E146" s="27">
        <f>DEMANDA_PREVISIÓN!E875</f>
        <v>46</v>
      </c>
      <c r="F146" s="50"/>
      <c r="G146" s="27">
        <f t="shared" si="3"/>
        <v>377</v>
      </c>
      <c r="H146" s="56">
        <v>400</v>
      </c>
      <c r="I146" s="57">
        <v>400</v>
      </c>
      <c r="J146" s="50"/>
      <c r="K146" s="57">
        <v>50</v>
      </c>
      <c r="L146" s="202"/>
    </row>
    <row r="147" spans="2:12" ht="15.75">
      <c r="B147" s="207"/>
      <c r="C147" s="202"/>
      <c r="D147" s="27">
        <v>872</v>
      </c>
      <c r="E147" s="27">
        <f>DEMANDA_PREVISIÓN!E876</f>
        <v>45</v>
      </c>
      <c r="F147" s="50"/>
      <c r="G147" s="56">
        <f>H146+G146</f>
        <v>777</v>
      </c>
      <c r="H147" s="27"/>
      <c r="I147" s="57">
        <v>400</v>
      </c>
      <c r="J147" s="50"/>
      <c r="K147" s="57">
        <v>50</v>
      </c>
      <c r="L147" s="202"/>
    </row>
    <row r="148" spans="2:12" ht="15.75">
      <c r="B148" s="207"/>
      <c r="C148" s="202"/>
      <c r="D148" s="27">
        <v>873</v>
      </c>
      <c r="E148" s="27">
        <f>DEMANDA_PREVISIÓN!E877</f>
        <v>48</v>
      </c>
      <c r="F148" s="50"/>
      <c r="G148" s="27">
        <f>G147-E148</f>
        <v>729</v>
      </c>
      <c r="H148" s="57">
        <v>400</v>
      </c>
      <c r="I148" s="57">
        <v>400</v>
      </c>
      <c r="J148" s="50"/>
      <c r="K148" s="57">
        <v>50</v>
      </c>
      <c r="L148" s="202"/>
    </row>
    <row r="149" spans="2:12" ht="15.75">
      <c r="B149" s="207"/>
      <c r="C149" s="202"/>
      <c r="D149" s="27">
        <v>874</v>
      </c>
      <c r="E149" s="27">
        <f>DEMANDA_PREVISIÓN!E878</f>
        <v>47</v>
      </c>
      <c r="F149" s="50"/>
      <c r="G149" s="27">
        <f>G148-E149</f>
        <v>682</v>
      </c>
      <c r="H149" s="57">
        <v>400</v>
      </c>
      <c r="I149" s="58">
        <v>400</v>
      </c>
      <c r="J149" s="50"/>
      <c r="K149" s="58">
        <v>50</v>
      </c>
      <c r="L149" s="202"/>
    </row>
    <row r="150" spans="2:12" ht="15.75">
      <c r="B150" s="207"/>
      <c r="C150" s="202"/>
      <c r="D150" s="27">
        <v>875</v>
      </c>
      <c r="E150" s="27">
        <f>DEMANDA_PREVISIÓN!E879</f>
        <v>48</v>
      </c>
      <c r="F150" s="50"/>
      <c r="G150" s="27">
        <f>G149-E150</f>
        <v>634</v>
      </c>
      <c r="H150" s="57">
        <v>400</v>
      </c>
      <c r="I150" s="58">
        <v>400</v>
      </c>
      <c r="J150" s="50"/>
      <c r="K150" s="58">
        <v>50</v>
      </c>
      <c r="L150" s="202"/>
    </row>
    <row r="151" spans="2:12" ht="15.75">
      <c r="B151" s="207"/>
      <c r="C151" s="202"/>
      <c r="D151" s="27">
        <v>876</v>
      </c>
      <c r="E151" s="27">
        <f>DEMANDA_PREVISIÓN!E880</f>
        <v>45</v>
      </c>
      <c r="F151" s="50"/>
      <c r="G151" s="27">
        <f>G150-E151</f>
        <v>589</v>
      </c>
      <c r="H151" s="57">
        <v>400</v>
      </c>
      <c r="I151" s="58">
        <v>400</v>
      </c>
      <c r="J151" s="50"/>
      <c r="K151" s="58">
        <v>50</v>
      </c>
      <c r="L151" s="202"/>
    </row>
    <row r="152" spans="2:12" ht="15.75">
      <c r="B152" s="207"/>
      <c r="C152" s="202"/>
      <c r="D152" s="27">
        <v>877</v>
      </c>
      <c r="E152" s="27">
        <f>DEMANDA_PREVISIÓN!E881</f>
        <v>35</v>
      </c>
      <c r="F152" s="50"/>
      <c r="G152" s="27">
        <f t="shared" ref="G152:G154" si="4">G151-E152</f>
        <v>554</v>
      </c>
      <c r="H152" s="57">
        <v>400</v>
      </c>
      <c r="I152" s="58">
        <v>400</v>
      </c>
      <c r="J152" s="50"/>
      <c r="K152" s="58">
        <v>50</v>
      </c>
      <c r="L152" s="202"/>
    </row>
    <row r="153" spans="2:12" ht="15.75">
      <c r="B153" s="207"/>
      <c r="C153" s="202"/>
      <c r="D153" s="27">
        <v>878</v>
      </c>
      <c r="E153" s="27">
        <f>DEMANDA_PREVISIÓN!E882</f>
        <v>33</v>
      </c>
      <c r="F153" s="50"/>
      <c r="G153" s="27">
        <f t="shared" si="4"/>
        <v>521</v>
      </c>
      <c r="H153" s="57">
        <v>400</v>
      </c>
      <c r="I153" s="58">
        <v>400</v>
      </c>
      <c r="J153" s="50"/>
      <c r="K153" s="58">
        <v>50</v>
      </c>
      <c r="L153" s="202"/>
    </row>
    <row r="154" spans="2:12" ht="15.75">
      <c r="B154" s="207"/>
      <c r="C154" s="202"/>
      <c r="D154" s="27">
        <v>879</v>
      </c>
      <c r="E154" s="27">
        <f>DEMANDA_PREVISIÓN!E883</f>
        <v>41</v>
      </c>
      <c r="F154" s="50"/>
      <c r="G154" s="27">
        <f t="shared" si="4"/>
        <v>480</v>
      </c>
      <c r="H154" s="57">
        <v>400</v>
      </c>
      <c r="I154" s="58">
        <v>400</v>
      </c>
      <c r="J154" s="50"/>
      <c r="K154" s="58">
        <v>50</v>
      </c>
      <c r="L154" s="202"/>
    </row>
    <row r="155" spans="2:12" ht="15.75">
      <c r="B155" s="207"/>
      <c r="C155" s="202"/>
      <c r="D155" s="27">
        <v>880</v>
      </c>
      <c r="E155" s="27">
        <f>DEMANDA_PREVISIÓN!E884</f>
        <v>37</v>
      </c>
      <c r="F155" s="50"/>
      <c r="G155" s="57">
        <f>H154+G154</f>
        <v>880</v>
      </c>
      <c r="I155" s="58">
        <v>400</v>
      </c>
      <c r="J155" s="47"/>
      <c r="K155" s="58">
        <v>50</v>
      </c>
      <c r="L155" s="202"/>
    </row>
    <row r="156" spans="2:12" ht="15.75">
      <c r="B156" s="207"/>
      <c r="C156" s="202"/>
      <c r="D156" s="27">
        <v>881</v>
      </c>
      <c r="E156" s="27">
        <f>DEMANDA_PREVISIÓN!E885</f>
        <v>34</v>
      </c>
      <c r="F156" s="50"/>
      <c r="G156" s="27">
        <f t="shared" ref="G156:G162" si="5">G155-E156</f>
        <v>846</v>
      </c>
      <c r="H156" s="58">
        <v>400</v>
      </c>
      <c r="I156" s="58">
        <v>400</v>
      </c>
      <c r="J156" s="50"/>
      <c r="K156" s="58">
        <v>50</v>
      </c>
      <c r="L156" s="202"/>
    </row>
    <row r="157" spans="2:12" ht="15.75">
      <c r="B157" s="207"/>
      <c r="C157" s="202"/>
      <c r="D157" s="27">
        <v>882</v>
      </c>
      <c r="E157" s="27">
        <f>DEMANDA_PREVISIÓN!E886</f>
        <v>35</v>
      </c>
      <c r="F157" s="50"/>
      <c r="G157" s="27">
        <f t="shared" si="5"/>
        <v>811</v>
      </c>
      <c r="H157" s="58">
        <v>400</v>
      </c>
      <c r="I157" s="68">
        <v>400</v>
      </c>
      <c r="J157" s="50"/>
      <c r="K157" s="68">
        <v>50</v>
      </c>
      <c r="L157" s="202"/>
    </row>
    <row r="158" spans="2:12" ht="15.75">
      <c r="B158" s="207"/>
      <c r="C158" s="202"/>
      <c r="D158" s="27">
        <v>883</v>
      </c>
      <c r="E158" s="27">
        <f>DEMANDA_PREVISIÓN!E887</f>
        <v>31</v>
      </c>
      <c r="F158" s="50"/>
      <c r="G158" s="27">
        <f t="shared" si="5"/>
        <v>780</v>
      </c>
      <c r="H158" s="58">
        <v>400</v>
      </c>
      <c r="I158" s="68">
        <v>400</v>
      </c>
      <c r="J158" s="50"/>
      <c r="K158" s="68">
        <v>50</v>
      </c>
      <c r="L158" s="202"/>
    </row>
    <row r="159" spans="2:12" ht="15.75">
      <c r="B159" s="207"/>
      <c r="C159" s="202"/>
      <c r="D159" s="27">
        <v>884</v>
      </c>
      <c r="E159" s="27">
        <f>DEMANDA_PREVISIÓN!E888</f>
        <v>37</v>
      </c>
      <c r="F159" s="50"/>
      <c r="G159" s="27">
        <f t="shared" si="5"/>
        <v>743</v>
      </c>
      <c r="H159" s="58">
        <v>400</v>
      </c>
      <c r="I159" s="68">
        <v>400</v>
      </c>
      <c r="J159" s="50"/>
      <c r="K159" s="68">
        <v>50</v>
      </c>
      <c r="L159" s="202"/>
    </row>
    <row r="160" spans="2:12" ht="15.75">
      <c r="B160" s="207"/>
      <c r="C160" s="202"/>
      <c r="D160" s="27">
        <v>885</v>
      </c>
      <c r="E160" s="27">
        <f>DEMANDA_PREVISIÓN!E889</f>
        <v>38</v>
      </c>
      <c r="F160" s="50"/>
      <c r="G160" s="27">
        <f t="shared" si="5"/>
        <v>705</v>
      </c>
      <c r="H160" s="58">
        <v>400</v>
      </c>
      <c r="I160" s="68">
        <v>400</v>
      </c>
      <c r="J160" s="50"/>
      <c r="K160" s="68">
        <v>50</v>
      </c>
      <c r="L160" s="202"/>
    </row>
    <row r="161" spans="2:12" ht="15.75">
      <c r="B161" s="207"/>
      <c r="C161" s="202"/>
      <c r="D161" s="27">
        <v>886</v>
      </c>
      <c r="E161" s="27">
        <f>DEMANDA_PREVISIÓN!E890</f>
        <v>46</v>
      </c>
      <c r="F161" s="50"/>
      <c r="G161" s="27">
        <f t="shared" si="5"/>
        <v>659</v>
      </c>
      <c r="H161" s="58">
        <v>400</v>
      </c>
      <c r="I161" s="68">
        <v>400</v>
      </c>
      <c r="J161" s="50"/>
      <c r="K161" s="68">
        <v>50</v>
      </c>
      <c r="L161" s="202"/>
    </row>
    <row r="162" spans="2:12" ht="15.75">
      <c r="B162" s="207"/>
      <c r="C162" s="203"/>
      <c r="D162" s="27">
        <v>887</v>
      </c>
      <c r="E162" s="27">
        <f>DEMANDA_PREVISIÓN!E891</f>
        <v>34</v>
      </c>
      <c r="F162" s="50"/>
      <c r="G162" s="27">
        <f t="shared" si="5"/>
        <v>625</v>
      </c>
      <c r="H162" s="58">
        <v>400</v>
      </c>
      <c r="I162" s="68">
        <v>400</v>
      </c>
      <c r="J162" s="50"/>
      <c r="K162" s="68">
        <v>50</v>
      </c>
      <c r="L162" s="203"/>
    </row>
    <row r="163" spans="2:12" ht="15.75">
      <c r="B163" s="207"/>
      <c r="C163" s="201">
        <v>7</v>
      </c>
      <c r="D163" s="27">
        <v>888</v>
      </c>
      <c r="E163" s="27">
        <f>DEMANDA_PREVISIÓN!E892</f>
        <v>34</v>
      </c>
      <c r="F163" s="50"/>
      <c r="G163" s="58">
        <f>H162+G162</f>
        <v>1025</v>
      </c>
      <c r="H163" s="27"/>
      <c r="I163" s="68">
        <v>400</v>
      </c>
      <c r="J163" s="50"/>
      <c r="K163" s="68">
        <v>50</v>
      </c>
      <c r="L163" s="201"/>
    </row>
    <row r="164" spans="2:12" ht="15.75">
      <c r="B164" s="207"/>
      <c r="C164" s="202"/>
      <c r="D164" s="27">
        <v>889</v>
      </c>
      <c r="E164" s="27">
        <f>DEMANDA_PREVISIÓN!E893</f>
        <v>48</v>
      </c>
      <c r="F164" s="50"/>
      <c r="G164" s="27">
        <f t="shared" ref="G164:G170" si="6">G163-E164</f>
        <v>977</v>
      </c>
      <c r="H164" s="68">
        <v>400</v>
      </c>
      <c r="I164" s="68">
        <v>400</v>
      </c>
      <c r="J164" s="50"/>
      <c r="K164" s="68">
        <v>50</v>
      </c>
      <c r="L164" s="202"/>
    </row>
    <row r="165" spans="2:12" ht="15.75">
      <c r="B165" s="207"/>
      <c r="C165" s="202"/>
      <c r="D165" s="27">
        <v>890</v>
      </c>
      <c r="E165" s="27">
        <f>DEMANDA_PREVISIÓN!E894</f>
        <v>37</v>
      </c>
      <c r="F165" s="50"/>
      <c r="G165" s="27">
        <f t="shared" si="6"/>
        <v>940</v>
      </c>
      <c r="H165" s="68">
        <v>400</v>
      </c>
      <c r="I165" s="70">
        <v>400</v>
      </c>
      <c r="J165" s="50"/>
      <c r="K165" s="70">
        <v>50</v>
      </c>
      <c r="L165" s="202"/>
    </row>
    <row r="166" spans="2:12" ht="15.75">
      <c r="B166" s="207"/>
      <c r="C166" s="202"/>
      <c r="D166" s="27">
        <v>891</v>
      </c>
      <c r="E166" s="27">
        <f>DEMANDA_PREVISIÓN!E895</f>
        <v>47</v>
      </c>
      <c r="F166" s="50"/>
      <c r="G166" s="27">
        <f t="shared" si="6"/>
        <v>893</v>
      </c>
      <c r="H166" s="68">
        <v>400</v>
      </c>
      <c r="I166" s="70">
        <v>400</v>
      </c>
      <c r="J166" s="50"/>
      <c r="K166" s="70">
        <v>50</v>
      </c>
      <c r="L166" s="202"/>
    </row>
    <row r="167" spans="2:12" ht="15.75">
      <c r="B167" s="207"/>
      <c r="C167" s="202"/>
      <c r="D167" s="27">
        <v>892</v>
      </c>
      <c r="E167" s="27">
        <f>DEMANDA_PREVISIÓN!E896</f>
        <v>44</v>
      </c>
      <c r="F167" s="50"/>
      <c r="G167" s="27">
        <f t="shared" si="6"/>
        <v>849</v>
      </c>
      <c r="H167" s="68">
        <v>400</v>
      </c>
      <c r="I167" s="70">
        <v>400</v>
      </c>
      <c r="J167" s="50"/>
      <c r="K167" s="70">
        <v>50</v>
      </c>
      <c r="L167" s="202"/>
    </row>
    <row r="168" spans="2:12" ht="15.75">
      <c r="B168" s="207"/>
      <c r="C168" s="202"/>
      <c r="D168" s="27">
        <v>893</v>
      </c>
      <c r="E168" s="27">
        <f>DEMANDA_PREVISIÓN!E897</f>
        <v>42</v>
      </c>
      <c r="F168" s="50"/>
      <c r="G168" s="27">
        <f t="shared" si="6"/>
        <v>807</v>
      </c>
      <c r="H168" s="68">
        <v>400</v>
      </c>
      <c r="I168" s="70">
        <v>400</v>
      </c>
      <c r="J168" s="50"/>
      <c r="K168" s="70">
        <v>50</v>
      </c>
      <c r="L168" s="202"/>
    </row>
    <row r="169" spans="2:12" ht="15.75">
      <c r="B169" s="207"/>
      <c r="C169" s="202"/>
      <c r="D169" s="27">
        <v>894</v>
      </c>
      <c r="E169" s="27">
        <f>DEMANDA_PREVISIÓN!E898</f>
        <v>31</v>
      </c>
      <c r="F169" s="50"/>
      <c r="G169" s="27">
        <f t="shared" si="6"/>
        <v>776</v>
      </c>
      <c r="H169" s="68">
        <v>400</v>
      </c>
      <c r="I169" s="70">
        <v>400</v>
      </c>
      <c r="J169" s="50"/>
      <c r="K169" s="70">
        <v>50</v>
      </c>
      <c r="L169" s="202"/>
    </row>
    <row r="170" spans="2:12" ht="15.75">
      <c r="B170" s="207"/>
      <c r="C170" s="202"/>
      <c r="D170" s="27">
        <v>895</v>
      </c>
      <c r="E170" s="27">
        <f>DEMANDA_PREVISIÓN!E899</f>
        <v>41</v>
      </c>
      <c r="F170" s="50"/>
      <c r="G170" s="27">
        <f t="shared" si="6"/>
        <v>735</v>
      </c>
      <c r="H170" s="68">
        <v>400</v>
      </c>
      <c r="I170" s="70">
        <v>400</v>
      </c>
      <c r="J170" s="50"/>
      <c r="K170" s="70">
        <v>50</v>
      </c>
      <c r="L170" s="202"/>
    </row>
    <row r="171" spans="2:12" ht="15.75">
      <c r="B171" s="207"/>
      <c r="C171" s="202"/>
      <c r="D171" s="27">
        <v>896</v>
      </c>
      <c r="E171" s="27">
        <f>DEMANDA_PREVISIÓN!E900</f>
        <v>38</v>
      </c>
      <c r="F171" s="50"/>
      <c r="G171" s="68">
        <f>H170+G170</f>
        <v>1135</v>
      </c>
      <c r="H171" s="27"/>
      <c r="I171" s="70">
        <v>400</v>
      </c>
      <c r="J171" s="50"/>
      <c r="K171" s="70">
        <v>50</v>
      </c>
      <c r="L171" s="202"/>
    </row>
    <row r="172" spans="2:12" ht="15.75">
      <c r="B172" s="207"/>
      <c r="C172" s="202"/>
      <c r="D172" s="27">
        <v>897</v>
      </c>
      <c r="E172" s="27">
        <f>DEMANDA_PREVISIÓN!E901</f>
        <v>37</v>
      </c>
      <c r="F172" s="50"/>
      <c r="G172" s="27">
        <f t="shared" ref="G172:G178" si="7">G171-E172</f>
        <v>1098</v>
      </c>
      <c r="H172" s="70">
        <v>400</v>
      </c>
      <c r="I172" s="70">
        <v>400</v>
      </c>
      <c r="J172" s="50"/>
      <c r="K172" s="70">
        <v>50</v>
      </c>
      <c r="L172" s="202"/>
    </row>
    <row r="173" spans="2:12" ht="15.75">
      <c r="B173" s="207"/>
      <c r="C173" s="202"/>
      <c r="D173" s="27">
        <v>898</v>
      </c>
      <c r="E173" s="27">
        <f>DEMANDA_PREVISIÓN!E902</f>
        <v>48</v>
      </c>
      <c r="F173" s="50"/>
      <c r="G173" s="27">
        <f t="shared" si="7"/>
        <v>1050</v>
      </c>
      <c r="H173" s="70">
        <v>400</v>
      </c>
      <c r="I173" s="56">
        <v>400</v>
      </c>
      <c r="J173" s="50"/>
      <c r="K173" s="56">
        <v>50</v>
      </c>
      <c r="L173" s="202"/>
    </row>
    <row r="174" spans="2:12" ht="15.75">
      <c r="B174" s="207"/>
      <c r="C174" s="202"/>
      <c r="D174" s="27">
        <v>899</v>
      </c>
      <c r="E174" s="27">
        <f>DEMANDA_PREVISIÓN!E903</f>
        <v>34</v>
      </c>
      <c r="F174" s="50"/>
      <c r="G174" s="27">
        <f t="shared" si="7"/>
        <v>1016</v>
      </c>
      <c r="H174" s="70">
        <v>400</v>
      </c>
      <c r="I174" s="56">
        <v>400</v>
      </c>
      <c r="J174" s="50"/>
      <c r="K174" s="56">
        <v>50</v>
      </c>
      <c r="L174" s="202"/>
    </row>
    <row r="175" spans="2:12" ht="15.75">
      <c r="B175" s="207"/>
      <c r="C175" s="202"/>
      <c r="D175" s="27">
        <v>900</v>
      </c>
      <c r="E175" s="27">
        <f>DEMANDA_PREVISIÓN!E904</f>
        <v>46</v>
      </c>
      <c r="F175" s="50"/>
      <c r="G175" s="27">
        <f t="shared" si="7"/>
        <v>970</v>
      </c>
      <c r="H175" s="70">
        <v>400</v>
      </c>
      <c r="I175" s="56">
        <v>400</v>
      </c>
      <c r="J175" s="50"/>
      <c r="K175" s="56">
        <v>50</v>
      </c>
      <c r="L175" s="202"/>
    </row>
    <row r="176" spans="2:12" ht="15.75">
      <c r="B176" s="207"/>
      <c r="C176" s="202"/>
      <c r="D176" s="27">
        <v>901</v>
      </c>
      <c r="E176" s="27">
        <f>DEMANDA_PREVISIÓN!E905</f>
        <v>48</v>
      </c>
      <c r="F176" s="50"/>
      <c r="G176" s="27">
        <f t="shared" si="7"/>
        <v>922</v>
      </c>
      <c r="H176" s="70">
        <v>400</v>
      </c>
      <c r="I176" s="56">
        <v>400</v>
      </c>
      <c r="J176" s="50"/>
      <c r="K176" s="56">
        <v>50</v>
      </c>
      <c r="L176" s="202"/>
    </row>
    <row r="177" spans="2:12" ht="15.75">
      <c r="B177" s="207"/>
      <c r="C177" s="202"/>
      <c r="D177" s="27">
        <v>902</v>
      </c>
      <c r="E177" s="27">
        <f>DEMANDA_PREVISIÓN!E906</f>
        <v>46</v>
      </c>
      <c r="F177" s="50"/>
      <c r="G177" s="27">
        <f t="shared" si="7"/>
        <v>876</v>
      </c>
      <c r="H177" s="70">
        <v>400</v>
      </c>
      <c r="I177" s="56">
        <v>400</v>
      </c>
      <c r="J177" s="50"/>
      <c r="K177" s="56">
        <v>50</v>
      </c>
      <c r="L177" s="202"/>
    </row>
    <row r="178" spans="2:12" ht="15.75">
      <c r="B178" s="207"/>
      <c r="C178" s="202"/>
      <c r="D178" s="27">
        <v>903</v>
      </c>
      <c r="E178" s="27">
        <f>DEMANDA_PREVISIÓN!E907</f>
        <v>41</v>
      </c>
      <c r="F178" s="50"/>
      <c r="G178" s="27">
        <f t="shared" si="7"/>
        <v>835</v>
      </c>
      <c r="H178" s="70">
        <v>400</v>
      </c>
      <c r="I178" s="56">
        <v>400</v>
      </c>
      <c r="J178" s="50"/>
      <c r="K178" s="56">
        <v>50</v>
      </c>
      <c r="L178" s="202"/>
    </row>
    <row r="179" spans="2:12" ht="15.75">
      <c r="B179" s="207"/>
      <c r="C179" s="202"/>
      <c r="D179" s="27">
        <v>904</v>
      </c>
      <c r="E179" s="27">
        <f>DEMANDA_PREVISIÓN!E908</f>
        <v>38</v>
      </c>
      <c r="F179" s="50"/>
      <c r="G179" s="70">
        <f>H178+G178</f>
        <v>1235</v>
      </c>
      <c r="H179" s="27"/>
      <c r="I179" s="56">
        <v>400</v>
      </c>
      <c r="J179" s="50"/>
      <c r="K179" s="56">
        <v>50</v>
      </c>
      <c r="L179" s="202"/>
    </row>
    <row r="180" spans="2:12" ht="15.75">
      <c r="B180" s="207"/>
      <c r="C180" s="202"/>
      <c r="D180" s="27">
        <v>905</v>
      </c>
      <c r="E180" s="27">
        <f>DEMANDA_PREVISIÓN!E909</f>
        <v>48</v>
      </c>
      <c r="F180" s="50"/>
      <c r="G180" s="27">
        <f t="shared" ref="G180:G186" si="8">G179-E180</f>
        <v>1187</v>
      </c>
      <c r="H180" s="56">
        <v>400</v>
      </c>
      <c r="I180" s="56">
        <v>400</v>
      </c>
      <c r="J180" s="50"/>
      <c r="K180" s="56">
        <v>50</v>
      </c>
      <c r="L180" s="202"/>
    </row>
    <row r="181" spans="2:12" ht="15.75">
      <c r="B181" s="207"/>
      <c r="C181" s="202"/>
      <c r="D181" s="27">
        <v>906</v>
      </c>
      <c r="E181" s="27">
        <f>DEMANDA_PREVISIÓN!E910</f>
        <v>43</v>
      </c>
      <c r="F181" s="50"/>
      <c r="G181" s="27">
        <f t="shared" si="8"/>
        <v>1144</v>
      </c>
      <c r="H181" s="56">
        <v>400</v>
      </c>
      <c r="I181" s="57">
        <v>400</v>
      </c>
      <c r="J181" s="50"/>
      <c r="K181" s="57">
        <v>50</v>
      </c>
      <c r="L181" s="202"/>
    </row>
    <row r="182" spans="2:12" ht="15.75">
      <c r="B182" s="207"/>
      <c r="C182" s="202"/>
      <c r="D182" s="27">
        <v>907</v>
      </c>
      <c r="E182" s="27">
        <f>DEMANDA_PREVISIÓN!E911</f>
        <v>43</v>
      </c>
      <c r="F182" s="50"/>
      <c r="G182" s="27">
        <f t="shared" si="8"/>
        <v>1101</v>
      </c>
      <c r="H182" s="56">
        <v>400</v>
      </c>
      <c r="I182" s="57">
        <v>400</v>
      </c>
      <c r="J182" s="50"/>
      <c r="K182" s="57">
        <v>50</v>
      </c>
      <c r="L182" s="202"/>
    </row>
    <row r="183" spans="2:12" ht="15.75">
      <c r="B183" s="207"/>
      <c r="C183" s="202"/>
      <c r="D183" s="27">
        <v>908</v>
      </c>
      <c r="E183" s="27">
        <f>DEMANDA_PREVISIÓN!E912</f>
        <v>36</v>
      </c>
      <c r="F183" s="50"/>
      <c r="G183" s="27">
        <f t="shared" si="8"/>
        <v>1065</v>
      </c>
      <c r="H183" s="56">
        <v>400</v>
      </c>
      <c r="I183" s="57">
        <v>400</v>
      </c>
      <c r="J183" s="50"/>
      <c r="K183" s="57">
        <v>50</v>
      </c>
      <c r="L183" s="202"/>
    </row>
    <row r="184" spans="2:12" ht="15.75">
      <c r="B184" s="207"/>
      <c r="C184" s="202"/>
      <c r="D184" s="27">
        <v>909</v>
      </c>
      <c r="E184" s="27">
        <f>DEMANDA_PREVISIÓN!E913</f>
        <v>39</v>
      </c>
      <c r="F184" s="50"/>
      <c r="G184" s="27">
        <f t="shared" si="8"/>
        <v>1026</v>
      </c>
      <c r="H184" s="56">
        <v>400</v>
      </c>
      <c r="I184" s="57">
        <v>400</v>
      </c>
      <c r="J184" s="50"/>
      <c r="K184" s="57">
        <v>50</v>
      </c>
      <c r="L184" s="202"/>
    </row>
    <row r="185" spans="2:12" ht="15.75">
      <c r="B185" s="208" t="s">
        <v>48</v>
      </c>
      <c r="C185" s="202"/>
      <c r="D185" s="27">
        <v>910</v>
      </c>
      <c r="E185" s="27">
        <f>DEMANDA_PREVISIÓN!E914</f>
        <v>40</v>
      </c>
      <c r="F185" s="50"/>
      <c r="G185" s="27">
        <f t="shared" si="8"/>
        <v>986</v>
      </c>
      <c r="H185" s="56">
        <v>400</v>
      </c>
      <c r="I185" s="57">
        <v>400</v>
      </c>
      <c r="J185" s="50"/>
      <c r="K185" s="57">
        <v>50</v>
      </c>
      <c r="L185" s="202"/>
    </row>
    <row r="186" spans="2:12" ht="15.75">
      <c r="B186" s="208"/>
      <c r="C186" s="202"/>
      <c r="D186" s="27">
        <v>911</v>
      </c>
      <c r="E186" s="27">
        <f>DEMANDA_PREVISIÓN!E915</f>
        <v>42</v>
      </c>
      <c r="F186" s="50"/>
      <c r="G186" s="27">
        <f t="shared" si="8"/>
        <v>944</v>
      </c>
      <c r="H186" s="56">
        <v>400</v>
      </c>
      <c r="I186" s="57">
        <v>400</v>
      </c>
      <c r="J186" s="50"/>
      <c r="K186" s="57">
        <v>50</v>
      </c>
      <c r="L186" s="202"/>
    </row>
    <row r="187" spans="2:12" ht="15.75">
      <c r="B187" s="208"/>
      <c r="C187" s="202"/>
      <c r="D187" s="27">
        <v>912</v>
      </c>
      <c r="E187" s="27">
        <f>DEMANDA_PREVISIÓN!E916</f>
        <v>37</v>
      </c>
      <c r="F187" s="50"/>
      <c r="G187" s="56">
        <f>H186+G186</f>
        <v>1344</v>
      </c>
      <c r="H187" s="27"/>
      <c r="I187" s="57">
        <v>400</v>
      </c>
      <c r="J187" s="50"/>
      <c r="K187" s="57">
        <v>50</v>
      </c>
      <c r="L187" s="202"/>
    </row>
    <row r="188" spans="2:12" ht="15.75">
      <c r="B188" s="208"/>
      <c r="C188" s="202"/>
      <c r="D188" s="27">
        <v>913</v>
      </c>
      <c r="E188" s="27">
        <f>DEMANDA_PREVISIÓN!E917</f>
        <v>33</v>
      </c>
      <c r="F188" s="50"/>
      <c r="G188" s="27">
        <f>G187-E188</f>
        <v>1311</v>
      </c>
      <c r="H188" s="57">
        <v>400</v>
      </c>
      <c r="I188" s="57">
        <v>400</v>
      </c>
      <c r="J188" s="50"/>
      <c r="K188" s="57">
        <v>50</v>
      </c>
      <c r="L188" s="202"/>
    </row>
    <row r="189" spans="2:12" ht="15.75">
      <c r="B189" s="208"/>
      <c r="C189" s="202"/>
      <c r="D189" s="27">
        <v>914</v>
      </c>
      <c r="E189" s="27">
        <f>DEMANDA_PREVISIÓN!E918</f>
        <v>46</v>
      </c>
      <c r="F189" s="50"/>
      <c r="G189" s="27">
        <f>G188-E189</f>
        <v>1265</v>
      </c>
      <c r="H189" s="57">
        <v>400</v>
      </c>
      <c r="I189" s="58">
        <v>400</v>
      </c>
      <c r="J189" s="50"/>
      <c r="K189" s="58">
        <v>50</v>
      </c>
      <c r="L189" s="202"/>
    </row>
    <row r="190" spans="2:12" ht="15.75">
      <c r="B190" s="208"/>
      <c r="C190" s="202"/>
      <c r="D190" s="27">
        <v>915</v>
      </c>
      <c r="E190" s="27">
        <f>DEMANDA_PREVISIÓN!E919</f>
        <v>36</v>
      </c>
      <c r="F190" s="50"/>
      <c r="G190" s="27">
        <f>G189-E190</f>
        <v>1229</v>
      </c>
      <c r="H190" s="57">
        <v>400</v>
      </c>
      <c r="I190" s="58">
        <v>400</v>
      </c>
      <c r="J190" s="50"/>
      <c r="K190" s="58">
        <v>50</v>
      </c>
      <c r="L190" s="202"/>
    </row>
    <row r="191" spans="2:12" ht="15.75">
      <c r="B191" s="208"/>
      <c r="C191" s="202"/>
      <c r="D191" s="27">
        <v>916</v>
      </c>
      <c r="E191" s="27">
        <f>DEMANDA_PREVISIÓN!E920</f>
        <v>33</v>
      </c>
      <c r="F191" s="50"/>
      <c r="G191" s="27">
        <f>G190-E191</f>
        <v>1196</v>
      </c>
      <c r="H191" s="57">
        <v>400</v>
      </c>
      <c r="I191" s="58">
        <v>400</v>
      </c>
      <c r="J191" s="50"/>
      <c r="K191" s="58">
        <v>50</v>
      </c>
      <c r="L191" s="202"/>
    </row>
    <row r="192" spans="2:12" ht="15.75">
      <c r="B192" s="208"/>
      <c r="C192" s="202"/>
      <c r="D192" s="27">
        <v>917</v>
      </c>
      <c r="E192" s="27">
        <f>DEMANDA_PREVISIÓN!E921</f>
        <v>33</v>
      </c>
      <c r="F192" s="50"/>
      <c r="G192" s="27">
        <f t="shared" ref="G192:G194" si="9">G191-E192</f>
        <v>1163</v>
      </c>
      <c r="H192" s="57">
        <v>400</v>
      </c>
      <c r="I192" s="58">
        <v>400</v>
      </c>
      <c r="J192" s="50"/>
      <c r="K192" s="58">
        <v>50</v>
      </c>
      <c r="L192" s="202"/>
    </row>
    <row r="193" spans="2:12" ht="15.75">
      <c r="B193" s="208"/>
      <c r="C193" s="203"/>
      <c r="D193" s="27">
        <v>918</v>
      </c>
      <c r="E193" s="27">
        <f>DEMANDA_PREVISIÓN!E922</f>
        <v>37</v>
      </c>
      <c r="F193" s="50"/>
      <c r="G193" s="27">
        <f t="shared" si="9"/>
        <v>1126</v>
      </c>
      <c r="H193" s="57">
        <v>400</v>
      </c>
      <c r="I193" s="58">
        <v>400</v>
      </c>
      <c r="J193" s="50"/>
      <c r="K193" s="58">
        <v>50</v>
      </c>
      <c r="L193" s="203"/>
    </row>
    <row r="194" spans="2:12" ht="15.75">
      <c r="B194" s="208"/>
      <c r="C194" s="201">
        <v>8</v>
      </c>
      <c r="D194" s="27">
        <v>919</v>
      </c>
      <c r="E194" s="27">
        <f>DEMANDA_PREVISIÓN!E923</f>
        <v>38</v>
      </c>
      <c r="F194" s="50"/>
      <c r="G194" s="27">
        <f t="shared" si="9"/>
        <v>1088</v>
      </c>
      <c r="H194" s="57">
        <v>400</v>
      </c>
      <c r="I194" s="58">
        <v>400</v>
      </c>
      <c r="J194" s="50"/>
      <c r="K194" s="58">
        <v>50</v>
      </c>
      <c r="L194" s="201"/>
    </row>
    <row r="195" spans="2:12" ht="15.75">
      <c r="B195" s="208"/>
      <c r="C195" s="202"/>
      <c r="D195" s="27">
        <v>920</v>
      </c>
      <c r="E195" s="27">
        <f>DEMANDA_PREVISIÓN!E924</f>
        <v>36</v>
      </c>
      <c r="F195" s="50"/>
      <c r="G195" s="57">
        <f>H194+G194</f>
        <v>1488</v>
      </c>
      <c r="I195" s="58">
        <v>400</v>
      </c>
      <c r="J195" s="47"/>
      <c r="K195" s="58">
        <v>50</v>
      </c>
      <c r="L195" s="202"/>
    </row>
    <row r="196" spans="2:12" ht="15.75">
      <c r="B196" s="208"/>
      <c r="C196" s="202"/>
      <c r="D196" s="27">
        <v>921</v>
      </c>
      <c r="E196" s="27">
        <f>DEMANDA_PREVISIÓN!E925</f>
        <v>40</v>
      </c>
      <c r="F196" s="50"/>
      <c r="G196" s="27">
        <f t="shared" ref="G196:G202" si="10">G195-E196</f>
        <v>1448</v>
      </c>
      <c r="H196" s="58">
        <v>400</v>
      </c>
      <c r="I196" s="58">
        <v>400</v>
      </c>
      <c r="J196" s="50"/>
      <c r="K196" s="58">
        <v>50</v>
      </c>
      <c r="L196" s="202"/>
    </row>
    <row r="197" spans="2:12" ht="15.75">
      <c r="B197" s="208"/>
      <c r="C197" s="202"/>
      <c r="D197" s="27">
        <v>922</v>
      </c>
      <c r="E197" s="27">
        <f>DEMANDA_PREVISIÓN!E926</f>
        <v>39</v>
      </c>
      <c r="F197" s="50"/>
      <c r="G197" s="27">
        <f t="shared" si="10"/>
        <v>1409</v>
      </c>
      <c r="H197" s="58">
        <v>400</v>
      </c>
      <c r="I197" s="68">
        <v>400</v>
      </c>
      <c r="J197" s="50"/>
      <c r="K197" s="68">
        <v>50</v>
      </c>
      <c r="L197" s="202"/>
    </row>
    <row r="198" spans="2:12" ht="15.75">
      <c r="B198" s="208"/>
      <c r="C198" s="202"/>
      <c r="D198" s="27">
        <v>923</v>
      </c>
      <c r="E198" s="27">
        <f>DEMANDA_PREVISIÓN!E927</f>
        <v>34</v>
      </c>
      <c r="F198" s="50"/>
      <c r="G198" s="27">
        <f t="shared" si="10"/>
        <v>1375</v>
      </c>
      <c r="H198" s="58">
        <v>400</v>
      </c>
      <c r="I198" s="68">
        <v>400</v>
      </c>
      <c r="J198" s="50"/>
      <c r="K198" s="68">
        <v>50</v>
      </c>
      <c r="L198" s="202"/>
    </row>
    <row r="199" spans="2:12" ht="15.75">
      <c r="B199" s="208"/>
      <c r="C199" s="202"/>
      <c r="D199" s="27">
        <v>924</v>
      </c>
      <c r="E199" s="27">
        <f>DEMANDA_PREVISIÓN!E928</f>
        <v>40</v>
      </c>
      <c r="F199" s="50"/>
      <c r="G199" s="27">
        <f t="shared" si="10"/>
        <v>1335</v>
      </c>
      <c r="H199" s="58">
        <v>400</v>
      </c>
      <c r="I199" s="68">
        <v>400</v>
      </c>
      <c r="J199" s="50"/>
      <c r="K199" s="68">
        <v>50</v>
      </c>
      <c r="L199" s="202"/>
    </row>
    <row r="200" spans="2:12" ht="15.75">
      <c r="B200" s="208"/>
      <c r="C200" s="202"/>
      <c r="D200" s="27">
        <v>925</v>
      </c>
      <c r="E200" s="27">
        <f>DEMANDA_PREVISIÓN!E929</f>
        <v>28</v>
      </c>
      <c r="F200" s="50"/>
      <c r="G200" s="27">
        <f t="shared" si="10"/>
        <v>1307</v>
      </c>
      <c r="H200" s="58">
        <v>400</v>
      </c>
      <c r="I200" s="68">
        <v>400</v>
      </c>
      <c r="J200" s="50"/>
      <c r="K200" s="68">
        <v>50</v>
      </c>
      <c r="L200" s="202"/>
    </row>
    <row r="201" spans="2:12" ht="15.75">
      <c r="B201" s="208"/>
      <c r="C201" s="202"/>
      <c r="D201" s="27">
        <v>926</v>
      </c>
      <c r="E201" s="27">
        <f>DEMANDA_PREVISIÓN!E930</f>
        <v>49</v>
      </c>
      <c r="F201" s="50"/>
      <c r="G201" s="27">
        <f t="shared" si="10"/>
        <v>1258</v>
      </c>
      <c r="H201" s="58">
        <v>400</v>
      </c>
      <c r="I201" s="68">
        <v>400</v>
      </c>
      <c r="J201" s="50"/>
      <c r="K201" s="68">
        <v>50</v>
      </c>
      <c r="L201" s="202"/>
    </row>
    <row r="202" spans="2:12" ht="15.75">
      <c r="B202" s="208"/>
      <c r="C202" s="202"/>
      <c r="D202" s="27">
        <v>927</v>
      </c>
      <c r="E202" s="27">
        <f>DEMANDA_PREVISIÓN!E931</f>
        <v>39</v>
      </c>
      <c r="F202" s="50"/>
      <c r="G202" s="27">
        <f t="shared" si="10"/>
        <v>1219</v>
      </c>
      <c r="H202" s="58">
        <v>400</v>
      </c>
      <c r="I202" s="68">
        <v>400</v>
      </c>
      <c r="J202" s="50"/>
      <c r="K202" s="68">
        <v>50</v>
      </c>
      <c r="L202" s="202"/>
    </row>
    <row r="203" spans="2:12" ht="15.75">
      <c r="B203" s="208"/>
      <c r="C203" s="202"/>
      <c r="D203" s="27">
        <v>928</v>
      </c>
      <c r="E203" s="27">
        <f>DEMANDA_PREVISIÓN!E932</f>
        <v>34</v>
      </c>
      <c r="F203" s="50"/>
      <c r="G203" s="58">
        <f>H202+G202</f>
        <v>1619</v>
      </c>
      <c r="H203" s="27"/>
      <c r="I203" s="68">
        <v>400</v>
      </c>
      <c r="J203" s="50"/>
      <c r="K203" s="68">
        <v>50</v>
      </c>
      <c r="L203" s="202"/>
    </row>
    <row r="204" spans="2:12" ht="15.75">
      <c r="B204" s="208"/>
      <c r="C204" s="202"/>
      <c r="D204" s="27">
        <v>929</v>
      </c>
      <c r="E204" s="27">
        <f>DEMANDA_PREVISIÓN!E933</f>
        <v>27</v>
      </c>
      <c r="F204" s="50"/>
      <c r="G204" s="27">
        <f t="shared" ref="G204:G210" si="11">G203-E204</f>
        <v>1592</v>
      </c>
      <c r="H204" s="68">
        <v>400</v>
      </c>
      <c r="I204" s="68">
        <v>400</v>
      </c>
      <c r="J204" s="50"/>
      <c r="K204" s="68">
        <v>50</v>
      </c>
      <c r="L204" s="202"/>
    </row>
    <row r="205" spans="2:12" ht="15.75">
      <c r="B205" s="208"/>
      <c r="C205" s="202"/>
      <c r="D205" s="27">
        <v>930</v>
      </c>
      <c r="E205" s="27">
        <f>DEMANDA_PREVISIÓN!E934</f>
        <v>39</v>
      </c>
      <c r="F205" s="50"/>
      <c r="G205" s="27">
        <f t="shared" si="11"/>
        <v>1553</v>
      </c>
      <c r="H205" s="68">
        <v>400</v>
      </c>
      <c r="I205" s="70">
        <v>400</v>
      </c>
      <c r="J205" s="50"/>
      <c r="K205" s="70">
        <v>50</v>
      </c>
      <c r="L205" s="202"/>
    </row>
    <row r="206" spans="2:12" ht="15.75">
      <c r="B206" s="208"/>
      <c r="C206" s="202"/>
      <c r="D206" s="27">
        <v>931</v>
      </c>
      <c r="E206" s="27">
        <f>DEMANDA_PREVISIÓN!E935</f>
        <v>46</v>
      </c>
      <c r="F206" s="50"/>
      <c r="G206" s="27">
        <f t="shared" si="11"/>
        <v>1507</v>
      </c>
      <c r="H206" s="68">
        <v>400</v>
      </c>
      <c r="I206" s="70">
        <v>400</v>
      </c>
      <c r="J206" s="50"/>
      <c r="K206" s="70">
        <v>50</v>
      </c>
      <c r="L206" s="202"/>
    </row>
    <row r="207" spans="2:12" ht="15.75">
      <c r="B207" s="208"/>
      <c r="C207" s="202"/>
      <c r="D207" s="27">
        <v>932</v>
      </c>
      <c r="E207" s="27">
        <f>DEMANDA_PREVISIÓN!E936</f>
        <v>41</v>
      </c>
      <c r="F207" s="50"/>
      <c r="G207" s="27">
        <f t="shared" si="11"/>
        <v>1466</v>
      </c>
      <c r="H207" s="68">
        <v>400</v>
      </c>
      <c r="I207" s="70">
        <v>400</v>
      </c>
      <c r="J207" s="50"/>
      <c r="K207" s="70">
        <v>50</v>
      </c>
      <c r="L207" s="202"/>
    </row>
    <row r="208" spans="2:12" ht="15.75">
      <c r="B208" s="208"/>
      <c r="C208" s="202"/>
      <c r="D208" s="27">
        <v>933</v>
      </c>
      <c r="E208" s="27">
        <f>DEMANDA_PREVISIÓN!E937</f>
        <v>32</v>
      </c>
      <c r="F208" s="50"/>
      <c r="G208" s="27">
        <f t="shared" si="11"/>
        <v>1434</v>
      </c>
      <c r="H208" s="68">
        <v>400</v>
      </c>
      <c r="I208" s="70">
        <v>400</v>
      </c>
      <c r="J208" s="50"/>
      <c r="K208" s="70">
        <v>50</v>
      </c>
      <c r="L208" s="202"/>
    </row>
    <row r="209" spans="2:12" ht="15.75">
      <c r="B209" s="208"/>
      <c r="C209" s="202"/>
      <c r="D209" s="27">
        <v>934</v>
      </c>
      <c r="E209" s="27">
        <f>DEMANDA_PREVISIÓN!E938</f>
        <v>43</v>
      </c>
      <c r="F209" s="50"/>
      <c r="G209" s="27">
        <f t="shared" si="11"/>
        <v>1391</v>
      </c>
      <c r="H209" s="68">
        <v>400</v>
      </c>
      <c r="I209" s="70">
        <v>400</v>
      </c>
      <c r="J209" s="50"/>
      <c r="K209" s="70">
        <v>50</v>
      </c>
      <c r="L209" s="202"/>
    </row>
    <row r="210" spans="2:12" ht="15.75">
      <c r="B210" s="208"/>
      <c r="C210" s="202"/>
      <c r="D210" s="27">
        <v>935</v>
      </c>
      <c r="E210" s="27">
        <f>DEMANDA_PREVISIÓN!E939</f>
        <v>44</v>
      </c>
      <c r="F210" s="50"/>
      <c r="G210" s="27">
        <f t="shared" si="11"/>
        <v>1347</v>
      </c>
      <c r="H210" s="68">
        <v>400</v>
      </c>
      <c r="I210" s="70">
        <v>400</v>
      </c>
      <c r="J210" s="50"/>
      <c r="K210" s="70">
        <v>50</v>
      </c>
      <c r="L210" s="202"/>
    </row>
    <row r="211" spans="2:12" ht="15.75">
      <c r="B211" s="208"/>
      <c r="C211" s="202"/>
      <c r="D211" s="27">
        <v>936</v>
      </c>
      <c r="E211" s="27">
        <f>DEMANDA_PREVISIÓN!E940</f>
        <v>36</v>
      </c>
      <c r="F211" s="50"/>
      <c r="G211" s="68">
        <f>H210+G210</f>
        <v>1747</v>
      </c>
      <c r="H211" s="27"/>
      <c r="I211" s="70">
        <v>400</v>
      </c>
      <c r="J211" s="50"/>
      <c r="K211" s="70">
        <v>50</v>
      </c>
      <c r="L211" s="202"/>
    </row>
    <row r="212" spans="2:12" ht="15.75">
      <c r="B212" s="208"/>
      <c r="C212" s="202"/>
      <c r="D212" s="27">
        <v>937</v>
      </c>
      <c r="E212" s="27">
        <f>DEMANDA_PREVISIÓN!E941</f>
        <v>29</v>
      </c>
      <c r="F212" s="50"/>
      <c r="G212" s="27">
        <f t="shared" ref="G212:G218" si="12">G211-E212</f>
        <v>1718</v>
      </c>
      <c r="H212" s="70">
        <v>400</v>
      </c>
      <c r="I212" s="70">
        <v>400</v>
      </c>
      <c r="J212" s="50"/>
      <c r="K212" s="70">
        <v>50</v>
      </c>
      <c r="L212" s="202"/>
    </row>
    <row r="213" spans="2:12" ht="15.75">
      <c r="B213" s="208"/>
      <c r="C213" s="202"/>
      <c r="D213" s="27">
        <v>938</v>
      </c>
      <c r="E213" s="27">
        <f>DEMANDA_PREVISIÓN!E942</f>
        <v>39</v>
      </c>
      <c r="F213" s="50"/>
      <c r="G213" s="27">
        <f t="shared" si="12"/>
        <v>1679</v>
      </c>
      <c r="H213" s="70">
        <v>400</v>
      </c>
      <c r="I213" s="56">
        <v>400</v>
      </c>
      <c r="J213" s="50"/>
      <c r="K213" s="56">
        <v>50</v>
      </c>
      <c r="L213" s="202"/>
    </row>
    <row r="214" spans="2:12" ht="15.75">
      <c r="B214" s="208"/>
      <c r="C214" s="202"/>
      <c r="D214" s="27">
        <v>939</v>
      </c>
      <c r="E214" s="27">
        <f>DEMANDA_PREVISIÓN!E943</f>
        <v>30</v>
      </c>
      <c r="F214" s="50"/>
      <c r="G214" s="27">
        <f t="shared" si="12"/>
        <v>1649</v>
      </c>
      <c r="H214" s="70">
        <v>400</v>
      </c>
      <c r="I214" s="56">
        <v>400</v>
      </c>
      <c r="J214" s="50"/>
      <c r="K214" s="56">
        <v>50</v>
      </c>
      <c r="L214" s="202"/>
    </row>
    <row r="215" spans="2:12" ht="15.75">
      <c r="B215" s="208"/>
      <c r="C215" s="202"/>
      <c r="D215" s="27">
        <v>940</v>
      </c>
      <c r="E215" s="27">
        <f>DEMANDA_PREVISIÓN!E944</f>
        <v>24</v>
      </c>
      <c r="F215" s="50"/>
      <c r="G215" s="27">
        <f t="shared" si="12"/>
        <v>1625</v>
      </c>
      <c r="H215" s="70">
        <v>400</v>
      </c>
      <c r="I215" s="56">
        <v>400</v>
      </c>
      <c r="J215" s="50"/>
      <c r="K215" s="56">
        <v>50</v>
      </c>
      <c r="L215" s="202"/>
    </row>
    <row r="216" spans="2:12" ht="15.75">
      <c r="B216" s="208"/>
      <c r="C216" s="202"/>
      <c r="D216" s="27">
        <v>941</v>
      </c>
      <c r="E216" s="27">
        <f>DEMANDA_PREVISIÓN!E945</f>
        <v>39</v>
      </c>
      <c r="F216" s="50"/>
      <c r="G216" s="27">
        <f t="shared" si="12"/>
        <v>1586</v>
      </c>
      <c r="H216" s="70">
        <v>400</v>
      </c>
      <c r="I216" s="56">
        <v>400</v>
      </c>
      <c r="J216" s="50"/>
      <c r="K216" s="56">
        <v>50</v>
      </c>
      <c r="L216" s="202"/>
    </row>
    <row r="217" spans="2:12" ht="15.75">
      <c r="B217" s="208"/>
      <c r="C217" s="202"/>
      <c r="D217" s="27">
        <v>942</v>
      </c>
      <c r="E217" s="27">
        <f>DEMANDA_PREVISIÓN!E946</f>
        <v>33</v>
      </c>
      <c r="F217" s="50"/>
      <c r="G217" s="27">
        <f t="shared" si="12"/>
        <v>1553</v>
      </c>
      <c r="H217" s="70">
        <v>400</v>
      </c>
      <c r="I217" s="56">
        <v>400</v>
      </c>
      <c r="J217" s="50"/>
      <c r="K217" s="56">
        <v>50</v>
      </c>
      <c r="L217" s="202"/>
    </row>
    <row r="218" spans="2:12" ht="15.75">
      <c r="B218" s="208"/>
      <c r="C218" s="202"/>
      <c r="D218" s="27">
        <v>943</v>
      </c>
      <c r="E218" s="27">
        <f>DEMANDA_PREVISIÓN!E947</f>
        <v>29</v>
      </c>
      <c r="F218" s="50"/>
      <c r="G218" s="27">
        <f t="shared" si="12"/>
        <v>1524</v>
      </c>
      <c r="H218" s="70">
        <v>400</v>
      </c>
      <c r="I218" s="56">
        <v>400</v>
      </c>
      <c r="J218" s="50"/>
      <c r="K218" s="56">
        <v>50</v>
      </c>
      <c r="L218" s="202"/>
    </row>
    <row r="219" spans="2:12" ht="15.75">
      <c r="B219" s="208"/>
      <c r="C219" s="202"/>
      <c r="D219" s="27">
        <v>944</v>
      </c>
      <c r="E219" s="27">
        <f>DEMANDA_PREVISIÓN!E948</f>
        <v>41</v>
      </c>
      <c r="F219" s="50"/>
      <c r="G219" s="70">
        <f>H218+G218</f>
        <v>1924</v>
      </c>
      <c r="H219" s="27"/>
      <c r="I219" s="56">
        <v>400</v>
      </c>
      <c r="J219" s="50"/>
      <c r="K219" s="56">
        <v>50</v>
      </c>
      <c r="L219" s="202"/>
    </row>
    <row r="220" spans="2:12" ht="15.75">
      <c r="B220" s="208"/>
      <c r="C220" s="202"/>
      <c r="D220" s="27">
        <v>945</v>
      </c>
      <c r="E220" s="27">
        <f>DEMANDA_PREVISIÓN!E949</f>
        <v>27</v>
      </c>
      <c r="F220" s="50"/>
      <c r="G220" s="27">
        <f t="shared" ref="G220:G226" si="13">G219-E220</f>
        <v>1897</v>
      </c>
      <c r="H220" s="56">
        <v>400</v>
      </c>
      <c r="I220" s="56">
        <v>400</v>
      </c>
      <c r="J220" s="50"/>
      <c r="K220" s="56">
        <v>50</v>
      </c>
      <c r="L220" s="202"/>
    </row>
    <row r="221" spans="2:12" ht="15.75">
      <c r="B221" s="208"/>
      <c r="C221" s="202"/>
      <c r="D221" s="27">
        <v>946</v>
      </c>
      <c r="E221" s="27">
        <f>DEMANDA_PREVISIÓN!E950</f>
        <v>38</v>
      </c>
      <c r="F221" s="50"/>
      <c r="G221" s="27">
        <f t="shared" si="13"/>
        <v>1859</v>
      </c>
      <c r="H221" s="56">
        <v>400</v>
      </c>
      <c r="I221" s="57">
        <v>400</v>
      </c>
      <c r="J221" s="50"/>
      <c r="K221" s="57">
        <v>50</v>
      </c>
      <c r="L221" s="202"/>
    </row>
    <row r="222" spans="2:12" ht="15.75">
      <c r="B222" s="208"/>
      <c r="C222" s="202"/>
      <c r="D222" s="27">
        <v>947</v>
      </c>
      <c r="E222" s="27">
        <f>DEMANDA_PREVISIÓN!E951</f>
        <v>38</v>
      </c>
      <c r="F222" s="50"/>
      <c r="G222" s="27">
        <f t="shared" si="13"/>
        <v>1821</v>
      </c>
      <c r="H222" s="56">
        <v>400</v>
      </c>
      <c r="I222" s="57">
        <v>400</v>
      </c>
      <c r="J222" s="50"/>
      <c r="K222" s="57">
        <v>50</v>
      </c>
      <c r="L222" s="202"/>
    </row>
    <row r="223" spans="2:12" ht="15.75">
      <c r="B223" s="208"/>
      <c r="C223" s="202"/>
      <c r="D223" s="27">
        <v>948</v>
      </c>
      <c r="E223" s="27">
        <f>DEMANDA_PREVISIÓN!E952</f>
        <v>38</v>
      </c>
      <c r="F223" s="50"/>
      <c r="G223" s="27">
        <f t="shared" si="13"/>
        <v>1783</v>
      </c>
      <c r="H223" s="56">
        <v>400</v>
      </c>
      <c r="I223" s="57">
        <v>400</v>
      </c>
      <c r="J223" s="50"/>
      <c r="K223" s="57">
        <v>50</v>
      </c>
      <c r="L223" s="202"/>
    </row>
    <row r="224" spans="2:12" ht="15.75">
      <c r="B224" s="208"/>
      <c r="C224" s="203"/>
      <c r="D224" s="27">
        <v>949</v>
      </c>
      <c r="E224" s="27">
        <f>DEMANDA_PREVISIÓN!E953</f>
        <v>42</v>
      </c>
      <c r="F224" s="50"/>
      <c r="G224" s="27">
        <f t="shared" si="13"/>
        <v>1741</v>
      </c>
      <c r="H224" s="56">
        <v>400</v>
      </c>
      <c r="I224" s="57">
        <v>400</v>
      </c>
      <c r="J224" s="50"/>
      <c r="K224" s="57">
        <v>50</v>
      </c>
      <c r="L224" s="203"/>
    </row>
    <row r="225" spans="2:12" ht="15.75">
      <c r="B225" s="208"/>
      <c r="C225" s="201">
        <v>9</v>
      </c>
      <c r="D225" s="27">
        <v>950</v>
      </c>
      <c r="E225" s="27">
        <f>DEMANDA_PREVISIÓN!E954</f>
        <v>35</v>
      </c>
      <c r="F225" s="50"/>
      <c r="G225" s="27">
        <f t="shared" si="13"/>
        <v>1706</v>
      </c>
      <c r="H225" s="56">
        <v>400</v>
      </c>
      <c r="I225" s="57">
        <v>400</v>
      </c>
      <c r="J225" s="50"/>
      <c r="K225" s="57">
        <v>50</v>
      </c>
      <c r="L225" s="201"/>
    </row>
    <row r="226" spans="2:12" ht="15.75">
      <c r="B226" s="208"/>
      <c r="C226" s="202"/>
      <c r="D226" s="27">
        <v>951</v>
      </c>
      <c r="E226" s="27">
        <f>DEMANDA_PREVISIÓN!E955</f>
        <v>32</v>
      </c>
      <c r="F226" s="50"/>
      <c r="G226" s="27">
        <f t="shared" si="13"/>
        <v>1674</v>
      </c>
      <c r="H226" s="56">
        <v>400</v>
      </c>
      <c r="I226" s="57">
        <v>400</v>
      </c>
      <c r="J226" s="50"/>
      <c r="K226" s="57">
        <v>50</v>
      </c>
      <c r="L226" s="202"/>
    </row>
    <row r="227" spans="2:12" ht="15.75">
      <c r="B227" s="208"/>
      <c r="C227" s="202"/>
      <c r="D227" s="27">
        <v>952</v>
      </c>
      <c r="E227" s="27">
        <f>DEMANDA_PREVISIÓN!E956</f>
        <v>28</v>
      </c>
      <c r="F227" s="50"/>
      <c r="G227" s="56">
        <f>H226+G226</f>
        <v>2074</v>
      </c>
      <c r="H227" s="27"/>
      <c r="I227" s="57">
        <v>400</v>
      </c>
      <c r="J227" s="50"/>
      <c r="K227" s="57">
        <v>50</v>
      </c>
      <c r="L227" s="202"/>
    </row>
    <row r="228" spans="2:12" ht="15.75">
      <c r="B228" s="208"/>
      <c r="C228" s="202"/>
      <c r="D228" s="27">
        <v>953</v>
      </c>
      <c r="E228" s="27">
        <f>DEMANDA_PREVISIÓN!E957</f>
        <v>30</v>
      </c>
      <c r="F228" s="50"/>
      <c r="G228" s="27">
        <f>G227-E228</f>
        <v>2044</v>
      </c>
      <c r="H228" s="57">
        <v>400</v>
      </c>
      <c r="I228" s="57">
        <v>400</v>
      </c>
      <c r="J228" s="50"/>
      <c r="K228" s="57">
        <v>50</v>
      </c>
      <c r="L228" s="202"/>
    </row>
    <row r="229" spans="2:12" ht="15.75">
      <c r="B229" s="208"/>
      <c r="C229" s="202"/>
      <c r="D229" s="27">
        <v>954</v>
      </c>
      <c r="E229" s="27">
        <f>DEMANDA_PREVISIÓN!E958</f>
        <v>33</v>
      </c>
      <c r="F229" s="50"/>
      <c r="G229" s="27">
        <f>G228-E229</f>
        <v>2011</v>
      </c>
      <c r="H229" s="57">
        <v>400</v>
      </c>
      <c r="I229" s="58">
        <v>400</v>
      </c>
      <c r="J229" s="50"/>
      <c r="K229" s="58">
        <v>50</v>
      </c>
      <c r="L229" s="202"/>
    </row>
    <row r="230" spans="2:12" ht="15.75">
      <c r="B230" s="208"/>
      <c r="C230" s="202"/>
      <c r="D230" s="27">
        <v>955</v>
      </c>
      <c r="E230" s="27">
        <f>DEMANDA_PREVISIÓN!E959</f>
        <v>32</v>
      </c>
      <c r="F230" s="50"/>
      <c r="G230" s="27">
        <f>G229-E230</f>
        <v>1979</v>
      </c>
      <c r="H230" s="57">
        <v>400</v>
      </c>
      <c r="I230" s="58">
        <v>400</v>
      </c>
      <c r="J230" s="50"/>
      <c r="K230" s="58">
        <v>50</v>
      </c>
      <c r="L230" s="202"/>
    </row>
    <row r="231" spans="2:12" ht="15.75">
      <c r="B231" s="208"/>
      <c r="C231" s="202"/>
      <c r="D231" s="27">
        <v>956</v>
      </c>
      <c r="E231" s="27">
        <f>DEMANDA_PREVISIÓN!E960</f>
        <v>50</v>
      </c>
      <c r="F231" s="50"/>
      <c r="G231" s="27">
        <f>G230-E231</f>
        <v>1929</v>
      </c>
      <c r="H231" s="57">
        <v>400</v>
      </c>
      <c r="I231" s="58">
        <v>400</v>
      </c>
      <c r="J231" s="50"/>
      <c r="K231" s="58">
        <v>50</v>
      </c>
      <c r="L231" s="202"/>
    </row>
    <row r="232" spans="2:12" ht="15.75">
      <c r="B232" s="208"/>
      <c r="C232" s="202"/>
      <c r="D232" s="27">
        <v>957</v>
      </c>
      <c r="E232" s="27">
        <f>DEMANDA_PREVISIÓN!E961</f>
        <v>36</v>
      </c>
      <c r="F232" s="50"/>
      <c r="G232" s="27">
        <f t="shared" ref="G232:G234" si="14">G231-E232</f>
        <v>1893</v>
      </c>
      <c r="H232" s="57">
        <v>400</v>
      </c>
      <c r="I232" s="58">
        <v>400</v>
      </c>
      <c r="J232" s="50"/>
      <c r="K232" s="58">
        <v>50</v>
      </c>
      <c r="L232" s="202"/>
    </row>
    <row r="233" spans="2:12" ht="15.75">
      <c r="B233" s="208"/>
      <c r="C233" s="202"/>
      <c r="D233" s="27">
        <v>958</v>
      </c>
      <c r="E233" s="27">
        <f>DEMANDA_PREVISIÓN!E962</f>
        <v>31</v>
      </c>
      <c r="F233" s="50"/>
      <c r="G233" s="27">
        <f t="shared" si="14"/>
        <v>1862</v>
      </c>
      <c r="H233" s="57">
        <v>400</v>
      </c>
      <c r="I233" s="58">
        <v>400</v>
      </c>
      <c r="J233" s="50"/>
      <c r="K233" s="58">
        <v>50</v>
      </c>
      <c r="L233" s="202"/>
    </row>
    <row r="234" spans="2:12" ht="15.75">
      <c r="B234" s="208"/>
      <c r="C234" s="202"/>
      <c r="D234" s="27">
        <v>959</v>
      </c>
      <c r="E234" s="27">
        <f>DEMANDA_PREVISIÓN!E963</f>
        <v>29</v>
      </c>
      <c r="F234" s="50"/>
      <c r="G234" s="27">
        <f t="shared" si="14"/>
        <v>1833</v>
      </c>
      <c r="H234" s="57">
        <v>400</v>
      </c>
      <c r="I234" s="58">
        <v>400</v>
      </c>
      <c r="J234" s="50"/>
      <c r="K234" s="58">
        <v>50</v>
      </c>
      <c r="L234" s="202"/>
    </row>
    <row r="235" spans="2:12" ht="15.75">
      <c r="B235" s="208"/>
      <c r="C235" s="202"/>
      <c r="D235" s="27">
        <v>960</v>
      </c>
      <c r="E235" s="27">
        <f>DEMANDA_PREVISIÓN!E964</f>
        <v>38</v>
      </c>
      <c r="F235" s="50"/>
      <c r="G235" s="57">
        <f>H234+G234</f>
        <v>2233</v>
      </c>
      <c r="I235" s="58">
        <v>400</v>
      </c>
      <c r="J235" s="47"/>
      <c r="K235" s="58">
        <v>50</v>
      </c>
      <c r="L235" s="202"/>
    </row>
    <row r="236" spans="2:12" ht="15.75">
      <c r="B236" s="208"/>
      <c r="C236" s="202"/>
      <c r="D236" s="27">
        <v>961</v>
      </c>
      <c r="E236" s="27">
        <f>DEMANDA_PREVISIÓN!E965</f>
        <v>40</v>
      </c>
      <c r="F236" s="50"/>
      <c r="G236" s="27">
        <f t="shared" ref="G236:G242" si="15">G235-E236</f>
        <v>2193</v>
      </c>
      <c r="H236" s="58">
        <v>400</v>
      </c>
      <c r="I236" s="58">
        <v>400</v>
      </c>
      <c r="J236" s="50"/>
      <c r="K236" s="58">
        <v>50</v>
      </c>
      <c r="L236" s="202"/>
    </row>
    <row r="237" spans="2:12" ht="15.75">
      <c r="B237" s="208"/>
      <c r="C237" s="202"/>
      <c r="D237" s="27">
        <v>962</v>
      </c>
      <c r="E237" s="27">
        <f>DEMANDA_PREVISIÓN!E966</f>
        <v>33</v>
      </c>
      <c r="F237" s="50"/>
      <c r="G237" s="27">
        <f t="shared" si="15"/>
        <v>2160</v>
      </c>
      <c r="H237" s="58">
        <v>400</v>
      </c>
      <c r="I237" s="68">
        <v>400</v>
      </c>
      <c r="J237" s="50"/>
      <c r="K237" s="68">
        <v>50</v>
      </c>
      <c r="L237" s="202"/>
    </row>
    <row r="238" spans="2:12" ht="15.75">
      <c r="B238" s="208"/>
      <c r="C238" s="202"/>
      <c r="D238" s="27">
        <v>963</v>
      </c>
      <c r="E238" s="27">
        <f>DEMANDA_PREVISIÓN!E967</f>
        <v>34</v>
      </c>
      <c r="F238" s="50"/>
      <c r="G238" s="27">
        <f t="shared" si="15"/>
        <v>2126</v>
      </c>
      <c r="H238" s="58">
        <v>400</v>
      </c>
      <c r="I238" s="68">
        <v>400</v>
      </c>
      <c r="J238" s="50"/>
      <c r="K238" s="68">
        <v>50</v>
      </c>
      <c r="L238" s="202"/>
    </row>
    <row r="239" spans="2:12" ht="15.75">
      <c r="B239" s="208"/>
      <c r="C239" s="202"/>
      <c r="D239" s="27">
        <v>964</v>
      </c>
      <c r="E239" s="27">
        <f>DEMANDA_PREVISIÓN!E968</f>
        <v>33</v>
      </c>
      <c r="F239" s="50"/>
      <c r="G239" s="27">
        <f t="shared" si="15"/>
        <v>2093</v>
      </c>
      <c r="H239" s="58">
        <v>400</v>
      </c>
      <c r="I239" s="68">
        <v>400</v>
      </c>
      <c r="J239" s="50"/>
      <c r="K239" s="68">
        <v>50</v>
      </c>
      <c r="L239" s="202"/>
    </row>
    <row r="240" spans="2:12" ht="15.75">
      <c r="B240" s="208"/>
      <c r="C240" s="202"/>
      <c r="D240" s="27">
        <v>965</v>
      </c>
      <c r="E240" s="27">
        <f>DEMANDA_PREVISIÓN!E969</f>
        <v>32</v>
      </c>
      <c r="F240" s="50"/>
      <c r="G240" s="27">
        <f t="shared" si="15"/>
        <v>2061</v>
      </c>
      <c r="H240" s="58">
        <v>400</v>
      </c>
      <c r="I240" s="68">
        <v>400</v>
      </c>
      <c r="J240" s="50"/>
      <c r="K240" s="68">
        <v>50</v>
      </c>
      <c r="L240" s="202"/>
    </row>
    <row r="241" spans="2:12" ht="15.75">
      <c r="B241" s="208"/>
      <c r="C241" s="202"/>
      <c r="D241" s="27">
        <v>966</v>
      </c>
      <c r="E241" s="27">
        <f>DEMANDA_PREVISIÓN!E970</f>
        <v>39</v>
      </c>
      <c r="F241" s="50"/>
      <c r="G241" s="27">
        <f t="shared" si="15"/>
        <v>2022</v>
      </c>
      <c r="H241" s="58">
        <v>400</v>
      </c>
      <c r="I241" s="68">
        <v>400</v>
      </c>
      <c r="J241" s="50"/>
      <c r="K241" s="68">
        <v>50</v>
      </c>
      <c r="L241" s="202"/>
    </row>
    <row r="242" spans="2:12" ht="15.75">
      <c r="B242" s="208"/>
      <c r="C242" s="202"/>
      <c r="D242" s="27">
        <v>967</v>
      </c>
      <c r="E242" s="27">
        <f>DEMANDA_PREVISIÓN!E971</f>
        <v>32</v>
      </c>
      <c r="F242" s="50"/>
      <c r="G242" s="27">
        <f t="shared" si="15"/>
        <v>1990</v>
      </c>
      <c r="H242" s="58">
        <v>400</v>
      </c>
      <c r="I242" s="68">
        <v>400</v>
      </c>
      <c r="J242" s="50"/>
      <c r="K242" s="68">
        <v>50</v>
      </c>
      <c r="L242" s="202"/>
    </row>
    <row r="243" spans="2:12" ht="15.75">
      <c r="B243" s="208"/>
      <c r="C243" s="202"/>
      <c r="D243" s="27">
        <v>968</v>
      </c>
      <c r="E243" s="27">
        <f>DEMANDA_PREVISIÓN!E972</f>
        <v>34</v>
      </c>
      <c r="F243" s="50"/>
      <c r="G243" s="58">
        <f>H242+G242</f>
        <v>2390</v>
      </c>
      <c r="H243" s="27"/>
      <c r="I243" s="68">
        <v>400</v>
      </c>
      <c r="J243" s="50"/>
      <c r="K243" s="68">
        <v>50</v>
      </c>
      <c r="L243" s="202"/>
    </row>
    <row r="244" spans="2:12" ht="15.75">
      <c r="B244" s="208"/>
      <c r="C244" s="202"/>
      <c r="D244" s="27">
        <v>969</v>
      </c>
      <c r="E244" s="27">
        <f>DEMANDA_PREVISIÓN!E973</f>
        <v>29</v>
      </c>
      <c r="F244" s="50"/>
      <c r="G244" s="27">
        <f t="shared" ref="G244:G250" si="16">G243-E244</f>
        <v>2361</v>
      </c>
      <c r="H244" s="68">
        <v>400</v>
      </c>
      <c r="I244" s="68">
        <v>400</v>
      </c>
      <c r="J244" s="50"/>
      <c r="K244" s="68">
        <v>50</v>
      </c>
      <c r="L244" s="202"/>
    </row>
    <row r="245" spans="2:12" ht="15.75">
      <c r="B245" s="208"/>
      <c r="C245" s="202"/>
      <c r="D245" s="27">
        <v>970</v>
      </c>
      <c r="E245" s="27">
        <f>DEMANDA_PREVISIÓN!E974</f>
        <v>36</v>
      </c>
      <c r="F245" s="50"/>
      <c r="G245" s="27">
        <f t="shared" si="16"/>
        <v>2325</v>
      </c>
      <c r="H245" s="68">
        <v>400</v>
      </c>
      <c r="I245" s="70">
        <v>400</v>
      </c>
      <c r="J245" s="50"/>
      <c r="K245" s="70">
        <v>50</v>
      </c>
      <c r="L245" s="202"/>
    </row>
    <row r="246" spans="2:12" ht="15.75">
      <c r="B246" s="208"/>
      <c r="C246" s="202"/>
      <c r="D246" s="27">
        <v>971</v>
      </c>
      <c r="E246" s="27">
        <f>DEMANDA_PREVISIÓN!E975</f>
        <v>30</v>
      </c>
      <c r="F246" s="50"/>
      <c r="G246" s="27">
        <f t="shared" si="16"/>
        <v>2295</v>
      </c>
      <c r="H246" s="68">
        <v>400</v>
      </c>
      <c r="I246" s="70">
        <v>400</v>
      </c>
      <c r="J246" s="50"/>
      <c r="K246" s="70">
        <v>50</v>
      </c>
      <c r="L246" s="202"/>
    </row>
    <row r="247" spans="2:12" ht="15.75">
      <c r="B247" s="208"/>
      <c r="C247" s="202"/>
      <c r="D247" s="27">
        <v>972</v>
      </c>
      <c r="E247" s="27">
        <f>DEMANDA_PREVISIÓN!E976</f>
        <v>37</v>
      </c>
      <c r="F247" s="50"/>
      <c r="G247" s="27">
        <f t="shared" si="16"/>
        <v>2258</v>
      </c>
      <c r="H247" s="68">
        <v>400</v>
      </c>
      <c r="I247" s="70">
        <v>400</v>
      </c>
      <c r="J247" s="50"/>
      <c r="K247" s="70">
        <v>50</v>
      </c>
      <c r="L247" s="202"/>
    </row>
    <row r="248" spans="2:12" ht="15.75">
      <c r="B248" s="208"/>
      <c r="C248" s="202"/>
      <c r="D248" s="27">
        <v>973</v>
      </c>
      <c r="E248" s="27">
        <f>DEMANDA_PREVISIÓN!E977</f>
        <v>39</v>
      </c>
      <c r="F248" s="50"/>
      <c r="G248" s="27">
        <f t="shared" si="16"/>
        <v>2219</v>
      </c>
      <c r="H248" s="68">
        <v>400</v>
      </c>
      <c r="I248" s="70">
        <v>400</v>
      </c>
      <c r="J248" s="50"/>
      <c r="K248" s="70">
        <v>50</v>
      </c>
      <c r="L248" s="202"/>
    </row>
    <row r="249" spans="2:12" ht="15.75">
      <c r="B249" s="208"/>
      <c r="C249" s="202"/>
      <c r="D249" s="27">
        <v>974</v>
      </c>
      <c r="E249" s="27">
        <f>DEMANDA_PREVISIÓN!E978</f>
        <v>25</v>
      </c>
      <c r="F249" s="50"/>
      <c r="G249" s="27">
        <f t="shared" si="16"/>
        <v>2194</v>
      </c>
      <c r="H249" s="68">
        <v>400</v>
      </c>
      <c r="I249" s="70">
        <v>400</v>
      </c>
      <c r="J249" s="50"/>
      <c r="K249" s="70">
        <v>50</v>
      </c>
      <c r="L249" s="202"/>
    </row>
    <row r="250" spans="2:12" ht="15.75">
      <c r="B250" s="208"/>
      <c r="C250" s="202"/>
      <c r="D250" s="27">
        <v>975</v>
      </c>
      <c r="E250" s="27">
        <f>DEMANDA_PREVISIÓN!E979</f>
        <v>33</v>
      </c>
      <c r="F250" s="50"/>
      <c r="G250" s="27">
        <f t="shared" si="16"/>
        <v>2161</v>
      </c>
      <c r="H250" s="68">
        <v>400</v>
      </c>
      <c r="I250" s="70">
        <v>400</v>
      </c>
      <c r="J250" s="50"/>
      <c r="K250" s="70">
        <v>50</v>
      </c>
      <c r="L250" s="202"/>
    </row>
    <row r="251" spans="2:12" ht="15.75">
      <c r="B251" s="208"/>
      <c r="C251" s="202"/>
      <c r="D251" s="27">
        <v>976</v>
      </c>
      <c r="E251" s="27">
        <f>DEMANDA_PREVISIÓN!E980</f>
        <v>23</v>
      </c>
      <c r="F251" s="50"/>
      <c r="G251" s="68">
        <f>H250+G250</f>
        <v>2561</v>
      </c>
      <c r="H251" s="27"/>
      <c r="I251" s="70">
        <v>400</v>
      </c>
      <c r="J251" s="50"/>
      <c r="K251" s="70">
        <v>50</v>
      </c>
      <c r="L251" s="202"/>
    </row>
    <row r="252" spans="2:12" ht="15.75">
      <c r="B252" s="208"/>
      <c r="C252" s="202"/>
      <c r="D252" s="27">
        <v>977</v>
      </c>
      <c r="E252" s="27">
        <f>DEMANDA_PREVISIÓN!E981</f>
        <v>28</v>
      </c>
      <c r="F252" s="50"/>
      <c r="G252" s="27">
        <f t="shared" ref="G252:G258" si="17">G251-E252</f>
        <v>2533</v>
      </c>
      <c r="H252" s="70">
        <v>400</v>
      </c>
      <c r="I252" s="70">
        <v>400</v>
      </c>
      <c r="J252" s="50"/>
      <c r="K252" s="70">
        <v>50</v>
      </c>
      <c r="L252" s="202"/>
    </row>
    <row r="253" spans="2:12" ht="15.75">
      <c r="B253" s="208"/>
      <c r="C253" s="202"/>
      <c r="D253" s="27">
        <v>978</v>
      </c>
      <c r="E253" s="27">
        <f>DEMANDA_PREVISIÓN!E982</f>
        <v>29</v>
      </c>
      <c r="F253" s="50"/>
      <c r="G253" s="27">
        <f t="shared" si="17"/>
        <v>2504</v>
      </c>
      <c r="H253" s="70">
        <v>400</v>
      </c>
      <c r="I253" s="56">
        <v>400</v>
      </c>
      <c r="J253" s="50"/>
      <c r="K253" s="56">
        <v>50</v>
      </c>
      <c r="L253" s="202"/>
    </row>
    <row r="254" spans="2:12" ht="15.75">
      <c r="B254" s="208"/>
      <c r="C254" s="202"/>
      <c r="D254" s="27">
        <v>979</v>
      </c>
      <c r="E254" s="27">
        <f>DEMANDA_PREVISIÓN!E983</f>
        <v>33</v>
      </c>
      <c r="F254" s="50"/>
      <c r="G254" s="27">
        <f t="shared" si="17"/>
        <v>2471</v>
      </c>
      <c r="H254" s="70">
        <v>400</v>
      </c>
      <c r="I254" s="56">
        <v>400</v>
      </c>
      <c r="J254" s="50"/>
      <c r="K254" s="56">
        <v>50</v>
      </c>
      <c r="L254" s="202"/>
    </row>
    <row r="255" spans="2:12" ht="15.75">
      <c r="B255" s="208"/>
      <c r="C255" s="203"/>
      <c r="D255" s="27">
        <v>980</v>
      </c>
      <c r="E255" s="27">
        <f>DEMANDA_PREVISIÓN!E984</f>
        <v>29</v>
      </c>
      <c r="F255" s="50"/>
      <c r="G255" s="27">
        <f t="shared" si="17"/>
        <v>2442</v>
      </c>
      <c r="H255" s="70">
        <v>400</v>
      </c>
      <c r="I255" s="56">
        <v>400</v>
      </c>
      <c r="J255" s="50"/>
      <c r="K255" s="56">
        <v>50</v>
      </c>
      <c r="L255" s="203"/>
    </row>
    <row r="256" spans="2:12" ht="15.75">
      <c r="B256" s="208"/>
      <c r="C256" s="201">
        <v>10</v>
      </c>
      <c r="D256" s="27">
        <v>981</v>
      </c>
      <c r="E256" s="27">
        <f>DEMANDA_PREVISIÓN!E985</f>
        <v>35</v>
      </c>
      <c r="F256" s="50"/>
      <c r="G256" s="27">
        <f t="shared" si="17"/>
        <v>2407</v>
      </c>
      <c r="H256" s="70">
        <v>400</v>
      </c>
      <c r="I256" s="56">
        <v>400</v>
      </c>
      <c r="J256" s="50"/>
      <c r="K256" s="56">
        <v>50</v>
      </c>
      <c r="L256" s="201"/>
    </row>
    <row r="257" spans="2:12" ht="15.75">
      <c r="B257" s="208"/>
      <c r="C257" s="202"/>
      <c r="D257" s="27">
        <v>982</v>
      </c>
      <c r="E257" s="27">
        <f>DEMANDA_PREVISIÓN!E986</f>
        <v>38</v>
      </c>
      <c r="F257" s="50"/>
      <c r="G257" s="27">
        <f t="shared" si="17"/>
        <v>2369</v>
      </c>
      <c r="H257" s="70">
        <v>400</v>
      </c>
      <c r="I257" s="56">
        <v>400</v>
      </c>
      <c r="J257" s="50"/>
      <c r="K257" s="56">
        <v>50</v>
      </c>
      <c r="L257" s="202"/>
    </row>
    <row r="258" spans="2:12" ht="15.75">
      <c r="B258" s="208"/>
      <c r="C258" s="202"/>
      <c r="D258" s="27">
        <v>983</v>
      </c>
      <c r="E258" s="27">
        <f>DEMANDA_PREVISIÓN!E987</f>
        <v>19</v>
      </c>
      <c r="F258" s="50"/>
      <c r="G258" s="27">
        <f t="shared" si="17"/>
        <v>2350</v>
      </c>
      <c r="H258" s="70">
        <v>400</v>
      </c>
      <c r="I258" s="56">
        <v>400</v>
      </c>
      <c r="J258" s="50"/>
      <c r="K258" s="56">
        <v>50</v>
      </c>
      <c r="L258" s="202"/>
    </row>
    <row r="259" spans="2:12" ht="15.75">
      <c r="B259" s="208"/>
      <c r="C259" s="202"/>
      <c r="D259" s="27">
        <v>984</v>
      </c>
      <c r="E259" s="27">
        <f>DEMANDA_PREVISIÓN!E988</f>
        <v>34</v>
      </c>
      <c r="F259" s="50"/>
      <c r="G259" s="70">
        <f>H258+G258</f>
        <v>2750</v>
      </c>
      <c r="H259" s="27"/>
      <c r="I259" s="56">
        <v>400</v>
      </c>
      <c r="J259" s="50"/>
      <c r="K259" s="56">
        <v>50</v>
      </c>
      <c r="L259" s="202"/>
    </row>
    <row r="260" spans="2:12" ht="15.75">
      <c r="B260" s="208"/>
      <c r="C260" s="202"/>
      <c r="D260" s="27">
        <v>985</v>
      </c>
      <c r="E260" s="27">
        <f>DEMANDA_PREVISIÓN!E989</f>
        <v>29</v>
      </c>
      <c r="F260" s="50"/>
      <c r="G260" s="27">
        <f t="shared" ref="G260:G266" si="18">G259-E260</f>
        <v>2721</v>
      </c>
      <c r="H260" s="56">
        <v>400</v>
      </c>
      <c r="I260" s="56">
        <v>400</v>
      </c>
      <c r="J260" s="50"/>
      <c r="K260" s="56">
        <v>50</v>
      </c>
      <c r="L260" s="202"/>
    </row>
    <row r="261" spans="2:12" ht="15.75">
      <c r="B261" s="208"/>
      <c r="C261" s="202"/>
      <c r="D261" s="27">
        <v>986</v>
      </c>
      <c r="E261" s="27">
        <f>DEMANDA_PREVISIÓN!E990</f>
        <v>25</v>
      </c>
      <c r="F261" s="50"/>
      <c r="G261" s="27">
        <f t="shared" si="18"/>
        <v>2696</v>
      </c>
      <c r="H261" s="56">
        <v>400</v>
      </c>
      <c r="I261" s="57">
        <v>400</v>
      </c>
      <c r="J261" s="50"/>
      <c r="K261" s="57">
        <v>50</v>
      </c>
      <c r="L261" s="202"/>
    </row>
    <row r="262" spans="2:12" ht="15.75">
      <c r="B262" s="208"/>
      <c r="C262" s="202"/>
      <c r="D262" s="27">
        <v>987</v>
      </c>
      <c r="E262" s="27">
        <f>DEMANDA_PREVISIÓN!E991</f>
        <v>32</v>
      </c>
      <c r="F262" s="50"/>
      <c r="G262" s="27">
        <f t="shared" si="18"/>
        <v>2664</v>
      </c>
      <c r="H262" s="56">
        <v>400</v>
      </c>
      <c r="I262" s="57">
        <v>400</v>
      </c>
      <c r="J262" s="50"/>
      <c r="K262" s="57">
        <v>50</v>
      </c>
      <c r="L262" s="202"/>
    </row>
    <row r="263" spans="2:12" ht="15.75">
      <c r="B263" s="208"/>
      <c r="C263" s="202"/>
      <c r="D263" s="27">
        <v>988</v>
      </c>
      <c r="E263" s="27">
        <f>DEMANDA_PREVISIÓN!E992</f>
        <v>38</v>
      </c>
      <c r="F263" s="50"/>
      <c r="G263" s="27">
        <f t="shared" si="18"/>
        <v>2626</v>
      </c>
      <c r="H263" s="56">
        <v>400</v>
      </c>
      <c r="I263" s="57">
        <v>400</v>
      </c>
      <c r="J263" s="50"/>
      <c r="K263" s="57">
        <v>50</v>
      </c>
      <c r="L263" s="202"/>
    </row>
    <row r="264" spans="2:12" ht="15.75">
      <c r="B264" s="208"/>
      <c r="C264" s="202"/>
      <c r="D264" s="27">
        <v>989</v>
      </c>
      <c r="E264" s="27">
        <f>DEMANDA_PREVISIÓN!E993</f>
        <v>24</v>
      </c>
      <c r="F264" s="50"/>
      <c r="G264" s="27">
        <f t="shared" si="18"/>
        <v>2602</v>
      </c>
      <c r="H264" s="56">
        <v>400</v>
      </c>
      <c r="I264" s="57">
        <v>400</v>
      </c>
      <c r="J264" s="50"/>
      <c r="K264" s="57">
        <v>50</v>
      </c>
      <c r="L264" s="202"/>
    </row>
    <row r="265" spans="2:12" ht="15.75">
      <c r="B265" s="208"/>
      <c r="C265" s="202"/>
      <c r="D265" s="27">
        <v>990</v>
      </c>
      <c r="E265" s="27">
        <f>DEMANDA_PREVISIÓN!E994</f>
        <v>39</v>
      </c>
      <c r="F265" s="50"/>
      <c r="G265" s="27">
        <f t="shared" si="18"/>
        <v>2563</v>
      </c>
      <c r="H265" s="56">
        <v>400</v>
      </c>
      <c r="I265" s="57">
        <v>400</v>
      </c>
      <c r="J265" s="50"/>
      <c r="K265" s="57">
        <v>50</v>
      </c>
      <c r="L265" s="202"/>
    </row>
    <row r="266" spans="2:12" ht="15.75">
      <c r="B266" s="208"/>
      <c r="C266" s="202"/>
      <c r="D266" s="27">
        <v>991</v>
      </c>
      <c r="E266" s="27">
        <f>DEMANDA_PREVISIÓN!E995</f>
        <v>30</v>
      </c>
      <c r="F266" s="50"/>
      <c r="G266" s="27">
        <f t="shared" si="18"/>
        <v>2533</v>
      </c>
      <c r="H266" s="56">
        <v>400</v>
      </c>
      <c r="I266" s="57">
        <v>400</v>
      </c>
      <c r="J266" s="50"/>
      <c r="K266" s="57">
        <v>50</v>
      </c>
      <c r="L266" s="202"/>
    </row>
    <row r="267" spans="2:12" ht="15.75">
      <c r="B267" s="208"/>
      <c r="C267" s="202"/>
      <c r="D267" s="27">
        <v>992</v>
      </c>
      <c r="E267" s="27">
        <f>DEMANDA_PREVISIÓN!E996</f>
        <v>32</v>
      </c>
      <c r="F267" s="50"/>
      <c r="G267" s="56">
        <f>H266+G266</f>
        <v>2933</v>
      </c>
      <c r="H267" s="27"/>
      <c r="I267" s="57">
        <v>400</v>
      </c>
      <c r="J267" s="50"/>
      <c r="K267" s="57">
        <v>50</v>
      </c>
      <c r="L267" s="202"/>
    </row>
    <row r="268" spans="2:12" ht="15.75">
      <c r="B268" s="208"/>
      <c r="C268" s="202"/>
      <c r="D268" s="27">
        <v>993</v>
      </c>
      <c r="E268" s="27">
        <f>DEMANDA_PREVISIÓN!E997</f>
        <v>32</v>
      </c>
      <c r="F268" s="50"/>
      <c r="G268" s="27">
        <f>G267-E268</f>
        <v>2901</v>
      </c>
      <c r="H268" s="57">
        <v>400</v>
      </c>
      <c r="I268" s="57">
        <v>400</v>
      </c>
      <c r="J268" s="50"/>
      <c r="K268" s="57">
        <v>50</v>
      </c>
      <c r="L268" s="202"/>
    </row>
    <row r="269" spans="2:12" ht="15.75">
      <c r="B269" s="208"/>
      <c r="C269" s="202"/>
      <c r="D269" s="27">
        <v>994</v>
      </c>
      <c r="E269" s="27">
        <f>DEMANDA_PREVISIÓN!E998</f>
        <v>31</v>
      </c>
      <c r="F269" s="50"/>
      <c r="G269" s="27">
        <f>G268-E269</f>
        <v>2870</v>
      </c>
      <c r="H269" s="57">
        <v>400</v>
      </c>
      <c r="I269" s="58">
        <v>400</v>
      </c>
      <c r="J269" s="50"/>
      <c r="K269" s="58">
        <v>50</v>
      </c>
      <c r="L269" s="202"/>
    </row>
    <row r="270" spans="2:12" ht="15.75">
      <c r="B270" s="208"/>
      <c r="C270" s="202"/>
      <c r="D270" s="27">
        <v>995</v>
      </c>
      <c r="E270" s="27">
        <f>DEMANDA_PREVISIÓN!E999</f>
        <v>40</v>
      </c>
      <c r="F270" s="50"/>
      <c r="G270" s="27">
        <f>G269-E270</f>
        <v>2830</v>
      </c>
      <c r="H270" s="57">
        <v>400</v>
      </c>
      <c r="I270" s="58">
        <v>400</v>
      </c>
      <c r="J270" s="50"/>
      <c r="K270" s="58">
        <v>50</v>
      </c>
      <c r="L270" s="202"/>
    </row>
    <row r="271" spans="2:12" ht="15.75">
      <c r="B271" s="208"/>
      <c r="C271" s="202"/>
      <c r="D271" s="27">
        <v>996</v>
      </c>
      <c r="E271" s="27">
        <f>DEMANDA_PREVISIÓN!E1000</f>
        <v>37</v>
      </c>
      <c r="F271" s="50"/>
      <c r="G271" s="27">
        <f>G270-E271</f>
        <v>2793</v>
      </c>
      <c r="H271" s="57">
        <v>400</v>
      </c>
      <c r="I271" s="58">
        <v>400</v>
      </c>
      <c r="J271" s="50"/>
      <c r="K271" s="58">
        <v>50</v>
      </c>
      <c r="L271" s="202"/>
    </row>
    <row r="272" spans="2:12" ht="15.75">
      <c r="B272" s="208"/>
      <c r="C272" s="202"/>
      <c r="D272" s="27">
        <v>997</v>
      </c>
      <c r="E272" s="27">
        <f>DEMANDA_PREVISIÓN!E1001</f>
        <v>29</v>
      </c>
      <c r="F272" s="50"/>
      <c r="G272" s="27">
        <f t="shared" ref="G272:G274" si="19">G271-E272</f>
        <v>2764</v>
      </c>
      <c r="H272" s="57">
        <v>400</v>
      </c>
      <c r="I272" s="58">
        <v>400</v>
      </c>
      <c r="J272" s="50"/>
      <c r="K272" s="58">
        <v>50</v>
      </c>
      <c r="L272" s="202"/>
    </row>
    <row r="273" spans="2:12" ht="15.75">
      <c r="B273" s="208"/>
      <c r="C273" s="202"/>
      <c r="D273" s="27">
        <v>998</v>
      </c>
      <c r="E273" s="27">
        <f>DEMANDA_PREVISIÓN!E1002</f>
        <v>33</v>
      </c>
      <c r="F273" s="50"/>
      <c r="G273" s="27">
        <f t="shared" si="19"/>
        <v>2731</v>
      </c>
      <c r="H273" s="57">
        <v>400</v>
      </c>
      <c r="I273" s="58">
        <v>400</v>
      </c>
      <c r="J273" s="50"/>
      <c r="K273" s="58">
        <v>50</v>
      </c>
      <c r="L273" s="202"/>
    </row>
    <row r="274" spans="2:12" ht="15.75">
      <c r="B274" s="208"/>
      <c r="C274" s="202"/>
      <c r="D274" s="27">
        <v>999</v>
      </c>
      <c r="E274" s="27">
        <f>DEMANDA_PREVISIÓN!E1003</f>
        <v>28</v>
      </c>
      <c r="F274" s="50"/>
      <c r="G274" s="27">
        <f t="shared" si="19"/>
        <v>2703</v>
      </c>
      <c r="H274" s="57">
        <v>400</v>
      </c>
      <c r="I274" s="58">
        <v>400</v>
      </c>
      <c r="J274" s="50"/>
      <c r="K274" s="58">
        <v>50</v>
      </c>
      <c r="L274" s="202"/>
    </row>
    <row r="275" spans="2:12" ht="15.75">
      <c r="B275" s="208" t="s">
        <v>52</v>
      </c>
      <c r="C275" s="202"/>
      <c r="D275" s="27">
        <v>1000</v>
      </c>
      <c r="E275" s="27">
        <f>DEMANDA_PREVISIÓN!E1004</f>
        <v>25</v>
      </c>
      <c r="F275" s="50"/>
      <c r="G275" s="57">
        <f>H274+G274</f>
        <v>3103</v>
      </c>
      <c r="I275" s="58">
        <v>400</v>
      </c>
      <c r="J275" s="47"/>
      <c r="K275" s="58">
        <v>50</v>
      </c>
      <c r="L275" s="202"/>
    </row>
    <row r="276" spans="2:12" ht="15.75">
      <c r="B276" s="208"/>
      <c r="C276" s="202"/>
      <c r="D276" s="27">
        <v>1001</v>
      </c>
      <c r="E276" s="27">
        <f>DEMANDA_PREVISIÓN!E1005</f>
        <v>29</v>
      </c>
      <c r="F276" s="50"/>
      <c r="G276" s="27">
        <f t="shared" ref="G276:G282" si="20">G275-E276</f>
        <v>3074</v>
      </c>
      <c r="H276" s="58">
        <v>400</v>
      </c>
      <c r="I276" s="58">
        <v>400</v>
      </c>
      <c r="J276" s="50"/>
      <c r="K276" s="58">
        <v>50</v>
      </c>
      <c r="L276" s="202"/>
    </row>
    <row r="277" spans="2:12" ht="15.75">
      <c r="B277" s="208"/>
      <c r="C277" s="202"/>
      <c r="D277" s="27">
        <v>1002</v>
      </c>
      <c r="E277" s="27">
        <f>DEMANDA_PREVISIÓN!E1006</f>
        <v>32</v>
      </c>
      <c r="F277" s="50"/>
      <c r="G277" s="27">
        <f t="shared" si="20"/>
        <v>3042</v>
      </c>
      <c r="H277" s="58">
        <v>400</v>
      </c>
      <c r="I277" s="68">
        <v>400</v>
      </c>
      <c r="J277" s="50"/>
      <c r="K277" s="68">
        <v>50</v>
      </c>
      <c r="L277" s="202"/>
    </row>
    <row r="278" spans="2:12" ht="15.75">
      <c r="B278" s="208"/>
      <c r="C278" s="202"/>
      <c r="D278" s="27">
        <v>1003</v>
      </c>
      <c r="E278" s="27">
        <f>DEMANDA_PREVISIÓN!E1007</f>
        <v>36</v>
      </c>
      <c r="F278" s="50"/>
      <c r="G278" s="27">
        <f t="shared" si="20"/>
        <v>3006</v>
      </c>
      <c r="H278" s="58">
        <v>400</v>
      </c>
      <c r="I278" s="68">
        <v>400</v>
      </c>
      <c r="J278" s="50"/>
      <c r="K278" s="68">
        <v>50</v>
      </c>
      <c r="L278" s="202"/>
    </row>
    <row r="279" spans="2:12" ht="15.75">
      <c r="B279" s="208"/>
      <c r="C279" s="202"/>
      <c r="D279" s="27">
        <v>1004</v>
      </c>
      <c r="E279" s="27">
        <f>DEMANDA_PREVISIÓN!E1008</f>
        <v>42</v>
      </c>
      <c r="F279" s="50"/>
      <c r="G279" s="27">
        <f t="shared" si="20"/>
        <v>2964</v>
      </c>
      <c r="H279" s="58">
        <v>400</v>
      </c>
      <c r="I279" s="68">
        <v>400</v>
      </c>
      <c r="J279" s="50"/>
      <c r="K279" s="68">
        <v>50</v>
      </c>
      <c r="L279" s="202"/>
    </row>
    <row r="280" spans="2:12" ht="15.75">
      <c r="B280" s="208"/>
      <c r="C280" s="202"/>
      <c r="D280" s="27">
        <v>1005</v>
      </c>
      <c r="E280" s="27">
        <f>DEMANDA_PREVISIÓN!E1009</f>
        <v>35</v>
      </c>
      <c r="F280" s="50"/>
      <c r="G280" s="27">
        <f t="shared" si="20"/>
        <v>2929</v>
      </c>
      <c r="H280" s="58">
        <v>400</v>
      </c>
      <c r="I280" s="68">
        <v>400</v>
      </c>
      <c r="J280" s="50"/>
      <c r="K280" s="68">
        <v>50</v>
      </c>
      <c r="L280" s="202"/>
    </row>
    <row r="281" spans="2:12" ht="15.75">
      <c r="B281" s="208"/>
      <c r="C281" s="202"/>
      <c r="D281" s="27">
        <v>1006</v>
      </c>
      <c r="E281" s="27">
        <f>DEMANDA_PREVISIÓN!E1010</f>
        <v>41</v>
      </c>
      <c r="F281" s="50"/>
      <c r="G281" s="27">
        <f t="shared" si="20"/>
        <v>2888</v>
      </c>
      <c r="H281" s="58">
        <v>400</v>
      </c>
      <c r="I281" s="68">
        <v>400</v>
      </c>
      <c r="J281" s="50"/>
      <c r="K281" s="68">
        <v>50</v>
      </c>
      <c r="L281" s="202"/>
    </row>
    <row r="282" spans="2:12" ht="15.75">
      <c r="B282" s="208"/>
      <c r="C282" s="202"/>
      <c r="D282" s="27">
        <v>1007</v>
      </c>
      <c r="E282" s="27">
        <f>DEMANDA_PREVISIÓN!E1011</f>
        <v>25</v>
      </c>
      <c r="F282" s="50"/>
      <c r="G282" s="27">
        <f t="shared" si="20"/>
        <v>2863</v>
      </c>
      <c r="H282" s="58">
        <v>400</v>
      </c>
      <c r="I282" s="68">
        <v>400</v>
      </c>
      <c r="J282" s="50"/>
      <c r="K282" s="68">
        <v>50</v>
      </c>
      <c r="L282" s="202"/>
    </row>
    <row r="283" spans="2:12" ht="15.75">
      <c r="B283" s="208"/>
      <c r="C283" s="202"/>
      <c r="D283" s="27">
        <v>1008</v>
      </c>
      <c r="E283" s="27">
        <f>DEMANDA_PREVISIÓN!E1012</f>
        <v>28</v>
      </c>
      <c r="F283" s="50"/>
      <c r="G283" s="58">
        <f>H282+G282</f>
        <v>3263</v>
      </c>
      <c r="H283" s="27"/>
      <c r="I283" s="68">
        <v>400</v>
      </c>
      <c r="J283" s="50"/>
      <c r="K283" s="68">
        <v>50</v>
      </c>
      <c r="L283" s="202"/>
    </row>
    <row r="284" spans="2:12" ht="15.75">
      <c r="B284" s="208"/>
      <c r="C284" s="202"/>
      <c r="D284" s="27">
        <v>1009</v>
      </c>
      <c r="E284" s="27">
        <f>DEMANDA_PREVISIÓN!E1013</f>
        <v>31</v>
      </c>
      <c r="F284" s="50"/>
      <c r="G284" s="27">
        <f t="shared" ref="G284:G290" si="21">G283-E284</f>
        <v>3232</v>
      </c>
      <c r="H284" s="68">
        <v>400</v>
      </c>
      <c r="I284" s="68">
        <v>400</v>
      </c>
      <c r="J284" s="50"/>
      <c r="K284" s="68">
        <v>50</v>
      </c>
      <c r="L284" s="202"/>
    </row>
    <row r="285" spans="2:12" ht="15.75">
      <c r="B285" s="208"/>
      <c r="C285" s="202"/>
      <c r="D285" s="27">
        <v>1010</v>
      </c>
      <c r="E285" s="27">
        <f>DEMANDA_PREVISIÓN!E1014</f>
        <v>28</v>
      </c>
      <c r="F285" s="50"/>
      <c r="G285" s="27">
        <f t="shared" si="21"/>
        <v>3204</v>
      </c>
      <c r="H285" s="68">
        <v>400</v>
      </c>
      <c r="I285" s="70">
        <v>400</v>
      </c>
      <c r="J285" s="50"/>
      <c r="K285" s="70">
        <v>50</v>
      </c>
      <c r="L285" s="202"/>
    </row>
    <row r="286" spans="2:12" ht="15.75">
      <c r="B286" s="208"/>
      <c r="C286" s="203"/>
      <c r="D286" s="27">
        <v>1011</v>
      </c>
      <c r="E286" s="27">
        <f>DEMANDA_PREVISIÓN!E1015</f>
        <v>36</v>
      </c>
      <c r="F286" s="50"/>
      <c r="G286" s="27">
        <f t="shared" si="21"/>
        <v>3168</v>
      </c>
      <c r="H286" s="68">
        <v>400</v>
      </c>
      <c r="I286" s="70">
        <v>400</v>
      </c>
      <c r="J286" s="50"/>
      <c r="K286" s="70">
        <v>50</v>
      </c>
      <c r="L286" s="203"/>
    </row>
    <row r="287" spans="2:12" ht="15.75">
      <c r="B287" s="208"/>
      <c r="C287" s="201">
        <v>11</v>
      </c>
      <c r="D287" s="27">
        <v>1012</v>
      </c>
      <c r="E287" s="27">
        <f>DEMANDA_PREVISIÓN!E1016</f>
        <v>29</v>
      </c>
      <c r="F287" s="50"/>
      <c r="G287" s="27">
        <f t="shared" si="21"/>
        <v>3139</v>
      </c>
      <c r="H287" s="68">
        <v>400</v>
      </c>
      <c r="I287" s="70">
        <v>400</v>
      </c>
      <c r="J287" s="50"/>
      <c r="K287" s="70">
        <v>50</v>
      </c>
      <c r="L287" s="201"/>
    </row>
    <row r="288" spans="2:12" ht="15.75">
      <c r="B288" s="208"/>
      <c r="C288" s="202"/>
      <c r="D288" s="27">
        <v>1013</v>
      </c>
      <c r="E288" s="27">
        <f>DEMANDA_PREVISIÓN!E1017</f>
        <v>39</v>
      </c>
      <c r="F288" s="50"/>
      <c r="G288" s="27">
        <f t="shared" si="21"/>
        <v>3100</v>
      </c>
      <c r="H288" s="68">
        <v>400</v>
      </c>
      <c r="I288" s="70">
        <v>400</v>
      </c>
      <c r="J288" s="50"/>
      <c r="K288" s="70">
        <v>50</v>
      </c>
      <c r="L288" s="202"/>
    </row>
    <row r="289" spans="2:12" ht="15.75">
      <c r="B289" s="208"/>
      <c r="C289" s="202"/>
      <c r="D289" s="27">
        <v>1014</v>
      </c>
      <c r="E289" s="27">
        <f>DEMANDA_PREVISIÓN!E1018</f>
        <v>33</v>
      </c>
      <c r="F289" s="50"/>
      <c r="G289" s="27">
        <f t="shared" si="21"/>
        <v>3067</v>
      </c>
      <c r="H289" s="68">
        <v>400</v>
      </c>
      <c r="I289" s="70">
        <v>400</v>
      </c>
      <c r="J289" s="50"/>
      <c r="K289" s="70">
        <v>50</v>
      </c>
      <c r="L289" s="202"/>
    </row>
    <row r="290" spans="2:12" ht="15.75">
      <c r="B290" s="208"/>
      <c r="C290" s="202"/>
      <c r="D290" s="27">
        <v>1015</v>
      </c>
      <c r="E290" s="27">
        <f>DEMANDA_PREVISIÓN!E1019</f>
        <v>31</v>
      </c>
      <c r="F290" s="50"/>
      <c r="G290" s="27">
        <f t="shared" si="21"/>
        <v>3036</v>
      </c>
      <c r="H290" s="68">
        <v>400</v>
      </c>
      <c r="I290" s="70">
        <v>400</v>
      </c>
      <c r="J290" s="50"/>
      <c r="K290" s="70">
        <v>50</v>
      </c>
      <c r="L290" s="202"/>
    </row>
    <row r="291" spans="2:12" ht="15.75">
      <c r="B291" s="208"/>
      <c r="C291" s="202"/>
      <c r="D291" s="27">
        <v>1016</v>
      </c>
      <c r="E291" s="27">
        <f>DEMANDA_PREVISIÓN!E1020</f>
        <v>39</v>
      </c>
      <c r="F291" s="50"/>
      <c r="G291" s="68">
        <f>H290+G290</f>
        <v>3436</v>
      </c>
      <c r="H291" s="27"/>
      <c r="I291" s="70">
        <v>400</v>
      </c>
      <c r="J291" s="50"/>
      <c r="K291" s="70">
        <v>50</v>
      </c>
      <c r="L291" s="202"/>
    </row>
    <row r="292" spans="2:12" ht="15.75">
      <c r="B292" s="208"/>
      <c r="C292" s="202"/>
      <c r="D292" s="27">
        <v>1017</v>
      </c>
      <c r="E292" s="27">
        <f>DEMANDA_PREVISIÓN!E1021</f>
        <v>29</v>
      </c>
      <c r="F292" s="50"/>
      <c r="G292" s="27">
        <f t="shared" ref="G292:G298" si="22">G291-E292</f>
        <v>3407</v>
      </c>
      <c r="H292" s="70">
        <v>400</v>
      </c>
      <c r="I292" s="70">
        <v>400</v>
      </c>
      <c r="J292" s="50"/>
      <c r="K292" s="70">
        <v>50</v>
      </c>
      <c r="L292" s="202"/>
    </row>
    <row r="293" spans="2:12" ht="15.75">
      <c r="B293" s="208"/>
      <c r="C293" s="202"/>
      <c r="D293" s="27">
        <v>1018</v>
      </c>
      <c r="E293" s="27">
        <f>DEMANDA_PREVISIÓN!E1022</f>
        <v>22</v>
      </c>
      <c r="F293" s="50"/>
      <c r="G293" s="27">
        <f t="shared" si="22"/>
        <v>3385</v>
      </c>
      <c r="H293" s="70">
        <v>400</v>
      </c>
      <c r="I293" s="56">
        <v>400</v>
      </c>
      <c r="J293" s="50"/>
      <c r="K293" s="56">
        <v>50</v>
      </c>
      <c r="L293" s="202"/>
    </row>
    <row r="294" spans="2:12" ht="15.75">
      <c r="B294" s="208"/>
      <c r="C294" s="202"/>
      <c r="D294" s="27">
        <v>1019</v>
      </c>
      <c r="E294" s="27">
        <f>DEMANDA_PREVISIÓN!E1023</f>
        <v>40</v>
      </c>
      <c r="F294" s="50"/>
      <c r="G294" s="27">
        <f t="shared" si="22"/>
        <v>3345</v>
      </c>
      <c r="H294" s="70">
        <v>400</v>
      </c>
      <c r="I294" s="56">
        <v>400</v>
      </c>
      <c r="J294" s="50"/>
      <c r="K294" s="56">
        <v>50</v>
      </c>
      <c r="L294" s="202"/>
    </row>
    <row r="295" spans="2:12" ht="15.75">
      <c r="B295" s="208"/>
      <c r="C295" s="202"/>
      <c r="D295" s="27">
        <v>1020</v>
      </c>
      <c r="E295" s="27">
        <f>DEMANDA_PREVISIÓN!E1024</f>
        <v>30</v>
      </c>
      <c r="F295" s="50"/>
      <c r="G295" s="27">
        <f t="shared" si="22"/>
        <v>3315</v>
      </c>
      <c r="H295" s="70">
        <v>400</v>
      </c>
      <c r="I295" s="56">
        <v>400</v>
      </c>
      <c r="J295" s="50"/>
      <c r="K295" s="56">
        <v>50</v>
      </c>
      <c r="L295" s="202"/>
    </row>
    <row r="296" spans="2:12" ht="15.75">
      <c r="B296" s="208"/>
      <c r="C296" s="202"/>
      <c r="D296" s="27">
        <v>1021</v>
      </c>
      <c r="E296" s="27">
        <f>DEMANDA_PREVISIÓN!E1025</f>
        <v>34</v>
      </c>
      <c r="F296" s="50"/>
      <c r="G296" s="27">
        <f t="shared" si="22"/>
        <v>3281</v>
      </c>
      <c r="H296" s="70">
        <v>400</v>
      </c>
      <c r="I296" s="56">
        <v>400</v>
      </c>
      <c r="J296" s="50"/>
      <c r="K296" s="56">
        <v>50</v>
      </c>
      <c r="L296" s="202"/>
    </row>
    <row r="297" spans="2:12" ht="15.75">
      <c r="B297" s="208"/>
      <c r="C297" s="202"/>
      <c r="D297" s="27">
        <v>1022</v>
      </c>
      <c r="E297" s="27">
        <f>DEMANDA_PREVISIÓN!E1026</f>
        <v>35</v>
      </c>
      <c r="F297" s="50"/>
      <c r="G297" s="27">
        <f t="shared" si="22"/>
        <v>3246</v>
      </c>
      <c r="H297" s="70">
        <v>400</v>
      </c>
      <c r="I297" s="56">
        <v>400</v>
      </c>
      <c r="J297" s="50"/>
      <c r="K297" s="56">
        <v>50</v>
      </c>
      <c r="L297" s="202"/>
    </row>
    <row r="298" spans="2:12" ht="15.75">
      <c r="B298" s="208"/>
      <c r="C298" s="202"/>
      <c r="D298" s="27">
        <v>1023</v>
      </c>
      <c r="E298" s="27">
        <f>DEMANDA_PREVISIÓN!E1027</f>
        <v>41</v>
      </c>
      <c r="F298" s="50"/>
      <c r="G298" s="27">
        <f t="shared" si="22"/>
        <v>3205</v>
      </c>
      <c r="H298" s="70">
        <v>400</v>
      </c>
      <c r="I298" s="56">
        <v>400</v>
      </c>
      <c r="J298" s="50"/>
      <c r="K298" s="56">
        <v>50</v>
      </c>
      <c r="L298" s="202"/>
    </row>
    <row r="299" spans="2:12" ht="15.75">
      <c r="B299" s="208"/>
      <c r="C299" s="202"/>
      <c r="D299" s="27">
        <v>1024</v>
      </c>
      <c r="E299" s="27">
        <f>DEMANDA_PREVISIÓN!E1028</f>
        <v>26</v>
      </c>
      <c r="F299" s="50"/>
      <c r="G299" s="70">
        <f>H298+G298</f>
        <v>3605</v>
      </c>
      <c r="H299" s="27"/>
      <c r="I299" s="56">
        <v>400</v>
      </c>
      <c r="J299" s="50"/>
      <c r="K299" s="56">
        <v>50</v>
      </c>
      <c r="L299" s="202"/>
    </row>
    <row r="300" spans="2:12" ht="15.75">
      <c r="B300" s="208"/>
      <c r="C300" s="202"/>
      <c r="D300" s="27">
        <v>1025</v>
      </c>
      <c r="E300" s="27">
        <f>DEMANDA_PREVISIÓN!E1029</f>
        <v>34</v>
      </c>
      <c r="F300" s="50"/>
      <c r="G300" s="27">
        <f t="shared" ref="G300:G306" si="23">G299-E300</f>
        <v>3571</v>
      </c>
      <c r="H300" s="56">
        <v>400</v>
      </c>
      <c r="I300" s="56">
        <v>400</v>
      </c>
      <c r="J300" s="50"/>
      <c r="K300" s="56">
        <v>50</v>
      </c>
      <c r="L300" s="202"/>
    </row>
    <row r="301" spans="2:12" ht="15.75">
      <c r="B301" s="208"/>
      <c r="C301" s="202"/>
      <c r="D301" s="27">
        <v>1026</v>
      </c>
      <c r="E301" s="27">
        <f>DEMANDA_PREVISIÓN!E1030</f>
        <v>35</v>
      </c>
      <c r="F301" s="50"/>
      <c r="G301" s="27">
        <f t="shared" si="23"/>
        <v>3536</v>
      </c>
      <c r="H301" s="56">
        <v>400</v>
      </c>
      <c r="I301" s="57">
        <v>400</v>
      </c>
      <c r="J301" s="50"/>
      <c r="K301" s="57">
        <v>50</v>
      </c>
      <c r="L301" s="202"/>
    </row>
    <row r="302" spans="2:12" ht="15.75">
      <c r="B302" s="208"/>
      <c r="C302" s="202"/>
      <c r="D302" s="27">
        <v>1027</v>
      </c>
      <c r="E302" s="27">
        <f>DEMANDA_PREVISIÓN!E1031</f>
        <v>39</v>
      </c>
      <c r="F302" s="50"/>
      <c r="G302" s="27">
        <f t="shared" si="23"/>
        <v>3497</v>
      </c>
      <c r="H302" s="56">
        <v>400</v>
      </c>
      <c r="I302" s="57">
        <v>400</v>
      </c>
      <c r="J302" s="50"/>
      <c r="K302" s="57">
        <v>50</v>
      </c>
      <c r="L302" s="202"/>
    </row>
    <row r="303" spans="2:12" ht="15.75">
      <c r="B303" s="208"/>
      <c r="C303" s="202"/>
      <c r="D303" s="27">
        <v>1028</v>
      </c>
      <c r="E303" s="27">
        <f>DEMANDA_PREVISIÓN!E1032</f>
        <v>37</v>
      </c>
      <c r="F303" s="50"/>
      <c r="G303" s="27">
        <f t="shared" si="23"/>
        <v>3460</v>
      </c>
      <c r="H303" s="56">
        <v>400</v>
      </c>
      <c r="I303" s="57">
        <v>400</v>
      </c>
      <c r="J303" s="50"/>
      <c r="K303" s="57">
        <v>50</v>
      </c>
      <c r="L303" s="202"/>
    </row>
    <row r="304" spans="2:12" ht="15.75">
      <c r="B304" s="208"/>
      <c r="C304" s="202"/>
      <c r="D304" s="27">
        <v>1029</v>
      </c>
      <c r="E304" s="27">
        <f>DEMANDA_PREVISIÓN!E1033</f>
        <v>36</v>
      </c>
      <c r="F304" s="50"/>
      <c r="G304" s="27">
        <f t="shared" si="23"/>
        <v>3424</v>
      </c>
      <c r="H304" s="56">
        <v>400</v>
      </c>
      <c r="I304" s="57">
        <v>400</v>
      </c>
      <c r="J304" s="50"/>
      <c r="K304" s="57">
        <v>50</v>
      </c>
      <c r="L304" s="202"/>
    </row>
    <row r="305" spans="2:12" ht="15.75">
      <c r="B305" s="208"/>
      <c r="C305" s="202"/>
      <c r="D305" s="27">
        <v>1030</v>
      </c>
      <c r="E305" s="27">
        <f>DEMANDA_PREVISIÓN!E1034</f>
        <v>33</v>
      </c>
      <c r="F305" s="50"/>
      <c r="G305" s="27">
        <f t="shared" si="23"/>
        <v>3391</v>
      </c>
      <c r="H305" s="56">
        <v>400</v>
      </c>
      <c r="I305" s="57">
        <v>400</v>
      </c>
      <c r="J305" s="50"/>
      <c r="K305" s="57">
        <v>50</v>
      </c>
      <c r="L305" s="202"/>
    </row>
    <row r="306" spans="2:12" ht="15.75">
      <c r="B306" s="208"/>
      <c r="C306" s="202"/>
      <c r="D306" s="27">
        <v>1031</v>
      </c>
      <c r="E306" s="27">
        <f>DEMANDA_PREVISIÓN!E1035</f>
        <v>32</v>
      </c>
      <c r="F306" s="50"/>
      <c r="G306" s="27">
        <f t="shared" si="23"/>
        <v>3359</v>
      </c>
      <c r="H306" s="56">
        <v>400</v>
      </c>
      <c r="I306" s="57">
        <v>400</v>
      </c>
      <c r="J306" s="50"/>
      <c r="K306" s="57">
        <v>50</v>
      </c>
      <c r="L306" s="202"/>
    </row>
    <row r="307" spans="2:12" ht="15.75">
      <c r="B307" s="208"/>
      <c r="C307" s="202"/>
      <c r="D307" s="27">
        <v>1032</v>
      </c>
      <c r="E307" s="27">
        <f>DEMANDA_PREVISIÓN!E1036</f>
        <v>34</v>
      </c>
      <c r="F307" s="50"/>
      <c r="G307" s="56">
        <f>H306+G306</f>
        <v>3759</v>
      </c>
      <c r="H307" s="27"/>
      <c r="I307" s="57">
        <v>400</v>
      </c>
      <c r="J307" s="50"/>
      <c r="K307" s="57">
        <v>50</v>
      </c>
      <c r="L307" s="202"/>
    </row>
    <row r="308" spans="2:12" ht="15.75">
      <c r="B308" s="208"/>
      <c r="C308" s="202"/>
      <c r="D308" s="27">
        <v>1033</v>
      </c>
      <c r="E308" s="27">
        <f>DEMANDA_PREVISIÓN!E1037</f>
        <v>34</v>
      </c>
      <c r="F308" s="50"/>
      <c r="G308" s="27">
        <f>G307-E308</f>
        <v>3725</v>
      </c>
      <c r="H308" s="57">
        <v>400</v>
      </c>
      <c r="I308" s="57">
        <v>400</v>
      </c>
      <c r="J308" s="50"/>
      <c r="K308" s="57">
        <v>50</v>
      </c>
      <c r="L308" s="202"/>
    </row>
    <row r="309" spans="2:12" ht="15.75">
      <c r="B309" s="208"/>
      <c r="C309" s="202"/>
      <c r="D309" s="27">
        <v>1034</v>
      </c>
      <c r="E309" s="27">
        <f>DEMANDA_PREVISIÓN!E1038</f>
        <v>30</v>
      </c>
      <c r="F309" s="50"/>
      <c r="G309" s="27">
        <f>G308-E309</f>
        <v>3695</v>
      </c>
      <c r="H309" s="57">
        <v>400</v>
      </c>
      <c r="I309" s="58">
        <v>400</v>
      </c>
      <c r="J309" s="50"/>
      <c r="K309" s="58">
        <v>50</v>
      </c>
      <c r="L309" s="202"/>
    </row>
    <row r="310" spans="2:12" ht="15.75">
      <c r="B310" s="208"/>
      <c r="C310" s="202"/>
      <c r="D310" s="27">
        <v>1035</v>
      </c>
      <c r="E310" s="27">
        <f>DEMANDA_PREVISIÓN!E1039</f>
        <v>25</v>
      </c>
      <c r="F310" s="50"/>
      <c r="G310" s="27">
        <f>G309-E310</f>
        <v>3670</v>
      </c>
      <c r="H310" s="57">
        <v>400</v>
      </c>
      <c r="I310" s="58">
        <v>400</v>
      </c>
      <c r="J310" s="50"/>
      <c r="K310" s="58">
        <v>50</v>
      </c>
      <c r="L310" s="202"/>
    </row>
    <row r="311" spans="2:12" ht="15.75">
      <c r="B311" s="208"/>
      <c r="C311" s="202"/>
      <c r="D311" s="27">
        <v>1036</v>
      </c>
      <c r="E311" s="27">
        <f>DEMANDA_PREVISIÓN!E1040</f>
        <v>36</v>
      </c>
      <c r="F311" s="50"/>
      <c r="G311" s="27">
        <f>G310-E311</f>
        <v>3634</v>
      </c>
      <c r="H311" s="57">
        <v>400</v>
      </c>
      <c r="I311" s="58">
        <v>400</v>
      </c>
      <c r="J311" s="50"/>
      <c r="K311" s="58">
        <v>50</v>
      </c>
      <c r="L311" s="202"/>
    </row>
    <row r="312" spans="2:12" ht="15.75">
      <c r="B312" s="208"/>
      <c r="C312" s="202"/>
      <c r="D312" s="27">
        <v>1037</v>
      </c>
      <c r="E312" s="27">
        <f>DEMANDA_PREVISIÓN!E1041</f>
        <v>35</v>
      </c>
      <c r="F312" s="50"/>
      <c r="G312" s="27">
        <f t="shared" ref="G312:G314" si="24">G311-E312</f>
        <v>3599</v>
      </c>
      <c r="H312" s="57">
        <v>400</v>
      </c>
      <c r="I312" s="58">
        <v>400</v>
      </c>
      <c r="J312" s="50"/>
      <c r="K312" s="58">
        <v>50</v>
      </c>
      <c r="L312" s="202"/>
    </row>
    <row r="313" spans="2:12" ht="15.75">
      <c r="B313" s="208"/>
      <c r="C313" s="202"/>
      <c r="D313" s="27">
        <v>1038</v>
      </c>
      <c r="E313" s="27">
        <f>DEMANDA_PREVISIÓN!E1042</f>
        <v>35</v>
      </c>
      <c r="F313" s="50"/>
      <c r="G313" s="27">
        <f t="shared" si="24"/>
        <v>3564</v>
      </c>
      <c r="H313" s="57">
        <v>400</v>
      </c>
      <c r="I313" s="58">
        <v>400</v>
      </c>
      <c r="J313" s="50"/>
      <c r="K313" s="58">
        <v>50</v>
      </c>
      <c r="L313" s="202"/>
    </row>
    <row r="314" spans="2:12" ht="15.75">
      <c r="B314" s="208"/>
      <c r="C314" s="202"/>
      <c r="D314" s="27">
        <v>1039</v>
      </c>
      <c r="E314" s="27">
        <f>DEMANDA_PREVISIÓN!E1043</f>
        <v>39</v>
      </c>
      <c r="F314" s="50"/>
      <c r="G314" s="27">
        <f t="shared" si="24"/>
        <v>3525</v>
      </c>
      <c r="H314" s="57">
        <v>400</v>
      </c>
      <c r="I314" s="58">
        <v>400</v>
      </c>
      <c r="J314" s="50"/>
      <c r="K314" s="58">
        <v>50</v>
      </c>
      <c r="L314" s="202"/>
    </row>
    <row r="315" spans="2:12" ht="15.75">
      <c r="B315" s="208"/>
      <c r="C315" s="202"/>
      <c r="D315" s="27">
        <v>1040</v>
      </c>
      <c r="E315" s="27">
        <f>DEMANDA_PREVISIÓN!E1044</f>
        <v>24</v>
      </c>
      <c r="F315" s="50"/>
      <c r="G315" s="57">
        <f>H314+G314</f>
        <v>3925</v>
      </c>
      <c r="I315" s="58">
        <v>400</v>
      </c>
      <c r="J315" s="47"/>
      <c r="K315" s="58">
        <v>50</v>
      </c>
      <c r="L315" s="202"/>
    </row>
    <row r="316" spans="2:12" ht="15.75">
      <c r="B316" s="208"/>
      <c r="C316" s="202"/>
      <c r="D316" s="27">
        <v>1041</v>
      </c>
      <c r="E316" s="27">
        <f>DEMANDA_PREVISIÓN!E1045</f>
        <v>29</v>
      </c>
      <c r="F316" s="50"/>
      <c r="G316" s="27">
        <f t="shared" ref="G316:G322" si="25">G315-E316</f>
        <v>3896</v>
      </c>
      <c r="H316" s="58">
        <v>400</v>
      </c>
      <c r="I316" s="58">
        <v>400</v>
      </c>
      <c r="J316" s="50"/>
      <c r="K316" s="58">
        <v>50</v>
      </c>
      <c r="L316" s="202"/>
    </row>
    <row r="317" spans="2:12" ht="15.75">
      <c r="B317" s="208"/>
      <c r="C317" s="203"/>
      <c r="D317" s="27">
        <v>1042</v>
      </c>
      <c r="E317" s="27">
        <f>DEMANDA_PREVISIÓN!E1046</f>
        <v>43</v>
      </c>
      <c r="F317" s="50"/>
      <c r="G317" s="27">
        <f t="shared" si="25"/>
        <v>3853</v>
      </c>
      <c r="H317" s="58">
        <v>400</v>
      </c>
      <c r="I317" s="68">
        <v>400</v>
      </c>
      <c r="J317" s="50"/>
      <c r="K317" s="68">
        <v>50</v>
      </c>
      <c r="L317" s="203"/>
    </row>
    <row r="318" spans="2:12" ht="15.75">
      <c r="B318" s="208"/>
      <c r="C318" s="201">
        <v>12</v>
      </c>
      <c r="D318" s="27">
        <v>1043</v>
      </c>
      <c r="E318" s="27">
        <f>DEMANDA_PREVISIÓN!E1047</f>
        <v>30</v>
      </c>
      <c r="F318" s="50"/>
      <c r="G318" s="27">
        <f t="shared" si="25"/>
        <v>3823</v>
      </c>
      <c r="H318" s="58">
        <v>400</v>
      </c>
      <c r="I318" s="68">
        <v>400</v>
      </c>
      <c r="J318" s="50"/>
      <c r="K318" s="68">
        <v>50</v>
      </c>
      <c r="L318" s="201"/>
    </row>
    <row r="319" spans="2:12" ht="15.75">
      <c r="B319" s="208"/>
      <c r="C319" s="202"/>
      <c r="D319" s="27">
        <v>1044</v>
      </c>
      <c r="E319" s="27">
        <f>DEMANDA_PREVISIÓN!E1048</f>
        <v>38</v>
      </c>
      <c r="F319" s="50"/>
      <c r="G319" s="27">
        <f t="shared" si="25"/>
        <v>3785</v>
      </c>
      <c r="H319" s="58">
        <v>400</v>
      </c>
      <c r="I319" s="68">
        <v>400</v>
      </c>
      <c r="J319" s="50"/>
      <c r="K319" s="68">
        <v>50</v>
      </c>
      <c r="L319" s="202"/>
    </row>
    <row r="320" spans="2:12" ht="15.75">
      <c r="B320" s="208"/>
      <c r="C320" s="202"/>
      <c r="D320" s="27">
        <v>1045</v>
      </c>
      <c r="E320" s="27">
        <f>DEMANDA_PREVISIÓN!E1049</f>
        <v>39</v>
      </c>
      <c r="F320" s="50"/>
      <c r="G320" s="27">
        <f t="shared" si="25"/>
        <v>3746</v>
      </c>
      <c r="H320" s="58">
        <v>400</v>
      </c>
      <c r="I320" s="68">
        <v>400</v>
      </c>
      <c r="J320" s="50"/>
      <c r="K320" s="68">
        <v>50</v>
      </c>
      <c r="L320" s="202"/>
    </row>
    <row r="321" spans="2:12" ht="15.75">
      <c r="B321" s="208"/>
      <c r="C321" s="202"/>
      <c r="D321" s="27">
        <v>1046</v>
      </c>
      <c r="E321" s="27">
        <f>DEMANDA_PREVISIÓN!E1050</f>
        <v>32</v>
      </c>
      <c r="F321" s="50"/>
      <c r="G321" s="27">
        <f t="shared" si="25"/>
        <v>3714</v>
      </c>
      <c r="H321" s="58">
        <v>400</v>
      </c>
      <c r="I321" s="68">
        <v>400</v>
      </c>
      <c r="J321" s="50"/>
      <c r="K321" s="68">
        <v>50</v>
      </c>
      <c r="L321" s="202"/>
    </row>
    <row r="322" spans="2:12" ht="15.75">
      <c r="B322" s="208"/>
      <c r="C322" s="202"/>
      <c r="D322" s="27">
        <v>1047</v>
      </c>
      <c r="E322" s="27">
        <f>DEMANDA_PREVISIÓN!E1051</f>
        <v>39</v>
      </c>
      <c r="F322" s="50"/>
      <c r="G322" s="27">
        <f t="shared" si="25"/>
        <v>3675</v>
      </c>
      <c r="H322" s="58">
        <v>400</v>
      </c>
      <c r="I322" s="68">
        <v>400</v>
      </c>
      <c r="J322" s="50"/>
      <c r="K322" s="68">
        <v>50</v>
      </c>
      <c r="L322" s="202"/>
    </row>
    <row r="323" spans="2:12" ht="15.75">
      <c r="B323" s="208"/>
      <c r="C323" s="202"/>
      <c r="D323" s="27">
        <v>1048</v>
      </c>
      <c r="E323" s="27">
        <f>DEMANDA_PREVISIÓN!E1052</f>
        <v>49</v>
      </c>
      <c r="F323" s="50"/>
      <c r="G323" s="58">
        <f>H322+G322</f>
        <v>4075</v>
      </c>
      <c r="H323" s="27"/>
      <c r="I323" s="68">
        <v>400</v>
      </c>
      <c r="J323" s="50"/>
      <c r="K323" s="68">
        <v>50</v>
      </c>
      <c r="L323" s="202"/>
    </row>
    <row r="324" spans="2:12" ht="15.75">
      <c r="B324" s="208"/>
      <c r="C324" s="202"/>
      <c r="D324" s="27">
        <v>1049</v>
      </c>
      <c r="E324" s="27">
        <f>DEMANDA_PREVISIÓN!E1053</f>
        <v>41</v>
      </c>
      <c r="F324" s="50"/>
      <c r="G324" s="27">
        <f t="shared" ref="G324:G330" si="26">G323-E324</f>
        <v>4034</v>
      </c>
      <c r="H324" s="68">
        <v>400</v>
      </c>
      <c r="I324" s="68">
        <v>400</v>
      </c>
      <c r="J324" s="50"/>
      <c r="K324" s="68">
        <v>50</v>
      </c>
      <c r="L324" s="202"/>
    </row>
    <row r="325" spans="2:12" ht="15.75">
      <c r="B325" s="208"/>
      <c r="C325" s="202"/>
      <c r="D325" s="27">
        <v>1050</v>
      </c>
      <c r="E325" s="27">
        <f>DEMANDA_PREVISIÓN!E1054</f>
        <v>33</v>
      </c>
      <c r="F325" s="50"/>
      <c r="G325" s="27">
        <f t="shared" si="26"/>
        <v>4001</v>
      </c>
      <c r="H325" s="68">
        <v>400</v>
      </c>
      <c r="I325" s="70">
        <v>400</v>
      </c>
      <c r="J325" s="50"/>
      <c r="K325" s="70">
        <v>50</v>
      </c>
      <c r="L325" s="202"/>
    </row>
    <row r="326" spans="2:12" ht="15.75">
      <c r="B326" s="208"/>
      <c r="C326" s="202"/>
      <c r="D326" s="27">
        <v>1051</v>
      </c>
      <c r="E326" s="27">
        <f>DEMANDA_PREVISIÓN!E1055</f>
        <v>36</v>
      </c>
      <c r="F326" s="50"/>
      <c r="G326" s="27">
        <f t="shared" si="26"/>
        <v>3965</v>
      </c>
      <c r="H326" s="68">
        <v>400</v>
      </c>
      <c r="I326" s="70">
        <v>400</v>
      </c>
      <c r="J326" s="50"/>
      <c r="K326" s="70">
        <v>50</v>
      </c>
      <c r="L326" s="202"/>
    </row>
    <row r="327" spans="2:12" ht="15.75">
      <c r="B327" s="208"/>
      <c r="C327" s="202"/>
      <c r="D327" s="27">
        <v>1052</v>
      </c>
      <c r="E327" s="27">
        <f>DEMANDA_PREVISIÓN!E1056</f>
        <v>37</v>
      </c>
      <c r="F327" s="50"/>
      <c r="G327" s="27">
        <f t="shared" si="26"/>
        <v>3928</v>
      </c>
      <c r="H327" s="68">
        <v>400</v>
      </c>
      <c r="I327" s="70">
        <v>400</v>
      </c>
      <c r="J327" s="50"/>
      <c r="K327" s="70">
        <v>50</v>
      </c>
      <c r="L327" s="202"/>
    </row>
    <row r="328" spans="2:12" ht="15.75">
      <c r="B328" s="208"/>
      <c r="C328" s="202"/>
      <c r="D328" s="27">
        <v>1053</v>
      </c>
      <c r="E328" s="27">
        <f>DEMANDA_PREVISIÓN!E1057</f>
        <v>30</v>
      </c>
      <c r="F328" s="50"/>
      <c r="G328" s="27">
        <f t="shared" si="26"/>
        <v>3898</v>
      </c>
      <c r="H328" s="68">
        <v>400</v>
      </c>
      <c r="I328" s="70">
        <v>400</v>
      </c>
      <c r="J328" s="50"/>
      <c r="K328" s="70">
        <v>50</v>
      </c>
      <c r="L328" s="202"/>
    </row>
    <row r="329" spans="2:12" ht="15.75">
      <c r="B329" s="208"/>
      <c r="C329" s="202"/>
      <c r="D329" s="27">
        <v>1054</v>
      </c>
      <c r="E329" s="27">
        <f>DEMANDA_PREVISIÓN!E1058</f>
        <v>39</v>
      </c>
      <c r="F329" s="50"/>
      <c r="G329" s="27">
        <f t="shared" si="26"/>
        <v>3859</v>
      </c>
      <c r="H329" s="68">
        <v>400</v>
      </c>
      <c r="I329" s="70">
        <v>400</v>
      </c>
      <c r="J329" s="50"/>
      <c r="K329" s="70">
        <v>50</v>
      </c>
      <c r="L329" s="202"/>
    </row>
    <row r="330" spans="2:12" ht="15.75">
      <c r="B330" s="208"/>
      <c r="C330" s="202"/>
      <c r="D330" s="27">
        <v>1055</v>
      </c>
      <c r="E330" s="27">
        <f>DEMANDA_PREVISIÓN!E1059</f>
        <v>32</v>
      </c>
      <c r="F330" s="50"/>
      <c r="G330" s="27">
        <f t="shared" si="26"/>
        <v>3827</v>
      </c>
      <c r="H330" s="68">
        <v>400</v>
      </c>
      <c r="I330" s="70">
        <v>400</v>
      </c>
      <c r="J330" s="50"/>
      <c r="K330" s="70">
        <v>50</v>
      </c>
      <c r="L330" s="202"/>
    </row>
    <row r="331" spans="2:12" ht="15.75">
      <c r="B331" s="208"/>
      <c r="C331" s="202"/>
      <c r="D331" s="27">
        <v>1056</v>
      </c>
      <c r="E331" s="27">
        <f>DEMANDA_PREVISIÓN!E1060</f>
        <v>38</v>
      </c>
      <c r="F331" s="50"/>
      <c r="G331" s="68">
        <f>H330+G330</f>
        <v>4227</v>
      </c>
      <c r="H331" s="27"/>
      <c r="I331" s="70">
        <v>400</v>
      </c>
      <c r="J331" s="50"/>
      <c r="K331" s="70">
        <v>50</v>
      </c>
      <c r="L331" s="202"/>
    </row>
    <row r="332" spans="2:12" ht="15.75">
      <c r="B332" s="208"/>
      <c r="C332" s="202"/>
      <c r="D332" s="27">
        <v>1057</v>
      </c>
      <c r="E332" s="27">
        <f>DEMANDA_PREVISIÓN!E1061</f>
        <v>39</v>
      </c>
      <c r="F332" s="50"/>
      <c r="G332" s="27">
        <f t="shared" ref="G332:G338" si="27">G331-E332</f>
        <v>4188</v>
      </c>
      <c r="H332" s="70">
        <v>400</v>
      </c>
      <c r="I332" s="70">
        <v>400</v>
      </c>
      <c r="J332" s="50"/>
      <c r="K332" s="70">
        <v>50</v>
      </c>
      <c r="L332" s="202"/>
    </row>
    <row r="333" spans="2:12" ht="15.75">
      <c r="B333" s="208"/>
      <c r="C333" s="202"/>
      <c r="D333" s="27">
        <v>1058</v>
      </c>
      <c r="E333" s="27">
        <f>DEMANDA_PREVISIÓN!E1062</f>
        <v>43</v>
      </c>
      <c r="F333" s="50"/>
      <c r="G333" s="27">
        <f t="shared" si="27"/>
        <v>4145</v>
      </c>
      <c r="H333" s="70">
        <v>400</v>
      </c>
      <c r="I333" s="56">
        <v>400</v>
      </c>
      <c r="J333" s="50"/>
      <c r="K333" s="56">
        <v>50</v>
      </c>
      <c r="L333" s="202"/>
    </row>
    <row r="334" spans="2:12" ht="15.75">
      <c r="B334" s="208"/>
      <c r="C334" s="202"/>
      <c r="D334" s="27">
        <v>1059</v>
      </c>
      <c r="E334" s="27">
        <f>DEMANDA_PREVISIÓN!E1063</f>
        <v>35</v>
      </c>
      <c r="F334" s="50"/>
      <c r="G334" s="27">
        <f t="shared" si="27"/>
        <v>4110</v>
      </c>
      <c r="H334" s="70">
        <v>400</v>
      </c>
      <c r="I334" s="56">
        <v>400</v>
      </c>
      <c r="J334" s="50"/>
      <c r="K334" s="56">
        <v>50</v>
      </c>
      <c r="L334" s="202"/>
    </row>
    <row r="335" spans="2:12" ht="15.75">
      <c r="B335" s="208"/>
      <c r="C335" s="202"/>
      <c r="D335" s="27">
        <v>1060</v>
      </c>
      <c r="E335" s="27">
        <f>DEMANDA_PREVISIÓN!E1064</f>
        <v>37</v>
      </c>
      <c r="F335" s="50"/>
      <c r="G335" s="27">
        <f t="shared" si="27"/>
        <v>4073</v>
      </c>
      <c r="H335" s="70">
        <v>400</v>
      </c>
      <c r="I335" s="56">
        <v>400</v>
      </c>
      <c r="J335" s="50"/>
      <c r="K335" s="56">
        <v>50</v>
      </c>
      <c r="L335" s="202"/>
    </row>
    <row r="336" spans="2:12" ht="15.75">
      <c r="B336" s="208"/>
      <c r="C336" s="202"/>
      <c r="D336" s="27">
        <v>1061</v>
      </c>
      <c r="E336" s="27">
        <f>DEMANDA_PREVISIÓN!E1065</f>
        <v>35</v>
      </c>
      <c r="F336" s="50"/>
      <c r="G336" s="27">
        <f t="shared" si="27"/>
        <v>4038</v>
      </c>
      <c r="H336" s="70">
        <v>400</v>
      </c>
      <c r="I336" s="56">
        <v>400</v>
      </c>
      <c r="J336" s="50"/>
      <c r="K336" s="56">
        <v>50</v>
      </c>
      <c r="L336" s="202"/>
    </row>
    <row r="337" spans="2:12" ht="15.75">
      <c r="B337" s="208"/>
      <c r="C337" s="202"/>
      <c r="D337" s="27">
        <v>1062</v>
      </c>
      <c r="E337" s="27">
        <f>DEMANDA_PREVISIÓN!E1066</f>
        <v>30</v>
      </c>
      <c r="F337" s="50"/>
      <c r="G337" s="27">
        <f t="shared" si="27"/>
        <v>4008</v>
      </c>
      <c r="H337" s="70">
        <v>400</v>
      </c>
      <c r="I337" s="56">
        <v>400</v>
      </c>
      <c r="J337" s="50"/>
      <c r="K337" s="56">
        <v>50</v>
      </c>
      <c r="L337" s="202"/>
    </row>
    <row r="338" spans="2:12" ht="15.75">
      <c r="B338" s="208"/>
      <c r="C338" s="202"/>
      <c r="D338" s="27">
        <v>1063</v>
      </c>
      <c r="E338" s="27">
        <f>DEMANDA_PREVISIÓN!E1067</f>
        <v>38</v>
      </c>
      <c r="F338" s="50"/>
      <c r="G338" s="27">
        <f t="shared" si="27"/>
        <v>3970</v>
      </c>
      <c r="H338" s="70">
        <v>400</v>
      </c>
      <c r="I338" s="56">
        <v>400</v>
      </c>
      <c r="J338" s="50"/>
      <c r="K338" s="56">
        <v>50</v>
      </c>
      <c r="L338" s="202"/>
    </row>
    <row r="339" spans="2:12" ht="15.75">
      <c r="B339" s="208"/>
      <c r="C339" s="202"/>
      <c r="D339" s="27">
        <v>1064</v>
      </c>
      <c r="E339" s="27">
        <f>DEMANDA_PREVISIÓN!E1068</f>
        <v>40</v>
      </c>
      <c r="F339" s="50"/>
      <c r="G339" s="70">
        <f>H338+G338</f>
        <v>4370</v>
      </c>
      <c r="H339" s="27"/>
      <c r="I339" s="56">
        <v>400</v>
      </c>
      <c r="J339" s="50"/>
      <c r="K339" s="56">
        <v>50</v>
      </c>
      <c r="L339" s="202"/>
    </row>
    <row r="340" spans="2:12" ht="15.75">
      <c r="B340" s="208"/>
      <c r="C340" s="202"/>
      <c r="D340" s="27">
        <v>1065</v>
      </c>
      <c r="E340" s="27">
        <f>DEMANDA_PREVISIÓN!E1069</f>
        <v>36</v>
      </c>
      <c r="F340" s="50"/>
      <c r="G340" s="27">
        <f t="shared" ref="G340:G346" si="28">G339-E340</f>
        <v>4334</v>
      </c>
      <c r="H340" s="56">
        <v>400</v>
      </c>
      <c r="I340" s="56">
        <v>400</v>
      </c>
      <c r="J340" s="50"/>
      <c r="K340" s="56">
        <v>50</v>
      </c>
      <c r="L340" s="202"/>
    </row>
    <row r="341" spans="2:12" ht="15.75">
      <c r="B341" s="208"/>
      <c r="C341" s="202"/>
      <c r="D341" s="27">
        <v>1066</v>
      </c>
      <c r="E341" s="27">
        <f>DEMANDA_PREVISIÓN!E1070</f>
        <v>31</v>
      </c>
      <c r="F341" s="50"/>
      <c r="G341" s="27">
        <f t="shared" si="28"/>
        <v>4303</v>
      </c>
      <c r="H341" s="56">
        <v>400</v>
      </c>
      <c r="I341" s="57">
        <v>400</v>
      </c>
      <c r="J341" s="50"/>
      <c r="K341" s="57">
        <v>50</v>
      </c>
      <c r="L341" s="202"/>
    </row>
    <row r="342" spans="2:12" ht="15.75">
      <c r="B342" s="208"/>
      <c r="C342" s="202"/>
      <c r="D342" s="27">
        <v>1067</v>
      </c>
      <c r="E342" s="27">
        <f>DEMANDA_PREVISIÓN!E1071</f>
        <v>32</v>
      </c>
      <c r="F342" s="50"/>
      <c r="G342" s="27">
        <f t="shared" si="28"/>
        <v>4271</v>
      </c>
      <c r="H342" s="56">
        <v>400</v>
      </c>
      <c r="I342" s="57">
        <v>400</v>
      </c>
      <c r="J342" s="50"/>
      <c r="K342" s="57">
        <v>50</v>
      </c>
      <c r="L342" s="202"/>
    </row>
    <row r="343" spans="2:12" ht="15.75">
      <c r="B343" s="208"/>
      <c r="C343" s="202"/>
      <c r="D343" s="27">
        <v>1068</v>
      </c>
      <c r="E343" s="27">
        <f>DEMANDA_PREVISIÓN!E1072</f>
        <v>41</v>
      </c>
      <c r="F343" s="50"/>
      <c r="G343" s="27">
        <f t="shared" si="28"/>
        <v>4230</v>
      </c>
      <c r="H343" s="56">
        <v>400</v>
      </c>
      <c r="I343" s="57">
        <v>400</v>
      </c>
      <c r="J343" s="50"/>
      <c r="K343" s="57">
        <v>50</v>
      </c>
      <c r="L343" s="202"/>
    </row>
    <row r="344" spans="2:12" ht="15.75">
      <c r="B344" s="208"/>
      <c r="C344" s="202"/>
      <c r="D344" s="27">
        <v>1069</v>
      </c>
      <c r="E344" s="27">
        <f>DEMANDA_PREVISIÓN!E1073</f>
        <v>46</v>
      </c>
      <c r="F344" s="50"/>
      <c r="G344" s="27">
        <f t="shared" si="28"/>
        <v>4184</v>
      </c>
      <c r="H344" s="56">
        <v>400</v>
      </c>
      <c r="I344" s="57">
        <v>400</v>
      </c>
      <c r="J344" s="50"/>
      <c r="K344" s="57">
        <v>50</v>
      </c>
      <c r="L344" s="202"/>
    </row>
    <row r="345" spans="2:12" ht="15.75">
      <c r="B345" s="208"/>
      <c r="C345" s="202"/>
      <c r="D345" s="27">
        <v>1070</v>
      </c>
      <c r="E345" s="27">
        <f>DEMANDA_PREVISIÓN!E1074</f>
        <v>33</v>
      </c>
      <c r="F345" s="50"/>
      <c r="G345" s="27">
        <f t="shared" si="28"/>
        <v>4151</v>
      </c>
      <c r="H345" s="56">
        <v>400</v>
      </c>
      <c r="I345" s="57">
        <v>400</v>
      </c>
      <c r="J345" s="50"/>
      <c r="K345" s="57">
        <v>50</v>
      </c>
      <c r="L345" s="202"/>
    </row>
    <row r="346" spans="2:12" ht="15.75">
      <c r="B346" s="208"/>
      <c r="C346" s="202"/>
      <c r="D346" s="27">
        <v>1071</v>
      </c>
      <c r="E346" s="27">
        <f>DEMANDA_PREVISIÓN!E1075</f>
        <v>34</v>
      </c>
      <c r="F346" s="50"/>
      <c r="G346" s="27">
        <f t="shared" si="28"/>
        <v>4117</v>
      </c>
      <c r="H346" s="56">
        <v>400</v>
      </c>
      <c r="I346" s="57">
        <v>400</v>
      </c>
      <c r="J346" s="50"/>
      <c r="K346" s="57">
        <v>50</v>
      </c>
      <c r="L346" s="202"/>
    </row>
    <row r="347" spans="2:12" ht="15.75">
      <c r="B347" s="208"/>
      <c r="C347" s="202"/>
      <c r="D347" s="27">
        <v>1072</v>
      </c>
      <c r="E347" s="27">
        <f>DEMANDA_PREVISIÓN!E1076</f>
        <v>33</v>
      </c>
      <c r="F347" s="50"/>
      <c r="G347" s="56">
        <f>H346+G346</f>
        <v>4517</v>
      </c>
      <c r="H347" s="27"/>
      <c r="I347" s="57">
        <v>400</v>
      </c>
      <c r="J347" s="50"/>
      <c r="K347" s="57">
        <v>50</v>
      </c>
      <c r="L347" s="202"/>
    </row>
    <row r="348" spans="2:12" ht="15.75">
      <c r="B348" s="208"/>
      <c r="C348" s="203"/>
      <c r="D348" s="27">
        <v>1073</v>
      </c>
      <c r="E348" s="27">
        <f>DEMANDA_PREVISIÓN!E1077</f>
        <v>38</v>
      </c>
      <c r="F348" s="50"/>
      <c r="G348" s="27">
        <f>G347-E348</f>
        <v>4479</v>
      </c>
      <c r="H348" s="57">
        <v>400</v>
      </c>
      <c r="I348" s="57">
        <v>400</v>
      </c>
      <c r="J348" s="50"/>
      <c r="K348" s="57">
        <v>50</v>
      </c>
      <c r="L348" s="203"/>
    </row>
    <row r="349" spans="2:12" ht="15.75">
      <c r="B349" s="208"/>
      <c r="C349" s="201">
        <v>13</v>
      </c>
      <c r="D349" s="27">
        <v>1074</v>
      </c>
      <c r="E349" s="27">
        <f>DEMANDA_PREVISIÓN!E1078</f>
        <v>40</v>
      </c>
      <c r="F349" s="50"/>
      <c r="G349" s="27">
        <f>G348-E349</f>
        <v>4439</v>
      </c>
      <c r="H349" s="57">
        <v>400</v>
      </c>
      <c r="I349" s="58">
        <v>400</v>
      </c>
      <c r="J349" s="50"/>
      <c r="K349" s="58">
        <v>50</v>
      </c>
      <c r="L349" s="201"/>
    </row>
    <row r="350" spans="2:12" ht="15.75">
      <c r="B350" s="208"/>
      <c r="C350" s="202"/>
      <c r="D350" s="27">
        <v>1075</v>
      </c>
      <c r="E350" s="27">
        <f>DEMANDA_PREVISIÓN!E1079</f>
        <v>40</v>
      </c>
      <c r="F350" s="50"/>
      <c r="G350" s="27">
        <f>G349-E350</f>
        <v>4399</v>
      </c>
      <c r="H350" s="57">
        <v>400</v>
      </c>
      <c r="I350" s="58">
        <v>400</v>
      </c>
      <c r="J350" s="50"/>
      <c r="K350" s="58">
        <v>50</v>
      </c>
      <c r="L350" s="202"/>
    </row>
    <row r="351" spans="2:12" ht="15.75">
      <c r="B351" s="208"/>
      <c r="C351" s="202"/>
      <c r="D351" s="27">
        <v>1076</v>
      </c>
      <c r="E351" s="27">
        <f>DEMANDA_PREVISIÓN!E1080</f>
        <v>41</v>
      </c>
      <c r="F351" s="50"/>
      <c r="G351" s="27">
        <f>G350-E351</f>
        <v>4358</v>
      </c>
      <c r="H351" s="57">
        <v>400</v>
      </c>
      <c r="I351" s="58">
        <v>400</v>
      </c>
      <c r="J351" s="50"/>
      <c r="K351" s="58">
        <v>50</v>
      </c>
      <c r="L351" s="202"/>
    </row>
    <row r="352" spans="2:12" ht="15.75">
      <c r="B352" s="208"/>
      <c r="C352" s="202"/>
      <c r="D352" s="27">
        <v>1077</v>
      </c>
      <c r="E352" s="27">
        <f>DEMANDA_PREVISIÓN!E1081</f>
        <v>38</v>
      </c>
      <c r="F352" s="50"/>
      <c r="G352" s="27">
        <f t="shared" ref="G352:G354" si="29">G351-E352</f>
        <v>4320</v>
      </c>
      <c r="H352" s="57">
        <v>400</v>
      </c>
      <c r="I352" s="58">
        <v>400</v>
      </c>
      <c r="J352" s="50"/>
      <c r="K352" s="58">
        <v>50</v>
      </c>
      <c r="L352" s="202"/>
    </row>
    <row r="353" spans="2:12" ht="15.75">
      <c r="B353" s="208"/>
      <c r="C353" s="202"/>
      <c r="D353" s="27">
        <v>1078</v>
      </c>
      <c r="E353" s="27">
        <f>DEMANDA_PREVISIÓN!E1082</f>
        <v>44</v>
      </c>
      <c r="F353" s="50"/>
      <c r="G353" s="27">
        <f t="shared" si="29"/>
        <v>4276</v>
      </c>
      <c r="H353" s="57">
        <v>400</v>
      </c>
      <c r="I353" s="58">
        <v>400</v>
      </c>
      <c r="J353" s="50"/>
      <c r="K353" s="58">
        <v>50</v>
      </c>
      <c r="L353" s="202"/>
    </row>
    <row r="354" spans="2:12" ht="15.75">
      <c r="B354" s="208"/>
      <c r="C354" s="202"/>
      <c r="D354" s="27">
        <v>1079</v>
      </c>
      <c r="E354" s="27">
        <f>DEMANDA_PREVISIÓN!E1083</f>
        <v>41</v>
      </c>
      <c r="F354" s="50"/>
      <c r="G354" s="27">
        <f t="shared" si="29"/>
        <v>4235</v>
      </c>
      <c r="H354" s="57">
        <v>400</v>
      </c>
      <c r="I354" s="58">
        <v>400</v>
      </c>
      <c r="J354" s="50"/>
      <c r="K354" s="58">
        <v>50</v>
      </c>
      <c r="L354" s="202"/>
    </row>
    <row r="355" spans="2:12" ht="15.75">
      <c r="B355" s="208"/>
      <c r="C355" s="202"/>
      <c r="D355" s="27">
        <v>1080</v>
      </c>
      <c r="E355" s="27">
        <f>DEMANDA_PREVISIÓN!E1084</f>
        <v>36</v>
      </c>
      <c r="F355" s="50"/>
      <c r="G355" s="57">
        <f>H354+G354</f>
        <v>4635</v>
      </c>
      <c r="I355" s="58">
        <v>400</v>
      </c>
      <c r="J355" s="47"/>
      <c r="K355" s="58">
        <v>50</v>
      </c>
      <c r="L355" s="202"/>
    </row>
    <row r="356" spans="2:12" ht="15.75">
      <c r="B356" s="208"/>
      <c r="C356" s="202"/>
      <c r="D356" s="27">
        <v>1081</v>
      </c>
      <c r="E356" s="27">
        <f>DEMANDA_PREVISIÓN!E1085</f>
        <v>40</v>
      </c>
      <c r="F356" s="50"/>
      <c r="G356" s="27">
        <f t="shared" ref="G356:G362" si="30">G355-E356</f>
        <v>4595</v>
      </c>
      <c r="H356" s="58">
        <v>400</v>
      </c>
      <c r="I356" s="58">
        <v>400</v>
      </c>
      <c r="J356" s="50"/>
      <c r="K356" s="58">
        <v>50</v>
      </c>
      <c r="L356" s="202"/>
    </row>
    <row r="357" spans="2:12" ht="15.75">
      <c r="B357" s="208"/>
      <c r="C357" s="202"/>
      <c r="D357" s="27">
        <v>1082</v>
      </c>
      <c r="E357" s="27">
        <f>DEMANDA_PREVISIÓN!E1086</f>
        <v>39</v>
      </c>
      <c r="F357" s="50"/>
      <c r="G357" s="27">
        <f t="shared" si="30"/>
        <v>4556</v>
      </c>
      <c r="H357" s="58">
        <v>400</v>
      </c>
      <c r="I357" s="68">
        <v>400</v>
      </c>
      <c r="J357" s="50"/>
      <c r="K357" s="68">
        <v>50</v>
      </c>
      <c r="L357" s="202"/>
    </row>
    <row r="358" spans="2:12" ht="15.75">
      <c r="B358" s="208"/>
      <c r="C358" s="202"/>
      <c r="D358" s="27">
        <v>1083</v>
      </c>
      <c r="E358" s="27">
        <f>DEMANDA_PREVISIÓN!E1087</f>
        <v>33</v>
      </c>
      <c r="F358" s="50"/>
      <c r="G358" s="27">
        <f t="shared" si="30"/>
        <v>4523</v>
      </c>
      <c r="H358" s="58">
        <v>400</v>
      </c>
      <c r="I358" s="68">
        <v>400</v>
      </c>
      <c r="J358" s="50"/>
      <c r="K358" s="68">
        <v>50</v>
      </c>
      <c r="L358" s="202"/>
    </row>
    <row r="359" spans="2:12" ht="15.75">
      <c r="B359" s="208"/>
      <c r="C359" s="202"/>
      <c r="D359" s="27">
        <v>1084</v>
      </c>
      <c r="E359" s="27">
        <f>DEMANDA_PREVISIÓN!E1088</f>
        <v>36</v>
      </c>
      <c r="F359" s="50"/>
      <c r="G359" s="27">
        <f t="shared" si="30"/>
        <v>4487</v>
      </c>
      <c r="H359" s="58">
        <v>400</v>
      </c>
      <c r="I359" s="68">
        <v>400</v>
      </c>
      <c r="J359" s="50"/>
      <c r="K359" s="68">
        <v>50</v>
      </c>
      <c r="L359" s="202"/>
    </row>
    <row r="360" spans="2:12" ht="15.75">
      <c r="B360" s="208"/>
      <c r="C360" s="202"/>
      <c r="D360" s="27">
        <v>1085</v>
      </c>
      <c r="E360" s="27">
        <f>DEMANDA_PREVISIÓN!E1089</f>
        <v>36</v>
      </c>
      <c r="F360" s="50"/>
      <c r="G360" s="27">
        <f t="shared" si="30"/>
        <v>4451</v>
      </c>
      <c r="H360" s="58">
        <v>400</v>
      </c>
      <c r="I360" s="68">
        <v>400</v>
      </c>
      <c r="J360" s="50"/>
      <c r="K360" s="68">
        <v>50</v>
      </c>
      <c r="L360" s="202"/>
    </row>
    <row r="361" spans="2:12" ht="15.75">
      <c r="B361" s="208"/>
      <c r="C361" s="202"/>
      <c r="D361" s="27">
        <v>1086</v>
      </c>
      <c r="E361" s="27">
        <f>DEMANDA_PREVISIÓN!E1090</f>
        <v>35</v>
      </c>
      <c r="F361" s="50"/>
      <c r="G361" s="27">
        <f t="shared" si="30"/>
        <v>4416</v>
      </c>
      <c r="H361" s="58">
        <v>400</v>
      </c>
      <c r="I361" s="68">
        <v>400</v>
      </c>
      <c r="J361" s="50"/>
      <c r="K361" s="68">
        <v>50</v>
      </c>
      <c r="L361" s="202"/>
    </row>
    <row r="362" spans="2:12" ht="15.75">
      <c r="B362" s="208"/>
      <c r="C362" s="202"/>
      <c r="D362" s="27">
        <v>1087</v>
      </c>
      <c r="E362" s="27">
        <f>DEMANDA_PREVISIÓN!E1091</f>
        <v>31</v>
      </c>
      <c r="F362" s="50"/>
      <c r="G362" s="27">
        <f t="shared" si="30"/>
        <v>4385</v>
      </c>
      <c r="H362" s="58">
        <v>400</v>
      </c>
      <c r="I362" s="68">
        <v>400</v>
      </c>
      <c r="J362" s="50"/>
      <c r="K362" s="68">
        <v>50</v>
      </c>
      <c r="L362" s="202"/>
    </row>
    <row r="363" spans="2:12" ht="15.75">
      <c r="B363" s="208"/>
      <c r="C363" s="202"/>
      <c r="D363" s="27">
        <v>1088</v>
      </c>
      <c r="E363" s="27">
        <f>DEMANDA_PREVISIÓN!E1092</f>
        <v>32</v>
      </c>
      <c r="F363" s="50"/>
      <c r="G363" s="58">
        <f>H362+G362</f>
        <v>4785</v>
      </c>
      <c r="H363" s="27"/>
      <c r="I363" s="68">
        <v>400</v>
      </c>
      <c r="J363" s="50"/>
      <c r="K363" s="68">
        <v>50</v>
      </c>
      <c r="L363" s="202"/>
    </row>
    <row r="364" spans="2:12" ht="15.75">
      <c r="B364" s="208"/>
      <c r="C364" s="202"/>
      <c r="D364" s="27">
        <v>1089</v>
      </c>
      <c r="E364" s="27">
        <f>DEMANDA_PREVISIÓN!E1093</f>
        <v>37</v>
      </c>
      <c r="F364" s="50"/>
      <c r="G364" s="27">
        <f t="shared" ref="G364:G370" si="31">G363-E364</f>
        <v>4748</v>
      </c>
      <c r="H364" s="68">
        <v>400</v>
      </c>
      <c r="I364" s="68">
        <v>400</v>
      </c>
      <c r="J364" s="50"/>
      <c r="K364" s="68">
        <v>50</v>
      </c>
      <c r="L364" s="202"/>
    </row>
    <row r="365" spans="2:12" ht="15.75">
      <c r="B365" s="208"/>
      <c r="C365" s="202"/>
      <c r="D365" s="27">
        <v>1090</v>
      </c>
      <c r="E365" s="27">
        <f>DEMANDA_PREVISIÓN!E1094</f>
        <v>37</v>
      </c>
      <c r="F365" s="50"/>
      <c r="G365" s="27">
        <f t="shared" si="31"/>
        <v>4711</v>
      </c>
      <c r="H365" s="68">
        <v>400</v>
      </c>
      <c r="I365" s="70">
        <v>400</v>
      </c>
      <c r="J365" s="50"/>
      <c r="K365" s="70">
        <v>50</v>
      </c>
      <c r="L365" s="202"/>
    </row>
    <row r="366" spans="2:12" ht="15.75">
      <c r="B366" s="208"/>
      <c r="C366" s="202"/>
      <c r="D366" s="27">
        <v>1091</v>
      </c>
      <c r="E366" s="27">
        <f>DEMANDA_PREVISIÓN!E1095</f>
        <v>36</v>
      </c>
      <c r="F366" s="50"/>
      <c r="G366" s="27">
        <f t="shared" si="31"/>
        <v>4675</v>
      </c>
      <c r="H366" s="68">
        <v>400</v>
      </c>
      <c r="I366" s="70">
        <v>400</v>
      </c>
      <c r="J366" s="50"/>
      <c r="K366" s="70">
        <v>50</v>
      </c>
      <c r="L366" s="202"/>
    </row>
    <row r="367" spans="2:12" ht="15.75">
      <c r="B367" s="208"/>
      <c r="C367" s="202"/>
      <c r="D367" s="39">
        <v>1092</v>
      </c>
      <c r="E367" s="39">
        <f>DEMANDA_PREVISIÓN!E1096</f>
        <v>32</v>
      </c>
      <c r="F367" s="39"/>
      <c r="G367" s="39">
        <f t="shared" si="31"/>
        <v>4643</v>
      </c>
      <c r="H367" s="68">
        <v>400</v>
      </c>
      <c r="I367" s="70">
        <v>400</v>
      </c>
      <c r="J367" s="50"/>
      <c r="K367" s="70">
        <v>50</v>
      </c>
      <c r="L367" s="202"/>
    </row>
    <row r="368" spans="2:12" ht="15.75">
      <c r="B368" s="208"/>
      <c r="C368" s="202"/>
      <c r="D368" s="27">
        <v>1093</v>
      </c>
      <c r="E368" s="27">
        <f>DEMANDA_PREVISIÓN!E1097</f>
        <v>34</v>
      </c>
      <c r="F368" s="50"/>
      <c r="G368" s="27">
        <f t="shared" si="31"/>
        <v>4609</v>
      </c>
      <c r="H368" s="68">
        <v>400</v>
      </c>
      <c r="I368" s="70">
        <v>400</v>
      </c>
      <c r="J368" s="50"/>
      <c r="K368" s="70">
        <v>50</v>
      </c>
      <c r="L368" s="202"/>
    </row>
    <row r="369" spans="2:12" ht="15.75">
      <c r="B369" s="207" t="s">
        <v>13</v>
      </c>
      <c r="C369" s="202"/>
      <c r="D369" s="27">
        <v>1094</v>
      </c>
      <c r="E369" s="27">
        <f>DEMANDA_PREVISIÓN!E1098</f>
        <v>38</v>
      </c>
      <c r="F369" s="50"/>
      <c r="G369" s="27">
        <f t="shared" si="31"/>
        <v>4571</v>
      </c>
      <c r="H369" s="68">
        <v>400</v>
      </c>
      <c r="I369" s="70">
        <v>400</v>
      </c>
      <c r="J369" s="50"/>
      <c r="K369" s="70">
        <v>50</v>
      </c>
      <c r="L369" s="202"/>
    </row>
    <row r="370" spans="2:12" ht="15.75">
      <c r="B370" s="207"/>
      <c r="C370" s="202"/>
      <c r="D370" s="27">
        <v>1095</v>
      </c>
      <c r="E370" s="27">
        <f>DEMANDA_PREVISIÓN!E1099</f>
        <v>27</v>
      </c>
      <c r="F370" s="50"/>
      <c r="G370" s="27">
        <f t="shared" si="31"/>
        <v>4544</v>
      </c>
      <c r="H370" s="68">
        <v>400</v>
      </c>
      <c r="I370" s="70">
        <v>400</v>
      </c>
      <c r="J370" s="50"/>
      <c r="K370" s="70">
        <v>50</v>
      </c>
      <c r="L370" s="202"/>
    </row>
    <row r="371" spans="2:12" ht="15.75">
      <c r="B371" s="207"/>
      <c r="C371" s="202"/>
      <c r="D371" s="27">
        <v>1096</v>
      </c>
      <c r="E371" s="27">
        <f>DEMANDA_PREVISIÓN!E1100</f>
        <v>45</v>
      </c>
      <c r="F371" s="50"/>
      <c r="G371" s="68">
        <f>H370+G370</f>
        <v>4944</v>
      </c>
      <c r="H371" s="27"/>
      <c r="I371" s="70">
        <v>400</v>
      </c>
      <c r="J371" s="50"/>
      <c r="K371" s="70">
        <v>50</v>
      </c>
      <c r="L371" s="202"/>
    </row>
    <row r="372" spans="2:12" ht="15.75">
      <c r="B372" s="207"/>
      <c r="C372" s="202"/>
      <c r="D372" s="27">
        <v>1097</v>
      </c>
      <c r="E372" s="27">
        <f>DEMANDA_PREVISIÓN!E1101</f>
        <v>42</v>
      </c>
      <c r="F372" s="50"/>
      <c r="G372" s="27">
        <f t="shared" ref="G372:G378" si="32">G371-E372</f>
        <v>4902</v>
      </c>
      <c r="H372" s="70">
        <v>400</v>
      </c>
      <c r="I372" s="70">
        <v>400</v>
      </c>
      <c r="J372" s="50"/>
      <c r="K372" s="70">
        <v>50</v>
      </c>
      <c r="L372" s="202"/>
    </row>
    <row r="373" spans="2:12" ht="15.75">
      <c r="B373" s="207"/>
      <c r="C373" s="202"/>
      <c r="D373" s="27">
        <v>1098</v>
      </c>
      <c r="E373" s="27">
        <f>DEMANDA_PREVISIÓN!E1102</f>
        <v>42</v>
      </c>
      <c r="F373" s="50"/>
      <c r="G373" s="27">
        <f t="shared" si="32"/>
        <v>4860</v>
      </c>
      <c r="H373" s="70">
        <v>400</v>
      </c>
      <c r="I373" s="56">
        <v>400</v>
      </c>
      <c r="J373" s="50"/>
      <c r="K373" s="56">
        <v>50</v>
      </c>
      <c r="L373" s="202"/>
    </row>
    <row r="374" spans="2:12" ht="15.75">
      <c r="B374" s="207"/>
      <c r="C374" s="202"/>
      <c r="D374" s="27">
        <v>1099</v>
      </c>
      <c r="E374" s="27">
        <f>DEMANDA_PREVISIÓN!E1103</f>
        <v>55</v>
      </c>
      <c r="F374" s="50"/>
      <c r="G374" s="27">
        <f t="shared" si="32"/>
        <v>4805</v>
      </c>
      <c r="H374" s="70">
        <v>400</v>
      </c>
      <c r="I374" s="56">
        <v>400</v>
      </c>
      <c r="J374" s="50"/>
      <c r="K374" s="56">
        <v>50</v>
      </c>
      <c r="L374" s="202"/>
    </row>
    <row r="375" spans="2:12" ht="15.75">
      <c r="B375" s="207"/>
      <c r="C375" s="202"/>
      <c r="D375" s="27">
        <v>1100</v>
      </c>
      <c r="E375" s="27">
        <f>DEMANDA_PREVISIÓN!E1104</f>
        <v>41</v>
      </c>
      <c r="F375" s="50"/>
      <c r="G375" s="27">
        <f t="shared" si="32"/>
        <v>4764</v>
      </c>
      <c r="H375" s="70">
        <v>400</v>
      </c>
      <c r="I375" s="56">
        <v>400</v>
      </c>
      <c r="J375" s="50"/>
      <c r="K375" s="56">
        <v>50</v>
      </c>
      <c r="L375" s="202"/>
    </row>
    <row r="376" spans="2:12" ht="15.75">
      <c r="B376" s="207"/>
      <c r="C376" s="202"/>
      <c r="D376" s="27">
        <v>1101</v>
      </c>
      <c r="E376" s="27">
        <f>DEMANDA_PREVISIÓN!E1105</f>
        <v>47</v>
      </c>
      <c r="F376" s="50"/>
      <c r="G376" s="27">
        <f t="shared" si="32"/>
        <v>4717</v>
      </c>
      <c r="H376" s="70">
        <v>400</v>
      </c>
      <c r="I376" s="56">
        <v>400</v>
      </c>
      <c r="J376" s="50"/>
      <c r="K376" s="56">
        <v>50</v>
      </c>
      <c r="L376" s="202"/>
    </row>
    <row r="377" spans="2:12" ht="15.75">
      <c r="B377" s="207"/>
      <c r="C377" s="202"/>
      <c r="D377" s="27">
        <v>1102</v>
      </c>
      <c r="E377" s="27">
        <f>DEMANDA_PREVISIÓN!E1106</f>
        <v>34</v>
      </c>
      <c r="F377" s="50"/>
      <c r="G377" s="27">
        <f t="shared" si="32"/>
        <v>4683</v>
      </c>
      <c r="H377" s="70">
        <v>400</v>
      </c>
      <c r="I377" s="56">
        <v>400</v>
      </c>
      <c r="J377" s="50"/>
      <c r="K377" s="56">
        <v>50</v>
      </c>
      <c r="L377" s="202"/>
    </row>
    <row r="378" spans="2:12" ht="15.75">
      <c r="B378" s="207"/>
      <c r="C378" s="202"/>
      <c r="D378" s="27">
        <v>1103</v>
      </c>
      <c r="E378" s="27">
        <f>DEMANDA_PREVISIÓN!E1107</f>
        <v>47</v>
      </c>
      <c r="F378" s="50"/>
      <c r="G378" s="27">
        <f t="shared" si="32"/>
        <v>4636</v>
      </c>
      <c r="H378" s="70">
        <v>400</v>
      </c>
      <c r="I378" s="56">
        <v>400</v>
      </c>
      <c r="J378" s="50"/>
      <c r="K378" s="56">
        <v>50</v>
      </c>
      <c r="L378" s="202"/>
    </row>
    <row r="379" spans="2:12" ht="15.75">
      <c r="B379" s="207"/>
      <c r="C379" s="203"/>
      <c r="D379" s="27">
        <v>1104</v>
      </c>
      <c r="E379" s="27">
        <f>DEMANDA_PREVISIÓN!E1108</f>
        <v>38</v>
      </c>
      <c r="F379" s="50"/>
      <c r="G379" s="70">
        <f>H378+G378</f>
        <v>5036</v>
      </c>
      <c r="H379" s="27"/>
      <c r="I379" s="56">
        <v>400</v>
      </c>
      <c r="J379" s="50"/>
      <c r="K379" s="56">
        <v>50</v>
      </c>
      <c r="L379" s="203"/>
    </row>
    <row r="380" spans="2:12" ht="15.75">
      <c r="B380" s="207"/>
      <c r="C380" s="201">
        <v>14</v>
      </c>
      <c r="D380" s="27">
        <v>1105</v>
      </c>
      <c r="E380" s="27">
        <f>DEMANDA_PREVISIÓN!E1109</f>
        <v>35</v>
      </c>
      <c r="F380" s="50"/>
      <c r="G380" s="27">
        <f t="shared" ref="G380:G386" si="33">G379-E380</f>
        <v>5001</v>
      </c>
      <c r="H380" s="56">
        <v>400</v>
      </c>
      <c r="I380" s="56">
        <v>400</v>
      </c>
      <c r="J380" s="50"/>
      <c r="K380" s="56">
        <v>50</v>
      </c>
      <c r="L380" s="201"/>
    </row>
    <row r="381" spans="2:12" ht="15.75">
      <c r="B381" s="207"/>
      <c r="C381" s="202"/>
      <c r="D381" s="27">
        <v>1106</v>
      </c>
      <c r="E381" s="27">
        <f>DEMANDA_PREVISIÓN!E1110</f>
        <v>37</v>
      </c>
      <c r="F381" s="50"/>
      <c r="G381" s="27">
        <f t="shared" si="33"/>
        <v>4964</v>
      </c>
      <c r="H381" s="56">
        <v>400</v>
      </c>
      <c r="I381" s="57">
        <v>400</v>
      </c>
      <c r="J381" s="50"/>
      <c r="K381" s="57">
        <v>50</v>
      </c>
      <c r="L381" s="202"/>
    </row>
    <row r="382" spans="2:12" ht="15.75">
      <c r="B382" s="207"/>
      <c r="C382" s="202"/>
      <c r="D382" s="27">
        <v>1107</v>
      </c>
      <c r="E382" s="27">
        <f>DEMANDA_PREVISIÓN!E1111</f>
        <v>32</v>
      </c>
      <c r="F382" s="50"/>
      <c r="G382" s="27">
        <f t="shared" si="33"/>
        <v>4932</v>
      </c>
      <c r="H382" s="56">
        <v>400</v>
      </c>
      <c r="I382" s="57">
        <v>400</v>
      </c>
      <c r="J382" s="50"/>
      <c r="K382" s="57">
        <v>50</v>
      </c>
      <c r="L382" s="202"/>
    </row>
    <row r="383" spans="2:12" ht="15.75">
      <c r="B383" s="207"/>
      <c r="C383" s="202"/>
      <c r="D383" s="27">
        <v>1108</v>
      </c>
      <c r="E383" s="27">
        <f>DEMANDA_PREVISIÓN!E1112</f>
        <v>47</v>
      </c>
      <c r="F383" s="50"/>
      <c r="G383" s="27">
        <f t="shared" si="33"/>
        <v>4885</v>
      </c>
      <c r="H383" s="56">
        <v>400</v>
      </c>
      <c r="I383" s="57">
        <v>400</v>
      </c>
      <c r="J383" s="50"/>
      <c r="K383" s="57">
        <v>50</v>
      </c>
      <c r="L383" s="202"/>
    </row>
    <row r="384" spans="2:12" ht="15.75">
      <c r="B384" s="207"/>
      <c r="C384" s="202"/>
      <c r="D384" s="27">
        <v>1109</v>
      </c>
      <c r="E384" s="27">
        <f>DEMANDA_PREVISIÓN!E1113</f>
        <v>47</v>
      </c>
      <c r="F384" s="50"/>
      <c r="G384" s="27">
        <f t="shared" si="33"/>
        <v>4838</v>
      </c>
      <c r="H384" s="56">
        <v>400</v>
      </c>
      <c r="I384" s="57">
        <v>400</v>
      </c>
      <c r="J384" s="50"/>
      <c r="K384" s="57">
        <v>50</v>
      </c>
      <c r="L384" s="202"/>
    </row>
    <row r="385" spans="2:15" ht="15.75">
      <c r="B385" s="207"/>
      <c r="C385" s="202"/>
      <c r="D385" s="27">
        <v>1110</v>
      </c>
      <c r="E385" s="27">
        <f>DEMANDA_PREVISIÓN!E1114</f>
        <v>35</v>
      </c>
      <c r="F385" s="50"/>
      <c r="G385" s="27">
        <f t="shared" si="33"/>
        <v>4803</v>
      </c>
      <c r="H385" s="56">
        <v>400</v>
      </c>
      <c r="I385" s="57">
        <v>400</v>
      </c>
      <c r="J385" s="50"/>
      <c r="K385" s="57">
        <v>50</v>
      </c>
      <c r="L385" s="202"/>
    </row>
    <row r="386" spans="2:15" ht="15.75">
      <c r="B386" s="207"/>
      <c r="C386" s="202"/>
      <c r="D386" s="27">
        <v>1111</v>
      </c>
      <c r="E386" s="27">
        <f>DEMANDA_PREVISIÓN!E1115</f>
        <v>42</v>
      </c>
      <c r="F386" s="50"/>
      <c r="G386" s="27">
        <f t="shared" si="33"/>
        <v>4761</v>
      </c>
      <c r="H386" s="56">
        <v>400</v>
      </c>
      <c r="I386" s="57">
        <v>400</v>
      </c>
      <c r="J386" s="50"/>
      <c r="K386" s="57">
        <v>50</v>
      </c>
      <c r="L386" s="202"/>
    </row>
    <row r="387" spans="2:15" ht="15.75">
      <c r="B387" s="207"/>
      <c r="C387" s="202"/>
      <c r="D387" s="27">
        <v>1112</v>
      </c>
      <c r="E387" s="27">
        <f>DEMANDA_PREVISIÓN!E1116</f>
        <v>41</v>
      </c>
      <c r="F387" s="50"/>
      <c r="G387" s="56">
        <f>H386+G386</f>
        <v>5161</v>
      </c>
      <c r="H387" s="27"/>
      <c r="I387" s="57">
        <v>400</v>
      </c>
      <c r="J387" s="50"/>
      <c r="K387" s="57">
        <v>50</v>
      </c>
      <c r="L387" s="202"/>
    </row>
    <row r="388" spans="2:15" ht="15.75">
      <c r="B388" s="207"/>
      <c r="C388" s="202"/>
      <c r="D388" s="27">
        <v>1113</v>
      </c>
      <c r="E388" s="27">
        <f>DEMANDA_PREVISIÓN!E1117</f>
        <v>28</v>
      </c>
      <c r="F388" s="50"/>
      <c r="G388" s="27">
        <f>G387-E388</f>
        <v>5133</v>
      </c>
      <c r="H388" s="57">
        <v>400</v>
      </c>
      <c r="I388" s="57">
        <v>400</v>
      </c>
      <c r="J388" s="50"/>
      <c r="K388" s="57">
        <v>50</v>
      </c>
      <c r="L388" s="202"/>
    </row>
    <row r="389" spans="2:15" ht="15.75">
      <c r="B389" s="207"/>
      <c r="C389" s="202"/>
      <c r="D389" s="27">
        <v>1114</v>
      </c>
      <c r="E389" s="27">
        <f>DEMANDA_PREVISIÓN!E1118</f>
        <v>42</v>
      </c>
      <c r="F389" s="50"/>
      <c r="G389" s="27">
        <f>G388-E389</f>
        <v>5091</v>
      </c>
      <c r="H389" s="57">
        <v>400</v>
      </c>
      <c r="I389" s="58">
        <v>400</v>
      </c>
      <c r="J389" s="50"/>
      <c r="K389" s="58">
        <v>50</v>
      </c>
      <c r="L389" s="202"/>
    </row>
    <row r="390" spans="2:15" ht="15.75">
      <c r="B390" s="207"/>
      <c r="C390" s="202"/>
      <c r="D390" s="27">
        <v>1115</v>
      </c>
      <c r="E390" s="27">
        <f>DEMANDA_PREVISIÓN!E1119</f>
        <v>33</v>
      </c>
      <c r="F390" s="50"/>
      <c r="G390" s="27">
        <f>G389-E390</f>
        <v>5058</v>
      </c>
      <c r="H390" s="57">
        <v>400</v>
      </c>
      <c r="I390" s="58">
        <v>400</v>
      </c>
      <c r="J390" s="50"/>
      <c r="K390" s="58">
        <v>50</v>
      </c>
      <c r="L390" s="202"/>
    </row>
    <row r="391" spans="2:15" ht="15.75">
      <c r="B391" s="207"/>
      <c r="C391" s="202"/>
      <c r="D391" s="27">
        <v>1116</v>
      </c>
      <c r="E391" s="27">
        <f>DEMANDA_PREVISIÓN!E1120</f>
        <v>48</v>
      </c>
      <c r="F391" s="50"/>
      <c r="G391" s="27">
        <f>G390-E391</f>
        <v>5010</v>
      </c>
      <c r="H391" s="57">
        <v>400</v>
      </c>
      <c r="I391" s="58">
        <v>400</v>
      </c>
      <c r="J391" s="50"/>
      <c r="K391" s="58">
        <v>50</v>
      </c>
      <c r="L391" s="202"/>
    </row>
    <row r="392" spans="2:15" ht="15.75">
      <c r="B392" s="207"/>
      <c r="C392" s="202"/>
      <c r="D392" s="27">
        <v>1117</v>
      </c>
      <c r="E392" s="27">
        <f>DEMANDA_PREVISIÓN!E1121</f>
        <v>31</v>
      </c>
      <c r="F392" s="50"/>
      <c r="G392" s="27">
        <f t="shared" ref="G392:G394" si="34">G391-E392</f>
        <v>4979</v>
      </c>
      <c r="H392" s="57">
        <v>400</v>
      </c>
      <c r="I392" s="58">
        <v>400</v>
      </c>
      <c r="J392" s="50"/>
      <c r="K392" s="58">
        <v>50</v>
      </c>
      <c r="L392" s="202"/>
    </row>
    <row r="393" spans="2:15" ht="15.75">
      <c r="B393" s="207"/>
      <c r="C393" s="202"/>
      <c r="D393" s="27">
        <v>1118</v>
      </c>
      <c r="E393" s="27">
        <f>DEMANDA_PREVISIÓN!E1122</f>
        <v>48</v>
      </c>
      <c r="F393" s="50"/>
      <c r="G393" s="27">
        <f t="shared" si="34"/>
        <v>4931</v>
      </c>
      <c r="H393" s="57">
        <v>400</v>
      </c>
      <c r="I393" s="58">
        <v>400</v>
      </c>
      <c r="J393" s="50"/>
      <c r="K393" s="58">
        <v>50</v>
      </c>
      <c r="L393" s="202"/>
    </row>
    <row r="394" spans="2:15" ht="15.75">
      <c r="B394" s="207"/>
      <c r="C394" s="202"/>
      <c r="D394" s="27">
        <v>1119</v>
      </c>
      <c r="E394" s="27">
        <f>DEMANDA_PREVISIÓN!E1123</f>
        <v>50</v>
      </c>
      <c r="F394" s="50"/>
      <c r="G394" s="27">
        <f t="shared" si="34"/>
        <v>4881</v>
      </c>
      <c r="H394" s="57">
        <v>400</v>
      </c>
      <c r="I394" s="58">
        <v>400</v>
      </c>
      <c r="J394" s="50"/>
      <c r="K394" s="58">
        <v>50</v>
      </c>
      <c r="L394" s="202"/>
    </row>
    <row r="395" spans="2:15" ht="15.75">
      <c r="B395" s="207"/>
      <c r="C395" s="202"/>
      <c r="D395" s="27">
        <v>1120</v>
      </c>
      <c r="E395" s="27">
        <f>DEMANDA_PREVISIÓN!E1124</f>
        <v>39</v>
      </c>
      <c r="F395" s="50"/>
      <c r="G395" s="57">
        <f>H394+G394</f>
        <v>5281</v>
      </c>
      <c r="I395" s="58">
        <v>400</v>
      </c>
      <c r="J395" s="47"/>
      <c r="K395" s="58">
        <v>50</v>
      </c>
      <c r="L395" s="202"/>
    </row>
    <row r="396" spans="2:15" ht="15.75">
      <c r="B396" s="207"/>
      <c r="C396" s="202"/>
      <c r="D396" s="27">
        <v>1121</v>
      </c>
      <c r="E396" s="27">
        <f>DEMANDA_PREVISIÓN!E1125</f>
        <v>32</v>
      </c>
      <c r="F396" s="50"/>
      <c r="G396" s="27">
        <f t="shared" ref="G396:G402" si="35">G395-E396</f>
        <v>5249</v>
      </c>
      <c r="H396" s="58">
        <v>400</v>
      </c>
      <c r="I396" s="58">
        <v>400</v>
      </c>
      <c r="J396" s="50"/>
      <c r="K396" s="58">
        <v>50</v>
      </c>
      <c r="L396" s="202"/>
    </row>
    <row r="397" spans="2:15" ht="15.75">
      <c r="B397" s="207"/>
      <c r="C397" s="202"/>
      <c r="D397" s="27">
        <v>1122</v>
      </c>
      <c r="E397" s="27">
        <f>DEMANDA_PREVISIÓN!E1126</f>
        <v>42</v>
      </c>
      <c r="F397" s="50"/>
      <c r="G397" s="27">
        <f t="shared" si="35"/>
        <v>5207</v>
      </c>
      <c r="H397" s="58">
        <v>400</v>
      </c>
      <c r="I397" s="68">
        <v>400</v>
      </c>
      <c r="J397" s="50"/>
      <c r="K397" s="68">
        <v>50</v>
      </c>
      <c r="L397" s="202"/>
    </row>
    <row r="398" spans="2:15" ht="15.75">
      <c r="B398" s="207"/>
      <c r="C398" s="202"/>
      <c r="D398" s="27">
        <v>1123</v>
      </c>
      <c r="E398" s="27">
        <f>DEMANDA_PREVISIÓN!E1127</f>
        <v>45</v>
      </c>
      <c r="F398" s="50"/>
      <c r="G398" s="27">
        <f t="shared" si="35"/>
        <v>5162</v>
      </c>
      <c r="H398" s="58">
        <v>400</v>
      </c>
      <c r="I398" s="68">
        <v>400</v>
      </c>
      <c r="J398" s="50"/>
      <c r="K398" s="68">
        <v>50</v>
      </c>
      <c r="L398" s="202"/>
    </row>
    <row r="399" spans="2:15" ht="15.75">
      <c r="B399" s="207"/>
      <c r="C399" s="202"/>
      <c r="D399" s="27">
        <v>1124</v>
      </c>
      <c r="E399" s="27">
        <f>DEMANDA_PREVISIÓN!E1128</f>
        <v>35</v>
      </c>
      <c r="F399" s="50"/>
      <c r="G399" s="27">
        <f t="shared" si="35"/>
        <v>5127</v>
      </c>
      <c r="H399" s="58">
        <v>400</v>
      </c>
      <c r="I399" s="68">
        <v>400</v>
      </c>
      <c r="J399" s="50"/>
      <c r="K399" s="68">
        <v>50</v>
      </c>
      <c r="L399" s="202"/>
    </row>
    <row r="400" spans="2:15" ht="15.75">
      <c r="B400" s="207"/>
      <c r="C400" s="202"/>
      <c r="D400" s="27">
        <v>1125</v>
      </c>
      <c r="E400" s="27">
        <f>DEMANDA_PREVISIÓN!E1129</f>
        <v>35</v>
      </c>
      <c r="F400" s="50"/>
      <c r="G400" s="27">
        <f t="shared" si="35"/>
        <v>5092</v>
      </c>
      <c r="H400" s="58">
        <v>400</v>
      </c>
      <c r="I400" s="68">
        <v>400</v>
      </c>
      <c r="J400" s="50"/>
      <c r="K400" s="68">
        <v>50</v>
      </c>
      <c r="L400" s="202"/>
      <c r="O400" s="18">
        <v>800</v>
      </c>
    </row>
    <row r="401" spans="2:16" ht="15.75">
      <c r="B401" s="207"/>
      <c r="C401" s="202"/>
      <c r="D401" s="27">
        <v>1126</v>
      </c>
      <c r="E401" s="27">
        <f>DEMANDA_PREVISIÓN!E1130</f>
        <v>50</v>
      </c>
      <c r="F401" s="50"/>
      <c r="G401" s="27">
        <f t="shared" si="35"/>
        <v>5042</v>
      </c>
      <c r="H401" s="58">
        <v>400</v>
      </c>
      <c r="I401" s="68">
        <v>400</v>
      </c>
      <c r="J401" s="50"/>
      <c r="K401" s="68">
        <v>50</v>
      </c>
      <c r="L401" s="202"/>
    </row>
    <row r="402" spans="2:16" ht="15.75">
      <c r="B402" s="207"/>
      <c r="C402" s="202"/>
      <c r="D402" s="27">
        <v>1127</v>
      </c>
      <c r="E402" s="27">
        <f>DEMANDA_PREVISIÓN!E1131</f>
        <v>42</v>
      </c>
      <c r="F402" s="50"/>
      <c r="G402" s="27">
        <f t="shared" si="35"/>
        <v>5000</v>
      </c>
      <c r="H402" s="58">
        <v>400</v>
      </c>
      <c r="I402" s="68">
        <v>400</v>
      </c>
      <c r="J402" s="50"/>
      <c r="K402" s="68">
        <v>50</v>
      </c>
      <c r="L402" s="202"/>
    </row>
    <row r="403" spans="2:16" ht="15.75">
      <c r="B403" s="207"/>
      <c r="C403" s="202"/>
      <c r="D403" s="27">
        <v>1128</v>
      </c>
      <c r="E403" s="27">
        <f>DEMANDA_PREVISIÓN!E1132</f>
        <v>41</v>
      </c>
      <c r="F403" s="50"/>
      <c r="G403" s="58">
        <f>H402+G402</f>
        <v>5400</v>
      </c>
      <c r="H403" s="27"/>
      <c r="I403" s="68">
        <v>400</v>
      </c>
      <c r="J403" s="50"/>
      <c r="K403" s="68">
        <v>50</v>
      </c>
      <c r="L403" s="202"/>
    </row>
    <row r="404" spans="2:16" ht="15.75">
      <c r="B404" s="207"/>
      <c r="C404" s="202"/>
      <c r="D404" s="27">
        <v>1129</v>
      </c>
      <c r="E404" s="27">
        <f>DEMANDA_PREVISIÓN!E1133</f>
        <v>47</v>
      </c>
      <c r="F404" s="50"/>
      <c r="G404" s="27">
        <f t="shared" ref="G404:G410" si="36">G403-E404</f>
        <v>5353</v>
      </c>
      <c r="H404" s="68">
        <v>400</v>
      </c>
      <c r="I404" s="68">
        <v>400</v>
      </c>
      <c r="J404" s="50"/>
      <c r="K404" s="68">
        <v>50</v>
      </c>
      <c r="L404" s="202"/>
    </row>
    <row r="405" spans="2:16" ht="15.75">
      <c r="B405" s="207"/>
      <c r="C405" s="202"/>
      <c r="D405" s="27">
        <v>1130</v>
      </c>
      <c r="E405" s="27">
        <f>DEMANDA_PREVISIÓN!E1134</f>
        <v>32</v>
      </c>
      <c r="F405" s="50"/>
      <c r="G405" s="27">
        <f t="shared" si="36"/>
        <v>5321</v>
      </c>
      <c r="H405" s="68">
        <v>400</v>
      </c>
      <c r="I405" s="70">
        <v>400</v>
      </c>
      <c r="J405" s="50"/>
      <c r="K405" s="70">
        <v>50</v>
      </c>
      <c r="L405" s="202"/>
    </row>
    <row r="406" spans="2:16" ht="15.75">
      <c r="B406" s="207"/>
      <c r="C406" s="202"/>
      <c r="D406" s="27">
        <v>1131</v>
      </c>
      <c r="E406" s="27">
        <f>DEMANDA_PREVISIÓN!E1135</f>
        <v>39</v>
      </c>
      <c r="F406" s="50"/>
      <c r="G406" s="27">
        <f t="shared" si="36"/>
        <v>5282</v>
      </c>
      <c r="H406" s="68">
        <v>400</v>
      </c>
      <c r="I406" s="70">
        <v>400</v>
      </c>
      <c r="J406" s="50"/>
      <c r="K406" s="70">
        <v>50</v>
      </c>
      <c r="L406" s="202"/>
    </row>
    <row r="407" spans="2:16" ht="15.75">
      <c r="B407" s="207"/>
      <c r="C407" s="202"/>
      <c r="D407" s="27">
        <v>1132</v>
      </c>
      <c r="E407" s="27">
        <f>DEMANDA_PREVISIÓN!E1136</f>
        <v>39</v>
      </c>
      <c r="F407" s="50"/>
      <c r="G407" s="27">
        <f t="shared" si="36"/>
        <v>5243</v>
      </c>
      <c r="H407" s="68">
        <v>400</v>
      </c>
      <c r="I407" s="70">
        <v>400</v>
      </c>
      <c r="J407" s="50"/>
      <c r="K407" s="70">
        <v>50</v>
      </c>
      <c r="L407" s="202"/>
    </row>
    <row r="408" spans="2:16" ht="15.75">
      <c r="B408" s="207"/>
      <c r="C408" s="202"/>
      <c r="D408" s="27">
        <v>1133</v>
      </c>
      <c r="E408" s="27">
        <f>DEMANDA_PREVISIÓN!E1137</f>
        <v>41</v>
      </c>
      <c r="F408" s="50"/>
      <c r="G408" s="27">
        <f t="shared" si="36"/>
        <v>5202</v>
      </c>
      <c r="H408" s="68">
        <v>400</v>
      </c>
      <c r="I408" s="70">
        <v>400</v>
      </c>
      <c r="J408" s="50"/>
      <c r="K408" s="70">
        <v>50</v>
      </c>
      <c r="L408" s="202"/>
    </row>
    <row r="409" spans="2:16" ht="15.75">
      <c r="B409" s="207"/>
      <c r="C409" s="202"/>
      <c r="D409" s="27">
        <v>1134</v>
      </c>
      <c r="E409" s="27">
        <f>DEMANDA_PREVISIÓN!E1138</f>
        <v>49</v>
      </c>
      <c r="F409" s="50"/>
      <c r="G409" s="27">
        <f t="shared" si="36"/>
        <v>5153</v>
      </c>
      <c r="H409" s="68">
        <v>400</v>
      </c>
      <c r="I409" s="70">
        <v>400</v>
      </c>
      <c r="J409" s="50"/>
      <c r="K409" s="70">
        <v>50</v>
      </c>
      <c r="L409" s="202"/>
    </row>
    <row r="410" spans="2:16" ht="15.75">
      <c r="B410" s="207"/>
      <c r="C410" s="203"/>
      <c r="D410" s="27">
        <v>1135</v>
      </c>
      <c r="E410" s="27">
        <f>DEMANDA_PREVISIÓN!E1139</f>
        <v>39</v>
      </c>
      <c r="F410" s="50"/>
      <c r="G410" s="27">
        <f t="shared" si="36"/>
        <v>5114</v>
      </c>
      <c r="H410" s="68">
        <v>400</v>
      </c>
      <c r="I410" s="70">
        <v>400</v>
      </c>
      <c r="J410" s="50"/>
      <c r="K410" s="70">
        <v>50</v>
      </c>
      <c r="L410" s="203"/>
    </row>
    <row r="411" spans="2:16" ht="15.75">
      <c r="B411" s="207"/>
      <c r="C411" s="201">
        <v>15</v>
      </c>
      <c r="D411" s="27">
        <v>1136</v>
      </c>
      <c r="E411" s="27">
        <f>DEMANDA_PREVISIÓN!E1140</f>
        <v>43</v>
      </c>
      <c r="F411" s="50"/>
      <c r="G411" s="68">
        <f>H410+G410</f>
        <v>5514</v>
      </c>
      <c r="H411" s="27"/>
      <c r="I411" s="70">
        <v>400</v>
      </c>
      <c r="J411" s="50"/>
      <c r="K411" s="70">
        <v>50</v>
      </c>
      <c r="L411" s="201"/>
      <c r="N411" s="18">
        <v>3000</v>
      </c>
      <c r="O411" s="18">
        <f>30*50</f>
        <v>1500</v>
      </c>
      <c r="P411" s="18">
        <f>N411+O411</f>
        <v>4500</v>
      </c>
    </row>
    <row r="412" spans="2:16" ht="15.75">
      <c r="B412" s="207"/>
      <c r="C412" s="202"/>
      <c r="D412" s="27">
        <v>1137</v>
      </c>
      <c r="E412" s="27">
        <f>DEMANDA_PREVISIÓN!E1141</f>
        <v>44</v>
      </c>
      <c r="F412" s="50"/>
      <c r="G412" s="27">
        <f t="shared" ref="G412:G418" si="37">G411-E412</f>
        <v>5470</v>
      </c>
      <c r="H412" s="70">
        <v>400</v>
      </c>
      <c r="I412" s="70">
        <v>400</v>
      </c>
      <c r="J412" s="50"/>
      <c r="K412" s="70">
        <v>50</v>
      </c>
      <c r="L412" s="202"/>
    </row>
    <row r="413" spans="2:16" ht="15.75">
      <c r="B413" s="207"/>
      <c r="C413" s="202"/>
      <c r="D413" s="27">
        <v>1138</v>
      </c>
      <c r="E413" s="27">
        <f>DEMANDA_PREVISIÓN!E1142</f>
        <v>49</v>
      </c>
      <c r="F413" s="50"/>
      <c r="G413" s="27">
        <f t="shared" si="37"/>
        <v>5421</v>
      </c>
      <c r="H413" s="70">
        <v>400</v>
      </c>
      <c r="I413" s="56">
        <v>400</v>
      </c>
      <c r="J413" s="50"/>
      <c r="K413" s="56">
        <v>50</v>
      </c>
      <c r="L413" s="202"/>
    </row>
    <row r="414" spans="2:16" ht="15.75">
      <c r="B414" s="207"/>
      <c r="C414" s="202"/>
      <c r="D414" s="27">
        <v>1139</v>
      </c>
      <c r="E414" s="27">
        <f>DEMANDA_PREVISIÓN!E1143</f>
        <v>46</v>
      </c>
      <c r="F414" s="50"/>
      <c r="G414" s="27">
        <f t="shared" si="37"/>
        <v>5375</v>
      </c>
      <c r="H414" s="70">
        <v>400</v>
      </c>
      <c r="I414" s="56">
        <v>400</v>
      </c>
      <c r="J414" s="50"/>
      <c r="K414" s="56">
        <v>50</v>
      </c>
      <c r="L414" s="202"/>
    </row>
    <row r="415" spans="2:16" ht="15.75">
      <c r="B415" s="207"/>
      <c r="C415" s="202"/>
      <c r="D415" s="27">
        <v>1140</v>
      </c>
      <c r="E415" s="27">
        <f>DEMANDA_PREVISIÓN!E1144</f>
        <v>53</v>
      </c>
      <c r="F415" s="50"/>
      <c r="G415" s="27">
        <f t="shared" si="37"/>
        <v>5322</v>
      </c>
      <c r="H415" s="70">
        <v>400</v>
      </c>
      <c r="I415" s="56">
        <v>400</v>
      </c>
      <c r="J415" s="50"/>
      <c r="K415" s="56">
        <v>50</v>
      </c>
      <c r="L415" s="202"/>
    </row>
    <row r="416" spans="2:16" ht="15.75">
      <c r="B416" s="207"/>
      <c r="C416" s="202"/>
      <c r="D416" s="27">
        <v>1141</v>
      </c>
      <c r="E416" s="27">
        <f>DEMANDA_PREVISIÓN!E1145</f>
        <v>28</v>
      </c>
      <c r="F416" s="50"/>
      <c r="G416" s="27">
        <f t="shared" si="37"/>
        <v>5294</v>
      </c>
      <c r="H416" s="70">
        <v>400</v>
      </c>
      <c r="I416" s="56">
        <v>400</v>
      </c>
      <c r="J416" s="50"/>
      <c r="K416" s="56">
        <v>50</v>
      </c>
      <c r="L416" s="202"/>
    </row>
    <row r="417" spans="2:12" ht="15.75">
      <c r="B417" s="207"/>
      <c r="C417" s="202"/>
      <c r="D417" s="27">
        <v>1142</v>
      </c>
      <c r="E417" s="27">
        <f>DEMANDA_PREVISIÓN!E1146</f>
        <v>39</v>
      </c>
      <c r="F417" s="50"/>
      <c r="G417" s="27">
        <f t="shared" si="37"/>
        <v>5255</v>
      </c>
      <c r="H417" s="70">
        <v>400</v>
      </c>
      <c r="I417" s="56">
        <v>400</v>
      </c>
      <c r="J417" s="50"/>
      <c r="K417" s="56">
        <v>50</v>
      </c>
      <c r="L417" s="202"/>
    </row>
    <row r="418" spans="2:12" ht="15.75">
      <c r="B418" s="207"/>
      <c r="C418" s="202"/>
      <c r="D418" s="27">
        <v>1143</v>
      </c>
      <c r="E418" s="27">
        <f>DEMANDA_PREVISIÓN!E1147</f>
        <v>41</v>
      </c>
      <c r="F418" s="50"/>
      <c r="G418" s="27">
        <f t="shared" si="37"/>
        <v>5214</v>
      </c>
      <c r="H418" s="70">
        <v>400</v>
      </c>
      <c r="I418" s="56">
        <v>400</v>
      </c>
      <c r="J418" s="50"/>
      <c r="K418" s="56">
        <v>50</v>
      </c>
      <c r="L418" s="202"/>
    </row>
    <row r="419" spans="2:12" ht="15.75">
      <c r="B419" s="207"/>
      <c r="C419" s="202"/>
      <c r="D419" s="27">
        <v>1144</v>
      </c>
      <c r="E419" s="27">
        <f>DEMANDA_PREVISIÓN!E1148</f>
        <v>39</v>
      </c>
      <c r="F419" s="50"/>
      <c r="G419" s="70">
        <f>H418+G418</f>
        <v>5614</v>
      </c>
      <c r="H419" s="27"/>
      <c r="I419" s="56">
        <v>400</v>
      </c>
      <c r="J419" s="50"/>
      <c r="K419" s="56">
        <v>50</v>
      </c>
      <c r="L419" s="202"/>
    </row>
    <row r="420" spans="2:12" ht="15.75">
      <c r="B420" s="207"/>
      <c r="C420" s="202"/>
      <c r="D420" s="27">
        <v>1145</v>
      </c>
      <c r="E420" s="27">
        <f>DEMANDA_PREVISIÓN!E1149</f>
        <v>40</v>
      </c>
      <c r="F420" s="50"/>
      <c r="G420" s="27">
        <f t="shared" ref="G420:G426" si="38">G419-E420</f>
        <v>5574</v>
      </c>
      <c r="H420" s="56">
        <v>400</v>
      </c>
      <c r="I420" s="56">
        <v>400</v>
      </c>
      <c r="J420" s="50"/>
      <c r="K420" s="56">
        <v>50</v>
      </c>
      <c r="L420" s="202"/>
    </row>
    <row r="421" spans="2:12" ht="15.75">
      <c r="B421" s="207"/>
      <c r="C421" s="202"/>
      <c r="D421" s="27">
        <v>1146</v>
      </c>
      <c r="E421" s="27">
        <f>DEMANDA_PREVISIÓN!E1150</f>
        <v>37</v>
      </c>
      <c r="F421" s="50"/>
      <c r="G421" s="27">
        <f t="shared" si="38"/>
        <v>5537</v>
      </c>
      <c r="H421" s="56">
        <v>400</v>
      </c>
      <c r="I421" s="57">
        <v>400</v>
      </c>
      <c r="J421" s="50"/>
      <c r="K421" s="57">
        <v>50</v>
      </c>
      <c r="L421" s="202"/>
    </row>
    <row r="422" spans="2:12" ht="15.75">
      <c r="B422" s="207"/>
      <c r="C422" s="202"/>
      <c r="D422" s="27">
        <v>1147</v>
      </c>
      <c r="E422" s="27">
        <f>DEMANDA_PREVISIÓN!E1151</f>
        <v>45</v>
      </c>
      <c r="F422" s="50"/>
      <c r="G422" s="27">
        <f t="shared" si="38"/>
        <v>5492</v>
      </c>
      <c r="H422" s="56">
        <v>400</v>
      </c>
      <c r="I422" s="57">
        <v>400</v>
      </c>
      <c r="J422" s="50"/>
      <c r="K422" s="57">
        <v>50</v>
      </c>
      <c r="L422" s="202"/>
    </row>
    <row r="423" spans="2:12" ht="15.75">
      <c r="B423" s="207"/>
      <c r="C423" s="202"/>
      <c r="D423" s="27">
        <v>1148</v>
      </c>
      <c r="E423" s="27">
        <f>DEMANDA_PREVISIÓN!E1152</f>
        <v>39</v>
      </c>
      <c r="F423" s="50"/>
      <c r="G423" s="27">
        <f t="shared" si="38"/>
        <v>5453</v>
      </c>
      <c r="H423" s="56">
        <v>400</v>
      </c>
      <c r="I423" s="57">
        <v>400</v>
      </c>
      <c r="J423" s="50"/>
      <c r="K423" s="57">
        <v>50</v>
      </c>
      <c r="L423" s="202"/>
    </row>
    <row r="424" spans="2:12" ht="15.75">
      <c r="B424" s="207"/>
      <c r="C424" s="202"/>
      <c r="D424" s="27">
        <v>1149</v>
      </c>
      <c r="E424" s="27">
        <f>DEMANDA_PREVISIÓN!E1153</f>
        <v>37</v>
      </c>
      <c r="F424" s="50"/>
      <c r="G424" s="27">
        <f t="shared" si="38"/>
        <v>5416</v>
      </c>
      <c r="H424" s="56">
        <v>400</v>
      </c>
      <c r="I424" s="57">
        <v>400</v>
      </c>
      <c r="J424" s="50"/>
      <c r="K424" s="57">
        <v>50</v>
      </c>
      <c r="L424" s="202"/>
    </row>
    <row r="425" spans="2:12" ht="15.75">
      <c r="B425" s="207"/>
      <c r="C425" s="202"/>
      <c r="D425" s="27">
        <v>1150</v>
      </c>
      <c r="E425" s="27">
        <f>DEMANDA_PREVISIÓN!E1154</f>
        <v>51</v>
      </c>
      <c r="F425" s="50"/>
      <c r="G425" s="27">
        <f t="shared" si="38"/>
        <v>5365</v>
      </c>
      <c r="H425" s="56">
        <v>400</v>
      </c>
      <c r="I425" s="57">
        <v>400</v>
      </c>
      <c r="J425" s="50"/>
      <c r="K425" s="57">
        <v>50</v>
      </c>
      <c r="L425" s="202"/>
    </row>
    <row r="426" spans="2:12" ht="15.75">
      <c r="B426" s="207"/>
      <c r="C426" s="202"/>
      <c r="D426" s="27">
        <v>1151</v>
      </c>
      <c r="E426" s="27">
        <f>DEMANDA_PREVISIÓN!E1155</f>
        <v>45</v>
      </c>
      <c r="F426" s="50"/>
      <c r="G426" s="27">
        <f t="shared" si="38"/>
        <v>5320</v>
      </c>
      <c r="H426" s="56">
        <v>400</v>
      </c>
      <c r="I426" s="57">
        <v>400</v>
      </c>
      <c r="J426" s="50"/>
      <c r="K426" s="57">
        <v>50</v>
      </c>
      <c r="L426" s="202"/>
    </row>
    <row r="427" spans="2:12" ht="15.75">
      <c r="B427" s="207"/>
      <c r="C427" s="202"/>
      <c r="D427" s="27">
        <v>1152</v>
      </c>
      <c r="E427" s="27">
        <f>DEMANDA_PREVISIÓN!E1156</f>
        <v>36</v>
      </c>
      <c r="F427" s="50"/>
      <c r="G427" s="56">
        <f>H426+G426</f>
        <v>5720</v>
      </c>
      <c r="H427" s="27"/>
      <c r="I427" s="57">
        <v>400</v>
      </c>
      <c r="J427" s="50"/>
      <c r="K427" s="57">
        <v>50</v>
      </c>
      <c r="L427" s="202"/>
    </row>
    <row r="428" spans="2:12" ht="15.75">
      <c r="B428" s="207"/>
      <c r="C428" s="202"/>
      <c r="D428" s="27">
        <v>1153</v>
      </c>
      <c r="E428" s="27">
        <f>DEMANDA_PREVISIÓN!E1157</f>
        <v>41</v>
      </c>
      <c r="F428" s="50"/>
      <c r="G428" s="27">
        <f>G427-E428</f>
        <v>5679</v>
      </c>
      <c r="H428" s="57">
        <v>400</v>
      </c>
      <c r="I428" s="57">
        <v>400</v>
      </c>
      <c r="J428" s="50"/>
      <c r="K428" s="57">
        <v>50</v>
      </c>
      <c r="L428" s="202"/>
    </row>
    <row r="429" spans="2:12" ht="15.75">
      <c r="B429" s="207"/>
      <c r="C429" s="202"/>
      <c r="D429" s="27">
        <v>1154</v>
      </c>
      <c r="E429" s="27">
        <f>DEMANDA_PREVISIÓN!E1158</f>
        <v>43</v>
      </c>
      <c r="F429" s="50"/>
      <c r="G429" s="27">
        <f>G428-E429</f>
        <v>5636</v>
      </c>
      <c r="H429" s="57">
        <v>400</v>
      </c>
      <c r="I429" s="58">
        <v>400</v>
      </c>
      <c r="J429" s="50"/>
      <c r="K429" s="58">
        <v>50</v>
      </c>
      <c r="L429" s="202"/>
    </row>
    <row r="430" spans="2:12" ht="15.75">
      <c r="B430" s="207"/>
      <c r="C430" s="202"/>
      <c r="D430" s="27">
        <v>1155</v>
      </c>
      <c r="E430" s="27">
        <f>DEMANDA_PREVISIÓN!E1159</f>
        <v>39</v>
      </c>
      <c r="F430" s="50"/>
      <c r="G430" s="27">
        <f>G429-E430</f>
        <v>5597</v>
      </c>
      <c r="H430" s="57">
        <v>400</v>
      </c>
      <c r="I430" s="58">
        <v>400</v>
      </c>
      <c r="J430" s="50"/>
      <c r="K430" s="58">
        <v>50</v>
      </c>
      <c r="L430" s="202"/>
    </row>
    <row r="431" spans="2:12" ht="15.75">
      <c r="B431" s="207"/>
      <c r="C431" s="202"/>
      <c r="D431" s="27">
        <v>1156</v>
      </c>
      <c r="E431" s="27">
        <f>DEMANDA_PREVISIÓN!E1160</f>
        <v>38</v>
      </c>
      <c r="F431" s="50"/>
      <c r="G431" s="27">
        <f>G430-E431</f>
        <v>5559</v>
      </c>
      <c r="H431" s="57">
        <v>400</v>
      </c>
      <c r="I431" s="58">
        <v>400</v>
      </c>
      <c r="J431" s="50"/>
      <c r="K431" s="58">
        <v>50</v>
      </c>
      <c r="L431" s="202"/>
    </row>
    <row r="432" spans="2:12" ht="15.75">
      <c r="B432" s="207"/>
      <c r="C432" s="202"/>
      <c r="D432" s="27">
        <v>1157</v>
      </c>
      <c r="E432" s="27">
        <f>DEMANDA_PREVISIÓN!E1161</f>
        <v>36</v>
      </c>
      <c r="F432" s="50"/>
      <c r="G432" s="27">
        <f t="shared" ref="G432:G434" si="39">G431-E432</f>
        <v>5523</v>
      </c>
      <c r="H432" s="57">
        <v>400</v>
      </c>
      <c r="I432" s="58">
        <v>400</v>
      </c>
      <c r="J432" s="50"/>
      <c r="K432" s="58">
        <v>50</v>
      </c>
      <c r="L432" s="202"/>
    </row>
    <row r="433" spans="2:12" ht="15.75">
      <c r="B433" s="207"/>
      <c r="C433" s="202"/>
      <c r="D433" s="27">
        <v>1158</v>
      </c>
      <c r="E433" s="27">
        <f>DEMANDA_PREVISIÓN!E1162</f>
        <v>40</v>
      </c>
      <c r="F433" s="50"/>
      <c r="G433" s="27">
        <f t="shared" si="39"/>
        <v>5483</v>
      </c>
      <c r="H433" s="57">
        <v>400</v>
      </c>
      <c r="I433" s="58">
        <v>400</v>
      </c>
      <c r="J433" s="50"/>
      <c r="K433" s="58">
        <v>50</v>
      </c>
      <c r="L433" s="202"/>
    </row>
    <row r="434" spans="2:12" ht="15.75">
      <c r="B434" s="207"/>
      <c r="C434" s="202"/>
      <c r="D434" s="27">
        <v>1159</v>
      </c>
      <c r="E434" s="27">
        <f>DEMANDA_PREVISIÓN!E1163</f>
        <v>40</v>
      </c>
      <c r="F434" s="50"/>
      <c r="G434" s="27">
        <f t="shared" si="39"/>
        <v>5443</v>
      </c>
      <c r="H434" s="57">
        <v>400</v>
      </c>
      <c r="I434" s="58">
        <v>400</v>
      </c>
      <c r="J434" s="50"/>
      <c r="K434" s="58">
        <v>50</v>
      </c>
      <c r="L434" s="202"/>
    </row>
    <row r="435" spans="2:12" ht="15.75">
      <c r="B435" s="207"/>
      <c r="C435" s="202"/>
      <c r="D435" s="27">
        <v>1160</v>
      </c>
      <c r="E435" s="27">
        <f>DEMANDA_PREVISIÓN!E1164</f>
        <v>45</v>
      </c>
      <c r="F435" s="50"/>
      <c r="G435" s="57">
        <f>H434+G434</f>
        <v>5843</v>
      </c>
      <c r="I435" s="58">
        <v>400</v>
      </c>
      <c r="J435" s="47"/>
      <c r="K435" s="58">
        <v>50</v>
      </c>
      <c r="L435" s="202"/>
    </row>
    <row r="436" spans="2:12" ht="15.75">
      <c r="B436" s="207"/>
      <c r="C436" s="202"/>
      <c r="D436" s="27">
        <v>1161</v>
      </c>
      <c r="E436" s="27">
        <f>DEMANDA_PREVISIÓN!E1165</f>
        <v>34</v>
      </c>
      <c r="F436" s="50"/>
      <c r="G436" s="27">
        <f t="shared" ref="G436:G442" si="40">G435-E436</f>
        <v>5809</v>
      </c>
      <c r="H436" s="58">
        <v>400</v>
      </c>
      <c r="I436" s="58">
        <v>400</v>
      </c>
      <c r="J436" s="50"/>
      <c r="K436" s="58">
        <v>50</v>
      </c>
      <c r="L436" s="202"/>
    </row>
    <row r="437" spans="2:12" ht="15.75">
      <c r="B437" s="207"/>
      <c r="C437" s="202"/>
      <c r="D437" s="27">
        <v>1162</v>
      </c>
      <c r="E437" s="27">
        <f>DEMANDA_PREVISIÓN!E1166</f>
        <v>52</v>
      </c>
      <c r="F437" s="50"/>
      <c r="G437" s="27">
        <f t="shared" si="40"/>
        <v>5757</v>
      </c>
      <c r="H437" s="58">
        <v>400</v>
      </c>
      <c r="I437" s="68">
        <v>400</v>
      </c>
      <c r="J437" s="50"/>
      <c r="K437" s="68">
        <v>50</v>
      </c>
      <c r="L437" s="202"/>
    </row>
    <row r="438" spans="2:12" ht="15.75">
      <c r="B438" s="207"/>
      <c r="C438" s="202"/>
      <c r="D438" s="27">
        <v>1163</v>
      </c>
      <c r="E438" s="27">
        <f>DEMANDA_PREVISIÓN!E1167</f>
        <v>37</v>
      </c>
      <c r="F438" s="50"/>
      <c r="G438" s="27">
        <f t="shared" si="40"/>
        <v>5720</v>
      </c>
      <c r="H438" s="58">
        <v>400</v>
      </c>
      <c r="I438" s="68">
        <v>400</v>
      </c>
      <c r="J438" s="50"/>
      <c r="K438" s="68">
        <v>50</v>
      </c>
      <c r="L438" s="202"/>
    </row>
    <row r="439" spans="2:12" ht="15.75">
      <c r="B439" s="207"/>
      <c r="C439" s="202"/>
      <c r="D439" s="27">
        <v>1164</v>
      </c>
      <c r="E439" s="27">
        <f>DEMANDA_PREVISIÓN!E1168</f>
        <v>38</v>
      </c>
      <c r="F439" s="50"/>
      <c r="G439" s="27">
        <f t="shared" si="40"/>
        <v>5682</v>
      </c>
      <c r="H439" s="58">
        <v>400</v>
      </c>
      <c r="I439" s="68">
        <v>400</v>
      </c>
      <c r="J439" s="50"/>
      <c r="K439" s="68">
        <v>50</v>
      </c>
      <c r="L439" s="202"/>
    </row>
    <row r="440" spans="2:12" ht="15.75">
      <c r="B440" s="207"/>
      <c r="C440" s="202"/>
      <c r="D440" s="27">
        <v>1165</v>
      </c>
      <c r="E440" s="27">
        <f>DEMANDA_PREVISIÓN!E1169</f>
        <v>48</v>
      </c>
      <c r="F440" s="50"/>
      <c r="G440" s="27">
        <f t="shared" si="40"/>
        <v>5634</v>
      </c>
      <c r="H440" s="58">
        <v>400</v>
      </c>
      <c r="I440" s="68">
        <v>400</v>
      </c>
      <c r="J440" s="50"/>
      <c r="K440" s="68">
        <v>50</v>
      </c>
      <c r="L440" s="202"/>
    </row>
    <row r="441" spans="2:12" ht="15.75">
      <c r="B441" s="207"/>
      <c r="C441" s="203"/>
      <c r="D441" s="27">
        <v>1166</v>
      </c>
      <c r="E441" s="27">
        <f>DEMANDA_PREVISIÓN!E1170</f>
        <v>42</v>
      </c>
      <c r="F441" s="50"/>
      <c r="G441" s="27">
        <f t="shared" si="40"/>
        <v>5592</v>
      </c>
      <c r="H441" s="58">
        <v>400</v>
      </c>
      <c r="I441" s="68">
        <v>400</v>
      </c>
      <c r="J441" s="50"/>
      <c r="K441" s="68">
        <v>50</v>
      </c>
      <c r="L441" s="203"/>
    </row>
    <row r="442" spans="2:12" ht="15.75">
      <c r="B442" s="207"/>
      <c r="C442" s="201">
        <v>16</v>
      </c>
      <c r="D442" s="27">
        <v>1167</v>
      </c>
      <c r="E442" s="27">
        <f>DEMANDA_PREVISIÓN!E1171</f>
        <v>41</v>
      </c>
      <c r="F442" s="50"/>
      <c r="G442" s="27">
        <f t="shared" si="40"/>
        <v>5551</v>
      </c>
      <c r="H442" s="58">
        <v>400</v>
      </c>
      <c r="I442" s="68">
        <v>400</v>
      </c>
      <c r="J442" s="50"/>
      <c r="K442" s="68">
        <v>50</v>
      </c>
      <c r="L442" s="201"/>
    </row>
    <row r="443" spans="2:12" ht="15.75">
      <c r="B443" s="207"/>
      <c r="C443" s="202"/>
      <c r="D443" s="27">
        <v>1168</v>
      </c>
      <c r="E443" s="27">
        <f>DEMANDA_PREVISIÓN!E1172</f>
        <v>43</v>
      </c>
      <c r="F443" s="50"/>
      <c r="G443" s="58">
        <f>H442+G442</f>
        <v>5951</v>
      </c>
      <c r="H443" s="27"/>
      <c r="I443" s="68">
        <v>400</v>
      </c>
      <c r="J443" s="50"/>
      <c r="K443" s="68">
        <v>50</v>
      </c>
      <c r="L443" s="202"/>
    </row>
    <row r="444" spans="2:12" ht="15.75">
      <c r="B444" s="207"/>
      <c r="C444" s="202"/>
      <c r="D444" s="27">
        <v>1169</v>
      </c>
      <c r="E444" s="27">
        <f>DEMANDA_PREVISIÓN!E1173</f>
        <v>49</v>
      </c>
      <c r="F444" s="50"/>
      <c r="G444" s="27">
        <f t="shared" ref="G444:G450" si="41">G443-E444</f>
        <v>5902</v>
      </c>
      <c r="H444" s="68">
        <v>400</v>
      </c>
      <c r="I444" s="68">
        <v>400</v>
      </c>
      <c r="J444" s="50"/>
      <c r="K444" s="68">
        <v>50</v>
      </c>
      <c r="L444" s="202"/>
    </row>
    <row r="445" spans="2:12" ht="15.75">
      <c r="B445" s="207"/>
      <c r="C445" s="202"/>
      <c r="D445" s="27">
        <v>1170</v>
      </c>
      <c r="E445" s="27">
        <f>DEMANDA_PREVISIÓN!E1174</f>
        <v>55</v>
      </c>
      <c r="F445" s="50"/>
      <c r="G445" s="27">
        <f t="shared" si="41"/>
        <v>5847</v>
      </c>
      <c r="H445" s="68">
        <v>400</v>
      </c>
      <c r="I445" s="70">
        <v>400</v>
      </c>
      <c r="J445" s="50"/>
      <c r="K445" s="70">
        <v>50</v>
      </c>
      <c r="L445" s="202"/>
    </row>
    <row r="446" spans="2:12" ht="15.75">
      <c r="B446" s="207"/>
      <c r="C446" s="202"/>
      <c r="D446" s="27">
        <v>1171</v>
      </c>
      <c r="E446" s="27">
        <f>DEMANDA_PREVISIÓN!E1175</f>
        <v>51</v>
      </c>
      <c r="F446" s="50"/>
      <c r="G446" s="27">
        <f t="shared" si="41"/>
        <v>5796</v>
      </c>
      <c r="H446" s="68">
        <v>400</v>
      </c>
      <c r="I446" s="70">
        <v>400</v>
      </c>
      <c r="J446" s="50"/>
      <c r="K446" s="70">
        <v>50</v>
      </c>
      <c r="L446" s="202"/>
    </row>
    <row r="447" spans="2:12" ht="15.75">
      <c r="B447" s="207"/>
      <c r="C447" s="202"/>
      <c r="D447" s="27">
        <v>1172</v>
      </c>
      <c r="E447" s="27">
        <f>DEMANDA_PREVISIÓN!E1176</f>
        <v>44</v>
      </c>
      <c r="F447" s="50"/>
      <c r="G447" s="27">
        <f t="shared" si="41"/>
        <v>5752</v>
      </c>
      <c r="H447" s="68">
        <v>400</v>
      </c>
      <c r="I447" s="70">
        <v>400</v>
      </c>
      <c r="J447" s="50"/>
      <c r="K447" s="70">
        <v>50</v>
      </c>
      <c r="L447" s="202"/>
    </row>
    <row r="448" spans="2:12" ht="15.75">
      <c r="B448" s="207"/>
      <c r="C448" s="202"/>
      <c r="D448" s="27">
        <v>1173</v>
      </c>
      <c r="E448" s="27">
        <f>DEMANDA_PREVISIÓN!E1177</f>
        <v>41</v>
      </c>
      <c r="F448" s="50"/>
      <c r="G448" s="27">
        <f t="shared" si="41"/>
        <v>5711</v>
      </c>
      <c r="H448" s="68">
        <v>400</v>
      </c>
      <c r="I448" s="70">
        <v>400</v>
      </c>
      <c r="J448" s="50"/>
      <c r="K448" s="70">
        <v>50</v>
      </c>
      <c r="L448" s="202"/>
    </row>
    <row r="449" spans="2:12" ht="15.75">
      <c r="B449" s="207"/>
      <c r="C449" s="202"/>
      <c r="D449" s="27">
        <v>1174</v>
      </c>
      <c r="E449" s="27">
        <f>DEMANDA_PREVISIÓN!E1178</f>
        <v>39</v>
      </c>
      <c r="F449" s="50"/>
      <c r="G449" s="27">
        <f t="shared" si="41"/>
        <v>5672</v>
      </c>
      <c r="H449" s="68">
        <v>400</v>
      </c>
      <c r="I449" s="70">
        <v>400</v>
      </c>
      <c r="J449" s="50"/>
      <c r="K449" s="70">
        <v>50</v>
      </c>
      <c r="L449" s="202"/>
    </row>
    <row r="450" spans="2:12" ht="15.75">
      <c r="B450" s="207"/>
      <c r="C450" s="202"/>
      <c r="D450" s="27">
        <v>1175</v>
      </c>
      <c r="E450" s="27">
        <f>DEMANDA_PREVISIÓN!E1179</f>
        <v>45</v>
      </c>
      <c r="F450" s="50"/>
      <c r="G450" s="27">
        <f t="shared" si="41"/>
        <v>5627</v>
      </c>
      <c r="H450" s="68">
        <v>400</v>
      </c>
      <c r="I450" s="70">
        <v>400</v>
      </c>
      <c r="J450" s="50"/>
      <c r="K450" s="70">
        <v>50</v>
      </c>
      <c r="L450" s="202"/>
    </row>
    <row r="451" spans="2:12" ht="15.75">
      <c r="B451" s="207"/>
      <c r="C451" s="202"/>
      <c r="D451" s="27">
        <v>1176</v>
      </c>
      <c r="E451" s="27">
        <f>DEMANDA_PREVISIÓN!E1180</f>
        <v>40</v>
      </c>
      <c r="F451" s="50"/>
      <c r="G451" s="68">
        <f>H450+G450</f>
        <v>6027</v>
      </c>
      <c r="H451" s="27"/>
      <c r="I451" s="70">
        <v>400</v>
      </c>
      <c r="J451" s="50"/>
      <c r="K451" s="70">
        <v>50</v>
      </c>
      <c r="L451" s="202"/>
    </row>
    <row r="452" spans="2:12" ht="15.75">
      <c r="B452" s="207"/>
      <c r="C452" s="202"/>
      <c r="D452" s="27">
        <v>1177</v>
      </c>
      <c r="E452" s="27">
        <f>DEMANDA_PREVISIÓN!E1181</f>
        <v>53</v>
      </c>
      <c r="F452" s="50"/>
      <c r="G452" s="27">
        <f t="shared" ref="G452:G458" si="42">G451-E452</f>
        <v>5974</v>
      </c>
      <c r="H452" s="70">
        <v>400</v>
      </c>
      <c r="I452" s="70">
        <v>400</v>
      </c>
      <c r="J452" s="50"/>
      <c r="K452" s="70">
        <v>50</v>
      </c>
      <c r="L452" s="202"/>
    </row>
    <row r="453" spans="2:12" ht="15.75">
      <c r="B453" s="207"/>
      <c r="C453" s="202"/>
      <c r="D453" s="27">
        <v>1178</v>
      </c>
      <c r="E453" s="27">
        <f>DEMANDA_PREVISIÓN!E1182</f>
        <v>47</v>
      </c>
      <c r="F453" s="50"/>
      <c r="G453" s="27">
        <f t="shared" si="42"/>
        <v>5927</v>
      </c>
      <c r="H453" s="70">
        <v>400</v>
      </c>
      <c r="I453" s="56">
        <v>400</v>
      </c>
      <c r="J453" s="50"/>
      <c r="K453" s="56">
        <v>50</v>
      </c>
      <c r="L453" s="202"/>
    </row>
    <row r="454" spans="2:12" ht="15.75">
      <c r="B454" s="207"/>
      <c r="C454" s="202"/>
      <c r="D454" s="27">
        <v>1179</v>
      </c>
      <c r="E454" s="27">
        <f>DEMANDA_PREVISIÓN!E1183</f>
        <v>44</v>
      </c>
      <c r="F454" s="50"/>
      <c r="G454" s="27">
        <f t="shared" si="42"/>
        <v>5883</v>
      </c>
      <c r="H454" s="70">
        <v>400</v>
      </c>
      <c r="I454" s="56">
        <v>400</v>
      </c>
      <c r="J454" s="50"/>
      <c r="K454" s="56">
        <v>50</v>
      </c>
      <c r="L454" s="202"/>
    </row>
    <row r="455" spans="2:12" ht="15.75">
      <c r="B455" s="207"/>
      <c r="C455" s="202"/>
      <c r="D455" s="27">
        <v>1180</v>
      </c>
      <c r="E455" s="27">
        <f>DEMANDA_PREVISIÓN!E1184</f>
        <v>57</v>
      </c>
      <c r="F455" s="50"/>
      <c r="G455" s="27">
        <f t="shared" si="42"/>
        <v>5826</v>
      </c>
      <c r="H455" s="70">
        <v>400</v>
      </c>
      <c r="I455" s="56">
        <v>400</v>
      </c>
      <c r="J455" s="50"/>
      <c r="K455" s="56">
        <v>50</v>
      </c>
      <c r="L455" s="202"/>
    </row>
    <row r="456" spans="2:12" ht="15.75">
      <c r="B456" s="207"/>
      <c r="C456" s="202"/>
      <c r="D456" s="27">
        <v>1181</v>
      </c>
      <c r="E456" s="27">
        <f>DEMANDA_PREVISIÓN!E1185</f>
        <v>46</v>
      </c>
      <c r="F456" s="50"/>
      <c r="G456" s="27">
        <f t="shared" si="42"/>
        <v>5780</v>
      </c>
      <c r="H456" s="70">
        <v>400</v>
      </c>
      <c r="I456" s="56">
        <v>400</v>
      </c>
      <c r="J456" s="50"/>
      <c r="K456" s="56">
        <v>50</v>
      </c>
      <c r="L456" s="202"/>
    </row>
    <row r="457" spans="2:12" ht="15.75">
      <c r="B457" s="207"/>
      <c r="C457" s="202"/>
      <c r="D457" s="27">
        <v>1182</v>
      </c>
      <c r="E457" s="27">
        <f>DEMANDA_PREVISIÓN!E1186</f>
        <v>50</v>
      </c>
      <c r="F457" s="50"/>
      <c r="G457" s="27">
        <f t="shared" si="42"/>
        <v>5730</v>
      </c>
      <c r="H457" s="70">
        <v>400</v>
      </c>
      <c r="I457" s="56">
        <v>400</v>
      </c>
      <c r="J457" s="50"/>
      <c r="K457" s="56">
        <v>50</v>
      </c>
      <c r="L457" s="202"/>
    </row>
    <row r="458" spans="2:12" ht="15.75">
      <c r="B458" s="207"/>
      <c r="C458" s="202"/>
      <c r="D458" s="27">
        <v>1183</v>
      </c>
      <c r="E458" s="27">
        <f>DEMANDA_PREVISIÓN!E1187</f>
        <v>43</v>
      </c>
      <c r="F458" s="50"/>
      <c r="G458" s="27">
        <f t="shared" si="42"/>
        <v>5687</v>
      </c>
      <c r="H458" s="70">
        <v>400</v>
      </c>
      <c r="I458" s="56">
        <v>400</v>
      </c>
      <c r="J458" s="50"/>
      <c r="K458" s="56">
        <v>50</v>
      </c>
      <c r="L458" s="202"/>
    </row>
    <row r="459" spans="2:12" ht="15.75">
      <c r="B459" s="207" t="s">
        <v>44</v>
      </c>
      <c r="C459" s="202"/>
      <c r="D459" s="27">
        <v>1184</v>
      </c>
      <c r="E459" s="27">
        <f>DEMANDA_PREVISIÓN!E1188</f>
        <v>47</v>
      </c>
      <c r="F459" s="50"/>
      <c r="G459" s="70">
        <f>H458+G458</f>
        <v>6087</v>
      </c>
      <c r="H459" s="27"/>
      <c r="I459" s="56">
        <v>400</v>
      </c>
      <c r="J459" s="50"/>
      <c r="K459" s="56">
        <v>50</v>
      </c>
      <c r="L459" s="202"/>
    </row>
    <row r="460" spans="2:12" ht="15.75">
      <c r="B460" s="207"/>
      <c r="C460" s="202"/>
      <c r="D460" s="27">
        <v>1185</v>
      </c>
      <c r="E460" s="27">
        <f>DEMANDA_PREVISIÓN!E1189</f>
        <v>45</v>
      </c>
      <c r="F460" s="50"/>
      <c r="G460" s="27">
        <f t="shared" ref="G460:G466" si="43">G459-E460</f>
        <v>6042</v>
      </c>
      <c r="H460" s="56">
        <v>400</v>
      </c>
      <c r="I460" s="56">
        <v>400</v>
      </c>
      <c r="J460" s="50"/>
      <c r="K460" s="56">
        <v>50</v>
      </c>
      <c r="L460" s="202"/>
    </row>
    <row r="461" spans="2:12" ht="15.75">
      <c r="B461" s="207"/>
      <c r="C461" s="202"/>
      <c r="D461" s="27">
        <v>1186</v>
      </c>
      <c r="E461" s="27">
        <f>DEMANDA_PREVISIÓN!E1190</f>
        <v>43</v>
      </c>
      <c r="F461" s="50"/>
      <c r="G461" s="27">
        <f t="shared" si="43"/>
        <v>5999</v>
      </c>
      <c r="H461" s="56">
        <v>400</v>
      </c>
      <c r="I461" s="57">
        <v>400</v>
      </c>
      <c r="J461" s="50"/>
      <c r="K461" s="57">
        <v>50</v>
      </c>
      <c r="L461" s="202"/>
    </row>
    <row r="462" spans="2:12" ht="15.75">
      <c r="B462" s="207"/>
      <c r="C462" s="202"/>
      <c r="D462" s="27">
        <v>1187</v>
      </c>
      <c r="E462" s="27">
        <f>DEMANDA_PREVISIÓN!E1191</f>
        <v>50</v>
      </c>
      <c r="F462" s="50"/>
      <c r="G462" s="27">
        <f t="shared" si="43"/>
        <v>5949</v>
      </c>
      <c r="H462" s="56">
        <v>400</v>
      </c>
      <c r="I462" s="57">
        <v>400</v>
      </c>
      <c r="J462" s="50"/>
      <c r="K462" s="57">
        <v>50</v>
      </c>
      <c r="L462" s="202"/>
    </row>
    <row r="463" spans="2:12" ht="15.75">
      <c r="B463" s="207"/>
      <c r="C463" s="202"/>
      <c r="D463" s="27">
        <v>1188</v>
      </c>
      <c r="E463" s="27">
        <f>DEMANDA_PREVISIÓN!E1192</f>
        <v>44</v>
      </c>
      <c r="F463" s="50"/>
      <c r="G463" s="27">
        <f t="shared" si="43"/>
        <v>5905</v>
      </c>
      <c r="H463" s="56">
        <v>400</v>
      </c>
      <c r="I463" s="57">
        <v>400</v>
      </c>
      <c r="J463" s="50"/>
      <c r="K463" s="57">
        <v>50</v>
      </c>
      <c r="L463" s="202"/>
    </row>
    <row r="464" spans="2:12" ht="15.75">
      <c r="B464" s="207"/>
      <c r="C464" s="202"/>
      <c r="D464" s="27">
        <v>1189</v>
      </c>
      <c r="E464" s="27">
        <f>DEMANDA_PREVISIÓN!E1193</f>
        <v>30</v>
      </c>
      <c r="F464" s="50"/>
      <c r="G464" s="27">
        <f t="shared" si="43"/>
        <v>5875</v>
      </c>
      <c r="H464" s="56">
        <v>400</v>
      </c>
      <c r="I464" s="57">
        <v>400</v>
      </c>
      <c r="J464" s="50"/>
      <c r="K464" s="57">
        <v>50</v>
      </c>
      <c r="L464" s="202"/>
    </row>
    <row r="465" spans="2:12" ht="15.75">
      <c r="B465" s="207"/>
      <c r="C465" s="202"/>
      <c r="D465" s="27">
        <v>1190</v>
      </c>
      <c r="E465" s="27">
        <f>DEMANDA_PREVISIÓN!E1194</f>
        <v>33</v>
      </c>
      <c r="F465" s="50"/>
      <c r="G465" s="27">
        <f t="shared" si="43"/>
        <v>5842</v>
      </c>
      <c r="H465" s="56">
        <v>400</v>
      </c>
      <c r="I465" s="57">
        <v>400</v>
      </c>
      <c r="J465" s="50"/>
      <c r="K465" s="57">
        <v>50</v>
      </c>
      <c r="L465" s="202"/>
    </row>
    <row r="466" spans="2:12" ht="15.75">
      <c r="B466" s="207"/>
      <c r="C466" s="202"/>
      <c r="D466" s="27">
        <v>1191</v>
      </c>
      <c r="E466" s="27">
        <f>DEMANDA_PREVISIÓN!E1195</f>
        <v>36</v>
      </c>
      <c r="F466" s="50"/>
      <c r="G466" s="27">
        <f t="shared" si="43"/>
        <v>5806</v>
      </c>
      <c r="H466" s="56">
        <v>400</v>
      </c>
      <c r="I466" s="57">
        <v>400</v>
      </c>
      <c r="J466" s="50"/>
      <c r="K466" s="57">
        <v>50</v>
      </c>
      <c r="L466" s="202"/>
    </row>
    <row r="467" spans="2:12" ht="15.75">
      <c r="B467" s="207"/>
      <c r="C467" s="202"/>
      <c r="D467" s="27">
        <v>1192</v>
      </c>
      <c r="E467" s="27">
        <f>DEMANDA_PREVISIÓN!E1196</f>
        <v>52</v>
      </c>
      <c r="F467" s="50"/>
      <c r="G467" s="56">
        <f>H466+G466</f>
        <v>6206</v>
      </c>
      <c r="H467" s="27"/>
      <c r="I467" s="57">
        <v>400</v>
      </c>
      <c r="J467" s="50"/>
      <c r="K467" s="57">
        <v>50</v>
      </c>
      <c r="L467" s="202"/>
    </row>
    <row r="468" spans="2:12" ht="15.75">
      <c r="B468" s="207"/>
      <c r="C468" s="202"/>
      <c r="D468" s="27">
        <v>1193</v>
      </c>
      <c r="E468" s="27">
        <f>DEMANDA_PREVISIÓN!E1197</f>
        <v>45</v>
      </c>
      <c r="F468" s="50"/>
      <c r="G468" s="27">
        <f>G467-E468</f>
        <v>6161</v>
      </c>
      <c r="H468" s="57">
        <v>400</v>
      </c>
      <c r="I468" s="57">
        <v>400</v>
      </c>
      <c r="J468" s="50"/>
      <c r="K468" s="57">
        <v>50</v>
      </c>
      <c r="L468" s="202"/>
    </row>
    <row r="469" spans="2:12" ht="15.75">
      <c r="B469" s="207"/>
      <c r="C469" s="202"/>
      <c r="D469" s="27">
        <v>1194</v>
      </c>
      <c r="E469" s="27">
        <f>DEMANDA_PREVISIÓN!E1198</f>
        <v>41</v>
      </c>
      <c r="F469" s="50"/>
      <c r="G469" s="27">
        <f>G468-E469</f>
        <v>6120</v>
      </c>
      <c r="H469" s="57">
        <v>400</v>
      </c>
      <c r="I469" s="58">
        <v>400</v>
      </c>
      <c r="J469" s="50"/>
      <c r="K469" s="58">
        <v>50</v>
      </c>
      <c r="L469" s="202"/>
    </row>
    <row r="470" spans="2:12" ht="15.75">
      <c r="B470" s="207"/>
      <c r="C470" s="202"/>
      <c r="D470" s="27">
        <v>1195</v>
      </c>
      <c r="E470" s="27">
        <f>DEMANDA_PREVISIÓN!E1199</f>
        <v>47</v>
      </c>
      <c r="F470" s="50"/>
      <c r="G470" s="27">
        <f>G469-E470</f>
        <v>6073</v>
      </c>
      <c r="H470" s="57">
        <v>400</v>
      </c>
      <c r="I470" s="58">
        <v>400</v>
      </c>
      <c r="J470" s="50"/>
      <c r="K470" s="58">
        <v>50</v>
      </c>
      <c r="L470" s="202"/>
    </row>
    <row r="471" spans="2:12" ht="15.75">
      <c r="B471" s="207"/>
      <c r="C471" s="202"/>
      <c r="D471" s="27">
        <v>1196</v>
      </c>
      <c r="E471" s="27">
        <f>DEMANDA_PREVISIÓN!E1200</f>
        <v>31</v>
      </c>
      <c r="F471" s="50"/>
      <c r="G471" s="27">
        <f>G470-E471</f>
        <v>6042</v>
      </c>
      <c r="H471" s="57">
        <v>400</v>
      </c>
      <c r="I471" s="58">
        <v>400</v>
      </c>
      <c r="J471" s="50"/>
      <c r="K471" s="58">
        <v>50</v>
      </c>
      <c r="L471" s="202"/>
    </row>
    <row r="472" spans="2:12" ht="15.75">
      <c r="B472" s="207"/>
      <c r="C472" s="203"/>
      <c r="D472" s="27">
        <v>1197</v>
      </c>
      <c r="E472" s="27">
        <f>DEMANDA_PREVISIÓN!E1201</f>
        <v>45</v>
      </c>
      <c r="F472" s="50"/>
      <c r="G472" s="27">
        <f t="shared" ref="G472:G474" si="44">G471-E472</f>
        <v>5997</v>
      </c>
      <c r="H472" s="57">
        <v>400</v>
      </c>
      <c r="I472" s="58">
        <v>400</v>
      </c>
      <c r="J472" s="50"/>
      <c r="K472" s="58">
        <v>50</v>
      </c>
      <c r="L472" s="203"/>
    </row>
    <row r="473" spans="2:12" ht="15.75">
      <c r="B473" s="207"/>
      <c r="C473" s="201">
        <v>17</v>
      </c>
      <c r="D473" s="27">
        <v>1198</v>
      </c>
      <c r="E473" s="27">
        <f>DEMANDA_PREVISIÓN!E1202</f>
        <v>44</v>
      </c>
      <c r="F473" s="50"/>
      <c r="G473" s="27">
        <f t="shared" si="44"/>
        <v>5953</v>
      </c>
      <c r="H473" s="57">
        <v>400</v>
      </c>
      <c r="I473" s="58">
        <v>400</v>
      </c>
      <c r="J473" s="50"/>
      <c r="K473" s="58">
        <v>50</v>
      </c>
      <c r="L473" s="201"/>
    </row>
    <row r="474" spans="2:12" ht="15.75">
      <c r="B474" s="207"/>
      <c r="C474" s="202"/>
      <c r="D474" s="27">
        <v>1199</v>
      </c>
      <c r="E474" s="27">
        <f>DEMANDA_PREVISIÓN!E1203</f>
        <v>48</v>
      </c>
      <c r="F474" s="50"/>
      <c r="G474" s="27">
        <f t="shared" si="44"/>
        <v>5905</v>
      </c>
      <c r="H474" s="57">
        <v>400</v>
      </c>
      <c r="I474" s="58">
        <v>400</v>
      </c>
      <c r="J474" s="50"/>
      <c r="K474" s="58">
        <v>50</v>
      </c>
      <c r="L474" s="202"/>
    </row>
    <row r="475" spans="2:12" ht="15.75">
      <c r="B475" s="207"/>
      <c r="C475" s="202"/>
      <c r="D475" s="27">
        <v>1200</v>
      </c>
      <c r="E475" s="27">
        <f>DEMANDA_PREVISIÓN!E1204</f>
        <v>51</v>
      </c>
      <c r="F475" s="50"/>
      <c r="G475" s="57">
        <f>H474+G474</f>
        <v>6305</v>
      </c>
      <c r="I475" s="58">
        <v>400</v>
      </c>
      <c r="J475" s="47"/>
      <c r="K475" s="58">
        <v>50</v>
      </c>
      <c r="L475" s="202"/>
    </row>
    <row r="476" spans="2:12" ht="15.75">
      <c r="B476" s="207"/>
      <c r="C476" s="202"/>
      <c r="D476" s="27">
        <v>1201</v>
      </c>
      <c r="E476" s="27">
        <f>DEMANDA_PREVISIÓN!E1205</f>
        <v>50</v>
      </c>
      <c r="F476" s="50"/>
      <c r="G476" s="27">
        <f t="shared" ref="G476:G482" si="45">G475-E476</f>
        <v>6255</v>
      </c>
      <c r="H476" s="58">
        <v>400</v>
      </c>
      <c r="I476" s="58">
        <v>400</v>
      </c>
      <c r="J476" s="50"/>
      <c r="K476" s="58">
        <v>50</v>
      </c>
      <c r="L476" s="202"/>
    </row>
    <row r="477" spans="2:12" ht="15.75">
      <c r="B477" s="207"/>
      <c r="C477" s="202"/>
      <c r="D477" s="27">
        <v>1202</v>
      </c>
      <c r="E477" s="27">
        <f>DEMANDA_PREVISIÓN!E1206</f>
        <v>42</v>
      </c>
      <c r="F477" s="50"/>
      <c r="G477" s="27">
        <f t="shared" si="45"/>
        <v>6213</v>
      </c>
      <c r="H477" s="58">
        <v>400</v>
      </c>
      <c r="I477" s="68">
        <v>400</v>
      </c>
      <c r="J477" s="50"/>
      <c r="K477" s="68">
        <v>50</v>
      </c>
      <c r="L477" s="202"/>
    </row>
    <row r="478" spans="2:12" ht="15.75">
      <c r="B478" s="207"/>
      <c r="C478" s="202"/>
      <c r="D478" s="27">
        <v>1203</v>
      </c>
      <c r="E478" s="27">
        <f>DEMANDA_PREVISIÓN!E1207</f>
        <v>37</v>
      </c>
      <c r="F478" s="50"/>
      <c r="G478" s="27">
        <f t="shared" si="45"/>
        <v>6176</v>
      </c>
      <c r="H478" s="58">
        <v>400</v>
      </c>
      <c r="I478" s="68">
        <v>400</v>
      </c>
      <c r="J478" s="50"/>
      <c r="K478" s="68">
        <v>50</v>
      </c>
      <c r="L478" s="202"/>
    </row>
    <row r="479" spans="2:12" ht="15.75">
      <c r="B479" s="207"/>
      <c r="C479" s="202"/>
      <c r="D479" s="27">
        <v>1204</v>
      </c>
      <c r="E479" s="27">
        <f>DEMANDA_PREVISIÓN!E1208</f>
        <v>46</v>
      </c>
      <c r="F479" s="50"/>
      <c r="G479" s="27">
        <f t="shared" si="45"/>
        <v>6130</v>
      </c>
      <c r="H479" s="58">
        <v>400</v>
      </c>
      <c r="I479" s="68">
        <v>400</v>
      </c>
      <c r="J479" s="50"/>
      <c r="K479" s="68">
        <v>50</v>
      </c>
      <c r="L479" s="202"/>
    </row>
    <row r="480" spans="2:12" ht="15.75">
      <c r="B480" s="207"/>
      <c r="C480" s="202"/>
      <c r="D480" s="27">
        <v>1205</v>
      </c>
      <c r="E480" s="27">
        <f>DEMANDA_PREVISIÓN!E1209</f>
        <v>41</v>
      </c>
      <c r="F480" s="50"/>
      <c r="G480" s="27">
        <f t="shared" si="45"/>
        <v>6089</v>
      </c>
      <c r="H480" s="58">
        <v>400</v>
      </c>
      <c r="I480" s="68">
        <v>400</v>
      </c>
      <c r="J480" s="50"/>
      <c r="K480" s="68">
        <v>50</v>
      </c>
      <c r="L480" s="202"/>
    </row>
    <row r="481" spans="2:12" ht="15.75">
      <c r="B481" s="207"/>
      <c r="C481" s="202"/>
      <c r="D481" s="27">
        <v>1206</v>
      </c>
      <c r="E481" s="27">
        <f>DEMANDA_PREVISIÓN!E1210</f>
        <v>40</v>
      </c>
      <c r="F481" s="50"/>
      <c r="G481" s="27">
        <f t="shared" si="45"/>
        <v>6049</v>
      </c>
      <c r="H481" s="58">
        <v>400</v>
      </c>
      <c r="I481" s="68">
        <v>400</v>
      </c>
      <c r="J481" s="50"/>
      <c r="K481" s="68">
        <v>50</v>
      </c>
      <c r="L481" s="202"/>
    </row>
    <row r="482" spans="2:12" ht="15.75">
      <c r="B482" s="207"/>
      <c r="C482" s="202"/>
      <c r="D482" s="27">
        <v>1207</v>
      </c>
      <c r="E482" s="27">
        <f>DEMANDA_PREVISIÓN!E1211</f>
        <v>46</v>
      </c>
      <c r="F482" s="50"/>
      <c r="G482" s="27">
        <f t="shared" si="45"/>
        <v>6003</v>
      </c>
      <c r="H482" s="58">
        <v>400</v>
      </c>
      <c r="I482" s="68">
        <v>400</v>
      </c>
      <c r="J482" s="50"/>
      <c r="K482" s="68">
        <v>50</v>
      </c>
      <c r="L482" s="202"/>
    </row>
    <row r="483" spans="2:12" ht="15.75">
      <c r="B483" s="207"/>
      <c r="C483" s="202"/>
      <c r="D483" s="27">
        <v>1208</v>
      </c>
      <c r="E483" s="27">
        <f>DEMANDA_PREVISIÓN!E1212</f>
        <v>42</v>
      </c>
      <c r="F483" s="50"/>
      <c r="G483" s="58">
        <f>H482+G482</f>
        <v>6403</v>
      </c>
      <c r="H483" s="27"/>
      <c r="I483" s="68">
        <v>400</v>
      </c>
      <c r="J483" s="50"/>
      <c r="K483" s="68">
        <v>50</v>
      </c>
      <c r="L483" s="202"/>
    </row>
    <row r="484" spans="2:12" ht="15.75">
      <c r="B484" s="207"/>
      <c r="C484" s="202"/>
      <c r="D484" s="27">
        <v>1209</v>
      </c>
      <c r="E484" s="27">
        <f>DEMANDA_PREVISIÓN!E1213</f>
        <v>54</v>
      </c>
      <c r="F484" s="50"/>
      <c r="G484" s="27">
        <f t="shared" ref="G484:G490" si="46">G483-E484</f>
        <v>6349</v>
      </c>
      <c r="H484" s="68">
        <v>400</v>
      </c>
      <c r="I484" s="68">
        <v>400</v>
      </c>
      <c r="J484" s="50"/>
      <c r="K484" s="68">
        <v>50</v>
      </c>
      <c r="L484" s="202"/>
    </row>
    <row r="485" spans="2:12" ht="15.75">
      <c r="B485" s="207"/>
      <c r="C485" s="202"/>
      <c r="D485" s="27">
        <v>1210</v>
      </c>
      <c r="E485" s="27">
        <f>DEMANDA_PREVISIÓN!E1214</f>
        <v>43</v>
      </c>
      <c r="F485" s="50"/>
      <c r="G485" s="27">
        <f t="shared" si="46"/>
        <v>6306</v>
      </c>
      <c r="H485" s="68">
        <v>400</v>
      </c>
      <c r="I485" s="70">
        <v>400</v>
      </c>
      <c r="J485" s="50"/>
      <c r="K485" s="70">
        <v>50</v>
      </c>
      <c r="L485" s="202"/>
    </row>
    <row r="486" spans="2:12" ht="15.75">
      <c r="B486" s="207"/>
      <c r="C486" s="202"/>
      <c r="D486" s="27">
        <v>1211</v>
      </c>
      <c r="E486" s="27">
        <f>DEMANDA_PREVISIÓN!E1215</f>
        <v>36</v>
      </c>
      <c r="F486" s="50"/>
      <c r="G486" s="27">
        <f t="shared" si="46"/>
        <v>6270</v>
      </c>
      <c r="H486" s="68">
        <v>400</v>
      </c>
      <c r="I486" s="70">
        <v>400</v>
      </c>
      <c r="J486" s="50"/>
      <c r="K486" s="70">
        <v>50</v>
      </c>
      <c r="L486" s="202"/>
    </row>
    <row r="487" spans="2:12" ht="15.75">
      <c r="B487" s="207"/>
      <c r="C487" s="202"/>
      <c r="D487" s="27">
        <v>1212</v>
      </c>
      <c r="E487" s="27">
        <f>DEMANDA_PREVISIÓN!E1216</f>
        <v>56</v>
      </c>
      <c r="F487" s="50"/>
      <c r="G487" s="27">
        <f t="shared" si="46"/>
        <v>6214</v>
      </c>
      <c r="H487" s="68">
        <v>400</v>
      </c>
      <c r="I487" s="70">
        <v>400</v>
      </c>
      <c r="J487" s="50"/>
      <c r="K487" s="70">
        <v>50</v>
      </c>
      <c r="L487" s="202"/>
    </row>
    <row r="488" spans="2:12" ht="15.75">
      <c r="B488" s="207"/>
      <c r="C488" s="202"/>
      <c r="D488" s="27">
        <v>1213</v>
      </c>
      <c r="E488" s="27">
        <f>DEMANDA_PREVISIÓN!E1217</f>
        <v>49</v>
      </c>
      <c r="F488" s="50"/>
      <c r="G488" s="27">
        <f t="shared" si="46"/>
        <v>6165</v>
      </c>
      <c r="H488" s="68">
        <v>400</v>
      </c>
      <c r="I488" s="70">
        <v>400</v>
      </c>
      <c r="J488" s="50"/>
      <c r="K488" s="70">
        <v>50</v>
      </c>
      <c r="L488" s="202"/>
    </row>
    <row r="489" spans="2:12" ht="15.75">
      <c r="B489" s="207"/>
      <c r="C489" s="202"/>
      <c r="D489" s="27">
        <v>1214</v>
      </c>
      <c r="E489" s="27">
        <f>DEMANDA_PREVISIÓN!E1218</f>
        <v>54</v>
      </c>
      <c r="F489" s="50"/>
      <c r="G489" s="27">
        <f t="shared" si="46"/>
        <v>6111</v>
      </c>
      <c r="H489" s="68">
        <v>400</v>
      </c>
      <c r="I489" s="70">
        <v>400</v>
      </c>
      <c r="J489" s="50"/>
      <c r="K489" s="70">
        <v>50</v>
      </c>
      <c r="L489" s="202"/>
    </row>
    <row r="490" spans="2:12" ht="15.75">
      <c r="B490" s="207"/>
      <c r="C490" s="202"/>
      <c r="D490" s="27">
        <v>1215</v>
      </c>
      <c r="E490" s="27">
        <f>DEMANDA_PREVISIÓN!E1219</f>
        <v>49</v>
      </c>
      <c r="F490" s="50"/>
      <c r="G490" s="27">
        <f t="shared" si="46"/>
        <v>6062</v>
      </c>
      <c r="H490" s="68">
        <v>400</v>
      </c>
      <c r="I490" s="70">
        <v>400</v>
      </c>
      <c r="J490" s="50"/>
      <c r="K490" s="70">
        <v>50</v>
      </c>
      <c r="L490" s="202"/>
    </row>
    <row r="491" spans="2:12" ht="15.75">
      <c r="B491" s="207"/>
      <c r="C491" s="202"/>
      <c r="D491" s="27">
        <v>1216</v>
      </c>
      <c r="E491" s="27">
        <f>DEMANDA_PREVISIÓN!E1220</f>
        <v>50</v>
      </c>
      <c r="F491" s="50"/>
      <c r="G491" s="68">
        <f>H490+G490</f>
        <v>6462</v>
      </c>
      <c r="H491" s="27"/>
      <c r="I491" s="70">
        <v>400</v>
      </c>
      <c r="J491" s="50"/>
      <c r="K491" s="70">
        <v>50</v>
      </c>
      <c r="L491" s="202"/>
    </row>
    <row r="492" spans="2:12" ht="15.75">
      <c r="B492" s="207"/>
      <c r="C492" s="202"/>
      <c r="D492" s="27">
        <v>1217</v>
      </c>
      <c r="E492" s="27">
        <f>DEMANDA_PREVISIÓN!E1221</f>
        <v>43</v>
      </c>
      <c r="F492" s="50"/>
      <c r="G492" s="27">
        <f t="shared" ref="G492:G498" si="47">G491-E492</f>
        <v>6419</v>
      </c>
      <c r="H492" s="70">
        <v>400</v>
      </c>
      <c r="I492" s="70">
        <v>400</v>
      </c>
      <c r="J492" s="50"/>
      <c r="K492" s="70">
        <v>50</v>
      </c>
      <c r="L492" s="202"/>
    </row>
    <row r="493" spans="2:12" ht="15.75">
      <c r="B493" s="207"/>
      <c r="C493" s="202"/>
      <c r="D493" s="27">
        <v>1218</v>
      </c>
      <c r="E493" s="27">
        <f>DEMANDA_PREVISIÓN!E1222</f>
        <v>46</v>
      </c>
      <c r="F493" s="50"/>
      <c r="G493" s="27">
        <f t="shared" si="47"/>
        <v>6373</v>
      </c>
      <c r="H493" s="70">
        <v>400</v>
      </c>
      <c r="I493" s="56">
        <v>400</v>
      </c>
      <c r="J493" s="50"/>
      <c r="K493" s="56">
        <v>50</v>
      </c>
      <c r="L493" s="202"/>
    </row>
    <row r="494" spans="2:12" ht="15.75">
      <c r="B494" s="207"/>
      <c r="C494" s="202"/>
      <c r="D494" s="27">
        <v>1219</v>
      </c>
      <c r="E494" s="27">
        <f>DEMANDA_PREVISIÓN!E1223</f>
        <v>41</v>
      </c>
      <c r="F494" s="50"/>
      <c r="G494" s="27">
        <f t="shared" si="47"/>
        <v>6332</v>
      </c>
      <c r="H494" s="70">
        <v>400</v>
      </c>
      <c r="I494" s="56">
        <v>400</v>
      </c>
      <c r="J494" s="50"/>
      <c r="K494" s="56">
        <v>50</v>
      </c>
      <c r="L494" s="202"/>
    </row>
    <row r="495" spans="2:12" ht="15.75">
      <c r="B495" s="207"/>
      <c r="C495" s="202"/>
      <c r="D495" s="27">
        <v>1220</v>
      </c>
      <c r="E495" s="27">
        <f>DEMANDA_PREVISIÓN!E1224</f>
        <v>44</v>
      </c>
      <c r="F495" s="50"/>
      <c r="G495" s="27">
        <f t="shared" si="47"/>
        <v>6288</v>
      </c>
      <c r="H495" s="70">
        <v>400</v>
      </c>
      <c r="I495" s="56">
        <v>400</v>
      </c>
      <c r="J495" s="50"/>
      <c r="K495" s="56">
        <v>50</v>
      </c>
      <c r="L495" s="202"/>
    </row>
    <row r="496" spans="2:12" ht="15.75">
      <c r="B496" s="207"/>
      <c r="C496" s="202"/>
      <c r="D496" s="27">
        <v>1221</v>
      </c>
      <c r="E496" s="27">
        <f>DEMANDA_PREVISIÓN!E1225</f>
        <v>43</v>
      </c>
      <c r="F496" s="50"/>
      <c r="G496" s="27">
        <f t="shared" si="47"/>
        <v>6245</v>
      </c>
      <c r="H496" s="70">
        <v>400</v>
      </c>
      <c r="I496" s="56">
        <v>400</v>
      </c>
      <c r="J496" s="50"/>
      <c r="K496" s="56">
        <v>50</v>
      </c>
      <c r="L496" s="202"/>
    </row>
    <row r="497" spans="2:12" ht="15.75">
      <c r="B497" s="207"/>
      <c r="C497" s="202"/>
      <c r="D497" s="27">
        <v>1222</v>
      </c>
      <c r="E497" s="27">
        <f>DEMANDA_PREVISIÓN!E1226</f>
        <v>46</v>
      </c>
      <c r="F497" s="50"/>
      <c r="G497" s="27">
        <f t="shared" si="47"/>
        <v>6199</v>
      </c>
      <c r="H497" s="70">
        <v>400</v>
      </c>
      <c r="I497" s="56">
        <v>400</v>
      </c>
      <c r="J497" s="50"/>
      <c r="K497" s="56">
        <v>50</v>
      </c>
      <c r="L497" s="202"/>
    </row>
    <row r="498" spans="2:12" ht="15.75">
      <c r="B498" s="207"/>
      <c r="C498" s="202"/>
      <c r="D498" s="27">
        <v>1223</v>
      </c>
      <c r="E498" s="27">
        <f>DEMANDA_PREVISIÓN!E1227</f>
        <v>36</v>
      </c>
      <c r="F498" s="50"/>
      <c r="G498" s="27">
        <f t="shared" si="47"/>
        <v>6163</v>
      </c>
      <c r="H498" s="70">
        <v>400</v>
      </c>
      <c r="I498" s="56">
        <v>400</v>
      </c>
      <c r="J498" s="50"/>
      <c r="K498" s="56">
        <v>50</v>
      </c>
      <c r="L498" s="202"/>
    </row>
    <row r="499" spans="2:12" ht="15.75">
      <c r="B499" s="207"/>
      <c r="C499" s="202"/>
      <c r="D499" s="27">
        <v>1224</v>
      </c>
      <c r="E499" s="27">
        <f>DEMANDA_PREVISIÓN!E1228</f>
        <v>43</v>
      </c>
      <c r="F499" s="50"/>
      <c r="G499" s="70">
        <f>H498+G498</f>
        <v>6563</v>
      </c>
      <c r="H499" s="27"/>
      <c r="I499" s="56">
        <v>400</v>
      </c>
      <c r="J499" s="50"/>
      <c r="K499" s="56">
        <v>50</v>
      </c>
      <c r="L499" s="202"/>
    </row>
    <row r="500" spans="2:12" ht="15.75">
      <c r="B500" s="207"/>
      <c r="C500" s="202"/>
      <c r="D500" s="27">
        <v>1225</v>
      </c>
      <c r="E500" s="27">
        <f>DEMANDA_PREVISIÓN!E1229</f>
        <v>42</v>
      </c>
      <c r="F500" s="50"/>
      <c r="G500" s="27">
        <f t="shared" ref="G500:G506" si="48">G499-E500</f>
        <v>6521</v>
      </c>
      <c r="H500" s="56">
        <v>400</v>
      </c>
      <c r="I500" s="56">
        <v>400</v>
      </c>
      <c r="J500" s="50"/>
      <c r="K500" s="56">
        <v>50</v>
      </c>
      <c r="L500" s="202"/>
    </row>
    <row r="501" spans="2:12" ht="15.75">
      <c r="B501" s="207"/>
      <c r="C501" s="202"/>
      <c r="D501" s="27">
        <v>1226</v>
      </c>
      <c r="E501" s="27">
        <f>DEMANDA_PREVISIÓN!E1230</f>
        <v>39</v>
      </c>
      <c r="F501" s="50"/>
      <c r="G501" s="27">
        <f t="shared" si="48"/>
        <v>6482</v>
      </c>
      <c r="H501" s="56">
        <v>400</v>
      </c>
      <c r="I501" s="57">
        <v>400</v>
      </c>
      <c r="J501" s="50"/>
      <c r="K501" s="57">
        <v>50</v>
      </c>
      <c r="L501" s="202"/>
    </row>
    <row r="502" spans="2:12" ht="15.75">
      <c r="B502" s="207"/>
      <c r="C502" s="202"/>
      <c r="D502" s="27">
        <v>1227</v>
      </c>
      <c r="E502" s="27">
        <f>DEMANDA_PREVISIÓN!E1231</f>
        <v>51</v>
      </c>
      <c r="F502" s="50"/>
      <c r="G502" s="27">
        <f t="shared" si="48"/>
        <v>6431</v>
      </c>
      <c r="H502" s="56">
        <v>400</v>
      </c>
      <c r="I502" s="57">
        <v>400</v>
      </c>
      <c r="J502" s="50"/>
      <c r="K502" s="57">
        <v>50</v>
      </c>
      <c r="L502" s="202"/>
    </row>
    <row r="503" spans="2:12" ht="15.75">
      <c r="B503" s="207"/>
      <c r="C503" s="203"/>
      <c r="D503" s="27">
        <v>1228</v>
      </c>
      <c r="E503" s="27">
        <f>DEMANDA_PREVISIÓN!E1232</f>
        <v>33</v>
      </c>
      <c r="F503" s="50"/>
      <c r="G503" s="27">
        <f t="shared" si="48"/>
        <v>6398</v>
      </c>
      <c r="H503" s="56">
        <v>400</v>
      </c>
      <c r="I503" s="57">
        <v>400</v>
      </c>
      <c r="J503" s="50"/>
      <c r="K503" s="57">
        <v>50</v>
      </c>
      <c r="L503" s="203"/>
    </row>
    <row r="504" spans="2:12" ht="15.75">
      <c r="B504" s="207"/>
      <c r="C504" s="201">
        <v>18</v>
      </c>
      <c r="D504" s="27">
        <v>1229</v>
      </c>
      <c r="E504" s="27">
        <f>DEMANDA_PREVISIÓN!E1233</f>
        <v>40</v>
      </c>
      <c r="F504" s="50"/>
      <c r="G504" s="27">
        <f t="shared" si="48"/>
        <v>6358</v>
      </c>
      <c r="H504" s="56">
        <v>400</v>
      </c>
      <c r="I504" s="57">
        <v>400</v>
      </c>
      <c r="J504" s="50"/>
      <c r="K504" s="57">
        <v>50</v>
      </c>
      <c r="L504" s="201"/>
    </row>
    <row r="505" spans="2:12" ht="15.75">
      <c r="B505" s="207"/>
      <c r="C505" s="202"/>
      <c r="D505" s="27">
        <v>1230</v>
      </c>
      <c r="E505" s="27">
        <f>DEMANDA_PREVISIÓN!E1234</f>
        <v>52</v>
      </c>
      <c r="F505" s="50"/>
      <c r="G505" s="27">
        <f t="shared" si="48"/>
        <v>6306</v>
      </c>
      <c r="H505" s="56">
        <v>400</v>
      </c>
      <c r="I505" s="57">
        <v>400</v>
      </c>
      <c r="J505" s="50"/>
      <c r="K505" s="57">
        <v>50</v>
      </c>
      <c r="L505" s="202"/>
    </row>
    <row r="506" spans="2:12" ht="15.75">
      <c r="B506" s="207"/>
      <c r="C506" s="202"/>
      <c r="D506" s="27">
        <v>1231</v>
      </c>
      <c r="E506" s="27">
        <f>DEMANDA_PREVISIÓN!E1235</f>
        <v>42</v>
      </c>
      <c r="F506" s="50"/>
      <c r="G506" s="27">
        <f t="shared" si="48"/>
        <v>6264</v>
      </c>
      <c r="H506" s="56">
        <v>400</v>
      </c>
      <c r="I506" s="57">
        <v>400</v>
      </c>
      <c r="J506" s="50"/>
      <c r="K506" s="57">
        <v>50</v>
      </c>
      <c r="L506" s="202"/>
    </row>
    <row r="507" spans="2:12" ht="15.75">
      <c r="B507" s="207"/>
      <c r="C507" s="202"/>
      <c r="D507" s="27">
        <v>1232</v>
      </c>
      <c r="E507" s="27">
        <f>DEMANDA_PREVISIÓN!E1236</f>
        <v>45</v>
      </c>
      <c r="F507" s="50"/>
      <c r="G507" s="56">
        <f>H506+G506</f>
        <v>6664</v>
      </c>
      <c r="H507" s="27"/>
      <c r="I507" s="57">
        <v>400</v>
      </c>
      <c r="J507" s="50"/>
      <c r="K507" s="57">
        <v>50</v>
      </c>
      <c r="L507" s="202"/>
    </row>
    <row r="508" spans="2:12" ht="15.75">
      <c r="B508" s="207"/>
      <c r="C508" s="202"/>
      <c r="D508" s="27">
        <v>1233</v>
      </c>
      <c r="E508" s="27">
        <f>DEMANDA_PREVISIÓN!E1237</f>
        <v>39</v>
      </c>
      <c r="F508" s="50"/>
      <c r="G508" s="27">
        <f>G507-E508</f>
        <v>6625</v>
      </c>
      <c r="H508" s="57">
        <v>400</v>
      </c>
      <c r="I508" s="57">
        <v>400</v>
      </c>
      <c r="J508" s="50"/>
      <c r="K508" s="57">
        <v>50</v>
      </c>
      <c r="L508" s="202"/>
    </row>
    <row r="509" spans="2:12" ht="15.75">
      <c r="B509" s="207"/>
      <c r="C509" s="202"/>
      <c r="D509" s="27">
        <v>1234</v>
      </c>
      <c r="E509" s="27">
        <f>DEMANDA_PREVISIÓN!E1238</f>
        <v>42</v>
      </c>
      <c r="F509" s="50"/>
      <c r="G509" s="27">
        <f>G508-E509</f>
        <v>6583</v>
      </c>
      <c r="H509" s="57">
        <v>400</v>
      </c>
      <c r="I509" s="58">
        <v>400</v>
      </c>
      <c r="J509" s="50"/>
      <c r="K509" s="58">
        <v>50</v>
      </c>
      <c r="L509" s="202"/>
    </row>
    <row r="510" spans="2:12" ht="15.75">
      <c r="B510" s="207"/>
      <c r="C510" s="202"/>
      <c r="D510" s="27">
        <v>1235</v>
      </c>
      <c r="E510" s="27">
        <f>DEMANDA_PREVISIÓN!E1239</f>
        <v>46</v>
      </c>
      <c r="F510" s="50"/>
      <c r="G510" s="27">
        <f>G509-E510</f>
        <v>6537</v>
      </c>
      <c r="H510" s="57">
        <v>400</v>
      </c>
      <c r="I510" s="58">
        <v>400</v>
      </c>
      <c r="J510" s="50"/>
      <c r="K510" s="58">
        <v>50</v>
      </c>
      <c r="L510" s="202"/>
    </row>
    <row r="511" spans="2:12" ht="15.75">
      <c r="B511" s="207"/>
      <c r="C511" s="202"/>
      <c r="D511" s="27">
        <v>1236</v>
      </c>
      <c r="E511" s="27">
        <f>DEMANDA_PREVISIÓN!E1240</f>
        <v>46</v>
      </c>
      <c r="F511" s="50"/>
      <c r="G511" s="27">
        <f>G510-E511</f>
        <v>6491</v>
      </c>
      <c r="H511" s="57">
        <v>400</v>
      </c>
      <c r="I511" s="58">
        <v>400</v>
      </c>
      <c r="J511" s="50"/>
      <c r="K511" s="58">
        <v>50</v>
      </c>
      <c r="L511" s="202"/>
    </row>
    <row r="512" spans="2:12" ht="15.75">
      <c r="B512" s="207"/>
      <c r="C512" s="202"/>
      <c r="D512" s="27">
        <v>1237</v>
      </c>
      <c r="E512" s="27">
        <f>DEMANDA_PREVISIÓN!E1241</f>
        <v>46</v>
      </c>
      <c r="F512" s="50"/>
      <c r="G512" s="27">
        <f t="shared" ref="G512:G514" si="49">G511-E512</f>
        <v>6445</v>
      </c>
      <c r="H512" s="57">
        <v>400</v>
      </c>
      <c r="I512" s="58">
        <v>400</v>
      </c>
      <c r="J512" s="50"/>
      <c r="K512" s="58">
        <v>50</v>
      </c>
      <c r="L512" s="202"/>
    </row>
    <row r="513" spans="2:12" ht="15.75">
      <c r="B513" s="207"/>
      <c r="C513" s="202"/>
      <c r="D513" s="27">
        <v>1238</v>
      </c>
      <c r="E513" s="27">
        <f>DEMANDA_PREVISIÓN!E1242</f>
        <v>48</v>
      </c>
      <c r="F513" s="50"/>
      <c r="G513" s="27">
        <f t="shared" si="49"/>
        <v>6397</v>
      </c>
      <c r="H513" s="57">
        <v>400</v>
      </c>
      <c r="I513" s="58">
        <v>400</v>
      </c>
      <c r="J513" s="50"/>
      <c r="K513" s="58">
        <v>50</v>
      </c>
      <c r="L513" s="202"/>
    </row>
    <row r="514" spans="2:12" ht="15.75">
      <c r="B514" s="207"/>
      <c r="C514" s="202"/>
      <c r="D514" s="27">
        <v>1239</v>
      </c>
      <c r="E514" s="27">
        <f>DEMANDA_PREVISIÓN!E1243</f>
        <v>48</v>
      </c>
      <c r="F514" s="50"/>
      <c r="G514" s="27">
        <f t="shared" si="49"/>
        <v>6349</v>
      </c>
      <c r="H514" s="57">
        <v>400</v>
      </c>
      <c r="I514" s="58">
        <v>400</v>
      </c>
      <c r="J514" s="50"/>
      <c r="K514" s="58">
        <v>50</v>
      </c>
      <c r="L514" s="202"/>
    </row>
    <row r="515" spans="2:12" ht="15.75">
      <c r="B515" s="207"/>
      <c r="C515" s="202"/>
      <c r="D515" s="27">
        <v>1240</v>
      </c>
      <c r="E515" s="27">
        <f>DEMANDA_PREVISIÓN!E1244</f>
        <v>49</v>
      </c>
      <c r="F515" s="50"/>
      <c r="G515" s="57">
        <f>H514+G514</f>
        <v>6749</v>
      </c>
      <c r="I515" s="58">
        <v>400</v>
      </c>
      <c r="J515" s="47"/>
      <c r="K515" s="58">
        <v>50</v>
      </c>
      <c r="L515" s="202"/>
    </row>
    <row r="516" spans="2:12" ht="15.75">
      <c r="B516" s="207"/>
      <c r="C516" s="202"/>
      <c r="D516" s="27">
        <v>1241</v>
      </c>
      <c r="E516" s="27">
        <f>DEMANDA_PREVISIÓN!E1245</f>
        <v>46</v>
      </c>
      <c r="F516" s="50"/>
      <c r="G516" s="27">
        <f t="shared" ref="G516:G522" si="50">G515-E516</f>
        <v>6703</v>
      </c>
      <c r="H516" s="58">
        <v>400</v>
      </c>
      <c r="I516" s="58">
        <v>400</v>
      </c>
      <c r="J516" s="50"/>
      <c r="K516" s="58">
        <v>50</v>
      </c>
      <c r="L516" s="202"/>
    </row>
    <row r="517" spans="2:12" ht="15.75">
      <c r="B517" s="207"/>
      <c r="C517" s="202"/>
      <c r="D517" s="27">
        <v>1242</v>
      </c>
      <c r="E517" s="27">
        <f>DEMANDA_PREVISIÓN!E1246</f>
        <v>36</v>
      </c>
      <c r="F517" s="50"/>
      <c r="G517" s="27">
        <f t="shared" si="50"/>
        <v>6667</v>
      </c>
      <c r="H517" s="58">
        <v>400</v>
      </c>
      <c r="I517" s="68">
        <v>400</v>
      </c>
      <c r="J517" s="50"/>
      <c r="K517" s="68">
        <v>50</v>
      </c>
      <c r="L517" s="202"/>
    </row>
    <row r="518" spans="2:12" ht="15.75">
      <c r="B518" s="207"/>
      <c r="C518" s="202"/>
      <c r="D518" s="27">
        <v>1243</v>
      </c>
      <c r="E518" s="27">
        <f>DEMANDA_PREVISIÓN!E1247</f>
        <v>34</v>
      </c>
      <c r="F518" s="50"/>
      <c r="G518" s="27">
        <f t="shared" si="50"/>
        <v>6633</v>
      </c>
      <c r="H518" s="58">
        <v>400</v>
      </c>
      <c r="I518" s="68">
        <v>400</v>
      </c>
      <c r="J518" s="50"/>
      <c r="K518" s="68">
        <v>50</v>
      </c>
      <c r="L518" s="202"/>
    </row>
    <row r="519" spans="2:12" ht="15.75">
      <c r="B519" s="207"/>
      <c r="C519" s="202"/>
      <c r="D519" s="27">
        <v>1244</v>
      </c>
      <c r="E519" s="27">
        <f>DEMANDA_PREVISIÓN!E1248</f>
        <v>41</v>
      </c>
      <c r="F519" s="50"/>
      <c r="G519" s="27">
        <f t="shared" si="50"/>
        <v>6592</v>
      </c>
      <c r="H519" s="58">
        <v>400</v>
      </c>
      <c r="I519" s="68">
        <v>400</v>
      </c>
      <c r="J519" s="50"/>
      <c r="K519" s="68">
        <v>50</v>
      </c>
      <c r="L519" s="202"/>
    </row>
    <row r="520" spans="2:12" ht="15.75">
      <c r="B520" s="207"/>
      <c r="C520" s="202"/>
      <c r="D520" s="27">
        <v>1245</v>
      </c>
      <c r="E520" s="27">
        <f>DEMANDA_PREVISIÓN!E1249</f>
        <v>38</v>
      </c>
      <c r="F520" s="50"/>
      <c r="G520" s="27">
        <f t="shared" si="50"/>
        <v>6554</v>
      </c>
      <c r="H520" s="58">
        <v>400</v>
      </c>
      <c r="I520" s="68">
        <v>400</v>
      </c>
      <c r="J520" s="50"/>
      <c r="K520" s="68">
        <v>50</v>
      </c>
      <c r="L520" s="202"/>
    </row>
    <row r="521" spans="2:12" ht="15.75">
      <c r="B521" s="207"/>
      <c r="C521" s="202"/>
      <c r="D521" s="27">
        <v>1246</v>
      </c>
      <c r="E521" s="27">
        <f>DEMANDA_PREVISIÓN!E1250</f>
        <v>35</v>
      </c>
      <c r="F521" s="50"/>
      <c r="G521" s="27">
        <f t="shared" si="50"/>
        <v>6519</v>
      </c>
      <c r="H521" s="58">
        <v>400</v>
      </c>
      <c r="I521" s="68">
        <v>400</v>
      </c>
      <c r="J521" s="50"/>
      <c r="K521" s="68">
        <v>50</v>
      </c>
      <c r="L521" s="202"/>
    </row>
    <row r="522" spans="2:12" ht="15.75">
      <c r="B522" s="207"/>
      <c r="C522" s="202"/>
      <c r="D522" s="27">
        <v>1247</v>
      </c>
      <c r="E522" s="27">
        <f>DEMANDA_PREVISIÓN!E1251</f>
        <v>36</v>
      </c>
      <c r="F522" s="50"/>
      <c r="G522" s="27">
        <f t="shared" si="50"/>
        <v>6483</v>
      </c>
      <c r="H522" s="58">
        <v>400</v>
      </c>
      <c r="I522" s="68">
        <v>400</v>
      </c>
      <c r="J522" s="50"/>
      <c r="K522" s="68">
        <v>50</v>
      </c>
      <c r="L522" s="202"/>
    </row>
    <row r="523" spans="2:12" ht="15.75">
      <c r="B523" s="207"/>
      <c r="C523" s="202"/>
      <c r="D523" s="27">
        <v>1248</v>
      </c>
      <c r="E523" s="27">
        <f>DEMANDA_PREVISIÓN!E1252</f>
        <v>32</v>
      </c>
      <c r="F523" s="50"/>
      <c r="G523" s="58">
        <f>H522+G522</f>
        <v>6883</v>
      </c>
      <c r="H523" s="27"/>
      <c r="I523" s="68">
        <v>400</v>
      </c>
      <c r="J523" s="50"/>
      <c r="K523" s="68">
        <v>50</v>
      </c>
      <c r="L523" s="202"/>
    </row>
    <row r="524" spans="2:12" ht="15.75">
      <c r="B524" s="207"/>
      <c r="C524" s="202"/>
      <c r="D524" s="27">
        <v>1249</v>
      </c>
      <c r="E524" s="27">
        <f>DEMANDA_PREVISIÓN!E1253</f>
        <v>38</v>
      </c>
      <c r="F524" s="50"/>
      <c r="G524" s="27">
        <f t="shared" ref="G524:G530" si="51">G523-E524</f>
        <v>6845</v>
      </c>
      <c r="H524" s="68">
        <v>400</v>
      </c>
      <c r="I524" s="68">
        <v>400</v>
      </c>
      <c r="J524" s="50"/>
      <c r="K524" s="68">
        <v>50</v>
      </c>
      <c r="L524" s="202"/>
    </row>
    <row r="525" spans="2:12" ht="15.75">
      <c r="B525" s="207"/>
      <c r="C525" s="202"/>
      <c r="D525" s="27">
        <v>1250</v>
      </c>
      <c r="E525" s="27">
        <f>DEMANDA_PREVISIÓN!E1254</f>
        <v>39</v>
      </c>
      <c r="F525" s="50"/>
      <c r="G525" s="27">
        <f t="shared" si="51"/>
        <v>6806</v>
      </c>
      <c r="H525" s="68">
        <v>400</v>
      </c>
      <c r="I525" s="70">
        <v>400</v>
      </c>
      <c r="J525" s="50"/>
      <c r="K525" s="70">
        <v>50</v>
      </c>
      <c r="L525" s="202"/>
    </row>
    <row r="526" spans="2:12" ht="15.75">
      <c r="B526" s="207"/>
      <c r="C526" s="202"/>
      <c r="D526" s="27">
        <v>1251</v>
      </c>
      <c r="E526" s="27">
        <f>DEMANDA_PREVISIÓN!E1255</f>
        <v>46</v>
      </c>
      <c r="F526" s="50"/>
      <c r="G526" s="27">
        <f t="shared" si="51"/>
        <v>6760</v>
      </c>
      <c r="H526" s="68">
        <v>400</v>
      </c>
      <c r="I526" s="70">
        <v>400</v>
      </c>
      <c r="J526" s="50"/>
      <c r="K526" s="70">
        <v>50</v>
      </c>
      <c r="L526" s="202"/>
    </row>
    <row r="527" spans="2:12" ht="15.75">
      <c r="B527" s="207"/>
      <c r="C527" s="202"/>
      <c r="D527" s="27">
        <v>1252</v>
      </c>
      <c r="E527" s="27">
        <f>DEMANDA_PREVISIÓN!E1256</f>
        <v>35</v>
      </c>
      <c r="F527" s="50"/>
      <c r="G527" s="27">
        <f t="shared" si="51"/>
        <v>6725</v>
      </c>
      <c r="H527" s="68">
        <v>400</v>
      </c>
      <c r="I527" s="70">
        <v>400</v>
      </c>
      <c r="J527" s="50"/>
      <c r="K527" s="70">
        <v>50</v>
      </c>
      <c r="L527" s="202"/>
    </row>
    <row r="528" spans="2:12" ht="15.75">
      <c r="B528" s="207"/>
      <c r="C528" s="202"/>
      <c r="D528" s="27">
        <v>1253</v>
      </c>
      <c r="E528" s="27">
        <f>DEMANDA_PREVISIÓN!E1257</f>
        <v>34</v>
      </c>
      <c r="F528" s="50"/>
      <c r="G528" s="27">
        <f t="shared" si="51"/>
        <v>6691</v>
      </c>
      <c r="H528" s="68">
        <v>400</v>
      </c>
      <c r="I528" s="70">
        <v>400</v>
      </c>
      <c r="J528" s="50"/>
      <c r="K528" s="70">
        <v>50</v>
      </c>
      <c r="L528" s="202"/>
    </row>
    <row r="529" spans="2:12" ht="15.75">
      <c r="B529" s="207"/>
      <c r="C529" s="202"/>
      <c r="D529" s="27">
        <v>1254</v>
      </c>
      <c r="E529" s="27">
        <f>DEMANDA_PREVISIÓN!E1258</f>
        <v>49</v>
      </c>
      <c r="F529" s="50"/>
      <c r="G529" s="27">
        <f t="shared" si="51"/>
        <v>6642</v>
      </c>
      <c r="H529" s="68">
        <v>400</v>
      </c>
      <c r="I529" s="70">
        <v>400</v>
      </c>
      <c r="J529" s="50"/>
      <c r="K529" s="70">
        <v>50</v>
      </c>
      <c r="L529" s="202"/>
    </row>
    <row r="530" spans="2:12" ht="15.75">
      <c r="B530" s="207"/>
      <c r="C530" s="202"/>
      <c r="D530" s="27">
        <v>1255</v>
      </c>
      <c r="E530" s="27">
        <f>DEMANDA_PREVISIÓN!E1259</f>
        <v>37</v>
      </c>
      <c r="F530" s="50"/>
      <c r="G530" s="27">
        <f t="shared" si="51"/>
        <v>6605</v>
      </c>
      <c r="H530" s="68">
        <v>400</v>
      </c>
      <c r="I530" s="70">
        <v>400</v>
      </c>
      <c r="J530" s="50"/>
      <c r="K530" s="70">
        <v>50</v>
      </c>
      <c r="L530" s="202"/>
    </row>
    <row r="531" spans="2:12" ht="15.75">
      <c r="B531" s="207"/>
      <c r="C531" s="202"/>
      <c r="D531" s="27">
        <v>1256</v>
      </c>
      <c r="E531" s="27">
        <f>DEMANDA_PREVISIÓN!E1260</f>
        <v>48</v>
      </c>
      <c r="F531" s="50"/>
      <c r="G531" s="68">
        <f>H530+G530</f>
        <v>7005</v>
      </c>
      <c r="H531" s="27"/>
      <c r="I531" s="70">
        <v>400</v>
      </c>
      <c r="J531" s="50"/>
      <c r="K531" s="70">
        <v>50</v>
      </c>
      <c r="L531" s="202"/>
    </row>
    <row r="532" spans="2:12" ht="15.75">
      <c r="B532" s="207"/>
      <c r="C532" s="202"/>
      <c r="D532" s="27">
        <v>1257</v>
      </c>
      <c r="E532" s="27">
        <f>DEMANDA_PREVISIÓN!E1261</f>
        <v>44</v>
      </c>
      <c r="F532" s="50"/>
      <c r="G532" s="27">
        <f t="shared" ref="G532:G538" si="52">G531-E532</f>
        <v>6961</v>
      </c>
      <c r="H532" s="70">
        <v>400</v>
      </c>
      <c r="I532" s="70">
        <v>400</v>
      </c>
      <c r="J532" s="50"/>
      <c r="K532" s="70">
        <v>50</v>
      </c>
      <c r="L532" s="202"/>
    </row>
    <row r="533" spans="2:12" ht="15.75">
      <c r="B533" s="207"/>
      <c r="C533" s="202"/>
      <c r="D533" s="27">
        <v>1258</v>
      </c>
      <c r="E533" s="27">
        <f>DEMANDA_PREVISIÓN!E1262</f>
        <v>42</v>
      </c>
      <c r="F533" s="50"/>
      <c r="G533" s="27">
        <f t="shared" si="52"/>
        <v>6919</v>
      </c>
      <c r="H533" s="70">
        <v>400</v>
      </c>
      <c r="I533" s="56">
        <v>400</v>
      </c>
      <c r="J533" s="50"/>
      <c r="K533" s="56">
        <v>50</v>
      </c>
      <c r="L533" s="202"/>
    </row>
    <row r="534" spans="2:12" ht="15.75">
      <c r="B534" s="207"/>
      <c r="C534" s="203"/>
      <c r="D534" s="27">
        <v>1259</v>
      </c>
      <c r="E534" s="27">
        <f>DEMANDA_PREVISIÓN!E1263</f>
        <v>31</v>
      </c>
      <c r="F534" s="50"/>
      <c r="G534" s="27">
        <f t="shared" si="52"/>
        <v>6888</v>
      </c>
      <c r="H534" s="70">
        <v>400</v>
      </c>
      <c r="I534" s="56">
        <v>400</v>
      </c>
      <c r="J534" s="50"/>
      <c r="K534" s="56">
        <v>50</v>
      </c>
      <c r="L534" s="203"/>
    </row>
    <row r="535" spans="2:12" ht="15.75">
      <c r="B535" s="207"/>
      <c r="C535" s="201">
        <v>19</v>
      </c>
      <c r="D535" s="27">
        <v>1260</v>
      </c>
      <c r="E535" s="27">
        <f>DEMANDA_PREVISIÓN!E1264</f>
        <v>42</v>
      </c>
      <c r="F535" s="50"/>
      <c r="G535" s="27">
        <f t="shared" si="52"/>
        <v>6846</v>
      </c>
      <c r="H535" s="70">
        <v>400</v>
      </c>
      <c r="I535" s="56">
        <v>400</v>
      </c>
      <c r="J535" s="50"/>
      <c r="K535" s="56">
        <v>50</v>
      </c>
      <c r="L535" s="201"/>
    </row>
    <row r="536" spans="2:12" ht="15.75">
      <c r="B536" s="207"/>
      <c r="C536" s="202"/>
      <c r="D536" s="27">
        <v>1261</v>
      </c>
      <c r="E536" s="27">
        <f>DEMANDA_PREVISIÓN!E1265</f>
        <v>39</v>
      </c>
      <c r="F536" s="50"/>
      <c r="G536" s="27">
        <f t="shared" si="52"/>
        <v>6807</v>
      </c>
      <c r="H536" s="70">
        <v>400</v>
      </c>
      <c r="I536" s="56">
        <v>400</v>
      </c>
      <c r="J536" s="50"/>
      <c r="K536" s="56">
        <v>50</v>
      </c>
      <c r="L536" s="202"/>
    </row>
    <row r="537" spans="2:12" ht="15.75">
      <c r="B537" s="207"/>
      <c r="C537" s="202"/>
      <c r="D537" s="27">
        <v>1262</v>
      </c>
      <c r="E537" s="27">
        <f>DEMANDA_PREVISIÓN!E1266</f>
        <v>38</v>
      </c>
      <c r="F537" s="50"/>
      <c r="G537" s="27">
        <f t="shared" si="52"/>
        <v>6769</v>
      </c>
      <c r="H537" s="70">
        <v>400</v>
      </c>
      <c r="I537" s="56">
        <v>400</v>
      </c>
      <c r="J537" s="50"/>
      <c r="K537" s="56">
        <v>50</v>
      </c>
      <c r="L537" s="202"/>
    </row>
    <row r="538" spans="2:12" ht="15.75">
      <c r="B538" s="207"/>
      <c r="C538" s="202"/>
      <c r="D538" s="27">
        <v>1263</v>
      </c>
      <c r="E538" s="27">
        <f>DEMANDA_PREVISIÓN!E1267</f>
        <v>49</v>
      </c>
      <c r="F538" s="50"/>
      <c r="G538" s="27">
        <f t="shared" si="52"/>
        <v>6720</v>
      </c>
      <c r="H538" s="70">
        <v>400</v>
      </c>
      <c r="I538" s="56">
        <v>400</v>
      </c>
      <c r="J538" s="50"/>
      <c r="K538" s="56">
        <v>50</v>
      </c>
      <c r="L538" s="202"/>
    </row>
    <row r="539" spans="2:12" ht="15.75">
      <c r="B539" s="207"/>
      <c r="C539" s="202"/>
      <c r="D539" s="27">
        <v>1264</v>
      </c>
      <c r="E539" s="27">
        <f>DEMANDA_PREVISIÓN!E1268</f>
        <v>34</v>
      </c>
      <c r="F539" s="50"/>
      <c r="G539" s="70">
        <f>H538+G538</f>
        <v>7120</v>
      </c>
      <c r="H539" s="27"/>
      <c r="I539" s="56">
        <v>400</v>
      </c>
      <c r="J539" s="50"/>
      <c r="K539" s="56">
        <v>50</v>
      </c>
      <c r="L539" s="202"/>
    </row>
    <row r="540" spans="2:12" ht="15.75">
      <c r="B540" s="207"/>
      <c r="C540" s="202"/>
      <c r="D540" s="27">
        <v>1265</v>
      </c>
      <c r="E540" s="27">
        <f>DEMANDA_PREVISIÓN!E1269</f>
        <v>47</v>
      </c>
      <c r="F540" s="50"/>
      <c r="G540" s="27">
        <f t="shared" ref="G540:G546" si="53">G539-E540</f>
        <v>7073</v>
      </c>
      <c r="H540" s="56">
        <v>400</v>
      </c>
      <c r="I540" s="56">
        <v>400</v>
      </c>
      <c r="J540" s="50"/>
      <c r="K540" s="56">
        <v>50</v>
      </c>
      <c r="L540" s="202"/>
    </row>
    <row r="541" spans="2:12" ht="15.75">
      <c r="B541" s="207"/>
      <c r="C541" s="202"/>
      <c r="D541" s="27">
        <v>1266</v>
      </c>
      <c r="E541" s="27">
        <f>DEMANDA_PREVISIÓN!E1270</f>
        <v>49</v>
      </c>
      <c r="F541" s="50"/>
      <c r="G541" s="27">
        <f t="shared" si="53"/>
        <v>7024</v>
      </c>
      <c r="H541" s="56">
        <v>400</v>
      </c>
      <c r="I541" s="57">
        <v>400</v>
      </c>
      <c r="J541" s="50"/>
      <c r="K541" s="57">
        <v>50</v>
      </c>
      <c r="L541" s="202"/>
    </row>
    <row r="542" spans="2:12" ht="15.75">
      <c r="B542" s="207"/>
      <c r="C542" s="202"/>
      <c r="D542" s="27">
        <v>1267</v>
      </c>
      <c r="E542" s="27">
        <f>DEMANDA_PREVISIÓN!E1271</f>
        <v>47</v>
      </c>
      <c r="F542" s="50"/>
      <c r="G542" s="27">
        <f t="shared" si="53"/>
        <v>6977</v>
      </c>
      <c r="H542" s="56">
        <v>400</v>
      </c>
      <c r="I542" s="57">
        <v>400</v>
      </c>
      <c r="J542" s="50"/>
      <c r="K542" s="57">
        <v>50</v>
      </c>
      <c r="L542" s="202"/>
    </row>
    <row r="543" spans="2:12" ht="15.75">
      <c r="B543" s="207"/>
      <c r="C543" s="202"/>
      <c r="D543" s="27">
        <v>1268</v>
      </c>
      <c r="E543" s="27">
        <f>DEMANDA_PREVISIÓN!E1272</f>
        <v>42</v>
      </c>
      <c r="F543" s="50"/>
      <c r="G543" s="27">
        <f t="shared" si="53"/>
        <v>6935</v>
      </c>
      <c r="H543" s="56">
        <v>400</v>
      </c>
      <c r="I543" s="57">
        <v>400</v>
      </c>
      <c r="J543" s="50"/>
      <c r="K543" s="57">
        <v>50</v>
      </c>
      <c r="L543" s="202"/>
    </row>
    <row r="544" spans="2:12" ht="15.75">
      <c r="B544" s="207"/>
      <c r="C544" s="202"/>
      <c r="D544" s="27">
        <v>1269</v>
      </c>
      <c r="E544" s="27">
        <f>DEMANDA_PREVISIÓN!E1273</f>
        <v>39</v>
      </c>
      <c r="F544" s="50"/>
      <c r="G544" s="27">
        <f t="shared" si="53"/>
        <v>6896</v>
      </c>
      <c r="H544" s="56">
        <v>400</v>
      </c>
      <c r="I544" s="57">
        <v>400</v>
      </c>
      <c r="J544" s="50"/>
      <c r="K544" s="57">
        <v>50</v>
      </c>
      <c r="L544" s="202"/>
    </row>
    <row r="545" spans="2:12" ht="15.75">
      <c r="B545" s="207"/>
      <c r="C545" s="202"/>
      <c r="D545" s="27">
        <v>1270</v>
      </c>
      <c r="E545" s="27">
        <f>DEMANDA_PREVISIÓN!E1274</f>
        <v>49</v>
      </c>
      <c r="F545" s="50"/>
      <c r="G545" s="27">
        <f t="shared" si="53"/>
        <v>6847</v>
      </c>
      <c r="H545" s="56">
        <v>400</v>
      </c>
      <c r="I545" s="57">
        <v>400</v>
      </c>
      <c r="J545" s="50"/>
      <c r="K545" s="57">
        <v>50</v>
      </c>
      <c r="L545" s="202"/>
    </row>
    <row r="546" spans="2:12" ht="15.75">
      <c r="B546" s="207"/>
      <c r="C546" s="202"/>
      <c r="D546" s="27">
        <v>1271</v>
      </c>
      <c r="E546" s="27">
        <f>DEMANDA_PREVISIÓN!E1275</f>
        <v>43</v>
      </c>
      <c r="F546" s="50"/>
      <c r="G546" s="27">
        <f t="shared" si="53"/>
        <v>6804</v>
      </c>
      <c r="H546" s="56">
        <v>400</v>
      </c>
      <c r="I546" s="57">
        <v>400</v>
      </c>
      <c r="J546" s="50"/>
      <c r="K546" s="57">
        <v>50</v>
      </c>
      <c r="L546" s="202"/>
    </row>
    <row r="547" spans="2:12" ht="15.75">
      <c r="B547" s="207"/>
      <c r="C547" s="202"/>
      <c r="D547" s="27">
        <v>1272</v>
      </c>
      <c r="E547" s="27">
        <f>DEMANDA_PREVISIÓN!E1276</f>
        <v>44</v>
      </c>
      <c r="F547" s="50"/>
      <c r="G547" s="56">
        <f>H546+G546</f>
        <v>7204</v>
      </c>
      <c r="H547" s="27"/>
      <c r="I547" s="57">
        <v>400</v>
      </c>
      <c r="J547" s="50"/>
      <c r="K547" s="57">
        <v>50</v>
      </c>
      <c r="L547" s="202"/>
    </row>
    <row r="548" spans="2:12" ht="15.75">
      <c r="B548" s="207"/>
      <c r="C548" s="202"/>
      <c r="D548" s="27">
        <v>1273</v>
      </c>
      <c r="E548" s="27">
        <f>DEMANDA_PREVISIÓN!E1277</f>
        <v>37</v>
      </c>
      <c r="F548" s="50"/>
      <c r="G548" s="27">
        <f>G547-E548</f>
        <v>7167</v>
      </c>
      <c r="H548" s="57">
        <v>400</v>
      </c>
      <c r="I548" s="57">
        <v>400</v>
      </c>
      <c r="J548" s="50"/>
      <c r="K548" s="57">
        <v>50</v>
      </c>
      <c r="L548" s="202"/>
    </row>
    <row r="549" spans="2:12" ht="15.75">
      <c r="B549" s="208" t="s">
        <v>48</v>
      </c>
      <c r="C549" s="202"/>
      <c r="D549" s="27">
        <v>1274</v>
      </c>
      <c r="E549" s="27">
        <f>DEMANDA_PREVISIÓN!E1278</f>
        <v>40</v>
      </c>
      <c r="F549" s="50"/>
      <c r="G549" s="27">
        <f>G548-E549</f>
        <v>7127</v>
      </c>
      <c r="H549" s="57">
        <v>400</v>
      </c>
      <c r="I549" s="58">
        <v>400</v>
      </c>
      <c r="J549" s="50"/>
      <c r="K549" s="58">
        <v>50</v>
      </c>
      <c r="L549" s="202"/>
    </row>
    <row r="550" spans="2:12" ht="15.75">
      <c r="B550" s="208"/>
      <c r="C550" s="202"/>
      <c r="D550" s="27">
        <v>1275</v>
      </c>
      <c r="E550" s="27">
        <f>DEMANDA_PREVISIÓN!E1279</f>
        <v>41</v>
      </c>
      <c r="F550" s="50"/>
      <c r="G550" s="27">
        <f>G549-E550</f>
        <v>7086</v>
      </c>
      <c r="H550" s="57">
        <v>400</v>
      </c>
      <c r="I550" s="58">
        <v>400</v>
      </c>
      <c r="J550" s="50"/>
      <c r="K550" s="58">
        <v>50</v>
      </c>
      <c r="L550" s="202"/>
    </row>
    <row r="551" spans="2:12" ht="15.75">
      <c r="B551" s="208"/>
      <c r="C551" s="202"/>
      <c r="D551" s="27">
        <v>1276</v>
      </c>
      <c r="E551" s="27">
        <f>DEMANDA_PREVISIÓN!E1280</f>
        <v>43</v>
      </c>
      <c r="F551" s="50"/>
      <c r="G551" s="27">
        <f>G550-E551</f>
        <v>7043</v>
      </c>
      <c r="H551" s="57">
        <v>400</v>
      </c>
      <c r="I551" s="58">
        <v>400</v>
      </c>
      <c r="J551" s="50"/>
      <c r="K551" s="58">
        <v>50</v>
      </c>
      <c r="L551" s="202"/>
    </row>
    <row r="552" spans="2:12" ht="15.75">
      <c r="B552" s="208"/>
      <c r="C552" s="202"/>
      <c r="D552" s="27">
        <v>1277</v>
      </c>
      <c r="E552" s="27">
        <f>DEMANDA_PREVISIÓN!E1281</f>
        <v>38</v>
      </c>
      <c r="F552" s="50"/>
      <c r="G552" s="27">
        <f t="shared" ref="G552:G554" si="54">G551-E552</f>
        <v>7005</v>
      </c>
      <c r="H552" s="57">
        <v>400</v>
      </c>
      <c r="I552" s="58">
        <v>400</v>
      </c>
      <c r="J552" s="50"/>
      <c r="K552" s="58">
        <v>50</v>
      </c>
      <c r="L552" s="202"/>
    </row>
    <row r="553" spans="2:12" ht="15.75">
      <c r="B553" s="208"/>
      <c r="C553" s="202"/>
      <c r="D553" s="27">
        <v>1278</v>
      </c>
      <c r="E553" s="27">
        <f>DEMANDA_PREVISIÓN!E1282</f>
        <v>34</v>
      </c>
      <c r="F553" s="50"/>
      <c r="G553" s="27">
        <f t="shared" si="54"/>
        <v>6971</v>
      </c>
      <c r="H553" s="57">
        <v>400</v>
      </c>
      <c r="I553" s="58">
        <v>400</v>
      </c>
      <c r="J553" s="50"/>
      <c r="K553" s="58">
        <v>50</v>
      </c>
      <c r="L553" s="202"/>
    </row>
    <row r="554" spans="2:12" ht="15.75">
      <c r="B554" s="208"/>
      <c r="C554" s="202"/>
      <c r="D554" s="27">
        <v>1279</v>
      </c>
      <c r="E554" s="27">
        <f>DEMANDA_PREVISIÓN!E1283</f>
        <v>47</v>
      </c>
      <c r="F554" s="50"/>
      <c r="G554" s="27">
        <f t="shared" si="54"/>
        <v>6924</v>
      </c>
      <c r="H554" s="57">
        <v>400</v>
      </c>
      <c r="I554" s="58">
        <v>400</v>
      </c>
      <c r="J554" s="50"/>
      <c r="K554" s="58">
        <v>50</v>
      </c>
      <c r="L554" s="202"/>
    </row>
    <row r="555" spans="2:12" ht="15.75">
      <c r="B555" s="208"/>
      <c r="C555" s="202"/>
      <c r="D555" s="27">
        <v>1280</v>
      </c>
      <c r="E555" s="27">
        <f>DEMANDA_PREVISIÓN!E1284</f>
        <v>36</v>
      </c>
      <c r="F555" s="50"/>
      <c r="G555" s="57">
        <f>H554+G554</f>
        <v>7324</v>
      </c>
      <c r="I555" s="58">
        <v>400</v>
      </c>
      <c r="J555" s="47"/>
      <c r="K555" s="58">
        <v>50</v>
      </c>
      <c r="L555" s="202"/>
    </row>
    <row r="556" spans="2:12" ht="15.75">
      <c r="B556" s="208"/>
      <c r="C556" s="202"/>
      <c r="D556" s="27">
        <v>1281</v>
      </c>
      <c r="E556" s="27">
        <f>DEMANDA_PREVISIÓN!E1285</f>
        <v>34</v>
      </c>
      <c r="F556" s="50"/>
      <c r="G556" s="27">
        <f t="shared" ref="G556:G562" si="55">G555-E556</f>
        <v>7290</v>
      </c>
      <c r="H556" s="58">
        <v>400</v>
      </c>
      <c r="I556" s="58">
        <v>400</v>
      </c>
      <c r="J556" s="50"/>
      <c r="K556" s="58">
        <v>50</v>
      </c>
      <c r="L556" s="202"/>
    </row>
    <row r="557" spans="2:12" ht="15.75">
      <c r="B557" s="208"/>
      <c r="C557" s="202"/>
      <c r="D557" s="27">
        <v>1282</v>
      </c>
      <c r="E557" s="27">
        <f>DEMANDA_PREVISIÓN!E1286</f>
        <v>34</v>
      </c>
      <c r="F557" s="50"/>
      <c r="G557" s="27">
        <f t="shared" si="55"/>
        <v>7256</v>
      </c>
      <c r="H557" s="58">
        <v>400</v>
      </c>
      <c r="I557" s="68">
        <v>400</v>
      </c>
      <c r="J557" s="50"/>
      <c r="K557" s="68">
        <v>50</v>
      </c>
      <c r="L557" s="202"/>
    </row>
    <row r="558" spans="2:12" ht="15.75">
      <c r="B558" s="208"/>
      <c r="C558" s="202"/>
      <c r="D558" s="27">
        <v>1283</v>
      </c>
      <c r="E558" s="27">
        <f>DEMANDA_PREVISIÓN!E1287</f>
        <v>38</v>
      </c>
      <c r="F558" s="50"/>
      <c r="G558" s="27">
        <f t="shared" si="55"/>
        <v>7218</v>
      </c>
      <c r="H558" s="58">
        <v>400</v>
      </c>
      <c r="I558" s="68">
        <v>400</v>
      </c>
      <c r="J558" s="50"/>
      <c r="K558" s="68">
        <v>50</v>
      </c>
      <c r="L558" s="202"/>
    </row>
    <row r="559" spans="2:12" ht="15.75">
      <c r="B559" s="208"/>
      <c r="C559" s="202"/>
      <c r="D559" s="27">
        <v>1284</v>
      </c>
      <c r="E559" s="27">
        <f>DEMANDA_PREVISIÓN!E1288</f>
        <v>38</v>
      </c>
      <c r="F559" s="50"/>
      <c r="G559" s="27">
        <f t="shared" si="55"/>
        <v>7180</v>
      </c>
      <c r="H559" s="58">
        <v>400</v>
      </c>
      <c r="I559" s="68">
        <v>400</v>
      </c>
      <c r="J559" s="50"/>
      <c r="K559" s="68">
        <v>50</v>
      </c>
      <c r="L559" s="202"/>
    </row>
    <row r="560" spans="2:12" ht="15.75">
      <c r="B560" s="208"/>
      <c r="C560" s="202"/>
      <c r="D560" s="27">
        <v>1285</v>
      </c>
      <c r="E560" s="27">
        <f>DEMANDA_PREVISIÓN!E1289</f>
        <v>36</v>
      </c>
      <c r="F560" s="50"/>
      <c r="G560" s="27">
        <f t="shared" si="55"/>
        <v>7144</v>
      </c>
      <c r="H560" s="58">
        <v>400</v>
      </c>
      <c r="I560" s="68">
        <v>400</v>
      </c>
      <c r="J560" s="50"/>
      <c r="K560" s="68">
        <v>50</v>
      </c>
      <c r="L560" s="202"/>
    </row>
    <row r="561" spans="2:12" ht="15.75">
      <c r="B561" s="208"/>
      <c r="C561" s="202"/>
      <c r="D561" s="27">
        <v>1286</v>
      </c>
      <c r="E561" s="27">
        <f>DEMANDA_PREVISIÓN!E1290</f>
        <v>41</v>
      </c>
      <c r="F561" s="50"/>
      <c r="G561" s="27">
        <f t="shared" si="55"/>
        <v>7103</v>
      </c>
      <c r="H561" s="58">
        <v>400</v>
      </c>
      <c r="I561" s="68">
        <v>400</v>
      </c>
      <c r="J561" s="50"/>
      <c r="K561" s="68">
        <v>50</v>
      </c>
      <c r="L561" s="202"/>
    </row>
    <row r="562" spans="2:12" ht="15.75">
      <c r="B562" s="208"/>
      <c r="C562" s="202"/>
      <c r="D562" s="27">
        <v>1287</v>
      </c>
      <c r="E562" s="27">
        <f>DEMANDA_PREVISIÓN!E1291</f>
        <v>40</v>
      </c>
      <c r="F562" s="50"/>
      <c r="G562" s="27">
        <f t="shared" si="55"/>
        <v>7063</v>
      </c>
      <c r="H562" s="58">
        <v>400</v>
      </c>
      <c r="I562" s="68">
        <v>400</v>
      </c>
      <c r="J562" s="50"/>
      <c r="K562" s="68">
        <v>50</v>
      </c>
      <c r="L562" s="202"/>
    </row>
    <row r="563" spans="2:12" ht="15.75">
      <c r="B563" s="208"/>
      <c r="C563" s="202"/>
      <c r="D563" s="27">
        <v>1288</v>
      </c>
      <c r="E563" s="27">
        <f>DEMANDA_PREVISIÓN!E1292</f>
        <v>35</v>
      </c>
      <c r="F563" s="50"/>
      <c r="G563" s="58">
        <f>H562+G562</f>
        <v>7463</v>
      </c>
      <c r="H563" s="27"/>
      <c r="I563" s="68">
        <v>400</v>
      </c>
      <c r="J563" s="50"/>
      <c r="K563" s="68">
        <v>50</v>
      </c>
      <c r="L563" s="202"/>
    </row>
    <row r="564" spans="2:12" ht="15.75">
      <c r="B564" s="208"/>
      <c r="C564" s="202"/>
      <c r="D564" s="27">
        <v>1289</v>
      </c>
      <c r="E564" s="27">
        <f>DEMANDA_PREVISIÓN!E1293</f>
        <v>40</v>
      </c>
      <c r="F564" s="50"/>
      <c r="G564" s="27">
        <f t="shared" ref="G564:G570" si="56">G563-E564</f>
        <v>7423</v>
      </c>
      <c r="H564" s="68">
        <v>400</v>
      </c>
      <c r="I564" s="68">
        <v>400</v>
      </c>
      <c r="J564" s="50"/>
      <c r="K564" s="68">
        <v>50</v>
      </c>
      <c r="L564" s="202"/>
    </row>
    <row r="565" spans="2:12" ht="15.75">
      <c r="B565" s="208"/>
      <c r="C565" s="203"/>
      <c r="D565" s="27">
        <v>1290</v>
      </c>
      <c r="E565" s="27">
        <f>DEMANDA_PREVISIÓN!E1294</f>
        <v>29</v>
      </c>
      <c r="F565" s="50"/>
      <c r="G565" s="27">
        <f t="shared" si="56"/>
        <v>7394</v>
      </c>
      <c r="H565" s="68">
        <v>400</v>
      </c>
      <c r="I565" s="70">
        <v>400</v>
      </c>
      <c r="J565" s="50"/>
      <c r="K565" s="70">
        <v>50</v>
      </c>
      <c r="L565" s="203"/>
    </row>
    <row r="566" spans="2:12" ht="15.75">
      <c r="B566" s="208"/>
      <c r="C566" s="201">
        <v>20</v>
      </c>
      <c r="D566" s="27">
        <v>1291</v>
      </c>
      <c r="E566" s="27">
        <f>DEMANDA_PREVISIÓN!E1295</f>
        <v>50</v>
      </c>
      <c r="F566" s="50"/>
      <c r="G566" s="27">
        <f t="shared" si="56"/>
        <v>7344</v>
      </c>
      <c r="H566" s="68">
        <v>400</v>
      </c>
      <c r="I566" s="70">
        <v>400</v>
      </c>
      <c r="J566" s="50"/>
      <c r="K566" s="70">
        <v>50</v>
      </c>
      <c r="L566" s="201"/>
    </row>
    <row r="567" spans="2:12" ht="15.75">
      <c r="B567" s="208"/>
      <c r="C567" s="202"/>
      <c r="D567" s="27">
        <v>1292</v>
      </c>
      <c r="E567" s="27">
        <f>DEMANDA_PREVISIÓN!E1296</f>
        <v>40</v>
      </c>
      <c r="F567" s="50"/>
      <c r="G567" s="27">
        <f t="shared" si="56"/>
        <v>7304</v>
      </c>
      <c r="H567" s="68">
        <v>400</v>
      </c>
      <c r="I567" s="70">
        <v>400</v>
      </c>
      <c r="J567" s="50"/>
      <c r="K567" s="70">
        <v>50</v>
      </c>
      <c r="L567" s="202"/>
    </row>
    <row r="568" spans="2:12" ht="15.75">
      <c r="B568" s="208"/>
      <c r="C568" s="202"/>
      <c r="D568" s="27">
        <v>1293</v>
      </c>
      <c r="E568" s="27">
        <f>DEMANDA_PREVISIÓN!E1297</f>
        <v>34</v>
      </c>
      <c r="F568" s="50"/>
      <c r="G568" s="27">
        <f t="shared" si="56"/>
        <v>7270</v>
      </c>
      <c r="H568" s="68">
        <v>400</v>
      </c>
      <c r="I568" s="70">
        <v>400</v>
      </c>
      <c r="J568" s="50"/>
      <c r="K568" s="70">
        <v>50</v>
      </c>
      <c r="L568" s="202"/>
    </row>
    <row r="569" spans="2:12" ht="15.75">
      <c r="B569" s="208"/>
      <c r="C569" s="202"/>
      <c r="D569" s="27">
        <v>1294</v>
      </c>
      <c r="E569" s="27">
        <f>DEMANDA_PREVISIÓN!E1298</f>
        <v>27</v>
      </c>
      <c r="F569" s="50"/>
      <c r="G569" s="27">
        <f t="shared" si="56"/>
        <v>7243</v>
      </c>
      <c r="H569" s="68">
        <v>400</v>
      </c>
      <c r="I569" s="70">
        <v>400</v>
      </c>
      <c r="J569" s="50"/>
      <c r="K569" s="70">
        <v>50</v>
      </c>
      <c r="L569" s="202"/>
    </row>
    <row r="570" spans="2:12" ht="15.75">
      <c r="B570" s="208"/>
      <c r="C570" s="202"/>
      <c r="D570" s="27">
        <v>1295</v>
      </c>
      <c r="E570" s="27">
        <f>DEMANDA_PREVISIÓN!E1299</f>
        <v>39</v>
      </c>
      <c r="F570" s="50"/>
      <c r="G570" s="27">
        <f t="shared" si="56"/>
        <v>7204</v>
      </c>
      <c r="H570" s="68">
        <v>400</v>
      </c>
      <c r="I570" s="70">
        <v>400</v>
      </c>
      <c r="J570" s="50"/>
      <c r="K570" s="70">
        <v>50</v>
      </c>
      <c r="L570" s="202"/>
    </row>
    <row r="571" spans="2:12" ht="15.75">
      <c r="B571" s="208"/>
      <c r="C571" s="202"/>
      <c r="D571" s="27">
        <v>1296</v>
      </c>
      <c r="E571" s="27">
        <f>DEMANDA_PREVISIÓN!E1300</f>
        <v>47</v>
      </c>
      <c r="F571" s="50"/>
      <c r="G571" s="68">
        <f>H570+G570</f>
        <v>7604</v>
      </c>
      <c r="H571" s="27"/>
      <c r="I571" s="70">
        <v>400</v>
      </c>
      <c r="J571" s="50"/>
      <c r="K571" s="70">
        <v>50</v>
      </c>
      <c r="L571" s="202"/>
    </row>
    <row r="572" spans="2:12" ht="15.75">
      <c r="B572" s="208"/>
      <c r="C572" s="202"/>
      <c r="D572" s="27">
        <v>1297</v>
      </c>
      <c r="E572" s="27">
        <f>DEMANDA_PREVISIÓN!E1301</f>
        <v>42</v>
      </c>
      <c r="F572" s="50"/>
      <c r="G572" s="27">
        <f t="shared" ref="G572:G578" si="57">G571-E572</f>
        <v>7562</v>
      </c>
      <c r="H572" s="70">
        <v>400</v>
      </c>
      <c r="I572" s="70">
        <v>400</v>
      </c>
      <c r="J572" s="50"/>
      <c r="K572" s="70">
        <v>50</v>
      </c>
      <c r="L572" s="202"/>
    </row>
    <row r="573" spans="2:12" ht="15.75">
      <c r="B573" s="208"/>
      <c r="C573" s="202"/>
      <c r="D573" s="27">
        <v>1298</v>
      </c>
      <c r="E573" s="27">
        <f>DEMANDA_PREVISIÓN!E1302</f>
        <v>33</v>
      </c>
      <c r="F573" s="50"/>
      <c r="G573" s="27">
        <f t="shared" si="57"/>
        <v>7529</v>
      </c>
      <c r="H573" s="70">
        <v>400</v>
      </c>
      <c r="I573" s="56">
        <v>400</v>
      </c>
      <c r="J573" s="50"/>
      <c r="K573" s="56">
        <v>50</v>
      </c>
      <c r="L573" s="202"/>
    </row>
    <row r="574" spans="2:12" ht="15.75">
      <c r="B574" s="208"/>
      <c r="C574" s="202"/>
      <c r="D574" s="27">
        <v>1299</v>
      </c>
      <c r="E574" s="27">
        <f>DEMANDA_PREVISIÓN!E1303</f>
        <v>44</v>
      </c>
      <c r="F574" s="50"/>
      <c r="G574" s="27">
        <f t="shared" si="57"/>
        <v>7485</v>
      </c>
      <c r="H574" s="70">
        <v>400</v>
      </c>
      <c r="I574" s="56">
        <v>400</v>
      </c>
      <c r="J574" s="50"/>
      <c r="K574" s="56">
        <v>50</v>
      </c>
      <c r="L574" s="202"/>
    </row>
    <row r="575" spans="2:12" ht="15.75">
      <c r="B575" s="208"/>
      <c r="C575" s="202"/>
      <c r="D575" s="27">
        <v>1300</v>
      </c>
      <c r="E575" s="27">
        <f>DEMANDA_PREVISIÓN!E1304</f>
        <v>44</v>
      </c>
      <c r="F575" s="50"/>
      <c r="G575" s="27">
        <f t="shared" si="57"/>
        <v>7441</v>
      </c>
      <c r="H575" s="70">
        <v>400</v>
      </c>
      <c r="I575" s="56">
        <v>400</v>
      </c>
      <c r="J575" s="50"/>
      <c r="K575" s="56">
        <v>50</v>
      </c>
      <c r="L575" s="202"/>
    </row>
    <row r="576" spans="2:12" ht="15.75">
      <c r="B576" s="208"/>
      <c r="C576" s="202"/>
      <c r="D576" s="27">
        <v>1301</v>
      </c>
      <c r="E576" s="27">
        <f>DEMANDA_PREVISIÓN!E1305</f>
        <v>37</v>
      </c>
      <c r="F576" s="50"/>
      <c r="G576" s="27">
        <f t="shared" si="57"/>
        <v>7404</v>
      </c>
      <c r="H576" s="70">
        <v>400</v>
      </c>
      <c r="I576" s="56">
        <v>400</v>
      </c>
      <c r="J576" s="50"/>
      <c r="K576" s="56">
        <v>50</v>
      </c>
      <c r="L576" s="202"/>
    </row>
    <row r="577" spans="2:12" ht="15.75">
      <c r="B577" s="208"/>
      <c r="C577" s="202"/>
      <c r="D577" s="27">
        <v>1302</v>
      </c>
      <c r="E577" s="27">
        <f>DEMANDA_PREVISIÓN!E1306</f>
        <v>29</v>
      </c>
      <c r="F577" s="50"/>
      <c r="G577" s="27">
        <f t="shared" si="57"/>
        <v>7375</v>
      </c>
      <c r="H577" s="70">
        <v>400</v>
      </c>
      <c r="I577" s="56">
        <v>400</v>
      </c>
      <c r="J577" s="50"/>
      <c r="K577" s="56">
        <v>50</v>
      </c>
      <c r="L577" s="202"/>
    </row>
    <row r="578" spans="2:12" ht="15.75">
      <c r="B578" s="208"/>
      <c r="C578" s="202"/>
      <c r="D578" s="27">
        <v>1303</v>
      </c>
      <c r="E578" s="27">
        <f>DEMANDA_PREVISIÓN!E1307</f>
        <v>40</v>
      </c>
      <c r="F578" s="50"/>
      <c r="G578" s="27">
        <f t="shared" si="57"/>
        <v>7335</v>
      </c>
      <c r="H578" s="70">
        <v>400</v>
      </c>
      <c r="I578" s="56">
        <v>400</v>
      </c>
      <c r="J578" s="50"/>
      <c r="K578" s="56">
        <v>50</v>
      </c>
      <c r="L578" s="202"/>
    </row>
    <row r="579" spans="2:12" ht="15.75">
      <c r="B579" s="208"/>
      <c r="C579" s="202"/>
      <c r="D579" s="27">
        <v>1304</v>
      </c>
      <c r="E579" s="27">
        <f>DEMANDA_PREVISIÓN!E1308</f>
        <v>31</v>
      </c>
      <c r="F579" s="50"/>
      <c r="G579" s="70">
        <f>H578+G578</f>
        <v>7735</v>
      </c>
      <c r="H579" s="27"/>
      <c r="I579" s="56">
        <v>400</v>
      </c>
      <c r="J579" s="50"/>
      <c r="K579" s="56">
        <v>50</v>
      </c>
      <c r="L579" s="202"/>
    </row>
    <row r="580" spans="2:12" ht="15.75">
      <c r="B580" s="208"/>
      <c r="C580" s="202"/>
      <c r="D580" s="27">
        <v>1305</v>
      </c>
      <c r="E580" s="27">
        <f>DEMANDA_PREVISIÓN!E1309</f>
        <v>25</v>
      </c>
      <c r="F580" s="50"/>
      <c r="G580" s="27">
        <f t="shared" ref="G580:G586" si="58">G579-E580</f>
        <v>7710</v>
      </c>
      <c r="H580" s="56">
        <v>400</v>
      </c>
      <c r="I580" s="56">
        <v>400</v>
      </c>
      <c r="J580" s="50"/>
      <c r="K580" s="56">
        <v>50</v>
      </c>
      <c r="L580" s="202"/>
    </row>
    <row r="581" spans="2:12" ht="15.75">
      <c r="B581" s="208"/>
      <c r="C581" s="202"/>
      <c r="D581" s="27">
        <v>1306</v>
      </c>
      <c r="E581" s="27">
        <f>DEMANDA_PREVISIÓN!E1310</f>
        <v>39</v>
      </c>
      <c r="F581" s="50"/>
      <c r="G581" s="27">
        <f t="shared" si="58"/>
        <v>7671</v>
      </c>
      <c r="H581" s="56">
        <v>400</v>
      </c>
      <c r="I581" s="57">
        <v>400</v>
      </c>
      <c r="J581" s="50"/>
      <c r="K581" s="57">
        <v>50</v>
      </c>
      <c r="L581" s="202"/>
    </row>
    <row r="582" spans="2:12" ht="15.75">
      <c r="B582" s="208"/>
      <c r="C582" s="202"/>
      <c r="D582" s="27">
        <v>1307</v>
      </c>
      <c r="E582" s="27">
        <f>DEMANDA_PREVISIÓN!E1311</f>
        <v>33</v>
      </c>
      <c r="F582" s="50"/>
      <c r="G582" s="27">
        <f t="shared" si="58"/>
        <v>7638</v>
      </c>
      <c r="H582" s="56">
        <v>400</v>
      </c>
      <c r="I582" s="57">
        <v>400</v>
      </c>
      <c r="J582" s="50"/>
      <c r="K582" s="57">
        <v>50</v>
      </c>
      <c r="L582" s="202"/>
    </row>
    <row r="583" spans="2:12" ht="15.75">
      <c r="B583" s="208"/>
      <c r="C583" s="202"/>
      <c r="D583" s="27">
        <v>1308</v>
      </c>
      <c r="E583" s="27">
        <f>DEMANDA_PREVISIÓN!E1312</f>
        <v>30</v>
      </c>
      <c r="F583" s="50"/>
      <c r="G583" s="27">
        <f t="shared" si="58"/>
        <v>7608</v>
      </c>
      <c r="H583" s="56">
        <v>400</v>
      </c>
      <c r="I583" s="57">
        <v>400</v>
      </c>
      <c r="J583" s="50"/>
      <c r="K583" s="57">
        <v>50</v>
      </c>
      <c r="L583" s="202"/>
    </row>
    <row r="584" spans="2:12" ht="15.75">
      <c r="B584" s="208"/>
      <c r="C584" s="202"/>
      <c r="D584" s="27">
        <v>1309</v>
      </c>
      <c r="E584" s="27">
        <f>DEMANDA_PREVISIÓN!E1313</f>
        <v>42</v>
      </c>
      <c r="F584" s="50"/>
      <c r="G584" s="27">
        <f t="shared" si="58"/>
        <v>7566</v>
      </c>
      <c r="H584" s="56">
        <v>400</v>
      </c>
      <c r="I584" s="57">
        <v>400</v>
      </c>
      <c r="J584" s="50"/>
      <c r="K584" s="57">
        <v>50</v>
      </c>
      <c r="L584" s="202"/>
    </row>
    <row r="585" spans="2:12" ht="15.75">
      <c r="B585" s="208"/>
      <c r="C585" s="202"/>
      <c r="D585" s="27">
        <v>1310</v>
      </c>
      <c r="E585" s="27">
        <f>DEMANDA_PREVISIÓN!E1314</f>
        <v>27</v>
      </c>
      <c r="F585" s="50"/>
      <c r="G585" s="27">
        <f t="shared" si="58"/>
        <v>7539</v>
      </c>
      <c r="H585" s="56">
        <v>400</v>
      </c>
      <c r="I585" s="57">
        <v>400</v>
      </c>
      <c r="J585" s="50"/>
      <c r="K585" s="57">
        <v>50</v>
      </c>
      <c r="L585" s="202"/>
    </row>
    <row r="586" spans="2:12" ht="15.75">
      <c r="B586" s="208"/>
      <c r="C586" s="202"/>
      <c r="D586" s="27">
        <v>1311</v>
      </c>
      <c r="E586" s="27">
        <f>DEMANDA_PREVISIÓN!E1315</f>
        <v>39</v>
      </c>
      <c r="F586" s="50"/>
      <c r="G586" s="27">
        <f t="shared" si="58"/>
        <v>7500</v>
      </c>
      <c r="H586" s="56">
        <v>400</v>
      </c>
      <c r="I586" s="57">
        <v>400</v>
      </c>
      <c r="J586" s="50"/>
      <c r="K586" s="57">
        <v>50</v>
      </c>
      <c r="L586" s="202"/>
    </row>
    <row r="587" spans="2:12" ht="15.75">
      <c r="B587" s="208"/>
      <c r="C587" s="202"/>
      <c r="D587" s="27">
        <v>1312</v>
      </c>
      <c r="E587" s="27">
        <f>DEMANDA_PREVISIÓN!E1316</f>
        <v>39</v>
      </c>
      <c r="F587" s="50"/>
      <c r="G587" s="56">
        <f>H586+G586</f>
        <v>7900</v>
      </c>
      <c r="H587" s="27"/>
      <c r="I587" s="57">
        <v>400</v>
      </c>
      <c r="J587" s="50"/>
      <c r="K587" s="57">
        <v>50</v>
      </c>
      <c r="L587" s="202"/>
    </row>
    <row r="588" spans="2:12" ht="15.75">
      <c r="B588" s="208"/>
      <c r="C588" s="202"/>
      <c r="D588" s="27">
        <v>1313</v>
      </c>
      <c r="E588" s="27">
        <f>DEMANDA_PREVISIÓN!E1317</f>
        <v>39</v>
      </c>
      <c r="F588" s="50"/>
      <c r="G588" s="27">
        <f>G587-E588</f>
        <v>7861</v>
      </c>
      <c r="H588" s="57">
        <v>400</v>
      </c>
      <c r="I588" s="57">
        <v>400</v>
      </c>
      <c r="J588" s="50"/>
      <c r="K588" s="57">
        <v>50</v>
      </c>
      <c r="L588" s="202"/>
    </row>
    <row r="589" spans="2:12" ht="15.75">
      <c r="B589" s="208"/>
      <c r="C589" s="202"/>
      <c r="D589" s="27">
        <v>1314</v>
      </c>
      <c r="E589" s="27">
        <f>DEMANDA_PREVISIÓN!E1318</f>
        <v>43</v>
      </c>
      <c r="F589" s="50"/>
      <c r="G589" s="27">
        <f>G588-E589</f>
        <v>7818</v>
      </c>
      <c r="H589" s="57">
        <v>400</v>
      </c>
      <c r="I589" s="58">
        <v>400</v>
      </c>
      <c r="J589" s="50"/>
      <c r="K589" s="58">
        <v>50</v>
      </c>
      <c r="L589" s="202"/>
    </row>
    <row r="590" spans="2:12" ht="15.75">
      <c r="B590" s="208"/>
      <c r="C590" s="202"/>
      <c r="D590" s="27">
        <v>1315</v>
      </c>
      <c r="E590" s="27">
        <f>DEMANDA_PREVISIÓN!E1319</f>
        <v>36</v>
      </c>
      <c r="F590" s="50"/>
      <c r="G590" s="27">
        <f>G589-E590</f>
        <v>7782</v>
      </c>
      <c r="H590" s="57">
        <v>400</v>
      </c>
      <c r="I590" s="58">
        <v>400</v>
      </c>
      <c r="J590" s="50"/>
      <c r="K590" s="58">
        <v>50</v>
      </c>
      <c r="L590" s="202"/>
    </row>
    <row r="591" spans="2:12" ht="15.75">
      <c r="B591" s="208"/>
      <c r="C591" s="202"/>
      <c r="D591" s="27">
        <v>1316</v>
      </c>
      <c r="E591" s="27">
        <f>DEMANDA_PREVISIÓN!E1320</f>
        <v>33</v>
      </c>
      <c r="F591" s="50"/>
      <c r="G591" s="27">
        <f>G590-E591</f>
        <v>7749</v>
      </c>
      <c r="H591" s="57">
        <v>400</v>
      </c>
      <c r="I591" s="58">
        <v>400</v>
      </c>
      <c r="J591" s="50"/>
      <c r="K591" s="58">
        <v>50</v>
      </c>
      <c r="L591" s="202"/>
    </row>
    <row r="592" spans="2:12" ht="15.75">
      <c r="B592" s="208"/>
      <c r="C592" s="202"/>
      <c r="D592" s="27">
        <v>1317</v>
      </c>
      <c r="E592" s="27">
        <f>DEMANDA_PREVISIÓN!E1321</f>
        <v>29</v>
      </c>
      <c r="F592" s="50"/>
      <c r="G592" s="27">
        <f t="shared" ref="G592:G594" si="59">G591-E592</f>
        <v>7720</v>
      </c>
      <c r="H592" s="57">
        <v>400</v>
      </c>
      <c r="I592" s="58">
        <v>400</v>
      </c>
      <c r="J592" s="50"/>
      <c r="K592" s="58">
        <v>50</v>
      </c>
      <c r="L592" s="202"/>
    </row>
    <row r="593" spans="2:12" ht="15.75">
      <c r="B593" s="208"/>
      <c r="C593" s="202"/>
      <c r="D593" s="27">
        <v>1318</v>
      </c>
      <c r="E593" s="27">
        <f>DEMANDA_PREVISIÓN!E1322</f>
        <v>31</v>
      </c>
      <c r="F593" s="50"/>
      <c r="G593" s="27">
        <f t="shared" si="59"/>
        <v>7689</v>
      </c>
      <c r="H593" s="57">
        <v>400</v>
      </c>
      <c r="I593" s="58">
        <v>400</v>
      </c>
      <c r="J593" s="50"/>
      <c r="K593" s="58">
        <v>50</v>
      </c>
      <c r="L593" s="202"/>
    </row>
    <row r="594" spans="2:12" ht="15.75">
      <c r="B594" s="208"/>
      <c r="C594" s="202"/>
      <c r="D594" s="27">
        <v>1319</v>
      </c>
      <c r="E594" s="27">
        <f>DEMANDA_PREVISIÓN!E1323</f>
        <v>34</v>
      </c>
      <c r="F594" s="50"/>
      <c r="G594" s="27">
        <f t="shared" si="59"/>
        <v>7655</v>
      </c>
      <c r="H594" s="57">
        <v>400</v>
      </c>
      <c r="I594" s="58">
        <v>400</v>
      </c>
      <c r="J594" s="50"/>
      <c r="K594" s="58">
        <v>50</v>
      </c>
      <c r="L594" s="202"/>
    </row>
    <row r="595" spans="2:12" ht="15.75">
      <c r="B595" s="208"/>
      <c r="C595" s="202"/>
      <c r="D595" s="27">
        <v>1320</v>
      </c>
      <c r="E595" s="27">
        <f>DEMANDA_PREVISIÓN!E1324</f>
        <v>32</v>
      </c>
      <c r="F595" s="50"/>
      <c r="G595" s="57">
        <f>H594+G594</f>
        <v>8055</v>
      </c>
      <c r="I595" s="58">
        <v>400</v>
      </c>
      <c r="J595" s="47"/>
      <c r="K595" s="58">
        <v>50</v>
      </c>
      <c r="L595" s="202"/>
    </row>
    <row r="596" spans="2:12" ht="15.75">
      <c r="B596" s="208"/>
      <c r="C596" s="203"/>
      <c r="D596" s="27">
        <v>1321</v>
      </c>
      <c r="E596" s="27">
        <f>DEMANDA_PREVISIÓN!E1325</f>
        <v>50</v>
      </c>
      <c r="F596" s="50"/>
      <c r="G596" s="27">
        <f t="shared" ref="G596:G602" si="60">G595-E596</f>
        <v>8005</v>
      </c>
      <c r="H596" s="58">
        <v>400</v>
      </c>
      <c r="I596" s="58">
        <v>400</v>
      </c>
      <c r="J596" s="50"/>
      <c r="K596" s="58">
        <v>50</v>
      </c>
      <c r="L596" s="203"/>
    </row>
    <row r="597" spans="2:12" ht="15.75">
      <c r="B597" s="208"/>
      <c r="C597" s="201">
        <v>21</v>
      </c>
      <c r="D597" s="27">
        <v>1322</v>
      </c>
      <c r="E597" s="27">
        <f>DEMANDA_PREVISIÓN!E1326</f>
        <v>37</v>
      </c>
      <c r="F597" s="50"/>
      <c r="G597" s="27">
        <f t="shared" si="60"/>
        <v>7968</v>
      </c>
      <c r="H597" s="58">
        <v>400</v>
      </c>
      <c r="I597" s="68">
        <v>400</v>
      </c>
      <c r="J597" s="50"/>
      <c r="K597" s="68">
        <v>50</v>
      </c>
      <c r="L597" s="201"/>
    </row>
    <row r="598" spans="2:12" ht="15.75">
      <c r="B598" s="208"/>
      <c r="C598" s="202"/>
      <c r="D598" s="27">
        <v>1323</v>
      </c>
      <c r="E598" s="27">
        <f>DEMANDA_PREVISIÓN!E1327</f>
        <v>32</v>
      </c>
      <c r="F598" s="50"/>
      <c r="G598" s="27">
        <f t="shared" si="60"/>
        <v>7936</v>
      </c>
      <c r="H598" s="58">
        <v>400</v>
      </c>
      <c r="I598" s="68">
        <v>400</v>
      </c>
      <c r="J598" s="50"/>
      <c r="K598" s="68">
        <v>50</v>
      </c>
      <c r="L598" s="202"/>
    </row>
    <row r="599" spans="2:12" ht="15.75">
      <c r="B599" s="208"/>
      <c r="C599" s="202"/>
      <c r="D599" s="27">
        <v>1324</v>
      </c>
      <c r="E599" s="27">
        <f>DEMANDA_PREVISIÓN!E1328</f>
        <v>30</v>
      </c>
      <c r="F599" s="50"/>
      <c r="G599" s="27">
        <f t="shared" si="60"/>
        <v>7906</v>
      </c>
      <c r="H599" s="58">
        <v>400</v>
      </c>
      <c r="I599" s="68">
        <v>400</v>
      </c>
      <c r="J599" s="50"/>
      <c r="K599" s="68">
        <v>50</v>
      </c>
      <c r="L599" s="202"/>
    </row>
    <row r="600" spans="2:12" ht="15.75">
      <c r="B600" s="208"/>
      <c r="C600" s="202"/>
      <c r="D600" s="27">
        <v>1325</v>
      </c>
      <c r="E600" s="27">
        <f>DEMANDA_PREVISIÓN!E1329</f>
        <v>39</v>
      </c>
      <c r="F600" s="50"/>
      <c r="G600" s="27">
        <f t="shared" si="60"/>
        <v>7867</v>
      </c>
      <c r="H600" s="58">
        <v>400</v>
      </c>
      <c r="I600" s="68">
        <v>400</v>
      </c>
      <c r="J600" s="50"/>
      <c r="K600" s="68">
        <v>50</v>
      </c>
      <c r="L600" s="202"/>
    </row>
    <row r="601" spans="2:12" ht="15.75">
      <c r="B601" s="208"/>
      <c r="C601" s="202"/>
      <c r="D601" s="27">
        <v>1326</v>
      </c>
      <c r="E601" s="27">
        <f>DEMANDA_PREVISIÓN!E1330</f>
        <v>41</v>
      </c>
      <c r="F601" s="50"/>
      <c r="G601" s="27">
        <f t="shared" si="60"/>
        <v>7826</v>
      </c>
      <c r="H601" s="58">
        <v>400</v>
      </c>
      <c r="I601" s="68">
        <v>400</v>
      </c>
      <c r="J601" s="50"/>
      <c r="K601" s="68">
        <v>50</v>
      </c>
      <c r="L601" s="202"/>
    </row>
    <row r="602" spans="2:12" ht="15.75">
      <c r="B602" s="208"/>
      <c r="C602" s="202"/>
      <c r="D602" s="27">
        <v>1327</v>
      </c>
      <c r="E602" s="27">
        <f>DEMANDA_PREVISIÓN!E1331</f>
        <v>34</v>
      </c>
      <c r="F602" s="50"/>
      <c r="G602" s="27">
        <f t="shared" si="60"/>
        <v>7792</v>
      </c>
      <c r="H602" s="58">
        <v>400</v>
      </c>
      <c r="I602" s="68">
        <v>400</v>
      </c>
      <c r="J602" s="50"/>
      <c r="K602" s="68">
        <v>50</v>
      </c>
      <c r="L602" s="202"/>
    </row>
    <row r="603" spans="2:12" ht="15.75">
      <c r="B603" s="208"/>
      <c r="C603" s="202"/>
      <c r="D603" s="27">
        <v>1328</v>
      </c>
      <c r="E603" s="27">
        <f>DEMANDA_PREVISIÓN!E1332</f>
        <v>35</v>
      </c>
      <c r="F603" s="50"/>
      <c r="G603" s="58">
        <f>H602+G602</f>
        <v>8192</v>
      </c>
      <c r="H603" s="27"/>
      <c r="I603" s="68">
        <v>400</v>
      </c>
      <c r="J603" s="50"/>
      <c r="K603" s="68">
        <v>50</v>
      </c>
      <c r="L603" s="202"/>
    </row>
    <row r="604" spans="2:12" ht="15.75">
      <c r="B604" s="208"/>
      <c r="C604" s="202"/>
      <c r="D604" s="27">
        <v>1329</v>
      </c>
      <c r="E604" s="27">
        <f>DEMANDA_PREVISIÓN!E1333</f>
        <v>34</v>
      </c>
      <c r="F604" s="50"/>
      <c r="G604" s="27">
        <f t="shared" ref="G604:G610" si="61">G603-E604</f>
        <v>8158</v>
      </c>
      <c r="H604" s="68">
        <v>400</v>
      </c>
      <c r="I604" s="68">
        <v>400</v>
      </c>
      <c r="J604" s="50"/>
      <c r="K604" s="68">
        <v>50</v>
      </c>
      <c r="L604" s="202"/>
    </row>
    <row r="605" spans="2:12" ht="15.75">
      <c r="B605" s="208"/>
      <c r="C605" s="202"/>
      <c r="D605" s="27">
        <v>1330</v>
      </c>
      <c r="E605" s="27">
        <f>DEMANDA_PREVISIÓN!E1334</f>
        <v>33</v>
      </c>
      <c r="F605" s="50"/>
      <c r="G605" s="27">
        <f t="shared" si="61"/>
        <v>8125</v>
      </c>
      <c r="H605" s="68">
        <v>400</v>
      </c>
      <c r="I605" s="70">
        <v>400</v>
      </c>
      <c r="J605" s="50"/>
      <c r="K605" s="70">
        <v>50</v>
      </c>
      <c r="L605" s="202"/>
    </row>
    <row r="606" spans="2:12" ht="15.75">
      <c r="B606" s="208"/>
      <c r="C606" s="202"/>
      <c r="D606" s="27">
        <v>1331</v>
      </c>
      <c r="E606" s="27">
        <f>DEMANDA_PREVISIÓN!E1335</f>
        <v>40</v>
      </c>
      <c r="F606" s="50"/>
      <c r="G606" s="27">
        <f t="shared" si="61"/>
        <v>8085</v>
      </c>
      <c r="H606" s="68">
        <v>400</v>
      </c>
      <c r="I606" s="70">
        <v>400</v>
      </c>
      <c r="J606" s="50"/>
      <c r="K606" s="70">
        <v>50</v>
      </c>
      <c r="L606" s="202"/>
    </row>
    <row r="607" spans="2:12" ht="15.75">
      <c r="B607" s="208"/>
      <c r="C607" s="202"/>
      <c r="D607" s="27">
        <v>1332</v>
      </c>
      <c r="E607" s="27">
        <f>DEMANDA_PREVISIÓN!E1336</f>
        <v>32</v>
      </c>
      <c r="F607" s="50"/>
      <c r="G607" s="27">
        <f t="shared" si="61"/>
        <v>8053</v>
      </c>
      <c r="H607" s="68">
        <v>400</v>
      </c>
      <c r="I607" s="70">
        <v>400</v>
      </c>
      <c r="J607" s="50"/>
      <c r="K607" s="70">
        <v>50</v>
      </c>
      <c r="L607" s="202"/>
    </row>
    <row r="608" spans="2:12" ht="15.75">
      <c r="B608" s="208"/>
      <c r="C608" s="202"/>
      <c r="D608" s="27">
        <v>1333</v>
      </c>
      <c r="E608" s="27">
        <f>DEMANDA_PREVISIÓN!E1337</f>
        <v>34</v>
      </c>
      <c r="F608" s="50"/>
      <c r="G608" s="27">
        <f t="shared" si="61"/>
        <v>8019</v>
      </c>
      <c r="H608" s="68">
        <v>400</v>
      </c>
      <c r="I608" s="70">
        <v>400</v>
      </c>
      <c r="J608" s="50"/>
      <c r="K608" s="70">
        <v>50</v>
      </c>
      <c r="L608" s="202"/>
    </row>
    <row r="609" spans="2:12" ht="15.75">
      <c r="B609" s="208"/>
      <c r="C609" s="202"/>
      <c r="D609" s="27">
        <v>1334</v>
      </c>
      <c r="E609" s="27">
        <f>DEMANDA_PREVISIÓN!E1338</f>
        <v>30</v>
      </c>
      <c r="F609" s="50"/>
      <c r="G609" s="27">
        <f t="shared" si="61"/>
        <v>7989</v>
      </c>
      <c r="H609" s="68">
        <v>400</v>
      </c>
      <c r="I609" s="70">
        <v>400</v>
      </c>
      <c r="J609" s="50"/>
      <c r="K609" s="70">
        <v>50</v>
      </c>
      <c r="L609" s="202"/>
    </row>
    <row r="610" spans="2:12" ht="15.75">
      <c r="B610" s="208"/>
      <c r="C610" s="202"/>
      <c r="D610" s="27">
        <v>1335</v>
      </c>
      <c r="E610" s="27">
        <f>DEMANDA_PREVISIÓN!E1339</f>
        <v>36</v>
      </c>
      <c r="F610" s="50"/>
      <c r="G610" s="27">
        <f t="shared" si="61"/>
        <v>7953</v>
      </c>
      <c r="H610" s="68">
        <v>400</v>
      </c>
      <c r="I610" s="70">
        <v>400</v>
      </c>
      <c r="J610" s="50"/>
      <c r="K610" s="70">
        <v>50</v>
      </c>
      <c r="L610" s="202"/>
    </row>
    <row r="611" spans="2:12" ht="15.75">
      <c r="B611" s="208"/>
      <c r="C611" s="202"/>
      <c r="D611" s="27">
        <v>1336</v>
      </c>
      <c r="E611" s="27">
        <f>DEMANDA_PREVISIÓN!E1340</f>
        <v>31</v>
      </c>
      <c r="F611" s="50"/>
      <c r="G611" s="68">
        <f>H610+G610</f>
        <v>8353</v>
      </c>
      <c r="H611" s="27"/>
      <c r="I611" s="70">
        <v>400</v>
      </c>
      <c r="J611" s="50"/>
      <c r="K611" s="70">
        <v>50</v>
      </c>
      <c r="L611" s="202"/>
    </row>
    <row r="612" spans="2:12" ht="15.75">
      <c r="B612" s="208"/>
      <c r="C612" s="202"/>
      <c r="D612" s="27">
        <v>1337</v>
      </c>
      <c r="E612" s="27">
        <f>DEMANDA_PREVISIÓN!E1341</f>
        <v>38</v>
      </c>
      <c r="F612" s="50"/>
      <c r="G612" s="27">
        <f t="shared" ref="G612:G618" si="62">G611-E612</f>
        <v>8315</v>
      </c>
      <c r="H612" s="70">
        <v>400</v>
      </c>
      <c r="I612" s="70">
        <v>400</v>
      </c>
      <c r="J612" s="50"/>
      <c r="K612" s="70">
        <v>50</v>
      </c>
      <c r="L612" s="202"/>
    </row>
    <row r="613" spans="2:12" ht="15.75">
      <c r="B613" s="208"/>
      <c r="C613" s="202"/>
      <c r="D613" s="27">
        <v>1338</v>
      </c>
      <c r="E613" s="27">
        <f>DEMANDA_PREVISIÓN!E1342</f>
        <v>40</v>
      </c>
      <c r="F613" s="50"/>
      <c r="G613" s="27">
        <f t="shared" si="62"/>
        <v>8275</v>
      </c>
      <c r="H613" s="70">
        <v>400</v>
      </c>
      <c r="I613" s="56">
        <v>400</v>
      </c>
      <c r="J613" s="50"/>
      <c r="K613" s="56">
        <v>50</v>
      </c>
      <c r="L613" s="202"/>
    </row>
    <row r="614" spans="2:12" ht="15.75">
      <c r="B614" s="208"/>
      <c r="C614" s="202"/>
      <c r="D614" s="27">
        <v>1339</v>
      </c>
      <c r="E614" s="27">
        <f>DEMANDA_PREVISIÓN!E1343</f>
        <v>26</v>
      </c>
      <c r="F614" s="50"/>
      <c r="G614" s="27">
        <f t="shared" si="62"/>
        <v>8249</v>
      </c>
      <c r="H614" s="70">
        <v>400</v>
      </c>
      <c r="I614" s="56">
        <v>400</v>
      </c>
      <c r="J614" s="50"/>
      <c r="K614" s="56">
        <v>50</v>
      </c>
      <c r="L614" s="202"/>
    </row>
    <row r="615" spans="2:12" ht="15.75">
      <c r="B615" s="208"/>
      <c r="C615" s="202"/>
      <c r="D615" s="27">
        <v>1340</v>
      </c>
      <c r="E615" s="27">
        <f>DEMANDA_PREVISIÓN!E1344</f>
        <v>34</v>
      </c>
      <c r="F615" s="50"/>
      <c r="G615" s="27">
        <f t="shared" si="62"/>
        <v>8215</v>
      </c>
      <c r="H615" s="70">
        <v>400</v>
      </c>
      <c r="I615" s="56">
        <v>400</v>
      </c>
      <c r="J615" s="50"/>
      <c r="K615" s="56">
        <v>50</v>
      </c>
      <c r="L615" s="202"/>
    </row>
    <row r="616" spans="2:12" ht="15.75">
      <c r="B616" s="208"/>
      <c r="C616" s="202"/>
      <c r="D616" s="27">
        <v>1341</v>
      </c>
      <c r="E616" s="27">
        <f>DEMANDA_PREVISIÓN!E1345</f>
        <v>23</v>
      </c>
      <c r="F616" s="50"/>
      <c r="G616" s="27">
        <f t="shared" si="62"/>
        <v>8192</v>
      </c>
      <c r="H616" s="70">
        <v>400</v>
      </c>
      <c r="I616" s="56">
        <v>400</v>
      </c>
      <c r="J616" s="50"/>
      <c r="K616" s="56">
        <v>50</v>
      </c>
      <c r="L616" s="202"/>
    </row>
    <row r="617" spans="2:12" ht="15.75">
      <c r="B617" s="208"/>
      <c r="C617" s="202"/>
      <c r="D617" s="27">
        <v>1342</v>
      </c>
      <c r="E617" s="27">
        <f>DEMANDA_PREVISIÓN!E1346</f>
        <v>29</v>
      </c>
      <c r="F617" s="50"/>
      <c r="G617" s="27">
        <f t="shared" si="62"/>
        <v>8163</v>
      </c>
      <c r="H617" s="70">
        <v>400</v>
      </c>
      <c r="I617" s="56">
        <v>400</v>
      </c>
      <c r="J617" s="50"/>
      <c r="K617" s="56">
        <v>50</v>
      </c>
      <c r="L617" s="202"/>
    </row>
    <row r="618" spans="2:12" ht="15.75">
      <c r="B618" s="208"/>
      <c r="C618" s="202"/>
      <c r="D618" s="27">
        <v>1343</v>
      </c>
      <c r="E618" s="27">
        <f>DEMANDA_PREVISIÓN!E1347</f>
        <v>30</v>
      </c>
      <c r="F618" s="50"/>
      <c r="G618" s="27">
        <f t="shared" si="62"/>
        <v>8133</v>
      </c>
      <c r="H618" s="70">
        <v>400</v>
      </c>
      <c r="I618" s="56">
        <v>400</v>
      </c>
      <c r="J618" s="50"/>
      <c r="K618" s="56">
        <v>50</v>
      </c>
      <c r="L618" s="202"/>
    </row>
    <row r="619" spans="2:12" ht="15.75">
      <c r="B619" s="208"/>
      <c r="C619" s="202"/>
      <c r="D619" s="27">
        <v>1344</v>
      </c>
      <c r="E619" s="27">
        <f>DEMANDA_PREVISIÓN!E1348</f>
        <v>34</v>
      </c>
      <c r="F619" s="50"/>
      <c r="G619" s="70">
        <f>H618+G618</f>
        <v>8533</v>
      </c>
      <c r="H619" s="27"/>
      <c r="I619" s="56">
        <v>400</v>
      </c>
      <c r="J619" s="50"/>
      <c r="K619" s="56">
        <v>50</v>
      </c>
      <c r="L619" s="202"/>
    </row>
    <row r="620" spans="2:12" ht="15.75">
      <c r="B620" s="208"/>
      <c r="C620" s="202"/>
      <c r="D620" s="27">
        <v>1345</v>
      </c>
      <c r="E620" s="27">
        <f>DEMANDA_PREVISIÓN!E1349</f>
        <v>29</v>
      </c>
      <c r="F620" s="50"/>
      <c r="G620" s="27">
        <f t="shared" ref="G620:G626" si="63">G619-E620</f>
        <v>8504</v>
      </c>
      <c r="H620" s="56">
        <v>400</v>
      </c>
      <c r="I620" s="56">
        <v>400</v>
      </c>
      <c r="J620" s="50"/>
      <c r="K620" s="56">
        <v>50</v>
      </c>
      <c r="L620" s="202"/>
    </row>
    <row r="621" spans="2:12" ht="15.75">
      <c r="B621" s="208"/>
      <c r="C621" s="202"/>
      <c r="D621" s="27">
        <v>1346</v>
      </c>
      <c r="E621" s="27">
        <f>DEMANDA_PREVISIÓN!E1350</f>
        <v>35</v>
      </c>
      <c r="F621" s="50"/>
      <c r="G621" s="27">
        <f t="shared" si="63"/>
        <v>8469</v>
      </c>
      <c r="H621" s="56">
        <v>400</v>
      </c>
      <c r="I621" s="57">
        <v>400</v>
      </c>
      <c r="J621" s="50"/>
      <c r="K621" s="57">
        <v>50</v>
      </c>
      <c r="L621" s="202"/>
    </row>
    <row r="622" spans="2:12" ht="15.75">
      <c r="B622" s="208"/>
      <c r="C622" s="202"/>
      <c r="D622" s="27">
        <v>1347</v>
      </c>
      <c r="E622" s="27">
        <f>DEMANDA_PREVISIÓN!E1351</f>
        <v>39</v>
      </c>
      <c r="F622" s="50"/>
      <c r="G622" s="27">
        <f t="shared" si="63"/>
        <v>8430</v>
      </c>
      <c r="H622" s="56">
        <v>400</v>
      </c>
      <c r="I622" s="57">
        <v>400</v>
      </c>
      <c r="J622" s="50"/>
      <c r="K622" s="57">
        <v>50</v>
      </c>
      <c r="L622" s="202"/>
    </row>
    <row r="623" spans="2:12" ht="15.75">
      <c r="B623" s="208"/>
      <c r="C623" s="202"/>
      <c r="D623" s="27">
        <v>1348</v>
      </c>
      <c r="E623" s="27">
        <f>DEMANDA_PREVISIÓN!E1352</f>
        <v>20</v>
      </c>
      <c r="F623" s="50"/>
      <c r="G623" s="27">
        <f t="shared" si="63"/>
        <v>8410</v>
      </c>
      <c r="H623" s="56">
        <v>400</v>
      </c>
      <c r="I623" s="57">
        <v>400</v>
      </c>
      <c r="J623" s="50"/>
      <c r="K623" s="57">
        <v>50</v>
      </c>
      <c r="L623" s="202"/>
    </row>
    <row r="624" spans="2:12" ht="15.75">
      <c r="B624" s="208"/>
      <c r="C624" s="202"/>
      <c r="D624" s="27">
        <v>1349</v>
      </c>
      <c r="E624" s="27">
        <f>DEMANDA_PREVISIÓN!E1353</f>
        <v>35</v>
      </c>
      <c r="F624" s="50"/>
      <c r="G624" s="27">
        <f t="shared" si="63"/>
        <v>8375</v>
      </c>
      <c r="H624" s="56">
        <v>400</v>
      </c>
      <c r="I624" s="57">
        <v>400</v>
      </c>
      <c r="J624" s="50"/>
      <c r="K624" s="57">
        <v>50</v>
      </c>
      <c r="L624" s="202"/>
    </row>
    <row r="625" spans="2:12" ht="15.75">
      <c r="B625" s="208"/>
      <c r="C625" s="202"/>
      <c r="D625" s="27">
        <v>1350</v>
      </c>
      <c r="E625" s="27">
        <f>DEMANDA_PREVISIÓN!E1354</f>
        <v>29</v>
      </c>
      <c r="F625" s="50"/>
      <c r="G625" s="27">
        <f t="shared" si="63"/>
        <v>8346</v>
      </c>
      <c r="H625" s="56">
        <v>400</v>
      </c>
      <c r="I625" s="57">
        <v>400</v>
      </c>
      <c r="J625" s="50"/>
      <c r="K625" s="57">
        <v>50</v>
      </c>
      <c r="L625" s="202"/>
    </row>
    <row r="626" spans="2:12" ht="15.75">
      <c r="B626" s="208"/>
      <c r="C626" s="202"/>
      <c r="D626" s="27">
        <v>1351</v>
      </c>
      <c r="E626" s="27">
        <f>DEMANDA_PREVISIÓN!E1355</f>
        <v>26</v>
      </c>
      <c r="F626" s="50"/>
      <c r="G626" s="27">
        <f t="shared" si="63"/>
        <v>8320</v>
      </c>
      <c r="H626" s="56">
        <v>400</v>
      </c>
      <c r="I626" s="57">
        <v>400</v>
      </c>
      <c r="J626" s="50"/>
      <c r="K626" s="57">
        <v>50</v>
      </c>
      <c r="L626" s="202"/>
    </row>
    <row r="627" spans="2:12" ht="15.75">
      <c r="B627" s="208"/>
      <c r="C627" s="203"/>
      <c r="D627" s="27">
        <v>1352</v>
      </c>
      <c r="E627" s="27">
        <f>DEMANDA_PREVISIÓN!E1356</f>
        <v>33</v>
      </c>
      <c r="F627" s="50"/>
      <c r="G627" s="56">
        <f>H626+G626</f>
        <v>8720</v>
      </c>
      <c r="H627" s="27"/>
      <c r="I627" s="57">
        <v>400</v>
      </c>
      <c r="J627" s="50"/>
      <c r="K627" s="57">
        <v>50</v>
      </c>
      <c r="L627" s="203"/>
    </row>
    <row r="628" spans="2:12" ht="15.75">
      <c r="B628" s="208"/>
      <c r="C628" s="201">
        <v>22</v>
      </c>
      <c r="D628" s="27">
        <v>1353</v>
      </c>
      <c r="E628" s="27">
        <f>DEMANDA_PREVISIÓN!E1357</f>
        <v>39</v>
      </c>
      <c r="F628" s="50"/>
      <c r="G628" s="27">
        <f>G627-E628</f>
        <v>8681</v>
      </c>
      <c r="H628" s="57">
        <v>400</v>
      </c>
      <c r="I628" s="57">
        <v>400</v>
      </c>
      <c r="J628" s="50"/>
      <c r="K628" s="57">
        <v>50</v>
      </c>
      <c r="L628" s="201"/>
    </row>
    <row r="629" spans="2:12" ht="15.75">
      <c r="B629" s="208"/>
      <c r="C629" s="202"/>
      <c r="D629" s="27">
        <v>1354</v>
      </c>
      <c r="E629" s="27">
        <f>DEMANDA_PREVISIÓN!E1358</f>
        <v>24</v>
      </c>
      <c r="F629" s="50"/>
      <c r="G629" s="27">
        <f>G628-E629</f>
        <v>8657</v>
      </c>
      <c r="H629" s="57">
        <v>400</v>
      </c>
      <c r="I629" s="58">
        <v>400</v>
      </c>
      <c r="J629" s="50"/>
      <c r="K629" s="58">
        <v>50</v>
      </c>
      <c r="L629" s="202"/>
    </row>
    <row r="630" spans="2:12" ht="15.75">
      <c r="B630" s="208"/>
      <c r="C630" s="202"/>
      <c r="D630" s="27">
        <v>1355</v>
      </c>
      <c r="E630" s="27">
        <f>DEMANDA_PREVISIÓN!E1359</f>
        <v>39</v>
      </c>
      <c r="F630" s="50"/>
      <c r="G630" s="27">
        <f>G629-E630</f>
        <v>8618</v>
      </c>
      <c r="H630" s="57">
        <v>400</v>
      </c>
      <c r="I630" s="58">
        <v>400</v>
      </c>
      <c r="J630" s="50"/>
      <c r="K630" s="58">
        <v>50</v>
      </c>
      <c r="L630" s="202"/>
    </row>
    <row r="631" spans="2:12" ht="15.75">
      <c r="B631" s="208"/>
      <c r="C631" s="202"/>
      <c r="D631" s="27">
        <v>1356</v>
      </c>
      <c r="E631" s="27">
        <f>DEMANDA_PREVISIÓN!E1360</f>
        <v>31</v>
      </c>
      <c r="F631" s="50"/>
      <c r="G631" s="27">
        <f>G630-E631</f>
        <v>8587</v>
      </c>
      <c r="H631" s="57">
        <v>400</v>
      </c>
      <c r="I631" s="58">
        <v>400</v>
      </c>
      <c r="J631" s="50"/>
      <c r="K631" s="58">
        <v>50</v>
      </c>
      <c r="L631" s="202"/>
    </row>
    <row r="632" spans="2:12" ht="15.75">
      <c r="B632" s="208"/>
      <c r="C632" s="202"/>
      <c r="D632" s="27">
        <v>1357</v>
      </c>
      <c r="E632" s="27">
        <f>DEMANDA_PREVISIÓN!E1361</f>
        <v>32</v>
      </c>
      <c r="F632" s="50"/>
      <c r="G632" s="27">
        <f t="shared" ref="G632:G634" si="64">G631-E632</f>
        <v>8555</v>
      </c>
      <c r="H632" s="57">
        <v>400</v>
      </c>
      <c r="I632" s="58">
        <v>400</v>
      </c>
      <c r="J632" s="50"/>
      <c r="K632" s="58">
        <v>50</v>
      </c>
      <c r="L632" s="202"/>
    </row>
    <row r="633" spans="2:12" ht="15.75">
      <c r="B633" s="208"/>
      <c r="C633" s="202"/>
      <c r="D633" s="27">
        <v>1358</v>
      </c>
      <c r="E633" s="27">
        <f>DEMANDA_PREVISIÓN!E1362</f>
        <v>33</v>
      </c>
      <c r="F633" s="50"/>
      <c r="G633" s="27">
        <f t="shared" si="64"/>
        <v>8522</v>
      </c>
      <c r="H633" s="57">
        <v>400</v>
      </c>
      <c r="I633" s="58">
        <v>400</v>
      </c>
      <c r="J633" s="50"/>
      <c r="K633" s="58">
        <v>50</v>
      </c>
      <c r="L633" s="202"/>
    </row>
    <row r="634" spans="2:12" ht="15.75">
      <c r="B634" s="208"/>
      <c r="C634" s="202"/>
      <c r="D634" s="27">
        <v>1359</v>
      </c>
      <c r="E634" s="27">
        <f>DEMANDA_PREVISIÓN!E1363</f>
        <v>32</v>
      </c>
      <c r="F634" s="50"/>
      <c r="G634" s="27">
        <f t="shared" si="64"/>
        <v>8490</v>
      </c>
      <c r="H634" s="57">
        <v>400</v>
      </c>
      <c r="I634" s="58">
        <v>400</v>
      </c>
      <c r="J634" s="50"/>
      <c r="K634" s="58">
        <v>50</v>
      </c>
      <c r="L634" s="202"/>
    </row>
    <row r="635" spans="2:12" ht="15.75">
      <c r="B635" s="208"/>
      <c r="C635" s="202"/>
      <c r="D635" s="27">
        <v>1360</v>
      </c>
      <c r="E635" s="27">
        <f>DEMANDA_PREVISIÓN!E1364</f>
        <v>41</v>
      </c>
      <c r="F635" s="50"/>
      <c r="G635" s="57">
        <f>H634+G634</f>
        <v>8890</v>
      </c>
      <c r="I635" s="58">
        <v>400</v>
      </c>
      <c r="J635" s="47"/>
      <c r="K635" s="58">
        <v>50</v>
      </c>
      <c r="L635" s="202"/>
    </row>
    <row r="636" spans="2:12" ht="15.75">
      <c r="B636" s="208"/>
      <c r="C636" s="202"/>
      <c r="D636" s="27">
        <v>1361</v>
      </c>
      <c r="E636" s="27">
        <f>DEMANDA_PREVISIÓN!E1365</f>
        <v>37</v>
      </c>
      <c r="F636" s="50"/>
      <c r="G636" s="27">
        <f t="shared" ref="G636:G642" si="65">G635-E636</f>
        <v>8853</v>
      </c>
      <c r="H636" s="58">
        <v>400</v>
      </c>
      <c r="I636" s="58">
        <v>400</v>
      </c>
      <c r="J636" s="50"/>
      <c r="K636" s="58">
        <v>50</v>
      </c>
      <c r="L636" s="202"/>
    </row>
    <row r="637" spans="2:12" ht="15.75">
      <c r="B637" s="208"/>
      <c r="C637" s="202"/>
      <c r="D637" s="27">
        <v>1362</v>
      </c>
      <c r="E637" s="27">
        <f>DEMANDA_PREVISIÓN!E1366</f>
        <v>30</v>
      </c>
      <c r="F637" s="50"/>
      <c r="G637" s="27">
        <f t="shared" si="65"/>
        <v>8823</v>
      </c>
      <c r="H637" s="58">
        <v>400</v>
      </c>
      <c r="I637" s="68">
        <v>400</v>
      </c>
      <c r="J637" s="50"/>
      <c r="K637" s="68">
        <v>50</v>
      </c>
      <c r="L637" s="202"/>
    </row>
    <row r="638" spans="2:12" ht="15.75">
      <c r="B638" s="208"/>
      <c r="C638" s="202"/>
      <c r="D638" s="27">
        <v>1363</v>
      </c>
      <c r="E638" s="27">
        <f>DEMANDA_PREVISIÓN!E1367</f>
        <v>33</v>
      </c>
      <c r="F638" s="50"/>
      <c r="G638" s="27">
        <f t="shared" si="65"/>
        <v>8790</v>
      </c>
      <c r="H638" s="58">
        <v>400</v>
      </c>
      <c r="I638" s="68">
        <v>400</v>
      </c>
      <c r="J638" s="50"/>
      <c r="K638" s="68">
        <v>50</v>
      </c>
      <c r="L638" s="202"/>
    </row>
    <row r="639" spans="2:12" ht="15.75">
      <c r="B639" s="208" t="s">
        <v>52</v>
      </c>
      <c r="C639" s="202"/>
      <c r="D639" s="27">
        <v>1364</v>
      </c>
      <c r="E639" s="27">
        <f>DEMANDA_PREVISIÓN!E1368</f>
        <v>29</v>
      </c>
      <c r="F639" s="50"/>
      <c r="G639" s="27">
        <f t="shared" si="65"/>
        <v>8761</v>
      </c>
      <c r="H639" s="58">
        <v>400</v>
      </c>
      <c r="I639" s="68">
        <v>400</v>
      </c>
      <c r="J639" s="50"/>
      <c r="K639" s="68">
        <v>50</v>
      </c>
      <c r="L639" s="202"/>
    </row>
    <row r="640" spans="2:12" ht="15.75">
      <c r="B640" s="208"/>
      <c r="C640" s="202"/>
      <c r="D640" s="27">
        <v>1365</v>
      </c>
      <c r="E640" s="27">
        <f>DEMANDA_PREVISIÓN!E1369</f>
        <v>26</v>
      </c>
      <c r="F640" s="50"/>
      <c r="G640" s="27">
        <f t="shared" si="65"/>
        <v>8735</v>
      </c>
      <c r="H640" s="58">
        <v>400</v>
      </c>
      <c r="I640" s="68">
        <v>400</v>
      </c>
      <c r="J640" s="50"/>
      <c r="K640" s="68">
        <v>50</v>
      </c>
      <c r="L640" s="202"/>
    </row>
    <row r="641" spans="2:12" ht="15.75">
      <c r="B641" s="208"/>
      <c r="C641" s="202"/>
      <c r="D641" s="27">
        <v>1366</v>
      </c>
      <c r="E641" s="27">
        <f>DEMANDA_PREVISIÓN!E1370</f>
        <v>30</v>
      </c>
      <c r="F641" s="50"/>
      <c r="G641" s="27">
        <f t="shared" si="65"/>
        <v>8705</v>
      </c>
      <c r="H641" s="58">
        <v>400</v>
      </c>
      <c r="I641" s="68">
        <v>400</v>
      </c>
      <c r="J641" s="50"/>
      <c r="K641" s="68">
        <v>50</v>
      </c>
      <c r="L641" s="202"/>
    </row>
    <row r="642" spans="2:12" ht="15.75">
      <c r="B642" s="208"/>
      <c r="C642" s="202"/>
      <c r="D642" s="27">
        <v>1367</v>
      </c>
      <c r="E642" s="27">
        <f>DEMANDA_PREVISIÓN!E1371</f>
        <v>33</v>
      </c>
      <c r="F642" s="50"/>
      <c r="G642" s="27">
        <f t="shared" si="65"/>
        <v>8672</v>
      </c>
      <c r="H642" s="58">
        <v>400</v>
      </c>
      <c r="I642" s="68">
        <v>400</v>
      </c>
      <c r="J642" s="50"/>
      <c r="K642" s="68">
        <v>50</v>
      </c>
      <c r="L642" s="202"/>
    </row>
    <row r="643" spans="2:12" ht="15.75">
      <c r="B643" s="208"/>
      <c r="C643" s="202"/>
      <c r="D643" s="27">
        <v>1368</v>
      </c>
      <c r="E643" s="27">
        <f>DEMANDA_PREVISIÓN!E1372</f>
        <v>36</v>
      </c>
      <c r="F643" s="50"/>
      <c r="G643" s="58">
        <f>H642+G642</f>
        <v>9072</v>
      </c>
      <c r="H643" s="27"/>
      <c r="I643" s="68">
        <v>400</v>
      </c>
      <c r="J643" s="50"/>
      <c r="K643" s="68">
        <v>50</v>
      </c>
      <c r="L643" s="202"/>
    </row>
    <row r="644" spans="2:12" ht="15.75">
      <c r="B644" s="208"/>
      <c r="C644" s="202"/>
      <c r="D644" s="27">
        <v>1369</v>
      </c>
      <c r="E644" s="27">
        <f>DEMANDA_PREVISIÓN!E1373</f>
        <v>43</v>
      </c>
      <c r="F644" s="50"/>
      <c r="G644" s="27">
        <f t="shared" ref="G644:G650" si="66">G643-E644</f>
        <v>9029</v>
      </c>
      <c r="H644" s="68">
        <v>400</v>
      </c>
      <c r="I644" s="68">
        <v>400</v>
      </c>
      <c r="J644" s="50"/>
      <c r="K644" s="68">
        <v>50</v>
      </c>
      <c r="L644" s="202"/>
    </row>
    <row r="645" spans="2:12" ht="15.75">
      <c r="B645" s="208"/>
      <c r="C645" s="202"/>
      <c r="D645" s="27">
        <v>1370</v>
      </c>
      <c r="E645" s="27">
        <f>DEMANDA_PREVISIÓN!E1374</f>
        <v>36</v>
      </c>
      <c r="F645" s="50"/>
      <c r="G645" s="27">
        <f t="shared" si="66"/>
        <v>8993</v>
      </c>
      <c r="H645" s="68">
        <v>400</v>
      </c>
      <c r="I645" s="70">
        <v>400</v>
      </c>
      <c r="J645" s="50"/>
      <c r="K645" s="70">
        <v>50</v>
      </c>
      <c r="L645" s="202"/>
    </row>
    <row r="646" spans="2:12" ht="15.75">
      <c r="B646" s="208"/>
      <c r="C646" s="202"/>
      <c r="D646" s="27">
        <v>1371</v>
      </c>
      <c r="E646" s="27">
        <f>DEMANDA_PREVISIÓN!E1375</f>
        <v>42</v>
      </c>
      <c r="F646" s="50"/>
      <c r="G646" s="27">
        <f t="shared" si="66"/>
        <v>8951</v>
      </c>
      <c r="H646" s="68">
        <v>400</v>
      </c>
      <c r="I646" s="70">
        <v>400</v>
      </c>
      <c r="J646" s="50"/>
      <c r="K646" s="70">
        <v>50</v>
      </c>
      <c r="L646" s="202"/>
    </row>
    <row r="647" spans="2:12" ht="15.75">
      <c r="B647" s="208"/>
      <c r="C647" s="202"/>
      <c r="D647" s="27">
        <v>1372</v>
      </c>
      <c r="E647" s="27">
        <f>DEMANDA_PREVISIÓN!E1376</f>
        <v>26</v>
      </c>
      <c r="F647" s="50"/>
      <c r="G647" s="27">
        <f t="shared" si="66"/>
        <v>8925</v>
      </c>
      <c r="H647" s="68">
        <v>400</v>
      </c>
      <c r="I647" s="70">
        <v>400</v>
      </c>
      <c r="J647" s="50"/>
      <c r="K647" s="70">
        <v>50</v>
      </c>
      <c r="L647" s="202"/>
    </row>
    <row r="648" spans="2:12" ht="15.75">
      <c r="B648" s="208"/>
      <c r="C648" s="202"/>
      <c r="D648" s="27">
        <v>1373</v>
      </c>
      <c r="E648" s="27">
        <f>DEMANDA_PREVISIÓN!E1377</f>
        <v>29</v>
      </c>
      <c r="F648" s="50"/>
      <c r="G648" s="27">
        <f t="shared" si="66"/>
        <v>8896</v>
      </c>
      <c r="H648" s="68">
        <v>400</v>
      </c>
      <c r="I648" s="70">
        <v>400</v>
      </c>
      <c r="J648" s="50"/>
      <c r="K648" s="70">
        <v>50</v>
      </c>
      <c r="L648" s="202"/>
    </row>
    <row r="649" spans="2:12" ht="15.75">
      <c r="B649" s="208"/>
      <c r="C649" s="202"/>
      <c r="D649" s="27">
        <v>1374</v>
      </c>
      <c r="E649" s="27">
        <f>DEMANDA_PREVISIÓN!E1378</f>
        <v>32</v>
      </c>
      <c r="F649" s="50"/>
      <c r="G649" s="27">
        <f t="shared" si="66"/>
        <v>8864</v>
      </c>
      <c r="H649" s="68">
        <v>400</v>
      </c>
      <c r="I649" s="70">
        <v>400</v>
      </c>
      <c r="J649" s="50"/>
      <c r="K649" s="70">
        <v>50</v>
      </c>
      <c r="L649" s="202"/>
    </row>
    <row r="650" spans="2:12" ht="15.75">
      <c r="B650" s="208"/>
      <c r="C650" s="202"/>
      <c r="D650" s="27">
        <v>1375</v>
      </c>
      <c r="E650" s="27">
        <f>DEMANDA_PREVISIÓN!E1379</f>
        <v>29</v>
      </c>
      <c r="F650" s="50"/>
      <c r="G650" s="27">
        <f t="shared" si="66"/>
        <v>8835</v>
      </c>
      <c r="H650" s="68">
        <v>400</v>
      </c>
      <c r="I650" s="70">
        <v>400</v>
      </c>
      <c r="J650" s="50"/>
      <c r="K650" s="70">
        <v>50</v>
      </c>
      <c r="L650" s="202"/>
    </row>
    <row r="651" spans="2:12" ht="15.75">
      <c r="B651" s="208"/>
      <c r="C651" s="202"/>
      <c r="D651" s="27">
        <v>1376</v>
      </c>
      <c r="E651" s="27">
        <f>DEMANDA_PREVISIÓN!E1380</f>
        <v>37</v>
      </c>
      <c r="F651" s="50"/>
      <c r="G651" s="68">
        <f>H650+G650</f>
        <v>9235</v>
      </c>
      <c r="H651" s="27"/>
      <c r="I651" s="70">
        <v>400</v>
      </c>
      <c r="J651" s="50"/>
      <c r="K651" s="70">
        <v>50</v>
      </c>
      <c r="L651" s="202"/>
    </row>
    <row r="652" spans="2:12" ht="15.75">
      <c r="B652" s="208"/>
      <c r="C652" s="202"/>
      <c r="D652" s="27">
        <v>1377</v>
      </c>
      <c r="E652" s="27">
        <f>DEMANDA_PREVISIÓN!E1381</f>
        <v>30</v>
      </c>
      <c r="F652" s="50"/>
      <c r="G652" s="27">
        <f t="shared" ref="G652:G658" si="67">G651-E652</f>
        <v>9205</v>
      </c>
      <c r="H652" s="70">
        <v>400</v>
      </c>
      <c r="I652" s="70">
        <v>400</v>
      </c>
      <c r="J652" s="50"/>
      <c r="K652" s="70">
        <v>50</v>
      </c>
      <c r="L652" s="202"/>
    </row>
    <row r="653" spans="2:12" ht="15.75">
      <c r="B653" s="208"/>
      <c r="C653" s="202"/>
      <c r="D653" s="27">
        <v>1378</v>
      </c>
      <c r="E653" s="27">
        <f>DEMANDA_PREVISIÓN!E1382</f>
        <v>40</v>
      </c>
      <c r="F653" s="50"/>
      <c r="G653" s="27">
        <f t="shared" si="67"/>
        <v>9165</v>
      </c>
      <c r="H653" s="70">
        <v>400</v>
      </c>
      <c r="I653" s="56">
        <v>400</v>
      </c>
      <c r="J653" s="50"/>
      <c r="K653" s="56">
        <v>50</v>
      </c>
      <c r="L653" s="202"/>
    </row>
    <row r="654" spans="2:12" ht="15.75">
      <c r="B654" s="208"/>
      <c r="C654" s="202"/>
      <c r="D654" s="27">
        <v>1379</v>
      </c>
      <c r="E654" s="27">
        <f>DEMANDA_PREVISIÓN!E1383</f>
        <v>34</v>
      </c>
      <c r="F654" s="50"/>
      <c r="G654" s="27">
        <f t="shared" si="67"/>
        <v>9131</v>
      </c>
      <c r="H654" s="70">
        <v>400</v>
      </c>
      <c r="I654" s="56">
        <v>400</v>
      </c>
      <c r="J654" s="50"/>
      <c r="K654" s="56">
        <v>50</v>
      </c>
      <c r="L654" s="202"/>
    </row>
    <row r="655" spans="2:12" ht="15.75">
      <c r="B655" s="208"/>
      <c r="C655" s="202"/>
      <c r="D655" s="27">
        <v>1380</v>
      </c>
      <c r="E655" s="27">
        <f>DEMANDA_PREVISIÓN!E1384</f>
        <v>32</v>
      </c>
      <c r="F655" s="50"/>
      <c r="G655" s="27">
        <f t="shared" si="67"/>
        <v>9099</v>
      </c>
      <c r="H655" s="70">
        <v>400</v>
      </c>
      <c r="I655" s="56">
        <v>400</v>
      </c>
      <c r="J655" s="50"/>
      <c r="K655" s="56">
        <v>50</v>
      </c>
      <c r="L655" s="202"/>
    </row>
    <row r="656" spans="2:12" ht="15.75">
      <c r="B656" s="208"/>
      <c r="C656" s="202"/>
      <c r="D656" s="27">
        <v>1381</v>
      </c>
      <c r="E656" s="27">
        <f>DEMANDA_PREVISIÓN!E1385</f>
        <v>39</v>
      </c>
      <c r="F656" s="50"/>
      <c r="G656" s="27">
        <f t="shared" si="67"/>
        <v>9060</v>
      </c>
      <c r="H656" s="70">
        <v>400</v>
      </c>
      <c r="I656" s="56">
        <v>400</v>
      </c>
      <c r="J656" s="50"/>
      <c r="K656" s="56">
        <v>50</v>
      </c>
      <c r="L656" s="202"/>
    </row>
    <row r="657" spans="2:12" ht="15.75">
      <c r="B657" s="208"/>
      <c r="C657" s="202"/>
      <c r="D657" s="27">
        <v>1382</v>
      </c>
      <c r="E657" s="27">
        <f>DEMANDA_PREVISIÓN!E1386</f>
        <v>30</v>
      </c>
      <c r="F657" s="50"/>
      <c r="G657" s="27">
        <f t="shared" si="67"/>
        <v>9030</v>
      </c>
      <c r="H657" s="70">
        <v>400</v>
      </c>
      <c r="I657" s="56">
        <v>400</v>
      </c>
      <c r="J657" s="50"/>
      <c r="K657" s="56">
        <v>50</v>
      </c>
      <c r="L657" s="202"/>
    </row>
    <row r="658" spans="2:12" ht="15.75">
      <c r="B658" s="208"/>
      <c r="C658" s="203"/>
      <c r="D658" s="27">
        <v>1383</v>
      </c>
      <c r="E658" s="27">
        <f>DEMANDA_PREVISIÓN!E1387</f>
        <v>23</v>
      </c>
      <c r="F658" s="50"/>
      <c r="G658" s="27">
        <f t="shared" si="67"/>
        <v>9007</v>
      </c>
      <c r="H658" s="70">
        <v>400</v>
      </c>
      <c r="I658" s="56">
        <v>400</v>
      </c>
      <c r="J658" s="50"/>
      <c r="K658" s="56">
        <v>50</v>
      </c>
      <c r="L658" s="203"/>
    </row>
    <row r="659" spans="2:12" ht="15.75">
      <c r="B659" s="208"/>
      <c r="C659" s="201">
        <v>23</v>
      </c>
      <c r="D659" s="27">
        <v>1384</v>
      </c>
      <c r="E659" s="27">
        <f>DEMANDA_PREVISIÓN!E1388</f>
        <v>41</v>
      </c>
      <c r="F659" s="50"/>
      <c r="G659" s="70">
        <f>H658+G658</f>
        <v>9407</v>
      </c>
      <c r="H659" s="27"/>
      <c r="I659" s="56">
        <v>400</v>
      </c>
      <c r="J659" s="50"/>
      <c r="K659" s="56">
        <v>50</v>
      </c>
      <c r="L659" s="201"/>
    </row>
    <row r="660" spans="2:12" ht="15.75">
      <c r="B660" s="208"/>
      <c r="C660" s="202"/>
      <c r="D660" s="27">
        <v>1385</v>
      </c>
      <c r="E660" s="27">
        <f>DEMANDA_PREVISIÓN!E1389</f>
        <v>31</v>
      </c>
      <c r="F660" s="50"/>
      <c r="G660" s="27">
        <f t="shared" ref="G660:G666" si="68">G659-E660</f>
        <v>9376</v>
      </c>
      <c r="H660" s="56">
        <v>400</v>
      </c>
      <c r="I660" s="56">
        <v>400</v>
      </c>
      <c r="J660" s="50"/>
      <c r="K660" s="56">
        <v>50</v>
      </c>
      <c r="L660" s="202"/>
    </row>
    <row r="661" spans="2:12" ht="15.75">
      <c r="B661" s="208"/>
      <c r="C661" s="202"/>
      <c r="D661" s="27">
        <v>1386</v>
      </c>
      <c r="E661" s="27">
        <f>DEMANDA_PREVISIÓN!E1390</f>
        <v>35</v>
      </c>
      <c r="F661" s="50"/>
      <c r="G661" s="27">
        <f t="shared" si="68"/>
        <v>9341</v>
      </c>
      <c r="H661" s="56">
        <v>400</v>
      </c>
      <c r="I661" s="57">
        <v>400</v>
      </c>
      <c r="J661" s="50"/>
      <c r="K661" s="57">
        <v>50</v>
      </c>
      <c r="L661" s="202"/>
    </row>
    <row r="662" spans="2:12" ht="15.75">
      <c r="B662" s="208"/>
      <c r="C662" s="202"/>
      <c r="D662" s="27">
        <v>1387</v>
      </c>
      <c r="E662" s="27">
        <f>DEMANDA_PREVISIÓN!E1391</f>
        <v>36</v>
      </c>
      <c r="F662" s="50"/>
      <c r="G662" s="27">
        <f t="shared" si="68"/>
        <v>9305</v>
      </c>
      <c r="H662" s="56">
        <v>400</v>
      </c>
      <c r="I662" s="57">
        <v>400</v>
      </c>
      <c r="J662" s="50"/>
      <c r="K662" s="57">
        <v>50</v>
      </c>
      <c r="L662" s="202"/>
    </row>
    <row r="663" spans="2:12" ht="15.75">
      <c r="B663" s="208"/>
      <c r="C663" s="202"/>
      <c r="D663" s="27">
        <v>1388</v>
      </c>
      <c r="E663" s="27">
        <f>DEMANDA_PREVISIÓN!E1392</f>
        <v>42</v>
      </c>
      <c r="F663" s="50"/>
      <c r="G663" s="27">
        <f t="shared" si="68"/>
        <v>9263</v>
      </c>
      <c r="H663" s="56">
        <v>400</v>
      </c>
      <c r="I663" s="57">
        <v>400</v>
      </c>
      <c r="J663" s="50"/>
      <c r="K663" s="57">
        <v>50</v>
      </c>
      <c r="L663" s="202"/>
    </row>
    <row r="664" spans="2:12" ht="15.75">
      <c r="B664" s="208"/>
      <c r="C664" s="202"/>
      <c r="D664" s="27">
        <v>1389</v>
      </c>
      <c r="E664" s="27">
        <f>DEMANDA_PREVISIÓN!E1393</f>
        <v>26</v>
      </c>
      <c r="F664" s="50"/>
      <c r="G664" s="27">
        <f t="shared" si="68"/>
        <v>9237</v>
      </c>
      <c r="H664" s="56">
        <v>400</v>
      </c>
      <c r="I664" s="57">
        <v>400</v>
      </c>
      <c r="J664" s="50"/>
      <c r="K664" s="57">
        <v>50</v>
      </c>
      <c r="L664" s="202"/>
    </row>
    <row r="665" spans="2:12" ht="15.75">
      <c r="B665" s="208"/>
      <c r="C665" s="202"/>
      <c r="D665" s="27">
        <v>1390</v>
      </c>
      <c r="E665" s="27">
        <f>DEMANDA_PREVISIÓN!E1394</f>
        <v>35</v>
      </c>
      <c r="F665" s="50"/>
      <c r="G665" s="27">
        <f t="shared" si="68"/>
        <v>9202</v>
      </c>
      <c r="H665" s="56">
        <v>400</v>
      </c>
      <c r="I665" s="57">
        <v>400</v>
      </c>
      <c r="J665" s="50"/>
      <c r="K665" s="57">
        <v>50</v>
      </c>
      <c r="L665" s="202"/>
    </row>
    <row r="666" spans="2:12" ht="15.75">
      <c r="B666" s="208"/>
      <c r="C666" s="202"/>
      <c r="D666" s="27">
        <v>1391</v>
      </c>
      <c r="E666" s="27">
        <f>DEMANDA_PREVISIÓN!E1395</f>
        <v>36</v>
      </c>
      <c r="F666" s="50"/>
      <c r="G666" s="27">
        <f t="shared" si="68"/>
        <v>9166</v>
      </c>
      <c r="H666" s="56">
        <v>400</v>
      </c>
      <c r="I666" s="57">
        <v>400</v>
      </c>
      <c r="J666" s="50"/>
      <c r="K666" s="57">
        <v>50</v>
      </c>
      <c r="L666" s="202"/>
    </row>
    <row r="667" spans="2:12" ht="15.75">
      <c r="B667" s="208"/>
      <c r="C667" s="202"/>
      <c r="D667" s="27">
        <v>1392</v>
      </c>
      <c r="E667" s="27">
        <f>DEMANDA_PREVISIÓN!E1396</f>
        <v>40</v>
      </c>
      <c r="F667" s="50"/>
      <c r="G667" s="56">
        <f>H666+G666</f>
        <v>9566</v>
      </c>
      <c r="H667" s="27"/>
      <c r="I667" s="57">
        <v>400</v>
      </c>
      <c r="J667" s="50"/>
      <c r="K667" s="57">
        <v>50</v>
      </c>
      <c r="L667" s="202"/>
    </row>
    <row r="668" spans="2:12" ht="15.75">
      <c r="B668" s="208"/>
      <c r="C668" s="202"/>
      <c r="D668" s="27">
        <v>1393</v>
      </c>
      <c r="E668" s="27">
        <f>DEMANDA_PREVISIÓN!E1397</f>
        <v>38</v>
      </c>
      <c r="F668" s="50"/>
      <c r="G668" s="27">
        <f>G667-E668</f>
        <v>9528</v>
      </c>
      <c r="H668" s="57">
        <v>400</v>
      </c>
      <c r="I668" s="57">
        <v>400</v>
      </c>
      <c r="J668" s="50"/>
      <c r="K668" s="57">
        <v>50</v>
      </c>
      <c r="L668" s="202"/>
    </row>
    <row r="669" spans="2:12" ht="15.75">
      <c r="B669" s="208"/>
      <c r="C669" s="202"/>
      <c r="D669" s="27">
        <v>1394</v>
      </c>
      <c r="E669" s="27">
        <f>DEMANDA_PREVISIÓN!E1398</f>
        <v>37</v>
      </c>
      <c r="F669" s="50"/>
      <c r="G669" s="27">
        <f>G668-E669</f>
        <v>9491</v>
      </c>
      <c r="H669" s="57">
        <v>400</v>
      </c>
      <c r="I669" s="58">
        <v>400</v>
      </c>
      <c r="J669" s="50"/>
      <c r="K669" s="58">
        <v>50</v>
      </c>
      <c r="L669" s="202"/>
    </row>
    <row r="670" spans="2:12" ht="15.75">
      <c r="B670" s="208"/>
      <c r="C670" s="202"/>
      <c r="D670" s="27">
        <v>1395</v>
      </c>
      <c r="E670" s="27">
        <f>DEMANDA_PREVISIÓN!E1399</f>
        <v>34</v>
      </c>
      <c r="F670" s="50"/>
      <c r="G670" s="27">
        <f>G669-E670</f>
        <v>9457</v>
      </c>
      <c r="H670" s="57">
        <v>400</v>
      </c>
      <c r="I670" s="58">
        <v>400</v>
      </c>
      <c r="J670" s="50"/>
      <c r="K670" s="58">
        <v>50</v>
      </c>
      <c r="L670" s="202"/>
    </row>
    <row r="671" spans="2:12" ht="15.75">
      <c r="B671" s="208"/>
      <c r="C671" s="202"/>
      <c r="D671" s="27">
        <v>1396</v>
      </c>
      <c r="E671" s="27">
        <f>DEMANDA_PREVISIÓN!E1400</f>
        <v>33</v>
      </c>
      <c r="F671" s="50"/>
      <c r="G671" s="27">
        <f>G670-E671</f>
        <v>9424</v>
      </c>
      <c r="H671" s="57">
        <v>400</v>
      </c>
      <c r="I671" s="58">
        <v>400</v>
      </c>
      <c r="J671" s="50"/>
      <c r="K671" s="58">
        <v>50</v>
      </c>
      <c r="L671" s="202"/>
    </row>
    <row r="672" spans="2:12" ht="15.75">
      <c r="B672" s="208"/>
      <c r="C672" s="202"/>
      <c r="D672" s="27">
        <v>1397</v>
      </c>
      <c r="E672" s="27">
        <f>DEMANDA_PREVISIÓN!E1401</f>
        <v>35</v>
      </c>
      <c r="F672" s="50"/>
      <c r="G672" s="27">
        <f t="shared" ref="G672:G674" si="69">G671-E672</f>
        <v>9389</v>
      </c>
      <c r="H672" s="57">
        <v>400</v>
      </c>
      <c r="I672" s="58">
        <v>400</v>
      </c>
      <c r="J672" s="50"/>
      <c r="K672" s="58">
        <v>50</v>
      </c>
      <c r="L672" s="202"/>
    </row>
    <row r="673" spans="2:12" ht="15.75">
      <c r="B673" s="208"/>
      <c r="C673" s="202"/>
      <c r="D673" s="27">
        <v>1398</v>
      </c>
      <c r="E673" s="27">
        <f>DEMANDA_PREVISIÓN!E1402</f>
        <v>34</v>
      </c>
      <c r="F673" s="50"/>
      <c r="G673" s="27">
        <f t="shared" si="69"/>
        <v>9355</v>
      </c>
      <c r="H673" s="57">
        <v>400</v>
      </c>
      <c r="I673" s="58">
        <v>400</v>
      </c>
      <c r="J673" s="50"/>
      <c r="K673" s="58">
        <v>50</v>
      </c>
      <c r="L673" s="202"/>
    </row>
    <row r="674" spans="2:12" ht="15.75">
      <c r="B674" s="208"/>
      <c r="C674" s="202"/>
      <c r="D674" s="27">
        <v>1399</v>
      </c>
      <c r="E674" s="27">
        <f>DEMANDA_PREVISIÓN!E1403</f>
        <v>31</v>
      </c>
      <c r="F674" s="50"/>
      <c r="G674" s="27">
        <f t="shared" si="69"/>
        <v>9324</v>
      </c>
      <c r="H674" s="57">
        <v>400</v>
      </c>
      <c r="I674" s="58">
        <v>400</v>
      </c>
      <c r="J674" s="50"/>
      <c r="K674" s="58">
        <v>50</v>
      </c>
      <c r="L674" s="202"/>
    </row>
    <row r="675" spans="2:12" ht="15.75">
      <c r="B675" s="208"/>
      <c r="C675" s="202"/>
      <c r="D675" s="27">
        <v>1400</v>
      </c>
      <c r="E675" s="27">
        <f>DEMANDA_PREVISIÓN!E1404</f>
        <v>26</v>
      </c>
      <c r="F675" s="50"/>
      <c r="G675" s="57">
        <f>H674+G674</f>
        <v>9724</v>
      </c>
      <c r="I675" s="58">
        <v>400</v>
      </c>
      <c r="J675" s="47"/>
      <c r="K675" s="58">
        <v>50</v>
      </c>
      <c r="L675" s="202"/>
    </row>
    <row r="676" spans="2:12" ht="15.75">
      <c r="B676" s="208"/>
      <c r="C676" s="202"/>
      <c r="D676" s="27">
        <v>1401</v>
      </c>
      <c r="E676" s="27">
        <f>DEMANDA_PREVISIÓN!E1405</f>
        <v>37</v>
      </c>
      <c r="F676" s="50"/>
      <c r="G676" s="27">
        <f t="shared" ref="G676:G682" si="70">G675-E676</f>
        <v>9687</v>
      </c>
      <c r="H676" s="58">
        <v>400</v>
      </c>
      <c r="I676" s="58">
        <v>400</v>
      </c>
      <c r="J676" s="50"/>
      <c r="K676" s="58">
        <v>50</v>
      </c>
      <c r="L676" s="202"/>
    </row>
    <row r="677" spans="2:12" ht="15.75">
      <c r="B677" s="208"/>
      <c r="C677" s="202"/>
      <c r="D677" s="27">
        <v>1402</v>
      </c>
      <c r="E677" s="27">
        <f>DEMANDA_PREVISIÓN!E1406</f>
        <v>36</v>
      </c>
      <c r="F677" s="50"/>
      <c r="G677" s="27">
        <f t="shared" si="70"/>
        <v>9651</v>
      </c>
      <c r="H677" s="58">
        <v>400</v>
      </c>
      <c r="I677" s="68">
        <v>400</v>
      </c>
      <c r="J677" s="50"/>
      <c r="K677" s="68">
        <v>50</v>
      </c>
      <c r="L677" s="202"/>
    </row>
    <row r="678" spans="2:12" ht="15.75">
      <c r="B678" s="208"/>
      <c r="C678" s="202"/>
      <c r="D678" s="27">
        <v>1403</v>
      </c>
      <c r="E678" s="27">
        <f>DEMANDA_PREVISIÓN!E1407</f>
        <v>36</v>
      </c>
      <c r="F678" s="50"/>
      <c r="G678" s="27">
        <f t="shared" si="70"/>
        <v>9615</v>
      </c>
      <c r="H678" s="58">
        <v>400</v>
      </c>
      <c r="I678" s="68">
        <v>400</v>
      </c>
      <c r="J678" s="50"/>
      <c r="K678" s="68">
        <v>50</v>
      </c>
      <c r="L678" s="202"/>
    </row>
    <row r="679" spans="2:12" ht="15.75">
      <c r="B679" s="208"/>
      <c r="C679" s="202"/>
      <c r="D679" s="27">
        <v>1404</v>
      </c>
      <c r="E679" s="27">
        <f>DEMANDA_PREVISIÓN!E1408</f>
        <v>40</v>
      </c>
      <c r="F679" s="50"/>
      <c r="G679" s="27">
        <f t="shared" si="70"/>
        <v>9575</v>
      </c>
      <c r="H679" s="58">
        <v>400</v>
      </c>
      <c r="I679" s="68">
        <v>400</v>
      </c>
      <c r="J679" s="50"/>
      <c r="K679" s="68">
        <v>50</v>
      </c>
      <c r="L679" s="202"/>
    </row>
    <row r="680" spans="2:12" ht="15.75">
      <c r="B680" s="208"/>
      <c r="C680" s="202"/>
      <c r="D680" s="27">
        <v>1405</v>
      </c>
      <c r="E680" s="27">
        <f>DEMANDA_PREVISIÓN!E1409</f>
        <v>25</v>
      </c>
      <c r="F680" s="50"/>
      <c r="G680" s="27">
        <f t="shared" si="70"/>
        <v>9550</v>
      </c>
      <c r="H680" s="58">
        <v>400</v>
      </c>
      <c r="I680" s="68">
        <v>400</v>
      </c>
      <c r="J680" s="50"/>
      <c r="K680" s="68">
        <v>50</v>
      </c>
      <c r="L680" s="202"/>
    </row>
    <row r="681" spans="2:12" ht="15.75">
      <c r="B681" s="208"/>
      <c r="C681" s="202"/>
      <c r="D681" s="27">
        <v>1406</v>
      </c>
      <c r="E681" s="27">
        <f>DEMANDA_PREVISIÓN!E1410</f>
        <v>29</v>
      </c>
      <c r="F681" s="50"/>
      <c r="G681" s="27">
        <f t="shared" si="70"/>
        <v>9521</v>
      </c>
      <c r="H681" s="58">
        <v>400</v>
      </c>
      <c r="I681" s="68">
        <v>400</v>
      </c>
      <c r="J681" s="50"/>
      <c r="K681" s="68">
        <v>50</v>
      </c>
      <c r="L681" s="202"/>
    </row>
    <row r="682" spans="2:12" ht="15.75">
      <c r="B682" s="208"/>
      <c r="C682" s="202"/>
      <c r="D682" s="27">
        <v>1407</v>
      </c>
      <c r="E682" s="27">
        <f>DEMANDA_PREVISIÓN!E1411</f>
        <v>44</v>
      </c>
      <c r="F682" s="50"/>
      <c r="G682" s="27">
        <f t="shared" si="70"/>
        <v>9477</v>
      </c>
      <c r="H682" s="58">
        <v>400</v>
      </c>
      <c r="I682" s="68">
        <v>400</v>
      </c>
      <c r="J682" s="50"/>
      <c r="K682" s="68">
        <v>50</v>
      </c>
      <c r="L682" s="202"/>
    </row>
    <row r="683" spans="2:12" ht="15.75">
      <c r="B683" s="208"/>
      <c r="C683" s="202"/>
      <c r="D683" s="27">
        <v>1408</v>
      </c>
      <c r="E683" s="27">
        <f>DEMANDA_PREVISIÓN!E1412</f>
        <v>31</v>
      </c>
      <c r="F683" s="50"/>
      <c r="G683" s="58">
        <f>H682+G682</f>
        <v>9877</v>
      </c>
      <c r="H683" s="27"/>
      <c r="I683" s="68">
        <v>400</v>
      </c>
      <c r="J683" s="50"/>
      <c r="K683" s="68">
        <v>50</v>
      </c>
      <c r="L683" s="202"/>
    </row>
    <row r="684" spans="2:12" ht="15.75">
      <c r="B684" s="208"/>
      <c r="C684" s="202"/>
      <c r="D684" s="27">
        <v>1409</v>
      </c>
      <c r="E684" s="27">
        <f>DEMANDA_PREVISIÓN!E1413</f>
        <v>39</v>
      </c>
      <c r="F684" s="50"/>
      <c r="G684" s="27">
        <f t="shared" ref="G684:G690" si="71">G683-E684</f>
        <v>9838</v>
      </c>
      <c r="H684" s="68">
        <v>400</v>
      </c>
      <c r="I684" s="68">
        <v>400</v>
      </c>
      <c r="J684" s="50"/>
      <c r="K684" s="68">
        <v>50</v>
      </c>
      <c r="L684" s="202"/>
    </row>
    <row r="685" spans="2:12" ht="15.75">
      <c r="B685" s="208"/>
      <c r="C685" s="202"/>
      <c r="D685" s="27">
        <v>1410</v>
      </c>
      <c r="E685" s="27">
        <f>DEMANDA_PREVISIÓN!E1414</f>
        <v>40</v>
      </c>
      <c r="F685" s="50"/>
      <c r="G685" s="27">
        <f t="shared" si="71"/>
        <v>9798</v>
      </c>
      <c r="H685" s="68">
        <v>400</v>
      </c>
      <c r="I685" s="70">
        <v>400</v>
      </c>
      <c r="J685" s="50"/>
      <c r="K685" s="70">
        <v>50</v>
      </c>
      <c r="L685" s="202"/>
    </row>
    <row r="686" spans="2:12" ht="15.75">
      <c r="B686" s="208"/>
      <c r="C686" s="202"/>
      <c r="D686" s="27">
        <v>1411</v>
      </c>
      <c r="E686" s="27">
        <f>DEMANDA_PREVISIÓN!E1415</f>
        <v>33</v>
      </c>
      <c r="F686" s="50"/>
      <c r="G686" s="27">
        <f t="shared" si="71"/>
        <v>9765</v>
      </c>
      <c r="H686" s="68">
        <v>400</v>
      </c>
      <c r="I686" s="70">
        <v>400</v>
      </c>
      <c r="J686" s="50"/>
      <c r="K686" s="70">
        <v>50</v>
      </c>
      <c r="L686" s="202"/>
    </row>
    <row r="687" spans="2:12" ht="15.75">
      <c r="B687" s="208"/>
      <c r="C687" s="202"/>
      <c r="D687" s="27">
        <v>1412</v>
      </c>
      <c r="E687" s="27">
        <f>DEMANDA_PREVISIÓN!E1416</f>
        <v>40</v>
      </c>
      <c r="F687" s="50"/>
      <c r="G687" s="27">
        <f t="shared" si="71"/>
        <v>9725</v>
      </c>
      <c r="H687" s="68">
        <v>400</v>
      </c>
      <c r="I687" s="70">
        <v>400</v>
      </c>
      <c r="J687" s="50"/>
      <c r="K687" s="70">
        <v>50</v>
      </c>
      <c r="L687" s="202"/>
    </row>
    <row r="688" spans="2:12" ht="15.75">
      <c r="B688" s="208"/>
      <c r="C688" s="202"/>
      <c r="D688" s="27">
        <v>1413</v>
      </c>
      <c r="E688" s="27">
        <f>DEMANDA_PREVISIÓN!E1417</f>
        <v>49</v>
      </c>
      <c r="F688" s="50"/>
      <c r="G688" s="27">
        <f t="shared" si="71"/>
        <v>9676</v>
      </c>
      <c r="H688" s="68">
        <v>400</v>
      </c>
      <c r="I688" s="70">
        <v>400</v>
      </c>
      <c r="J688" s="50"/>
      <c r="K688" s="70">
        <v>50</v>
      </c>
      <c r="L688" s="202"/>
    </row>
    <row r="689" spans="2:12" ht="15.75">
      <c r="B689" s="208"/>
      <c r="C689" s="203"/>
      <c r="D689" s="27">
        <v>1414</v>
      </c>
      <c r="E689" s="27">
        <f>DEMANDA_PREVISIÓN!E1418</f>
        <v>42</v>
      </c>
      <c r="F689" s="50"/>
      <c r="G689" s="27">
        <f t="shared" si="71"/>
        <v>9634</v>
      </c>
      <c r="H689" s="68">
        <v>400</v>
      </c>
      <c r="I689" s="70">
        <v>400</v>
      </c>
      <c r="J689" s="50"/>
      <c r="K689" s="70">
        <v>50</v>
      </c>
      <c r="L689" s="203"/>
    </row>
    <row r="690" spans="2:12" ht="15.75">
      <c r="B690" s="208"/>
      <c r="C690" s="201">
        <v>24</v>
      </c>
      <c r="D690" s="27">
        <v>1415</v>
      </c>
      <c r="E690" s="27">
        <f>DEMANDA_PREVISIÓN!E1419</f>
        <v>34</v>
      </c>
      <c r="F690" s="50"/>
      <c r="G690" s="27">
        <f t="shared" si="71"/>
        <v>9600</v>
      </c>
      <c r="H690" s="68">
        <v>400</v>
      </c>
      <c r="I690" s="70">
        <v>400</v>
      </c>
      <c r="J690" s="50"/>
      <c r="K690" s="70">
        <v>50</v>
      </c>
      <c r="L690" s="201"/>
    </row>
    <row r="691" spans="2:12" ht="15.75">
      <c r="B691" s="208"/>
      <c r="C691" s="202"/>
      <c r="D691" s="27">
        <v>1416</v>
      </c>
      <c r="E691" s="27">
        <f>DEMANDA_PREVISIÓN!E1420</f>
        <v>36</v>
      </c>
      <c r="F691" s="50"/>
      <c r="G691" s="68">
        <f>H690+G690</f>
        <v>10000</v>
      </c>
      <c r="H691" s="27"/>
      <c r="I691" s="70">
        <v>400</v>
      </c>
      <c r="J691" s="50"/>
      <c r="K691" s="70">
        <v>50</v>
      </c>
      <c r="L691" s="202"/>
    </row>
    <row r="692" spans="2:12" ht="15.75">
      <c r="B692" s="208"/>
      <c r="C692" s="202"/>
      <c r="D692" s="27">
        <v>1417</v>
      </c>
      <c r="E692" s="27">
        <f>DEMANDA_PREVISIÓN!E1421</f>
        <v>38</v>
      </c>
      <c r="F692" s="50"/>
      <c r="G692" s="27">
        <f t="shared" ref="G692:G698" si="72">G691-E692</f>
        <v>9962</v>
      </c>
      <c r="H692" s="70">
        <v>400</v>
      </c>
      <c r="I692" s="70">
        <v>400</v>
      </c>
      <c r="J692" s="50"/>
      <c r="K692" s="70">
        <v>50</v>
      </c>
      <c r="L692" s="202"/>
    </row>
    <row r="693" spans="2:12" ht="15.75">
      <c r="B693" s="208"/>
      <c r="C693" s="202"/>
      <c r="D693" s="27">
        <v>1418</v>
      </c>
      <c r="E693" s="27">
        <f>DEMANDA_PREVISIÓN!E1422</f>
        <v>31</v>
      </c>
      <c r="F693" s="50"/>
      <c r="G693" s="27">
        <f t="shared" si="72"/>
        <v>9931</v>
      </c>
      <c r="H693" s="70">
        <v>400</v>
      </c>
      <c r="I693" s="56">
        <v>400</v>
      </c>
      <c r="J693" s="50"/>
      <c r="K693" s="56">
        <v>50</v>
      </c>
      <c r="L693" s="202"/>
    </row>
    <row r="694" spans="2:12" ht="15.75">
      <c r="B694" s="208"/>
      <c r="C694" s="202"/>
      <c r="D694" s="27">
        <v>1419</v>
      </c>
      <c r="E694" s="27">
        <f>DEMANDA_PREVISIÓN!E1423</f>
        <v>39</v>
      </c>
      <c r="F694" s="50"/>
      <c r="G694" s="27">
        <f t="shared" si="72"/>
        <v>9892</v>
      </c>
      <c r="H694" s="70">
        <v>400</v>
      </c>
      <c r="I694" s="56">
        <v>400</v>
      </c>
      <c r="J694" s="50"/>
      <c r="K694" s="56">
        <v>50</v>
      </c>
      <c r="L694" s="202"/>
    </row>
    <row r="695" spans="2:12" ht="15.75">
      <c r="B695" s="208"/>
      <c r="C695" s="202"/>
      <c r="D695" s="27">
        <v>1420</v>
      </c>
      <c r="E695" s="27">
        <f>DEMANDA_PREVISIÓN!E1424</f>
        <v>33</v>
      </c>
      <c r="F695" s="50"/>
      <c r="G695" s="27">
        <f t="shared" si="72"/>
        <v>9859</v>
      </c>
      <c r="H695" s="70">
        <v>400</v>
      </c>
      <c r="I695" s="56">
        <v>400</v>
      </c>
      <c r="J695" s="50"/>
      <c r="K695" s="56">
        <v>50</v>
      </c>
      <c r="L695" s="202"/>
    </row>
    <row r="696" spans="2:12" ht="15.75">
      <c r="B696" s="208"/>
      <c r="C696" s="202"/>
      <c r="D696" s="27">
        <v>1421</v>
      </c>
      <c r="E696" s="27">
        <f>DEMANDA_PREVISIÓN!E1425</f>
        <v>38</v>
      </c>
      <c r="F696" s="50"/>
      <c r="G696" s="27">
        <f t="shared" si="72"/>
        <v>9821</v>
      </c>
      <c r="H696" s="70">
        <v>400</v>
      </c>
      <c r="I696" s="56">
        <v>400</v>
      </c>
      <c r="J696" s="50"/>
      <c r="K696" s="56">
        <v>50</v>
      </c>
      <c r="L696" s="202"/>
    </row>
    <row r="697" spans="2:12" ht="15.75">
      <c r="B697" s="208"/>
      <c r="C697" s="202"/>
      <c r="D697" s="27">
        <v>1422</v>
      </c>
      <c r="E697" s="27">
        <f>DEMANDA_PREVISIÓN!E1426</f>
        <v>40</v>
      </c>
      <c r="F697" s="50"/>
      <c r="G697" s="27">
        <f t="shared" si="72"/>
        <v>9781</v>
      </c>
      <c r="H697" s="70">
        <v>400</v>
      </c>
      <c r="I697" s="56">
        <v>400</v>
      </c>
      <c r="J697" s="50"/>
      <c r="K697" s="56">
        <v>50</v>
      </c>
      <c r="L697" s="202"/>
    </row>
    <row r="698" spans="2:12" ht="15.75">
      <c r="B698" s="208"/>
      <c r="C698" s="202"/>
      <c r="D698" s="27">
        <v>1423</v>
      </c>
      <c r="E698" s="27">
        <f>DEMANDA_PREVISIÓN!E1427</f>
        <v>44</v>
      </c>
      <c r="F698" s="50"/>
      <c r="G698" s="27">
        <f t="shared" si="72"/>
        <v>9737</v>
      </c>
      <c r="H698" s="70">
        <v>400</v>
      </c>
      <c r="I698" s="56">
        <v>400</v>
      </c>
      <c r="J698" s="50"/>
      <c r="K698" s="56">
        <v>50</v>
      </c>
      <c r="L698" s="202"/>
    </row>
    <row r="699" spans="2:12" ht="15.75">
      <c r="B699" s="208"/>
      <c r="C699" s="202"/>
      <c r="D699" s="27">
        <v>1424</v>
      </c>
      <c r="E699" s="27">
        <f>DEMANDA_PREVISIÓN!E1428</f>
        <v>36</v>
      </c>
      <c r="F699" s="50"/>
      <c r="G699" s="70">
        <f>H698+G698</f>
        <v>10137</v>
      </c>
      <c r="H699" s="27"/>
      <c r="I699" s="56">
        <v>400</v>
      </c>
      <c r="J699" s="50"/>
      <c r="K699" s="56">
        <v>50</v>
      </c>
      <c r="L699" s="202"/>
    </row>
    <row r="700" spans="2:12" ht="15.75">
      <c r="B700" s="208"/>
      <c r="C700" s="202"/>
      <c r="D700" s="27">
        <v>1425</v>
      </c>
      <c r="E700" s="27">
        <f>DEMANDA_PREVISIÓN!E1429</f>
        <v>37</v>
      </c>
      <c r="F700" s="50"/>
      <c r="G700" s="27">
        <f t="shared" ref="G700:G706" si="73">G699-E700</f>
        <v>10100</v>
      </c>
      <c r="H700" s="56">
        <v>400</v>
      </c>
      <c r="I700" s="56">
        <v>400</v>
      </c>
      <c r="J700" s="50"/>
      <c r="K700" s="56">
        <v>50</v>
      </c>
      <c r="L700" s="202"/>
    </row>
    <row r="701" spans="2:12" ht="15.75">
      <c r="B701" s="208"/>
      <c r="C701" s="202"/>
      <c r="D701" s="27">
        <v>1426</v>
      </c>
      <c r="E701" s="27">
        <f>DEMANDA_PREVISIÓN!E1430</f>
        <v>36</v>
      </c>
      <c r="F701" s="50"/>
      <c r="G701" s="27">
        <f t="shared" si="73"/>
        <v>10064</v>
      </c>
      <c r="H701" s="56">
        <v>400</v>
      </c>
      <c r="I701" s="57">
        <v>400</v>
      </c>
      <c r="J701" s="50"/>
      <c r="K701" s="57">
        <v>50</v>
      </c>
      <c r="L701" s="202"/>
    </row>
    <row r="702" spans="2:12" ht="15.75">
      <c r="B702" s="208"/>
      <c r="C702" s="202"/>
      <c r="D702" s="27">
        <v>1427</v>
      </c>
      <c r="E702" s="27">
        <f>DEMANDA_PREVISIÓN!E1431</f>
        <v>31</v>
      </c>
      <c r="F702" s="50"/>
      <c r="G702" s="27">
        <f t="shared" si="73"/>
        <v>10033</v>
      </c>
      <c r="H702" s="56">
        <v>400</v>
      </c>
      <c r="I702" s="57">
        <v>400</v>
      </c>
      <c r="J702" s="50"/>
      <c r="K702" s="57">
        <v>50</v>
      </c>
      <c r="L702" s="202"/>
    </row>
    <row r="703" spans="2:12" ht="15.75">
      <c r="B703" s="208"/>
      <c r="C703" s="202"/>
      <c r="D703" s="27">
        <v>1428</v>
      </c>
      <c r="E703" s="27">
        <f>DEMANDA_PREVISIÓN!E1432</f>
        <v>39</v>
      </c>
      <c r="F703" s="50"/>
      <c r="G703" s="27">
        <f t="shared" si="73"/>
        <v>9994</v>
      </c>
      <c r="H703" s="56">
        <v>400</v>
      </c>
      <c r="I703" s="57">
        <v>400</v>
      </c>
      <c r="J703" s="50"/>
      <c r="K703" s="57">
        <v>50</v>
      </c>
      <c r="L703" s="202"/>
    </row>
    <row r="704" spans="2:12" ht="15.75">
      <c r="B704" s="208"/>
      <c r="C704" s="202"/>
      <c r="D704" s="27">
        <v>1429</v>
      </c>
      <c r="E704" s="27">
        <f>DEMANDA_PREVISIÓN!E1433</f>
        <v>40</v>
      </c>
      <c r="F704" s="50"/>
      <c r="G704" s="27">
        <f t="shared" si="73"/>
        <v>9954</v>
      </c>
      <c r="H704" s="56">
        <v>400</v>
      </c>
      <c r="I704" s="57">
        <v>400</v>
      </c>
      <c r="J704" s="50"/>
      <c r="K704" s="57">
        <v>50</v>
      </c>
      <c r="L704" s="202"/>
    </row>
    <row r="705" spans="2:12" ht="15.75">
      <c r="B705" s="208"/>
      <c r="C705" s="202"/>
      <c r="D705" s="27">
        <v>1430</v>
      </c>
      <c r="E705" s="27">
        <f>DEMANDA_PREVISIÓN!E1434</f>
        <v>37</v>
      </c>
      <c r="F705" s="50"/>
      <c r="G705" s="27">
        <f t="shared" si="73"/>
        <v>9917</v>
      </c>
      <c r="H705" s="56">
        <v>400</v>
      </c>
      <c r="I705" s="57">
        <v>400</v>
      </c>
      <c r="J705" s="50"/>
      <c r="K705" s="57">
        <v>50</v>
      </c>
      <c r="L705" s="202"/>
    </row>
    <row r="706" spans="2:12" ht="15.75">
      <c r="B706" s="208"/>
      <c r="C706" s="202"/>
      <c r="D706" s="27">
        <v>1431</v>
      </c>
      <c r="E706" s="27">
        <f>DEMANDA_PREVISIÓN!E1435</f>
        <v>32</v>
      </c>
      <c r="F706" s="50"/>
      <c r="G706" s="27">
        <f t="shared" si="73"/>
        <v>9885</v>
      </c>
      <c r="H706" s="56">
        <v>400</v>
      </c>
      <c r="I706" s="57">
        <v>400</v>
      </c>
      <c r="J706" s="50"/>
      <c r="K706" s="57">
        <v>50</v>
      </c>
      <c r="L706" s="202"/>
    </row>
    <row r="707" spans="2:12" ht="15.75">
      <c r="B707" s="208"/>
      <c r="C707" s="202"/>
      <c r="D707" s="27">
        <v>1432</v>
      </c>
      <c r="E707" s="27">
        <f>DEMANDA_PREVISIÓN!E1436</f>
        <v>33</v>
      </c>
      <c r="F707" s="50"/>
      <c r="G707" s="56">
        <f>H706+G706</f>
        <v>10285</v>
      </c>
      <c r="H707" s="27"/>
      <c r="I707" s="57">
        <v>400</v>
      </c>
      <c r="J707" s="50"/>
      <c r="K707" s="57">
        <v>50</v>
      </c>
      <c r="L707" s="202"/>
    </row>
    <row r="708" spans="2:12" ht="15.75">
      <c r="B708" s="208"/>
      <c r="C708" s="202"/>
      <c r="D708" s="27">
        <v>1433</v>
      </c>
      <c r="E708" s="27">
        <f>DEMANDA_PREVISIÓN!E1437</f>
        <v>41</v>
      </c>
      <c r="F708" s="50"/>
      <c r="G708" s="27">
        <f>G707-E708</f>
        <v>10244</v>
      </c>
      <c r="H708" s="57">
        <v>400</v>
      </c>
      <c r="I708" s="57">
        <v>400</v>
      </c>
      <c r="J708" s="50"/>
      <c r="K708" s="57">
        <v>50</v>
      </c>
      <c r="L708" s="202"/>
    </row>
    <row r="709" spans="2:12" ht="15.75">
      <c r="B709" s="208"/>
      <c r="C709" s="202"/>
      <c r="D709" s="27">
        <v>1434</v>
      </c>
      <c r="E709" s="27">
        <f>DEMANDA_PREVISIÓN!E1438</f>
        <v>46</v>
      </c>
      <c r="F709" s="50"/>
      <c r="G709" s="27">
        <f>G708-E709</f>
        <v>10198</v>
      </c>
      <c r="H709" s="57">
        <v>400</v>
      </c>
      <c r="I709" s="58">
        <v>400</v>
      </c>
      <c r="J709" s="50"/>
      <c r="K709" s="58">
        <v>50</v>
      </c>
      <c r="L709" s="202"/>
    </row>
    <row r="710" spans="2:12" ht="15.75">
      <c r="B710" s="208"/>
      <c r="C710" s="202"/>
      <c r="D710" s="27">
        <v>1435</v>
      </c>
      <c r="E710" s="27">
        <f>DEMANDA_PREVISIÓN!E1439</f>
        <v>33</v>
      </c>
      <c r="F710" s="50"/>
      <c r="G710" s="27">
        <f>G709-E710</f>
        <v>10165</v>
      </c>
      <c r="H710" s="57">
        <v>400</v>
      </c>
      <c r="I710" s="58">
        <v>400</v>
      </c>
      <c r="J710" s="50"/>
      <c r="K710" s="58">
        <v>50</v>
      </c>
      <c r="L710" s="202"/>
    </row>
    <row r="711" spans="2:12" ht="15.75">
      <c r="B711" s="208"/>
      <c r="C711" s="202"/>
      <c r="D711" s="27">
        <v>1436</v>
      </c>
      <c r="E711" s="27">
        <f>DEMANDA_PREVISIÓN!E1440</f>
        <v>34</v>
      </c>
      <c r="F711" s="50"/>
      <c r="G711" s="27">
        <f>G710-E711</f>
        <v>10131</v>
      </c>
      <c r="H711" s="57">
        <v>400</v>
      </c>
      <c r="I711" s="58">
        <v>400</v>
      </c>
      <c r="J711" s="50"/>
      <c r="K711" s="58">
        <v>50</v>
      </c>
      <c r="L711" s="202"/>
    </row>
    <row r="712" spans="2:12" ht="15.75">
      <c r="B712" s="208"/>
      <c r="C712" s="202"/>
      <c r="D712" s="27">
        <v>1437</v>
      </c>
      <c r="E712" s="27">
        <f>DEMANDA_PREVISIÓN!E1441</f>
        <v>34</v>
      </c>
      <c r="F712" s="50"/>
      <c r="G712" s="27">
        <f t="shared" ref="G712:G714" si="74">G711-E712</f>
        <v>10097</v>
      </c>
      <c r="H712" s="57">
        <v>400</v>
      </c>
      <c r="I712" s="58">
        <v>400</v>
      </c>
      <c r="J712" s="50"/>
      <c r="K712" s="58">
        <v>50</v>
      </c>
      <c r="L712" s="202"/>
    </row>
    <row r="713" spans="2:12" ht="15.75">
      <c r="B713" s="208"/>
      <c r="C713" s="202"/>
      <c r="D713" s="27">
        <v>1438</v>
      </c>
      <c r="E713" s="27">
        <f>DEMANDA_PREVISIÓN!E1442</f>
        <v>39</v>
      </c>
      <c r="F713" s="50"/>
      <c r="G713" s="27">
        <f t="shared" si="74"/>
        <v>10058</v>
      </c>
      <c r="H713" s="57">
        <v>400</v>
      </c>
      <c r="I713" s="58">
        <v>400</v>
      </c>
      <c r="J713" s="50"/>
      <c r="K713" s="58">
        <v>50</v>
      </c>
      <c r="L713" s="202"/>
    </row>
    <row r="714" spans="2:12" ht="15.75">
      <c r="B714" s="208"/>
      <c r="C714" s="202"/>
      <c r="D714" s="27">
        <v>1439</v>
      </c>
      <c r="E714" s="27">
        <f>DEMANDA_PREVISIÓN!E1443</f>
        <v>40</v>
      </c>
      <c r="F714" s="50"/>
      <c r="G714" s="27">
        <f t="shared" si="74"/>
        <v>10018</v>
      </c>
      <c r="H714" s="57">
        <v>400</v>
      </c>
      <c r="I714" s="58">
        <v>400</v>
      </c>
      <c r="J714" s="50"/>
      <c r="K714" s="58">
        <v>50</v>
      </c>
      <c r="L714" s="202"/>
    </row>
    <row r="715" spans="2:12" ht="15.75">
      <c r="B715" s="208"/>
      <c r="C715" s="202"/>
      <c r="D715" s="27">
        <v>1440</v>
      </c>
      <c r="E715" s="27">
        <f>DEMANDA_PREVISIÓN!E1444</f>
        <v>41</v>
      </c>
      <c r="F715" s="50"/>
      <c r="G715" s="57">
        <f>H714+G714</f>
        <v>10418</v>
      </c>
      <c r="I715" s="58">
        <v>400</v>
      </c>
      <c r="J715" s="47"/>
      <c r="K715" s="58">
        <v>50</v>
      </c>
      <c r="L715" s="202"/>
    </row>
    <row r="716" spans="2:12" ht="15.75">
      <c r="B716" s="208"/>
      <c r="C716" s="202"/>
      <c r="D716" s="27">
        <v>1441</v>
      </c>
      <c r="E716" s="27">
        <f>DEMANDA_PREVISIÓN!E1445</f>
        <v>42</v>
      </c>
      <c r="F716" s="50"/>
      <c r="G716" s="27">
        <f t="shared" ref="G716:G722" si="75">G715-E716</f>
        <v>10376</v>
      </c>
      <c r="H716" s="58">
        <v>400</v>
      </c>
      <c r="I716" s="58">
        <v>400</v>
      </c>
      <c r="J716" s="50"/>
      <c r="K716" s="58">
        <v>50</v>
      </c>
      <c r="L716" s="202"/>
    </row>
    <row r="717" spans="2:12" ht="15.75">
      <c r="B717" s="208"/>
      <c r="C717" s="202"/>
      <c r="D717" s="27">
        <v>1442</v>
      </c>
      <c r="E717" s="27">
        <f>DEMANDA_PREVISIÓN!E1446</f>
        <v>39</v>
      </c>
      <c r="F717" s="50"/>
      <c r="G717" s="27">
        <f t="shared" si="75"/>
        <v>10337</v>
      </c>
      <c r="H717" s="58">
        <v>400</v>
      </c>
      <c r="I717" s="68">
        <v>400</v>
      </c>
      <c r="J717" s="50"/>
      <c r="K717" s="68">
        <v>50</v>
      </c>
      <c r="L717" s="202"/>
    </row>
    <row r="718" spans="2:12" ht="15.75">
      <c r="B718" s="208"/>
      <c r="C718" s="202"/>
      <c r="D718" s="27">
        <v>1443</v>
      </c>
      <c r="E718" s="27">
        <f>DEMANDA_PREVISIÓN!E1447</f>
        <v>44</v>
      </c>
      <c r="F718" s="50"/>
      <c r="G718" s="27">
        <f t="shared" si="75"/>
        <v>10293</v>
      </c>
      <c r="H718" s="58">
        <v>400</v>
      </c>
      <c r="I718" s="68">
        <v>400</v>
      </c>
      <c r="J718" s="50"/>
      <c r="K718" s="68">
        <v>50</v>
      </c>
      <c r="L718" s="202"/>
    </row>
    <row r="719" spans="2:12" ht="15.75">
      <c r="B719" s="208"/>
      <c r="C719" s="202"/>
      <c r="D719" s="27">
        <v>1444</v>
      </c>
      <c r="E719" s="27">
        <f>DEMANDA_PREVISIÓN!E1448</f>
        <v>41</v>
      </c>
      <c r="F719" s="50"/>
      <c r="G719" s="27">
        <f t="shared" si="75"/>
        <v>10252</v>
      </c>
      <c r="H719" s="58">
        <v>400</v>
      </c>
      <c r="I719" s="68">
        <v>400</v>
      </c>
      <c r="J719" s="50"/>
      <c r="K719" s="68">
        <v>50</v>
      </c>
      <c r="L719" s="202"/>
    </row>
    <row r="720" spans="2:12" ht="15.75">
      <c r="B720" s="208"/>
      <c r="C720" s="203"/>
      <c r="D720" s="27">
        <v>1445</v>
      </c>
      <c r="E720" s="27">
        <f>DEMANDA_PREVISIÓN!E1449</f>
        <v>37</v>
      </c>
      <c r="F720" s="50"/>
      <c r="G720" s="27">
        <f t="shared" si="75"/>
        <v>10215</v>
      </c>
      <c r="H720" s="58">
        <v>400</v>
      </c>
      <c r="I720" s="68">
        <v>400</v>
      </c>
      <c r="J720" s="50"/>
      <c r="K720" s="68">
        <v>50</v>
      </c>
      <c r="L720" s="203"/>
    </row>
    <row r="721" spans="2:12" ht="15.75">
      <c r="B721" s="208"/>
      <c r="C721" s="201">
        <v>25</v>
      </c>
      <c r="D721" s="27">
        <v>1446</v>
      </c>
      <c r="E721" s="27">
        <f>DEMANDA_PREVISIÓN!E1450</f>
        <v>41</v>
      </c>
      <c r="F721" s="50"/>
      <c r="G721" s="27">
        <f t="shared" si="75"/>
        <v>10174</v>
      </c>
      <c r="H721" s="58">
        <v>400</v>
      </c>
      <c r="I721" s="68">
        <v>400</v>
      </c>
      <c r="J721" s="50"/>
      <c r="K721" s="68">
        <v>50</v>
      </c>
      <c r="L721" s="201"/>
    </row>
    <row r="722" spans="2:12" ht="15.75">
      <c r="B722" s="208"/>
      <c r="C722" s="202"/>
      <c r="D722" s="27">
        <v>1447</v>
      </c>
      <c r="E722" s="27">
        <f>DEMANDA_PREVISIÓN!E1451</f>
        <v>40</v>
      </c>
      <c r="F722" s="50"/>
      <c r="G722" s="27">
        <f t="shared" si="75"/>
        <v>10134</v>
      </c>
      <c r="H722" s="58">
        <v>400</v>
      </c>
      <c r="I722" s="68">
        <v>400</v>
      </c>
      <c r="J722" s="50"/>
      <c r="K722" s="68">
        <v>50</v>
      </c>
      <c r="L722" s="202"/>
    </row>
    <row r="723" spans="2:12" ht="15.75">
      <c r="B723" s="208"/>
      <c r="C723" s="202"/>
      <c r="D723" s="27">
        <v>1448</v>
      </c>
      <c r="E723" s="27">
        <f>DEMANDA_PREVISIÓN!E1452</f>
        <v>33</v>
      </c>
      <c r="F723" s="50"/>
      <c r="G723" s="58">
        <f>H722+G722</f>
        <v>10534</v>
      </c>
      <c r="H723" s="27"/>
      <c r="I723" s="68">
        <v>400</v>
      </c>
      <c r="J723" s="50"/>
      <c r="K723" s="68">
        <v>50</v>
      </c>
      <c r="L723" s="202"/>
    </row>
    <row r="724" spans="2:12" ht="15.75">
      <c r="B724" s="208"/>
      <c r="C724" s="202"/>
      <c r="D724" s="27">
        <v>1449</v>
      </c>
      <c r="E724" s="27">
        <f>DEMANDA_PREVISIÓN!E1453</f>
        <v>37</v>
      </c>
      <c r="F724" s="50"/>
      <c r="G724" s="27">
        <f t="shared" ref="G724:G730" si="76">G723-E724</f>
        <v>10497</v>
      </c>
      <c r="H724" s="68">
        <v>400</v>
      </c>
      <c r="I724" s="68">
        <v>400</v>
      </c>
      <c r="J724" s="50"/>
      <c r="K724" s="68">
        <v>50</v>
      </c>
      <c r="L724" s="202"/>
    </row>
    <row r="725" spans="2:12" ht="15.75">
      <c r="B725" s="208"/>
      <c r="C725" s="202"/>
      <c r="D725" s="27">
        <v>1450</v>
      </c>
      <c r="E725" s="27">
        <f>DEMANDA_PREVISIÓN!E1454</f>
        <v>37</v>
      </c>
      <c r="F725" s="50"/>
      <c r="G725" s="27">
        <f t="shared" si="76"/>
        <v>10460</v>
      </c>
      <c r="H725" s="68">
        <v>400</v>
      </c>
      <c r="I725" s="70">
        <v>400</v>
      </c>
      <c r="J725" s="50"/>
      <c r="K725" s="70">
        <v>50</v>
      </c>
      <c r="L725" s="202"/>
    </row>
    <row r="726" spans="2:12" ht="15.75">
      <c r="B726" s="208"/>
      <c r="C726" s="202"/>
      <c r="D726" s="27">
        <v>1451</v>
      </c>
      <c r="E726" s="27">
        <f>DEMANDA_PREVISIÓN!E1455</f>
        <v>36</v>
      </c>
      <c r="F726" s="50"/>
      <c r="G726" s="27">
        <f t="shared" si="76"/>
        <v>10424</v>
      </c>
      <c r="H726" s="68">
        <v>400</v>
      </c>
      <c r="I726" s="70">
        <v>400</v>
      </c>
      <c r="J726" s="50"/>
      <c r="K726" s="70">
        <v>50</v>
      </c>
      <c r="L726" s="202"/>
    </row>
    <row r="727" spans="2:12" ht="15.75">
      <c r="B727" s="208"/>
      <c r="C727" s="202"/>
      <c r="D727" s="27">
        <v>1452</v>
      </c>
      <c r="E727" s="27">
        <f>DEMANDA_PREVISIÓN!E1456</f>
        <v>31</v>
      </c>
      <c r="F727" s="50"/>
      <c r="G727" s="27">
        <f t="shared" si="76"/>
        <v>10393</v>
      </c>
      <c r="H727" s="68">
        <v>400</v>
      </c>
      <c r="I727" s="70">
        <v>400</v>
      </c>
      <c r="J727" s="50"/>
      <c r="K727" s="70">
        <v>50</v>
      </c>
      <c r="L727" s="202"/>
    </row>
    <row r="728" spans="2:12" ht="15.75">
      <c r="B728" s="208"/>
      <c r="C728" s="202"/>
      <c r="D728" s="27">
        <v>1453</v>
      </c>
      <c r="E728" s="27">
        <f>DEMANDA_PREVISIÓN!E1457</f>
        <v>33</v>
      </c>
      <c r="F728" s="50"/>
      <c r="G728" s="27">
        <f t="shared" si="76"/>
        <v>10360</v>
      </c>
      <c r="H728" s="68">
        <v>400</v>
      </c>
      <c r="I728" s="70">
        <v>400</v>
      </c>
      <c r="J728" s="50"/>
      <c r="K728" s="70">
        <v>50</v>
      </c>
      <c r="L728" s="202"/>
    </row>
    <row r="729" spans="2:12" ht="15.75">
      <c r="B729" s="208"/>
      <c r="C729" s="202"/>
      <c r="D729" s="27">
        <v>1454</v>
      </c>
      <c r="E729" s="27">
        <f>DEMANDA_PREVISIÓN!E1458</f>
        <v>38</v>
      </c>
      <c r="F729" s="50"/>
      <c r="G729" s="27">
        <f t="shared" si="76"/>
        <v>10322</v>
      </c>
      <c r="H729" s="68">
        <v>400</v>
      </c>
      <c r="I729" s="70">
        <v>400</v>
      </c>
      <c r="J729" s="50"/>
      <c r="K729" s="70">
        <v>50</v>
      </c>
      <c r="L729" s="202"/>
    </row>
    <row r="730" spans="2:12" ht="15.75">
      <c r="B730" s="208"/>
      <c r="C730" s="202"/>
      <c r="D730" s="27">
        <v>1455</v>
      </c>
      <c r="E730" s="27">
        <f>DEMANDA_PREVISIÓN!E1459</f>
        <v>38</v>
      </c>
      <c r="F730" s="50"/>
      <c r="G730" s="27">
        <f t="shared" si="76"/>
        <v>10284</v>
      </c>
      <c r="H730" s="68">
        <v>400</v>
      </c>
      <c r="I730" s="70">
        <v>400</v>
      </c>
      <c r="J730" s="50"/>
      <c r="K730" s="70">
        <v>50</v>
      </c>
      <c r="L730" s="202"/>
    </row>
    <row r="731" spans="2:12" ht="15.75">
      <c r="B731" s="208"/>
      <c r="C731" s="202"/>
      <c r="D731" s="27">
        <v>1456</v>
      </c>
      <c r="E731" s="27">
        <f>DEMANDA_PREVISIÓN!E1460</f>
        <v>37</v>
      </c>
      <c r="F731" s="50"/>
      <c r="G731" s="68">
        <f>H730+G730</f>
        <v>10684</v>
      </c>
      <c r="H731" s="27"/>
      <c r="I731" s="27"/>
      <c r="J731" s="50"/>
      <c r="K731" s="27"/>
      <c r="L731" s="202"/>
    </row>
    <row r="732" spans="2:12" ht="15.75">
      <c r="B732" s="208"/>
      <c r="C732" s="202"/>
      <c r="D732" s="27">
        <v>1457</v>
      </c>
      <c r="E732" s="27">
        <f>DEMANDA_PREVISIÓN!E1461</f>
        <v>33</v>
      </c>
      <c r="F732" s="51"/>
      <c r="G732" s="27">
        <f>G731-E732</f>
        <v>10651</v>
      </c>
      <c r="H732" s="27"/>
      <c r="I732" s="27"/>
      <c r="J732" s="50"/>
      <c r="K732" s="27"/>
      <c r="L732" s="202"/>
    </row>
    <row r="733" spans="2:12" ht="15.75">
      <c r="B733" s="27"/>
      <c r="C733" s="202"/>
      <c r="D733" s="27">
        <v>1458</v>
      </c>
      <c r="E733" s="27">
        <f>DEMANDA_PREVISIÓN!E1462</f>
        <v>35</v>
      </c>
      <c r="F733" s="51"/>
      <c r="G733" s="27">
        <f>G732-E733</f>
        <v>10616</v>
      </c>
      <c r="H733" s="27"/>
      <c r="I733" s="27"/>
      <c r="J733" s="50"/>
      <c r="K733" s="27"/>
      <c r="L733" s="202"/>
    </row>
    <row r="734" spans="2:12" ht="15.75">
      <c r="B734" s="27"/>
      <c r="C734" s="202"/>
      <c r="D734" s="27">
        <v>1459</v>
      </c>
      <c r="E734" s="27">
        <f>DEMANDA_PREVISIÓN!E1463</f>
        <v>39</v>
      </c>
      <c r="F734" s="51"/>
      <c r="G734" s="27">
        <f>G733-E734</f>
        <v>10577</v>
      </c>
      <c r="H734" s="27"/>
      <c r="I734" s="27"/>
      <c r="J734" s="50"/>
      <c r="K734" s="27"/>
      <c r="L734" s="202"/>
    </row>
    <row r="735" spans="2:12" ht="16.5" thickBot="1">
      <c r="B735" s="27"/>
      <c r="C735" s="202"/>
      <c r="D735" s="36">
        <v>1460</v>
      </c>
      <c r="E735" s="27">
        <f>DEMANDA_PREVISIÓN!E1464</f>
        <v>28</v>
      </c>
      <c r="F735" s="51"/>
      <c r="G735" s="27">
        <f>G734-E735</f>
        <v>10549</v>
      </c>
      <c r="H735" s="27"/>
      <c r="I735" s="27"/>
      <c r="J735" s="50"/>
      <c r="K735" s="27"/>
      <c r="L735" s="202"/>
    </row>
    <row r="736" spans="2:12">
      <c r="C736" s="202"/>
      <c r="L736" s="202"/>
    </row>
    <row r="737" spans="3:12">
      <c r="C737" s="202"/>
      <c r="L737" s="202"/>
    </row>
    <row r="738" spans="3:12">
      <c r="C738" s="202"/>
      <c r="L738" s="202"/>
    </row>
    <row r="739" spans="3:12">
      <c r="C739" s="202"/>
      <c r="L739" s="202"/>
    </row>
    <row r="740" spans="3:12">
      <c r="C740" s="202"/>
      <c r="L740" s="202"/>
    </row>
    <row r="741" spans="3:12">
      <c r="C741" s="202"/>
      <c r="L741" s="202"/>
    </row>
    <row r="742" spans="3:12">
      <c r="C742" s="202"/>
      <c r="L742" s="202"/>
    </row>
    <row r="743" spans="3:12">
      <c r="C743" s="202"/>
      <c r="L743" s="202"/>
    </row>
    <row r="744" spans="3:12">
      <c r="C744" s="202"/>
      <c r="L744" s="202"/>
    </row>
    <row r="745" spans="3:12">
      <c r="C745" s="202"/>
      <c r="L745" s="202"/>
    </row>
    <row r="746" spans="3:12">
      <c r="C746" s="202"/>
      <c r="L746" s="202"/>
    </row>
    <row r="747" spans="3:12">
      <c r="C747" s="202"/>
      <c r="L747" s="202"/>
    </row>
    <row r="748" spans="3:12">
      <c r="C748" s="202"/>
      <c r="L748" s="202"/>
    </row>
    <row r="749" spans="3:12">
      <c r="C749" s="202"/>
      <c r="L749" s="202"/>
    </row>
    <row r="750" spans="3:12">
      <c r="C750" s="202"/>
      <c r="L750" s="202"/>
    </row>
    <row r="751" spans="3:12">
      <c r="C751" s="203"/>
      <c r="L751" s="203"/>
    </row>
  </sheetData>
  <mergeCells count="58">
    <mergeCell ref="B459:B548"/>
    <mergeCell ref="B549:B638"/>
    <mergeCell ref="B639:B732"/>
    <mergeCell ref="B5:B94"/>
    <mergeCell ref="B95:B184"/>
    <mergeCell ref="B185:B274"/>
    <mergeCell ref="B275:B368"/>
    <mergeCell ref="B369:B458"/>
    <mergeCell ref="C5:C10"/>
    <mergeCell ref="C11:C40"/>
    <mergeCell ref="C41:C70"/>
    <mergeCell ref="C71:C100"/>
    <mergeCell ref="C101:C131"/>
    <mergeCell ref="C132:C162"/>
    <mergeCell ref="C163:C193"/>
    <mergeCell ref="C194:C224"/>
    <mergeCell ref="C225:C255"/>
    <mergeCell ref="C256:C286"/>
    <mergeCell ref="C287:C317"/>
    <mergeCell ref="C318:C348"/>
    <mergeCell ref="C349:C379"/>
    <mergeCell ref="C380:C410"/>
    <mergeCell ref="C411:C441"/>
    <mergeCell ref="C442:C472"/>
    <mergeCell ref="C473:C503"/>
    <mergeCell ref="C504:C534"/>
    <mergeCell ref="C535:C565"/>
    <mergeCell ref="C566:C596"/>
    <mergeCell ref="C597:C627"/>
    <mergeCell ref="C628:C658"/>
    <mergeCell ref="C659:C689"/>
    <mergeCell ref="C690:C720"/>
    <mergeCell ref="C721:C751"/>
    <mergeCell ref="L5:L10"/>
    <mergeCell ref="L11:L40"/>
    <mergeCell ref="L41:L70"/>
    <mergeCell ref="L71:L100"/>
    <mergeCell ref="L101:L131"/>
    <mergeCell ref="L132:L162"/>
    <mergeCell ref="L163:L193"/>
    <mergeCell ref="L194:L224"/>
    <mergeCell ref="L225:L255"/>
    <mergeCell ref="L256:L286"/>
    <mergeCell ref="L287:L317"/>
    <mergeCell ref="L318:L348"/>
    <mergeCell ref="L349:L379"/>
    <mergeCell ref="L380:L410"/>
    <mergeCell ref="L411:L441"/>
    <mergeCell ref="L442:L472"/>
    <mergeCell ref="L473:L503"/>
    <mergeCell ref="L504:L534"/>
    <mergeCell ref="L535:L565"/>
    <mergeCell ref="L566:L596"/>
    <mergeCell ref="L597:L627"/>
    <mergeCell ref="L628:L658"/>
    <mergeCell ref="L659:L689"/>
    <mergeCell ref="L690:L720"/>
    <mergeCell ref="L721:L751"/>
  </mergeCell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2908-92BC-4501-AF56-F3EF1D058BA0}">
  <dimension ref="B3:H36"/>
  <sheetViews>
    <sheetView topLeftCell="A3" workbookViewId="0">
      <selection activeCell="G2" sqref="G2"/>
    </sheetView>
  </sheetViews>
  <sheetFormatPr defaultColWidth="11.5703125" defaultRowHeight="15"/>
  <cols>
    <col min="1" max="1" width="11.5703125" style="18"/>
    <col min="2" max="2" width="3.28515625" style="18" bestFit="1" customWidth="1"/>
    <col min="3" max="3" width="10.140625" style="18" bestFit="1" customWidth="1"/>
    <col min="4" max="4" width="14" style="18" bestFit="1" customWidth="1"/>
    <col min="5" max="6" width="15.5703125" style="18" bestFit="1" customWidth="1"/>
    <col min="7" max="7" width="51.42578125" style="18" bestFit="1" customWidth="1"/>
    <col min="8" max="8" width="8.28515625" style="18" bestFit="1" customWidth="1"/>
    <col min="9" max="16384" width="11.5703125" style="18"/>
  </cols>
  <sheetData>
    <row r="3" spans="2:8" ht="57">
      <c r="B3" s="28" t="s">
        <v>165</v>
      </c>
      <c r="C3" s="28" t="s">
        <v>166</v>
      </c>
      <c r="D3" s="28" t="s">
        <v>167</v>
      </c>
      <c r="E3" s="28" t="s">
        <v>168</v>
      </c>
      <c r="F3" s="28" t="s">
        <v>169</v>
      </c>
      <c r="G3" s="28" t="s">
        <v>170</v>
      </c>
      <c r="H3" s="28" t="s">
        <v>171</v>
      </c>
    </row>
    <row r="4" spans="2:8">
      <c r="B4" s="4">
        <v>1</v>
      </c>
      <c r="C4" s="209">
        <v>45923</v>
      </c>
      <c r="D4" s="174"/>
      <c r="E4" s="210" t="s">
        <v>142</v>
      </c>
      <c r="F4" s="174"/>
      <c r="G4" s="4"/>
      <c r="H4" s="4"/>
    </row>
    <row r="5" spans="2:8">
      <c r="B5" s="4">
        <v>2</v>
      </c>
      <c r="C5" s="174"/>
      <c r="D5" s="174"/>
      <c r="E5" s="210"/>
      <c r="F5" s="174"/>
      <c r="G5" s="4"/>
      <c r="H5" s="4"/>
    </row>
    <row r="6" spans="2:8">
      <c r="B6" s="4">
        <v>3</v>
      </c>
      <c r="C6" s="174"/>
      <c r="D6" s="174"/>
      <c r="E6" s="210"/>
      <c r="F6" s="174"/>
      <c r="G6" s="4"/>
      <c r="H6" s="4"/>
    </row>
    <row r="7" spans="2:8">
      <c r="B7" s="4">
        <v>4</v>
      </c>
      <c r="C7" s="209">
        <v>45924</v>
      </c>
      <c r="D7" s="174"/>
      <c r="E7" s="210" t="s">
        <v>144</v>
      </c>
      <c r="F7" s="174"/>
      <c r="G7" s="4"/>
      <c r="H7" s="4"/>
    </row>
    <row r="8" spans="2:8">
      <c r="B8" s="4">
        <v>5</v>
      </c>
      <c r="C8" s="174"/>
      <c r="D8" s="174"/>
      <c r="E8" s="210"/>
      <c r="F8" s="174"/>
      <c r="G8" s="4"/>
      <c r="H8" s="4"/>
    </row>
    <row r="9" spans="2:8">
      <c r="B9" s="4">
        <v>6</v>
      </c>
      <c r="C9" s="174"/>
      <c r="D9" s="174"/>
      <c r="E9" s="210"/>
      <c r="F9" s="4"/>
      <c r="G9" s="4"/>
      <c r="H9" s="4"/>
    </row>
    <row r="10" spans="2:8">
      <c r="B10" s="4">
        <v>7</v>
      </c>
      <c r="C10" s="174"/>
      <c r="D10" s="174"/>
      <c r="E10" s="210"/>
      <c r="F10" s="4"/>
      <c r="G10" s="4"/>
      <c r="H10" s="4"/>
    </row>
    <row r="11" spans="2:8">
      <c r="B11" s="4">
        <v>8</v>
      </c>
      <c r="C11" s="209">
        <v>45925</v>
      </c>
      <c r="D11" s="174"/>
      <c r="E11" s="210" t="s">
        <v>147</v>
      </c>
      <c r="F11" s="4"/>
      <c r="G11" s="4"/>
      <c r="H11" s="4"/>
    </row>
    <row r="12" spans="2:8">
      <c r="B12" s="4">
        <v>9</v>
      </c>
      <c r="C12" s="174"/>
      <c r="D12" s="174"/>
      <c r="E12" s="210"/>
      <c r="F12" s="4"/>
      <c r="G12" s="4"/>
      <c r="H12" s="4"/>
    </row>
    <row r="13" spans="2:8">
      <c r="B13" s="4">
        <v>10</v>
      </c>
      <c r="C13" s="174"/>
      <c r="D13" s="174"/>
      <c r="E13" s="210"/>
      <c r="F13" s="4"/>
      <c r="G13" s="4"/>
      <c r="H13" s="4"/>
    </row>
    <row r="14" spans="2:8">
      <c r="B14" s="4">
        <v>11</v>
      </c>
      <c r="C14" s="209">
        <v>45926</v>
      </c>
      <c r="D14" s="174"/>
      <c r="E14" s="210" t="s">
        <v>148</v>
      </c>
      <c r="F14" s="4"/>
      <c r="G14" s="4"/>
      <c r="H14" s="4"/>
    </row>
    <row r="15" spans="2:8">
      <c r="B15" s="4">
        <v>12</v>
      </c>
      <c r="C15" s="174"/>
      <c r="D15" s="174"/>
      <c r="E15" s="210"/>
      <c r="F15" s="4"/>
      <c r="G15" s="4"/>
      <c r="H15" s="41"/>
    </row>
    <row r="16" spans="2:8">
      <c r="B16" s="4">
        <v>13</v>
      </c>
      <c r="C16" s="174"/>
      <c r="D16" s="174"/>
      <c r="E16" s="210"/>
      <c r="F16" s="4"/>
      <c r="G16" s="4"/>
      <c r="H16" s="4"/>
    </row>
    <row r="17" spans="2:8">
      <c r="B17" s="4">
        <v>14</v>
      </c>
      <c r="C17" s="174"/>
      <c r="D17" s="174"/>
      <c r="E17" s="210"/>
      <c r="F17" s="4"/>
      <c r="G17" s="4"/>
      <c r="H17" s="4"/>
    </row>
    <row r="18" spans="2:8">
      <c r="B18" s="4">
        <v>15</v>
      </c>
      <c r="C18" s="209">
        <v>45927</v>
      </c>
      <c r="D18" s="174"/>
      <c r="E18" s="210" t="s">
        <v>150</v>
      </c>
      <c r="F18" s="4"/>
      <c r="G18" s="4"/>
      <c r="H18" s="4"/>
    </row>
    <row r="19" spans="2:8">
      <c r="B19" s="4">
        <v>17</v>
      </c>
      <c r="C19" s="174"/>
      <c r="D19" s="174"/>
      <c r="E19" s="210"/>
      <c r="F19" s="4"/>
      <c r="G19" s="4"/>
      <c r="H19" s="4"/>
    </row>
    <row r="20" spans="2:8">
      <c r="B20" s="4">
        <v>18</v>
      </c>
      <c r="C20" s="211">
        <v>45928</v>
      </c>
      <c r="D20" s="178"/>
      <c r="E20" s="210" t="s">
        <v>151</v>
      </c>
      <c r="F20" s="4"/>
      <c r="G20" s="4"/>
      <c r="H20" s="4"/>
    </row>
    <row r="21" spans="2:8">
      <c r="B21" s="4">
        <v>19</v>
      </c>
      <c r="C21" s="212"/>
      <c r="D21" s="179"/>
      <c r="E21" s="210"/>
      <c r="F21" s="4"/>
      <c r="G21" s="4"/>
      <c r="H21" s="4"/>
    </row>
    <row r="22" spans="2:8">
      <c r="B22" s="4">
        <v>20</v>
      </c>
      <c r="C22" s="212"/>
      <c r="D22" s="179"/>
      <c r="E22" s="210"/>
      <c r="F22" s="4"/>
      <c r="G22" s="4"/>
      <c r="H22" s="4"/>
    </row>
    <row r="23" spans="2:8">
      <c r="B23" s="4">
        <v>21</v>
      </c>
      <c r="C23" s="212"/>
      <c r="D23" s="179"/>
      <c r="E23" s="210"/>
      <c r="F23" s="4"/>
      <c r="G23" s="4"/>
      <c r="H23" s="4"/>
    </row>
    <row r="24" spans="2:8">
      <c r="B24" s="4">
        <v>22</v>
      </c>
      <c r="C24" s="213"/>
      <c r="D24" s="180"/>
      <c r="E24" s="210"/>
      <c r="F24" s="4"/>
      <c r="G24" s="4"/>
      <c r="H24" s="4"/>
    </row>
    <row r="25" spans="2:8">
      <c r="B25" s="4">
        <v>25</v>
      </c>
      <c r="C25" s="209">
        <v>45929</v>
      </c>
      <c r="D25" s="174"/>
      <c r="E25" s="210" t="s">
        <v>153</v>
      </c>
      <c r="F25" s="4"/>
      <c r="G25" s="4"/>
      <c r="H25" s="4"/>
    </row>
    <row r="26" spans="2:8">
      <c r="B26" s="4">
        <v>26</v>
      </c>
      <c r="C26" s="174"/>
      <c r="D26" s="174"/>
      <c r="E26" s="210"/>
      <c r="F26" s="4"/>
      <c r="G26" s="4"/>
      <c r="H26" s="4"/>
    </row>
    <row r="27" spans="2:8">
      <c r="B27" s="4">
        <v>27</v>
      </c>
      <c r="C27" s="174"/>
      <c r="D27" s="174"/>
      <c r="E27" s="210"/>
      <c r="F27" s="4"/>
      <c r="G27" s="4"/>
      <c r="H27" s="4"/>
    </row>
    <row r="28" spans="2:8">
      <c r="B28" s="4">
        <v>28</v>
      </c>
      <c r="C28" s="174"/>
      <c r="D28" s="174"/>
      <c r="E28" s="210"/>
      <c r="F28" s="4"/>
      <c r="G28" s="4"/>
      <c r="H28" s="4"/>
    </row>
    <row r="29" spans="2:8">
      <c r="B29" s="4">
        <v>29</v>
      </c>
      <c r="C29" s="174"/>
      <c r="D29" s="174"/>
      <c r="E29" s="210"/>
      <c r="F29" s="214"/>
      <c r="G29" s="4"/>
      <c r="H29" s="4"/>
    </row>
    <row r="30" spans="2:8">
      <c r="B30" s="4">
        <v>30</v>
      </c>
      <c r="C30" s="174"/>
      <c r="D30" s="174"/>
      <c r="E30" s="210"/>
      <c r="F30" s="214"/>
      <c r="G30" s="4"/>
      <c r="H30" s="4"/>
    </row>
    <row r="31" spans="2:8">
      <c r="B31" s="4">
        <v>31</v>
      </c>
      <c r="C31" s="174"/>
      <c r="D31" s="174"/>
      <c r="E31" s="210"/>
      <c r="F31" s="214"/>
      <c r="G31" s="4"/>
      <c r="H31" s="4"/>
    </row>
    <row r="32" spans="2:8">
      <c r="B32" s="4">
        <v>32</v>
      </c>
      <c r="C32" s="209">
        <v>45930</v>
      </c>
      <c r="D32" s="174"/>
      <c r="E32" s="210"/>
      <c r="F32" s="4"/>
      <c r="G32" s="4"/>
      <c r="H32" s="4"/>
    </row>
    <row r="33" spans="2:8">
      <c r="B33" s="4">
        <v>33</v>
      </c>
      <c r="C33" s="174"/>
      <c r="D33" s="174"/>
      <c r="E33" s="210"/>
      <c r="F33" s="215"/>
      <c r="G33" s="4"/>
      <c r="H33" s="4"/>
    </row>
    <row r="34" spans="2:8">
      <c r="B34" s="4">
        <v>34</v>
      </c>
      <c r="C34" s="174"/>
      <c r="D34" s="174"/>
      <c r="E34" s="210"/>
      <c r="F34" s="215"/>
      <c r="G34" s="4"/>
      <c r="H34" s="4"/>
    </row>
    <row r="35" spans="2:8">
      <c r="B35" s="4">
        <v>35</v>
      </c>
      <c r="C35" s="174"/>
      <c r="D35" s="174"/>
      <c r="E35" s="210"/>
      <c r="F35" s="215"/>
      <c r="G35" s="4"/>
      <c r="H35" s="4"/>
    </row>
    <row r="36" spans="2:8">
      <c r="B36" s="4">
        <v>36</v>
      </c>
      <c r="C36" s="174"/>
      <c r="D36" s="174"/>
      <c r="E36" s="210"/>
      <c r="F36" s="215"/>
      <c r="G36" s="4"/>
      <c r="H36" s="4"/>
    </row>
  </sheetData>
  <mergeCells count="27">
    <mergeCell ref="C25:C31"/>
    <mergeCell ref="D25:D31"/>
    <mergeCell ref="E25:E36"/>
    <mergeCell ref="F29:F31"/>
    <mergeCell ref="C32:C36"/>
    <mergeCell ref="D32:D36"/>
    <mergeCell ref="F33:F36"/>
    <mergeCell ref="C18:C19"/>
    <mergeCell ref="E18:E19"/>
    <mergeCell ref="E20:E24"/>
    <mergeCell ref="C20:C24"/>
    <mergeCell ref="D20:D24"/>
    <mergeCell ref="D18:D19"/>
    <mergeCell ref="F4:F6"/>
    <mergeCell ref="C7:C10"/>
    <mergeCell ref="E7:E10"/>
    <mergeCell ref="F7:F8"/>
    <mergeCell ref="C11:C13"/>
    <mergeCell ref="E11:E13"/>
    <mergeCell ref="C4:C6"/>
    <mergeCell ref="C14:C17"/>
    <mergeCell ref="D4:D6"/>
    <mergeCell ref="E4:E6"/>
    <mergeCell ref="D7:D10"/>
    <mergeCell ref="D11:D13"/>
    <mergeCell ref="D14:D17"/>
    <mergeCell ref="E14:E17"/>
  </mergeCells>
  <phoneticPr fontId="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5d06d44-b39a-4a50-941d-0173458521b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6B1E028A653F74FABAD470A1910E4B7" ma:contentTypeVersion="10" ma:contentTypeDescription="Crear nuevo documento." ma:contentTypeScope="" ma:versionID="4c7b4d887f030f6cdd59f2484b089f72">
  <xsd:schema xmlns:xsd="http://www.w3.org/2001/XMLSchema" xmlns:xs="http://www.w3.org/2001/XMLSchema" xmlns:p="http://schemas.microsoft.com/office/2006/metadata/properties" xmlns:ns3="95d06d44-b39a-4a50-941d-0173458521b8" xmlns:ns4="96698030-bba5-4881-8383-af4774841cb6" targetNamespace="http://schemas.microsoft.com/office/2006/metadata/properties" ma:root="true" ma:fieldsID="3636843691f86f3dd4a6738f6fb18341" ns3:_="" ns4:_="">
    <xsd:import namespace="95d06d44-b39a-4a50-941d-0173458521b8"/>
    <xsd:import namespace="96698030-bba5-4881-8383-af4774841cb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d06d44-b39a-4a50-941d-0173458521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698030-bba5-4881-8383-af4774841cb6"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SharingHintHash" ma:index="17"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0D5064-319D-4B90-B6E7-AFDB4AD9DB2F}"/>
</file>

<file path=customXml/itemProps2.xml><?xml version="1.0" encoding="utf-8"?>
<ds:datastoreItem xmlns:ds="http://schemas.openxmlformats.org/officeDocument/2006/customXml" ds:itemID="{1078B5C0-4030-4E51-BAE7-D85D7BE8EB12}"/>
</file>

<file path=customXml/itemProps3.xml><?xml version="1.0" encoding="utf-8"?>
<ds:datastoreItem xmlns:ds="http://schemas.openxmlformats.org/officeDocument/2006/customXml" ds:itemID="{0ACAEF9A-774A-4130-8AEA-9BAA0E688D81}"/>
</file>

<file path=docMetadata/LabelInfo.xml><?xml version="1.0" encoding="utf-8"?>
<clbl:labelList xmlns:clbl="http://schemas.microsoft.com/office/2020/mipLabelMetadata">
  <clbl:label id="{ef18f8a5-d24a-4133-8b55-29106fa5b772}" enabled="0" method="" siteId="{ef18f8a5-d24a-4133-8b55-29106fa5b77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CUADRADO VENTURA REYNALDO ANDRES</dc:creator>
  <cp:keywords/>
  <dc:description/>
  <cp:lastModifiedBy/>
  <cp:revision/>
  <dcterms:created xsi:type="dcterms:W3CDTF">2025-09-17T02:58:07Z</dcterms:created>
  <dcterms:modified xsi:type="dcterms:W3CDTF">2026-03-13T00:39:55Z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0x01010026B1E028A653F74FABAD470A1910E4B7</vt:lpwstr>
  </property>
</Properties>
</file>