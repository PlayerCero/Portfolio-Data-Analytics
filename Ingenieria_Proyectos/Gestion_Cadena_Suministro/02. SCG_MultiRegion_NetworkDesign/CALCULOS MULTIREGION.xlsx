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imelines/timeline1.xml" ContentType="application/vnd.ms-excel.timeline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udepoffice365ms-my.sharepoint.com/personal/eric_salinas_alum_udep_edu_pe/Documents/"/>
    </mc:Choice>
  </mc:AlternateContent>
  <xr:revisionPtr revIDLastSave="0" documentId="8_{E0779E79-36AE-4F48-8143-28474DBF7195}" xr6:coauthVersionLast="47" xr6:coauthVersionMax="47" xr10:uidLastSave="{00000000-0000-0000-0000-000000000000}"/>
  <bookViews>
    <workbookView xWindow="-120" yWindow="-120" windowWidth="29040" windowHeight="15720" xr2:uid="{88CF55E4-7FAD-475E-AD9C-31FEAB1B2612}"/>
  </bookViews>
  <sheets>
    <sheet name="SITUACION ACTUAL" sheetId="5" r:id="rId1"/>
    <sheet name="1 fabrica 1 alamcen" sheetId="6" r:id="rId2"/>
    <sheet name="2 fabricas 2 alamacenes" sheetId="4" r:id="rId3"/>
    <sheet name="3 FABRICAS" sheetId="8" r:id="rId4"/>
    <sheet name="Fardo" sheetId="7" r:id="rId5"/>
    <sheet name="DEMANDA PRONOSTICADA" sheetId="2" r:id="rId6"/>
    <sheet name="Pronostico especial etowrd" sheetId="9" r:id="rId7"/>
  </sheets>
  <externalReferences>
    <externalReference r:id="rId8"/>
    <externalReference r:id="rId9"/>
  </externalReferences>
  <definedNames>
    <definedName name="NativeTimeline_FECHA">#N/A</definedName>
    <definedName name="NativeTimeline_FECHA1">#N/A</definedName>
  </definedNames>
  <calcPr calcId="191028"/>
  <pivotCaches>
    <pivotCache cacheId="7771" r:id="rId10"/>
    <pivotCache cacheId="7772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N34" i="5" s="1"/>
  <c r="I88" i="5"/>
  <c r="H88" i="5"/>
  <c r="G88" i="5"/>
  <c r="E88" i="5"/>
  <c r="F88" i="5"/>
  <c r="H80" i="5"/>
  <c r="D80" i="5"/>
  <c r="D81" i="5"/>
  <c r="D70" i="5"/>
  <c r="D66" i="4"/>
  <c r="D70" i="4"/>
  <c r="H80" i="4"/>
  <c r="H73" i="4"/>
  <c r="H72" i="4"/>
  <c r="H71" i="4"/>
  <c r="D71" i="4"/>
  <c r="C21" i="5"/>
  <c r="C12" i="5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59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39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19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399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79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59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39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19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299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79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59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39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19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199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79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59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39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19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99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79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59" i="9"/>
  <c r="F53" i="9"/>
  <c r="F52" i="9"/>
  <c r="F51" i="9"/>
  <c r="F50" i="9"/>
  <c r="F49" i="9"/>
  <c r="V48" i="9"/>
  <c r="F48" i="9"/>
  <c r="F47" i="9"/>
  <c r="F46" i="9"/>
  <c r="F45" i="9"/>
  <c r="F44" i="9"/>
  <c r="F43" i="9"/>
  <c r="F42" i="9"/>
  <c r="F40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0" i="9"/>
  <c r="C17" i="9"/>
  <c r="F15" i="9"/>
  <c r="F14" i="9"/>
  <c r="F13" i="9"/>
  <c r="F12" i="9"/>
  <c r="F11" i="9"/>
  <c r="C11" i="9"/>
  <c r="F10" i="9"/>
  <c r="F9" i="9"/>
  <c r="F8" i="9"/>
  <c r="F7" i="9"/>
  <c r="F6" i="9"/>
  <c r="F5" i="9"/>
  <c r="F4" i="9"/>
  <c r="C4" i="9"/>
  <c r="F518" i="9" s="1"/>
  <c r="F3" i="9"/>
  <c r="C2" i="9"/>
  <c r="L178" i="7"/>
  <c r="F10" i="7"/>
  <c r="N34" i="7" s="1"/>
  <c r="D196" i="8"/>
  <c r="J113" i="8"/>
  <c r="I113" i="8"/>
  <c r="I114" i="8" s="1"/>
  <c r="F10" i="6"/>
  <c r="J10" i="6" s="1"/>
  <c r="D11" i="6"/>
  <c r="D12" i="4"/>
  <c r="L181" i="8"/>
  <c r="L18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62" i="8"/>
  <c r="H162" i="8"/>
  <c r="H163" i="8"/>
  <c r="G36" i="8"/>
  <c r="G88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62" i="8"/>
  <c r="N168" i="8"/>
  <c r="N167" i="8"/>
  <c r="N166" i="8"/>
  <c r="N161" i="8"/>
  <c r="C148" i="8"/>
  <c r="C146" i="8"/>
  <c r="F137" i="8"/>
  <c r="J133" i="8"/>
  <c r="J132" i="8"/>
  <c r="J5" i="8"/>
  <c r="J6" i="8" s="1"/>
  <c r="J7" i="8" s="1"/>
  <c r="C139" i="8"/>
  <c r="S144" i="8"/>
  <c r="F142" i="8"/>
  <c r="D70" i="8"/>
  <c r="N41" i="8"/>
  <c r="N40" i="8"/>
  <c r="N39" i="8"/>
  <c r="D67" i="8"/>
  <c r="N117" i="8"/>
  <c r="N116" i="8"/>
  <c r="N111" i="8"/>
  <c r="S94" i="8"/>
  <c r="D74" i="8"/>
  <c r="D66" i="8"/>
  <c r="C19" i="8"/>
  <c r="S17" i="8"/>
  <c r="F15" i="8"/>
  <c r="C12" i="8"/>
  <c r="C10" i="8"/>
  <c r="C21" i="8" s="1"/>
  <c r="F11" i="6"/>
  <c r="N42" i="6"/>
  <c r="N41" i="6"/>
  <c r="N40" i="6"/>
  <c r="N39" i="6"/>
  <c r="N35" i="6"/>
  <c r="N37" i="6"/>
  <c r="N34" i="6"/>
  <c r="C12" i="6"/>
  <c r="I159" i="7"/>
  <c r="C21" i="7"/>
  <c r="H34" i="7" s="1"/>
  <c r="C136" i="7"/>
  <c r="F135" i="7"/>
  <c r="F177" i="7" s="1"/>
  <c r="N163" i="7"/>
  <c r="F173" i="7"/>
  <c r="F174" i="7"/>
  <c r="F175" i="7"/>
  <c r="F134" i="7"/>
  <c r="N158" i="7" s="1"/>
  <c r="S141" i="7"/>
  <c r="F139" i="7"/>
  <c r="N35" i="7"/>
  <c r="N117" i="7"/>
  <c r="N116" i="7"/>
  <c r="S94" i="7"/>
  <c r="D74" i="7"/>
  <c r="D66" i="7"/>
  <c r="N111" i="7" s="1"/>
  <c r="N41" i="7"/>
  <c r="N40" i="7"/>
  <c r="N39" i="7"/>
  <c r="C19" i="7"/>
  <c r="S17" i="7"/>
  <c r="F15" i="7"/>
  <c r="C12" i="7"/>
  <c r="C10" i="7"/>
  <c r="C21" i="6"/>
  <c r="H34" i="6" s="1"/>
  <c r="C19" i="6"/>
  <c r="S17" i="6"/>
  <c r="F15" i="6"/>
  <c r="C10" i="6"/>
  <c r="E90" i="5"/>
  <c r="N39" i="5"/>
  <c r="F11" i="5"/>
  <c r="F35" i="5" s="1"/>
  <c r="N41" i="5"/>
  <c r="N40" i="5"/>
  <c r="N36" i="5"/>
  <c r="N35" i="5"/>
  <c r="N117" i="5"/>
  <c r="N116" i="5"/>
  <c r="S94" i="5"/>
  <c r="D74" i="5"/>
  <c r="D66" i="5"/>
  <c r="C19" i="5"/>
  <c r="S17" i="5"/>
  <c r="F15" i="5"/>
  <c r="C10" i="5"/>
  <c r="C19" i="4"/>
  <c r="O116" i="4"/>
  <c r="N117" i="4"/>
  <c r="N116" i="4"/>
  <c r="N111" i="4"/>
  <c r="N112" i="4"/>
  <c r="S94" i="4"/>
  <c r="N41" i="4"/>
  <c r="N40" i="4"/>
  <c r="S17" i="4"/>
  <c r="N39" i="4"/>
  <c r="F88" i="4"/>
  <c r="D74" i="4"/>
  <c r="D72" i="4"/>
  <c r="D73" i="4" s="1"/>
  <c r="F108" i="4"/>
  <c r="F10" i="4"/>
  <c r="F109" i="4"/>
  <c r="F15" i="4"/>
  <c r="C12" i="4"/>
  <c r="C10" i="4"/>
  <c r="X177" i="2" a="1"/>
  <c r="X177" i="2" s="1"/>
  <c r="N1464" i="2"/>
  <c r="M1464" i="2"/>
  <c r="L1464" i="2"/>
  <c r="H1464" i="2"/>
  <c r="G1464" i="2"/>
  <c r="N1463" i="2"/>
  <c r="M1463" i="2"/>
  <c r="L1463" i="2"/>
  <c r="H1463" i="2"/>
  <c r="G1463" i="2"/>
  <c r="N1462" i="2"/>
  <c r="M1462" i="2"/>
  <c r="L1462" i="2"/>
  <c r="H1462" i="2"/>
  <c r="G1462" i="2"/>
  <c r="N1461" i="2"/>
  <c r="M1461" i="2"/>
  <c r="L1461" i="2"/>
  <c r="H1461" i="2"/>
  <c r="G1461" i="2"/>
  <c r="N1460" i="2"/>
  <c r="M1460" i="2"/>
  <c r="L1460" i="2"/>
  <c r="H1460" i="2"/>
  <c r="G1460" i="2"/>
  <c r="N1459" i="2"/>
  <c r="M1459" i="2"/>
  <c r="L1459" i="2"/>
  <c r="H1459" i="2"/>
  <c r="G1459" i="2"/>
  <c r="N1458" i="2"/>
  <c r="M1458" i="2"/>
  <c r="L1458" i="2"/>
  <c r="H1458" i="2"/>
  <c r="G1458" i="2"/>
  <c r="N1457" i="2"/>
  <c r="M1457" i="2"/>
  <c r="L1457" i="2"/>
  <c r="H1457" i="2"/>
  <c r="G1457" i="2"/>
  <c r="N1456" i="2"/>
  <c r="M1456" i="2"/>
  <c r="L1456" i="2"/>
  <c r="H1456" i="2"/>
  <c r="G1456" i="2"/>
  <c r="N1455" i="2"/>
  <c r="M1455" i="2"/>
  <c r="L1455" i="2"/>
  <c r="H1455" i="2"/>
  <c r="G1455" i="2"/>
  <c r="N1454" i="2"/>
  <c r="M1454" i="2"/>
  <c r="L1454" i="2"/>
  <c r="H1454" i="2"/>
  <c r="G1454" i="2"/>
  <c r="N1453" i="2"/>
  <c r="M1453" i="2"/>
  <c r="L1453" i="2"/>
  <c r="H1453" i="2"/>
  <c r="G1453" i="2"/>
  <c r="N1452" i="2"/>
  <c r="M1452" i="2"/>
  <c r="L1452" i="2"/>
  <c r="H1452" i="2"/>
  <c r="G1452" i="2"/>
  <c r="N1451" i="2"/>
  <c r="M1451" i="2"/>
  <c r="L1451" i="2"/>
  <c r="H1451" i="2"/>
  <c r="G1451" i="2"/>
  <c r="N1450" i="2"/>
  <c r="M1450" i="2"/>
  <c r="L1450" i="2"/>
  <c r="H1450" i="2"/>
  <c r="G1450" i="2"/>
  <c r="N1449" i="2"/>
  <c r="M1449" i="2"/>
  <c r="L1449" i="2"/>
  <c r="H1449" i="2"/>
  <c r="G1449" i="2"/>
  <c r="N1448" i="2"/>
  <c r="M1448" i="2"/>
  <c r="L1448" i="2"/>
  <c r="H1448" i="2"/>
  <c r="G1448" i="2"/>
  <c r="N1447" i="2"/>
  <c r="M1447" i="2"/>
  <c r="L1447" i="2"/>
  <c r="H1447" i="2"/>
  <c r="G1447" i="2"/>
  <c r="N1446" i="2"/>
  <c r="M1446" i="2"/>
  <c r="L1446" i="2"/>
  <c r="H1446" i="2"/>
  <c r="G1446" i="2"/>
  <c r="N1445" i="2"/>
  <c r="M1445" i="2"/>
  <c r="L1445" i="2"/>
  <c r="H1445" i="2"/>
  <c r="G1445" i="2"/>
  <c r="N1444" i="2"/>
  <c r="M1444" i="2"/>
  <c r="L1444" i="2"/>
  <c r="H1444" i="2"/>
  <c r="G1444" i="2"/>
  <c r="N1443" i="2"/>
  <c r="M1443" i="2"/>
  <c r="L1443" i="2"/>
  <c r="H1443" i="2"/>
  <c r="G1443" i="2"/>
  <c r="N1442" i="2"/>
  <c r="M1442" i="2"/>
  <c r="L1442" i="2"/>
  <c r="H1442" i="2"/>
  <c r="G1442" i="2"/>
  <c r="N1441" i="2"/>
  <c r="M1441" i="2"/>
  <c r="L1441" i="2"/>
  <c r="H1441" i="2"/>
  <c r="G1441" i="2"/>
  <c r="N1440" i="2"/>
  <c r="M1440" i="2"/>
  <c r="L1440" i="2"/>
  <c r="H1440" i="2"/>
  <c r="G1440" i="2"/>
  <c r="N1439" i="2"/>
  <c r="M1439" i="2"/>
  <c r="L1439" i="2"/>
  <c r="H1439" i="2"/>
  <c r="G1439" i="2"/>
  <c r="N1438" i="2"/>
  <c r="M1438" i="2"/>
  <c r="L1438" i="2"/>
  <c r="H1438" i="2"/>
  <c r="G1438" i="2"/>
  <c r="N1437" i="2"/>
  <c r="M1437" i="2"/>
  <c r="L1437" i="2"/>
  <c r="H1437" i="2"/>
  <c r="G1437" i="2"/>
  <c r="N1436" i="2"/>
  <c r="M1436" i="2"/>
  <c r="L1436" i="2"/>
  <c r="H1436" i="2"/>
  <c r="G1436" i="2"/>
  <c r="N1435" i="2"/>
  <c r="M1435" i="2"/>
  <c r="L1435" i="2"/>
  <c r="H1435" i="2"/>
  <c r="G1435" i="2"/>
  <c r="N1434" i="2"/>
  <c r="M1434" i="2"/>
  <c r="L1434" i="2"/>
  <c r="H1434" i="2"/>
  <c r="G1434" i="2"/>
  <c r="N1433" i="2"/>
  <c r="M1433" i="2"/>
  <c r="L1433" i="2"/>
  <c r="H1433" i="2"/>
  <c r="G1433" i="2"/>
  <c r="N1432" i="2"/>
  <c r="M1432" i="2"/>
  <c r="L1432" i="2"/>
  <c r="H1432" i="2"/>
  <c r="G1432" i="2"/>
  <c r="N1431" i="2"/>
  <c r="M1431" i="2"/>
  <c r="L1431" i="2"/>
  <c r="H1431" i="2"/>
  <c r="G1431" i="2"/>
  <c r="N1430" i="2"/>
  <c r="M1430" i="2"/>
  <c r="L1430" i="2"/>
  <c r="H1430" i="2"/>
  <c r="G1430" i="2"/>
  <c r="N1429" i="2"/>
  <c r="M1429" i="2"/>
  <c r="L1429" i="2"/>
  <c r="H1429" i="2"/>
  <c r="G1429" i="2"/>
  <c r="N1428" i="2"/>
  <c r="M1428" i="2"/>
  <c r="L1428" i="2"/>
  <c r="H1428" i="2"/>
  <c r="G1428" i="2"/>
  <c r="N1427" i="2"/>
  <c r="M1427" i="2"/>
  <c r="L1427" i="2"/>
  <c r="H1427" i="2"/>
  <c r="G1427" i="2"/>
  <c r="N1426" i="2"/>
  <c r="M1426" i="2"/>
  <c r="L1426" i="2"/>
  <c r="H1426" i="2"/>
  <c r="G1426" i="2"/>
  <c r="N1425" i="2"/>
  <c r="M1425" i="2"/>
  <c r="L1425" i="2"/>
  <c r="H1425" i="2"/>
  <c r="G1425" i="2"/>
  <c r="N1424" i="2"/>
  <c r="M1424" i="2"/>
  <c r="L1424" i="2"/>
  <c r="H1424" i="2"/>
  <c r="G1424" i="2"/>
  <c r="N1423" i="2"/>
  <c r="M1423" i="2"/>
  <c r="L1423" i="2"/>
  <c r="H1423" i="2"/>
  <c r="G1423" i="2"/>
  <c r="N1422" i="2"/>
  <c r="M1422" i="2"/>
  <c r="L1422" i="2"/>
  <c r="H1422" i="2"/>
  <c r="G1422" i="2"/>
  <c r="N1421" i="2"/>
  <c r="M1421" i="2"/>
  <c r="L1421" i="2"/>
  <c r="H1421" i="2"/>
  <c r="G1421" i="2"/>
  <c r="N1420" i="2"/>
  <c r="M1420" i="2"/>
  <c r="L1420" i="2"/>
  <c r="H1420" i="2"/>
  <c r="G1420" i="2"/>
  <c r="N1419" i="2"/>
  <c r="M1419" i="2"/>
  <c r="L1419" i="2"/>
  <c r="H1419" i="2"/>
  <c r="G1419" i="2"/>
  <c r="N1418" i="2"/>
  <c r="M1418" i="2"/>
  <c r="L1418" i="2"/>
  <c r="H1418" i="2"/>
  <c r="G1418" i="2"/>
  <c r="N1417" i="2"/>
  <c r="M1417" i="2"/>
  <c r="L1417" i="2"/>
  <c r="H1417" i="2"/>
  <c r="G1417" i="2"/>
  <c r="N1416" i="2"/>
  <c r="M1416" i="2"/>
  <c r="L1416" i="2"/>
  <c r="H1416" i="2"/>
  <c r="G1416" i="2"/>
  <c r="N1415" i="2"/>
  <c r="M1415" i="2"/>
  <c r="L1415" i="2"/>
  <c r="H1415" i="2"/>
  <c r="G1415" i="2"/>
  <c r="N1414" i="2"/>
  <c r="M1414" i="2"/>
  <c r="L1414" i="2"/>
  <c r="H1414" i="2"/>
  <c r="G1414" i="2"/>
  <c r="N1413" i="2"/>
  <c r="M1413" i="2"/>
  <c r="L1413" i="2"/>
  <c r="H1413" i="2"/>
  <c r="G1413" i="2"/>
  <c r="N1412" i="2"/>
  <c r="M1412" i="2"/>
  <c r="L1412" i="2"/>
  <c r="H1412" i="2"/>
  <c r="G1412" i="2"/>
  <c r="N1411" i="2"/>
  <c r="M1411" i="2"/>
  <c r="L1411" i="2"/>
  <c r="H1411" i="2"/>
  <c r="G1411" i="2"/>
  <c r="N1410" i="2"/>
  <c r="M1410" i="2"/>
  <c r="L1410" i="2"/>
  <c r="H1410" i="2"/>
  <c r="G1410" i="2"/>
  <c r="N1409" i="2"/>
  <c r="M1409" i="2"/>
  <c r="L1409" i="2"/>
  <c r="H1409" i="2"/>
  <c r="G1409" i="2"/>
  <c r="N1408" i="2"/>
  <c r="M1408" i="2"/>
  <c r="L1408" i="2"/>
  <c r="H1408" i="2"/>
  <c r="G1408" i="2"/>
  <c r="N1407" i="2"/>
  <c r="M1407" i="2"/>
  <c r="L1407" i="2"/>
  <c r="H1407" i="2"/>
  <c r="G1407" i="2"/>
  <c r="N1406" i="2"/>
  <c r="M1406" i="2"/>
  <c r="L1406" i="2"/>
  <c r="H1406" i="2"/>
  <c r="G1406" i="2"/>
  <c r="N1405" i="2"/>
  <c r="M1405" i="2"/>
  <c r="L1405" i="2"/>
  <c r="H1405" i="2"/>
  <c r="G1405" i="2"/>
  <c r="N1404" i="2"/>
  <c r="M1404" i="2"/>
  <c r="L1404" i="2"/>
  <c r="H1404" i="2"/>
  <c r="G1404" i="2"/>
  <c r="N1403" i="2"/>
  <c r="M1403" i="2"/>
  <c r="L1403" i="2"/>
  <c r="H1403" i="2"/>
  <c r="G1403" i="2"/>
  <c r="N1402" i="2"/>
  <c r="M1402" i="2"/>
  <c r="L1402" i="2"/>
  <c r="H1402" i="2"/>
  <c r="G1402" i="2"/>
  <c r="N1401" i="2"/>
  <c r="M1401" i="2"/>
  <c r="L1401" i="2"/>
  <c r="H1401" i="2"/>
  <c r="G1401" i="2"/>
  <c r="N1400" i="2"/>
  <c r="M1400" i="2"/>
  <c r="L1400" i="2"/>
  <c r="H1400" i="2"/>
  <c r="G1400" i="2"/>
  <c r="N1399" i="2"/>
  <c r="M1399" i="2"/>
  <c r="L1399" i="2"/>
  <c r="H1399" i="2"/>
  <c r="G1399" i="2"/>
  <c r="N1398" i="2"/>
  <c r="M1398" i="2"/>
  <c r="L1398" i="2"/>
  <c r="H1398" i="2"/>
  <c r="G1398" i="2"/>
  <c r="N1397" i="2"/>
  <c r="M1397" i="2"/>
  <c r="L1397" i="2"/>
  <c r="H1397" i="2"/>
  <c r="G1397" i="2"/>
  <c r="N1396" i="2"/>
  <c r="M1396" i="2"/>
  <c r="L1396" i="2"/>
  <c r="H1396" i="2"/>
  <c r="G1396" i="2"/>
  <c r="N1395" i="2"/>
  <c r="M1395" i="2"/>
  <c r="L1395" i="2"/>
  <c r="H1395" i="2"/>
  <c r="G1395" i="2"/>
  <c r="N1394" i="2"/>
  <c r="M1394" i="2"/>
  <c r="L1394" i="2"/>
  <c r="H1394" i="2"/>
  <c r="G1394" i="2"/>
  <c r="N1393" i="2"/>
  <c r="M1393" i="2"/>
  <c r="L1393" i="2"/>
  <c r="H1393" i="2"/>
  <c r="G1393" i="2"/>
  <c r="N1392" i="2"/>
  <c r="M1392" i="2"/>
  <c r="L1392" i="2"/>
  <c r="H1392" i="2"/>
  <c r="G1392" i="2"/>
  <c r="N1391" i="2"/>
  <c r="M1391" i="2"/>
  <c r="L1391" i="2"/>
  <c r="H1391" i="2"/>
  <c r="G1391" i="2"/>
  <c r="N1390" i="2"/>
  <c r="M1390" i="2"/>
  <c r="L1390" i="2"/>
  <c r="H1390" i="2"/>
  <c r="G1390" i="2"/>
  <c r="N1389" i="2"/>
  <c r="M1389" i="2"/>
  <c r="L1389" i="2"/>
  <c r="H1389" i="2"/>
  <c r="G1389" i="2"/>
  <c r="N1388" i="2"/>
  <c r="M1388" i="2"/>
  <c r="L1388" i="2"/>
  <c r="H1388" i="2"/>
  <c r="G1388" i="2"/>
  <c r="N1387" i="2"/>
  <c r="M1387" i="2"/>
  <c r="L1387" i="2"/>
  <c r="H1387" i="2"/>
  <c r="G1387" i="2"/>
  <c r="N1386" i="2"/>
  <c r="M1386" i="2"/>
  <c r="L1386" i="2"/>
  <c r="H1386" i="2"/>
  <c r="G1386" i="2"/>
  <c r="N1385" i="2"/>
  <c r="M1385" i="2"/>
  <c r="L1385" i="2"/>
  <c r="H1385" i="2"/>
  <c r="G1385" i="2"/>
  <c r="N1384" i="2"/>
  <c r="M1384" i="2"/>
  <c r="L1384" i="2"/>
  <c r="H1384" i="2"/>
  <c r="G1384" i="2"/>
  <c r="N1383" i="2"/>
  <c r="M1383" i="2"/>
  <c r="L1383" i="2"/>
  <c r="H1383" i="2"/>
  <c r="G1383" i="2"/>
  <c r="N1382" i="2"/>
  <c r="M1382" i="2"/>
  <c r="L1382" i="2"/>
  <c r="H1382" i="2"/>
  <c r="G1382" i="2"/>
  <c r="N1381" i="2"/>
  <c r="M1381" i="2"/>
  <c r="L1381" i="2"/>
  <c r="H1381" i="2"/>
  <c r="G1381" i="2"/>
  <c r="N1380" i="2"/>
  <c r="M1380" i="2"/>
  <c r="L1380" i="2"/>
  <c r="H1380" i="2"/>
  <c r="G1380" i="2"/>
  <c r="N1379" i="2"/>
  <c r="M1379" i="2"/>
  <c r="L1379" i="2"/>
  <c r="H1379" i="2"/>
  <c r="G1379" i="2"/>
  <c r="N1378" i="2"/>
  <c r="M1378" i="2"/>
  <c r="L1378" i="2"/>
  <c r="H1378" i="2"/>
  <c r="G1378" i="2"/>
  <c r="N1377" i="2"/>
  <c r="M1377" i="2"/>
  <c r="L1377" i="2"/>
  <c r="H1377" i="2"/>
  <c r="G1377" i="2"/>
  <c r="N1376" i="2"/>
  <c r="M1376" i="2"/>
  <c r="L1376" i="2"/>
  <c r="H1376" i="2"/>
  <c r="G1376" i="2"/>
  <c r="N1375" i="2"/>
  <c r="M1375" i="2"/>
  <c r="L1375" i="2"/>
  <c r="H1375" i="2"/>
  <c r="G1375" i="2"/>
  <c r="N1374" i="2"/>
  <c r="M1374" i="2"/>
  <c r="L1374" i="2"/>
  <c r="H1374" i="2"/>
  <c r="G1374" i="2"/>
  <c r="N1373" i="2"/>
  <c r="M1373" i="2"/>
  <c r="L1373" i="2"/>
  <c r="H1373" i="2"/>
  <c r="G1373" i="2"/>
  <c r="N1372" i="2"/>
  <c r="M1372" i="2"/>
  <c r="L1372" i="2"/>
  <c r="H1372" i="2"/>
  <c r="G1372" i="2"/>
  <c r="N1371" i="2"/>
  <c r="M1371" i="2"/>
  <c r="L1371" i="2"/>
  <c r="H1371" i="2"/>
  <c r="G1371" i="2"/>
  <c r="N1370" i="2"/>
  <c r="M1370" i="2"/>
  <c r="L1370" i="2"/>
  <c r="H1370" i="2"/>
  <c r="G1370" i="2"/>
  <c r="N1369" i="2"/>
  <c r="M1369" i="2"/>
  <c r="L1369" i="2"/>
  <c r="H1369" i="2"/>
  <c r="G1369" i="2"/>
  <c r="N1368" i="2"/>
  <c r="M1368" i="2"/>
  <c r="L1368" i="2"/>
  <c r="H1368" i="2"/>
  <c r="G1368" i="2"/>
  <c r="N1367" i="2"/>
  <c r="M1367" i="2"/>
  <c r="L1367" i="2"/>
  <c r="H1367" i="2"/>
  <c r="G1367" i="2"/>
  <c r="N1366" i="2"/>
  <c r="M1366" i="2"/>
  <c r="L1366" i="2"/>
  <c r="H1366" i="2"/>
  <c r="G1366" i="2"/>
  <c r="N1365" i="2"/>
  <c r="M1365" i="2"/>
  <c r="L1365" i="2"/>
  <c r="H1365" i="2"/>
  <c r="G1365" i="2"/>
  <c r="N1364" i="2"/>
  <c r="M1364" i="2"/>
  <c r="L1364" i="2"/>
  <c r="H1364" i="2"/>
  <c r="G1364" i="2"/>
  <c r="N1363" i="2"/>
  <c r="M1363" i="2"/>
  <c r="L1363" i="2"/>
  <c r="H1363" i="2"/>
  <c r="G1363" i="2"/>
  <c r="N1362" i="2"/>
  <c r="M1362" i="2"/>
  <c r="L1362" i="2"/>
  <c r="H1362" i="2"/>
  <c r="G1362" i="2"/>
  <c r="N1361" i="2"/>
  <c r="M1361" i="2"/>
  <c r="L1361" i="2"/>
  <c r="H1361" i="2"/>
  <c r="G1361" i="2"/>
  <c r="N1360" i="2"/>
  <c r="M1360" i="2"/>
  <c r="L1360" i="2"/>
  <c r="H1360" i="2"/>
  <c r="G1360" i="2"/>
  <c r="N1359" i="2"/>
  <c r="M1359" i="2"/>
  <c r="L1359" i="2"/>
  <c r="H1359" i="2"/>
  <c r="G1359" i="2"/>
  <c r="N1358" i="2"/>
  <c r="M1358" i="2"/>
  <c r="L1358" i="2"/>
  <c r="H1358" i="2"/>
  <c r="G1358" i="2"/>
  <c r="N1357" i="2"/>
  <c r="M1357" i="2"/>
  <c r="L1357" i="2"/>
  <c r="H1357" i="2"/>
  <c r="G1357" i="2"/>
  <c r="N1356" i="2"/>
  <c r="M1356" i="2"/>
  <c r="L1356" i="2"/>
  <c r="H1356" i="2"/>
  <c r="G1356" i="2"/>
  <c r="N1355" i="2"/>
  <c r="M1355" i="2"/>
  <c r="L1355" i="2"/>
  <c r="H1355" i="2"/>
  <c r="G1355" i="2"/>
  <c r="N1354" i="2"/>
  <c r="M1354" i="2"/>
  <c r="L1354" i="2"/>
  <c r="H1354" i="2"/>
  <c r="G1354" i="2"/>
  <c r="N1353" i="2"/>
  <c r="M1353" i="2"/>
  <c r="L1353" i="2"/>
  <c r="H1353" i="2"/>
  <c r="G1353" i="2"/>
  <c r="N1352" i="2"/>
  <c r="M1352" i="2"/>
  <c r="L1352" i="2"/>
  <c r="H1352" i="2"/>
  <c r="G1352" i="2"/>
  <c r="N1351" i="2"/>
  <c r="M1351" i="2"/>
  <c r="L1351" i="2"/>
  <c r="H1351" i="2"/>
  <c r="G1351" i="2"/>
  <c r="N1350" i="2"/>
  <c r="M1350" i="2"/>
  <c r="L1350" i="2"/>
  <c r="H1350" i="2"/>
  <c r="G1350" i="2"/>
  <c r="N1349" i="2"/>
  <c r="M1349" i="2"/>
  <c r="L1349" i="2"/>
  <c r="H1349" i="2"/>
  <c r="G1349" i="2"/>
  <c r="N1348" i="2"/>
  <c r="M1348" i="2"/>
  <c r="L1348" i="2"/>
  <c r="H1348" i="2"/>
  <c r="G1348" i="2"/>
  <c r="N1347" i="2"/>
  <c r="M1347" i="2"/>
  <c r="L1347" i="2"/>
  <c r="H1347" i="2"/>
  <c r="G1347" i="2"/>
  <c r="N1346" i="2"/>
  <c r="M1346" i="2"/>
  <c r="L1346" i="2"/>
  <c r="H1346" i="2"/>
  <c r="G1346" i="2"/>
  <c r="N1345" i="2"/>
  <c r="M1345" i="2"/>
  <c r="L1345" i="2"/>
  <c r="H1345" i="2"/>
  <c r="G1345" i="2"/>
  <c r="N1344" i="2"/>
  <c r="M1344" i="2"/>
  <c r="L1344" i="2"/>
  <c r="H1344" i="2"/>
  <c r="G1344" i="2"/>
  <c r="N1343" i="2"/>
  <c r="M1343" i="2"/>
  <c r="L1343" i="2"/>
  <c r="H1343" i="2"/>
  <c r="G1343" i="2"/>
  <c r="N1342" i="2"/>
  <c r="M1342" i="2"/>
  <c r="L1342" i="2"/>
  <c r="H1342" i="2"/>
  <c r="G1342" i="2"/>
  <c r="N1341" i="2"/>
  <c r="M1341" i="2"/>
  <c r="L1341" i="2"/>
  <c r="H1341" i="2"/>
  <c r="G1341" i="2"/>
  <c r="N1340" i="2"/>
  <c r="M1340" i="2"/>
  <c r="L1340" i="2"/>
  <c r="H1340" i="2"/>
  <c r="G1340" i="2"/>
  <c r="N1339" i="2"/>
  <c r="M1339" i="2"/>
  <c r="L1339" i="2"/>
  <c r="H1339" i="2"/>
  <c r="G1339" i="2"/>
  <c r="N1338" i="2"/>
  <c r="M1338" i="2"/>
  <c r="L1338" i="2"/>
  <c r="H1338" i="2"/>
  <c r="G1338" i="2"/>
  <c r="N1337" i="2"/>
  <c r="M1337" i="2"/>
  <c r="L1337" i="2"/>
  <c r="H1337" i="2"/>
  <c r="G1337" i="2"/>
  <c r="N1336" i="2"/>
  <c r="M1336" i="2"/>
  <c r="L1336" i="2"/>
  <c r="H1336" i="2"/>
  <c r="G1336" i="2"/>
  <c r="N1335" i="2"/>
  <c r="M1335" i="2"/>
  <c r="L1335" i="2"/>
  <c r="H1335" i="2"/>
  <c r="G1335" i="2"/>
  <c r="N1334" i="2"/>
  <c r="M1334" i="2"/>
  <c r="L1334" i="2"/>
  <c r="H1334" i="2"/>
  <c r="G1334" i="2"/>
  <c r="N1333" i="2"/>
  <c r="M1333" i="2"/>
  <c r="L1333" i="2"/>
  <c r="H1333" i="2"/>
  <c r="G1333" i="2"/>
  <c r="N1332" i="2"/>
  <c r="M1332" i="2"/>
  <c r="L1332" i="2"/>
  <c r="H1332" i="2"/>
  <c r="G1332" i="2"/>
  <c r="N1331" i="2"/>
  <c r="M1331" i="2"/>
  <c r="L1331" i="2"/>
  <c r="H1331" i="2"/>
  <c r="G1331" i="2"/>
  <c r="N1330" i="2"/>
  <c r="M1330" i="2"/>
  <c r="L1330" i="2"/>
  <c r="H1330" i="2"/>
  <c r="G1330" i="2"/>
  <c r="N1329" i="2"/>
  <c r="M1329" i="2"/>
  <c r="L1329" i="2"/>
  <c r="H1329" i="2"/>
  <c r="G1329" i="2"/>
  <c r="N1328" i="2"/>
  <c r="M1328" i="2"/>
  <c r="L1328" i="2"/>
  <c r="H1328" i="2"/>
  <c r="G1328" i="2"/>
  <c r="N1327" i="2"/>
  <c r="M1327" i="2"/>
  <c r="L1327" i="2"/>
  <c r="H1327" i="2"/>
  <c r="G1327" i="2"/>
  <c r="N1326" i="2"/>
  <c r="M1326" i="2"/>
  <c r="L1326" i="2"/>
  <c r="H1326" i="2"/>
  <c r="G1326" i="2"/>
  <c r="N1325" i="2"/>
  <c r="M1325" i="2"/>
  <c r="L1325" i="2"/>
  <c r="H1325" i="2"/>
  <c r="G1325" i="2"/>
  <c r="N1324" i="2"/>
  <c r="M1324" i="2"/>
  <c r="L1324" i="2"/>
  <c r="H1324" i="2"/>
  <c r="G1324" i="2"/>
  <c r="N1323" i="2"/>
  <c r="M1323" i="2"/>
  <c r="L1323" i="2"/>
  <c r="H1323" i="2"/>
  <c r="G1323" i="2"/>
  <c r="N1322" i="2"/>
  <c r="M1322" i="2"/>
  <c r="L1322" i="2"/>
  <c r="H1322" i="2"/>
  <c r="G1322" i="2"/>
  <c r="N1321" i="2"/>
  <c r="M1321" i="2"/>
  <c r="L1321" i="2"/>
  <c r="H1321" i="2"/>
  <c r="G1321" i="2"/>
  <c r="N1320" i="2"/>
  <c r="M1320" i="2"/>
  <c r="L1320" i="2"/>
  <c r="H1320" i="2"/>
  <c r="G1320" i="2"/>
  <c r="N1319" i="2"/>
  <c r="M1319" i="2"/>
  <c r="L1319" i="2"/>
  <c r="H1319" i="2"/>
  <c r="G1319" i="2"/>
  <c r="N1318" i="2"/>
  <c r="M1318" i="2"/>
  <c r="L1318" i="2"/>
  <c r="H1318" i="2"/>
  <c r="G1318" i="2"/>
  <c r="N1317" i="2"/>
  <c r="M1317" i="2"/>
  <c r="L1317" i="2"/>
  <c r="H1317" i="2"/>
  <c r="G1317" i="2"/>
  <c r="N1316" i="2"/>
  <c r="M1316" i="2"/>
  <c r="L1316" i="2"/>
  <c r="H1316" i="2"/>
  <c r="G1316" i="2"/>
  <c r="N1315" i="2"/>
  <c r="M1315" i="2"/>
  <c r="L1315" i="2"/>
  <c r="H1315" i="2"/>
  <c r="G1315" i="2"/>
  <c r="N1314" i="2"/>
  <c r="M1314" i="2"/>
  <c r="L1314" i="2"/>
  <c r="H1314" i="2"/>
  <c r="G1314" i="2"/>
  <c r="N1313" i="2"/>
  <c r="M1313" i="2"/>
  <c r="L1313" i="2"/>
  <c r="H1313" i="2"/>
  <c r="G1313" i="2"/>
  <c r="N1312" i="2"/>
  <c r="M1312" i="2"/>
  <c r="L1312" i="2"/>
  <c r="H1312" i="2"/>
  <c r="G1312" i="2"/>
  <c r="N1311" i="2"/>
  <c r="M1311" i="2"/>
  <c r="L1311" i="2"/>
  <c r="H1311" i="2"/>
  <c r="G1311" i="2"/>
  <c r="N1310" i="2"/>
  <c r="M1310" i="2"/>
  <c r="L1310" i="2"/>
  <c r="H1310" i="2"/>
  <c r="G1310" i="2"/>
  <c r="N1309" i="2"/>
  <c r="M1309" i="2"/>
  <c r="L1309" i="2"/>
  <c r="H1309" i="2"/>
  <c r="G1309" i="2"/>
  <c r="N1308" i="2"/>
  <c r="M1308" i="2"/>
  <c r="L1308" i="2"/>
  <c r="H1308" i="2"/>
  <c r="G1308" i="2"/>
  <c r="N1307" i="2"/>
  <c r="M1307" i="2"/>
  <c r="L1307" i="2"/>
  <c r="H1307" i="2"/>
  <c r="G1307" i="2"/>
  <c r="N1306" i="2"/>
  <c r="M1306" i="2"/>
  <c r="L1306" i="2"/>
  <c r="H1306" i="2"/>
  <c r="G1306" i="2"/>
  <c r="N1305" i="2"/>
  <c r="M1305" i="2"/>
  <c r="L1305" i="2"/>
  <c r="H1305" i="2"/>
  <c r="G1305" i="2"/>
  <c r="N1304" i="2"/>
  <c r="M1304" i="2"/>
  <c r="L1304" i="2"/>
  <c r="H1304" i="2"/>
  <c r="G1304" i="2"/>
  <c r="N1303" i="2"/>
  <c r="M1303" i="2"/>
  <c r="L1303" i="2"/>
  <c r="H1303" i="2"/>
  <c r="G1303" i="2"/>
  <c r="N1302" i="2"/>
  <c r="M1302" i="2"/>
  <c r="L1302" i="2"/>
  <c r="H1302" i="2"/>
  <c r="G1302" i="2"/>
  <c r="N1301" i="2"/>
  <c r="M1301" i="2"/>
  <c r="L1301" i="2"/>
  <c r="H1301" i="2"/>
  <c r="G1301" i="2"/>
  <c r="N1300" i="2"/>
  <c r="M1300" i="2"/>
  <c r="L1300" i="2"/>
  <c r="H1300" i="2"/>
  <c r="G1300" i="2"/>
  <c r="N1299" i="2"/>
  <c r="M1299" i="2"/>
  <c r="L1299" i="2"/>
  <c r="H1299" i="2"/>
  <c r="G1299" i="2"/>
  <c r="N1298" i="2"/>
  <c r="M1298" i="2"/>
  <c r="L1298" i="2"/>
  <c r="H1298" i="2"/>
  <c r="G1298" i="2"/>
  <c r="N1297" i="2"/>
  <c r="M1297" i="2"/>
  <c r="L1297" i="2"/>
  <c r="H1297" i="2"/>
  <c r="G1297" i="2"/>
  <c r="N1296" i="2"/>
  <c r="M1296" i="2"/>
  <c r="L1296" i="2"/>
  <c r="H1296" i="2"/>
  <c r="G1296" i="2"/>
  <c r="N1295" i="2"/>
  <c r="M1295" i="2"/>
  <c r="L1295" i="2"/>
  <c r="H1295" i="2"/>
  <c r="G1295" i="2"/>
  <c r="N1294" i="2"/>
  <c r="M1294" i="2"/>
  <c r="L1294" i="2"/>
  <c r="H1294" i="2"/>
  <c r="G1294" i="2"/>
  <c r="N1293" i="2"/>
  <c r="M1293" i="2"/>
  <c r="L1293" i="2"/>
  <c r="H1293" i="2"/>
  <c r="G1293" i="2"/>
  <c r="N1292" i="2"/>
  <c r="M1292" i="2"/>
  <c r="L1292" i="2"/>
  <c r="H1292" i="2"/>
  <c r="G1292" i="2"/>
  <c r="N1291" i="2"/>
  <c r="M1291" i="2"/>
  <c r="L1291" i="2"/>
  <c r="H1291" i="2"/>
  <c r="G1291" i="2"/>
  <c r="N1290" i="2"/>
  <c r="M1290" i="2"/>
  <c r="L1290" i="2"/>
  <c r="H1290" i="2"/>
  <c r="G1290" i="2"/>
  <c r="N1289" i="2"/>
  <c r="M1289" i="2"/>
  <c r="L1289" i="2"/>
  <c r="H1289" i="2"/>
  <c r="G1289" i="2"/>
  <c r="N1288" i="2"/>
  <c r="M1288" i="2"/>
  <c r="L1288" i="2"/>
  <c r="H1288" i="2"/>
  <c r="G1288" i="2"/>
  <c r="N1287" i="2"/>
  <c r="M1287" i="2"/>
  <c r="L1287" i="2"/>
  <c r="H1287" i="2"/>
  <c r="G1287" i="2"/>
  <c r="N1286" i="2"/>
  <c r="M1286" i="2"/>
  <c r="L1286" i="2"/>
  <c r="H1286" i="2"/>
  <c r="G1286" i="2"/>
  <c r="N1285" i="2"/>
  <c r="M1285" i="2"/>
  <c r="L1285" i="2"/>
  <c r="H1285" i="2"/>
  <c r="G1285" i="2"/>
  <c r="N1284" i="2"/>
  <c r="M1284" i="2"/>
  <c r="L1284" i="2"/>
  <c r="H1284" i="2"/>
  <c r="G1284" i="2"/>
  <c r="N1283" i="2"/>
  <c r="M1283" i="2"/>
  <c r="L1283" i="2"/>
  <c r="H1283" i="2"/>
  <c r="G1283" i="2"/>
  <c r="N1282" i="2"/>
  <c r="M1282" i="2"/>
  <c r="L1282" i="2"/>
  <c r="H1282" i="2"/>
  <c r="G1282" i="2"/>
  <c r="N1281" i="2"/>
  <c r="M1281" i="2"/>
  <c r="L1281" i="2"/>
  <c r="H1281" i="2"/>
  <c r="G1281" i="2"/>
  <c r="N1280" i="2"/>
  <c r="M1280" i="2"/>
  <c r="L1280" i="2"/>
  <c r="H1280" i="2"/>
  <c r="G1280" i="2"/>
  <c r="N1279" i="2"/>
  <c r="M1279" i="2"/>
  <c r="L1279" i="2"/>
  <c r="H1279" i="2"/>
  <c r="G1279" i="2"/>
  <c r="N1278" i="2"/>
  <c r="M1278" i="2"/>
  <c r="L1278" i="2"/>
  <c r="H1278" i="2"/>
  <c r="G1278" i="2"/>
  <c r="N1277" i="2"/>
  <c r="M1277" i="2"/>
  <c r="L1277" i="2"/>
  <c r="H1277" i="2"/>
  <c r="G1277" i="2"/>
  <c r="N1276" i="2"/>
  <c r="M1276" i="2"/>
  <c r="L1276" i="2"/>
  <c r="H1276" i="2"/>
  <c r="G1276" i="2"/>
  <c r="N1275" i="2"/>
  <c r="M1275" i="2"/>
  <c r="L1275" i="2"/>
  <c r="H1275" i="2"/>
  <c r="G1275" i="2"/>
  <c r="N1274" i="2"/>
  <c r="M1274" i="2"/>
  <c r="L1274" i="2"/>
  <c r="H1274" i="2"/>
  <c r="G1274" i="2"/>
  <c r="N1273" i="2"/>
  <c r="M1273" i="2"/>
  <c r="L1273" i="2"/>
  <c r="H1273" i="2"/>
  <c r="G1273" i="2"/>
  <c r="N1272" i="2"/>
  <c r="M1272" i="2"/>
  <c r="L1272" i="2"/>
  <c r="H1272" i="2"/>
  <c r="G1272" i="2"/>
  <c r="N1271" i="2"/>
  <c r="M1271" i="2"/>
  <c r="L1271" i="2"/>
  <c r="H1271" i="2"/>
  <c r="G1271" i="2"/>
  <c r="N1270" i="2"/>
  <c r="M1270" i="2"/>
  <c r="L1270" i="2"/>
  <c r="H1270" i="2"/>
  <c r="G1270" i="2"/>
  <c r="N1269" i="2"/>
  <c r="M1269" i="2"/>
  <c r="L1269" i="2"/>
  <c r="H1269" i="2"/>
  <c r="G1269" i="2"/>
  <c r="N1268" i="2"/>
  <c r="M1268" i="2"/>
  <c r="L1268" i="2"/>
  <c r="H1268" i="2"/>
  <c r="G1268" i="2"/>
  <c r="N1267" i="2"/>
  <c r="M1267" i="2"/>
  <c r="L1267" i="2"/>
  <c r="H1267" i="2"/>
  <c r="G1267" i="2"/>
  <c r="N1266" i="2"/>
  <c r="M1266" i="2"/>
  <c r="L1266" i="2"/>
  <c r="H1266" i="2"/>
  <c r="G1266" i="2"/>
  <c r="N1265" i="2"/>
  <c r="M1265" i="2"/>
  <c r="L1265" i="2"/>
  <c r="H1265" i="2"/>
  <c r="G1265" i="2"/>
  <c r="N1264" i="2"/>
  <c r="M1264" i="2"/>
  <c r="L1264" i="2"/>
  <c r="H1264" i="2"/>
  <c r="G1264" i="2"/>
  <c r="N1263" i="2"/>
  <c r="M1263" i="2"/>
  <c r="L1263" i="2"/>
  <c r="H1263" i="2"/>
  <c r="G1263" i="2"/>
  <c r="N1262" i="2"/>
  <c r="M1262" i="2"/>
  <c r="L1262" i="2"/>
  <c r="H1262" i="2"/>
  <c r="G1262" i="2"/>
  <c r="N1261" i="2"/>
  <c r="M1261" i="2"/>
  <c r="L1261" i="2"/>
  <c r="H1261" i="2"/>
  <c r="G1261" i="2"/>
  <c r="N1260" i="2"/>
  <c r="M1260" i="2"/>
  <c r="L1260" i="2"/>
  <c r="H1260" i="2"/>
  <c r="G1260" i="2"/>
  <c r="N1259" i="2"/>
  <c r="M1259" i="2"/>
  <c r="L1259" i="2"/>
  <c r="H1259" i="2"/>
  <c r="G1259" i="2"/>
  <c r="N1258" i="2"/>
  <c r="M1258" i="2"/>
  <c r="L1258" i="2"/>
  <c r="H1258" i="2"/>
  <c r="G1258" i="2"/>
  <c r="N1257" i="2"/>
  <c r="M1257" i="2"/>
  <c r="L1257" i="2"/>
  <c r="H1257" i="2"/>
  <c r="G1257" i="2"/>
  <c r="N1256" i="2"/>
  <c r="M1256" i="2"/>
  <c r="L1256" i="2"/>
  <c r="H1256" i="2"/>
  <c r="G1256" i="2"/>
  <c r="N1255" i="2"/>
  <c r="M1255" i="2"/>
  <c r="L1255" i="2"/>
  <c r="H1255" i="2"/>
  <c r="G1255" i="2"/>
  <c r="N1254" i="2"/>
  <c r="M1254" i="2"/>
  <c r="L1254" i="2"/>
  <c r="H1254" i="2"/>
  <c r="G1254" i="2"/>
  <c r="N1253" i="2"/>
  <c r="M1253" i="2"/>
  <c r="L1253" i="2"/>
  <c r="H1253" i="2"/>
  <c r="G1253" i="2"/>
  <c r="N1252" i="2"/>
  <c r="M1252" i="2"/>
  <c r="L1252" i="2"/>
  <c r="H1252" i="2"/>
  <c r="G1252" i="2"/>
  <c r="N1251" i="2"/>
  <c r="M1251" i="2"/>
  <c r="L1251" i="2"/>
  <c r="H1251" i="2"/>
  <c r="G1251" i="2"/>
  <c r="N1250" i="2"/>
  <c r="M1250" i="2"/>
  <c r="L1250" i="2"/>
  <c r="H1250" i="2"/>
  <c r="G1250" i="2"/>
  <c r="N1249" i="2"/>
  <c r="M1249" i="2"/>
  <c r="L1249" i="2"/>
  <c r="H1249" i="2"/>
  <c r="G1249" i="2"/>
  <c r="N1248" i="2"/>
  <c r="M1248" i="2"/>
  <c r="L1248" i="2"/>
  <c r="H1248" i="2"/>
  <c r="G1248" i="2"/>
  <c r="N1247" i="2"/>
  <c r="M1247" i="2"/>
  <c r="L1247" i="2"/>
  <c r="H1247" i="2"/>
  <c r="G1247" i="2"/>
  <c r="N1246" i="2"/>
  <c r="M1246" i="2"/>
  <c r="L1246" i="2"/>
  <c r="H1246" i="2"/>
  <c r="G1246" i="2"/>
  <c r="N1245" i="2"/>
  <c r="M1245" i="2"/>
  <c r="L1245" i="2"/>
  <c r="H1245" i="2"/>
  <c r="G1245" i="2"/>
  <c r="N1244" i="2"/>
  <c r="M1244" i="2"/>
  <c r="L1244" i="2"/>
  <c r="H1244" i="2"/>
  <c r="G1244" i="2"/>
  <c r="N1243" i="2"/>
  <c r="M1243" i="2"/>
  <c r="L1243" i="2"/>
  <c r="H1243" i="2"/>
  <c r="G1243" i="2"/>
  <c r="N1242" i="2"/>
  <c r="M1242" i="2"/>
  <c r="L1242" i="2"/>
  <c r="H1242" i="2"/>
  <c r="G1242" i="2"/>
  <c r="N1241" i="2"/>
  <c r="M1241" i="2"/>
  <c r="L1241" i="2"/>
  <c r="H1241" i="2"/>
  <c r="G1241" i="2"/>
  <c r="N1240" i="2"/>
  <c r="M1240" i="2"/>
  <c r="L1240" i="2"/>
  <c r="H1240" i="2"/>
  <c r="G1240" i="2"/>
  <c r="N1239" i="2"/>
  <c r="M1239" i="2"/>
  <c r="L1239" i="2"/>
  <c r="H1239" i="2"/>
  <c r="G1239" i="2"/>
  <c r="N1238" i="2"/>
  <c r="M1238" i="2"/>
  <c r="L1238" i="2"/>
  <c r="H1238" i="2"/>
  <c r="G1238" i="2"/>
  <c r="N1237" i="2"/>
  <c r="M1237" i="2"/>
  <c r="L1237" i="2"/>
  <c r="H1237" i="2"/>
  <c r="G1237" i="2"/>
  <c r="N1236" i="2"/>
  <c r="M1236" i="2"/>
  <c r="L1236" i="2"/>
  <c r="H1236" i="2"/>
  <c r="G1236" i="2"/>
  <c r="N1235" i="2"/>
  <c r="M1235" i="2"/>
  <c r="L1235" i="2"/>
  <c r="H1235" i="2"/>
  <c r="G1235" i="2"/>
  <c r="N1234" i="2"/>
  <c r="M1234" i="2"/>
  <c r="L1234" i="2"/>
  <c r="H1234" i="2"/>
  <c r="G1234" i="2"/>
  <c r="N1233" i="2"/>
  <c r="M1233" i="2"/>
  <c r="L1233" i="2"/>
  <c r="H1233" i="2"/>
  <c r="G1233" i="2"/>
  <c r="N1232" i="2"/>
  <c r="M1232" i="2"/>
  <c r="L1232" i="2"/>
  <c r="H1232" i="2"/>
  <c r="G1232" i="2"/>
  <c r="N1231" i="2"/>
  <c r="M1231" i="2"/>
  <c r="L1231" i="2"/>
  <c r="H1231" i="2"/>
  <c r="G1231" i="2"/>
  <c r="N1230" i="2"/>
  <c r="M1230" i="2"/>
  <c r="L1230" i="2"/>
  <c r="H1230" i="2"/>
  <c r="G1230" i="2"/>
  <c r="N1229" i="2"/>
  <c r="M1229" i="2"/>
  <c r="L1229" i="2"/>
  <c r="H1229" i="2"/>
  <c r="G1229" i="2"/>
  <c r="N1228" i="2"/>
  <c r="M1228" i="2"/>
  <c r="L1228" i="2"/>
  <c r="H1228" i="2"/>
  <c r="G1228" i="2"/>
  <c r="N1227" i="2"/>
  <c r="M1227" i="2"/>
  <c r="L1227" i="2"/>
  <c r="H1227" i="2"/>
  <c r="G1227" i="2"/>
  <c r="N1226" i="2"/>
  <c r="M1226" i="2"/>
  <c r="L1226" i="2"/>
  <c r="H1226" i="2"/>
  <c r="G1226" i="2"/>
  <c r="N1225" i="2"/>
  <c r="M1225" i="2"/>
  <c r="L1225" i="2"/>
  <c r="H1225" i="2"/>
  <c r="G1225" i="2"/>
  <c r="N1224" i="2"/>
  <c r="M1224" i="2"/>
  <c r="L1224" i="2"/>
  <c r="H1224" i="2"/>
  <c r="G1224" i="2"/>
  <c r="N1223" i="2"/>
  <c r="M1223" i="2"/>
  <c r="L1223" i="2"/>
  <c r="H1223" i="2"/>
  <c r="G1223" i="2"/>
  <c r="N1222" i="2"/>
  <c r="M1222" i="2"/>
  <c r="L1222" i="2"/>
  <c r="H1222" i="2"/>
  <c r="G1222" i="2"/>
  <c r="N1221" i="2"/>
  <c r="M1221" i="2"/>
  <c r="L1221" i="2"/>
  <c r="H1221" i="2"/>
  <c r="G1221" i="2"/>
  <c r="N1220" i="2"/>
  <c r="M1220" i="2"/>
  <c r="L1220" i="2"/>
  <c r="H1220" i="2"/>
  <c r="G1220" i="2"/>
  <c r="N1219" i="2"/>
  <c r="M1219" i="2"/>
  <c r="L1219" i="2"/>
  <c r="H1219" i="2"/>
  <c r="G1219" i="2"/>
  <c r="N1218" i="2"/>
  <c r="M1218" i="2"/>
  <c r="L1218" i="2"/>
  <c r="H1218" i="2"/>
  <c r="G1218" i="2"/>
  <c r="N1217" i="2"/>
  <c r="M1217" i="2"/>
  <c r="L1217" i="2"/>
  <c r="H1217" i="2"/>
  <c r="G1217" i="2"/>
  <c r="N1216" i="2"/>
  <c r="M1216" i="2"/>
  <c r="L1216" i="2"/>
  <c r="H1216" i="2"/>
  <c r="G1216" i="2"/>
  <c r="N1215" i="2"/>
  <c r="M1215" i="2"/>
  <c r="L1215" i="2"/>
  <c r="H1215" i="2"/>
  <c r="G1215" i="2"/>
  <c r="N1214" i="2"/>
  <c r="M1214" i="2"/>
  <c r="L1214" i="2"/>
  <c r="H1214" i="2"/>
  <c r="G1214" i="2"/>
  <c r="N1213" i="2"/>
  <c r="M1213" i="2"/>
  <c r="L1213" i="2"/>
  <c r="H1213" i="2"/>
  <c r="G1213" i="2"/>
  <c r="N1212" i="2"/>
  <c r="M1212" i="2"/>
  <c r="L1212" i="2"/>
  <c r="H1212" i="2"/>
  <c r="G1212" i="2"/>
  <c r="N1211" i="2"/>
  <c r="M1211" i="2"/>
  <c r="L1211" i="2"/>
  <c r="H1211" i="2"/>
  <c r="G1211" i="2"/>
  <c r="N1210" i="2"/>
  <c r="M1210" i="2"/>
  <c r="L1210" i="2"/>
  <c r="H1210" i="2"/>
  <c r="G1210" i="2"/>
  <c r="N1209" i="2"/>
  <c r="M1209" i="2"/>
  <c r="L1209" i="2"/>
  <c r="H1209" i="2"/>
  <c r="G1209" i="2"/>
  <c r="N1208" i="2"/>
  <c r="M1208" i="2"/>
  <c r="L1208" i="2"/>
  <c r="H1208" i="2"/>
  <c r="G1208" i="2"/>
  <c r="N1207" i="2"/>
  <c r="M1207" i="2"/>
  <c r="L1207" i="2"/>
  <c r="H1207" i="2"/>
  <c r="G1207" i="2"/>
  <c r="N1206" i="2"/>
  <c r="M1206" i="2"/>
  <c r="L1206" i="2"/>
  <c r="H1206" i="2"/>
  <c r="G1206" i="2"/>
  <c r="N1205" i="2"/>
  <c r="M1205" i="2"/>
  <c r="L1205" i="2"/>
  <c r="H1205" i="2"/>
  <c r="G1205" i="2"/>
  <c r="N1204" i="2"/>
  <c r="M1204" i="2"/>
  <c r="L1204" i="2"/>
  <c r="H1204" i="2"/>
  <c r="G1204" i="2"/>
  <c r="N1203" i="2"/>
  <c r="M1203" i="2"/>
  <c r="L1203" i="2"/>
  <c r="H1203" i="2"/>
  <c r="G1203" i="2"/>
  <c r="N1202" i="2"/>
  <c r="M1202" i="2"/>
  <c r="L1202" i="2"/>
  <c r="H1202" i="2"/>
  <c r="G1202" i="2"/>
  <c r="N1201" i="2"/>
  <c r="M1201" i="2"/>
  <c r="L1201" i="2"/>
  <c r="H1201" i="2"/>
  <c r="G1201" i="2"/>
  <c r="N1200" i="2"/>
  <c r="M1200" i="2"/>
  <c r="L1200" i="2"/>
  <c r="H1200" i="2"/>
  <c r="G1200" i="2"/>
  <c r="N1199" i="2"/>
  <c r="M1199" i="2"/>
  <c r="L1199" i="2"/>
  <c r="H1199" i="2"/>
  <c r="G1199" i="2"/>
  <c r="N1198" i="2"/>
  <c r="M1198" i="2"/>
  <c r="L1198" i="2"/>
  <c r="H1198" i="2"/>
  <c r="G1198" i="2"/>
  <c r="N1197" i="2"/>
  <c r="M1197" i="2"/>
  <c r="L1197" i="2"/>
  <c r="H1197" i="2"/>
  <c r="G1197" i="2"/>
  <c r="N1196" i="2"/>
  <c r="M1196" i="2"/>
  <c r="L1196" i="2"/>
  <c r="H1196" i="2"/>
  <c r="G1196" i="2"/>
  <c r="N1195" i="2"/>
  <c r="M1195" i="2"/>
  <c r="L1195" i="2"/>
  <c r="H1195" i="2"/>
  <c r="G1195" i="2"/>
  <c r="N1194" i="2"/>
  <c r="M1194" i="2"/>
  <c r="L1194" i="2"/>
  <c r="H1194" i="2"/>
  <c r="G1194" i="2"/>
  <c r="N1193" i="2"/>
  <c r="M1193" i="2"/>
  <c r="L1193" i="2"/>
  <c r="H1193" i="2"/>
  <c r="G1193" i="2"/>
  <c r="N1192" i="2"/>
  <c r="M1192" i="2"/>
  <c r="L1192" i="2"/>
  <c r="H1192" i="2"/>
  <c r="G1192" i="2"/>
  <c r="N1191" i="2"/>
  <c r="M1191" i="2"/>
  <c r="L1191" i="2"/>
  <c r="H1191" i="2"/>
  <c r="G1191" i="2"/>
  <c r="N1190" i="2"/>
  <c r="M1190" i="2"/>
  <c r="L1190" i="2"/>
  <c r="H1190" i="2"/>
  <c r="G1190" i="2"/>
  <c r="N1189" i="2"/>
  <c r="M1189" i="2"/>
  <c r="L1189" i="2"/>
  <c r="H1189" i="2"/>
  <c r="G1189" i="2"/>
  <c r="N1188" i="2"/>
  <c r="M1188" i="2"/>
  <c r="L1188" i="2"/>
  <c r="H1188" i="2"/>
  <c r="G1188" i="2"/>
  <c r="N1187" i="2"/>
  <c r="M1187" i="2"/>
  <c r="L1187" i="2"/>
  <c r="H1187" i="2"/>
  <c r="G1187" i="2"/>
  <c r="N1186" i="2"/>
  <c r="M1186" i="2"/>
  <c r="L1186" i="2"/>
  <c r="H1186" i="2"/>
  <c r="G1186" i="2"/>
  <c r="N1185" i="2"/>
  <c r="M1185" i="2"/>
  <c r="L1185" i="2"/>
  <c r="H1185" i="2"/>
  <c r="G1185" i="2"/>
  <c r="N1184" i="2"/>
  <c r="M1184" i="2"/>
  <c r="L1184" i="2"/>
  <c r="H1184" i="2"/>
  <c r="G1184" i="2"/>
  <c r="N1183" i="2"/>
  <c r="M1183" i="2"/>
  <c r="L1183" i="2"/>
  <c r="H1183" i="2"/>
  <c r="G1183" i="2"/>
  <c r="N1182" i="2"/>
  <c r="M1182" i="2"/>
  <c r="L1182" i="2"/>
  <c r="H1182" i="2"/>
  <c r="G1182" i="2"/>
  <c r="N1181" i="2"/>
  <c r="M1181" i="2"/>
  <c r="L1181" i="2"/>
  <c r="H1181" i="2"/>
  <c r="G1181" i="2"/>
  <c r="N1180" i="2"/>
  <c r="M1180" i="2"/>
  <c r="L1180" i="2"/>
  <c r="H1180" i="2"/>
  <c r="G1180" i="2"/>
  <c r="N1179" i="2"/>
  <c r="M1179" i="2"/>
  <c r="L1179" i="2"/>
  <c r="H1179" i="2"/>
  <c r="G1179" i="2"/>
  <c r="N1178" i="2"/>
  <c r="M1178" i="2"/>
  <c r="L1178" i="2"/>
  <c r="H1178" i="2"/>
  <c r="G1178" i="2"/>
  <c r="N1177" i="2"/>
  <c r="M1177" i="2"/>
  <c r="L1177" i="2"/>
  <c r="H1177" i="2"/>
  <c r="G1177" i="2"/>
  <c r="N1176" i="2"/>
  <c r="M1176" i="2"/>
  <c r="L1176" i="2"/>
  <c r="H1176" i="2"/>
  <c r="G1176" i="2"/>
  <c r="N1175" i="2"/>
  <c r="M1175" i="2"/>
  <c r="L1175" i="2"/>
  <c r="H1175" i="2"/>
  <c r="G1175" i="2"/>
  <c r="N1174" i="2"/>
  <c r="M1174" i="2"/>
  <c r="L1174" i="2"/>
  <c r="H1174" i="2"/>
  <c r="G1174" i="2"/>
  <c r="N1173" i="2"/>
  <c r="M1173" i="2"/>
  <c r="L1173" i="2"/>
  <c r="H1173" i="2"/>
  <c r="G1173" i="2"/>
  <c r="N1172" i="2"/>
  <c r="M1172" i="2"/>
  <c r="L1172" i="2"/>
  <c r="H1172" i="2"/>
  <c r="G1172" i="2"/>
  <c r="N1171" i="2"/>
  <c r="M1171" i="2"/>
  <c r="L1171" i="2"/>
  <c r="H1171" i="2"/>
  <c r="G1171" i="2"/>
  <c r="N1170" i="2"/>
  <c r="M1170" i="2"/>
  <c r="L1170" i="2"/>
  <c r="H1170" i="2"/>
  <c r="G1170" i="2"/>
  <c r="N1169" i="2"/>
  <c r="M1169" i="2"/>
  <c r="L1169" i="2"/>
  <c r="H1169" i="2"/>
  <c r="G1169" i="2"/>
  <c r="N1168" i="2"/>
  <c r="M1168" i="2"/>
  <c r="L1168" i="2"/>
  <c r="H1168" i="2"/>
  <c r="G1168" i="2"/>
  <c r="N1167" i="2"/>
  <c r="M1167" i="2"/>
  <c r="L1167" i="2"/>
  <c r="H1167" i="2"/>
  <c r="G1167" i="2"/>
  <c r="N1166" i="2"/>
  <c r="M1166" i="2"/>
  <c r="L1166" i="2"/>
  <c r="H1166" i="2"/>
  <c r="G1166" i="2"/>
  <c r="N1165" i="2"/>
  <c r="M1165" i="2"/>
  <c r="L1165" i="2"/>
  <c r="H1165" i="2"/>
  <c r="G1165" i="2"/>
  <c r="N1164" i="2"/>
  <c r="M1164" i="2"/>
  <c r="L1164" i="2"/>
  <c r="H1164" i="2"/>
  <c r="G1164" i="2"/>
  <c r="N1163" i="2"/>
  <c r="M1163" i="2"/>
  <c r="L1163" i="2"/>
  <c r="H1163" i="2"/>
  <c r="G1163" i="2"/>
  <c r="N1162" i="2"/>
  <c r="M1162" i="2"/>
  <c r="L1162" i="2"/>
  <c r="H1162" i="2"/>
  <c r="G1162" i="2"/>
  <c r="N1161" i="2"/>
  <c r="M1161" i="2"/>
  <c r="L1161" i="2"/>
  <c r="H1161" i="2"/>
  <c r="G1161" i="2"/>
  <c r="N1160" i="2"/>
  <c r="M1160" i="2"/>
  <c r="L1160" i="2"/>
  <c r="H1160" i="2"/>
  <c r="G1160" i="2"/>
  <c r="N1159" i="2"/>
  <c r="M1159" i="2"/>
  <c r="L1159" i="2"/>
  <c r="H1159" i="2"/>
  <c r="G1159" i="2"/>
  <c r="N1158" i="2"/>
  <c r="M1158" i="2"/>
  <c r="L1158" i="2"/>
  <c r="H1158" i="2"/>
  <c r="G1158" i="2"/>
  <c r="N1157" i="2"/>
  <c r="M1157" i="2"/>
  <c r="L1157" i="2"/>
  <c r="H1157" i="2"/>
  <c r="G1157" i="2"/>
  <c r="N1156" i="2"/>
  <c r="M1156" i="2"/>
  <c r="L1156" i="2"/>
  <c r="H1156" i="2"/>
  <c r="G1156" i="2"/>
  <c r="N1155" i="2"/>
  <c r="M1155" i="2"/>
  <c r="L1155" i="2"/>
  <c r="H1155" i="2"/>
  <c r="G1155" i="2"/>
  <c r="N1154" i="2"/>
  <c r="M1154" i="2"/>
  <c r="L1154" i="2"/>
  <c r="H1154" i="2"/>
  <c r="G1154" i="2"/>
  <c r="N1153" i="2"/>
  <c r="M1153" i="2"/>
  <c r="L1153" i="2"/>
  <c r="H1153" i="2"/>
  <c r="G1153" i="2"/>
  <c r="N1152" i="2"/>
  <c r="M1152" i="2"/>
  <c r="L1152" i="2"/>
  <c r="H1152" i="2"/>
  <c r="G1152" i="2"/>
  <c r="N1151" i="2"/>
  <c r="M1151" i="2"/>
  <c r="L1151" i="2"/>
  <c r="H1151" i="2"/>
  <c r="G1151" i="2"/>
  <c r="N1150" i="2"/>
  <c r="M1150" i="2"/>
  <c r="L1150" i="2"/>
  <c r="H1150" i="2"/>
  <c r="G1150" i="2"/>
  <c r="N1149" i="2"/>
  <c r="M1149" i="2"/>
  <c r="L1149" i="2"/>
  <c r="H1149" i="2"/>
  <c r="G1149" i="2"/>
  <c r="N1148" i="2"/>
  <c r="M1148" i="2"/>
  <c r="L1148" i="2"/>
  <c r="H1148" i="2"/>
  <c r="G1148" i="2"/>
  <c r="N1147" i="2"/>
  <c r="M1147" i="2"/>
  <c r="L1147" i="2"/>
  <c r="H1147" i="2"/>
  <c r="G1147" i="2"/>
  <c r="N1146" i="2"/>
  <c r="M1146" i="2"/>
  <c r="L1146" i="2"/>
  <c r="H1146" i="2"/>
  <c r="G1146" i="2"/>
  <c r="N1145" i="2"/>
  <c r="M1145" i="2"/>
  <c r="L1145" i="2"/>
  <c r="H1145" i="2"/>
  <c r="G1145" i="2"/>
  <c r="N1144" i="2"/>
  <c r="M1144" i="2"/>
  <c r="L1144" i="2"/>
  <c r="H1144" i="2"/>
  <c r="G1144" i="2"/>
  <c r="N1143" i="2"/>
  <c r="M1143" i="2"/>
  <c r="L1143" i="2"/>
  <c r="H1143" i="2"/>
  <c r="G1143" i="2"/>
  <c r="N1142" i="2"/>
  <c r="M1142" i="2"/>
  <c r="L1142" i="2"/>
  <c r="H1142" i="2"/>
  <c r="G1142" i="2"/>
  <c r="N1141" i="2"/>
  <c r="M1141" i="2"/>
  <c r="L1141" i="2"/>
  <c r="H1141" i="2"/>
  <c r="G1141" i="2"/>
  <c r="N1140" i="2"/>
  <c r="M1140" i="2"/>
  <c r="L1140" i="2"/>
  <c r="H1140" i="2"/>
  <c r="G1140" i="2"/>
  <c r="N1139" i="2"/>
  <c r="M1139" i="2"/>
  <c r="L1139" i="2"/>
  <c r="H1139" i="2"/>
  <c r="G1139" i="2"/>
  <c r="N1138" i="2"/>
  <c r="M1138" i="2"/>
  <c r="L1138" i="2"/>
  <c r="H1138" i="2"/>
  <c r="G1138" i="2"/>
  <c r="N1137" i="2"/>
  <c r="M1137" i="2"/>
  <c r="L1137" i="2"/>
  <c r="H1137" i="2"/>
  <c r="G1137" i="2"/>
  <c r="N1136" i="2"/>
  <c r="M1136" i="2"/>
  <c r="L1136" i="2"/>
  <c r="H1136" i="2"/>
  <c r="G1136" i="2"/>
  <c r="N1135" i="2"/>
  <c r="M1135" i="2"/>
  <c r="L1135" i="2"/>
  <c r="H1135" i="2"/>
  <c r="G1135" i="2"/>
  <c r="N1134" i="2"/>
  <c r="M1134" i="2"/>
  <c r="L1134" i="2"/>
  <c r="H1134" i="2"/>
  <c r="G1134" i="2"/>
  <c r="N1133" i="2"/>
  <c r="M1133" i="2"/>
  <c r="L1133" i="2"/>
  <c r="H1133" i="2"/>
  <c r="G1133" i="2"/>
  <c r="N1132" i="2"/>
  <c r="M1132" i="2"/>
  <c r="L1132" i="2"/>
  <c r="H1132" i="2"/>
  <c r="G1132" i="2"/>
  <c r="N1131" i="2"/>
  <c r="M1131" i="2"/>
  <c r="L1131" i="2"/>
  <c r="H1131" i="2"/>
  <c r="G1131" i="2"/>
  <c r="N1130" i="2"/>
  <c r="M1130" i="2"/>
  <c r="L1130" i="2"/>
  <c r="H1130" i="2"/>
  <c r="G1130" i="2"/>
  <c r="N1129" i="2"/>
  <c r="M1129" i="2"/>
  <c r="L1129" i="2"/>
  <c r="H1129" i="2"/>
  <c r="G1129" i="2"/>
  <c r="N1128" i="2"/>
  <c r="M1128" i="2"/>
  <c r="L1128" i="2"/>
  <c r="H1128" i="2"/>
  <c r="G1128" i="2"/>
  <c r="N1127" i="2"/>
  <c r="M1127" i="2"/>
  <c r="L1127" i="2"/>
  <c r="H1127" i="2"/>
  <c r="G1127" i="2"/>
  <c r="N1126" i="2"/>
  <c r="M1126" i="2"/>
  <c r="L1126" i="2"/>
  <c r="H1126" i="2"/>
  <c r="G1126" i="2"/>
  <c r="N1125" i="2"/>
  <c r="M1125" i="2"/>
  <c r="L1125" i="2"/>
  <c r="H1125" i="2"/>
  <c r="G1125" i="2"/>
  <c r="N1124" i="2"/>
  <c r="M1124" i="2"/>
  <c r="L1124" i="2"/>
  <c r="H1124" i="2"/>
  <c r="G1124" i="2"/>
  <c r="N1123" i="2"/>
  <c r="M1123" i="2"/>
  <c r="L1123" i="2"/>
  <c r="H1123" i="2"/>
  <c r="G1123" i="2"/>
  <c r="N1122" i="2"/>
  <c r="M1122" i="2"/>
  <c r="L1122" i="2"/>
  <c r="H1122" i="2"/>
  <c r="G1122" i="2"/>
  <c r="N1121" i="2"/>
  <c r="M1121" i="2"/>
  <c r="L1121" i="2"/>
  <c r="H1121" i="2"/>
  <c r="G1121" i="2"/>
  <c r="N1120" i="2"/>
  <c r="M1120" i="2"/>
  <c r="L1120" i="2"/>
  <c r="H1120" i="2"/>
  <c r="G1120" i="2"/>
  <c r="N1119" i="2"/>
  <c r="M1119" i="2"/>
  <c r="L1119" i="2"/>
  <c r="H1119" i="2"/>
  <c r="G1119" i="2"/>
  <c r="N1118" i="2"/>
  <c r="M1118" i="2"/>
  <c r="L1118" i="2"/>
  <c r="H1118" i="2"/>
  <c r="G1118" i="2"/>
  <c r="N1117" i="2"/>
  <c r="M1117" i="2"/>
  <c r="L1117" i="2"/>
  <c r="H1117" i="2"/>
  <c r="G1117" i="2"/>
  <c r="N1116" i="2"/>
  <c r="M1116" i="2"/>
  <c r="L1116" i="2"/>
  <c r="H1116" i="2"/>
  <c r="G1116" i="2"/>
  <c r="N1115" i="2"/>
  <c r="M1115" i="2"/>
  <c r="L1115" i="2"/>
  <c r="H1115" i="2"/>
  <c r="G1115" i="2"/>
  <c r="N1114" i="2"/>
  <c r="M1114" i="2"/>
  <c r="L1114" i="2"/>
  <c r="H1114" i="2"/>
  <c r="G1114" i="2"/>
  <c r="N1113" i="2"/>
  <c r="M1113" i="2"/>
  <c r="L1113" i="2"/>
  <c r="H1113" i="2"/>
  <c r="G1113" i="2"/>
  <c r="N1112" i="2"/>
  <c r="M1112" i="2"/>
  <c r="L1112" i="2"/>
  <c r="H1112" i="2"/>
  <c r="G1112" i="2"/>
  <c r="N1111" i="2"/>
  <c r="M1111" i="2"/>
  <c r="L1111" i="2"/>
  <c r="H1111" i="2"/>
  <c r="G1111" i="2"/>
  <c r="N1110" i="2"/>
  <c r="M1110" i="2"/>
  <c r="L1110" i="2"/>
  <c r="H1110" i="2"/>
  <c r="G1110" i="2"/>
  <c r="N1109" i="2"/>
  <c r="M1109" i="2"/>
  <c r="L1109" i="2"/>
  <c r="H1109" i="2"/>
  <c r="G1109" i="2"/>
  <c r="N1108" i="2"/>
  <c r="M1108" i="2"/>
  <c r="L1108" i="2"/>
  <c r="H1108" i="2"/>
  <c r="G1108" i="2"/>
  <c r="N1107" i="2"/>
  <c r="M1107" i="2"/>
  <c r="L1107" i="2"/>
  <c r="H1107" i="2"/>
  <c r="G1107" i="2"/>
  <c r="N1106" i="2"/>
  <c r="M1106" i="2"/>
  <c r="L1106" i="2"/>
  <c r="H1106" i="2"/>
  <c r="G1106" i="2"/>
  <c r="N1105" i="2"/>
  <c r="M1105" i="2"/>
  <c r="L1105" i="2"/>
  <c r="H1105" i="2"/>
  <c r="G1105" i="2"/>
  <c r="N1104" i="2"/>
  <c r="M1104" i="2"/>
  <c r="L1104" i="2"/>
  <c r="H1104" i="2"/>
  <c r="G1104" i="2"/>
  <c r="N1103" i="2"/>
  <c r="M1103" i="2"/>
  <c r="L1103" i="2"/>
  <c r="H1103" i="2"/>
  <c r="G1103" i="2"/>
  <c r="N1102" i="2"/>
  <c r="M1102" i="2"/>
  <c r="L1102" i="2"/>
  <c r="H1102" i="2"/>
  <c r="G1102" i="2"/>
  <c r="N1101" i="2"/>
  <c r="M1101" i="2"/>
  <c r="L1101" i="2"/>
  <c r="H1101" i="2"/>
  <c r="G1101" i="2"/>
  <c r="N1100" i="2"/>
  <c r="M1100" i="2"/>
  <c r="L1100" i="2"/>
  <c r="H1100" i="2"/>
  <c r="G1100" i="2"/>
  <c r="N1099" i="2"/>
  <c r="M1099" i="2"/>
  <c r="L1099" i="2"/>
  <c r="H1099" i="2"/>
  <c r="G1099" i="2"/>
  <c r="N1098" i="2"/>
  <c r="M1098" i="2"/>
  <c r="L1098" i="2"/>
  <c r="H1098" i="2"/>
  <c r="G1098" i="2"/>
  <c r="N1097" i="2"/>
  <c r="M1097" i="2"/>
  <c r="L1097" i="2"/>
  <c r="H1097" i="2"/>
  <c r="G1097" i="2"/>
  <c r="N1096" i="2"/>
  <c r="M1096" i="2"/>
  <c r="L1096" i="2"/>
  <c r="H1096" i="2"/>
  <c r="G1096" i="2"/>
  <c r="N1095" i="2"/>
  <c r="M1095" i="2"/>
  <c r="L1095" i="2"/>
  <c r="H1095" i="2"/>
  <c r="G1095" i="2"/>
  <c r="N1094" i="2"/>
  <c r="M1094" i="2"/>
  <c r="L1094" i="2"/>
  <c r="H1094" i="2"/>
  <c r="G1094" i="2"/>
  <c r="N1093" i="2"/>
  <c r="M1093" i="2"/>
  <c r="L1093" i="2"/>
  <c r="H1093" i="2"/>
  <c r="G1093" i="2"/>
  <c r="N1092" i="2"/>
  <c r="M1092" i="2"/>
  <c r="L1092" i="2"/>
  <c r="H1092" i="2"/>
  <c r="G1092" i="2"/>
  <c r="N1091" i="2"/>
  <c r="M1091" i="2"/>
  <c r="L1091" i="2"/>
  <c r="H1091" i="2"/>
  <c r="G1091" i="2"/>
  <c r="N1090" i="2"/>
  <c r="M1090" i="2"/>
  <c r="L1090" i="2"/>
  <c r="H1090" i="2"/>
  <c r="G1090" i="2"/>
  <c r="N1089" i="2"/>
  <c r="M1089" i="2"/>
  <c r="L1089" i="2"/>
  <c r="H1089" i="2"/>
  <c r="G1089" i="2"/>
  <c r="N1088" i="2"/>
  <c r="M1088" i="2"/>
  <c r="L1088" i="2"/>
  <c r="H1088" i="2"/>
  <c r="G1088" i="2"/>
  <c r="N1087" i="2"/>
  <c r="M1087" i="2"/>
  <c r="L1087" i="2"/>
  <c r="H1087" i="2"/>
  <c r="G1087" i="2"/>
  <c r="N1086" i="2"/>
  <c r="M1086" i="2"/>
  <c r="L1086" i="2"/>
  <c r="H1086" i="2"/>
  <c r="G1086" i="2"/>
  <c r="N1085" i="2"/>
  <c r="M1085" i="2"/>
  <c r="L1085" i="2"/>
  <c r="H1085" i="2"/>
  <c r="G1085" i="2"/>
  <c r="N1084" i="2"/>
  <c r="M1084" i="2"/>
  <c r="L1084" i="2"/>
  <c r="H1084" i="2"/>
  <c r="G1084" i="2"/>
  <c r="N1083" i="2"/>
  <c r="M1083" i="2"/>
  <c r="L1083" i="2"/>
  <c r="H1083" i="2"/>
  <c r="G1083" i="2"/>
  <c r="N1082" i="2"/>
  <c r="M1082" i="2"/>
  <c r="L1082" i="2"/>
  <c r="H1082" i="2"/>
  <c r="G1082" i="2"/>
  <c r="N1081" i="2"/>
  <c r="M1081" i="2"/>
  <c r="L1081" i="2"/>
  <c r="H1081" i="2"/>
  <c r="G1081" i="2"/>
  <c r="N1080" i="2"/>
  <c r="M1080" i="2"/>
  <c r="L1080" i="2"/>
  <c r="H1080" i="2"/>
  <c r="G1080" i="2"/>
  <c r="N1079" i="2"/>
  <c r="M1079" i="2"/>
  <c r="L1079" i="2"/>
  <c r="H1079" i="2"/>
  <c r="G1079" i="2"/>
  <c r="N1078" i="2"/>
  <c r="M1078" i="2"/>
  <c r="L1078" i="2"/>
  <c r="H1078" i="2"/>
  <c r="G1078" i="2"/>
  <c r="N1077" i="2"/>
  <c r="M1077" i="2"/>
  <c r="L1077" i="2"/>
  <c r="H1077" i="2"/>
  <c r="G1077" i="2"/>
  <c r="N1076" i="2"/>
  <c r="M1076" i="2"/>
  <c r="L1076" i="2"/>
  <c r="H1076" i="2"/>
  <c r="G1076" i="2"/>
  <c r="N1075" i="2"/>
  <c r="M1075" i="2"/>
  <c r="L1075" i="2"/>
  <c r="H1075" i="2"/>
  <c r="G1075" i="2"/>
  <c r="N1074" i="2"/>
  <c r="M1074" i="2"/>
  <c r="L1074" i="2"/>
  <c r="H1074" i="2"/>
  <c r="G1074" i="2"/>
  <c r="N1073" i="2"/>
  <c r="M1073" i="2"/>
  <c r="L1073" i="2"/>
  <c r="H1073" i="2"/>
  <c r="G1073" i="2"/>
  <c r="N1072" i="2"/>
  <c r="M1072" i="2"/>
  <c r="L1072" i="2"/>
  <c r="H1072" i="2"/>
  <c r="G1072" i="2"/>
  <c r="N1071" i="2"/>
  <c r="M1071" i="2"/>
  <c r="L1071" i="2"/>
  <c r="H1071" i="2"/>
  <c r="G1071" i="2"/>
  <c r="N1070" i="2"/>
  <c r="M1070" i="2"/>
  <c r="L1070" i="2"/>
  <c r="H1070" i="2"/>
  <c r="G1070" i="2"/>
  <c r="N1069" i="2"/>
  <c r="M1069" i="2"/>
  <c r="L1069" i="2"/>
  <c r="H1069" i="2"/>
  <c r="G1069" i="2"/>
  <c r="N1068" i="2"/>
  <c r="M1068" i="2"/>
  <c r="L1068" i="2"/>
  <c r="H1068" i="2"/>
  <c r="G1068" i="2"/>
  <c r="N1067" i="2"/>
  <c r="M1067" i="2"/>
  <c r="L1067" i="2"/>
  <c r="H1067" i="2"/>
  <c r="G1067" i="2"/>
  <c r="N1066" i="2"/>
  <c r="M1066" i="2"/>
  <c r="L1066" i="2"/>
  <c r="H1066" i="2"/>
  <c r="G1066" i="2"/>
  <c r="N1065" i="2"/>
  <c r="M1065" i="2"/>
  <c r="L1065" i="2"/>
  <c r="H1065" i="2"/>
  <c r="G1065" i="2"/>
  <c r="N1064" i="2"/>
  <c r="M1064" i="2"/>
  <c r="L1064" i="2"/>
  <c r="H1064" i="2"/>
  <c r="G1064" i="2"/>
  <c r="N1063" i="2"/>
  <c r="M1063" i="2"/>
  <c r="L1063" i="2"/>
  <c r="H1063" i="2"/>
  <c r="G1063" i="2"/>
  <c r="N1062" i="2"/>
  <c r="M1062" i="2"/>
  <c r="L1062" i="2"/>
  <c r="H1062" i="2"/>
  <c r="G1062" i="2"/>
  <c r="N1061" i="2"/>
  <c r="M1061" i="2"/>
  <c r="L1061" i="2"/>
  <c r="H1061" i="2"/>
  <c r="G1061" i="2"/>
  <c r="N1060" i="2"/>
  <c r="M1060" i="2"/>
  <c r="L1060" i="2"/>
  <c r="H1060" i="2"/>
  <c r="G1060" i="2"/>
  <c r="N1059" i="2"/>
  <c r="M1059" i="2"/>
  <c r="L1059" i="2"/>
  <c r="H1059" i="2"/>
  <c r="G1059" i="2"/>
  <c r="N1058" i="2"/>
  <c r="M1058" i="2"/>
  <c r="L1058" i="2"/>
  <c r="H1058" i="2"/>
  <c r="G1058" i="2"/>
  <c r="N1057" i="2"/>
  <c r="M1057" i="2"/>
  <c r="L1057" i="2"/>
  <c r="H1057" i="2"/>
  <c r="G1057" i="2"/>
  <c r="N1056" i="2"/>
  <c r="M1056" i="2"/>
  <c r="L1056" i="2"/>
  <c r="H1056" i="2"/>
  <c r="G1056" i="2"/>
  <c r="N1055" i="2"/>
  <c r="M1055" i="2"/>
  <c r="L1055" i="2"/>
  <c r="H1055" i="2"/>
  <c r="G1055" i="2"/>
  <c r="N1054" i="2"/>
  <c r="M1054" i="2"/>
  <c r="L1054" i="2"/>
  <c r="H1054" i="2"/>
  <c r="G1054" i="2"/>
  <c r="N1053" i="2"/>
  <c r="M1053" i="2"/>
  <c r="L1053" i="2"/>
  <c r="H1053" i="2"/>
  <c r="G1053" i="2"/>
  <c r="N1052" i="2"/>
  <c r="M1052" i="2"/>
  <c r="L1052" i="2"/>
  <c r="H1052" i="2"/>
  <c r="G1052" i="2"/>
  <c r="N1051" i="2"/>
  <c r="M1051" i="2"/>
  <c r="L1051" i="2"/>
  <c r="H1051" i="2"/>
  <c r="G1051" i="2"/>
  <c r="N1050" i="2"/>
  <c r="M1050" i="2"/>
  <c r="L1050" i="2"/>
  <c r="H1050" i="2"/>
  <c r="G1050" i="2"/>
  <c r="N1049" i="2"/>
  <c r="M1049" i="2"/>
  <c r="L1049" i="2"/>
  <c r="H1049" i="2"/>
  <c r="G1049" i="2"/>
  <c r="N1048" i="2"/>
  <c r="M1048" i="2"/>
  <c r="L1048" i="2"/>
  <c r="H1048" i="2"/>
  <c r="G1048" i="2"/>
  <c r="N1047" i="2"/>
  <c r="M1047" i="2"/>
  <c r="L1047" i="2"/>
  <c r="H1047" i="2"/>
  <c r="G1047" i="2"/>
  <c r="N1046" i="2"/>
  <c r="M1046" i="2"/>
  <c r="L1046" i="2"/>
  <c r="H1046" i="2"/>
  <c r="G1046" i="2"/>
  <c r="N1045" i="2"/>
  <c r="M1045" i="2"/>
  <c r="L1045" i="2"/>
  <c r="H1045" i="2"/>
  <c r="G1045" i="2"/>
  <c r="N1044" i="2"/>
  <c r="M1044" i="2"/>
  <c r="L1044" i="2"/>
  <c r="H1044" i="2"/>
  <c r="G1044" i="2"/>
  <c r="N1043" i="2"/>
  <c r="M1043" i="2"/>
  <c r="L1043" i="2"/>
  <c r="H1043" i="2"/>
  <c r="G1043" i="2"/>
  <c r="N1042" i="2"/>
  <c r="M1042" i="2"/>
  <c r="L1042" i="2"/>
  <c r="H1042" i="2"/>
  <c r="G1042" i="2"/>
  <c r="N1041" i="2"/>
  <c r="M1041" i="2"/>
  <c r="L1041" i="2"/>
  <c r="H1041" i="2"/>
  <c r="G1041" i="2"/>
  <c r="N1040" i="2"/>
  <c r="M1040" i="2"/>
  <c r="L1040" i="2"/>
  <c r="H1040" i="2"/>
  <c r="G1040" i="2"/>
  <c r="N1039" i="2"/>
  <c r="M1039" i="2"/>
  <c r="L1039" i="2"/>
  <c r="H1039" i="2"/>
  <c r="G1039" i="2"/>
  <c r="N1038" i="2"/>
  <c r="M1038" i="2"/>
  <c r="L1038" i="2"/>
  <c r="H1038" i="2"/>
  <c r="G1038" i="2"/>
  <c r="N1037" i="2"/>
  <c r="M1037" i="2"/>
  <c r="L1037" i="2"/>
  <c r="H1037" i="2"/>
  <c r="G1037" i="2"/>
  <c r="N1036" i="2"/>
  <c r="M1036" i="2"/>
  <c r="L1036" i="2"/>
  <c r="H1036" i="2"/>
  <c r="G1036" i="2"/>
  <c r="N1035" i="2"/>
  <c r="M1035" i="2"/>
  <c r="L1035" i="2"/>
  <c r="H1035" i="2"/>
  <c r="G1035" i="2"/>
  <c r="N1034" i="2"/>
  <c r="M1034" i="2"/>
  <c r="L1034" i="2"/>
  <c r="H1034" i="2"/>
  <c r="G1034" i="2"/>
  <c r="N1033" i="2"/>
  <c r="M1033" i="2"/>
  <c r="L1033" i="2"/>
  <c r="H1033" i="2"/>
  <c r="G1033" i="2"/>
  <c r="N1032" i="2"/>
  <c r="M1032" i="2"/>
  <c r="L1032" i="2"/>
  <c r="H1032" i="2"/>
  <c r="G1032" i="2"/>
  <c r="N1031" i="2"/>
  <c r="M1031" i="2"/>
  <c r="L1031" i="2"/>
  <c r="H1031" i="2"/>
  <c r="G1031" i="2"/>
  <c r="N1030" i="2"/>
  <c r="M1030" i="2"/>
  <c r="L1030" i="2"/>
  <c r="H1030" i="2"/>
  <c r="G1030" i="2"/>
  <c r="N1029" i="2"/>
  <c r="M1029" i="2"/>
  <c r="L1029" i="2"/>
  <c r="H1029" i="2"/>
  <c r="G1029" i="2"/>
  <c r="N1028" i="2"/>
  <c r="M1028" i="2"/>
  <c r="L1028" i="2"/>
  <c r="H1028" i="2"/>
  <c r="G1028" i="2"/>
  <c r="N1027" i="2"/>
  <c r="M1027" i="2"/>
  <c r="L1027" i="2"/>
  <c r="H1027" i="2"/>
  <c r="G1027" i="2"/>
  <c r="N1026" i="2"/>
  <c r="M1026" i="2"/>
  <c r="L1026" i="2"/>
  <c r="H1026" i="2"/>
  <c r="G1026" i="2"/>
  <c r="N1025" i="2"/>
  <c r="M1025" i="2"/>
  <c r="L1025" i="2"/>
  <c r="H1025" i="2"/>
  <c r="G1025" i="2"/>
  <c r="N1024" i="2"/>
  <c r="M1024" i="2"/>
  <c r="L1024" i="2"/>
  <c r="H1024" i="2"/>
  <c r="G1024" i="2"/>
  <c r="N1023" i="2"/>
  <c r="M1023" i="2"/>
  <c r="L1023" i="2"/>
  <c r="H1023" i="2"/>
  <c r="G1023" i="2"/>
  <c r="N1022" i="2"/>
  <c r="M1022" i="2"/>
  <c r="L1022" i="2"/>
  <c r="H1022" i="2"/>
  <c r="G1022" i="2"/>
  <c r="N1021" i="2"/>
  <c r="M1021" i="2"/>
  <c r="L1021" i="2"/>
  <c r="H1021" i="2"/>
  <c r="G1021" i="2"/>
  <c r="N1020" i="2"/>
  <c r="M1020" i="2"/>
  <c r="L1020" i="2"/>
  <c r="H1020" i="2"/>
  <c r="G1020" i="2"/>
  <c r="N1019" i="2"/>
  <c r="M1019" i="2"/>
  <c r="L1019" i="2"/>
  <c r="H1019" i="2"/>
  <c r="G1019" i="2"/>
  <c r="N1018" i="2"/>
  <c r="M1018" i="2"/>
  <c r="L1018" i="2"/>
  <c r="H1018" i="2"/>
  <c r="G1018" i="2"/>
  <c r="N1017" i="2"/>
  <c r="M1017" i="2"/>
  <c r="L1017" i="2"/>
  <c r="H1017" i="2"/>
  <c r="G1017" i="2"/>
  <c r="N1016" i="2"/>
  <c r="M1016" i="2"/>
  <c r="L1016" i="2"/>
  <c r="H1016" i="2"/>
  <c r="G1016" i="2"/>
  <c r="N1015" i="2"/>
  <c r="M1015" i="2"/>
  <c r="L1015" i="2"/>
  <c r="H1015" i="2"/>
  <c r="G1015" i="2"/>
  <c r="N1014" i="2"/>
  <c r="M1014" i="2"/>
  <c r="L1014" i="2"/>
  <c r="H1014" i="2"/>
  <c r="G1014" i="2"/>
  <c r="N1013" i="2"/>
  <c r="M1013" i="2"/>
  <c r="L1013" i="2"/>
  <c r="H1013" i="2"/>
  <c r="G1013" i="2"/>
  <c r="N1012" i="2"/>
  <c r="M1012" i="2"/>
  <c r="L1012" i="2"/>
  <c r="H1012" i="2"/>
  <c r="G1012" i="2"/>
  <c r="N1011" i="2"/>
  <c r="M1011" i="2"/>
  <c r="L1011" i="2"/>
  <c r="H1011" i="2"/>
  <c r="G1011" i="2"/>
  <c r="N1010" i="2"/>
  <c r="M1010" i="2"/>
  <c r="L1010" i="2"/>
  <c r="H1010" i="2"/>
  <c r="G1010" i="2"/>
  <c r="N1009" i="2"/>
  <c r="M1009" i="2"/>
  <c r="L1009" i="2"/>
  <c r="H1009" i="2"/>
  <c r="G1009" i="2"/>
  <c r="N1008" i="2"/>
  <c r="M1008" i="2"/>
  <c r="L1008" i="2"/>
  <c r="H1008" i="2"/>
  <c r="G1008" i="2"/>
  <c r="N1007" i="2"/>
  <c r="M1007" i="2"/>
  <c r="L1007" i="2"/>
  <c r="H1007" i="2"/>
  <c r="G1007" i="2"/>
  <c r="N1006" i="2"/>
  <c r="M1006" i="2"/>
  <c r="L1006" i="2"/>
  <c r="H1006" i="2"/>
  <c r="G1006" i="2"/>
  <c r="N1005" i="2"/>
  <c r="M1005" i="2"/>
  <c r="L1005" i="2"/>
  <c r="H1005" i="2"/>
  <c r="G1005" i="2"/>
  <c r="N1004" i="2"/>
  <c r="M1004" i="2"/>
  <c r="L1004" i="2"/>
  <c r="H1004" i="2"/>
  <c r="G1004" i="2"/>
  <c r="N1003" i="2"/>
  <c r="M1003" i="2"/>
  <c r="L1003" i="2"/>
  <c r="H1003" i="2"/>
  <c r="G1003" i="2"/>
  <c r="N1002" i="2"/>
  <c r="M1002" i="2"/>
  <c r="L1002" i="2"/>
  <c r="H1002" i="2"/>
  <c r="G1002" i="2"/>
  <c r="N1001" i="2"/>
  <c r="M1001" i="2"/>
  <c r="L1001" i="2"/>
  <c r="H1001" i="2"/>
  <c r="G1001" i="2"/>
  <c r="N1000" i="2"/>
  <c r="M1000" i="2"/>
  <c r="L1000" i="2"/>
  <c r="H1000" i="2"/>
  <c r="G1000" i="2"/>
  <c r="N999" i="2"/>
  <c r="M999" i="2"/>
  <c r="L999" i="2"/>
  <c r="H999" i="2"/>
  <c r="G999" i="2"/>
  <c r="N998" i="2"/>
  <c r="M998" i="2"/>
  <c r="L998" i="2"/>
  <c r="H998" i="2"/>
  <c r="G998" i="2"/>
  <c r="N997" i="2"/>
  <c r="M997" i="2"/>
  <c r="L997" i="2"/>
  <c r="H997" i="2"/>
  <c r="G997" i="2"/>
  <c r="N996" i="2"/>
  <c r="M996" i="2"/>
  <c r="L996" i="2"/>
  <c r="H996" i="2"/>
  <c r="G996" i="2"/>
  <c r="N995" i="2"/>
  <c r="M995" i="2"/>
  <c r="L995" i="2"/>
  <c r="H995" i="2"/>
  <c r="G995" i="2"/>
  <c r="N994" i="2"/>
  <c r="M994" i="2"/>
  <c r="L994" i="2"/>
  <c r="H994" i="2"/>
  <c r="G994" i="2"/>
  <c r="N993" i="2"/>
  <c r="M993" i="2"/>
  <c r="L993" i="2"/>
  <c r="H993" i="2"/>
  <c r="G993" i="2"/>
  <c r="N992" i="2"/>
  <c r="M992" i="2"/>
  <c r="L992" i="2"/>
  <c r="H992" i="2"/>
  <c r="G992" i="2"/>
  <c r="N991" i="2"/>
  <c r="M991" i="2"/>
  <c r="L991" i="2"/>
  <c r="H991" i="2"/>
  <c r="G991" i="2"/>
  <c r="N990" i="2"/>
  <c r="M990" i="2"/>
  <c r="L990" i="2"/>
  <c r="H990" i="2"/>
  <c r="G990" i="2"/>
  <c r="N989" i="2"/>
  <c r="M989" i="2"/>
  <c r="L989" i="2"/>
  <c r="H989" i="2"/>
  <c r="G989" i="2"/>
  <c r="N988" i="2"/>
  <c r="M988" i="2"/>
  <c r="L988" i="2"/>
  <c r="H988" i="2"/>
  <c r="G988" i="2"/>
  <c r="N987" i="2"/>
  <c r="M987" i="2"/>
  <c r="L987" i="2"/>
  <c r="H987" i="2"/>
  <c r="G987" i="2"/>
  <c r="N986" i="2"/>
  <c r="M986" i="2"/>
  <c r="L986" i="2"/>
  <c r="H986" i="2"/>
  <c r="G986" i="2"/>
  <c r="N985" i="2"/>
  <c r="M985" i="2"/>
  <c r="L985" i="2"/>
  <c r="H985" i="2"/>
  <c r="G985" i="2"/>
  <c r="N984" i="2"/>
  <c r="M984" i="2"/>
  <c r="L984" i="2"/>
  <c r="H984" i="2"/>
  <c r="G984" i="2"/>
  <c r="N983" i="2"/>
  <c r="M983" i="2"/>
  <c r="L983" i="2"/>
  <c r="H983" i="2"/>
  <c r="G983" i="2"/>
  <c r="N982" i="2"/>
  <c r="M982" i="2"/>
  <c r="L982" i="2"/>
  <c r="H982" i="2"/>
  <c r="G982" i="2"/>
  <c r="N981" i="2"/>
  <c r="M981" i="2"/>
  <c r="L981" i="2"/>
  <c r="H981" i="2"/>
  <c r="G981" i="2"/>
  <c r="N980" i="2"/>
  <c r="M980" i="2"/>
  <c r="L980" i="2"/>
  <c r="H980" i="2"/>
  <c r="G980" i="2"/>
  <c r="N979" i="2"/>
  <c r="M979" i="2"/>
  <c r="L979" i="2"/>
  <c r="H979" i="2"/>
  <c r="G979" i="2"/>
  <c r="N978" i="2"/>
  <c r="M978" i="2"/>
  <c r="L978" i="2"/>
  <c r="H978" i="2"/>
  <c r="G978" i="2"/>
  <c r="N977" i="2"/>
  <c r="M977" i="2"/>
  <c r="L977" i="2"/>
  <c r="H977" i="2"/>
  <c r="G977" i="2"/>
  <c r="N976" i="2"/>
  <c r="M976" i="2"/>
  <c r="L976" i="2"/>
  <c r="H976" i="2"/>
  <c r="G976" i="2"/>
  <c r="N975" i="2"/>
  <c r="M975" i="2"/>
  <c r="L975" i="2"/>
  <c r="H975" i="2"/>
  <c r="G975" i="2"/>
  <c r="N974" i="2"/>
  <c r="M974" i="2"/>
  <c r="L974" i="2"/>
  <c r="H974" i="2"/>
  <c r="G974" i="2"/>
  <c r="N973" i="2"/>
  <c r="M973" i="2"/>
  <c r="L973" i="2"/>
  <c r="H973" i="2"/>
  <c r="G973" i="2"/>
  <c r="N972" i="2"/>
  <c r="M972" i="2"/>
  <c r="L972" i="2"/>
  <c r="H972" i="2"/>
  <c r="G972" i="2"/>
  <c r="N971" i="2"/>
  <c r="M971" i="2"/>
  <c r="L971" i="2"/>
  <c r="H971" i="2"/>
  <c r="G971" i="2"/>
  <c r="N970" i="2"/>
  <c r="M970" i="2"/>
  <c r="L970" i="2"/>
  <c r="H970" i="2"/>
  <c r="G970" i="2"/>
  <c r="N969" i="2"/>
  <c r="M969" i="2"/>
  <c r="L969" i="2"/>
  <c r="H969" i="2"/>
  <c r="G969" i="2"/>
  <c r="N968" i="2"/>
  <c r="M968" i="2"/>
  <c r="L968" i="2"/>
  <c r="H968" i="2"/>
  <c r="G968" i="2"/>
  <c r="N967" i="2"/>
  <c r="M967" i="2"/>
  <c r="L967" i="2"/>
  <c r="H967" i="2"/>
  <c r="G967" i="2"/>
  <c r="N966" i="2"/>
  <c r="M966" i="2"/>
  <c r="L966" i="2"/>
  <c r="H966" i="2"/>
  <c r="G966" i="2"/>
  <c r="N965" i="2"/>
  <c r="M965" i="2"/>
  <c r="L965" i="2"/>
  <c r="H965" i="2"/>
  <c r="G965" i="2"/>
  <c r="N964" i="2"/>
  <c r="M964" i="2"/>
  <c r="L964" i="2"/>
  <c r="H964" i="2"/>
  <c r="G964" i="2"/>
  <c r="N963" i="2"/>
  <c r="M963" i="2"/>
  <c r="L963" i="2"/>
  <c r="H963" i="2"/>
  <c r="G963" i="2"/>
  <c r="N962" i="2"/>
  <c r="M962" i="2"/>
  <c r="L962" i="2"/>
  <c r="H962" i="2"/>
  <c r="G962" i="2"/>
  <c r="N961" i="2"/>
  <c r="M961" i="2"/>
  <c r="L961" i="2"/>
  <c r="H961" i="2"/>
  <c r="G961" i="2"/>
  <c r="N960" i="2"/>
  <c r="M960" i="2"/>
  <c r="L960" i="2"/>
  <c r="H960" i="2"/>
  <c r="G960" i="2"/>
  <c r="N959" i="2"/>
  <c r="M959" i="2"/>
  <c r="L959" i="2"/>
  <c r="H959" i="2"/>
  <c r="G959" i="2"/>
  <c r="N958" i="2"/>
  <c r="M958" i="2"/>
  <c r="L958" i="2"/>
  <c r="H958" i="2"/>
  <c r="G958" i="2"/>
  <c r="N957" i="2"/>
  <c r="M957" i="2"/>
  <c r="L957" i="2"/>
  <c r="H957" i="2"/>
  <c r="G957" i="2"/>
  <c r="N956" i="2"/>
  <c r="M956" i="2"/>
  <c r="L956" i="2"/>
  <c r="H956" i="2"/>
  <c r="G956" i="2"/>
  <c r="N955" i="2"/>
  <c r="M955" i="2"/>
  <c r="L955" i="2"/>
  <c r="H955" i="2"/>
  <c r="G955" i="2"/>
  <c r="N954" i="2"/>
  <c r="M954" i="2"/>
  <c r="L954" i="2"/>
  <c r="H954" i="2"/>
  <c r="G954" i="2"/>
  <c r="N953" i="2"/>
  <c r="M953" i="2"/>
  <c r="L953" i="2"/>
  <c r="H953" i="2"/>
  <c r="G953" i="2"/>
  <c r="N952" i="2"/>
  <c r="M952" i="2"/>
  <c r="L952" i="2"/>
  <c r="H952" i="2"/>
  <c r="G952" i="2"/>
  <c r="N951" i="2"/>
  <c r="M951" i="2"/>
  <c r="L951" i="2"/>
  <c r="H951" i="2"/>
  <c r="G951" i="2"/>
  <c r="N950" i="2"/>
  <c r="M950" i="2"/>
  <c r="L950" i="2"/>
  <c r="H950" i="2"/>
  <c r="G950" i="2"/>
  <c r="N949" i="2"/>
  <c r="M949" i="2"/>
  <c r="L949" i="2"/>
  <c r="H949" i="2"/>
  <c r="G949" i="2"/>
  <c r="N948" i="2"/>
  <c r="M948" i="2"/>
  <c r="L948" i="2"/>
  <c r="H948" i="2"/>
  <c r="G948" i="2"/>
  <c r="N947" i="2"/>
  <c r="M947" i="2"/>
  <c r="L947" i="2"/>
  <c r="H947" i="2"/>
  <c r="G947" i="2"/>
  <c r="N946" i="2"/>
  <c r="M946" i="2"/>
  <c r="L946" i="2"/>
  <c r="H946" i="2"/>
  <c r="G946" i="2"/>
  <c r="N945" i="2"/>
  <c r="M945" i="2"/>
  <c r="L945" i="2"/>
  <c r="H945" i="2"/>
  <c r="G945" i="2"/>
  <c r="N944" i="2"/>
  <c r="M944" i="2"/>
  <c r="L944" i="2"/>
  <c r="H944" i="2"/>
  <c r="G944" i="2"/>
  <c r="N943" i="2"/>
  <c r="M943" i="2"/>
  <c r="L943" i="2"/>
  <c r="H943" i="2"/>
  <c r="G943" i="2"/>
  <c r="N942" i="2"/>
  <c r="M942" i="2"/>
  <c r="L942" i="2"/>
  <c r="H942" i="2"/>
  <c r="G942" i="2"/>
  <c r="N941" i="2"/>
  <c r="M941" i="2"/>
  <c r="L941" i="2"/>
  <c r="H941" i="2"/>
  <c r="G941" i="2"/>
  <c r="N940" i="2"/>
  <c r="M940" i="2"/>
  <c r="L940" i="2"/>
  <c r="H940" i="2"/>
  <c r="G940" i="2"/>
  <c r="N939" i="2"/>
  <c r="M939" i="2"/>
  <c r="L939" i="2"/>
  <c r="H939" i="2"/>
  <c r="G939" i="2"/>
  <c r="N938" i="2"/>
  <c r="M938" i="2"/>
  <c r="L938" i="2"/>
  <c r="H938" i="2"/>
  <c r="G938" i="2"/>
  <c r="N937" i="2"/>
  <c r="M937" i="2"/>
  <c r="L937" i="2"/>
  <c r="H937" i="2"/>
  <c r="G937" i="2"/>
  <c r="N936" i="2"/>
  <c r="M936" i="2"/>
  <c r="L936" i="2"/>
  <c r="H936" i="2"/>
  <c r="G936" i="2"/>
  <c r="N935" i="2"/>
  <c r="M935" i="2"/>
  <c r="L935" i="2"/>
  <c r="H935" i="2"/>
  <c r="G935" i="2"/>
  <c r="N934" i="2"/>
  <c r="M934" i="2"/>
  <c r="L934" i="2"/>
  <c r="H934" i="2"/>
  <c r="G934" i="2"/>
  <c r="N933" i="2"/>
  <c r="M933" i="2"/>
  <c r="L933" i="2"/>
  <c r="H933" i="2"/>
  <c r="G933" i="2"/>
  <c r="N932" i="2"/>
  <c r="M932" i="2"/>
  <c r="L932" i="2"/>
  <c r="H932" i="2"/>
  <c r="G932" i="2"/>
  <c r="N931" i="2"/>
  <c r="M931" i="2"/>
  <c r="L931" i="2"/>
  <c r="H931" i="2"/>
  <c r="G931" i="2"/>
  <c r="N930" i="2"/>
  <c r="M930" i="2"/>
  <c r="L930" i="2"/>
  <c r="H930" i="2"/>
  <c r="G930" i="2"/>
  <c r="N929" i="2"/>
  <c r="M929" i="2"/>
  <c r="L929" i="2"/>
  <c r="H929" i="2"/>
  <c r="G929" i="2"/>
  <c r="N928" i="2"/>
  <c r="M928" i="2"/>
  <c r="L928" i="2"/>
  <c r="H928" i="2"/>
  <c r="G928" i="2"/>
  <c r="N927" i="2"/>
  <c r="M927" i="2"/>
  <c r="L927" i="2"/>
  <c r="H927" i="2"/>
  <c r="G927" i="2"/>
  <c r="N926" i="2"/>
  <c r="M926" i="2"/>
  <c r="L926" i="2"/>
  <c r="H926" i="2"/>
  <c r="G926" i="2"/>
  <c r="N925" i="2"/>
  <c r="M925" i="2"/>
  <c r="L925" i="2"/>
  <c r="H925" i="2"/>
  <c r="G925" i="2"/>
  <c r="N924" i="2"/>
  <c r="M924" i="2"/>
  <c r="L924" i="2"/>
  <c r="H924" i="2"/>
  <c r="G924" i="2"/>
  <c r="N923" i="2"/>
  <c r="M923" i="2"/>
  <c r="L923" i="2"/>
  <c r="H923" i="2"/>
  <c r="G923" i="2"/>
  <c r="N922" i="2"/>
  <c r="M922" i="2"/>
  <c r="L922" i="2"/>
  <c r="H922" i="2"/>
  <c r="G922" i="2"/>
  <c r="N921" i="2"/>
  <c r="M921" i="2"/>
  <c r="L921" i="2"/>
  <c r="H921" i="2"/>
  <c r="G921" i="2"/>
  <c r="N920" i="2"/>
  <c r="M920" i="2"/>
  <c r="L920" i="2"/>
  <c r="H920" i="2"/>
  <c r="G920" i="2"/>
  <c r="N919" i="2"/>
  <c r="M919" i="2"/>
  <c r="L919" i="2"/>
  <c r="H919" i="2"/>
  <c r="G919" i="2"/>
  <c r="N918" i="2"/>
  <c r="M918" i="2"/>
  <c r="L918" i="2"/>
  <c r="H918" i="2"/>
  <c r="G918" i="2"/>
  <c r="N917" i="2"/>
  <c r="M917" i="2"/>
  <c r="L917" i="2"/>
  <c r="H917" i="2"/>
  <c r="G917" i="2"/>
  <c r="N916" i="2"/>
  <c r="M916" i="2"/>
  <c r="L916" i="2"/>
  <c r="H916" i="2"/>
  <c r="G916" i="2"/>
  <c r="N915" i="2"/>
  <c r="M915" i="2"/>
  <c r="L915" i="2"/>
  <c r="H915" i="2"/>
  <c r="G915" i="2"/>
  <c r="N914" i="2"/>
  <c r="M914" i="2"/>
  <c r="L914" i="2"/>
  <c r="H914" i="2"/>
  <c r="G914" i="2"/>
  <c r="N913" i="2"/>
  <c r="M913" i="2"/>
  <c r="L913" i="2"/>
  <c r="H913" i="2"/>
  <c r="G913" i="2"/>
  <c r="N912" i="2"/>
  <c r="M912" i="2"/>
  <c r="L912" i="2"/>
  <c r="H912" i="2"/>
  <c r="G912" i="2"/>
  <c r="N911" i="2"/>
  <c r="M911" i="2"/>
  <c r="L911" i="2"/>
  <c r="H911" i="2"/>
  <c r="G911" i="2"/>
  <c r="N910" i="2"/>
  <c r="M910" i="2"/>
  <c r="L910" i="2"/>
  <c r="H910" i="2"/>
  <c r="G910" i="2"/>
  <c r="N909" i="2"/>
  <c r="M909" i="2"/>
  <c r="L909" i="2"/>
  <c r="H909" i="2"/>
  <c r="G909" i="2"/>
  <c r="N908" i="2"/>
  <c r="M908" i="2"/>
  <c r="L908" i="2"/>
  <c r="H908" i="2"/>
  <c r="G908" i="2"/>
  <c r="N907" i="2"/>
  <c r="M907" i="2"/>
  <c r="L907" i="2"/>
  <c r="H907" i="2"/>
  <c r="G907" i="2"/>
  <c r="N906" i="2"/>
  <c r="M906" i="2"/>
  <c r="L906" i="2"/>
  <c r="H906" i="2"/>
  <c r="G906" i="2"/>
  <c r="N905" i="2"/>
  <c r="M905" i="2"/>
  <c r="L905" i="2"/>
  <c r="H905" i="2"/>
  <c r="G905" i="2"/>
  <c r="N904" i="2"/>
  <c r="M904" i="2"/>
  <c r="L904" i="2"/>
  <c r="H904" i="2"/>
  <c r="G904" i="2"/>
  <c r="N903" i="2"/>
  <c r="M903" i="2"/>
  <c r="L903" i="2"/>
  <c r="H903" i="2"/>
  <c r="G903" i="2"/>
  <c r="N902" i="2"/>
  <c r="M902" i="2"/>
  <c r="L902" i="2"/>
  <c r="H902" i="2"/>
  <c r="G902" i="2"/>
  <c r="N901" i="2"/>
  <c r="M901" i="2"/>
  <c r="L901" i="2"/>
  <c r="H901" i="2"/>
  <c r="G901" i="2"/>
  <c r="N900" i="2"/>
  <c r="M900" i="2"/>
  <c r="L900" i="2"/>
  <c r="H900" i="2"/>
  <c r="G900" i="2"/>
  <c r="N899" i="2"/>
  <c r="M899" i="2"/>
  <c r="L899" i="2"/>
  <c r="H899" i="2"/>
  <c r="G899" i="2"/>
  <c r="N898" i="2"/>
  <c r="M898" i="2"/>
  <c r="L898" i="2"/>
  <c r="H898" i="2"/>
  <c r="G898" i="2"/>
  <c r="N897" i="2"/>
  <c r="M897" i="2"/>
  <c r="L897" i="2"/>
  <c r="H897" i="2"/>
  <c r="G897" i="2"/>
  <c r="N896" i="2"/>
  <c r="M896" i="2"/>
  <c r="L896" i="2"/>
  <c r="H896" i="2"/>
  <c r="G896" i="2"/>
  <c r="N895" i="2"/>
  <c r="M895" i="2"/>
  <c r="L895" i="2"/>
  <c r="H895" i="2"/>
  <c r="G895" i="2"/>
  <c r="N894" i="2"/>
  <c r="M894" i="2"/>
  <c r="L894" i="2"/>
  <c r="H894" i="2"/>
  <c r="G894" i="2"/>
  <c r="N893" i="2"/>
  <c r="M893" i="2"/>
  <c r="L893" i="2"/>
  <c r="H893" i="2"/>
  <c r="G893" i="2"/>
  <c r="N892" i="2"/>
  <c r="M892" i="2"/>
  <c r="L892" i="2"/>
  <c r="H892" i="2"/>
  <c r="G892" i="2"/>
  <c r="N891" i="2"/>
  <c r="M891" i="2"/>
  <c r="L891" i="2"/>
  <c r="H891" i="2"/>
  <c r="G891" i="2"/>
  <c r="N890" i="2"/>
  <c r="M890" i="2"/>
  <c r="L890" i="2"/>
  <c r="H890" i="2"/>
  <c r="G890" i="2"/>
  <c r="N889" i="2"/>
  <c r="M889" i="2"/>
  <c r="L889" i="2"/>
  <c r="H889" i="2"/>
  <c r="G889" i="2"/>
  <c r="N888" i="2"/>
  <c r="M888" i="2"/>
  <c r="L888" i="2"/>
  <c r="H888" i="2"/>
  <c r="G888" i="2"/>
  <c r="N887" i="2"/>
  <c r="M887" i="2"/>
  <c r="L887" i="2"/>
  <c r="H887" i="2"/>
  <c r="G887" i="2"/>
  <c r="N886" i="2"/>
  <c r="M886" i="2"/>
  <c r="L886" i="2"/>
  <c r="H886" i="2"/>
  <c r="G886" i="2"/>
  <c r="N885" i="2"/>
  <c r="M885" i="2"/>
  <c r="L885" i="2"/>
  <c r="H885" i="2"/>
  <c r="G885" i="2"/>
  <c r="N884" i="2"/>
  <c r="M884" i="2"/>
  <c r="L884" i="2"/>
  <c r="H884" i="2"/>
  <c r="G884" i="2"/>
  <c r="N883" i="2"/>
  <c r="M883" i="2"/>
  <c r="L883" i="2"/>
  <c r="H883" i="2"/>
  <c r="G883" i="2"/>
  <c r="N882" i="2"/>
  <c r="M882" i="2"/>
  <c r="L882" i="2"/>
  <c r="H882" i="2"/>
  <c r="G882" i="2"/>
  <c r="N881" i="2"/>
  <c r="M881" i="2"/>
  <c r="L881" i="2"/>
  <c r="H881" i="2"/>
  <c r="G881" i="2"/>
  <c r="N880" i="2"/>
  <c r="M880" i="2"/>
  <c r="L880" i="2"/>
  <c r="H880" i="2"/>
  <c r="G880" i="2"/>
  <c r="N879" i="2"/>
  <c r="M879" i="2"/>
  <c r="L879" i="2"/>
  <c r="H879" i="2"/>
  <c r="G879" i="2"/>
  <c r="N878" i="2"/>
  <c r="M878" i="2"/>
  <c r="L878" i="2"/>
  <c r="H878" i="2"/>
  <c r="G878" i="2"/>
  <c r="N877" i="2"/>
  <c r="M877" i="2"/>
  <c r="L877" i="2"/>
  <c r="H877" i="2"/>
  <c r="G877" i="2"/>
  <c r="N876" i="2"/>
  <c r="M876" i="2"/>
  <c r="L876" i="2"/>
  <c r="H876" i="2"/>
  <c r="G876" i="2"/>
  <c r="N875" i="2"/>
  <c r="M875" i="2"/>
  <c r="L875" i="2"/>
  <c r="H875" i="2"/>
  <c r="G875" i="2"/>
  <c r="N874" i="2"/>
  <c r="M874" i="2"/>
  <c r="L874" i="2"/>
  <c r="H874" i="2"/>
  <c r="G874" i="2"/>
  <c r="N873" i="2"/>
  <c r="M873" i="2"/>
  <c r="L873" i="2"/>
  <c r="H873" i="2"/>
  <c r="G873" i="2"/>
  <c r="N872" i="2"/>
  <c r="M872" i="2"/>
  <c r="L872" i="2"/>
  <c r="H872" i="2"/>
  <c r="G872" i="2"/>
  <c r="N871" i="2"/>
  <c r="M871" i="2"/>
  <c r="L871" i="2"/>
  <c r="H871" i="2"/>
  <c r="G871" i="2"/>
  <c r="N870" i="2"/>
  <c r="M870" i="2"/>
  <c r="L870" i="2"/>
  <c r="H870" i="2"/>
  <c r="G870" i="2"/>
  <c r="N869" i="2"/>
  <c r="M869" i="2"/>
  <c r="L869" i="2"/>
  <c r="H869" i="2"/>
  <c r="G869" i="2"/>
  <c r="N868" i="2"/>
  <c r="M868" i="2"/>
  <c r="L868" i="2"/>
  <c r="H868" i="2"/>
  <c r="G868" i="2"/>
  <c r="N867" i="2"/>
  <c r="M867" i="2"/>
  <c r="L867" i="2"/>
  <c r="H867" i="2"/>
  <c r="G867" i="2"/>
  <c r="N866" i="2"/>
  <c r="M866" i="2"/>
  <c r="L866" i="2"/>
  <c r="H866" i="2"/>
  <c r="G866" i="2"/>
  <c r="N865" i="2"/>
  <c r="M865" i="2"/>
  <c r="L865" i="2"/>
  <c r="H865" i="2"/>
  <c r="G865" i="2"/>
  <c r="N864" i="2"/>
  <c r="M864" i="2"/>
  <c r="L864" i="2"/>
  <c r="H864" i="2"/>
  <c r="G864" i="2"/>
  <c r="N863" i="2"/>
  <c r="M863" i="2"/>
  <c r="L863" i="2"/>
  <c r="H863" i="2"/>
  <c r="G863" i="2"/>
  <c r="N862" i="2"/>
  <c r="M862" i="2"/>
  <c r="L862" i="2"/>
  <c r="H862" i="2"/>
  <c r="G862" i="2"/>
  <c r="N861" i="2"/>
  <c r="M861" i="2"/>
  <c r="L861" i="2"/>
  <c r="H861" i="2"/>
  <c r="G861" i="2"/>
  <c r="N860" i="2"/>
  <c r="M860" i="2"/>
  <c r="L860" i="2"/>
  <c r="H860" i="2"/>
  <c r="G860" i="2"/>
  <c r="N859" i="2"/>
  <c r="M859" i="2"/>
  <c r="L859" i="2"/>
  <c r="H859" i="2"/>
  <c r="G859" i="2"/>
  <c r="N858" i="2"/>
  <c r="M858" i="2"/>
  <c r="L858" i="2"/>
  <c r="H858" i="2"/>
  <c r="G858" i="2"/>
  <c r="N857" i="2"/>
  <c r="M857" i="2"/>
  <c r="L857" i="2"/>
  <c r="H857" i="2"/>
  <c r="G857" i="2"/>
  <c r="N856" i="2"/>
  <c r="M856" i="2"/>
  <c r="L856" i="2"/>
  <c r="H856" i="2"/>
  <c r="G856" i="2"/>
  <c r="N855" i="2"/>
  <c r="M855" i="2"/>
  <c r="L855" i="2"/>
  <c r="H855" i="2"/>
  <c r="G855" i="2"/>
  <c r="N854" i="2"/>
  <c r="M854" i="2"/>
  <c r="L854" i="2"/>
  <c r="H854" i="2"/>
  <c r="G854" i="2"/>
  <c r="N853" i="2"/>
  <c r="M853" i="2"/>
  <c r="L853" i="2"/>
  <c r="H853" i="2"/>
  <c r="G853" i="2"/>
  <c r="N852" i="2"/>
  <c r="M852" i="2"/>
  <c r="L852" i="2"/>
  <c r="H852" i="2"/>
  <c r="G852" i="2"/>
  <c r="N851" i="2"/>
  <c r="M851" i="2"/>
  <c r="L851" i="2"/>
  <c r="H851" i="2"/>
  <c r="G851" i="2"/>
  <c r="N850" i="2"/>
  <c r="M850" i="2"/>
  <c r="L850" i="2"/>
  <c r="H850" i="2"/>
  <c r="G850" i="2"/>
  <c r="N849" i="2"/>
  <c r="M849" i="2"/>
  <c r="L849" i="2"/>
  <c r="H849" i="2"/>
  <c r="G849" i="2"/>
  <c r="N848" i="2"/>
  <c r="M848" i="2"/>
  <c r="L848" i="2"/>
  <c r="H848" i="2"/>
  <c r="G848" i="2"/>
  <c r="N847" i="2"/>
  <c r="M847" i="2"/>
  <c r="L847" i="2"/>
  <c r="H847" i="2"/>
  <c r="G847" i="2"/>
  <c r="N846" i="2"/>
  <c r="M846" i="2"/>
  <c r="L846" i="2"/>
  <c r="H846" i="2"/>
  <c r="G846" i="2"/>
  <c r="N845" i="2"/>
  <c r="M845" i="2"/>
  <c r="L845" i="2"/>
  <c r="H845" i="2"/>
  <c r="G845" i="2"/>
  <c r="N844" i="2"/>
  <c r="M844" i="2"/>
  <c r="L844" i="2"/>
  <c r="H844" i="2"/>
  <c r="G844" i="2"/>
  <c r="N843" i="2"/>
  <c r="M843" i="2"/>
  <c r="L843" i="2"/>
  <c r="H843" i="2"/>
  <c r="G843" i="2"/>
  <c r="N842" i="2"/>
  <c r="M842" i="2"/>
  <c r="L842" i="2"/>
  <c r="H842" i="2"/>
  <c r="G842" i="2"/>
  <c r="N841" i="2"/>
  <c r="M841" i="2"/>
  <c r="L841" i="2"/>
  <c r="H841" i="2"/>
  <c r="G841" i="2"/>
  <c r="N840" i="2"/>
  <c r="M840" i="2"/>
  <c r="L840" i="2"/>
  <c r="H840" i="2"/>
  <c r="G840" i="2"/>
  <c r="N839" i="2"/>
  <c r="M839" i="2"/>
  <c r="L839" i="2"/>
  <c r="H839" i="2"/>
  <c r="G839" i="2"/>
  <c r="N838" i="2"/>
  <c r="M838" i="2"/>
  <c r="L838" i="2"/>
  <c r="H838" i="2"/>
  <c r="G838" i="2"/>
  <c r="N837" i="2"/>
  <c r="M837" i="2"/>
  <c r="L837" i="2"/>
  <c r="H837" i="2"/>
  <c r="G837" i="2"/>
  <c r="N836" i="2"/>
  <c r="M836" i="2"/>
  <c r="L836" i="2"/>
  <c r="H836" i="2"/>
  <c r="G836" i="2"/>
  <c r="N835" i="2"/>
  <c r="M835" i="2"/>
  <c r="L835" i="2"/>
  <c r="H835" i="2"/>
  <c r="G835" i="2"/>
  <c r="N834" i="2"/>
  <c r="M834" i="2"/>
  <c r="L834" i="2"/>
  <c r="H834" i="2"/>
  <c r="G834" i="2"/>
  <c r="N833" i="2"/>
  <c r="M833" i="2"/>
  <c r="L833" i="2"/>
  <c r="H833" i="2"/>
  <c r="G833" i="2"/>
  <c r="N832" i="2"/>
  <c r="M832" i="2"/>
  <c r="L832" i="2"/>
  <c r="H832" i="2"/>
  <c r="G832" i="2"/>
  <c r="N831" i="2"/>
  <c r="M831" i="2"/>
  <c r="L831" i="2"/>
  <c r="H831" i="2"/>
  <c r="G831" i="2"/>
  <c r="N830" i="2"/>
  <c r="M830" i="2"/>
  <c r="L830" i="2"/>
  <c r="H830" i="2"/>
  <c r="G830" i="2"/>
  <c r="N829" i="2"/>
  <c r="M829" i="2"/>
  <c r="L829" i="2"/>
  <c r="H829" i="2"/>
  <c r="G829" i="2"/>
  <c r="N828" i="2"/>
  <c r="M828" i="2"/>
  <c r="L828" i="2"/>
  <c r="H828" i="2"/>
  <c r="G828" i="2"/>
  <c r="N827" i="2"/>
  <c r="M827" i="2"/>
  <c r="L827" i="2"/>
  <c r="H827" i="2"/>
  <c r="G827" i="2"/>
  <c r="N826" i="2"/>
  <c r="M826" i="2"/>
  <c r="L826" i="2"/>
  <c r="H826" i="2"/>
  <c r="G826" i="2"/>
  <c r="N825" i="2"/>
  <c r="M825" i="2"/>
  <c r="L825" i="2"/>
  <c r="H825" i="2"/>
  <c r="G825" i="2"/>
  <c r="N824" i="2"/>
  <c r="M824" i="2"/>
  <c r="L824" i="2"/>
  <c r="H824" i="2"/>
  <c r="G824" i="2"/>
  <c r="N823" i="2"/>
  <c r="M823" i="2"/>
  <c r="L823" i="2"/>
  <c r="H823" i="2"/>
  <c r="G823" i="2"/>
  <c r="N822" i="2"/>
  <c r="M822" i="2"/>
  <c r="L822" i="2"/>
  <c r="H822" i="2"/>
  <c r="G822" i="2"/>
  <c r="N821" i="2"/>
  <c r="M821" i="2"/>
  <c r="L821" i="2"/>
  <c r="H821" i="2"/>
  <c r="G821" i="2"/>
  <c r="N820" i="2"/>
  <c r="M820" i="2"/>
  <c r="L820" i="2"/>
  <c r="H820" i="2"/>
  <c r="G820" i="2"/>
  <c r="N819" i="2"/>
  <c r="M819" i="2"/>
  <c r="L819" i="2"/>
  <c r="H819" i="2"/>
  <c r="G819" i="2"/>
  <c r="N818" i="2"/>
  <c r="M818" i="2"/>
  <c r="L818" i="2"/>
  <c r="H818" i="2"/>
  <c r="G818" i="2"/>
  <c r="N817" i="2"/>
  <c r="M817" i="2"/>
  <c r="L817" i="2"/>
  <c r="H817" i="2"/>
  <c r="G817" i="2"/>
  <c r="N816" i="2"/>
  <c r="M816" i="2"/>
  <c r="L816" i="2"/>
  <c r="H816" i="2"/>
  <c r="G816" i="2"/>
  <c r="N815" i="2"/>
  <c r="M815" i="2"/>
  <c r="L815" i="2"/>
  <c r="H815" i="2"/>
  <c r="G815" i="2"/>
  <c r="N814" i="2"/>
  <c r="M814" i="2"/>
  <c r="L814" i="2"/>
  <c r="H814" i="2"/>
  <c r="G814" i="2"/>
  <c r="N813" i="2"/>
  <c r="M813" i="2"/>
  <c r="L813" i="2"/>
  <c r="H813" i="2"/>
  <c r="G813" i="2"/>
  <c r="N812" i="2"/>
  <c r="M812" i="2"/>
  <c r="L812" i="2"/>
  <c r="H812" i="2"/>
  <c r="G812" i="2"/>
  <c r="N811" i="2"/>
  <c r="M811" i="2"/>
  <c r="L811" i="2"/>
  <c r="H811" i="2"/>
  <c r="G811" i="2"/>
  <c r="N810" i="2"/>
  <c r="M810" i="2"/>
  <c r="L810" i="2"/>
  <c r="H810" i="2"/>
  <c r="G810" i="2"/>
  <c r="N809" i="2"/>
  <c r="M809" i="2"/>
  <c r="L809" i="2"/>
  <c r="H809" i="2"/>
  <c r="G809" i="2"/>
  <c r="N808" i="2"/>
  <c r="M808" i="2"/>
  <c r="L808" i="2"/>
  <c r="H808" i="2"/>
  <c r="G808" i="2"/>
  <c r="N807" i="2"/>
  <c r="M807" i="2"/>
  <c r="L807" i="2"/>
  <c r="H807" i="2"/>
  <c r="G807" i="2"/>
  <c r="N806" i="2"/>
  <c r="M806" i="2"/>
  <c r="L806" i="2"/>
  <c r="H806" i="2"/>
  <c r="G806" i="2"/>
  <c r="N805" i="2"/>
  <c r="M805" i="2"/>
  <c r="L805" i="2"/>
  <c r="H805" i="2"/>
  <c r="G805" i="2"/>
  <c r="N804" i="2"/>
  <c r="M804" i="2"/>
  <c r="L804" i="2"/>
  <c r="H804" i="2"/>
  <c r="G804" i="2"/>
  <c r="N803" i="2"/>
  <c r="M803" i="2"/>
  <c r="L803" i="2"/>
  <c r="H803" i="2"/>
  <c r="G803" i="2"/>
  <c r="N802" i="2"/>
  <c r="M802" i="2"/>
  <c r="L802" i="2"/>
  <c r="H802" i="2"/>
  <c r="G802" i="2"/>
  <c r="N801" i="2"/>
  <c r="M801" i="2"/>
  <c r="L801" i="2"/>
  <c r="H801" i="2"/>
  <c r="G801" i="2"/>
  <c r="N800" i="2"/>
  <c r="M800" i="2"/>
  <c r="L800" i="2"/>
  <c r="H800" i="2"/>
  <c r="G800" i="2"/>
  <c r="N799" i="2"/>
  <c r="M799" i="2"/>
  <c r="L799" i="2"/>
  <c r="H799" i="2"/>
  <c r="G799" i="2"/>
  <c r="N798" i="2"/>
  <c r="M798" i="2"/>
  <c r="L798" i="2"/>
  <c r="H798" i="2"/>
  <c r="G798" i="2"/>
  <c r="N797" i="2"/>
  <c r="M797" i="2"/>
  <c r="L797" i="2"/>
  <c r="H797" i="2"/>
  <c r="G797" i="2"/>
  <c r="N796" i="2"/>
  <c r="M796" i="2"/>
  <c r="L796" i="2"/>
  <c r="H796" i="2"/>
  <c r="G796" i="2"/>
  <c r="N795" i="2"/>
  <c r="M795" i="2"/>
  <c r="L795" i="2"/>
  <c r="H795" i="2"/>
  <c r="G795" i="2"/>
  <c r="N794" i="2"/>
  <c r="M794" i="2"/>
  <c r="L794" i="2"/>
  <c r="H794" i="2"/>
  <c r="G794" i="2"/>
  <c r="N793" i="2"/>
  <c r="M793" i="2"/>
  <c r="L793" i="2"/>
  <c r="H793" i="2"/>
  <c r="G793" i="2"/>
  <c r="N792" i="2"/>
  <c r="M792" i="2"/>
  <c r="L792" i="2"/>
  <c r="H792" i="2"/>
  <c r="G792" i="2"/>
  <c r="N791" i="2"/>
  <c r="M791" i="2"/>
  <c r="L791" i="2"/>
  <c r="H791" i="2"/>
  <c r="G791" i="2"/>
  <c r="N790" i="2"/>
  <c r="M790" i="2"/>
  <c r="L790" i="2"/>
  <c r="H790" i="2"/>
  <c r="G790" i="2"/>
  <c r="N789" i="2"/>
  <c r="M789" i="2"/>
  <c r="L789" i="2"/>
  <c r="H789" i="2"/>
  <c r="G789" i="2"/>
  <c r="N788" i="2"/>
  <c r="M788" i="2"/>
  <c r="L788" i="2"/>
  <c r="H788" i="2"/>
  <c r="G788" i="2"/>
  <c r="N787" i="2"/>
  <c r="M787" i="2"/>
  <c r="L787" i="2"/>
  <c r="H787" i="2"/>
  <c r="G787" i="2"/>
  <c r="N786" i="2"/>
  <c r="M786" i="2"/>
  <c r="L786" i="2"/>
  <c r="H786" i="2"/>
  <c r="G786" i="2"/>
  <c r="N785" i="2"/>
  <c r="M785" i="2"/>
  <c r="L785" i="2"/>
  <c r="H785" i="2"/>
  <c r="G785" i="2"/>
  <c r="N784" i="2"/>
  <c r="M784" i="2"/>
  <c r="L784" i="2"/>
  <c r="H784" i="2"/>
  <c r="G784" i="2"/>
  <c r="N783" i="2"/>
  <c r="M783" i="2"/>
  <c r="L783" i="2"/>
  <c r="H783" i="2"/>
  <c r="G783" i="2"/>
  <c r="N782" i="2"/>
  <c r="M782" i="2"/>
  <c r="L782" i="2"/>
  <c r="H782" i="2"/>
  <c r="G782" i="2"/>
  <c r="N781" i="2"/>
  <c r="M781" i="2"/>
  <c r="L781" i="2"/>
  <c r="H781" i="2"/>
  <c r="G781" i="2"/>
  <c r="N780" i="2"/>
  <c r="M780" i="2"/>
  <c r="L780" i="2"/>
  <c r="H780" i="2"/>
  <c r="G780" i="2"/>
  <c r="N779" i="2"/>
  <c r="M779" i="2"/>
  <c r="L779" i="2"/>
  <c r="H779" i="2"/>
  <c r="G779" i="2"/>
  <c r="N778" i="2"/>
  <c r="M778" i="2"/>
  <c r="L778" i="2"/>
  <c r="H778" i="2"/>
  <c r="G778" i="2"/>
  <c r="N777" i="2"/>
  <c r="M777" i="2"/>
  <c r="L777" i="2"/>
  <c r="H777" i="2"/>
  <c r="G777" i="2"/>
  <c r="N776" i="2"/>
  <c r="M776" i="2"/>
  <c r="L776" i="2"/>
  <c r="H776" i="2"/>
  <c r="G776" i="2"/>
  <c r="N775" i="2"/>
  <c r="M775" i="2"/>
  <c r="L775" i="2"/>
  <c r="H775" i="2"/>
  <c r="G775" i="2"/>
  <c r="N774" i="2"/>
  <c r="M774" i="2"/>
  <c r="L774" i="2"/>
  <c r="H774" i="2"/>
  <c r="G774" i="2"/>
  <c r="N773" i="2"/>
  <c r="M773" i="2"/>
  <c r="L773" i="2"/>
  <c r="H773" i="2"/>
  <c r="G773" i="2"/>
  <c r="N772" i="2"/>
  <c r="M772" i="2"/>
  <c r="L772" i="2"/>
  <c r="H772" i="2"/>
  <c r="G772" i="2"/>
  <c r="N771" i="2"/>
  <c r="M771" i="2"/>
  <c r="L771" i="2"/>
  <c r="H771" i="2"/>
  <c r="G771" i="2"/>
  <c r="N770" i="2"/>
  <c r="M770" i="2"/>
  <c r="L770" i="2"/>
  <c r="H770" i="2"/>
  <c r="G770" i="2"/>
  <c r="N769" i="2"/>
  <c r="M769" i="2"/>
  <c r="L769" i="2"/>
  <c r="H769" i="2"/>
  <c r="G769" i="2"/>
  <c r="N768" i="2"/>
  <c r="M768" i="2"/>
  <c r="L768" i="2"/>
  <c r="H768" i="2"/>
  <c r="G768" i="2"/>
  <c r="N767" i="2"/>
  <c r="M767" i="2"/>
  <c r="L767" i="2"/>
  <c r="H767" i="2"/>
  <c r="G767" i="2"/>
  <c r="N766" i="2"/>
  <c r="M766" i="2"/>
  <c r="L766" i="2"/>
  <c r="H766" i="2"/>
  <c r="G766" i="2"/>
  <c r="N765" i="2"/>
  <c r="M765" i="2"/>
  <c r="L765" i="2"/>
  <c r="H765" i="2"/>
  <c r="G765" i="2"/>
  <c r="N764" i="2"/>
  <c r="M764" i="2"/>
  <c r="L764" i="2"/>
  <c r="H764" i="2"/>
  <c r="G764" i="2"/>
  <c r="N763" i="2"/>
  <c r="M763" i="2"/>
  <c r="L763" i="2"/>
  <c r="H763" i="2"/>
  <c r="G763" i="2"/>
  <c r="N762" i="2"/>
  <c r="M762" i="2"/>
  <c r="L762" i="2"/>
  <c r="H762" i="2"/>
  <c r="G762" i="2"/>
  <c r="N761" i="2"/>
  <c r="M761" i="2"/>
  <c r="L761" i="2"/>
  <c r="H761" i="2"/>
  <c r="G761" i="2"/>
  <c r="N760" i="2"/>
  <c r="M760" i="2"/>
  <c r="L760" i="2"/>
  <c r="H760" i="2"/>
  <c r="G760" i="2"/>
  <c r="N759" i="2"/>
  <c r="M759" i="2"/>
  <c r="L759" i="2"/>
  <c r="H759" i="2"/>
  <c r="G759" i="2"/>
  <c r="N758" i="2"/>
  <c r="M758" i="2"/>
  <c r="L758" i="2"/>
  <c r="H758" i="2"/>
  <c r="G758" i="2"/>
  <c r="N757" i="2"/>
  <c r="M757" i="2"/>
  <c r="L757" i="2"/>
  <c r="H757" i="2"/>
  <c r="G757" i="2"/>
  <c r="N756" i="2"/>
  <c r="M756" i="2"/>
  <c r="L756" i="2"/>
  <c r="H756" i="2"/>
  <c r="G756" i="2"/>
  <c r="N755" i="2"/>
  <c r="M755" i="2"/>
  <c r="L755" i="2"/>
  <c r="H755" i="2"/>
  <c r="G755" i="2"/>
  <c r="N754" i="2"/>
  <c r="M754" i="2"/>
  <c r="L754" i="2"/>
  <c r="H754" i="2"/>
  <c r="G754" i="2"/>
  <c r="N753" i="2"/>
  <c r="M753" i="2"/>
  <c r="L753" i="2"/>
  <c r="H753" i="2"/>
  <c r="G753" i="2"/>
  <c r="N752" i="2"/>
  <c r="M752" i="2"/>
  <c r="L752" i="2"/>
  <c r="H752" i="2"/>
  <c r="G752" i="2"/>
  <c r="N751" i="2"/>
  <c r="M751" i="2"/>
  <c r="L751" i="2"/>
  <c r="H751" i="2"/>
  <c r="G751" i="2"/>
  <c r="N750" i="2"/>
  <c r="M750" i="2"/>
  <c r="L750" i="2"/>
  <c r="H750" i="2"/>
  <c r="G750" i="2"/>
  <c r="N749" i="2"/>
  <c r="M749" i="2"/>
  <c r="L749" i="2"/>
  <c r="H749" i="2"/>
  <c r="G749" i="2"/>
  <c r="N748" i="2"/>
  <c r="M748" i="2"/>
  <c r="L748" i="2"/>
  <c r="H748" i="2"/>
  <c r="G748" i="2"/>
  <c r="N747" i="2"/>
  <c r="M747" i="2"/>
  <c r="L747" i="2"/>
  <c r="H747" i="2"/>
  <c r="G747" i="2"/>
  <c r="N746" i="2"/>
  <c r="M746" i="2"/>
  <c r="L746" i="2"/>
  <c r="H746" i="2"/>
  <c r="G746" i="2"/>
  <c r="N745" i="2"/>
  <c r="M745" i="2"/>
  <c r="L745" i="2"/>
  <c r="H745" i="2"/>
  <c r="G745" i="2"/>
  <c r="N744" i="2"/>
  <c r="M744" i="2"/>
  <c r="L744" i="2"/>
  <c r="H744" i="2"/>
  <c r="G744" i="2"/>
  <c r="N743" i="2"/>
  <c r="M743" i="2"/>
  <c r="L743" i="2"/>
  <c r="H743" i="2"/>
  <c r="G743" i="2"/>
  <c r="N742" i="2"/>
  <c r="M742" i="2"/>
  <c r="L742" i="2"/>
  <c r="H742" i="2"/>
  <c r="G742" i="2"/>
  <c r="N741" i="2"/>
  <c r="M741" i="2"/>
  <c r="L741" i="2"/>
  <c r="H741" i="2"/>
  <c r="G741" i="2"/>
  <c r="N740" i="2"/>
  <c r="M740" i="2"/>
  <c r="L740" i="2"/>
  <c r="H740" i="2"/>
  <c r="G740" i="2"/>
  <c r="N739" i="2"/>
  <c r="M739" i="2"/>
  <c r="L739" i="2"/>
  <c r="H739" i="2"/>
  <c r="G739" i="2"/>
  <c r="N738" i="2"/>
  <c r="M738" i="2"/>
  <c r="L738" i="2"/>
  <c r="H738" i="2"/>
  <c r="G738" i="2"/>
  <c r="N737" i="2"/>
  <c r="M737" i="2"/>
  <c r="L737" i="2"/>
  <c r="H737" i="2"/>
  <c r="G737" i="2"/>
  <c r="N736" i="2"/>
  <c r="M736" i="2"/>
  <c r="L736" i="2"/>
  <c r="H736" i="2"/>
  <c r="G736" i="2"/>
  <c r="N735" i="2"/>
  <c r="M735" i="2"/>
  <c r="L735" i="2"/>
  <c r="H735" i="2"/>
  <c r="G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AH39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AK10" i="2"/>
  <c r="N10" i="2"/>
  <c r="N9" i="2"/>
  <c r="N8" i="2"/>
  <c r="N7" i="2"/>
  <c r="N6" i="2"/>
  <c r="N5" i="2"/>
  <c r="D1461" i="2"/>
  <c r="D1441" i="2"/>
  <c r="D1431" i="2"/>
  <c r="D1421" i="2"/>
  <c r="D1411" i="2"/>
  <c r="D1401" i="2"/>
  <c r="D1391" i="2"/>
  <c r="D1381" i="2"/>
  <c r="D1371" i="2"/>
  <c r="D1361" i="2"/>
  <c r="D1351" i="2"/>
  <c r="D1341" i="2"/>
  <c r="D1331" i="2"/>
  <c r="D1321" i="2"/>
  <c r="D1311" i="2"/>
  <c r="D1301" i="2"/>
  <c r="D1291" i="2"/>
  <c r="D1281" i="2"/>
  <c r="D1271" i="2"/>
  <c r="D1261" i="2"/>
  <c r="D1251" i="2"/>
  <c r="D1241" i="2"/>
  <c r="D1231" i="2"/>
  <c r="D1221" i="2"/>
  <c r="D1211" i="2"/>
  <c r="D1201" i="2"/>
  <c r="D1191" i="2"/>
  <c r="D1181" i="2"/>
  <c r="D1171" i="2"/>
  <c r="D1161" i="2"/>
  <c r="D1151" i="2"/>
  <c r="D1141" i="2"/>
  <c r="D1131" i="2"/>
  <c r="D1121" i="2"/>
  <c r="D1111" i="2"/>
  <c r="D1101" i="2"/>
  <c r="D1091" i="2"/>
  <c r="D1081" i="2"/>
  <c r="D1071" i="2"/>
  <c r="D1061" i="2"/>
  <c r="D1051" i="2"/>
  <c r="D1041" i="2"/>
  <c r="D1031" i="2"/>
  <c r="D1021" i="2"/>
  <c r="D1011" i="2"/>
  <c r="D1001" i="2"/>
  <c r="D991" i="2"/>
  <c r="D981" i="2"/>
  <c r="D971" i="2"/>
  <c r="D961" i="2"/>
  <c r="D951" i="2"/>
  <c r="D941" i="2"/>
  <c r="D931" i="2"/>
  <c r="D921" i="2"/>
  <c r="D911" i="2"/>
  <c r="D901" i="2"/>
  <c r="D891" i="2"/>
  <c r="D881" i="2"/>
  <c r="D871" i="2"/>
  <c r="D861" i="2"/>
  <c r="D851" i="2"/>
  <c r="D841" i="2"/>
  <c r="D831" i="2"/>
  <c r="D821" i="2"/>
  <c r="D811" i="2"/>
  <c r="D801" i="2"/>
  <c r="D791" i="2"/>
  <c r="D781" i="2"/>
  <c r="D771" i="2"/>
  <c r="D761" i="2"/>
  <c r="D751" i="2"/>
  <c r="D741" i="2"/>
  <c r="D1458" i="2"/>
  <c r="D1448" i="2"/>
  <c r="D1438" i="2"/>
  <c r="D1428" i="2"/>
  <c r="D1418" i="2"/>
  <c r="D1408" i="2"/>
  <c r="D1398" i="2"/>
  <c r="D1388" i="2"/>
  <c r="D1378" i="2"/>
  <c r="D1368" i="2"/>
  <c r="D1358" i="2"/>
  <c r="D1348" i="2"/>
  <c r="D1338" i="2"/>
  <c r="D1328" i="2"/>
  <c r="D1318" i="2"/>
  <c r="D1308" i="2"/>
  <c r="D1298" i="2"/>
  <c r="D1288" i="2"/>
  <c r="D1278" i="2"/>
  <c r="D1268" i="2"/>
  <c r="D1258" i="2"/>
  <c r="D1248" i="2"/>
  <c r="D1238" i="2"/>
  <c r="D1228" i="2"/>
  <c r="D1218" i="2"/>
  <c r="D1208" i="2"/>
  <c r="D1198" i="2"/>
  <c r="D1188" i="2"/>
  <c r="D1178" i="2"/>
  <c r="D1168" i="2"/>
  <c r="D1158" i="2"/>
  <c r="D1148" i="2"/>
  <c r="D1138" i="2"/>
  <c r="D1128" i="2"/>
  <c r="D1118" i="2"/>
  <c r="D1108" i="2"/>
  <c r="D1098" i="2"/>
  <c r="D1088" i="2"/>
  <c r="D1078" i="2"/>
  <c r="D1068" i="2"/>
  <c r="D1058" i="2"/>
  <c r="D1048" i="2"/>
  <c r="D1038" i="2"/>
  <c r="D1028" i="2"/>
  <c r="D1018" i="2"/>
  <c r="D1008" i="2"/>
  <c r="D998" i="2"/>
  <c r="D988" i="2"/>
  <c r="D978" i="2"/>
  <c r="D968" i="2"/>
  <c r="D958" i="2"/>
  <c r="D948" i="2"/>
  <c r="D938" i="2"/>
  <c r="D928" i="2"/>
  <c r="D918" i="2"/>
  <c r="D908" i="2"/>
  <c r="D898" i="2"/>
  <c r="D888" i="2"/>
  <c r="D878" i="2"/>
  <c r="D868" i="2"/>
  <c r="D858" i="2"/>
  <c r="D848" i="2"/>
  <c r="D838" i="2"/>
  <c r="D828" i="2"/>
  <c r="D818" i="2"/>
  <c r="D808" i="2"/>
  <c r="D798" i="2"/>
  <c r="D788" i="2"/>
  <c r="D778" i="2"/>
  <c r="D768" i="2"/>
  <c r="D758" i="2"/>
  <c r="D748" i="2"/>
  <c r="D738" i="2"/>
  <c r="D1464" i="2"/>
  <c r="D1454" i="2"/>
  <c r="D1444" i="2"/>
  <c r="D1434" i="2"/>
  <c r="D1424" i="2"/>
  <c r="D1414" i="2"/>
  <c r="D1404" i="2"/>
  <c r="D1394" i="2"/>
  <c r="D1384" i="2"/>
  <c r="D1374" i="2"/>
  <c r="D1364" i="2"/>
  <c r="D1354" i="2"/>
  <c r="D1344" i="2"/>
  <c r="D1334" i="2"/>
  <c r="D1324" i="2"/>
  <c r="D1314" i="2"/>
  <c r="D1304" i="2"/>
  <c r="D1294" i="2"/>
  <c r="D1284" i="2"/>
  <c r="D1274" i="2"/>
  <c r="D1264" i="2"/>
  <c r="D1254" i="2"/>
  <c r="D1244" i="2"/>
  <c r="D1234" i="2"/>
  <c r="D1224" i="2"/>
  <c r="D1214" i="2"/>
  <c r="D1204" i="2"/>
  <c r="D1194" i="2"/>
  <c r="D1184" i="2"/>
  <c r="D1174" i="2"/>
  <c r="D1164" i="2"/>
  <c r="D1154" i="2"/>
  <c r="D1144" i="2"/>
  <c r="D1134" i="2"/>
  <c r="D1124" i="2"/>
  <c r="D1114" i="2"/>
  <c r="D1104" i="2"/>
  <c r="D1094" i="2"/>
  <c r="D1084" i="2"/>
  <c r="D1074" i="2"/>
  <c r="D1064" i="2"/>
  <c r="D1054" i="2"/>
  <c r="D1044" i="2"/>
  <c r="D1034" i="2"/>
  <c r="D1024" i="2"/>
  <c r="D1014" i="2"/>
  <c r="D1004" i="2"/>
  <c r="D994" i="2"/>
  <c r="D984" i="2"/>
  <c r="D974" i="2"/>
  <c r="D964" i="2"/>
  <c r="D954" i="2"/>
  <c r="D944" i="2"/>
  <c r="D934" i="2"/>
  <c r="D924" i="2"/>
  <c r="D914" i="2"/>
  <c r="D904" i="2"/>
  <c r="D894" i="2"/>
  <c r="D884" i="2"/>
  <c r="D874" i="2"/>
  <c r="D864" i="2"/>
  <c r="D854" i="2"/>
  <c r="D844" i="2"/>
  <c r="D834" i="2"/>
  <c r="D824" i="2"/>
  <c r="D814" i="2"/>
  <c r="D804" i="2"/>
  <c r="D794" i="2"/>
  <c r="D784" i="2"/>
  <c r="D774" i="2"/>
  <c r="D764" i="2"/>
  <c r="D754" i="2"/>
  <c r="D744" i="2"/>
  <c r="D1457" i="2"/>
  <c r="D1447" i="2"/>
  <c r="D1437" i="2"/>
  <c r="D1427" i="2"/>
  <c r="D1417" i="2"/>
  <c r="D1407" i="2"/>
  <c r="D1397" i="2"/>
  <c r="D1387" i="2"/>
  <c r="D1377" i="2"/>
  <c r="D1367" i="2"/>
  <c r="D1357" i="2"/>
  <c r="D1347" i="2"/>
  <c r="D1337" i="2"/>
  <c r="D1327" i="2"/>
  <c r="D1317" i="2"/>
  <c r="D1307" i="2"/>
  <c r="D1297" i="2"/>
  <c r="D1287" i="2"/>
  <c r="D1277" i="2"/>
  <c r="D1267" i="2"/>
  <c r="D1257" i="2"/>
  <c r="D1247" i="2"/>
  <c r="D1237" i="2"/>
  <c r="D1227" i="2"/>
  <c r="D1217" i="2"/>
  <c r="D1207" i="2"/>
  <c r="D1197" i="2"/>
  <c r="D1187" i="2"/>
  <c r="D1177" i="2"/>
  <c r="D1167" i="2"/>
  <c r="D1157" i="2"/>
  <c r="D1147" i="2"/>
  <c r="D1137" i="2"/>
  <c r="D1127" i="2"/>
  <c r="D1117" i="2"/>
  <c r="D1107" i="2"/>
  <c r="D1097" i="2"/>
  <c r="D1087" i="2"/>
  <c r="D1077" i="2"/>
  <c r="D1067" i="2"/>
  <c r="D1057" i="2"/>
  <c r="D1047" i="2"/>
  <c r="D1037" i="2"/>
  <c r="D1027" i="2"/>
  <c r="D1017" i="2"/>
  <c r="D1007" i="2"/>
  <c r="D997" i="2"/>
  <c r="D987" i="2"/>
  <c r="D977" i="2"/>
  <c r="D967" i="2"/>
  <c r="D957" i="2"/>
  <c r="D947" i="2"/>
  <c r="D937" i="2"/>
  <c r="D927" i="2"/>
  <c r="D917" i="2"/>
  <c r="D907" i="2"/>
  <c r="D897" i="2"/>
  <c r="D887" i="2"/>
  <c r="D877" i="2"/>
  <c r="D867" i="2"/>
  <c r="D857" i="2"/>
  <c r="D847" i="2"/>
  <c r="D837" i="2"/>
  <c r="D827" i="2"/>
  <c r="D817" i="2"/>
  <c r="D807" i="2"/>
  <c r="D797" i="2"/>
  <c r="D787" i="2"/>
  <c r="D777" i="2"/>
  <c r="D767" i="2"/>
  <c r="D757" i="2"/>
  <c r="D747" i="2"/>
  <c r="D737" i="2"/>
  <c r="D1460" i="2"/>
  <c r="D1450" i="2"/>
  <c r="D1440" i="2"/>
  <c r="D1430" i="2"/>
  <c r="D1420" i="2"/>
  <c r="D1410" i="2"/>
  <c r="D1400" i="2"/>
  <c r="D1390" i="2"/>
  <c r="D1380" i="2"/>
  <c r="D1370" i="2"/>
  <c r="D1360" i="2"/>
  <c r="D1350" i="2"/>
  <c r="D1340" i="2"/>
  <c r="D1330" i="2"/>
  <c r="D1320" i="2"/>
  <c r="D1310" i="2"/>
  <c r="D1300" i="2"/>
  <c r="D1290" i="2"/>
  <c r="D1280" i="2"/>
  <c r="D1270" i="2"/>
  <c r="D1260" i="2"/>
  <c r="D1250" i="2"/>
  <c r="D1240" i="2"/>
  <c r="D1230" i="2"/>
  <c r="D1220" i="2"/>
  <c r="D1210" i="2"/>
  <c r="D1200" i="2"/>
  <c r="D1190" i="2"/>
  <c r="D1180" i="2"/>
  <c r="D1170" i="2"/>
  <c r="D1160" i="2"/>
  <c r="D1150" i="2"/>
  <c r="D1140" i="2"/>
  <c r="D1130" i="2"/>
  <c r="D1120" i="2"/>
  <c r="D1110" i="2"/>
  <c r="D1100" i="2"/>
  <c r="D1090" i="2"/>
  <c r="D1080" i="2"/>
  <c r="D1070" i="2"/>
  <c r="D1060" i="2"/>
  <c r="D1050" i="2"/>
  <c r="D1040" i="2"/>
  <c r="D1030" i="2"/>
  <c r="D1020" i="2"/>
  <c r="D1010" i="2"/>
  <c r="D1000" i="2"/>
  <c r="D990" i="2"/>
  <c r="D980" i="2"/>
  <c r="D970" i="2"/>
  <c r="D960" i="2"/>
  <c r="D950" i="2"/>
  <c r="D940" i="2"/>
  <c r="D930" i="2"/>
  <c r="D920" i="2"/>
  <c r="D910" i="2"/>
  <c r="D900" i="2"/>
  <c r="D890" i="2"/>
  <c r="D880" i="2"/>
  <c r="D870" i="2"/>
  <c r="D860" i="2"/>
  <c r="D850" i="2"/>
  <c r="D840" i="2"/>
  <c r="D830" i="2"/>
  <c r="D820" i="2"/>
  <c r="D810" i="2"/>
  <c r="D800" i="2"/>
  <c r="D790" i="2"/>
  <c r="D780" i="2"/>
  <c r="D770" i="2"/>
  <c r="D760" i="2"/>
  <c r="D750" i="2"/>
  <c r="D740" i="2"/>
  <c r="D1463" i="2"/>
  <c r="D1453" i="2"/>
  <c r="D1443" i="2"/>
  <c r="D1433" i="2"/>
  <c r="D1423" i="2"/>
  <c r="D1413" i="2"/>
  <c r="D1403" i="2"/>
  <c r="D1393" i="2"/>
  <c r="D1383" i="2"/>
  <c r="D1373" i="2"/>
  <c r="D1363" i="2"/>
  <c r="D1353" i="2"/>
  <c r="D1343" i="2"/>
  <c r="D1333" i="2"/>
  <c r="D1323" i="2"/>
  <c r="D1313" i="2"/>
  <c r="D1303" i="2"/>
  <c r="D1293" i="2"/>
  <c r="D1283" i="2"/>
  <c r="D1273" i="2"/>
  <c r="D1263" i="2"/>
  <c r="D1253" i="2"/>
  <c r="D1243" i="2"/>
  <c r="D1233" i="2"/>
  <c r="D1223" i="2"/>
  <c r="D1213" i="2"/>
  <c r="D1203" i="2"/>
  <c r="D1193" i="2"/>
  <c r="D1183" i="2"/>
  <c r="D1173" i="2"/>
  <c r="D1163" i="2"/>
  <c r="D1153" i="2"/>
  <c r="D1143" i="2"/>
  <c r="D1133" i="2"/>
  <c r="D1123" i="2"/>
  <c r="D1113" i="2"/>
  <c r="D1103" i="2"/>
  <c r="D1093" i="2"/>
  <c r="D1083" i="2"/>
  <c r="D1073" i="2"/>
  <c r="D1063" i="2"/>
  <c r="D1053" i="2"/>
  <c r="D1043" i="2"/>
  <c r="D1033" i="2"/>
  <c r="D1023" i="2"/>
  <c r="D1013" i="2"/>
  <c r="D1003" i="2"/>
  <c r="D993" i="2"/>
  <c r="D983" i="2"/>
  <c r="D973" i="2"/>
  <c r="D963" i="2"/>
  <c r="D953" i="2"/>
  <c r="D943" i="2"/>
  <c r="D933" i="2"/>
  <c r="D923" i="2"/>
  <c r="D913" i="2"/>
  <c r="D903" i="2"/>
  <c r="D893" i="2"/>
  <c r="D883" i="2"/>
  <c r="D873" i="2"/>
  <c r="D863" i="2"/>
  <c r="D853" i="2"/>
  <c r="D843" i="2"/>
  <c r="D833" i="2"/>
  <c r="D823" i="2"/>
  <c r="D813" i="2"/>
  <c r="D803" i="2"/>
  <c r="D793" i="2"/>
  <c r="D783" i="2"/>
  <c r="D773" i="2"/>
  <c r="D763" i="2"/>
  <c r="D753" i="2"/>
  <c r="D743" i="2"/>
  <c r="D1342" i="2"/>
  <c r="D1332" i="2"/>
  <c r="D1282" i="2"/>
  <c r="D1262" i="2"/>
  <c r="D1152" i="2"/>
  <c r="D1012" i="2"/>
  <c r="D962" i="2"/>
  <c r="D932" i="2"/>
  <c r="D892" i="2"/>
  <c r="D882" i="2"/>
  <c r="D862" i="2"/>
  <c r="D802" i="2"/>
  <c r="D742" i="2"/>
  <c r="D1456" i="2"/>
  <c r="D1446" i="2"/>
  <c r="D1436" i="2"/>
  <c r="D1426" i="2"/>
  <c r="D1416" i="2"/>
  <c r="D1406" i="2"/>
  <c r="D1396" i="2"/>
  <c r="D1386" i="2"/>
  <c r="D1376" i="2"/>
  <c r="D1366" i="2"/>
  <c r="D1356" i="2"/>
  <c r="D1346" i="2"/>
  <c r="D1336" i="2"/>
  <c r="D1326" i="2"/>
  <c r="D1316" i="2"/>
  <c r="D1306" i="2"/>
  <c r="D1296" i="2"/>
  <c r="D1286" i="2"/>
  <c r="D1276" i="2"/>
  <c r="D1266" i="2"/>
  <c r="D1256" i="2"/>
  <c r="D1246" i="2"/>
  <c r="D1236" i="2"/>
  <c r="D1226" i="2"/>
  <c r="D1216" i="2"/>
  <c r="D1206" i="2"/>
  <c r="D1196" i="2"/>
  <c r="D1186" i="2"/>
  <c r="D1176" i="2"/>
  <c r="D1166" i="2"/>
  <c r="D1156" i="2"/>
  <c r="D1146" i="2"/>
  <c r="D1136" i="2"/>
  <c r="D1126" i="2"/>
  <c r="D1116" i="2"/>
  <c r="D1106" i="2"/>
  <c r="D1096" i="2"/>
  <c r="D1086" i="2"/>
  <c r="D1076" i="2"/>
  <c r="D1066" i="2"/>
  <c r="D1056" i="2"/>
  <c r="D1046" i="2"/>
  <c r="D1036" i="2"/>
  <c r="D1026" i="2"/>
  <c r="D1016" i="2"/>
  <c r="D1006" i="2"/>
  <c r="D996" i="2"/>
  <c r="D986" i="2"/>
  <c r="D976" i="2"/>
  <c r="D966" i="2"/>
  <c r="D956" i="2"/>
  <c r="D946" i="2"/>
  <c r="D936" i="2"/>
  <c r="D926" i="2"/>
  <c r="D916" i="2"/>
  <c r="D906" i="2"/>
  <c r="D896" i="2"/>
  <c r="D886" i="2"/>
  <c r="D876" i="2"/>
  <c r="D866" i="2"/>
  <c r="D856" i="2"/>
  <c r="D846" i="2"/>
  <c r="D836" i="2"/>
  <c r="D826" i="2"/>
  <c r="D816" i="2"/>
  <c r="D806" i="2"/>
  <c r="D796" i="2"/>
  <c r="D786" i="2"/>
  <c r="D776" i="2"/>
  <c r="D766" i="2"/>
  <c r="D756" i="2"/>
  <c r="D746" i="2"/>
  <c r="D736" i="2"/>
  <c r="D1442" i="2"/>
  <c r="D1432" i="2"/>
  <c r="D1422" i="2"/>
  <c r="D1412" i="2"/>
  <c r="D1402" i="2"/>
  <c r="D1392" i="2"/>
  <c r="D1382" i="2"/>
  <c r="D1372" i="2"/>
  <c r="D1362" i="2"/>
  <c r="D1322" i="2"/>
  <c r="D1272" i="2"/>
  <c r="D1212" i="2"/>
  <c r="D1172" i="2"/>
  <c r="D1102" i="2"/>
  <c r="D1092" i="2"/>
  <c r="D1042" i="2"/>
  <c r="D1022" i="2"/>
  <c r="D1002" i="2"/>
  <c r="D992" i="2"/>
  <c r="D982" i="2"/>
  <c r="D922" i="2"/>
  <c r="D872" i="2"/>
  <c r="D822" i="2"/>
  <c r="D812" i="2"/>
  <c r="D792" i="2"/>
  <c r="D1462" i="2"/>
  <c r="D1112" i="2"/>
  <c r="D1052" i="2"/>
  <c r="D952" i="2"/>
  <c r="D942" i="2"/>
  <c r="D902" i="2"/>
  <c r="D772" i="2"/>
  <c r="D1459" i="2"/>
  <c r="D1449" i="2"/>
  <c r="D1439" i="2"/>
  <c r="D1429" i="2"/>
  <c r="D1419" i="2"/>
  <c r="D1409" i="2"/>
  <c r="D1399" i="2"/>
  <c r="D1389" i="2"/>
  <c r="D1379" i="2"/>
  <c r="D1369" i="2"/>
  <c r="D1359" i="2"/>
  <c r="D1349" i="2"/>
  <c r="D1339" i="2"/>
  <c r="D1329" i="2"/>
  <c r="D1319" i="2"/>
  <c r="D1309" i="2"/>
  <c r="D1299" i="2"/>
  <c r="D1289" i="2"/>
  <c r="D1279" i="2"/>
  <c r="D1269" i="2"/>
  <c r="D1259" i="2"/>
  <c r="D1249" i="2"/>
  <c r="D1239" i="2"/>
  <c r="D1229" i="2"/>
  <c r="D1219" i="2"/>
  <c r="D1209" i="2"/>
  <c r="D1199" i="2"/>
  <c r="D1189" i="2"/>
  <c r="D1179" i="2"/>
  <c r="D1169" i="2"/>
  <c r="D1159" i="2"/>
  <c r="D1149" i="2"/>
  <c r="D1139" i="2"/>
  <c r="D1129" i="2"/>
  <c r="D1119" i="2"/>
  <c r="D1109" i="2"/>
  <c r="D1099" i="2"/>
  <c r="D1089" i="2"/>
  <c r="D1079" i="2"/>
  <c r="D1069" i="2"/>
  <c r="D1059" i="2"/>
  <c r="D1049" i="2"/>
  <c r="D1039" i="2"/>
  <c r="D1029" i="2"/>
  <c r="D1019" i="2"/>
  <c r="D1009" i="2"/>
  <c r="D999" i="2"/>
  <c r="D989" i="2"/>
  <c r="D979" i="2"/>
  <c r="D969" i="2"/>
  <c r="D959" i="2"/>
  <c r="D949" i="2"/>
  <c r="D939" i="2"/>
  <c r="D929" i="2"/>
  <c r="D919" i="2"/>
  <c r="D909" i="2"/>
  <c r="D899" i="2"/>
  <c r="D889" i="2"/>
  <c r="D879" i="2"/>
  <c r="D869" i="2"/>
  <c r="D859" i="2"/>
  <c r="D849" i="2"/>
  <c r="D839" i="2"/>
  <c r="D829" i="2"/>
  <c r="D819" i="2"/>
  <c r="D809" i="2"/>
  <c r="D799" i="2"/>
  <c r="D789" i="2"/>
  <c r="D779" i="2"/>
  <c r="D769" i="2"/>
  <c r="D759" i="2"/>
  <c r="D749" i="2"/>
  <c r="D739" i="2"/>
  <c r="D1352" i="2"/>
  <c r="D1312" i="2"/>
  <c r="D1302" i="2"/>
  <c r="D1292" i="2"/>
  <c r="D1252" i="2"/>
  <c r="D1242" i="2"/>
  <c r="D1232" i="2"/>
  <c r="D1222" i="2"/>
  <c r="D1202" i="2"/>
  <c r="D1192" i="2"/>
  <c r="D1182" i="2"/>
  <c r="D1162" i="2"/>
  <c r="D1142" i="2"/>
  <c r="D1132" i="2"/>
  <c r="D1122" i="2"/>
  <c r="D1082" i="2"/>
  <c r="D1072" i="2"/>
  <c r="D1062" i="2"/>
  <c r="D1032" i="2"/>
  <c r="D972" i="2"/>
  <c r="D912" i="2"/>
  <c r="D852" i="2"/>
  <c r="D842" i="2"/>
  <c r="D832" i="2"/>
  <c r="D782" i="2"/>
  <c r="D762" i="2"/>
  <c r="D752" i="2"/>
  <c r="D1452" i="2"/>
  <c r="D1455" i="2"/>
  <c r="D1445" i="2"/>
  <c r="D1435" i="2"/>
  <c r="D1425" i="2"/>
  <c r="D1415" i="2"/>
  <c r="D1405" i="2"/>
  <c r="D1395" i="2"/>
  <c r="D1385" i="2"/>
  <c r="D1375" i="2"/>
  <c r="D1365" i="2"/>
  <c r="D1355" i="2"/>
  <c r="D1345" i="2"/>
  <c r="D1335" i="2"/>
  <c r="D1325" i="2"/>
  <c r="D1315" i="2"/>
  <c r="D1305" i="2"/>
  <c r="D1295" i="2"/>
  <c r="D1285" i="2"/>
  <c r="D1275" i="2"/>
  <c r="D1265" i="2"/>
  <c r="D1255" i="2"/>
  <c r="D1245" i="2"/>
  <c r="D1235" i="2"/>
  <c r="D1225" i="2"/>
  <c r="D1215" i="2"/>
  <c r="D1205" i="2"/>
  <c r="D1195" i="2"/>
  <c r="D1185" i="2"/>
  <c r="D1175" i="2"/>
  <c r="D1165" i="2"/>
  <c r="D1155" i="2"/>
  <c r="D1145" i="2"/>
  <c r="D1135" i="2"/>
  <c r="D1125" i="2"/>
  <c r="D1115" i="2"/>
  <c r="D1105" i="2"/>
  <c r="D1095" i="2"/>
  <c r="D1085" i="2"/>
  <c r="D1075" i="2"/>
  <c r="D1065" i="2"/>
  <c r="D1055" i="2"/>
  <c r="D1045" i="2"/>
  <c r="D1035" i="2"/>
  <c r="D1025" i="2"/>
  <c r="D1015" i="2"/>
  <c r="D1005" i="2"/>
  <c r="D995" i="2"/>
  <c r="D985" i="2"/>
  <c r="D975" i="2"/>
  <c r="D965" i="2"/>
  <c r="D955" i="2"/>
  <c r="D945" i="2"/>
  <c r="D935" i="2"/>
  <c r="D925" i="2"/>
  <c r="D915" i="2"/>
  <c r="D905" i="2"/>
  <c r="D895" i="2"/>
  <c r="D885" i="2"/>
  <c r="D875" i="2"/>
  <c r="D865" i="2"/>
  <c r="D855" i="2"/>
  <c r="D845" i="2"/>
  <c r="D835" i="2"/>
  <c r="D825" i="2"/>
  <c r="D815" i="2"/>
  <c r="D805" i="2"/>
  <c r="D795" i="2"/>
  <c r="D785" i="2"/>
  <c r="D775" i="2"/>
  <c r="D765" i="2"/>
  <c r="D755" i="2"/>
  <c r="D745" i="2"/>
  <c r="D735" i="2"/>
  <c r="D1451" i="2"/>
  <c r="Y177" i="2"/>
  <c r="O39" i="5" l="1"/>
  <c r="G99" i="4"/>
  <c r="G100" i="4"/>
  <c r="G101" i="4"/>
  <c r="G102" i="4"/>
  <c r="G103" i="4"/>
  <c r="G104" i="4"/>
  <c r="G105" i="4"/>
  <c r="G107" i="4"/>
  <c r="G108" i="4"/>
  <c r="G90" i="4"/>
  <c r="G110" i="4"/>
  <c r="G91" i="4"/>
  <c r="G111" i="4"/>
  <c r="G92" i="4"/>
  <c r="G88" i="4"/>
  <c r="G93" i="4"/>
  <c r="G94" i="4"/>
  <c r="G95" i="4"/>
  <c r="G106" i="4"/>
  <c r="G89" i="4"/>
  <c r="G109" i="4"/>
  <c r="G96" i="4"/>
  <c r="G97" i="4"/>
  <c r="G98" i="4"/>
  <c r="F479" i="9"/>
  <c r="F499" i="9"/>
  <c r="F21" i="9"/>
  <c r="F41" i="9"/>
  <c r="F60" i="9"/>
  <c r="F80" i="9"/>
  <c r="F100" i="9"/>
  <c r="F120" i="9"/>
  <c r="F140" i="9"/>
  <c r="F160" i="9"/>
  <c r="F180" i="9"/>
  <c r="F200" i="9"/>
  <c r="F220" i="9"/>
  <c r="F240" i="9"/>
  <c r="F260" i="9"/>
  <c r="F280" i="9"/>
  <c r="F300" i="9"/>
  <c r="F320" i="9"/>
  <c r="F340" i="9"/>
  <c r="F360" i="9"/>
  <c r="F380" i="9"/>
  <c r="F400" i="9"/>
  <c r="F420" i="9"/>
  <c r="F440" i="9"/>
  <c r="F460" i="9"/>
  <c r="F480" i="9"/>
  <c r="F500" i="9"/>
  <c r="F16" i="9"/>
  <c r="F35" i="9"/>
  <c r="F54" i="9"/>
  <c r="F74" i="9"/>
  <c r="F94" i="9"/>
  <c r="F114" i="9"/>
  <c r="F134" i="9"/>
  <c r="F154" i="9"/>
  <c r="F174" i="9"/>
  <c r="F194" i="9"/>
  <c r="F214" i="9"/>
  <c r="F234" i="9"/>
  <c r="F254" i="9"/>
  <c r="F274" i="9"/>
  <c r="F294" i="9"/>
  <c r="F314" i="9"/>
  <c r="F334" i="9"/>
  <c r="F354" i="9"/>
  <c r="F374" i="9"/>
  <c r="F394" i="9"/>
  <c r="F414" i="9"/>
  <c r="F434" i="9"/>
  <c r="F454" i="9"/>
  <c r="F474" i="9"/>
  <c r="F494" i="9"/>
  <c r="F514" i="9"/>
  <c r="F36" i="9"/>
  <c r="F55" i="9"/>
  <c r="F75" i="9"/>
  <c r="F95" i="9"/>
  <c r="F115" i="9"/>
  <c r="F135" i="9"/>
  <c r="F155" i="9"/>
  <c r="F175" i="9"/>
  <c r="F195" i="9"/>
  <c r="F215" i="9"/>
  <c r="F235" i="9"/>
  <c r="F255" i="9"/>
  <c r="F275" i="9"/>
  <c r="F295" i="9"/>
  <c r="F315" i="9"/>
  <c r="F335" i="9"/>
  <c r="F355" i="9"/>
  <c r="F375" i="9"/>
  <c r="F395" i="9"/>
  <c r="F415" i="9"/>
  <c r="F435" i="9"/>
  <c r="F455" i="9"/>
  <c r="F475" i="9"/>
  <c r="F495" i="9"/>
  <c r="F515" i="9"/>
  <c r="F17" i="9"/>
  <c r="F37" i="9"/>
  <c r="F56" i="9"/>
  <c r="F76" i="9"/>
  <c r="F96" i="9"/>
  <c r="F116" i="9"/>
  <c r="F136" i="9"/>
  <c r="F156" i="9"/>
  <c r="F176" i="9"/>
  <c r="F196" i="9"/>
  <c r="F216" i="9"/>
  <c r="F236" i="9"/>
  <c r="F256" i="9"/>
  <c r="F276" i="9"/>
  <c r="F296" i="9"/>
  <c r="F316" i="9"/>
  <c r="F336" i="9"/>
  <c r="F356" i="9"/>
  <c r="F376" i="9"/>
  <c r="F396" i="9"/>
  <c r="F416" i="9"/>
  <c r="F436" i="9"/>
  <c r="F456" i="9"/>
  <c r="F476" i="9"/>
  <c r="F496" i="9"/>
  <c r="F516" i="9"/>
  <c r="F18" i="9"/>
  <c r="F38" i="9"/>
  <c r="F57" i="9"/>
  <c r="F77" i="9"/>
  <c r="F97" i="9"/>
  <c r="F117" i="9"/>
  <c r="F137" i="9"/>
  <c r="F157" i="9"/>
  <c r="F177" i="9"/>
  <c r="F197" i="9"/>
  <c r="F217" i="9"/>
  <c r="F237" i="9"/>
  <c r="F257" i="9"/>
  <c r="F277" i="9"/>
  <c r="F297" i="9"/>
  <c r="F317" i="9"/>
  <c r="F337" i="9"/>
  <c r="F357" i="9"/>
  <c r="F377" i="9"/>
  <c r="F397" i="9"/>
  <c r="F417" i="9"/>
  <c r="F437" i="9"/>
  <c r="F457" i="9"/>
  <c r="F477" i="9"/>
  <c r="F497" i="9"/>
  <c r="F517" i="9"/>
  <c r="F2" i="9"/>
  <c r="F19" i="9"/>
  <c r="F39" i="9"/>
  <c r="F58" i="9"/>
  <c r="F78" i="9"/>
  <c r="F98" i="9"/>
  <c r="F118" i="9"/>
  <c r="F138" i="9"/>
  <c r="F158" i="9"/>
  <c r="F178" i="9"/>
  <c r="F198" i="9"/>
  <c r="F218" i="9"/>
  <c r="F238" i="9"/>
  <c r="F258" i="9"/>
  <c r="F278" i="9"/>
  <c r="F298" i="9"/>
  <c r="F318" i="9"/>
  <c r="F338" i="9"/>
  <c r="F358" i="9"/>
  <c r="F378" i="9"/>
  <c r="F398" i="9"/>
  <c r="F418" i="9"/>
  <c r="F438" i="9"/>
  <c r="F458" i="9"/>
  <c r="F478" i="9"/>
  <c r="F498" i="9"/>
  <c r="O163" i="7"/>
  <c r="F176" i="7"/>
  <c r="F170" i="7"/>
  <c r="F166" i="7"/>
  <c r="F165" i="7"/>
  <c r="N112" i="7"/>
  <c r="F164" i="7"/>
  <c r="F163" i="7"/>
  <c r="F182" i="7"/>
  <c r="F162" i="7"/>
  <c r="F181" i="7"/>
  <c r="F169" i="7"/>
  <c r="F167" i="7"/>
  <c r="F180" i="7"/>
  <c r="D70" i="7"/>
  <c r="D71" i="7" s="1"/>
  <c r="D72" i="7" s="1"/>
  <c r="D73" i="7" s="1"/>
  <c r="F171" i="7"/>
  <c r="O116" i="7"/>
  <c r="F179" i="7"/>
  <c r="F172" i="7"/>
  <c r="F168" i="7"/>
  <c r="F178" i="7"/>
  <c r="B143" i="7"/>
  <c r="C143" i="7" s="1"/>
  <c r="H161" i="8"/>
  <c r="J136" i="8"/>
  <c r="H34" i="8"/>
  <c r="D71" i="8"/>
  <c r="O116" i="8"/>
  <c r="N112" i="8"/>
  <c r="C145" i="7"/>
  <c r="H158" i="7" s="1"/>
  <c r="F11" i="7"/>
  <c r="N36" i="7"/>
  <c r="O39" i="7" s="1"/>
  <c r="H34" i="5"/>
  <c r="C21" i="4"/>
  <c r="H34" i="4" s="1"/>
  <c r="N36" i="6"/>
  <c r="O39" i="6" s="1"/>
  <c r="D71" i="5"/>
  <c r="N111" i="5"/>
  <c r="O116" i="5" s="1"/>
  <c r="N112" i="5"/>
  <c r="N34" i="4"/>
  <c r="N35" i="4"/>
  <c r="N36" i="4"/>
  <c r="F11" i="4"/>
  <c r="F46" i="4" s="1"/>
  <c r="F55" i="4"/>
  <c r="F50" i="4"/>
  <c r="F54" i="4"/>
  <c r="F38" i="4"/>
  <c r="F92" i="4"/>
  <c r="F96" i="4"/>
  <c r="F100" i="4"/>
  <c r="F104" i="4"/>
  <c r="F37" i="4"/>
  <c r="F41" i="4"/>
  <c r="F45" i="4"/>
  <c r="F49" i="4"/>
  <c r="F53" i="4"/>
  <c r="F91" i="4"/>
  <c r="F95" i="4"/>
  <c r="F99" i="4"/>
  <c r="F103" i="4"/>
  <c r="F107" i="4"/>
  <c r="F111" i="4"/>
  <c r="F36" i="4"/>
  <c r="F40" i="4"/>
  <c r="F48" i="4"/>
  <c r="F52" i="4"/>
  <c r="F57" i="4"/>
  <c r="F58" i="4"/>
  <c r="F90" i="4"/>
  <c r="F94" i="4"/>
  <c r="F98" i="4"/>
  <c r="F102" i="4"/>
  <c r="F106" i="4"/>
  <c r="F110" i="4"/>
  <c r="F56" i="4"/>
  <c r="F35" i="4"/>
  <c r="F39" i="4"/>
  <c r="F43" i="4"/>
  <c r="F47" i="4"/>
  <c r="F51" i="4"/>
  <c r="F89" i="4"/>
  <c r="F93" i="4"/>
  <c r="F97" i="4"/>
  <c r="F101" i="4"/>
  <c r="F105" i="4"/>
  <c r="J135" i="8" l="1"/>
  <c r="D139" i="8" s="1"/>
  <c r="J134" i="8"/>
  <c r="N162" i="8"/>
  <c r="N163" i="8"/>
  <c r="F138" i="8"/>
  <c r="H138" i="8" s="1"/>
  <c r="J8" i="8"/>
  <c r="F10" i="8"/>
  <c r="D12" i="8" s="1"/>
  <c r="J9" i="8"/>
  <c r="F110" i="8"/>
  <c r="F106" i="8"/>
  <c r="F102" i="8"/>
  <c r="F98" i="8"/>
  <c r="F94" i="8"/>
  <c r="F90" i="8"/>
  <c r="F111" i="8"/>
  <c r="F107" i="8"/>
  <c r="F103" i="8"/>
  <c r="F99" i="8"/>
  <c r="F95" i="8"/>
  <c r="F91" i="8"/>
  <c r="F93" i="8"/>
  <c r="F89" i="8"/>
  <c r="F108" i="8"/>
  <c r="F104" i="8"/>
  <c r="F100" i="8"/>
  <c r="F96" i="8"/>
  <c r="F92" i="8"/>
  <c r="F88" i="8"/>
  <c r="F109" i="8"/>
  <c r="F105" i="8"/>
  <c r="F101" i="8"/>
  <c r="F97" i="8"/>
  <c r="D72" i="8"/>
  <c r="D73" i="8" s="1"/>
  <c r="G90" i="8" s="1"/>
  <c r="F12" i="6"/>
  <c r="G36" i="6" s="1"/>
  <c r="F36" i="6"/>
  <c r="F136" i="7"/>
  <c r="H135" i="7"/>
  <c r="H71" i="7"/>
  <c r="D80" i="7"/>
  <c r="G95" i="7"/>
  <c r="G106" i="7"/>
  <c r="G102" i="7"/>
  <c r="G91" i="7"/>
  <c r="G109" i="7"/>
  <c r="G93" i="7"/>
  <c r="G92" i="7"/>
  <c r="G98" i="7"/>
  <c r="G90" i="7"/>
  <c r="G96" i="7"/>
  <c r="G94" i="7"/>
  <c r="G89" i="7"/>
  <c r="G88" i="7"/>
  <c r="G111" i="7"/>
  <c r="G108" i="7"/>
  <c r="G105" i="7"/>
  <c r="G107" i="7"/>
  <c r="G104" i="7"/>
  <c r="G101" i="7"/>
  <c r="G103" i="7"/>
  <c r="G100" i="7"/>
  <c r="G97" i="7"/>
  <c r="G99" i="7"/>
  <c r="G110" i="7"/>
  <c r="F58" i="7"/>
  <c r="F52" i="7"/>
  <c r="F48" i="7"/>
  <c r="F44" i="7"/>
  <c r="F38" i="7"/>
  <c r="H11" i="7"/>
  <c r="F57" i="7"/>
  <c r="F47" i="7"/>
  <c r="F37" i="7"/>
  <c r="F12" i="7"/>
  <c r="G35" i="7" s="1"/>
  <c r="F53" i="7"/>
  <c r="F49" i="7"/>
  <c r="F45" i="7"/>
  <c r="F40" i="7"/>
  <c r="F39" i="7"/>
  <c r="F54" i="7"/>
  <c r="F41" i="7"/>
  <c r="F56" i="7"/>
  <c r="F55" i="7"/>
  <c r="F50" i="7"/>
  <c r="F46" i="7"/>
  <c r="F42" i="7"/>
  <c r="F35" i="7"/>
  <c r="F36" i="7"/>
  <c r="F51" i="7"/>
  <c r="F43" i="7"/>
  <c r="F110" i="7"/>
  <c r="F106" i="7"/>
  <c r="F102" i="7"/>
  <c r="F98" i="7"/>
  <c r="F94" i="7"/>
  <c r="F90" i="7"/>
  <c r="F109" i="7"/>
  <c r="F101" i="7"/>
  <c r="F97" i="7"/>
  <c r="F111" i="7"/>
  <c r="F107" i="7"/>
  <c r="F103" i="7"/>
  <c r="F99" i="7"/>
  <c r="F95" i="7"/>
  <c r="F91" i="7"/>
  <c r="F108" i="7"/>
  <c r="F104" i="7"/>
  <c r="F100" i="7"/>
  <c r="F96" i="7"/>
  <c r="F105" i="7"/>
  <c r="F92" i="7"/>
  <c r="F88" i="7"/>
  <c r="F93" i="7"/>
  <c r="F89" i="7"/>
  <c r="G53" i="6"/>
  <c r="G49" i="6"/>
  <c r="G45" i="6"/>
  <c r="G40" i="6"/>
  <c r="G39" i="6"/>
  <c r="G54" i="6"/>
  <c r="G41" i="6"/>
  <c r="H12" i="6"/>
  <c r="G58" i="6"/>
  <c r="G52" i="6"/>
  <c r="G48" i="6"/>
  <c r="G44" i="6"/>
  <c r="F58" i="6"/>
  <c r="F52" i="6"/>
  <c r="F48" i="6"/>
  <c r="F44" i="6"/>
  <c r="F38" i="6"/>
  <c r="H11" i="6"/>
  <c r="F53" i="6"/>
  <c r="F49" i="6"/>
  <c r="F45" i="6"/>
  <c r="F40" i="6"/>
  <c r="F39" i="6"/>
  <c r="F54" i="6"/>
  <c r="F41" i="6"/>
  <c r="F56" i="6"/>
  <c r="F55" i="6"/>
  <c r="F50" i="6"/>
  <c r="F46" i="6"/>
  <c r="F42" i="6"/>
  <c r="F35" i="6"/>
  <c r="F57" i="6"/>
  <c r="F51" i="6"/>
  <c r="F47" i="6"/>
  <c r="F43" i="6"/>
  <c r="F37" i="6"/>
  <c r="G95" i="5"/>
  <c r="G91" i="5"/>
  <c r="G108" i="5"/>
  <c r="G104" i="5"/>
  <c r="G109" i="5"/>
  <c r="G105" i="5"/>
  <c r="G101" i="5"/>
  <c r="G97" i="5"/>
  <c r="G106" i="5"/>
  <c r="G102" i="5"/>
  <c r="G98" i="5"/>
  <c r="G90" i="5"/>
  <c r="F94" i="5"/>
  <c r="F90" i="5"/>
  <c r="F111" i="5"/>
  <c r="F107" i="5"/>
  <c r="F103" i="5"/>
  <c r="F99" i="5"/>
  <c r="F95" i="5"/>
  <c r="F110" i="5"/>
  <c r="F91" i="5"/>
  <c r="F108" i="5"/>
  <c r="F104" i="5"/>
  <c r="F100" i="5"/>
  <c r="F96" i="5"/>
  <c r="F106" i="5"/>
  <c r="F92" i="5"/>
  <c r="F109" i="5"/>
  <c r="F105" i="5"/>
  <c r="F101" i="5"/>
  <c r="F97" i="5"/>
  <c r="F102" i="5"/>
  <c r="F93" i="5"/>
  <c r="F89" i="5"/>
  <c r="F98" i="5"/>
  <c r="D72" i="5"/>
  <c r="D73" i="5" s="1"/>
  <c r="G107" i="5" s="1"/>
  <c r="F53" i="5"/>
  <c r="F49" i="5"/>
  <c r="F45" i="5"/>
  <c r="F40" i="5"/>
  <c r="F39" i="5"/>
  <c r="F54" i="5"/>
  <c r="F41" i="5"/>
  <c r="F56" i="5"/>
  <c r="F55" i="5"/>
  <c r="F50" i="5"/>
  <c r="F46" i="5"/>
  <c r="F42" i="5"/>
  <c r="F36" i="5"/>
  <c r="F57" i="5"/>
  <c r="F51" i="5"/>
  <c r="F47" i="5"/>
  <c r="F43" i="5"/>
  <c r="F37" i="5"/>
  <c r="F12" i="5"/>
  <c r="G35" i="5" s="1"/>
  <c r="F52" i="5"/>
  <c r="F44" i="5"/>
  <c r="H11" i="5"/>
  <c r="F58" i="5"/>
  <c r="F48" i="5"/>
  <c r="F38" i="5"/>
  <c r="F44" i="4"/>
  <c r="H11" i="4"/>
  <c r="F42" i="4"/>
  <c r="O39" i="4"/>
  <c r="F12" i="4"/>
  <c r="D80" i="4"/>
  <c r="D82" i="4" s="1"/>
  <c r="G42" i="6" l="1"/>
  <c r="G55" i="6"/>
  <c r="G37" i="6"/>
  <c r="G43" i="6"/>
  <c r="G47" i="6"/>
  <c r="G51" i="6"/>
  <c r="G57" i="6"/>
  <c r="G38" i="6"/>
  <c r="F13" i="6"/>
  <c r="J22" i="6" s="1"/>
  <c r="G35" i="6"/>
  <c r="G46" i="6"/>
  <c r="G50" i="6"/>
  <c r="G56" i="6"/>
  <c r="O166" i="8"/>
  <c r="F139" i="8"/>
  <c r="G101" i="8"/>
  <c r="G102" i="8"/>
  <c r="G100" i="8"/>
  <c r="G99" i="8"/>
  <c r="G107" i="8"/>
  <c r="F11" i="8"/>
  <c r="N36" i="8"/>
  <c r="N34" i="8"/>
  <c r="N35" i="8"/>
  <c r="G93" i="8"/>
  <c r="G97" i="8"/>
  <c r="G96" i="8"/>
  <c r="G103" i="8"/>
  <c r="G105" i="8"/>
  <c r="G104" i="8"/>
  <c r="G111" i="8"/>
  <c r="G109" i="8"/>
  <c r="G108" i="8"/>
  <c r="G106" i="8"/>
  <c r="G110" i="8"/>
  <c r="H71" i="8"/>
  <c r="D80" i="8"/>
  <c r="G92" i="8"/>
  <c r="G91" i="8"/>
  <c r="G94" i="8"/>
  <c r="G89" i="8"/>
  <c r="G98" i="8"/>
  <c r="G95" i="8"/>
  <c r="H136" i="7"/>
  <c r="F137" i="7"/>
  <c r="D82" i="7"/>
  <c r="D81" i="7"/>
  <c r="G53" i="7"/>
  <c r="G49" i="7"/>
  <c r="G45" i="7"/>
  <c r="G40" i="7"/>
  <c r="G39" i="7"/>
  <c r="G58" i="7"/>
  <c r="G52" i="7"/>
  <c r="G44" i="7"/>
  <c r="G38" i="7"/>
  <c r="G54" i="7"/>
  <c r="G41" i="7"/>
  <c r="G56" i="7"/>
  <c r="G55" i="7"/>
  <c r="G50" i="7"/>
  <c r="G46" i="7"/>
  <c r="G42" i="7"/>
  <c r="G36" i="7"/>
  <c r="F13" i="7"/>
  <c r="G57" i="7"/>
  <c r="G51" i="7"/>
  <c r="G47" i="7"/>
  <c r="G43" i="7"/>
  <c r="G37" i="7"/>
  <c r="H12" i="7"/>
  <c r="G48" i="7"/>
  <c r="H72" i="7"/>
  <c r="H73" i="7"/>
  <c r="H81" i="7" s="1"/>
  <c r="F14" i="6"/>
  <c r="F22" i="6"/>
  <c r="F23" i="6" s="1"/>
  <c r="E35" i="6" s="1"/>
  <c r="G110" i="5"/>
  <c r="G99" i="5"/>
  <c r="G53" i="5"/>
  <c r="G49" i="5"/>
  <c r="G45" i="5"/>
  <c r="G40" i="5"/>
  <c r="G39" i="5"/>
  <c r="G54" i="5"/>
  <c r="G41" i="5"/>
  <c r="G56" i="5"/>
  <c r="G55" i="5"/>
  <c r="G50" i="5"/>
  <c r="G46" i="5"/>
  <c r="G42" i="5"/>
  <c r="G36" i="5"/>
  <c r="F13" i="5"/>
  <c r="F14" i="5" s="1"/>
  <c r="G57" i="5"/>
  <c r="G51" i="5"/>
  <c r="G47" i="5"/>
  <c r="G43" i="5"/>
  <c r="G37" i="5"/>
  <c r="H12" i="5"/>
  <c r="G58" i="5"/>
  <c r="G52" i="5"/>
  <c r="G48" i="5"/>
  <c r="G44" i="5"/>
  <c r="G38" i="5"/>
  <c r="G103" i="5"/>
  <c r="G94" i="5"/>
  <c r="G92" i="5"/>
  <c r="G89" i="5"/>
  <c r="G96" i="5"/>
  <c r="H71" i="5"/>
  <c r="G93" i="5"/>
  <c r="G100" i="5"/>
  <c r="G111" i="5"/>
  <c r="G42" i="4"/>
  <c r="G55" i="4"/>
  <c r="G44" i="4"/>
  <c r="G43" i="4"/>
  <c r="F13" i="4"/>
  <c r="G57" i="4"/>
  <c r="G47" i="4"/>
  <c r="G49" i="4"/>
  <c r="G39" i="4"/>
  <c r="G53" i="4"/>
  <c r="H12" i="4"/>
  <c r="G35" i="4"/>
  <c r="G54" i="4"/>
  <c r="G52" i="4"/>
  <c r="G45" i="4"/>
  <c r="G36" i="4"/>
  <c r="G56" i="4"/>
  <c r="G46" i="4"/>
  <c r="G40" i="4"/>
  <c r="G51" i="4"/>
  <c r="G58" i="4"/>
  <c r="G48" i="4"/>
  <c r="G38" i="4"/>
  <c r="G50" i="4"/>
  <c r="G41" i="4"/>
  <c r="G37" i="4"/>
  <c r="D81" i="4"/>
  <c r="D108" i="4"/>
  <c r="D97" i="4"/>
  <c r="D94" i="4"/>
  <c r="D103" i="4"/>
  <c r="E109" i="4"/>
  <c r="E105" i="4"/>
  <c r="E101" i="4"/>
  <c r="E97" i="4"/>
  <c r="E93" i="4"/>
  <c r="E89" i="4"/>
  <c r="E110" i="4"/>
  <c r="E106" i="4"/>
  <c r="E102" i="4"/>
  <c r="E98" i="4"/>
  <c r="E94" i="4"/>
  <c r="E90" i="4"/>
  <c r="E111" i="4"/>
  <c r="E107" i="4"/>
  <c r="E103" i="4"/>
  <c r="E99" i="4"/>
  <c r="E95" i="4"/>
  <c r="E91" i="4"/>
  <c r="E104" i="4"/>
  <c r="E100" i="4"/>
  <c r="E96" i="4"/>
  <c r="E92" i="4"/>
  <c r="E88" i="4"/>
  <c r="E108" i="4"/>
  <c r="H81" i="4"/>
  <c r="F140" i="8" l="1"/>
  <c r="H139" i="8"/>
  <c r="F12" i="8"/>
  <c r="F35" i="8"/>
  <c r="H11" i="8"/>
  <c r="F56" i="8"/>
  <c r="F47" i="8"/>
  <c r="F49" i="8"/>
  <c r="F50" i="8"/>
  <c r="F37" i="8"/>
  <c r="F53" i="8"/>
  <c r="F55" i="8"/>
  <c r="F43" i="8"/>
  <c r="F58" i="8"/>
  <c r="F45" i="8"/>
  <c r="F46" i="8"/>
  <c r="F52" i="8"/>
  <c r="F40" i="8"/>
  <c r="F42" i="8"/>
  <c r="F48" i="8"/>
  <c r="F39" i="8"/>
  <c r="F36" i="8"/>
  <c r="F44" i="8"/>
  <c r="F54" i="8"/>
  <c r="F57" i="8"/>
  <c r="F38" i="8"/>
  <c r="F41" i="8"/>
  <c r="F51" i="8"/>
  <c r="O39" i="8"/>
  <c r="H72" i="8"/>
  <c r="H73" i="8"/>
  <c r="D82" i="8"/>
  <c r="D81" i="8"/>
  <c r="G163" i="7"/>
  <c r="G164" i="7"/>
  <c r="G182" i="7"/>
  <c r="G169" i="7"/>
  <c r="G172" i="7"/>
  <c r="G167" i="7"/>
  <c r="G177" i="7"/>
  <c r="G180" i="7"/>
  <c r="G175" i="7"/>
  <c r="G162" i="7"/>
  <c r="G165" i="7"/>
  <c r="G170" i="7"/>
  <c r="G173" i="7"/>
  <c r="G168" i="7"/>
  <c r="G178" i="7"/>
  <c r="G181" i="7"/>
  <c r="G176" i="7"/>
  <c r="G171" i="7"/>
  <c r="G166" i="7"/>
  <c r="G179" i="7"/>
  <c r="G174" i="7"/>
  <c r="F146" i="7"/>
  <c r="F147" i="7" s="1"/>
  <c r="F138" i="7"/>
  <c r="J146" i="7"/>
  <c r="D109" i="7"/>
  <c r="D105" i="7"/>
  <c r="D101" i="7"/>
  <c r="D97" i="7"/>
  <c r="D93" i="7"/>
  <c r="D89" i="7"/>
  <c r="D104" i="7"/>
  <c r="D100" i="7"/>
  <c r="D96" i="7"/>
  <c r="D92" i="7"/>
  <c r="D88" i="7"/>
  <c r="D110" i="7"/>
  <c r="D106" i="7"/>
  <c r="D102" i="7"/>
  <c r="D98" i="7"/>
  <c r="D108" i="7"/>
  <c r="D94" i="7"/>
  <c r="D90" i="7"/>
  <c r="H80" i="7"/>
  <c r="D111" i="7"/>
  <c r="D107" i="7"/>
  <c r="D103" i="7"/>
  <c r="D99" i="7"/>
  <c r="D95" i="7"/>
  <c r="D91" i="7"/>
  <c r="E93" i="7"/>
  <c r="E89" i="7"/>
  <c r="E110" i="7"/>
  <c r="E106" i="7"/>
  <c r="E102" i="7"/>
  <c r="E98" i="7"/>
  <c r="E92" i="7"/>
  <c r="E88" i="7"/>
  <c r="E101" i="7"/>
  <c r="E94" i="7"/>
  <c r="E90" i="7"/>
  <c r="E109" i="7"/>
  <c r="E111" i="7"/>
  <c r="E107" i="7"/>
  <c r="E103" i="7"/>
  <c r="E99" i="7"/>
  <c r="E95" i="7"/>
  <c r="E91" i="7"/>
  <c r="E108" i="7"/>
  <c r="E104" i="7"/>
  <c r="E100" i="7"/>
  <c r="E96" i="7"/>
  <c r="E105" i="7"/>
  <c r="E97" i="7"/>
  <c r="F14" i="7"/>
  <c r="J22" i="7"/>
  <c r="F22" i="7"/>
  <c r="F23" i="7" s="1"/>
  <c r="E58" i="6"/>
  <c r="E52" i="6"/>
  <c r="E48" i="6"/>
  <c r="E44" i="6"/>
  <c r="E38" i="6"/>
  <c r="F24" i="6"/>
  <c r="E47" i="6"/>
  <c r="E53" i="6"/>
  <c r="E49" i="6"/>
  <c r="E45" i="6"/>
  <c r="E40" i="6"/>
  <c r="E39" i="6"/>
  <c r="E57" i="6"/>
  <c r="E51" i="6"/>
  <c r="E37" i="6"/>
  <c r="E54" i="6"/>
  <c r="E41" i="6"/>
  <c r="E43" i="6"/>
  <c r="E56" i="6"/>
  <c r="E55" i="6"/>
  <c r="E50" i="6"/>
  <c r="E46" i="6"/>
  <c r="E42" i="6"/>
  <c r="E36" i="6"/>
  <c r="J24" i="6"/>
  <c r="J23" i="6"/>
  <c r="D35" i="6" s="1"/>
  <c r="D82" i="5"/>
  <c r="H73" i="5"/>
  <c r="H81" i="5" s="1"/>
  <c r="H72" i="5"/>
  <c r="J22" i="5"/>
  <c r="F22" i="5"/>
  <c r="F23" i="5" s="1"/>
  <c r="E35" i="5" s="1"/>
  <c r="F22" i="4"/>
  <c r="F23" i="4" s="1"/>
  <c r="J22" i="4"/>
  <c r="F14" i="4"/>
  <c r="D111" i="4"/>
  <c r="D109" i="4"/>
  <c r="D102" i="4"/>
  <c r="D107" i="4"/>
  <c r="D95" i="4"/>
  <c r="D106" i="4"/>
  <c r="D92" i="4"/>
  <c r="D99" i="4"/>
  <c r="D110" i="4"/>
  <c r="D96" i="4"/>
  <c r="D89" i="4"/>
  <c r="D100" i="4"/>
  <c r="D93" i="4"/>
  <c r="D104" i="4"/>
  <c r="D90" i="4"/>
  <c r="D101" i="4"/>
  <c r="D91" i="4"/>
  <c r="D98" i="4"/>
  <c r="D105" i="4"/>
  <c r="D88" i="4"/>
  <c r="H88" i="4" s="1"/>
  <c r="F149" i="8" l="1"/>
  <c r="F150" i="8" s="1"/>
  <c r="F151" i="8" s="1"/>
  <c r="F141" i="8"/>
  <c r="J149" i="8"/>
  <c r="G35" i="8"/>
  <c r="G53" i="8"/>
  <c r="G52" i="8"/>
  <c r="G38" i="8"/>
  <c r="H12" i="8"/>
  <c r="F13" i="8"/>
  <c r="G57" i="8"/>
  <c r="G39" i="8"/>
  <c r="G51" i="8"/>
  <c r="G42" i="8"/>
  <c r="G43" i="8"/>
  <c r="G49" i="8"/>
  <c r="G56" i="8"/>
  <c r="G45" i="8"/>
  <c r="G55" i="8"/>
  <c r="G40" i="8"/>
  <c r="G50" i="8"/>
  <c r="G46" i="8"/>
  <c r="G54" i="8"/>
  <c r="G47" i="8"/>
  <c r="G48" i="8"/>
  <c r="G58" i="8"/>
  <c r="G37" i="8"/>
  <c r="G41" i="8"/>
  <c r="G44" i="8"/>
  <c r="E93" i="8"/>
  <c r="E89" i="8"/>
  <c r="E110" i="8"/>
  <c r="E106" i="8"/>
  <c r="E102" i="8"/>
  <c r="E98" i="8"/>
  <c r="E94" i="8"/>
  <c r="E90" i="8"/>
  <c r="E101" i="8"/>
  <c r="E97" i="8"/>
  <c r="E111" i="8"/>
  <c r="E107" i="8"/>
  <c r="E103" i="8"/>
  <c r="E99" i="8"/>
  <c r="E95" i="8"/>
  <c r="E109" i="8"/>
  <c r="E91" i="8"/>
  <c r="E105" i="8"/>
  <c r="E108" i="8"/>
  <c r="E104" i="8"/>
  <c r="E100" i="8"/>
  <c r="E96" i="8"/>
  <c r="E92" i="8"/>
  <c r="E88" i="8"/>
  <c r="H81" i="8"/>
  <c r="D109" i="8"/>
  <c r="D105" i="8"/>
  <c r="D101" i="8"/>
  <c r="D97" i="8"/>
  <c r="D93" i="8"/>
  <c r="D89" i="8"/>
  <c r="D110" i="8"/>
  <c r="D106" i="8"/>
  <c r="D102" i="8"/>
  <c r="D98" i="8"/>
  <c r="D88" i="8"/>
  <c r="D94" i="8"/>
  <c r="D90" i="8"/>
  <c r="H80" i="8"/>
  <c r="D92" i="8"/>
  <c r="D111" i="8"/>
  <c r="D107" i="8"/>
  <c r="D103" i="8"/>
  <c r="D99" i="8"/>
  <c r="D95" i="8"/>
  <c r="D91" i="8"/>
  <c r="D108" i="8"/>
  <c r="D104" i="8"/>
  <c r="D100" i="8"/>
  <c r="D96" i="8"/>
  <c r="E165" i="7"/>
  <c r="E173" i="7"/>
  <c r="E181" i="7"/>
  <c r="E166" i="7"/>
  <c r="E174" i="7"/>
  <c r="E182" i="7"/>
  <c r="E167" i="7"/>
  <c r="E175" i="7"/>
  <c r="E164" i="7"/>
  <c r="E168" i="7"/>
  <c r="E176" i="7"/>
  <c r="E172" i="7"/>
  <c r="E169" i="7"/>
  <c r="E177" i="7"/>
  <c r="E162" i="7"/>
  <c r="E170" i="7"/>
  <c r="E178" i="7"/>
  <c r="E163" i="7"/>
  <c r="E171" i="7"/>
  <c r="E179" i="7"/>
  <c r="E180" i="7"/>
  <c r="F148" i="7"/>
  <c r="J148" i="7"/>
  <c r="J147" i="7"/>
  <c r="E58" i="7"/>
  <c r="E52" i="7"/>
  <c r="E48" i="7"/>
  <c r="E44" i="7"/>
  <c r="E38" i="7"/>
  <c r="E51" i="7"/>
  <c r="E47" i="7"/>
  <c r="F24" i="7"/>
  <c r="E53" i="7"/>
  <c r="E49" i="7"/>
  <c r="E45" i="7"/>
  <c r="E40" i="7"/>
  <c r="E39" i="7"/>
  <c r="E54" i="7"/>
  <c r="E41" i="7"/>
  <c r="E56" i="7"/>
  <c r="E55" i="7"/>
  <c r="E50" i="7"/>
  <c r="E46" i="7"/>
  <c r="E42" i="7"/>
  <c r="E35" i="7"/>
  <c r="E36" i="7"/>
  <c r="E57" i="7"/>
  <c r="E43" i="7"/>
  <c r="E37" i="7"/>
  <c r="J24" i="7"/>
  <c r="J23" i="7"/>
  <c r="H88" i="7"/>
  <c r="I113" i="7"/>
  <c r="D57" i="6"/>
  <c r="D51" i="6"/>
  <c r="D47" i="6"/>
  <c r="D43" i="6"/>
  <c r="D37" i="6"/>
  <c r="D58" i="6"/>
  <c r="D52" i="6"/>
  <c r="D48" i="6"/>
  <c r="D44" i="6"/>
  <c r="D38" i="6"/>
  <c r="D36" i="6"/>
  <c r="D53" i="6"/>
  <c r="D49" i="6"/>
  <c r="D45" i="6"/>
  <c r="D40" i="6"/>
  <c r="D39" i="6"/>
  <c r="D54" i="6"/>
  <c r="D41" i="6"/>
  <c r="D56" i="6"/>
  <c r="D55" i="6"/>
  <c r="D50" i="6"/>
  <c r="D46" i="6"/>
  <c r="D42" i="6"/>
  <c r="E58" i="5"/>
  <c r="E52" i="5"/>
  <c r="E48" i="5"/>
  <c r="E44" i="5"/>
  <c r="E38" i="5"/>
  <c r="F24" i="5"/>
  <c r="E53" i="5"/>
  <c r="E49" i="5"/>
  <c r="E45" i="5"/>
  <c r="E40" i="5"/>
  <c r="E39" i="5"/>
  <c r="E54" i="5"/>
  <c r="E41" i="5"/>
  <c r="E56" i="5"/>
  <c r="E55" i="5"/>
  <c r="E50" i="5"/>
  <c r="E46" i="5"/>
  <c r="E42" i="5"/>
  <c r="E36" i="5"/>
  <c r="E57" i="5"/>
  <c r="E51" i="5"/>
  <c r="E47" i="5"/>
  <c r="E43" i="5"/>
  <c r="E37" i="5"/>
  <c r="J24" i="5"/>
  <c r="J23" i="5"/>
  <c r="D35" i="5" s="1"/>
  <c r="D93" i="5"/>
  <c r="D89" i="5"/>
  <c r="D110" i="5"/>
  <c r="D106" i="5"/>
  <c r="D102" i="5"/>
  <c r="D98" i="5"/>
  <c r="D94" i="5"/>
  <c r="D90" i="5"/>
  <c r="D109" i="5"/>
  <c r="D111" i="5"/>
  <c r="D107" i="5"/>
  <c r="D103" i="5"/>
  <c r="D99" i="5"/>
  <c r="D95" i="5"/>
  <c r="D91" i="5"/>
  <c r="D105" i="5"/>
  <c r="D108" i="5"/>
  <c r="D104" i="5"/>
  <c r="D100" i="5"/>
  <c r="D96" i="5"/>
  <c r="D97" i="5"/>
  <c r="D92" i="5"/>
  <c r="D88" i="5"/>
  <c r="D101" i="5"/>
  <c r="E110" i="5"/>
  <c r="E106" i="5"/>
  <c r="E102" i="5"/>
  <c r="E98" i="5"/>
  <c r="E94" i="5"/>
  <c r="E111" i="5"/>
  <c r="E107" i="5"/>
  <c r="E103" i="5"/>
  <c r="E99" i="5"/>
  <c r="E95" i="5"/>
  <c r="E91" i="5"/>
  <c r="E108" i="5"/>
  <c r="E104" i="5"/>
  <c r="E100" i="5"/>
  <c r="E96" i="5"/>
  <c r="E92" i="5"/>
  <c r="E89" i="5"/>
  <c r="E109" i="5"/>
  <c r="E105" i="5"/>
  <c r="E101" i="5"/>
  <c r="E97" i="5"/>
  <c r="E93" i="5"/>
  <c r="J24" i="4"/>
  <c r="J23" i="4"/>
  <c r="E39" i="4"/>
  <c r="E56" i="4"/>
  <c r="E45" i="4"/>
  <c r="E55" i="4"/>
  <c r="E42" i="4"/>
  <c r="E43" i="4"/>
  <c r="E51" i="4"/>
  <c r="E52" i="4"/>
  <c r="E47" i="4"/>
  <c r="E54" i="4"/>
  <c r="E36" i="4"/>
  <c r="E58" i="4"/>
  <c r="E44" i="4"/>
  <c r="F24" i="4"/>
  <c r="E40" i="4"/>
  <c r="E38" i="4"/>
  <c r="E35" i="4"/>
  <c r="E46" i="4"/>
  <c r="E57" i="4"/>
  <c r="E50" i="4"/>
  <c r="E37" i="4"/>
  <c r="E48" i="4"/>
  <c r="E53" i="4"/>
  <c r="E49" i="4"/>
  <c r="E41" i="4"/>
  <c r="I113" i="4"/>
  <c r="I88" i="4"/>
  <c r="H89" i="4" s="1"/>
  <c r="J151" i="8" l="1"/>
  <c r="J150" i="8"/>
  <c r="F22" i="8"/>
  <c r="F23" i="8" s="1"/>
  <c r="J22" i="8"/>
  <c r="F14" i="8"/>
  <c r="H88" i="8"/>
  <c r="D164" i="7"/>
  <c r="D172" i="7"/>
  <c r="D180" i="7"/>
  <c r="D163" i="7"/>
  <c r="D165" i="7"/>
  <c r="D173" i="7"/>
  <c r="D181" i="7"/>
  <c r="D166" i="7"/>
  <c r="D174" i="7"/>
  <c r="D182" i="7"/>
  <c r="D167" i="7"/>
  <c r="D175" i="7"/>
  <c r="D168" i="7"/>
  <c r="D176" i="7"/>
  <c r="D179" i="7"/>
  <c r="D169" i="7"/>
  <c r="D177" i="7"/>
  <c r="D171" i="7"/>
  <c r="D162" i="7"/>
  <c r="D170" i="7"/>
  <c r="D178" i="7"/>
  <c r="D57" i="7"/>
  <c r="D51" i="7"/>
  <c r="D47" i="7"/>
  <c r="D43" i="7"/>
  <c r="D37" i="7"/>
  <c r="D55" i="7"/>
  <c r="D50" i="7"/>
  <c r="D42" i="7"/>
  <c r="D35" i="7"/>
  <c r="H35" i="7" s="1"/>
  <c r="D36" i="7"/>
  <c r="D58" i="7"/>
  <c r="D52" i="7"/>
  <c r="D48" i="7"/>
  <c r="D44" i="7"/>
  <c r="D38" i="7"/>
  <c r="D53" i="7"/>
  <c r="D49" i="7"/>
  <c r="D45" i="7"/>
  <c r="D40" i="7"/>
  <c r="D39" i="7"/>
  <c r="D54" i="7"/>
  <c r="D41" i="7"/>
  <c r="D56" i="7"/>
  <c r="D46" i="7"/>
  <c r="I88" i="7"/>
  <c r="H89" i="7" s="1"/>
  <c r="L54" i="6"/>
  <c r="H35" i="6"/>
  <c r="I113" i="5"/>
  <c r="D58" i="5"/>
  <c r="D52" i="5"/>
  <c r="D48" i="5"/>
  <c r="D44" i="5"/>
  <c r="D38" i="5"/>
  <c r="D53" i="5"/>
  <c r="D49" i="5"/>
  <c r="D45" i="5"/>
  <c r="D40" i="5"/>
  <c r="D39" i="5"/>
  <c r="D54" i="5"/>
  <c r="D41" i="5"/>
  <c r="D56" i="5"/>
  <c r="D55" i="5"/>
  <c r="D50" i="5"/>
  <c r="D46" i="5"/>
  <c r="D42" i="5"/>
  <c r="D57" i="5"/>
  <c r="D47" i="5"/>
  <c r="D37" i="5"/>
  <c r="D36" i="5"/>
  <c r="D51" i="5"/>
  <c r="D43" i="5"/>
  <c r="D50" i="4"/>
  <c r="D38" i="4"/>
  <c r="D58" i="4"/>
  <c r="D49" i="4"/>
  <c r="D55" i="4"/>
  <c r="D57" i="4"/>
  <c r="D45" i="4"/>
  <c r="D53" i="4"/>
  <c r="D51" i="4"/>
  <c r="D52" i="4"/>
  <c r="D41" i="4"/>
  <c r="D47" i="4"/>
  <c r="D48" i="4"/>
  <c r="D37" i="4"/>
  <c r="D54" i="4"/>
  <c r="D43" i="4"/>
  <c r="D44" i="4"/>
  <c r="D39" i="4"/>
  <c r="D40" i="4"/>
  <c r="D46" i="4"/>
  <c r="D35" i="4"/>
  <c r="D36" i="4"/>
  <c r="D42" i="4"/>
  <c r="D56" i="4"/>
  <c r="I89" i="4"/>
  <c r="H90" i="4" s="1"/>
  <c r="J23" i="8" l="1"/>
  <c r="J24" i="8"/>
  <c r="E35" i="8"/>
  <c r="F24" i="8"/>
  <c r="E57" i="8"/>
  <c r="E42" i="8"/>
  <c r="E43" i="8"/>
  <c r="E54" i="8"/>
  <c r="E53" i="8"/>
  <c r="E52" i="8"/>
  <c r="E51" i="8"/>
  <c r="E37" i="8"/>
  <c r="E36" i="8"/>
  <c r="E47" i="8"/>
  <c r="E41" i="8"/>
  <c r="E49" i="8"/>
  <c r="E58" i="8"/>
  <c r="E56" i="8"/>
  <c r="E48" i="8"/>
  <c r="E45" i="8"/>
  <c r="E55" i="8"/>
  <c r="E44" i="8"/>
  <c r="E40" i="8"/>
  <c r="E50" i="8"/>
  <c r="E38" i="8"/>
  <c r="E39" i="8"/>
  <c r="E46" i="8"/>
  <c r="I88" i="8"/>
  <c r="H89" i="8"/>
  <c r="I160" i="7"/>
  <c r="I161" i="7" s="1"/>
  <c r="I89" i="7"/>
  <c r="H90" i="7" s="1"/>
  <c r="L54" i="7"/>
  <c r="I35" i="6"/>
  <c r="H36" i="6" s="1"/>
  <c r="I36" i="6" s="1"/>
  <c r="L54" i="5"/>
  <c r="H35" i="5"/>
  <c r="H89" i="5"/>
  <c r="H35" i="4"/>
  <c r="I35" i="4" s="1"/>
  <c r="H36" i="4" s="1"/>
  <c r="I36" i="4" s="1"/>
  <c r="H37" i="4" s="1"/>
  <c r="I37" i="4" s="1"/>
  <c r="H38" i="4" s="1"/>
  <c r="L54" i="4"/>
  <c r="I90" i="4"/>
  <c r="H91" i="4" s="1"/>
  <c r="H162" i="7" l="1"/>
  <c r="I162" i="7" s="1"/>
  <c r="D35" i="8"/>
  <c r="D43" i="8"/>
  <c r="D53" i="8"/>
  <c r="D55" i="8"/>
  <c r="D58" i="8"/>
  <c r="D46" i="8"/>
  <c r="D48" i="8"/>
  <c r="D39" i="8"/>
  <c r="D57" i="8"/>
  <c r="D44" i="8"/>
  <c r="D54" i="8"/>
  <c r="D51" i="8"/>
  <c r="D37" i="8"/>
  <c r="D49" i="8"/>
  <c r="D50" i="8"/>
  <c r="D45" i="8"/>
  <c r="D52" i="8"/>
  <c r="D40" i="8"/>
  <c r="D42" i="8"/>
  <c r="D38" i="8"/>
  <c r="D41" i="8"/>
  <c r="D47" i="8"/>
  <c r="D36" i="8"/>
  <c r="D56" i="8"/>
  <c r="I89" i="8"/>
  <c r="H90" i="8" s="1"/>
  <c r="I90" i="7"/>
  <c r="H91" i="7" s="1"/>
  <c r="I35" i="7"/>
  <c r="H36" i="7" s="1"/>
  <c r="H37" i="6"/>
  <c r="I89" i="5"/>
  <c r="H90" i="5"/>
  <c r="I35" i="5"/>
  <c r="H36" i="5" s="1"/>
  <c r="I91" i="4"/>
  <c r="H92" i="4" s="1"/>
  <c r="I38" i="4"/>
  <c r="H39" i="4" s="1"/>
  <c r="H163" i="7" l="1"/>
  <c r="I163" i="7" s="1"/>
  <c r="H164" i="7" s="1"/>
  <c r="I164" i="7" s="1"/>
  <c r="H165" i="7" s="1"/>
  <c r="I165" i="7" s="1"/>
  <c r="H166" i="7" s="1"/>
  <c r="I166" i="7" s="1"/>
  <c r="H167" i="7" s="1"/>
  <c r="I162" i="8"/>
  <c r="I163" i="8" s="1"/>
  <c r="H164" i="8" s="1"/>
  <c r="I164" i="8" s="1"/>
  <c r="H165" i="8" s="1"/>
  <c r="I165" i="8" s="1"/>
  <c r="H166" i="8" s="1"/>
  <c r="I166" i="8" s="1"/>
  <c r="H167" i="8" s="1"/>
  <c r="I167" i="8" s="1"/>
  <c r="H168" i="8" s="1"/>
  <c r="I168" i="8" s="1"/>
  <c r="H169" i="8" s="1"/>
  <c r="I169" i="8" s="1"/>
  <c r="H170" i="8" s="1"/>
  <c r="I170" i="8" s="1"/>
  <c r="H171" i="8" s="1"/>
  <c r="H35" i="8"/>
  <c r="I35" i="8" s="1"/>
  <c r="H36" i="8" s="1"/>
  <c r="I36" i="8" s="1"/>
  <c r="H37" i="8" s="1"/>
  <c r="L54" i="8"/>
  <c r="I90" i="8"/>
  <c r="H91" i="8" s="1"/>
  <c r="I167" i="7"/>
  <c r="H168" i="7" s="1"/>
  <c r="I36" i="7"/>
  <c r="H37" i="7" s="1"/>
  <c r="I91" i="7"/>
  <c r="H92" i="7"/>
  <c r="I37" i="6"/>
  <c r="H38" i="6" s="1"/>
  <c r="I36" i="5"/>
  <c r="H37" i="5" s="1"/>
  <c r="I90" i="5"/>
  <c r="H91" i="5" s="1"/>
  <c r="I92" i="4"/>
  <c r="H93" i="4" s="1"/>
  <c r="I39" i="4"/>
  <c r="H40" i="4" s="1"/>
  <c r="I171" i="8" l="1"/>
  <c r="H172" i="8" s="1"/>
  <c r="I91" i="8"/>
  <c r="H92" i="8"/>
  <c r="I37" i="8"/>
  <c r="H38" i="8" s="1"/>
  <c r="I168" i="7"/>
  <c r="H169" i="7" s="1"/>
  <c r="I37" i="7"/>
  <c r="H38" i="7" s="1"/>
  <c r="I92" i="7"/>
  <c r="H93" i="7"/>
  <c r="I38" i="6"/>
  <c r="H39" i="6" s="1"/>
  <c r="I91" i="5"/>
  <c r="H92" i="5" s="1"/>
  <c r="I37" i="5"/>
  <c r="H38" i="5" s="1"/>
  <c r="I40" i="4"/>
  <c r="H41" i="4" s="1"/>
  <c r="I93" i="4"/>
  <c r="H94" i="4" s="1"/>
  <c r="I172" i="8" l="1"/>
  <c r="H173" i="8" s="1"/>
  <c r="I38" i="8"/>
  <c r="H39" i="8" s="1"/>
  <c r="I92" i="8"/>
  <c r="H93" i="8"/>
  <c r="I169" i="7"/>
  <c r="H170" i="7" s="1"/>
  <c r="I38" i="7"/>
  <c r="H39" i="7" s="1"/>
  <c r="I93" i="7"/>
  <c r="H94" i="7" s="1"/>
  <c r="I39" i="6"/>
  <c r="H40" i="6" s="1"/>
  <c r="I92" i="5"/>
  <c r="H93" i="5"/>
  <c r="I38" i="5"/>
  <c r="H39" i="5" s="1"/>
  <c r="I94" i="4"/>
  <c r="H95" i="4" s="1"/>
  <c r="I41" i="4"/>
  <c r="H42" i="4" s="1"/>
  <c r="I173" i="8" l="1"/>
  <c r="H174" i="8" s="1"/>
  <c r="I39" i="8"/>
  <c r="H40" i="8" s="1"/>
  <c r="H94" i="8"/>
  <c r="I93" i="8"/>
  <c r="I170" i="7"/>
  <c r="H171" i="7" s="1"/>
  <c r="I39" i="7"/>
  <c r="H40" i="7" s="1"/>
  <c r="I94" i="7"/>
  <c r="H95" i="7" s="1"/>
  <c r="I40" i="6"/>
  <c r="H41" i="6" s="1"/>
  <c r="I39" i="5"/>
  <c r="H40" i="5" s="1"/>
  <c r="I93" i="5"/>
  <c r="H94" i="5"/>
  <c r="I42" i="4"/>
  <c r="H43" i="4" s="1"/>
  <c r="I95" i="4"/>
  <c r="H96" i="4" s="1"/>
  <c r="I174" i="8" l="1"/>
  <c r="H175" i="8" s="1"/>
  <c r="I40" i="8"/>
  <c r="H41" i="8" s="1"/>
  <c r="I94" i="8"/>
  <c r="H95" i="8" s="1"/>
  <c r="I171" i="7"/>
  <c r="H172" i="7" s="1"/>
  <c r="I95" i="7"/>
  <c r="H96" i="7"/>
  <c r="I40" i="7"/>
  <c r="H41" i="7" s="1"/>
  <c r="I41" i="6"/>
  <c r="H42" i="6" s="1"/>
  <c r="I94" i="5"/>
  <c r="H95" i="5"/>
  <c r="I40" i="5"/>
  <c r="H41" i="5" s="1"/>
  <c r="I43" i="4"/>
  <c r="H44" i="4" s="1"/>
  <c r="I96" i="4"/>
  <c r="H97" i="4" s="1"/>
  <c r="I175" i="8" l="1"/>
  <c r="H176" i="8" s="1"/>
  <c r="I95" i="8"/>
  <c r="H96" i="8" s="1"/>
  <c r="I41" i="8"/>
  <c r="H42" i="8" s="1"/>
  <c r="I172" i="7"/>
  <c r="H173" i="7" s="1"/>
  <c r="I41" i="7"/>
  <c r="H42" i="7" s="1"/>
  <c r="I96" i="7"/>
  <c r="H97" i="7"/>
  <c r="I42" i="6"/>
  <c r="H43" i="6" s="1"/>
  <c r="I41" i="5"/>
  <c r="H42" i="5" s="1"/>
  <c r="I95" i="5"/>
  <c r="H96" i="5" s="1"/>
  <c r="I44" i="4"/>
  <c r="H45" i="4" s="1"/>
  <c r="I97" i="4"/>
  <c r="H98" i="4" s="1"/>
  <c r="I176" i="8" l="1"/>
  <c r="H177" i="8" s="1"/>
  <c r="I42" i="8"/>
  <c r="H43" i="8" s="1"/>
  <c r="I96" i="8"/>
  <c r="H97" i="8" s="1"/>
  <c r="I173" i="7"/>
  <c r="H174" i="7" s="1"/>
  <c r="I42" i="7"/>
  <c r="H43" i="7" s="1"/>
  <c r="I97" i="7"/>
  <c r="H98" i="7" s="1"/>
  <c r="I43" i="6"/>
  <c r="H44" i="6" s="1"/>
  <c r="I96" i="5"/>
  <c r="H97" i="5"/>
  <c r="I42" i="5"/>
  <c r="H43" i="5" s="1"/>
  <c r="I98" i="4"/>
  <c r="H99" i="4" s="1"/>
  <c r="I45" i="4"/>
  <c r="H46" i="4" s="1"/>
  <c r="I177" i="8" l="1"/>
  <c r="H178" i="8" s="1"/>
  <c r="I97" i="8"/>
  <c r="H98" i="8"/>
  <c r="I43" i="8"/>
  <c r="H44" i="8" s="1"/>
  <c r="I174" i="7"/>
  <c r="H175" i="7" s="1"/>
  <c r="I98" i="7"/>
  <c r="H99" i="7" s="1"/>
  <c r="I43" i="7"/>
  <c r="H44" i="7" s="1"/>
  <c r="I44" i="6"/>
  <c r="H45" i="6" s="1"/>
  <c r="I43" i="5"/>
  <c r="H44" i="5" s="1"/>
  <c r="I97" i="5"/>
  <c r="H98" i="5"/>
  <c r="I99" i="4"/>
  <c r="H100" i="4" s="1"/>
  <c r="I46" i="4"/>
  <c r="H47" i="4" s="1"/>
  <c r="I178" i="8" l="1"/>
  <c r="H179" i="8" s="1"/>
  <c r="I44" i="8"/>
  <c r="H45" i="8" s="1"/>
  <c r="H99" i="8"/>
  <c r="I98" i="8"/>
  <c r="I175" i="7"/>
  <c r="H176" i="7" s="1"/>
  <c r="I44" i="7"/>
  <c r="H45" i="7" s="1"/>
  <c r="I99" i="7"/>
  <c r="H100" i="7" s="1"/>
  <c r="I45" i="6"/>
  <c r="H46" i="6" s="1"/>
  <c r="I98" i="5"/>
  <c r="H99" i="5"/>
  <c r="I44" i="5"/>
  <c r="H45" i="5" s="1"/>
  <c r="I47" i="4"/>
  <c r="H48" i="4" s="1"/>
  <c r="I100" i="4"/>
  <c r="H101" i="4"/>
  <c r="I179" i="8" l="1"/>
  <c r="H180" i="8" s="1"/>
  <c r="I45" i="8"/>
  <c r="H46" i="8" s="1"/>
  <c r="I99" i="8"/>
  <c r="H100" i="8" s="1"/>
  <c r="I176" i="7"/>
  <c r="H177" i="7" s="1"/>
  <c r="I100" i="7"/>
  <c r="H101" i="7"/>
  <c r="I45" i="7"/>
  <c r="H46" i="7" s="1"/>
  <c r="I46" i="6"/>
  <c r="H47" i="6"/>
  <c r="I45" i="5"/>
  <c r="H46" i="5" s="1"/>
  <c r="I99" i="5"/>
  <c r="H100" i="5" s="1"/>
  <c r="I48" i="4"/>
  <c r="H49" i="4" s="1"/>
  <c r="I101" i="4"/>
  <c r="H102" i="4" s="1"/>
  <c r="I180" i="8" l="1"/>
  <c r="H181" i="8" s="1"/>
  <c r="I100" i="8"/>
  <c r="H101" i="8"/>
  <c r="I46" i="8"/>
  <c r="H47" i="8" s="1"/>
  <c r="I177" i="7"/>
  <c r="H178" i="7" s="1"/>
  <c r="I46" i="7"/>
  <c r="H47" i="7" s="1"/>
  <c r="I101" i="7"/>
  <c r="H102" i="7" s="1"/>
  <c r="I47" i="6"/>
  <c r="H48" i="6" s="1"/>
  <c r="I100" i="5"/>
  <c r="H101" i="5"/>
  <c r="I46" i="5"/>
  <c r="H47" i="5" s="1"/>
  <c r="I102" i="4"/>
  <c r="H103" i="4" s="1"/>
  <c r="I49" i="4"/>
  <c r="H50" i="4" s="1"/>
  <c r="I181" i="8" l="1"/>
  <c r="H182" i="8" s="1"/>
  <c r="I47" i="8"/>
  <c r="H48" i="8" s="1"/>
  <c r="I101" i="8"/>
  <c r="H102" i="8" s="1"/>
  <c r="I178" i="7"/>
  <c r="H179" i="7" s="1"/>
  <c r="I102" i="7"/>
  <c r="H103" i="7" s="1"/>
  <c r="I47" i="7"/>
  <c r="H48" i="7" s="1"/>
  <c r="I48" i="6"/>
  <c r="H49" i="6" s="1"/>
  <c r="I47" i="5"/>
  <c r="H48" i="5" s="1"/>
  <c r="I101" i="5"/>
  <c r="H102" i="5"/>
  <c r="I103" i="4"/>
  <c r="H104" i="4" s="1"/>
  <c r="I50" i="4"/>
  <c r="H51" i="4" s="1"/>
  <c r="I182" i="8" l="1"/>
  <c r="H183" i="8" s="1"/>
  <c r="I102" i="8"/>
  <c r="H103" i="8" s="1"/>
  <c r="I48" i="8"/>
  <c r="H49" i="8" s="1"/>
  <c r="I179" i="7"/>
  <c r="H180" i="7" s="1"/>
  <c r="I103" i="7"/>
  <c r="H104" i="7" s="1"/>
  <c r="I48" i="7"/>
  <c r="H49" i="7" s="1"/>
  <c r="I49" i="6"/>
  <c r="H50" i="6" s="1"/>
  <c r="I102" i="5"/>
  <c r="H103" i="5" s="1"/>
  <c r="I48" i="5"/>
  <c r="H49" i="5" s="1"/>
  <c r="I51" i="4"/>
  <c r="H52" i="4" s="1"/>
  <c r="I104" i="4"/>
  <c r="H105" i="4" s="1"/>
  <c r="I183" i="8" l="1"/>
  <c r="H184" i="8" s="1"/>
  <c r="I103" i="8"/>
  <c r="H104" i="8" s="1"/>
  <c r="I49" i="8"/>
  <c r="H50" i="8" s="1"/>
  <c r="I180" i="7"/>
  <c r="H181" i="7" s="1"/>
  <c r="I49" i="7"/>
  <c r="H50" i="7" s="1"/>
  <c r="I104" i="7"/>
  <c r="H105" i="7"/>
  <c r="I50" i="6"/>
  <c r="H51" i="6" s="1"/>
  <c r="I103" i="5"/>
  <c r="H104" i="5" s="1"/>
  <c r="I49" i="5"/>
  <c r="H50" i="5" s="1"/>
  <c r="I105" i="4"/>
  <c r="H106" i="4" s="1"/>
  <c r="I52" i="4"/>
  <c r="H53" i="4" s="1"/>
  <c r="I184" i="8" l="1"/>
  <c r="H185" i="8" s="1"/>
  <c r="L180" i="8" s="1"/>
  <c r="I104" i="8"/>
  <c r="H105" i="8" s="1"/>
  <c r="I50" i="8"/>
  <c r="H51" i="8" s="1"/>
  <c r="I181" i="7"/>
  <c r="I105" i="7"/>
  <c r="H106" i="7"/>
  <c r="I50" i="7"/>
  <c r="H51" i="7" s="1"/>
  <c r="I51" i="6"/>
  <c r="H52" i="6" s="1"/>
  <c r="I50" i="5"/>
  <c r="H51" i="5" s="1"/>
  <c r="I104" i="5"/>
  <c r="H105" i="5"/>
  <c r="I53" i="4"/>
  <c r="H54" i="4" s="1"/>
  <c r="I106" i="4"/>
  <c r="H107" i="4" s="1"/>
  <c r="H182" i="7" l="1"/>
  <c r="L177" i="7" s="1"/>
  <c r="I51" i="8"/>
  <c r="H52" i="8" s="1"/>
  <c r="I105" i="8"/>
  <c r="H106" i="8"/>
  <c r="I51" i="7"/>
  <c r="H52" i="7" s="1"/>
  <c r="I106" i="7"/>
  <c r="H107" i="7" s="1"/>
  <c r="I52" i="6"/>
  <c r="H53" i="6" s="1"/>
  <c r="I51" i="5"/>
  <c r="H52" i="5" s="1"/>
  <c r="I105" i="5"/>
  <c r="H106" i="5"/>
  <c r="I107" i="4"/>
  <c r="H108" i="4" s="1"/>
  <c r="I54" i="4"/>
  <c r="H55" i="4" s="1"/>
  <c r="L179" i="7" l="1"/>
  <c r="M179" i="7"/>
  <c r="I106" i="8"/>
  <c r="H107" i="8" s="1"/>
  <c r="I52" i="8"/>
  <c r="H53" i="8" s="1"/>
  <c r="I107" i="7"/>
  <c r="H108" i="7" s="1"/>
  <c r="I52" i="7"/>
  <c r="H53" i="7" s="1"/>
  <c r="I53" i="6"/>
  <c r="H54" i="6" s="1"/>
  <c r="I52" i="5"/>
  <c r="H53" i="5" s="1"/>
  <c r="I106" i="5"/>
  <c r="H107" i="5" s="1"/>
  <c r="I55" i="4"/>
  <c r="H56" i="4" s="1"/>
  <c r="I108" i="4"/>
  <c r="H109" i="4" s="1"/>
  <c r="I53" i="8" l="1"/>
  <c r="H54" i="8" s="1"/>
  <c r="I107" i="8"/>
  <c r="H108" i="8"/>
  <c r="I53" i="7"/>
  <c r="H54" i="7" s="1"/>
  <c r="I108" i="7"/>
  <c r="H109" i="7" s="1"/>
  <c r="I54" i="6"/>
  <c r="H55" i="6" s="1"/>
  <c r="I107" i="5"/>
  <c r="H108" i="5" s="1"/>
  <c r="I53" i="5"/>
  <c r="H54" i="5" s="1"/>
  <c r="I109" i="4"/>
  <c r="H110" i="4" s="1"/>
  <c r="I56" i="4"/>
  <c r="H57" i="4" s="1"/>
  <c r="I54" i="8" l="1"/>
  <c r="H55" i="8" s="1"/>
  <c r="I108" i="8"/>
  <c r="H109" i="8" s="1"/>
  <c r="I54" i="7"/>
  <c r="H55" i="7" s="1"/>
  <c r="I109" i="7"/>
  <c r="H110" i="7" s="1"/>
  <c r="I55" i="6"/>
  <c r="H56" i="6"/>
  <c r="I54" i="5"/>
  <c r="H55" i="5" s="1"/>
  <c r="I108" i="5"/>
  <c r="H109" i="5"/>
  <c r="I57" i="4"/>
  <c r="H58" i="4" s="1"/>
  <c r="L53" i="4" s="1"/>
  <c r="I110" i="4"/>
  <c r="H111" i="4" s="1"/>
  <c r="I114" i="4" s="1"/>
  <c r="I55" i="8" l="1"/>
  <c r="H56" i="8" s="1"/>
  <c r="I109" i="8"/>
  <c r="H110" i="8"/>
  <c r="I110" i="7"/>
  <c r="H111" i="7" s="1"/>
  <c r="I114" i="7" s="1"/>
  <c r="I55" i="7"/>
  <c r="H56" i="7"/>
  <c r="I56" i="6"/>
  <c r="H57" i="6" s="1"/>
  <c r="I55" i="5"/>
  <c r="H56" i="5" s="1"/>
  <c r="I109" i="5"/>
  <c r="H110" i="5"/>
  <c r="L55" i="4"/>
  <c r="F120" i="4" s="1"/>
  <c r="M55" i="4"/>
  <c r="I56" i="8" l="1"/>
  <c r="H57" i="8" s="1"/>
  <c r="I110" i="8"/>
  <c r="H111" i="8" s="1"/>
  <c r="I56" i="7"/>
  <c r="H57" i="7" s="1"/>
  <c r="I57" i="6"/>
  <c r="H58" i="6" s="1"/>
  <c r="L53" i="6" s="1"/>
  <c r="L55" i="6" s="1"/>
  <c r="I110" i="5"/>
  <c r="H111" i="5"/>
  <c r="I114" i="5" s="1"/>
  <c r="I56" i="5"/>
  <c r="H57" i="5" s="1"/>
  <c r="I57" i="8" l="1"/>
  <c r="H58" i="8" s="1"/>
  <c r="L53" i="8" s="1"/>
  <c r="L55" i="8" s="1"/>
  <c r="I57" i="7"/>
  <c r="H58" i="7" s="1"/>
  <c r="L53" i="7" s="1"/>
  <c r="D68" i="6"/>
  <c r="M55" i="6"/>
  <c r="I57" i="5"/>
  <c r="H58" i="5" s="1"/>
  <c r="L53" i="5" s="1"/>
  <c r="M55" i="8" l="1"/>
  <c r="L55" i="7"/>
  <c r="D192" i="7" s="1"/>
  <c r="M55" i="7"/>
  <c r="L55" i="5"/>
  <c r="F120" i="5" s="1"/>
  <c r="M5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salinas</author>
  </authors>
  <commentList>
    <comment ref="B12" authorId="0" shapeId="0" xr:uid="{46253ED3-26FC-4188-8454-C95474B21E5A}">
      <text>
        <r>
          <rPr>
            <b/>
            <sz val="9"/>
            <color indexed="81"/>
            <rFont val="Tahoma"/>
            <family val="2"/>
          </rPr>
          <t>Eric salinas:</t>
        </r>
        <r>
          <rPr>
            <sz val="9"/>
            <color indexed="81"/>
            <rFont val="Tahoma"/>
            <family val="2"/>
          </rPr>
          <t xml:space="preserve">
si pones muy pococ ya no podras abastener a tu demanda
si pones mucho ya no tendras dinero sufiente para producir 
El optimo es el equilibrio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2" authorId="0" shapeId="0" xr:uid="{F5FAC7AF-5849-404B-B795-AE8B1416FB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 MAXIMO DEBERIA SER 100 COMO SE VE A LA DERCHA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5" authorId="0" shapeId="0" xr:uid="{8CD71D3F-363D-4611-AEFD-D23532D77D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NUEVOS DATOS MULTI REAL</t>
        </r>
      </text>
    </comment>
    <comment ref="G5" authorId="0" shapeId="0" xr:uid="{D8DC071C-1308-4CF6-82B8-2A34A7D712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PRONOSTICO 2</t>
        </r>
      </text>
    </comment>
    <comment ref="I5" authorId="0" shapeId="0" xr:uid="{F8A3751B-8C53-4155-9785-4EE5813DB2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INICIO 640 Y LLEGO A SU PROMEDIO A 1 MES MAS TARDE</t>
        </r>
      </text>
    </comment>
    <comment ref="I644" authorId="0" shapeId="0" xr:uid="{4185C755-E85F-4F2B-A138-BB455FC7F9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AUN NO ESTABILISADO</t>
        </r>
      </text>
    </comment>
    <comment ref="I673" authorId="0" shapeId="0" xr:uid="{79FBDAB0-977C-4D50-9F6E-CE15B06E30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LLEGA A SU PROM</t>
        </r>
      </text>
    </comment>
    <comment ref="I674" authorId="0" shapeId="0" xr:uid="{C6F311AB-32FB-4182-819F-B02BD5B89A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SE ESTABILISA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<sst xmlns="http://schemas.openxmlformats.org/spreadsheetml/2006/main" count="1448" uniqueCount="236">
  <si>
    <t>PROYECTO 2</t>
  </si>
  <si>
    <t>CON 1 FABRICA Y ALMACEN  EN CALOPEIA  SE ABASTAECE ASI MISMA Y  A TYRANT</t>
  </si>
  <si>
    <t>permite saber cuanta es tu optimo de capacidad</t>
  </si>
  <si>
    <t xml:space="preserve"> CON UNA NUEVA FABRICA Y ALMACEN EN  ETWORD QUE  ABASTECERA A SORANGE,TYRANT Y ETWORPE</t>
  </si>
  <si>
    <t>cuanto es tu Eoq</t>
  </si>
  <si>
    <t>PRONOSTICOS</t>
  </si>
  <si>
    <t>Etiquetas de fila</t>
  </si>
  <si>
    <t>DEMANDA CALOPEIA</t>
  </si>
  <si>
    <t>DEMANDA SORANGE</t>
  </si>
  <si>
    <t>DEMANDA TYRANT</t>
  </si>
  <si>
    <t>DEMANDA ENTWORPE</t>
  </si>
  <si>
    <t>DEMANDA Fardo</t>
  </si>
  <si>
    <t>2027</t>
  </si>
  <si>
    <t>PARAMETROS 1</t>
  </si>
  <si>
    <t>PARAMTROS 2</t>
  </si>
  <si>
    <t>2028</t>
  </si>
  <si>
    <t>DATOS DE CONSTRUCION REAL</t>
  </si>
  <si>
    <t>PARA 1 AÑO PROMEDIO</t>
  </si>
  <si>
    <t>Total general</t>
  </si>
  <si>
    <t>INICAL SALDO DIA 730</t>
  </si>
  <si>
    <t>DEMANDA DE GRUPO</t>
  </si>
  <si>
    <t>BIDONES/año</t>
  </si>
  <si>
    <t>FABRICA 1(ETWORDT</t>
  </si>
  <si>
    <t>EOQ</t>
  </si>
  <si>
    <t>ANUAL</t>
  </si>
  <si>
    <t>mensuales</t>
  </si>
  <si>
    <t>CAPACIDAD</t>
  </si>
  <si>
    <t>#Pedidos</t>
  </si>
  <si>
    <t>año</t>
  </si>
  <si>
    <t>FABRICA 2</t>
  </si>
  <si>
    <t>#Bidones</t>
  </si>
  <si>
    <t>para 1 año promedio</t>
  </si>
  <si>
    <t>ALMACEN</t>
  </si>
  <si>
    <t>costo mantener 1 BIDON</t>
  </si>
  <si>
    <t>Soles/Mes</t>
  </si>
  <si>
    <t>ANALISI DE COSTOS DE ENVIOS</t>
  </si>
  <si>
    <t>ALMACEN(ETWORD)</t>
  </si>
  <si>
    <t>A.calopeia</t>
  </si>
  <si>
    <t>A.sorange</t>
  </si>
  <si>
    <t>A.tyran</t>
  </si>
  <si>
    <t>A.etwor</t>
  </si>
  <si>
    <t>A.fardo</t>
  </si>
  <si>
    <t>F.calopeia</t>
  </si>
  <si>
    <t xml:space="preserve">PRODUCION </t>
  </si>
  <si>
    <t>F.sorange</t>
  </si>
  <si>
    <t>LOTES</t>
  </si>
  <si>
    <t>F.tyran</t>
  </si>
  <si>
    <t>F.etwor</t>
  </si>
  <si>
    <t>SALDO</t>
  </si>
  <si>
    <t>ANALISIS COSTO PRODUCION</t>
  </si>
  <si>
    <t>ANALISIS GANACIA</t>
  </si>
  <si>
    <t>F.fardo</t>
  </si>
  <si>
    <t>PRODUCCION</t>
  </si>
  <si>
    <t>GANANCIA</t>
  </si>
  <si>
    <t>MENSUAL</t>
  </si>
  <si>
    <t>C.calopeia</t>
  </si>
  <si>
    <t>C.sorange</t>
  </si>
  <si>
    <t>C.tyran</t>
  </si>
  <si>
    <t>C.etwor</t>
  </si>
  <si>
    <t>C.fardo</t>
  </si>
  <si>
    <t>DIARIO</t>
  </si>
  <si>
    <t>DIAIRA</t>
  </si>
  <si>
    <t>% DEMANDA PERDIDA</t>
  </si>
  <si>
    <t>SE ESTABLECE EL PORCENTAJE Q QUIERE Q PIERDA EL MODELO(ES MEJOR MIENTRAS MAS CERCA ESTE A LA SIMULACION PASADA)</t>
  </si>
  <si>
    <t>permite ver si con ese dinero te alcanse mes a mes producir tu lote</t>
  </si>
  <si>
    <t>COSTO VARIABLE PONDERADO</t>
  </si>
  <si>
    <t>COMO SOLO SORANEENVIA A DIVERSAS REGIONES , CON DIFERENTES COSTES , SE HALLA EL COSTO PONDERADO</t>
  </si>
  <si>
    <t>SIMULACION</t>
  </si>
  <si>
    <t>BENEFICIOS</t>
  </si>
  <si>
    <t>COSTO DE PRODUCCION</t>
  </si>
  <si>
    <t>COSTO POR ALMACEN</t>
  </si>
  <si>
    <t>COSTO POR ENVIO</t>
  </si>
  <si>
    <t>BENEFICIO NETO</t>
  </si>
  <si>
    <t>INTERES</t>
  </si>
  <si>
    <t>PESOS DE DE DEMANDA</t>
  </si>
  <si>
    <t>DIA 730</t>
  </si>
  <si>
    <t>SALDO BASE</t>
  </si>
  <si>
    <t>SORANGE</t>
  </si>
  <si>
    <t>AÑO 1</t>
  </si>
  <si>
    <t>MES1</t>
  </si>
  <si>
    <t>TYRANT</t>
  </si>
  <si>
    <t>MES2</t>
  </si>
  <si>
    <t>ENTWORPE</t>
  </si>
  <si>
    <t>MES3</t>
  </si>
  <si>
    <t>MES4</t>
  </si>
  <si>
    <t>MES5</t>
  </si>
  <si>
    <t>A SORANGE</t>
  </si>
  <si>
    <t xml:space="preserve">PRIMERO SE ENVIA AL ALMACEN EN SORANGE Y LLUEGO AL CLIENTE </t>
  </si>
  <si>
    <t>MES6</t>
  </si>
  <si>
    <t>A TYRANT</t>
  </si>
  <si>
    <t>MES7</t>
  </si>
  <si>
    <t>A ENTWORPE</t>
  </si>
  <si>
    <t>MES8</t>
  </si>
  <si>
    <t>MES9</t>
  </si>
  <si>
    <t>MES10</t>
  </si>
  <si>
    <t>MES11</t>
  </si>
  <si>
    <t>MES12</t>
  </si>
  <si>
    <t>AÑO 2</t>
  </si>
  <si>
    <t xml:space="preserve">SALDO AL FINAL </t>
  </si>
  <si>
    <t>DEMANDA PERDIDA</t>
  </si>
  <si>
    <t xml:space="preserve">este es la demanda perdida real </t>
  </si>
  <si>
    <t>BENEFICIO NETO(TODO EL JUEGO,PARA ESTE GRUPO DE DEMANDAS)</t>
  </si>
  <si>
    <t>CALOPEIA TIENE UN EXESO DE PRODUCION PARA SU REGION , SI SE  USA PARA OTRAS REGIONES(SE MODIFICA LA FORMULA)</t>
  </si>
  <si>
    <t>demanda</t>
  </si>
  <si>
    <t>demanda totoal a satisfacer(TODA CAAPCIDAD)</t>
  </si>
  <si>
    <t>DEMANDA</t>
  </si>
  <si>
    <t>Este considera la demanda de calopeia y tyrant(supoenemos que se usa toda la capcidad de la planta ) por esa rason, si fuera solo calopeia seria aprox 12k + el extra que va otro lugar</t>
  </si>
  <si>
    <t>ganaci mensual</t>
  </si>
  <si>
    <t>#PEDIDOS</t>
  </si>
  <si>
    <t>GANCIA MENSUAL</t>
  </si>
  <si>
    <t>#BIDONES</t>
  </si>
  <si>
    <t>GANCIA DIARIA</t>
  </si>
  <si>
    <t>costo mantener mensual</t>
  </si>
  <si>
    <t>COSTE PRODUCCION</t>
  </si>
  <si>
    <t>BENEFICIO</t>
  </si>
  <si>
    <t>MESNUAL</t>
  </si>
  <si>
    <t>SINCONSIDERAR OTROS SOTSO SOLO DE PROCCUION</t>
  </si>
  <si>
    <t>contando calopeia</t>
  </si>
  <si>
    <t>CALOPEIA</t>
  </si>
  <si>
    <t>dinero perdido</t>
  </si>
  <si>
    <t>NETO</t>
  </si>
  <si>
    <t>A CALOPEIA</t>
  </si>
  <si>
    <t>BENEFICIO DEL PROYECTO 1 (CONSIDERA LAS GANACIAS  DE LA FABRICA EN SORANGE Y FABRICA EN CALOPEIA)</t>
  </si>
  <si>
    <t>BENEFICIO NETO DE 2 AÑOS :</t>
  </si>
  <si>
    <t>SE APROXIMA A LOS RESULTADOS OBTENEDOS</t>
  </si>
  <si>
    <t>SE LOGRA MAYOR PRECION ASIENDOSE DE MANERA TRIMESTRAL O MENSUAL</t>
  </si>
  <si>
    <t xml:space="preserve">PRONOSTICANDO MEJOR </t>
  </si>
  <si>
    <t>AJUSTANDO EL PORCENTAJE DE PERDIDA DE INVENTARIO EN RANGOS A ESTRATEGIAS PASADAS COMPROBADAS</t>
  </si>
  <si>
    <t>PROYECTO 4</t>
  </si>
  <si>
    <t>CON 1 FABRICA Y ALMACEN  EN CALOPEIA  SE ABASTAECE ASI MISMA Y A TODO SUS VECINOS EXEPTO FARDO</t>
  </si>
  <si>
    <t>se asume q siempre tenemos caacidad suficnete</t>
  </si>
  <si>
    <t>CAPACIDAD NECESARIA--&gt;</t>
  </si>
  <si>
    <t>FABRICA 1</t>
  </si>
  <si>
    <t xml:space="preserve">hay un rango </t>
  </si>
  <si>
    <t>COMO SOLO ESTA FABRICA ENVIA  A DIVERSAS REGIONES , CON DIFERENTES COSTES , SE HALLA EL COSTO PONDERADO</t>
  </si>
  <si>
    <t>CALOPEYA</t>
  </si>
  <si>
    <t>RESPUESTA</t>
  </si>
  <si>
    <t>BENEFICIO DEL PROYECTO 4 (CONSIDERA LAS GANACIAS  DE LA FABRICA EN CALOPEIA Y SU ALMACEN)</t>
  </si>
  <si>
    <t>CONSIDERACIONES</t>
  </si>
  <si>
    <t>SE APROXIMA A LOS RESULTADOS OBTENEDOS EN EL JUEGO REAL</t>
  </si>
  <si>
    <t xml:space="preserve">SE LOGRARIA  MAYOR PRECION ASIENDO LOS CALCULOS DE PRONOSTICO Y OTRAS VARIBLES A NIVEL TRIMESTRES O MENSUAL </t>
  </si>
  <si>
    <t>ES MAS VALIDO SI ESTA AJUSTADO LA  PERDIDA DE DEMANDAEN RANGOS A ESTRATEGIAS PASADAS COMPROBADAS</t>
  </si>
  <si>
    <t>PROYECTO 1</t>
  </si>
  <si>
    <t>CON 1 FABRICA Y ALMACEN  EN CALOPEIA  ABASTAECEMOS  TYRANT Y CALOPEIA</t>
  </si>
  <si>
    <t>permite saber cuanta es tu optimo de capacidad optima</t>
  </si>
  <si>
    <t>NUEVA  FABRICA Y ALMACEN EN  SORANGE SE ABASTECE A SORANGE,TYRANT Y ETWORPE</t>
  </si>
  <si>
    <t xml:space="preserve">ENCONTRANDO EL EQQUILIBRIO ENTRE CUANTO SE QUIERE PERDER DE DEMANDA , Y  </t>
  </si>
  <si>
    <t>PARA SORANGE</t>
  </si>
  <si>
    <t>FABRICA 1(SORANGE)</t>
  </si>
  <si>
    <t>ALMACEN(SORANGE)</t>
  </si>
  <si>
    <t>SE ESTABLECE EL PORCENTAJE DE DEMANDA Q QUIERE Q PIERDA EL MODELO(ES MEJOR MIENTRAS MAS CERCA ESTE A LA SIMULACION PASADA)</t>
  </si>
  <si>
    <t>PARA CALOPEIA</t>
  </si>
  <si>
    <t>demanda total a satisfacer(TODA CAPACIDAD)</t>
  </si>
  <si>
    <t>PROYECTO 5</t>
  </si>
  <si>
    <t>CON 3 FABRICAS Y  3 ALMACENES  CALOPEIA BASTAECIENDO CALOPEIA Y TYRANT Y FABRICAS EN ETWORT Y SORANGE ABASTECIENDO (SORANGE,TYRANT,ENTWORPE,)ABASTECEIENDO  TODO LAS REGIONES EXEPTO FARDO</t>
  </si>
  <si>
    <t xml:space="preserve">TOTAL </t>
  </si>
  <si>
    <t>DEMANDA DISPONIBLE</t>
  </si>
  <si>
    <t>DEMANDA PARA FABRICA SORANGE</t>
  </si>
  <si>
    <t>DEMANDA PRAR ETWORT</t>
  </si>
  <si>
    <t>DEMANDA EXTRA PARA ACALOPEIA)</t>
  </si>
  <si>
    <t>DEMANDA EXTRA QUE PUEDE DAR A OTRA LUGAR</t>
  </si>
  <si>
    <t>ES SIEMPRE NECESRIO 1 MILLON</t>
  </si>
  <si>
    <t>ETWORPE</t>
  </si>
  <si>
    <t>BENEFICIO DEL PROYECTO 5 (CONSIDERA LAS GANACIAS  DE LA FABRICA EN SORANGE Y FABRICA EN CALOPEIA)</t>
  </si>
  <si>
    <t>PROYECTO 3</t>
  </si>
  <si>
    <t xml:space="preserve"> CON UNA NUEVA FABRICA Y ALMACEN EN  Sorange y fardo Con sus almacenes QUE  ABASTECERA A SORANGE,TYRANT,ETWORPE,fardo</t>
  </si>
  <si>
    <t>ojo 1 año</t>
  </si>
  <si>
    <t>FABRICA 1 fardo</t>
  </si>
  <si>
    <t>ALMACEN fardo</t>
  </si>
  <si>
    <t>PARA 2 AÑOS</t>
  </si>
  <si>
    <t>fardo</t>
  </si>
  <si>
    <t>BENEFICIO DEL PROYECTO 3 (CONSIDERA LAS GANACIAS  DE LA FABRICA EN SORANGE Y FABRICA EN CALOPEIA)</t>
  </si>
  <si>
    <t>GRÁFICO DE LA DEMANDA CORRECTOS= VERDES</t>
  </si>
  <si>
    <t>DÍA</t>
  </si>
  <si>
    <t>FECHA</t>
  </si>
  <si>
    <t>PRE.CALOPEIA</t>
  </si>
  <si>
    <t>PRE.SORANGE</t>
  </si>
  <si>
    <t>TYRANT VERDADERO</t>
  </si>
  <si>
    <t>TYRAN</t>
  </si>
  <si>
    <t>PRE.TYRAN</t>
  </si>
  <si>
    <t>Entworpe</t>
  </si>
  <si>
    <t>ENTWORPE VERDADERO</t>
  </si>
  <si>
    <t>PRE.Entworpe</t>
  </si>
  <si>
    <t>FARDO VERDADERO</t>
  </si>
  <si>
    <t>Fardo</t>
  </si>
  <si>
    <t>PRE.Fardo</t>
  </si>
  <si>
    <t xml:space="preserve"> </t>
  </si>
  <si>
    <t xml:space="preserve">FORMA 2 </t>
  </si>
  <si>
    <t>DETERMINADO MEDIANTE LA SIMULACION DE PRUEVA TODA LA DATA</t>
  </si>
  <si>
    <t>demanda de la simulacion completa</t>
  </si>
  <si>
    <t>TYRANT(HAY MUCHA VARIACION CON MACHIN , LO DEJO CON PROMEDIO)</t>
  </si>
  <si>
    <t>LO DEJO PARA DECIR Q CON MACHIN LERNIN ESTUVOI CERCA</t>
  </si>
  <si>
    <t>PROMEDIO</t>
  </si>
  <si>
    <t>ETWORD</t>
  </si>
  <si>
    <t>SE DTALLA EN LA PAGINA E ETWORD EXTRA</t>
  </si>
  <si>
    <t>DEMANDA DESDE DIA 730 +(CONSIDERE LAS COLUMNAS CON PRONOSTICOS CORRECTOS A MI CRETERIO ERIC)</t>
  </si>
  <si>
    <t>TRIMESTRAL</t>
  </si>
  <si>
    <t>los correctos:</t>
  </si>
  <si>
    <t>TRAIDO DE OTRA HPJA</t>
  </si>
  <si>
    <t>real</t>
  </si>
  <si>
    <t>Suma de Calopeia</t>
  </si>
  <si>
    <t>Suma de Sorange</t>
  </si>
  <si>
    <t>Suma de Tyran</t>
  </si>
  <si>
    <t>Suma de Entworpe</t>
  </si>
  <si>
    <t>Suma de Fardo</t>
  </si>
  <si>
    <t>Trim.1</t>
  </si>
  <si>
    <t>Trim.2</t>
  </si>
  <si>
    <t>Trim.3</t>
  </si>
  <si>
    <t>Trim.4</t>
  </si>
  <si>
    <t>(SELECCIONAR QUE AÑO SE DESESEA)</t>
  </si>
  <si>
    <t>Suma de CALOPEIA</t>
  </si>
  <si>
    <t>Suma de PRE.SORANGE</t>
  </si>
  <si>
    <t>Suma de TYRAN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</si>
  <si>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</si>
  <si>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</si>
  <si>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</si>
  <si>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</si>
  <si>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</si>
  <si>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</si>
  <si>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</si>
  <si>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</si>
  <si>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</si>
  <si>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</si>
  <si>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</si>
  <si>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</si>
  <si>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Tiempo_Entre_Pedidos</t>
  </si>
  <si>
    <t>1/landa</t>
  </si>
  <si>
    <t>landa</t>
  </si>
  <si>
    <t>EULER</t>
  </si>
  <si>
    <t>veces q cayo 250</t>
  </si>
  <si>
    <t>veces q cayo 500</t>
  </si>
  <si>
    <t>total</t>
  </si>
  <si>
    <t>p(x=250)</t>
  </si>
  <si>
    <t>p(x=500)</t>
  </si>
  <si>
    <t>DADO Q ES MAS PROBABLE Q SALGA 250 SE ESTIMA UN TOTAL</t>
  </si>
  <si>
    <t>PEDIDOS/2AÑOS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</si>
</sst>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0.0%"/>
    <numFmt numFmtId="166" formatCode="#,##0.00000"/>
  </numFmts>
  <fonts count="2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sz val="22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9" fontId="17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2" borderId="0" xfId="0" applyFont="1" applyFill="1" applyAlignment="1">
      <alignment horizontal="center"/>
    </xf>
    <xf numFmtId="0" fontId="7" fillId="0" borderId="0" xfId="0" applyFont="1"/>
    <xf numFmtId="0" fontId="6" fillId="2" borderId="0" xfId="0" applyFont="1" applyFill="1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8" fillId="0" borderId="0" xfId="1"/>
    <xf numFmtId="0" fontId="7" fillId="0" borderId="6" xfId="0" applyFont="1" applyBorder="1"/>
    <xf numFmtId="0" fontId="9" fillId="3" borderId="0" xfId="0" applyFont="1" applyFill="1"/>
    <xf numFmtId="0" fontId="7" fillId="4" borderId="0" xfId="0" applyFont="1" applyFill="1"/>
    <xf numFmtId="0" fontId="10" fillId="3" borderId="0" xfId="0" applyFont="1" applyFill="1"/>
    <xf numFmtId="0" fontId="7" fillId="5" borderId="0" xfId="0" applyFont="1" applyFill="1"/>
    <xf numFmtId="0" fontId="12" fillId="0" borderId="0" xfId="0" applyFont="1"/>
    <xf numFmtId="0" fontId="1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5" fillId="0" borderId="0" xfId="0" applyFont="1"/>
    <xf numFmtId="0" fontId="8" fillId="6" borderId="0" xfId="1" applyFill="1"/>
    <xf numFmtId="0" fontId="8" fillId="7" borderId="0" xfId="1" applyFill="1"/>
    <xf numFmtId="0" fontId="7" fillId="3" borderId="4" xfId="0" applyFont="1" applyFill="1" applyBorder="1" applyAlignment="1">
      <alignment horizontal="center" vertical="center" wrapText="1"/>
    </xf>
    <xf numFmtId="14" fontId="7" fillId="3" borderId="5" xfId="0" applyNumberFormat="1" applyFont="1" applyFill="1" applyBorder="1" applyAlignment="1">
      <alignment horizontal="center" vertical="center" wrapText="1"/>
    </xf>
    <xf numFmtId="0" fontId="8" fillId="3" borderId="0" xfId="1" applyFill="1"/>
    <xf numFmtId="0" fontId="7" fillId="3" borderId="6" xfId="0" applyFont="1" applyFill="1" applyBorder="1"/>
    <xf numFmtId="0" fontId="7" fillId="3" borderId="0" xfId="0" applyFont="1" applyFill="1"/>
    <xf numFmtId="0" fontId="7" fillId="5" borderId="6" xfId="0" applyFont="1" applyFill="1" applyBorder="1" applyAlignment="1">
      <alignment horizontal="center" vertical="center"/>
    </xf>
    <xf numFmtId="0" fontId="0" fillId="5" borderId="0" xfId="0" applyFill="1"/>
    <xf numFmtId="0" fontId="7" fillId="0" borderId="7" xfId="0" applyFont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1" fillId="0" borderId="0" xfId="0" applyFont="1"/>
    <xf numFmtId="0" fontId="0" fillId="0" borderId="0" xfId="0" applyAlignment="1">
      <alignment horizontal="left" indent="1"/>
    </xf>
    <xf numFmtId="0" fontId="14" fillId="3" borderId="0" xfId="0" applyFont="1" applyFill="1"/>
    <xf numFmtId="0" fontId="0" fillId="3" borderId="0" xfId="0" applyFill="1"/>
    <xf numFmtId="0" fontId="2" fillId="3" borderId="0" xfId="0" applyFont="1" applyFill="1"/>
    <xf numFmtId="0" fontId="2" fillId="0" borderId="8" xfId="0" applyFont="1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164" fontId="0" fillId="3" borderId="0" xfId="0" applyNumberFormat="1" applyFill="1"/>
    <xf numFmtId="0" fontId="2" fillId="0" borderId="0" xfId="0" applyFont="1"/>
    <xf numFmtId="9" fontId="0" fillId="0" borderId="0" xfId="2" applyFont="1"/>
    <xf numFmtId="165" fontId="0" fillId="0" borderId="0" xfId="2" applyNumberFormat="1" applyFont="1"/>
    <xf numFmtId="0" fontId="3" fillId="0" borderId="0" xfId="0" applyFont="1"/>
    <xf numFmtId="0" fontId="2" fillId="0" borderId="5" xfId="0" applyFont="1" applyBorder="1"/>
    <xf numFmtId="164" fontId="0" fillId="0" borderId="5" xfId="0" applyNumberFormat="1" applyBorder="1"/>
    <xf numFmtId="0" fontId="0" fillId="0" borderId="5" xfId="0" applyBorder="1"/>
    <xf numFmtId="0" fontId="0" fillId="9" borderId="5" xfId="0" applyFill="1" applyBorder="1"/>
    <xf numFmtId="0" fontId="2" fillId="9" borderId="5" xfId="0" applyFont="1" applyFill="1" applyBorder="1"/>
    <xf numFmtId="0" fontId="2" fillId="9" borderId="14" xfId="0" applyFont="1" applyFill="1" applyBorder="1"/>
    <xf numFmtId="0" fontId="2" fillId="10" borderId="5" xfId="0" applyFont="1" applyFill="1" applyBorder="1"/>
    <xf numFmtId="164" fontId="0" fillId="10" borderId="5" xfId="0" applyNumberFormat="1" applyFill="1" applyBorder="1"/>
    <xf numFmtId="0" fontId="0" fillId="2" borderId="9" xfId="0" applyFill="1" applyBorder="1"/>
    <xf numFmtId="0" fontId="2" fillId="0" borderId="10" xfId="0" applyFont="1" applyBorder="1"/>
    <xf numFmtId="0" fontId="2" fillId="0" borderId="12" xfId="0" applyFont="1" applyBorder="1"/>
    <xf numFmtId="0" fontId="0" fillId="2" borderId="5" xfId="0" applyFill="1" applyBorder="1"/>
    <xf numFmtId="0" fontId="18" fillId="0" borderId="5" xfId="0" applyFont="1" applyBorder="1"/>
    <xf numFmtId="0" fontId="19" fillId="0" borderId="0" xfId="0" applyFont="1"/>
    <xf numFmtId="0" fontId="20" fillId="0" borderId="5" xfId="0" applyFont="1" applyBorder="1"/>
    <xf numFmtId="0" fontId="20" fillId="0" borderId="0" xfId="0" applyFont="1"/>
    <xf numFmtId="0" fontId="18" fillId="11" borderId="5" xfId="0" applyFont="1" applyFill="1" applyBorder="1"/>
    <xf numFmtId="0" fontId="18" fillId="11" borderId="0" xfId="0" applyFont="1" applyFill="1"/>
    <xf numFmtId="0" fontId="0" fillId="3" borderId="0" xfId="0" applyFill="1" applyAlignment="1">
      <alignment horizontal="center" vertical="center"/>
    </xf>
    <xf numFmtId="164" fontId="0" fillId="2" borderId="5" xfId="0" applyNumberFormat="1" applyFill="1" applyBorder="1"/>
    <xf numFmtId="164" fontId="0" fillId="8" borderId="5" xfId="0" applyNumberFormat="1" applyFill="1" applyBorder="1"/>
    <xf numFmtId="0" fontId="0" fillId="8" borderId="5" xfId="0" applyFill="1" applyBorder="1"/>
    <xf numFmtId="9" fontId="0" fillId="2" borderId="0" xfId="2" applyFont="1" applyFill="1"/>
    <xf numFmtId="0" fontId="3" fillId="0" borderId="5" xfId="0" applyFont="1" applyBorder="1"/>
    <xf numFmtId="0" fontId="2" fillId="12" borderId="5" xfId="0" applyFont="1" applyFill="1" applyBorder="1"/>
    <xf numFmtId="0" fontId="0" fillId="12" borderId="5" xfId="0" applyFill="1" applyBorder="1"/>
    <xf numFmtId="164" fontId="0" fillId="12" borderId="5" xfId="0" applyNumberFormat="1" applyFill="1" applyBorder="1"/>
    <xf numFmtId="0" fontId="0" fillId="12" borderId="0" xfId="0" applyFill="1"/>
    <xf numFmtId="0" fontId="21" fillId="0" borderId="5" xfId="0" applyFont="1" applyBorder="1"/>
    <xf numFmtId="0" fontId="11" fillId="3" borderId="0" xfId="0" applyFont="1" applyFill="1"/>
    <xf numFmtId="0" fontId="22" fillId="0" borderId="0" xfId="0" applyFont="1"/>
    <xf numFmtId="0" fontId="16" fillId="13" borderId="0" xfId="0" applyFont="1" applyFill="1"/>
    <xf numFmtId="164" fontId="0" fillId="3" borderId="5" xfId="0" applyNumberFormat="1" applyFill="1" applyBorder="1"/>
    <xf numFmtId="0" fontId="2" fillId="0" borderId="0" xfId="0" applyFont="1" applyAlignment="1">
      <alignment wrapText="1"/>
    </xf>
    <xf numFmtId="0" fontId="18" fillId="14" borderId="0" xfId="0" applyFont="1" applyFill="1"/>
    <xf numFmtId="0" fontId="0" fillId="14" borderId="0" xfId="0" applyFill="1"/>
    <xf numFmtId="0" fontId="23" fillId="0" borderId="5" xfId="0" applyFont="1" applyBorder="1" applyAlignment="1">
      <alignment horizontal="center" vertical="top"/>
    </xf>
    <xf numFmtId="166" fontId="0" fillId="0" borderId="0" xfId="0" applyNumberFormat="1"/>
    <xf numFmtId="0" fontId="24" fillId="0" borderId="0" xfId="0" applyFont="1"/>
    <xf numFmtId="9" fontId="24" fillId="0" borderId="0" xfId="2" applyFont="1"/>
    <xf numFmtId="165" fontId="24" fillId="0" borderId="0" xfId="2" applyNumberFormat="1" applyFont="1"/>
    <xf numFmtId="0" fontId="25" fillId="3" borderId="0" xfId="0" applyFont="1" applyFill="1"/>
    <xf numFmtId="0" fontId="0" fillId="9" borderId="5" xfId="0" applyFill="1" applyBorder="1" applyAlignment="1">
      <alignment horizontal="center" vertical="center" wrapText="1"/>
    </xf>
    <xf numFmtId="164" fontId="15" fillId="3" borderId="0" xfId="0" applyNumberFormat="1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6" fillId="2" borderId="0" xfId="0" applyFont="1" applyFill="1" applyAlignment="1">
      <alignment horizontal="center"/>
    </xf>
  </cellXfs>
  <cellStyles count="3">
    <cellStyle name="Normal" xfId="0" builtinId="0"/>
    <cellStyle name="Normal 2" xfId="1" xr:uid="{3FF069AF-249C-44B5-9D7C-A43997DF8210}"/>
    <cellStyle name="Porcentaje" xfId="2" builtinId="5"/>
  </cellStyles>
  <dxfs count="11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7" formatCode="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1/relationships/timelineCache" Target="timelineCaches/timelineCache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'[1]ANALISSI DEMANDA PRONOSTICO'!$B$5:$B$1464</c:f>
              <c:strCache>
                <c:ptCount val="14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</c:strCache>
            </c:strRef>
          </c:xVal>
          <c:yVal>
            <c:numRef>
              <c:f>'[1]ANALISSI DEMANDA PRONOSTICO'!$D$5:$D$1464</c:f>
              <c:numCache>
                <c:formatCode>General</c:formatCode>
                <c:ptCount val="1460"/>
                <c:pt idx="0">
                  <c:v>11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14</c:v>
                </c:pt>
                <c:pt idx="7">
                  <c:v>6</c:v>
                </c:pt>
                <c:pt idx="8">
                  <c:v>31</c:v>
                </c:pt>
                <c:pt idx="9">
                  <c:v>7</c:v>
                </c:pt>
                <c:pt idx="10">
                  <c:v>7</c:v>
                </c:pt>
                <c:pt idx="11">
                  <c:v>19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14</c:v>
                </c:pt>
                <c:pt idx="17">
                  <c:v>25</c:v>
                </c:pt>
                <c:pt idx="18">
                  <c:v>2</c:v>
                </c:pt>
                <c:pt idx="19">
                  <c:v>4</c:v>
                </c:pt>
                <c:pt idx="20">
                  <c:v>11</c:v>
                </c:pt>
                <c:pt idx="21">
                  <c:v>22</c:v>
                </c:pt>
                <c:pt idx="22">
                  <c:v>8</c:v>
                </c:pt>
                <c:pt idx="23">
                  <c:v>10</c:v>
                </c:pt>
                <c:pt idx="24">
                  <c:v>11</c:v>
                </c:pt>
                <c:pt idx="25">
                  <c:v>16</c:v>
                </c:pt>
                <c:pt idx="26">
                  <c:v>17</c:v>
                </c:pt>
                <c:pt idx="27">
                  <c:v>12</c:v>
                </c:pt>
                <c:pt idx="28">
                  <c:v>7</c:v>
                </c:pt>
                <c:pt idx="29">
                  <c:v>4</c:v>
                </c:pt>
                <c:pt idx="30">
                  <c:v>25</c:v>
                </c:pt>
                <c:pt idx="31">
                  <c:v>2</c:v>
                </c:pt>
                <c:pt idx="32">
                  <c:v>14</c:v>
                </c:pt>
                <c:pt idx="33">
                  <c:v>13</c:v>
                </c:pt>
                <c:pt idx="34">
                  <c:v>25</c:v>
                </c:pt>
                <c:pt idx="35">
                  <c:v>13</c:v>
                </c:pt>
                <c:pt idx="36">
                  <c:v>8</c:v>
                </c:pt>
                <c:pt idx="37">
                  <c:v>17</c:v>
                </c:pt>
                <c:pt idx="38">
                  <c:v>24</c:v>
                </c:pt>
                <c:pt idx="39">
                  <c:v>6</c:v>
                </c:pt>
                <c:pt idx="40">
                  <c:v>19</c:v>
                </c:pt>
                <c:pt idx="41">
                  <c:v>33</c:v>
                </c:pt>
                <c:pt idx="42">
                  <c:v>7</c:v>
                </c:pt>
                <c:pt idx="43">
                  <c:v>18</c:v>
                </c:pt>
                <c:pt idx="44">
                  <c:v>12</c:v>
                </c:pt>
                <c:pt idx="45">
                  <c:v>7</c:v>
                </c:pt>
                <c:pt idx="46">
                  <c:v>3</c:v>
                </c:pt>
                <c:pt idx="47">
                  <c:v>25</c:v>
                </c:pt>
                <c:pt idx="48">
                  <c:v>15</c:v>
                </c:pt>
                <c:pt idx="49">
                  <c:v>38</c:v>
                </c:pt>
                <c:pt idx="50">
                  <c:v>28</c:v>
                </c:pt>
                <c:pt idx="51">
                  <c:v>22</c:v>
                </c:pt>
                <c:pt idx="52">
                  <c:v>5</c:v>
                </c:pt>
                <c:pt idx="53">
                  <c:v>22</c:v>
                </c:pt>
                <c:pt idx="54">
                  <c:v>6</c:v>
                </c:pt>
                <c:pt idx="55">
                  <c:v>10</c:v>
                </c:pt>
                <c:pt idx="56">
                  <c:v>14</c:v>
                </c:pt>
                <c:pt idx="57">
                  <c:v>23</c:v>
                </c:pt>
                <c:pt idx="58">
                  <c:v>40</c:v>
                </c:pt>
                <c:pt idx="59">
                  <c:v>18</c:v>
                </c:pt>
                <c:pt idx="60">
                  <c:v>15</c:v>
                </c:pt>
                <c:pt idx="61">
                  <c:v>41</c:v>
                </c:pt>
                <c:pt idx="62">
                  <c:v>30</c:v>
                </c:pt>
                <c:pt idx="63">
                  <c:v>23</c:v>
                </c:pt>
                <c:pt idx="64">
                  <c:v>17</c:v>
                </c:pt>
                <c:pt idx="65">
                  <c:v>28</c:v>
                </c:pt>
                <c:pt idx="66">
                  <c:v>33</c:v>
                </c:pt>
                <c:pt idx="67">
                  <c:v>28</c:v>
                </c:pt>
                <c:pt idx="68">
                  <c:v>17</c:v>
                </c:pt>
                <c:pt idx="69">
                  <c:v>55</c:v>
                </c:pt>
                <c:pt idx="70">
                  <c:v>15</c:v>
                </c:pt>
                <c:pt idx="71">
                  <c:v>35</c:v>
                </c:pt>
                <c:pt idx="72">
                  <c:v>50</c:v>
                </c:pt>
                <c:pt idx="73">
                  <c:v>39</c:v>
                </c:pt>
                <c:pt idx="74">
                  <c:v>50</c:v>
                </c:pt>
                <c:pt idx="75">
                  <c:v>35</c:v>
                </c:pt>
                <c:pt idx="76">
                  <c:v>45</c:v>
                </c:pt>
                <c:pt idx="77">
                  <c:v>69</c:v>
                </c:pt>
                <c:pt idx="78">
                  <c:v>38</c:v>
                </c:pt>
                <c:pt idx="79">
                  <c:v>23</c:v>
                </c:pt>
                <c:pt idx="80">
                  <c:v>19</c:v>
                </c:pt>
                <c:pt idx="81">
                  <c:v>42</c:v>
                </c:pt>
                <c:pt idx="82">
                  <c:v>39</c:v>
                </c:pt>
                <c:pt idx="83">
                  <c:v>27</c:v>
                </c:pt>
                <c:pt idx="84">
                  <c:v>19</c:v>
                </c:pt>
                <c:pt idx="85">
                  <c:v>22</c:v>
                </c:pt>
                <c:pt idx="86">
                  <c:v>32</c:v>
                </c:pt>
                <c:pt idx="87">
                  <c:v>27</c:v>
                </c:pt>
                <c:pt idx="88">
                  <c:v>36</c:v>
                </c:pt>
                <c:pt idx="89">
                  <c:v>50</c:v>
                </c:pt>
                <c:pt idx="90">
                  <c:v>27</c:v>
                </c:pt>
                <c:pt idx="91">
                  <c:v>56</c:v>
                </c:pt>
                <c:pt idx="92">
                  <c:v>43</c:v>
                </c:pt>
                <c:pt idx="93">
                  <c:v>37</c:v>
                </c:pt>
                <c:pt idx="94">
                  <c:v>39</c:v>
                </c:pt>
                <c:pt idx="95">
                  <c:v>56</c:v>
                </c:pt>
                <c:pt idx="96">
                  <c:v>38</c:v>
                </c:pt>
                <c:pt idx="97">
                  <c:v>32</c:v>
                </c:pt>
                <c:pt idx="98">
                  <c:v>34</c:v>
                </c:pt>
                <c:pt idx="99">
                  <c:v>40</c:v>
                </c:pt>
                <c:pt idx="100">
                  <c:v>30</c:v>
                </c:pt>
                <c:pt idx="101">
                  <c:v>42</c:v>
                </c:pt>
                <c:pt idx="102">
                  <c:v>31</c:v>
                </c:pt>
                <c:pt idx="103">
                  <c:v>56</c:v>
                </c:pt>
                <c:pt idx="104">
                  <c:v>26</c:v>
                </c:pt>
                <c:pt idx="105">
                  <c:v>42</c:v>
                </c:pt>
                <c:pt idx="106">
                  <c:v>59</c:v>
                </c:pt>
                <c:pt idx="107">
                  <c:v>37</c:v>
                </c:pt>
                <c:pt idx="108">
                  <c:v>50</c:v>
                </c:pt>
                <c:pt idx="109">
                  <c:v>51</c:v>
                </c:pt>
                <c:pt idx="110">
                  <c:v>63</c:v>
                </c:pt>
                <c:pt idx="111">
                  <c:v>53</c:v>
                </c:pt>
                <c:pt idx="112">
                  <c:v>24</c:v>
                </c:pt>
                <c:pt idx="113">
                  <c:v>61</c:v>
                </c:pt>
                <c:pt idx="114">
                  <c:v>44</c:v>
                </c:pt>
                <c:pt idx="115">
                  <c:v>58</c:v>
                </c:pt>
                <c:pt idx="116">
                  <c:v>103</c:v>
                </c:pt>
                <c:pt idx="117">
                  <c:v>22</c:v>
                </c:pt>
                <c:pt idx="118">
                  <c:v>52</c:v>
                </c:pt>
                <c:pt idx="119">
                  <c:v>64</c:v>
                </c:pt>
                <c:pt idx="120">
                  <c:v>55</c:v>
                </c:pt>
                <c:pt idx="121">
                  <c:v>60</c:v>
                </c:pt>
                <c:pt idx="122">
                  <c:v>53</c:v>
                </c:pt>
                <c:pt idx="123">
                  <c:v>58</c:v>
                </c:pt>
                <c:pt idx="124">
                  <c:v>30</c:v>
                </c:pt>
                <c:pt idx="125">
                  <c:v>72</c:v>
                </c:pt>
                <c:pt idx="126">
                  <c:v>53</c:v>
                </c:pt>
                <c:pt idx="127">
                  <c:v>78</c:v>
                </c:pt>
                <c:pt idx="128">
                  <c:v>64</c:v>
                </c:pt>
                <c:pt idx="129">
                  <c:v>62</c:v>
                </c:pt>
                <c:pt idx="130">
                  <c:v>75</c:v>
                </c:pt>
                <c:pt idx="131">
                  <c:v>40</c:v>
                </c:pt>
                <c:pt idx="132">
                  <c:v>129</c:v>
                </c:pt>
                <c:pt idx="133">
                  <c:v>64</c:v>
                </c:pt>
                <c:pt idx="134">
                  <c:v>79</c:v>
                </c:pt>
                <c:pt idx="135">
                  <c:v>69</c:v>
                </c:pt>
                <c:pt idx="136">
                  <c:v>49</c:v>
                </c:pt>
                <c:pt idx="137">
                  <c:v>45</c:v>
                </c:pt>
                <c:pt idx="138">
                  <c:v>43</c:v>
                </c:pt>
                <c:pt idx="139">
                  <c:v>62</c:v>
                </c:pt>
                <c:pt idx="140">
                  <c:v>52</c:v>
                </c:pt>
                <c:pt idx="141">
                  <c:v>48</c:v>
                </c:pt>
                <c:pt idx="142">
                  <c:v>83</c:v>
                </c:pt>
                <c:pt idx="143">
                  <c:v>45</c:v>
                </c:pt>
                <c:pt idx="144">
                  <c:v>42</c:v>
                </c:pt>
                <c:pt idx="145">
                  <c:v>83</c:v>
                </c:pt>
                <c:pt idx="146">
                  <c:v>57</c:v>
                </c:pt>
                <c:pt idx="147">
                  <c:v>61</c:v>
                </c:pt>
                <c:pt idx="148">
                  <c:v>81</c:v>
                </c:pt>
                <c:pt idx="149">
                  <c:v>59</c:v>
                </c:pt>
                <c:pt idx="150">
                  <c:v>51</c:v>
                </c:pt>
                <c:pt idx="151">
                  <c:v>68</c:v>
                </c:pt>
                <c:pt idx="152">
                  <c:v>101</c:v>
                </c:pt>
                <c:pt idx="153">
                  <c:v>80</c:v>
                </c:pt>
                <c:pt idx="154">
                  <c:v>43</c:v>
                </c:pt>
                <c:pt idx="155">
                  <c:v>64</c:v>
                </c:pt>
                <c:pt idx="156">
                  <c:v>89</c:v>
                </c:pt>
                <c:pt idx="157">
                  <c:v>94</c:v>
                </c:pt>
                <c:pt idx="158">
                  <c:v>49</c:v>
                </c:pt>
                <c:pt idx="159">
                  <c:v>77</c:v>
                </c:pt>
                <c:pt idx="160">
                  <c:v>74</c:v>
                </c:pt>
                <c:pt idx="161">
                  <c:v>56</c:v>
                </c:pt>
                <c:pt idx="162">
                  <c:v>54</c:v>
                </c:pt>
                <c:pt idx="163">
                  <c:v>67</c:v>
                </c:pt>
                <c:pt idx="164">
                  <c:v>83</c:v>
                </c:pt>
                <c:pt idx="165">
                  <c:v>56</c:v>
                </c:pt>
                <c:pt idx="166">
                  <c:v>70</c:v>
                </c:pt>
                <c:pt idx="167">
                  <c:v>58</c:v>
                </c:pt>
                <c:pt idx="168">
                  <c:v>76</c:v>
                </c:pt>
                <c:pt idx="169">
                  <c:v>74</c:v>
                </c:pt>
                <c:pt idx="170">
                  <c:v>46</c:v>
                </c:pt>
                <c:pt idx="171">
                  <c:v>80</c:v>
                </c:pt>
                <c:pt idx="172">
                  <c:v>48</c:v>
                </c:pt>
                <c:pt idx="173">
                  <c:v>67</c:v>
                </c:pt>
                <c:pt idx="174">
                  <c:v>104</c:v>
                </c:pt>
                <c:pt idx="175">
                  <c:v>41</c:v>
                </c:pt>
                <c:pt idx="176">
                  <c:v>81</c:v>
                </c:pt>
                <c:pt idx="177">
                  <c:v>70</c:v>
                </c:pt>
                <c:pt idx="178">
                  <c:v>69</c:v>
                </c:pt>
                <c:pt idx="179">
                  <c:v>133</c:v>
                </c:pt>
                <c:pt idx="180">
                  <c:v>56</c:v>
                </c:pt>
                <c:pt idx="181">
                  <c:v>56</c:v>
                </c:pt>
                <c:pt idx="182">
                  <c:v>88</c:v>
                </c:pt>
                <c:pt idx="183">
                  <c:v>64</c:v>
                </c:pt>
                <c:pt idx="184">
                  <c:v>58</c:v>
                </c:pt>
                <c:pt idx="185">
                  <c:v>80</c:v>
                </c:pt>
                <c:pt idx="186">
                  <c:v>96</c:v>
                </c:pt>
                <c:pt idx="187">
                  <c:v>60</c:v>
                </c:pt>
                <c:pt idx="188">
                  <c:v>100</c:v>
                </c:pt>
                <c:pt idx="189">
                  <c:v>74</c:v>
                </c:pt>
                <c:pt idx="190">
                  <c:v>44</c:v>
                </c:pt>
                <c:pt idx="191">
                  <c:v>77</c:v>
                </c:pt>
                <c:pt idx="192">
                  <c:v>99</c:v>
                </c:pt>
                <c:pt idx="193">
                  <c:v>109</c:v>
                </c:pt>
                <c:pt idx="194">
                  <c:v>62</c:v>
                </c:pt>
                <c:pt idx="195">
                  <c:v>70</c:v>
                </c:pt>
                <c:pt idx="196">
                  <c:v>56</c:v>
                </c:pt>
                <c:pt idx="197">
                  <c:v>74</c:v>
                </c:pt>
                <c:pt idx="198">
                  <c:v>60</c:v>
                </c:pt>
                <c:pt idx="199">
                  <c:v>36</c:v>
                </c:pt>
                <c:pt idx="200">
                  <c:v>72</c:v>
                </c:pt>
                <c:pt idx="201">
                  <c:v>78</c:v>
                </c:pt>
                <c:pt idx="202">
                  <c:v>62</c:v>
                </c:pt>
                <c:pt idx="203">
                  <c:v>84</c:v>
                </c:pt>
                <c:pt idx="204">
                  <c:v>81</c:v>
                </c:pt>
                <c:pt idx="205">
                  <c:v>67</c:v>
                </c:pt>
                <c:pt idx="206">
                  <c:v>92</c:v>
                </c:pt>
                <c:pt idx="207">
                  <c:v>110</c:v>
                </c:pt>
                <c:pt idx="208">
                  <c:v>41</c:v>
                </c:pt>
                <c:pt idx="209">
                  <c:v>57</c:v>
                </c:pt>
                <c:pt idx="210">
                  <c:v>52</c:v>
                </c:pt>
                <c:pt idx="211">
                  <c:v>96</c:v>
                </c:pt>
                <c:pt idx="212">
                  <c:v>65</c:v>
                </c:pt>
                <c:pt idx="213">
                  <c:v>88</c:v>
                </c:pt>
                <c:pt idx="214">
                  <c:v>44</c:v>
                </c:pt>
                <c:pt idx="215">
                  <c:v>65</c:v>
                </c:pt>
                <c:pt idx="216">
                  <c:v>76</c:v>
                </c:pt>
                <c:pt idx="217">
                  <c:v>73</c:v>
                </c:pt>
                <c:pt idx="218">
                  <c:v>64</c:v>
                </c:pt>
                <c:pt idx="219">
                  <c:v>40</c:v>
                </c:pt>
                <c:pt idx="220">
                  <c:v>64</c:v>
                </c:pt>
                <c:pt idx="221">
                  <c:v>56</c:v>
                </c:pt>
                <c:pt idx="222">
                  <c:v>78</c:v>
                </c:pt>
                <c:pt idx="223">
                  <c:v>43</c:v>
                </c:pt>
                <c:pt idx="224">
                  <c:v>78</c:v>
                </c:pt>
                <c:pt idx="225">
                  <c:v>64</c:v>
                </c:pt>
                <c:pt idx="226">
                  <c:v>67</c:v>
                </c:pt>
                <c:pt idx="227">
                  <c:v>80</c:v>
                </c:pt>
                <c:pt idx="228">
                  <c:v>40</c:v>
                </c:pt>
                <c:pt idx="229">
                  <c:v>71</c:v>
                </c:pt>
                <c:pt idx="230">
                  <c:v>84</c:v>
                </c:pt>
                <c:pt idx="231">
                  <c:v>29</c:v>
                </c:pt>
                <c:pt idx="232">
                  <c:v>53</c:v>
                </c:pt>
                <c:pt idx="233">
                  <c:v>72</c:v>
                </c:pt>
                <c:pt idx="234">
                  <c:v>39</c:v>
                </c:pt>
                <c:pt idx="235">
                  <c:v>63</c:v>
                </c:pt>
                <c:pt idx="236">
                  <c:v>83</c:v>
                </c:pt>
                <c:pt idx="237">
                  <c:v>31</c:v>
                </c:pt>
                <c:pt idx="238">
                  <c:v>57</c:v>
                </c:pt>
                <c:pt idx="239">
                  <c:v>44</c:v>
                </c:pt>
                <c:pt idx="240">
                  <c:v>34</c:v>
                </c:pt>
                <c:pt idx="241">
                  <c:v>97</c:v>
                </c:pt>
                <c:pt idx="242">
                  <c:v>30</c:v>
                </c:pt>
                <c:pt idx="243">
                  <c:v>42</c:v>
                </c:pt>
                <c:pt idx="244">
                  <c:v>83</c:v>
                </c:pt>
                <c:pt idx="245">
                  <c:v>29</c:v>
                </c:pt>
                <c:pt idx="246">
                  <c:v>73</c:v>
                </c:pt>
                <c:pt idx="247">
                  <c:v>67</c:v>
                </c:pt>
                <c:pt idx="248">
                  <c:v>42</c:v>
                </c:pt>
                <c:pt idx="249">
                  <c:v>67</c:v>
                </c:pt>
                <c:pt idx="250">
                  <c:v>32</c:v>
                </c:pt>
                <c:pt idx="251">
                  <c:v>37</c:v>
                </c:pt>
                <c:pt idx="252">
                  <c:v>44</c:v>
                </c:pt>
                <c:pt idx="253">
                  <c:v>58</c:v>
                </c:pt>
                <c:pt idx="254">
                  <c:v>50</c:v>
                </c:pt>
                <c:pt idx="255">
                  <c:v>34</c:v>
                </c:pt>
                <c:pt idx="256">
                  <c:v>69</c:v>
                </c:pt>
                <c:pt idx="257">
                  <c:v>47</c:v>
                </c:pt>
                <c:pt idx="258">
                  <c:v>44</c:v>
                </c:pt>
                <c:pt idx="259">
                  <c:v>46</c:v>
                </c:pt>
                <c:pt idx="260">
                  <c:v>45</c:v>
                </c:pt>
                <c:pt idx="261">
                  <c:v>77</c:v>
                </c:pt>
                <c:pt idx="262">
                  <c:v>74</c:v>
                </c:pt>
                <c:pt idx="263">
                  <c:v>42</c:v>
                </c:pt>
                <c:pt idx="264">
                  <c:v>22</c:v>
                </c:pt>
                <c:pt idx="265">
                  <c:v>88</c:v>
                </c:pt>
                <c:pt idx="266">
                  <c:v>70</c:v>
                </c:pt>
                <c:pt idx="267">
                  <c:v>43</c:v>
                </c:pt>
                <c:pt idx="268">
                  <c:v>47</c:v>
                </c:pt>
                <c:pt idx="269">
                  <c:v>46</c:v>
                </c:pt>
                <c:pt idx="270">
                  <c:v>44</c:v>
                </c:pt>
                <c:pt idx="271">
                  <c:v>53</c:v>
                </c:pt>
                <c:pt idx="272">
                  <c:v>38</c:v>
                </c:pt>
                <c:pt idx="273">
                  <c:v>44</c:v>
                </c:pt>
                <c:pt idx="274">
                  <c:v>37</c:v>
                </c:pt>
                <c:pt idx="275">
                  <c:v>10</c:v>
                </c:pt>
                <c:pt idx="276">
                  <c:v>40</c:v>
                </c:pt>
                <c:pt idx="277">
                  <c:v>26</c:v>
                </c:pt>
                <c:pt idx="278">
                  <c:v>16</c:v>
                </c:pt>
                <c:pt idx="279">
                  <c:v>24</c:v>
                </c:pt>
                <c:pt idx="280">
                  <c:v>38</c:v>
                </c:pt>
                <c:pt idx="281">
                  <c:v>33</c:v>
                </c:pt>
                <c:pt idx="282">
                  <c:v>38</c:v>
                </c:pt>
                <c:pt idx="283">
                  <c:v>67</c:v>
                </c:pt>
                <c:pt idx="284">
                  <c:v>22</c:v>
                </c:pt>
                <c:pt idx="285">
                  <c:v>12</c:v>
                </c:pt>
                <c:pt idx="286">
                  <c:v>33</c:v>
                </c:pt>
                <c:pt idx="287">
                  <c:v>33</c:v>
                </c:pt>
                <c:pt idx="288">
                  <c:v>44</c:v>
                </c:pt>
                <c:pt idx="289">
                  <c:v>27</c:v>
                </c:pt>
                <c:pt idx="290">
                  <c:v>58</c:v>
                </c:pt>
                <c:pt idx="291">
                  <c:v>20</c:v>
                </c:pt>
                <c:pt idx="292">
                  <c:v>29</c:v>
                </c:pt>
                <c:pt idx="293">
                  <c:v>18</c:v>
                </c:pt>
                <c:pt idx="294">
                  <c:v>62</c:v>
                </c:pt>
                <c:pt idx="295">
                  <c:v>10</c:v>
                </c:pt>
                <c:pt idx="296">
                  <c:v>4</c:v>
                </c:pt>
                <c:pt idx="297">
                  <c:v>23</c:v>
                </c:pt>
                <c:pt idx="298">
                  <c:v>14</c:v>
                </c:pt>
                <c:pt idx="299">
                  <c:v>34</c:v>
                </c:pt>
                <c:pt idx="300">
                  <c:v>10</c:v>
                </c:pt>
                <c:pt idx="301">
                  <c:v>10</c:v>
                </c:pt>
                <c:pt idx="302">
                  <c:v>14</c:v>
                </c:pt>
                <c:pt idx="303">
                  <c:v>16</c:v>
                </c:pt>
                <c:pt idx="304">
                  <c:v>10</c:v>
                </c:pt>
                <c:pt idx="305">
                  <c:v>18</c:v>
                </c:pt>
                <c:pt idx="306">
                  <c:v>12</c:v>
                </c:pt>
                <c:pt idx="307">
                  <c:v>36</c:v>
                </c:pt>
                <c:pt idx="308">
                  <c:v>20</c:v>
                </c:pt>
                <c:pt idx="309">
                  <c:v>3</c:v>
                </c:pt>
                <c:pt idx="310">
                  <c:v>12</c:v>
                </c:pt>
                <c:pt idx="311">
                  <c:v>18</c:v>
                </c:pt>
                <c:pt idx="312">
                  <c:v>9</c:v>
                </c:pt>
                <c:pt idx="313">
                  <c:v>6</c:v>
                </c:pt>
                <c:pt idx="314">
                  <c:v>26</c:v>
                </c:pt>
                <c:pt idx="315">
                  <c:v>13</c:v>
                </c:pt>
                <c:pt idx="316">
                  <c:v>16</c:v>
                </c:pt>
                <c:pt idx="317">
                  <c:v>10</c:v>
                </c:pt>
                <c:pt idx="318">
                  <c:v>7</c:v>
                </c:pt>
                <c:pt idx="319">
                  <c:v>6</c:v>
                </c:pt>
                <c:pt idx="320">
                  <c:v>20</c:v>
                </c:pt>
                <c:pt idx="321">
                  <c:v>13</c:v>
                </c:pt>
                <c:pt idx="322">
                  <c:v>6</c:v>
                </c:pt>
                <c:pt idx="323">
                  <c:v>38</c:v>
                </c:pt>
                <c:pt idx="324">
                  <c:v>18</c:v>
                </c:pt>
                <c:pt idx="325">
                  <c:v>7</c:v>
                </c:pt>
                <c:pt idx="326">
                  <c:v>6</c:v>
                </c:pt>
                <c:pt idx="327">
                  <c:v>5</c:v>
                </c:pt>
                <c:pt idx="328">
                  <c:v>13</c:v>
                </c:pt>
                <c:pt idx="329">
                  <c:v>19</c:v>
                </c:pt>
                <c:pt idx="330">
                  <c:v>24</c:v>
                </c:pt>
                <c:pt idx="331">
                  <c:v>6</c:v>
                </c:pt>
                <c:pt idx="332">
                  <c:v>18</c:v>
                </c:pt>
                <c:pt idx="333">
                  <c:v>2</c:v>
                </c:pt>
                <c:pt idx="334">
                  <c:v>10</c:v>
                </c:pt>
                <c:pt idx="335">
                  <c:v>12</c:v>
                </c:pt>
                <c:pt idx="336">
                  <c:v>11</c:v>
                </c:pt>
                <c:pt idx="337">
                  <c:v>5</c:v>
                </c:pt>
                <c:pt idx="338">
                  <c:v>4</c:v>
                </c:pt>
                <c:pt idx="339">
                  <c:v>26</c:v>
                </c:pt>
                <c:pt idx="340">
                  <c:v>2</c:v>
                </c:pt>
                <c:pt idx="341">
                  <c:v>14</c:v>
                </c:pt>
                <c:pt idx="342">
                  <c:v>31</c:v>
                </c:pt>
                <c:pt idx="343">
                  <c:v>28</c:v>
                </c:pt>
                <c:pt idx="344">
                  <c:v>5</c:v>
                </c:pt>
                <c:pt idx="345">
                  <c:v>3</c:v>
                </c:pt>
                <c:pt idx="346">
                  <c:v>4</c:v>
                </c:pt>
                <c:pt idx="347">
                  <c:v>4</c:v>
                </c:pt>
                <c:pt idx="348">
                  <c:v>10</c:v>
                </c:pt>
                <c:pt idx="349">
                  <c:v>3</c:v>
                </c:pt>
                <c:pt idx="350">
                  <c:v>2</c:v>
                </c:pt>
                <c:pt idx="351">
                  <c:v>3</c:v>
                </c:pt>
                <c:pt idx="352">
                  <c:v>29</c:v>
                </c:pt>
                <c:pt idx="353">
                  <c:v>15</c:v>
                </c:pt>
                <c:pt idx="354">
                  <c:v>4</c:v>
                </c:pt>
                <c:pt idx="355">
                  <c:v>5</c:v>
                </c:pt>
                <c:pt idx="356">
                  <c:v>7</c:v>
                </c:pt>
                <c:pt idx="357">
                  <c:v>1</c:v>
                </c:pt>
                <c:pt idx="358">
                  <c:v>41</c:v>
                </c:pt>
                <c:pt idx="359">
                  <c:v>3</c:v>
                </c:pt>
                <c:pt idx="360">
                  <c:v>3</c:v>
                </c:pt>
                <c:pt idx="361">
                  <c:v>6</c:v>
                </c:pt>
                <c:pt idx="362">
                  <c:v>12</c:v>
                </c:pt>
                <c:pt idx="363">
                  <c:v>10</c:v>
                </c:pt>
                <c:pt idx="364">
                  <c:v>14</c:v>
                </c:pt>
                <c:pt idx="365">
                  <c:v>5</c:v>
                </c:pt>
                <c:pt idx="366">
                  <c:v>4</c:v>
                </c:pt>
                <c:pt idx="367">
                  <c:v>9</c:v>
                </c:pt>
                <c:pt idx="368">
                  <c:v>9</c:v>
                </c:pt>
                <c:pt idx="369">
                  <c:v>1</c:v>
                </c:pt>
                <c:pt idx="370">
                  <c:v>29</c:v>
                </c:pt>
                <c:pt idx="371">
                  <c:v>6</c:v>
                </c:pt>
                <c:pt idx="372">
                  <c:v>4</c:v>
                </c:pt>
                <c:pt idx="373">
                  <c:v>1</c:v>
                </c:pt>
                <c:pt idx="374">
                  <c:v>13</c:v>
                </c:pt>
                <c:pt idx="375">
                  <c:v>2</c:v>
                </c:pt>
                <c:pt idx="376">
                  <c:v>2</c:v>
                </c:pt>
                <c:pt idx="377">
                  <c:v>26</c:v>
                </c:pt>
                <c:pt idx="378">
                  <c:v>6</c:v>
                </c:pt>
                <c:pt idx="379">
                  <c:v>2</c:v>
                </c:pt>
                <c:pt idx="380">
                  <c:v>18</c:v>
                </c:pt>
                <c:pt idx="381">
                  <c:v>11</c:v>
                </c:pt>
                <c:pt idx="382">
                  <c:v>9</c:v>
                </c:pt>
                <c:pt idx="383">
                  <c:v>7</c:v>
                </c:pt>
                <c:pt idx="384">
                  <c:v>31</c:v>
                </c:pt>
                <c:pt idx="385">
                  <c:v>18</c:v>
                </c:pt>
                <c:pt idx="386">
                  <c:v>30</c:v>
                </c:pt>
                <c:pt idx="387">
                  <c:v>2</c:v>
                </c:pt>
                <c:pt idx="388">
                  <c:v>8</c:v>
                </c:pt>
                <c:pt idx="389">
                  <c:v>15</c:v>
                </c:pt>
                <c:pt idx="390">
                  <c:v>26</c:v>
                </c:pt>
                <c:pt idx="391">
                  <c:v>6</c:v>
                </c:pt>
                <c:pt idx="392">
                  <c:v>16</c:v>
                </c:pt>
                <c:pt idx="393">
                  <c:v>13</c:v>
                </c:pt>
                <c:pt idx="394">
                  <c:v>10</c:v>
                </c:pt>
                <c:pt idx="395">
                  <c:v>4</c:v>
                </c:pt>
                <c:pt idx="396">
                  <c:v>21</c:v>
                </c:pt>
                <c:pt idx="397">
                  <c:v>11</c:v>
                </c:pt>
                <c:pt idx="398">
                  <c:v>5</c:v>
                </c:pt>
                <c:pt idx="399">
                  <c:v>4</c:v>
                </c:pt>
                <c:pt idx="400">
                  <c:v>18</c:v>
                </c:pt>
                <c:pt idx="401">
                  <c:v>21</c:v>
                </c:pt>
                <c:pt idx="402">
                  <c:v>24</c:v>
                </c:pt>
                <c:pt idx="403">
                  <c:v>4</c:v>
                </c:pt>
                <c:pt idx="404">
                  <c:v>5</c:v>
                </c:pt>
                <c:pt idx="405">
                  <c:v>12</c:v>
                </c:pt>
                <c:pt idx="406">
                  <c:v>18</c:v>
                </c:pt>
                <c:pt idx="407">
                  <c:v>10</c:v>
                </c:pt>
                <c:pt idx="408">
                  <c:v>9</c:v>
                </c:pt>
                <c:pt idx="409">
                  <c:v>33</c:v>
                </c:pt>
                <c:pt idx="410">
                  <c:v>22</c:v>
                </c:pt>
                <c:pt idx="411">
                  <c:v>63</c:v>
                </c:pt>
                <c:pt idx="412">
                  <c:v>25</c:v>
                </c:pt>
                <c:pt idx="413">
                  <c:v>19</c:v>
                </c:pt>
                <c:pt idx="414">
                  <c:v>20</c:v>
                </c:pt>
                <c:pt idx="415">
                  <c:v>15</c:v>
                </c:pt>
                <c:pt idx="416">
                  <c:v>21</c:v>
                </c:pt>
                <c:pt idx="417">
                  <c:v>25</c:v>
                </c:pt>
                <c:pt idx="418">
                  <c:v>15</c:v>
                </c:pt>
                <c:pt idx="419">
                  <c:v>23</c:v>
                </c:pt>
                <c:pt idx="420">
                  <c:v>16</c:v>
                </c:pt>
                <c:pt idx="421">
                  <c:v>19</c:v>
                </c:pt>
                <c:pt idx="422">
                  <c:v>18</c:v>
                </c:pt>
                <c:pt idx="423">
                  <c:v>22</c:v>
                </c:pt>
                <c:pt idx="424">
                  <c:v>23</c:v>
                </c:pt>
                <c:pt idx="425">
                  <c:v>27</c:v>
                </c:pt>
                <c:pt idx="426">
                  <c:v>19</c:v>
                </c:pt>
                <c:pt idx="427">
                  <c:v>47</c:v>
                </c:pt>
                <c:pt idx="428">
                  <c:v>15</c:v>
                </c:pt>
                <c:pt idx="429">
                  <c:v>5</c:v>
                </c:pt>
                <c:pt idx="430">
                  <c:v>17</c:v>
                </c:pt>
                <c:pt idx="431">
                  <c:v>39</c:v>
                </c:pt>
                <c:pt idx="432">
                  <c:v>16</c:v>
                </c:pt>
                <c:pt idx="433">
                  <c:v>43</c:v>
                </c:pt>
                <c:pt idx="434">
                  <c:v>19</c:v>
                </c:pt>
                <c:pt idx="435">
                  <c:v>51</c:v>
                </c:pt>
                <c:pt idx="436">
                  <c:v>27</c:v>
                </c:pt>
                <c:pt idx="437">
                  <c:v>28</c:v>
                </c:pt>
                <c:pt idx="438">
                  <c:v>48</c:v>
                </c:pt>
                <c:pt idx="439">
                  <c:v>14</c:v>
                </c:pt>
                <c:pt idx="440">
                  <c:v>26</c:v>
                </c:pt>
                <c:pt idx="441">
                  <c:v>46</c:v>
                </c:pt>
                <c:pt idx="442">
                  <c:v>38</c:v>
                </c:pt>
                <c:pt idx="443">
                  <c:v>13</c:v>
                </c:pt>
                <c:pt idx="444">
                  <c:v>19</c:v>
                </c:pt>
                <c:pt idx="445">
                  <c:v>48</c:v>
                </c:pt>
                <c:pt idx="446">
                  <c:v>37</c:v>
                </c:pt>
                <c:pt idx="447">
                  <c:v>49</c:v>
                </c:pt>
                <c:pt idx="448">
                  <c:v>40</c:v>
                </c:pt>
                <c:pt idx="449">
                  <c:v>49</c:v>
                </c:pt>
                <c:pt idx="450">
                  <c:v>37</c:v>
                </c:pt>
                <c:pt idx="451">
                  <c:v>38</c:v>
                </c:pt>
                <c:pt idx="452">
                  <c:v>46</c:v>
                </c:pt>
                <c:pt idx="453">
                  <c:v>31</c:v>
                </c:pt>
                <c:pt idx="454">
                  <c:v>41</c:v>
                </c:pt>
                <c:pt idx="455">
                  <c:v>16</c:v>
                </c:pt>
                <c:pt idx="456">
                  <c:v>23</c:v>
                </c:pt>
                <c:pt idx="457">
                  <c:v>26</c:v>
                </c:pt>
                <c:pt idx="458">
                  <c:v>40</c:v>
                </c:pt>
                <c:pt idx="459">
                  <c:v>47</c:v>
                </c:pt>
                <c:pt idx="460">
                  <c:v>25</c:v>
                </c:pt>
                <c:pt idx="461">
                  <c:v>26</c:v>
                </c:pt>
                <c:pt idx="462">
                  <c:v>51</c:v>
                </c:pt>
                <c:pt idx="463">
                  <c:v>28</c:v>
                </c:pt>
                <c:pt idx="464">
                  <c:v>46</c:v>
                </c:pt>
                <c:pt idx="465">
                  <c:v>45</c:v>
                </c:pt>
                <c:pt idx="466">
                  <c:v>43</c:v>
                </c:pt>
                <c:pt idx="467">
                  <c:v>26</c:v>
                </c:pt>
                <c:pt idx="468">
                  <c:v>50</c:v>
                </c:pt>
                <c:pt idx="469">
                  <c:v>26</c:v>
                </c:pt>
                <c:pt idx="470">
                  <c:v>64</c:v>
                </c:pt>
                <c:pt idx="471">
                  <c:v>33</c:v>
                </c:pt>
                <c:pt idx="472">
                  <c:v>57</c:v>
                </c:pt>
                <c:pt idx="473">
                  <c:v>38</c:v>
                </c:pt>
                <c:pt idx="474">
                  <c:v>36</c:v>
                </c:pt>
                <c:pt idx="475">
                  <c:v>40</c:v>
                </c:pt>
                <c:pt idx="476">
                  <c:v>36</c:v>
                </c:pt>
                <c:pt idx="477">
                  <c:v>79</c:v>
                </c:pt>
                <c:pt idx="478">
                  <c:v>43</c:v>
                </c:pt>
                <c:pt idx="479">
                  <c:v>47</c:v>
                </c:pt>
                <c:pt idx="480">
                  <c:v>57</c:v>
                </c:pt>
                <c:pt idx="481">
                  <c:v>37</c:v>
                </c:pt>
                <c:pt idx="482">
                  <c:v>30</c:v>
                </c:pt>
                <c:pt idx="483">
                  <c:v>38</c:v>
                </c:pt>
                <c:pt idx="484">
                  <c:v>79</c:v>
                </c:pt>
                <c:pt idx="485">
                  <c:v>46</c:v>
                </c:pt>
                <c:pt idx="486">
                  <c:v>42</c:v>
                </c:pt>
                <c:pt idx="487">
                  <c:v>43</c:v>
                </c:pt>
                <c:pt idx="488">
                  <c:v>58</c:v>
                </c:pt>
                <c:pt idx="489">
                  <c:v>49</c:v>
                </c:pt>
                <c:pt idx="490">
                  <c:v>42</c:v>
                </c:pt>
                <c:pt idx="491">
                  <c:v>59</c:v>
                </c:pt>
                <c:pt idx="492">
                  <c:v>72</c:v>
                </c:pt>
                <c:pt idx="493">
                  <c:v>48</c:v>
                </c:pt>
                <c:pt idx="494">
                  <c:v>55</c:v>
                </c:pt>
                <c:pt idx="495">
                  <c:v>59</c:v>
                </c:pt>
                <c:pt idx="496">
                  <c:v>32</c:v>
                </c:pt>
                <c:pt idx="497">
                  <c:v>32</c:v>
                </c:pt>
                <c:pt idx="498">
                  <c:v>92</c:v>
                </c:pt>
                <c:pt idx="499">
                  <c:v>51</c:v>
                </c:pt>
                <c:pt idx="500">
                  <c:v>39</c:v>
                </c:pt>
                <c:pt idx="501">
                  <c:v>24</c:v>
                </c:pt>
                <c:pt idx="502">
                  <c:v>71</c:v>
                </c:pt>
                <c:pt idx="503">
                  <c:v>88</c:v>
                </c:pt>
                <c:pt idx="504">
                  <c:v>38</c:v>
                </c:pt>
                <c:pt idx="505">
                  <c:v>59</c:v>
                </c:pt>
                <c:pt idx="506">
                  <c:v>55</c:v>
                </c:pt>
                <c:pt idx="507">
                  <c:v>55</c:v>
                </c:pt>
                <c:pt idx="508">
                  <c:v>75</c:v>
                </c:pt>
                <c:pt idx="509">
                  <c:v>28</c:v>
                </c:pt>
                <c:pt idx="510">
                  <c:v>90</c:v>
                </c:pt>
                <c:pt idx="511">
                  <c:v>27</c:v>
                </c:pt>
                <c:pt idx="512">
                  <c:v>32</c:v>
                </c:pt>
                <c:pt idx="513">
                  <c:v>58</c:v>
                </c:pt>
                <c:pt idx="514">
                  <c:v>78</c:v>
                </c:pt>
                <c:pt idx="515">
                  <c:v>48</c:v>
                </c:pt>
                <c:pt idx="516">
                  <c:v>97</c:v>
                </c:pt>
                <c:pt idx="517">
                  <c:v>106</c:v>
                </c:pt>
                <c:pt idx="518">
                  <c:v>53</c:v>
                </c:pt>
                <c:pt idx="519">
                  <c:v>43</c:v>
                </c:pt>
                <c:pt idx="520">
                  <c:v>59</c:v>
                </c:pt>
                <c:pt idx="521">
                  <c:v>28</c:v>
                </c:pt>
                <c:pt idx="522">
                  <c:v>70</c:v>
                </c:pt>
                <c:pt idx="523">
                  <c:v>72</c:v>
                </c:pt>
                <c:pt idx="524">
                  <c:v>80</c:v>
                </c:pt>
                <c:pt idx="525">
                  <c:v>53</c:v>
                </c:pt>
                <c:pt idx="526">
                  <c:v>52</c:v>
                </c:pt>
                <c:pt idx="527">
                  <c:v>64</c:v>
                </c:pt>
                <c:pt idx="528">
                  <c:v>66</c:v>
                </c:pt>
                <c:pt idx="529">
                  <c:v>62</c:v>
                </c:pt>
                <c:pt idx="530">
                  <c:v>66</c:v>
                </c:pt>
                <c:pt idx="531">
                  <c:v>94</c:v>
                </c:pt>
                <c:pt idx="532">
                  <c:v>88</c:v>
                </c:pt>
                <c:pt idx="533">
                  <c:v>37</c:v>
                </c:pt>
                <c:pt idx="534">
                  <c:v>71</c:v>
                </c:pt>
                <c:pt idx="535">
                  <c:v>89</c:v>
                </c:pt>
                <c:pt idx="536">
                  <c:v>83</c:v>
                </c:pt>
                <c:pt idx="537">
                  <c:v>72</c:v>
                </c:pt>
                <c:pt idx="538">
                  <c:v>86</c:v>
                </c:pt>
                <c:pt idx="539">
                  <c:v>53</c:v>
                </c:pt>
                <c:pt idx="540">
                  <c:v>72</c:v>
                </c:pt>
                <c:pt idx="541">
                  <c:v>107</c:v>
                </c:pt>
                <c:pt idx="542">
                  <c:v>42</c:v>
                </c:pt>
                <c:pt idx="543">
                  <c:v>76</c:v>
                </c:pt>
                <c:pt idx="544">
                  <c:v>44</c:v>
                </c:pt>
                <c:pt idx="545">
                  <c:v>45</c:v>
                </c:pt>
                <c:pt idx="546">
                  <c:v>63</c:v>
                </c:pt>
                <c:pt idx="547">
                  <c:v>53</c:v>
                </c:pt>
                <c:pt idx="548">
                  <c:v>98</c:v>
                </c:pt>
                <c:pt idx="549">
                  <c:v>89</c:v>
                </c:pt>
                <c:pt idx="550">
                  <c:v>92</c:v>
                </c:pt>
                <c:pt idx="551">
                  <c:v>51</c:v>
                </c:pt>
                <c:pt idx="552">
                  <c:v>79</c:v>
                </c:pt>
                <c:pt idx="553">
                  <c:v>95</c:v>
                </c:pt>
                <c:pt idx="554">
                  <c:v>108</c:v>
                </c:pt>
                <c:pt idx="555">
                  <c:v>61</c:v>
                </c:pt>
                <c:pt idx="556">
                  <c:v>47</c:v>
                </c:pt>
                <c:pt idx="557">
                  <c:v>73</c:v>
                </c:pt>
                <c:pt idx="558">
                  <c:v>64</c:v>
                </c:pt>
                <c:pt idx="559">
                  <c:v>45</c:v>
                </c:pt>
                <c:pt idx="560">
                  <c:v>64</c:v>
                </c:pt>
                <c:pt idx="561">
                  <c:v>74</c:v>
                </c:pt>
                <c:pt idx="562">
                  <c:v>75</c:v>
                </c:pt>
                <c:pt idx="563">
                  <c:v>59</c:v>
                </c:pt>
                <c:pt idx="564">
                  <c:v>52</c:v>
                </c:pt>
                <c:pt idx="565">
                  <c:v>71</c:v>
                </c:pt>
                <c:pt idx="566">
                  <c:v>44</c:v>
                </c:pt>
                <c:pt idx="567">
                  <c:v>59</c:v>
                </c:pt>
                <c:pt idx="568">
                  <c:v>48</c:v>
                </c:pt>
                <c:pt idx="569">
                  <c:v>76</c:v>
                </c:pt>
                <c:pt idx="570">
                  <c:v>62</c:v>
                </c:pt>
                <c:pt idx="571">
                  <c:v>41</c:v>
                </c:pt>
                <c:pt idx="572">
                  <c:v>49</c:v>
                </c:pt>
                <c:pt idx="573">
                  <c:v>72</c:v>
                </c:pt>
                <c:pt idx="574">
                  <c:v>81</c:v>
                </c:pt>
                <c:pt idx="575">
                  <c:v>101</c:v>
                </c:pt>
                <c:pt idx="576">
                  <c:v>103</c:v>
                </c:pt>
                <c:pt idx="577">
                  <c:v>35</c:v>
                </c:pt>
                <c:pt idx="578">
                  <c:v>96</c:v>
                </c:pt>
                <c:pt idx="579">
                  <c:v>77</c:v>
                </c:pt>
                <c:pt idx="580">
                  <c:v>57</c:v>
                </c:pt>
                <c:pt idx="581">
                  <c:v>81</c:v>
                </c:pt>
                <c:pt idx="582">
                  <c:v>74</c:v>
                </c:pt>
                <c:pt idx="583">
                  <c:v>52</c:v>
                </c:pt>
                <c:pt idx="584">
                  <c:v>73</c:v>
                </c:pt>
                <c:pt idx="585">
                  <c:v>58</c:v>
                </c:pt>
                <c:pt idx="586">
                  <c:v>93</c:v>
                </c:pt>
                <c:pt idx="587">
                  <c:v>33</c:v>
                </c:pt>
                <c:pt idx="588">
                  <c:v>42</c:v>
                </c:pt>
                <c:pt idx="589">
                  <c:v>59</c:v>
                </c:pt>
                <c:pt idx="590">
                  <c:v>75</c:v>
                </c:pt>
                <c:pt idx="591">
                  <c:v>34</c:v>
                </c:pt>
                <c:pt idx="592">
                  <c:v>77</c:v>
                </c:pt>
                <c:pt idx="593">
                  <c:v>64</c:v>
                </c:pt>
                <c:pt idx="594">
                  <c:v>57</c:v>
                </c:pt>
                <c:pt idx="595">
                  <c:v>91</c:v>
                </c:pt>
                <c:pt idx="596">
                  <c:v>74</c:v>
                </c:pt>
                <c:pt idx="597">
                  <c:v>84</c:v>
                </c:pt>
                <c:pt idx="598">
                  <c:v>30</c:v>
                </c:pt>
                <c:pt idx="599">
                  <c:v>35</c:v>
                </c:pt>
                <c:pt idx="600">
                  <c:v>45</c:v>
                </c:pt>
                <c:pt idx="601">
                  <c:v>55</c:v>
                </c:pt>
                <c:pt idx="602">
                  <c:v>53</c:v>
                </c:pt>
                <c:pt idx="603">
                  <c:v>64</c:v>
                </c:pt>
                <c:pt idx="604">
                  <c:v>56</c:v>
                </c:pt>
                <c:pt idx="605">
                  <c:v>75</c:v>
                </c:pt>
                <c:pt idx="606">
                  <c:v>80</c:v>
                </c:pt>
                <c:pt idx="607">
                  <c:v>30</c:v>
                </c:pt>
                <c:pt idx="608">
                  <c:v>60</c:v>
                </c:pt>
                <c:pt idx="609">
                  <c:v>71</c:v>
                </c:pt>
                <c:pt idx="610">
                  <c:v>60</c:v>
                </c:pt>
                <c:pt idx="611">
                  <c:v>50</c:v>
                </c:pt>
                <c:pt idx="612">
                  <c:v>66</c:v>
                </c:pt>
                <c:pt idx="613">
                  <c:v>67</c:v>
                </c:pt>
                <c:pt idx="614">
                  <c:v>46</c:v>
                </c:pt>
                <c:pt idx="615">
                  <c:v>48</c:v>
                </c:pt>
                <c:pt idx="616">
                  <c:v>71</c:v>
                </c:pt>
                <c:pt idx="617">
                  <c:v>68</c:v>
                </c:pt>
                <c:pt idx="618">
                  <c:v>22</c:v>
                </c:pt>
                <c:pt idx="619">
                  <c:v>36</c:v>
                </c:pt>
                <c:pt idx="620">
                  <c:v>41</c:v>
                </c:pt>
                <c:pt idx="621">
                  <c:v>36</c:v>
                </c:pt>
                <c:pt idx="622">
                  <c:v>58</c:v>
                </c:pt>
                <c:pt idx="623">
                  <c:v>63</c:v>
                </c:pt>
                <c:pt idx="624">
                  <c:v>29</c:v>
                </c:pt>
                <c:pt idx="625">
                  <c:v>29</c:v>
                </c:pt>
                <c:pt idx="626">
                  <c:v>42</c:v>
                </c:pt>
                <c:pt idx="627">
                  <c:v>75</c:v>
                </c:pt>
                <c:pt idx="628">
                  <c:v>85</c:v>
                </c:pt>
                <c:pt idx="629">
                  <c:v>61</c:v>
                </c:pt>
                <c:pt idx="630">
                  <c:v>47</c:v>
                </c:pt>
                <c:pt idx="631">
                  <c:v>39</c:v>
                </c:pt>
                <c:pt idx="632">
                  <c:v>49</c:v>
                </c:pt>
                <c:pt idx="633">
                  <c:v>54</c:v>
                </c:pt>
                <c:pt idx="634">
                  <c:v>25</c:v>
                </c:pt>
                <c:pt idx="635">
                  <c:v>32</c:v>
                </c:pt>
                <c:pt idx="636">
                  <c:v>31</c:v>
                </c:pt>
                <c:pt idx="637">
                  <c:v>36</c:v>
                </c:pt>
                <c:pt idx="638">
                  <c:v>48</c:v>
                </c:pt>
                <c:pt idx="639">
                  <c:v>32</c:v>
                </c:pt>
                <c:pt idx="640">
                  <c:v>50</c:v>
                </c:pt>
                <c:pt idx="641">
                  <c:v>21</c:v>
                </c:pt>
                <c:pt idx="642">
                  <c:v>34</c:v>
                </c:pt>
                <c:pt idx="643">
                  <c:v>49</c:v>
                </c:pt>
                <c:pt idx="644">
                  <c:v>18</c:v>
                </c:pt>
                <c:pt idx="645">
                  <c:v>33</c:v>
                </c:pt>
                <c:pt idx="646">
                  <c:v>30</c:v>
                </c:pt>
                <c:pt idx="647">
                  <c:v>35</c:v>
                </c:pt>
                <c:pt idx="648">
                  <c:v>18</c:v>
                </c:pt>
                <c:pt idx="649">
                  <c:v>33</c:v>
                </c:pt>
                <c:pt idx="650">
                  <c:v>26</c:v>
                </c:pt>
                <c:pt idx="651">
                  <c:v>34</c:v>
                </c:pt>
                <c:pt idx="652">
                  <c:v>34</c:v>
                </c:pt>
                <c:pt idx="653">
                  <c:v>30</c:v>
                </c:pt>
                <c:pt idx="654">
                  <c:v>37</c:v>
                </c:pt>
                <c:pt idx="655">
                  <c:v>65</c:v>
                </c:pt>
                <c:pt idx="656">
                  <c:v>16</c:v>
                </c:pt>
                <c:pt idx="657">
                  <c:v>15</c:v>
                </c:pt>
                <c:pt idx="658">
                  <c:v>17</c:v>
                </c:pt>
                <c:pt idx="659">
                  <c:v>14</c:v>
                </c:pt>
                <c:pt idx="660">
                  <c:v>54</c:v>
                </c:pt>
                <c:pt idx="661">
                  <c:v>17</c:v>
                </c:pt>
                <c:pt idx="662">
                  <c:v>33</c:v>
                </c:pt>
                <c:pt idx="663">
                  <c:v>12</c:v>
                </c:pt>
                <c:pt idx="664">
                  <c:v>15</c:v>
                </c:pt>
                <c:pt idx="665">
                  <c:v>21</c:v>
                </c:pt>
                <c:pt idx="666">
                  <c:v>16</c:v>
                </c:pt>
                <c:pt idx="667">
                  <c:v>24</c:v>
                </c:pt>
                <c:pt idx="668">
                  <c:v>19</c:v>
                </c:pt>
                <c:pt idx="669">
                  <c:v>10</c:v>
                </c:pt>
                <c:pt idx="670">
                  <c:v>26</c:v>
                </c:pt>
                <c:pt idx="671">
                  <c:v>39</c:v>
                </c:pt>
                <c:pt idx="672">
                  <c:v>23</c:v>
                </c:pt>
                <c:pt idx="673">
                  <c:v>14</c:v>
                </c:pt>
                <c:pt idx="674">
                  <c:v>16</c:v>
                </c:pt>
                <c:pt idx="675">
                  <c:v>26</c:v>
                </c:pt>
                <c:pt idx="676">
                  <c:v>21</c:v>
                </c:pt>
                <c:pt idx="677">
                  <c:v>29</c:v>
                </c:pt>
                <c:pt idx="678">
                  <c:v>7</c:v>
                </c:pt>
                <c:pt idx="679">
                  <c:v>13</c:v>
                </c:pt>
                <c:pt idx="680">
                  <c:v>40</c:v>
                </c:pt>
                <c:pt idx="681">
                  <c:v>4</c:v>
                </c:pt>
                <c:pt idx="682">
                  <c:v>22</c:v>
                </c:pt>
                <c:pt idx="683">
                  <c:v>9</c:v>
                </c:pt>
                <c:pt idx="684">
                  <c:v>11</c:v>
                </c:pt>
                <c:pt idx="685">
                  <c:v>29</c:v>
                </c:pt>
                <c:pt idx="686">
                  <c:v>13</c:v>
                </c:pt>
                <c:pt idx="687">
                  <c:v>56</c:v>
                </c:pt>
                <c:pt idx="688">
                  <c:v>12</c:v>
                </c:pt>
                <c:pt idx="689">
                  <c:v>19</c:v>
                </c:pt>
                <c:pt idx="690">
                  <c:v>12</c:v>
                </c:pt>
                <c:pt idx="691">
                  <c:v>26</c:v>
                </c:pt>
                <c:pt idx="692">
                  <c:v>11</c:v>
                </c:pt>
                <c:pt idx="693">
                  <c:v>21</c:v>
                </c:pt>
                <c:pt idx="694">
                  <c:v>9</c:v>
                </c:pt>
                <c:pt idx="695">
                  <c:v>11</c:v>
                </c:pt>
                <c:pt idx="696">
                  <c:v>6</c:v>
                </c:pt>
                <c:pt idx="697">
                  <c:v>8</c:v>
                </c:pt>
                <c:pt idx="698">
                  <c:v>10</c:v>
                </c:pt>
                <c:pt idx="699">
                  <c:v>12</c:v>
                </c:pt>
                <c:pt idx="700">
                  <c:v>3</c:v>
                </c:pt>
                <c:pt idx="701">
                  <c:v>38</c:v>
                </c:pt>
                <c:pt idx="702">
                  <c:v>11</c:v>
                </c:pt>
                <c:pt idx="703">
                  <c:v>13</c:v>
                </c:pt>
                <c:pt idx="704">
                  <c:v>2</c:v>
                </c:pt>
                <c:pt idx="705">
                  <c:v>23</c:v>
                </c:pt>
                <c:pt idx="706">
                  <c:v>9</c:v>
                </c:pt>
                <c:pt idx="707">
                  <c:v>5</c:v>
                </c:pt>
                <c:pt idx="708">
                  <c:v>10</c:v>
                </c:pt>
                <c:pt idx="709">
                  <c:v>9</c:v>
                </c:pt>
                <c:pt idx="710">
                  <c:v>10</c:v>
                </c:pt>
                <c:pt idx="711">
                  <c:v>11</c:v>
                </c:pt>
                <c:pt idx="712">
                  <c:v>9</c:v>
                </c:pt>
                <c:pt idx="713">
                  <c:v>5</c:v>
                </c:pt>
                <c:pt idx="714">
                  <c:v>6</c:v>
                </c:pt>
                <c:pt idx="715">
                  <c:v>27</c:v>
                </c:pt>
                <c:pt idx="716">
                  <c:v>3</c:v>
                </c:pt>
                <c:pt idx="717">
                  <c:v>1</c:v>
                </c:pt>
                <c:pt idx="718">
                  <c:v>4</c:v>
                </c:pt>
                <c:pt idx="719">
                  <c:v>27</c:v>
                </c:pt>
                <c:pt idx="720">
                  <c:v>2</c:v>
                </c:pt>
                <c:pt idx="721">
                  <c:v>13</c:v>
                </c:pt>
                <c:pt idx="722">
                  <c:v>1</c:v>
                </c:pt>
                <c:pt idx="723">
                  <c:v>27</c:v>
                </c:pt>
                <c:pt idx="724">
                  <c:v>3</c:v>
                </c:pt>
                <c:pt idx="725">
                  <c:v>17</c:v>
                </c:pt>
                <c:pt idx="726">
                  <c:v>2</c:v>
                </c:pt>
                <c:pt idx="727">
                  <c:v>8</c:v>
                </c:pt>
                <c:pt idx="728">
                  <c:v>4</c:v>
                </c:pt>
                <c:pt idx="729">
                  <c:v>10</c:v>
                </c:pt>
                <c:pt idx="730">
                  <c:v>2</c:v>
                </c:pt>
                <c:pt idx="731">
                  <c:v>1</c:v>
                </c:pt>
                <c:pt idx="732">
                  <c:v>4</c:v>
                </c:pt>
                <c:pt idx="733">
                  <c:v>5</c:v>
                </c:pt>
                <c:pt idx="734">
                  <c:v>-3</c:v>
                </c:pt>
                <c:pt idx="735">
                  <c:v>22</c:v>
                </c:pt>
                <c:pt idx="736">
                  <c:v>5</c:v>
                </c:pt>
                <c:pt idx="737">
                  <c:v>2</c:v>
                </c:pt>
                <c:pt idx="738">
                  <c:v>4</c:v>
                </c:pt>
                <c:pt idx="739">
                  <c:v>8</c:v>
                </c:pt>
                <c:pt idx="740">
                  <c:v>-2</c:v>
                </c:pt>
                <c:pt idx="741">
                  <c:v>2</c:v>
                </c:pt>
                <c:pt idx="742">
                  <c:v>18</c:v>
                </c:pt>
                <c:pt idx="743">
                  <c:v>3</c:v>
                </c:pt>
                <c:pt idx="744">
                  <c:v>-1</c:v>
                </c:pt>
                <c:pt idx="745">
                  <c:v>12</c:v>
                </c:pt>
                <c:pt idx="746">
                  <c:v>9</c:v>
                </c:pt>
                <c:pt idx="747">
                  <c:v>9</c:v>
                </c:pt>
                <c:pt idx="748">
                  <c:v>3</c:v>
                </c:pt>
                <c:pt idx="749">
                  <c:v>23</c:v>
                </c:pt>
                <c:pt idx="750">
                  <c:v>15</c:v>
                </c:pt>
                <c:pt idx="751">
                  <c:v>27</c:v>
                </c:pt>
                <c:pt idx="752">
                  <c:v>1</c:v>
                </c:pt>
                <c:pt idx="753">
                  <c:v>6</c:v>
                </c:pt>
                <c:pt idx="754">
                  <c:v>12</c:v>
                </c:pt>
                <c:pt idx="755">
                  <c:v>22</c:v>
                </c:pt>
                <c:pt idx="756">
                  <c:v>6</c:v>
                </c:pt>
                <c:pt idx="757">
                  <c:v>13</c:v>
                </c:pt>
                <c:pt idx="758">
                  <c:v>9</c:v>
                </c:pt>
                <c:pt idx="759">
                  <c:v>7</c:v>
                </c:pt>
                <c:pt idx="760">
                  <c:v>6</c:v>
                </c:pt>
                <c:pt idx="761">
                  <c:v>15</c:v>
                </c:pt>
                <c:pt idx="762">
                  <c:v>9</c:v>
                </c:pt>
                <c:pt idx="763">
                  <c:v>4</c:v>
                </c:pt>
                <c:pt idx="764">
                  <c:v>5</c:v>
                </c:pt>
                <c:pt idx="765">
                  <c:v>14</c:v>
                </c:pt>
                <c:pt idx="766">
                  <c:v>15</c:v>
                </c:pt>
                <c:pt idx="767">
                  <c:v>20</c:v>
                </c:pt>
                <c:pt idx="768">
                  <c:v>5</c:v>
                </c:pt>
                <c:pt idx="769">
                  <c:v>2</c:v>
                </c:pt>
                <c:pt idx="770">
                  <c:v>10</c:v>
                </c:pt>
                <c:pt idx="771">
                  <c:v>17</c:v>
                </c:pt>
                <c:pt idx="772">
                  <c:v>6</c:v>
                </c:pt>
                <c:pt idx="773">
                  <c:v>7</c:v>
                </c:pt>
                <c:pt idx="774">
                  <c:v>25</c:v>
                </c:pt>
                <c:pt idx="775">
                  <c:v>16</c:v>
                </c:pt>
                <c:pt idx="776">
                  <c:v>49</c:v>
                </c:pt>
                <c:pt idx="777">
                  <c:v>25</c:v>
                </c:pt>
                <c:pt idx="778">
                  <c:v>17</c:v>
                </c:pt>
                <c:pt idx="779">
                  <c:v>22</c:v>
                </c:pt>
                <c:pt idx="780">
                  <c:v>16</c:v>
                </c:pt>
                <c:pt idx="781">
                  <c:v>19</c:v>
                </c:pt>
                <c:pt idx="782">
                  <c:v>19</c:v>
                </c:pt>
                <c:pt idx="783">
                  <c:v>14</c:v>
                </c:pt>
                <c:pt idx="784">
                  <c:v>18</c:v>
                </c:pt>
                <c:pt idx="785">
                  <c:v>13</c:v>
                </c:pt>
                <c:pt idx="786">
                  <c:v>16</c:v>
                </c:pt>
                <c:pt idx="787">
                  <c:v>17</c:v>
                </c:pt>
                <c:pt idx="788">
                  <c:v>23</c:v>
                </c:pt>
                <c:pt idx="789">
                  <c:v>19</c:v>
                </c:pt>
                <c:pt idx="790">
                  <c:v>22</c:v>
                </c:pt>
                <c:pt idx="791">
                  <c:v>21</c:v>
                </c:pt>
                <c:pt idx="792">
                  <c:v>41</c:v>
                </c:pt>
                <c:pt idx="793">
                  <c:v>14</c:v>
                </c:pt>
                <c:pt idx="794">
                  <c:v>4</c:v>
                </c:pt>
                <c:pt idx="795">
                  <c:v>16</c:v>
                </c:pt>
                <c:pt idx="796">
                  <c:v>34</c:v>
                </c:pt>
                <c:pt idx="797">
                  <c:v>15</c:v>
                </c:pt>
                <c:pt idx="798">
                  <c:v>35</c:v>
                </c:pt>
                <c:pt idx="799">
                  <c:v>23</c:v>
                </c:pt>
                <c:pt idx="800">
                  <c:v>41</c:v>
                </c:pt>
                <c:pt idx="801">
                  <c:v>26</c:v>
                </c:pt>
                <c:pt idx="802">
                  <c:v>29</c:v>
                </c:pt>
                <c:pt idx="803">
                  <c:v>43</c:v>
                </c:pt>
                <c:pt idx="804">
                  <c:v>18</c:v>
                </c:pt>
                <c:pt idx="805">
                  <c:v>24</c:v>
                </c:pt>
                <c:pt idx="806">
                  <c:v>42</c:v>
                </c:pt>
                <c:pt idx="807">
                  <c:v>40</c:v>
                </c:pt>
                <c:pt idx="808">
                  <c:v>13</c:v>
                </c:pt>
                <c:pt idx="809">
                  <c:v>14</c:v>
                </c:pt>
                <c:pt idx="810">
                  <c:v>38</c:v>
                </c:pt>
                <c:pt idx="811">
                  <c:v>34</c:v>
                </c:pt>
                <c:pt idx="812">
                  <c:v>43</c:v>
                </c:pt>
                <c:pt idx="813">
                  <c:v>34</c:v>
                </c:pt>
                <c:pt idx="814">
                  <c:v>41</c:v>
                </c:pt>
                <c:pt idx="815">
                  <c:v>32</c:v>
                </c:pt>
                <c:pt idx="816">
                  <c:v>36</c:v>
                </c:pt>
                <c:pt idx="817">
                  <c:v>41</c:v>
                </c:pt>
                <c:pt idx="818">
                  <c:v>31</c:v>
                </c:pt>
                <c:pt idx="819">
                  <c:v>41</c:v>
                </c:pt>
                <c:pt idx="820">
                  <c:v>16</c:v>
                </c:pt>
                <c:pt idx="821">
                  <c:v>27</c:v>
                </c:pt>
                <c:pt idx="822">
                  <c:v>26</c:v>
                </c:pt>
                <c:pt idx="823">
                  <c:v>35</c:v>
                </c:pt>
                <c:pt idx="824">
                  <c:v>42</c:v>
                </c:pt>
                <c:pt idx="825">
                  <c:v>27</c:v>
                </c:pt>
                <c:pt idx="826">
                  <c:v>24</c:v>
                </c:pt>
                <c:pt idx="827">
                  <c:v>43</c:v>
                </c:pt>
                <c:pt idx="828">
                  <c:v>26</c:v>
                </c:pt>
                <c:pt idx="829">
                  <c:v>41</c:v>
                </c:pt>
                <c:pt idx="830">
                  <c:v>39</c:v>
                </c:pt>
                <c:pt idx="831">
                  <c:v>40</c:v>
                </c:pt>
                <c:pt idx="832">
                  <c:v>24</c:v>
                </c:pt>
                <c:pt idx="833">
                  <c:v>48</c:v>
                </c:pt>
                <c:pt idx="834">
                  <c:v>23</c:v>
                </c:pt>
                <c:pt idx="835">
                  <c:v>57</c:v>
                </c:pt>
                <c:pt idx="836">
                  <c:v>36</c:v>
                </c:pt>
                <c:pt idx="837">
                  <c:v>50</c:v>
                </c:pt>
                <c:pt idx="838">
                  <c:v>38</c:v>
                </c:pt>
                <c:pt idx="839">
                  <c:v>36</c:v>
                </c:pt>
                <c:pt idx="840">
                  <c:v>41</c:v>
                </c:pt>
                <c:pt idx="841">
                  <c:v>35</c:v>
                </c:pt>
                <c:pt idx="842">
                  <c:v>64</c:v>
                </c:pt>
                <c:pt idx="843">
                  <c:v>44</c:v>
                </c:pt>
                <c:pt idx="844">
                  <c:v>44</c:v>
                </c:pt>
                <c:pt idx="845">
                  <c:v>54</c:v>
                </c:pt>
                <c:pt idx="846">
                  <c:v>47</c:v>
                </c:pt>
                <c:pt idx="847">
                  <c:v>24</c:v>
                </c:pt>
                <c:pt idx="848">
                  <c:v>36</c:v>
                </c:pt>
                <c:pt idx="849">
                  <c:v>72</c:v>
                </c:pt>
                <c:pt idx="850">
                  <c:v>44</c:v>
                </c:pt>
                <c:pt idx="851">
                  <c:v>41</c:v>
                </c:pt>
                <c:pt idx="852">
                  <c:v>41</c:v>
                </c:pt>
                <c:pt idx="853">
                  <c:v>54</c:v>
                </c:pt>
                <c:pt idx="854">
                  <c:v>41</c:v>
                </c:pt>
                <c:pt idx="855">
                  <c:v>44</c:v>
                </c:pt>
                <c:pt idx="856">
                  <c:v>54</c:v>
                </c:pt>
                <c:pt idx="857">
                  <c:v>69</c:v>
                </c:pt>
                <c:pt idx="858">
                  <c:v>47</c:v>
                </c:pt>
                <c:pt idx="859">
                  <c:v>52</c:v>
                </c:pt>
                <c:pt idx="860">
                  <c:v>58</c:v>
                </c:pt>
                <c:pt idx="861">
                  <c:v>29</c:v>
                </c:pt>
                <c:pt idx="862">
                  <c:v>46</c:v>
                </c:pt>
                <c:pt idx="863">
                  <c:v>80</c:v>
                </c:pt>
                <c:pt idx="864">
                  <c:v>51</c:v>
                </c:pt>
                <c:pt idx="865">
                  <c:v>39</c:v>
                </c:pt>
                <c:pt idx="866">
                  <c:v>22</c:v>
                </c:pt>
                <c:pt idx="867">
                  <c:v>59</c:v>
                </c:pt>
                <c:pt idx="868">
                  <c:v>74</c:v>
                </c:pt>
                <c:pt idx="869">
                  <c:v>39</c:v>
                </c:pt>
                <c:pt idx="870">
                  <c:v>54</c:v>
                </c:pt>
                <c:pt idx="871">
                  <c:v>50</c:v>
                </c:pt>
                <c:pt idx="872">
                  <c:v>57</c:v>
                </c:pt>
                <c:pt idx="873">
                  <c:v>66</c:v>
                </c:pt>
                <c:pt idx="874">
                  <c:v>28</c:v>
                </c:pt>
                <c:pt idx="875">
                  <c:v>86</c:v>
                </c:pt>
                <c:pt idx="876">
                  <c:v>30</c:v>
                </c:pt>
                <c:pt idx="877">
                  <c:v>34</c:v>
                </c:pt>
                <c:pt idx="878">
                  <c:v>58</c:v>
                </c:pt>
                <c:pt idx="879">
                  <c:v>69</c:v>
                </c:pt>
                <c:pt idx="880">
                  <c:v>45</c:v>
                </c:pt>
                <c:pt idx="881">
                  <c:v>88</c:v>
                </c:pt>
                <c:pt idx="882">
                  <c:v>102</c:v>
                </c:pt>
                <c:pt idx="883">
                  <c:v>56</c:v>
                </c:pt>
                <c:pt idx="884">
                  <c:v>40</c:v>
                </c:pt>
                <c:pt idx="885">
                  <c:v>57</c:v>
                </c:pt>
                <c:pt idx="886">
                  <c:v>36</c:v>
                </c:pt>
                <c:pt idx="887">
                  <c:v>69</c:v>
                </c:pt>
                <c:pt idx="888">
                  <c:v>62</c:v>
                </c:pt>
                <c:pt idx="889">
                  <c:v>75</c:v>
                </c:pt>
                <c:pt idx="890">
                  <c:v>53</c:v>
                </c:pt>
                <c:pt idx="891">
                  <c:v>48</c:v>
                </c:pt>
                <c:pt idx="892">
                  <c:v>58</c:v>
                </c:pt>
                <c:pt idx="893">
                  <c:v>62</c:v>
                </c:pt>
                <c:pt idx="894">
                  <c:v>62</c:v>
                </c:pt>
                <c:pt idx="895">
                  <c:v>60</c:v>
                </c:pt>
                <c:pt idx="896">
                  <c:v>86</c:v>
                </c:pt>
                <c:pt idx="897">
                  <c:v>80</c:v>
                </c:pt>
                <c:pt idx="898">
                  <c:v>43</c:v>
                </c:pt>
                <c:pt idx="899">
                  <c:v>69</c:v>
                </c:pt>
                <c:pt idx="900">
                  <c:v>78</c:v>
                </c:pt>
                <c:pt idx="901">
                  <c:v>81</c:v>
                </c:pt>
                <c:pt idx="902">
                  <c:v>66</c:v>
                </c:pt>
                <c:pt idx="903">
                  <c:v>81</c:v>
                </c:pt>
                <c:pt idx="904">
                  <c:v>62</c:v>
                </c:pt>
                <c:pt idx="905">
                  <c:v>64</c:v>
                </c:pt>
                <c:pt idx="906">
                  <c:v>100</c:v>
                </c:pt>
                <c:pt idx="907">
                  <c:v>46</c:v>
                </c:pt>
                <c:pt idx="908">
                  <c:v>73</c:v>
                </c:pt>
                <c:pt idx="909">
                  <c:v>59</c:v>
                </c:pt>
                <c:pt idx="910">
                  <c:v>42</c:v>
                </c:pt>
                <c:pt idx="911">
                  <c:v>54</c:v>
                </c:pt>
                <c:pt idx="912">
                  <c:v>64</c:v>
                </c:pt>
                <c:pt idx="913">
                  <c:v>78</c:v>
                </c:pt>
                <c:pt idx="914">
                  <c:v>70</c:v>
                </c:pt>
                <c:pt idx="915">
                  <c:v>81</c:v>
                </c:pt>
                <c:pt idx="916">
                  <c:v>67</c:v>
                </c:pt>
                <c:pt idx="917">
                  <c:v>66</c:v>
                </c:pt>
                <c:pt idx="918">
                  <c:v>93</c:v>
                </c:pt>
                <c:pt idx="919">
                  <c:v>88</c:v>
                </c:pt>
                <c:pt idx="920">
                  <c:v>49</c:v>
                </c:pt>
                <c:pt idx="921">
                  <c:v>57</c:v>
                </c:pt>
                <c:pt idx="922">
                  <c:v>82</c:v>
                </c:pt>
                <c:pt idx="923">
                  <c:v>82</c:v>
                </c:pt>
                <c:pt idx="924">
                  <c:v>51</c:v>
                </c:pt>
                <c:pt idx="925">
                  <c:v>64</c:v>
                </c:pt>
                <c:pt idx="926">
                  <c:v>63</c:v>
                </c:pt>
                <c:pt idx="927">
                  <c:v>71</c:v>
                </c:pt>
                <c:pt idx="928">
                  <c:v>56</c:v>
                </c:pt>
                <c:pt idx="929">
                  <c:v>41</c:v>
                </c:pt>
                <c:pt idx="930">
                  <c:v>68</c:v>
                </c:pt>
                <c:pt idx="931">
                  <c:v>56</c:v>
                </c:pt>
                <c:pt idx="932">
                  <c:v>58</c:v>
                </c:pt>
                <c:pt idx="933">
                  <c:v>62</c:v>
                </c:pt>
                <c:pt idx="934">
                  <c:v>76</c:v>
                </c:pt>
                <c:pt idx="935">
                  <c:v>62</c:v>
                </c:pt>
                <c:pt idx="936">
                  <c:v>62</c:v>
                </c:pt>
                <c:pt idx="937">
                  <c:v>75</c:v>
                </c:pt>
                <c:pt idx="938">
                  <c:v>56</c:v>
                </c:pt>
                <c:pt idx="939">
                  <c:v>67</c:v>
                </c:pt>
                <c:pt idx="940">
                  <c:v>75</c:v>
                </c:pt>
                <c:pt idx="941">
                  <c:v>96</c:v>
                </c:pt>
                <c:pt idx="942">
                  <c:v>45</c:v>
                </c:pt>
                <c:pt idx="943">
                  <c:v>89</c:v>
                </c:pt>
                <c:pt idx="944">
                  <c:v>58</c:v>
                </c:pt>
                <c:pt idx="945">
                  <c:v>57</c:v>
                </c:pt>
                <c:pt idx="946">
                  <c:v>75</c:v>
                </c:pt>
                <c:pt idx="947">
                  <c:v>70</c:v>
                </c:pt>
                <c:pt idx="948">
                  <c:v>54</c:v>
                </c:pt>
                <c:pt idx="949">
                  <c:v>54</c:v>
                </c:pt>
                <c:pt idx="950">
                  <c:v>57</c:v>
                </c:pt>
                <c:pt idx="951">
                  <c:v>72</c:v>
                </c:pt>
                <c:pt idx="952">
                  <c:v>50</c:v>
                </c:pt>
                <c:pt idx="953">
                  <c:v>40</c:v>
                </c:pt>
                <c:pt idx="954">
                  <c:v>65</c:v>
                </c:pt>
                <c:pt idx="955">
                  <c:v>67</c:v>
                </c:pt>
                <c:pt idx="956">
                  <c:v>46</c:v>
                </c:pt>
                <c:pt idx="957">
                  <c:v>76</c:v>
                </c:pt>
                <c:pt idx="958">
                  <c:v>50</c:v>
                </c:pt>
                <c:pt idx="959">
                  <c:v>60</c:v>
                </c:pt>
                <c:pt idx="960">
                  <c:v>85</c:v>
                </c:pt>
                <c:pt idx="961">
                  <c:v>50</c:v>
                </c:pt>
                <c:pt idx="962">
                  <c:v>66</c:v>
                </c:pt>
                <c:pt idx="963">
                  <c:v>46</c:v>
                </c:pt>
                <c:pt idx="964">
                  <c:v>34</c:v>
                </c:pt>
                <c:pt idx="965">
                  <c:v>50</c:v>
                </c:pt>
                <c:pt idx="966">
                  <c:v>65</c:v>
                </c:pt>
                <c:pt idx="967">
                  <c:v>40</c:v>
                </c:pt>
                <c:pt idx="968">
                  <c:v>58</c:v>
                </c:pt>
                <c:pt idx="969">
                  <c:v>47</c:v>
                </c:pt>
                <c:pt idx="970">
                  <c:v>52</c:v>
                </c:pt>
                <c:pt idx="971">
                  <c:v>84</c:v>
                </c:pt>
                <c:pt idx="972">
                  <c:v>27</c:v>
                </c:pt>
                <c:pt idx="973">
                  <c:v>48</c:v>
                </c:pt>
                <c:pt idx="974">
                  <c:v>73</c:v>
                </c:pt>
                <c:pt idx="975">
                  <c:v>42</c:v>
                </c:pt>
                <c:pt idx="976">
                  <c:v>57</c:v>
                </c:pt>
                <c:pt idx="977">
                  <c:v>63</c:v>
                </c:pt>
                <c:pt idx="978">
                  <c:v>52</c:v>
                </c:pt>
                <c:pt idx="979">
                  <c:v>52</c:v>
                </c:pt>
                <c:pt idx="980">
                  <c:v>38</c:v>
                </c:pt>
                <c:pt idx="981">
                  <c:v>52</c:v>
                </c:pt>
                <c:pt idx="982">
                  <c:v>53</c:v>
                </c:pt>
                <c:pt idx="983">
                  <c:v>35</c:v>
                </c:pt>
                <c:pt idx="984">
                  <c:v>40</c:v>
                </c:pt>
                <c:pt idx="985">
                  <c:v>35</c:v>
                </c:pt>
                <c:pt idx="986">
                  <c:v>48</c:v>
                </c:pt>
                <c:pt idx="987">
                  <c:v>50</c:v>
                </c:pt>
                <c:pt idx="988">
                  <c:v>51</c:v>
                </c:pt>
                <c:pt idx="989">
                  <c:v>34</c:v>
                </c:pt>
                <c:pt idx="990">
                  <c:v>33</c:v>
                </c:pt>
                <c:pt idx="991">
                  <c:v>56</c:v>
                </c:pt>
                <c:pt idx="992">
                  <c:v>72</c:v>
                </c:pt>
                <c:pt idx="993">
                  <c:v>62</c:v>
                </c:pt>
                <c:pt idx="994">
                  <c:v>39</c:v>
                </c:pt>
                <c:pt idx="995">
                  <c:v>62</c:v>
                </c:pt>
                <c:pt idx="996">
                  <c:v>50</c:v>
                </c:pt>
                <c:pt idx="997">
                  <c:v>44</c:v>
                </c:pt>
                <c:pt idx="998">
                  <c:v>48</c:v>
                </c:pt>
                <c:pt idx="999">
                  <c:v>32</c:v>
                </c:pt>
                <c:pt idx="1000">
                  <c:v>35</c:v>
                </c:pt>
                <c:pt idx="1001">
                  <c:v>39</c:v>
                </c:pt>
                <c:pt idx="1002">
                  <c:v>34</c:v>
                </c:pt>
                <c:pt idx="1003">
                  <c:v>43</c:v>
                </c:pt>
                <c:pt idx="1004">
                  <c:v>31</c:v>
                </c:pt>
                <c:pt idx="1005">
                  <c:v>28</c:v>
                </c:pt>
                <c:pt idx="1006">
                  <c:v>26</c:v>
                </c:pt>
                <c:pt idx="1007">
                  <c:v>27</c:v>
                </c:pt>
                <c:pt idx="1008">
                  <c:v>30</c:v>
                </c:pt>
                <c:pt idx="1009">
                  <c:v>17</c:v>
                </c:pt>
                <c:pt idx="1010">
                  <c:v>32</c:v>
                </c:pt>
                <c:pt idx="1011">
                  <c:v>28</c:v>
                </c:pt>
                <c:pt idx="1012">
                  <c:v>33</c:v>
                </c:pt>
                <c:pt idx="1013">
                  <c:v>38</c:v>
                </c:pt>
                <c:pt idx="1014">
                  <c:v>26</c:v>
                </c:pt>
                <c:pt idx="1015">
                  <c:v>17</c:v>
                </c:pt>
                <c:pt idx="1016">
                  <c:v>30</c:v>
                </c:pt>
                <c:pt idx="1017">
                  <c:v>30</c:v>
                </c:pt>
                <c:pt idx="1018">
                  <c:v>33</c:v>
                </c:pt>
                <c:pt idx="1019">
                  <c:v>29</c:v>
                </c:pt>
                <c:pt idx="1020">
                  <c:v>59</c:v>
                </c:pt>
                <c:pt idx="1021">
                  <c:v>15</c:v>
                </c:pt>
                <c:pt idx="1022">
                  <c:v>18</c:v>
                </c:pt>
                <c:pt idx="1023">
                  <c:v>15</c:v>
                </c:pt>
                <c:pt idx="1024">
                  <c:v>34</c:v>
                </c:pt>
                <c:pt idx="1025">
                  <c:v>31</c:v>
                </c:pt>
                <c:pt idx="1026">
                  <c:v>8</c:v>
                </c:pt>
                <c:pt idx="1027">
                  <c:v>25</c:v>
                </c:pt>
                <c:pt idx="1028">
                  <c:v>9</c:v>
                </c:pt>
                <c:pt idx="1029">
                  <c:v>21</c:v>
                </c:pt>
                <c:pt idx="1030">
                  <c:v>13</c:v>
                </c:pt>
                <c:pt idx="1031">
                  <c:v>10</c:v>
                </c:pt>
                <c:pt idx="1032">
                  <c:v>16</c:v>
                </c:pt>
                <c:pt idx="1033">
                  <c:v>14</c:v>
                </c:pt>
                <c:pt idx="1034">
                  <c:v>7</c:v>
                </c:pt>
                <c:pt idx="1035">
                  <c:v>19</c:v>
                </c:pt>
                <c:pt idx="1036">
                  <c:v>23</c:v>
                </c:pt>
                <c:pt idx="1037">
                  <c:v>25</c:v>
                </c:pt>
                <c:pt idx="1038">
                  <c:v>14</c:v>
                </c:pt>
                <c:pt idx="1039">
                  <c:v>7</c:v>
                </c:pt>
                <c:pt idx="1040">
                  <c:v>16</c:v>
                </c:pt>
                <c:pt idx="1041">
                  <c:v>16</c:v>
                </c:pt>
                <c:pt idx="1042">
                  <c:v>16</c:v>
                </c:pt>
                <c:pt idx="1043">
                  <c:v>3</c:v>
                </c:pt>
                <c:pt idx="1044">
                  <c:v>16</c:v>
                </c:pt>
                <c:pt idx="1045">
                  <c:v>24</c:v>
                </c:pt>
                <c:pt idx="1046">
                  <c:v>6</c:v>
                </c:pt>
                <c:pt idx="1047">
                  <c:v>13</c:v>
                </c:pt>
                <c:pt idx="1048">
                  <c:v>5</c:v>
                </c:pt>
                <c:pt idx="1049">
                  <c:v>5</c:v>
                </c:pt>
                <c:pt idx="1050">
                  <c:v>21</c:v>
                </c:pt>
                <c:pt idx="1051">
                  <c:v>10</c:v>
                </c:pt>
                <c:pt idx="1052">
                  <c:v>29</c:v>
                </c:pt>
                <c:pt idx="1053">
                  <c:v>20</c:v>
                </c:pt>
                <c:pt idx="1054">
                  <c:v>15</c:v>
                </c:pt>
                <c:pt idx="1055">
                  <c:v>6</c:v>
                </c:pt>
                <c:pt idx="1056">
                  <c:v>13</c:v>
                </c:pt>
                <c:pt idx="1057">
                  <c:v>5</c:v>
                </c:pt>
                <c:pt idx="1058">
                  <c:v>14</c:v>
                </c:pt>
                <c:pt idx="1059">
                  <c:v>10</c:v>
                </c:pt>
                <c:pt idx="1060">
                  <c:v>14</c:v>
                </c:pt>
                <c:pt idx="1061">
                  <c:v>3</c:v>
                </c:pt>
                <c:pt idx="1062">
                  <c:v>10</c:v>
                </c:pt>
                <c:pt idx="1063">
                  <c:v>3</c:v>
                </c:pt>
                <c:pt idx="1064">
                  <c:v>8</c:v>
                </c:pt>
                <c:pt idx="1065">
                  <c:v>4</c:v>
                </c:pt>
                <c:pt idx="1066">
                  <c:v>22</c:v>
                </c:pt>
                <c:pt idx="1067">
                  <c:v>5</c:v>
                </c:pt>
                <c:pt idx="1068">
                  <c:v>5</c:v>
                </c:pt>
                <c:pt idx="1069">
                  <c:v>10</c:v>
                </c:pt>
                <c:pt idx="1070">
                  <c:v>10</c:v>
                </c:pt>
                <c:pt idx="1071">
                  <c:v>8</c:v>
                </c:pt>
                <c:pt idx="1072">
                  <c:v>14</c:v>
                </c:pt>
                <c:pt idx="1073">
                  <c:v>16</c:v>
                </c:pt>
                <c:pt idx="1074">
                  <c:v>4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4</c:v>
                </c:pt>
                <c:pt idx="1079">
                  <c:v>1</c:v>
                </c:pt>
                <c:pt idx="1080">
                  <c:v>12</c:v>
                </c:pt>
                <c:pt idx="1081">
                  <c:v>-2</c:v>
                </c:pt>
                <c:pt idx="1082">
                  <c:v>11</c:v>
                </c:pt>
                <c:pt idx="1083">
                  <c:v>6</c:v>
                </c:pt>
                <c:pt idx="1084">
                  <c:v>13</c:v>
                </c:pt>
                <c:pt idx="1085">
                  <c:v>-1</c:v>
                </c:pt>
                <c:pt idx="1086">
                  <c:v>7</c:v>
                </c:pt>
                <c:pt idx="1087">
                  <c:v>-3</c:v>
                </c:pt>
                <c:pt idx="1088">
                  <c:v>30</c:v>
                </c:pt>
                <c:pt idx="1089">
                  <c:v>-1</c:v>
                </c:pt>
                <c:pt idx="1090">
                  <c:v>7</c:v>
                </c:pt>
                <c:pt idx="1091">
                  <c:v>-1</c:v>
                </c:pt>
                <c:pt idx="1092">
                  <c:v>7</c:v>
                </c:pt>
                <c:pt idx="1093">
                  <c:v>4</c:v>
                </c:pt>
                <c:pt idx="1094">
                  <c:v>10</c:v>
                </c:pt>
                <c:pt idx="1095">
                  <c:v>1</c:v>
                </c:pt>
                <c:pt idx="1096">
                  <c:v>-1</c:v>
                </c:pt>
                <c:pt idx="1097">
                  <c:v>3</c:v>
                </c:pt>
                <c:pt idx="1098">
                  <c:v>4</c:v>
                </c:pt>
                <c:pt idx="1099">
                  <c:v>-4</c:v>
                </c:pt>
                <c:pt idx="1100">
                  <c:v>21</c:v>
                </c:pt>
                <c:pt idx="1101">
                  <c:v>4</c:v>
                </c:pt>
                <c:pt idx="1102">
                  <c:v>1</c:v>
                </c:pt>
                <c:pt idx="1103">
                  <c:v>3</c:v>
                </c:pt>
                <c:pt idx="1104">
                  <c:v>7</c:v>
                </c:pt>
                <c:pt idx="1105">
                  <c:v>-2</c:v>
                </c:pt>
                <c:pt idx="1106">
                  <c:v>1</c:v>
                </c:pt>
                <c:pt idx="1107">
                  <c:v>17</c:v>
                </c:pt>
                <c:pt idx="1108">
                  <c:v>2</c:v>
                </c:pt>
                <c:pt idx="1109">
                  <c:v>-2</c:v>
                </c:pt>
                <c:pt idx="1110">
                  <c:v>12</c:v>
                </c:pt>
                <c:pt idx="1111">
                  <c:v>8</c:v>
                </c:pt>
                <c:pt idx="1112">
                  <c:v>8</c:v>
                </c:pt>
                <c:pt idx="1113">
                  <c:v>2</c:v>
                </c:pt>
                <c:pt idx="1114">
                  <c:v>22</c:v>
                </c:pt>
                <c:pt idx="1115">
                  <c:v>14</c:v>
                </c:pt>
                <c:pt idx="1116">
                  <c:v>26</c:v>
                </c:pt>
                <c:pt idx="1117">
                  <c:v>-1</c:v>
                </c:pt>
                <c:pt idx="1118">
                  <c:v>5</c:v>
                </c:pt>
                <c:pt idx="1119">
                  <c:v>11</c:v>
                </c:pt>
                <c:pt idx="1120">
                  <c:v>21</c:v>
                </c:pt>
                <c:pt idx="1121">
                  <c:v>5</c:v>
                </c:pt>
                <c:pt idx="1122">
                  <c:v>12</c:v>
                </c:pt>
                <c:pt idx="1123">
                  <c:v>9</c:v>
                </c:pt>
                <c:pt idx="1124">
                  <c:v>6</c:v>
                </c:pt>
                <c:pt idx="1125">
                  <c:v>5</c:v>
                </c:pt>
                <c:pt idx="1126">
                  <c:v>14</c:v>
                </c:pt>
                <c:pt idx="1127">
                  <c:v>8</c:v>
                </c:pt>
                <c:pt idx="1128">
                  <c:v>3</c:v>
                </c:pt>
                <c:pt idx="1129">
                  <c:v>4</c:v>
                </c:pt>
                <c:pt idx="1130">
                  <c:v>13</c:v>
                </c:pt>
                <c:pt idx="1131">
                  <c:v>14</c:v>
                </c:pt>
                <c:pt idx="1132">
                  <c:v>19</c:v>
                </c:pt>
                <c:pt idx="1133">
                  <c:v>4</c:v>
                </c:pt>
                <c:pt idx="1134">
                  <c:v>1</c:v>
                </c:pt>
                <c:pt idx="1135">
                  <c:v>9</c:v>
                </c:pt>
                <c:pt idx="1136">
                  <c:v>17</c:v>
                </c:pt>
                <c:pt idx="1137">
                  <c:v>5</c:v>
                </c:pt>
                <c:pt idx="1138">
                  <c:v>6</c:v>
                </c:pt>
                <c:pt idx="1139">
                  <c:v>25</c:v>
                </c:pt>
                <c:pt idx="1140">
                  <c:v>15</c:v>
                </c:pt>
                <c:pt idx="1141">
                  <c:v>49</c:v>
                </c:pt>
                <c:pt idx="1142">
                  <c:v>24</c:v>
                </c:pt>
                <c:pt idx="1143">
                  <c:v>17</c:v>
                </c:pt>
                <c:pt idx="1144">
                  <c:v>22</c:v>
                </c:pt>
                <c:pt idx="1145">
                  <c:v>15</c:v>
                </c:pt>
                <c:pt idx="1146">
                  <c:v>18</c:v>
                </c:pt>
                <c:pt idx="1147">
                  <c:v>18</c:v>
                </c:pt>
                <c:pt idx="1148">
                  <c:v>13</c:v>
                </c:pt>
                <c:pt idx="1149">
                  <c:v>17</c:v>
                </c:pt>
                <c:pt idx="1150">
                  <c:v>12</c:v>
                </c:pt>
                <c:pt idx="1151">
                  <c:v>15</c:v>
                </c:pt>
                <c:pt idx="1152">
                  <c:v>16</c:v>
                </c:pt>
                <c:pt idx="1153">
                  <c:v>22</c:v>
                </c:pt>
                <c:pt idx="1154">
                  <c:v>18</c:v>
                </c:pt>
                <c:pt idx="1155">
                  <c:v>21</c:v>
                </c:pt>
                <c:pt idx="1156">
                  <c:v>20</c:v>
                </c:pt>
                <c:pt idx="1157">
                  <c:v>40</c:v>
                </c:pt>
                <c:pt idx="1158">
                  <c:v>13</c:v>
                </c:pt>
                <c:pt idx="1159">
                  <c:v>4</c:v>
                </c:pt>
                <c:pt idx="1160">
                  <c:v>15</c:v>
                </c:pt>
                <c:pt idx="1161">
                  <c:v>34</c:v>
                </c:pt>
                <c:pt idx="1162">
                  <c:v>14</c:v>
                </c:pt>
                <c:pt idx="1163">
                  <c:v>34</c:v>
                </c:pt>
                <c:pt idx="1164">
                  <c:v>22</c:v>
                </c:pt>
                <c:pt idx="1165">
                  <c:v>40</c:v>
                </c:pt>
                <c:pt idx="1166">
                  <c:v>25</c:v>
                </c:pt>
                <c:pt idx="1167">
                  <c:v>29</c:v>
                </c:pt>
                <c:pt idx="1168">
                  <c:v>42</c:v>
                </c:pt>
                <c:pt idx="1169">
                  <c:v>17</c:v>
                </c:pt>
                <c:pt idx="1170">
                  <c:v>23</c:v>
                </c:pt>
                <c:pt idx="1171">
                  <c:v>41</c:v>
                </c:pt>
                <c:pt idx="1172">
                  <c:v>39</c:v>
                </c:pt>
                <c:pt idx="1173">
                  <c:v>12</c:v>
                </c:pt>
                <c:pt idx="1174">
                  <c:v>14</c:v>
                </c:pt>
                <c:pt idx="1175">
                  <c:v>37</c:v>
                </c:pt>
                <c:pt idx="1176">
                  <c:v>33</c:v>
                </c:pt>
                <c:pt idx="1177">
                  <c:v>43</c:v>
                </c:pt>
                <c:pt idx="1178">
                  <c:v>33</c:v>
                </c:pt>
                <c:pt idx="1179">
                  <c:v>40</c:v>
                </c:pt>
                <c:pt idx="1180">
                  <c:v>32</c:v>
                </c:pt>
                <c:pt idx="1181">
                  <c:v>35</c:v>
                </c:pt>
                <c:pt idx="1182">
                  <c:v>40</c:v>
                </c:pt>
                <c:pt idx="1183">
                  <c:v>30</c:v>
                </c:pt>
                <c:pt idx="1184">
                  <c:v>40</c:v>
                </c:pt>
                <c:pt idx="1185">
                  <c:v>15</c:v>
                </c:pt>
                <c:pt idx="1186">
                  <c:v>26</c:v>
                </c:pt>
                <c:pt idx="1187">
                  <c:v>25</c:v>
                </c:pt>
                <c:pt idx="1188">
                  <c:v>35</c:v>
                </c:pt>
                <c:pt idx="1189">
                  <c:v>41</c:v>
                </c:pt>
                <c:pt idx="1190">
                  <c:v>27</c:v>
                </c:pt>
                <c:pt idx="1191">
                  <c:v>23</c:v>
                </c:pt>
                <c:pt idx="1192">
                  <c:v>42</c:v>
                </c:pt>
                <c:pt idx="1193">
                  <c:v>25</c:v>
                </c:pt>
                <c:pt idx="1194">
                  <c:v>40</c:v>
                </c:pt>
                <c:pt idx="1195">
                  <c:v>38</c:v>
                </c:pt>
                <c:pt idx="1196">
                  <c:v>39</c:v>
                </c:pt>
                <c:pt idx="1197">
                  <c:v>23</c:v>
                </c:pt>
                <c:pt idx="1198">
                  <c:v>47</c:v>
                </c:pt>
                <c:pt idx="1199">
                  <c:v>22</c:v>
                </c:pt>
                <c:pt idx="1200">
                  <c:v>56</c:v>
                </c:pt>
                <c:pt idx="1201">
                  <c:v>35</c:v>
                </c:pt>
                <c:pt idx="1202">
                  <c:v>49</c:v>
                </c:pt>
                <c:pt idx="1203">
                  <c:v>37</c:v>
                </c:pt>
                <c:pt idx="1204">
                  <c:v>35</c:v>
                </c:pt>
                <c:pt idx="1205">
                  <c:v>40</c:v>
                </c:pt>
                <c:pt idx="1206">
                  <c:v>34</c:v>
                </c:pt>
                <c:pt idx="1207">
                  <c:v>63</c:v>
                </c:pt>
                <c:pt idx="1208">
                  <c:v>43</c:v>
                </c:pt>
                <c:pt idx="1209">
                  <c:v>43</c:v>
                </c:pt>
                <c:pt idx="1210">
                  <c:v>53</c:v>
                </c:pt>
                <c:pt idx="1211">
                  <c:v>46</c:v>
                </c:pt>
                <c:pt idx="1212">
                  <c:v>23</c:v>
                </c:pt>
                <c:pt idx="1213">
                  <c:v>35</c:v>
                </c:pt>
                <c:pt idx="1214">
                  <c:v>71</c:v>
                </c:pt>
                <c:pt idx="1215">
                  <c:v>43</c:v>
                </c:pt>
                <c:pt idx="1216">
                  <c:v>41</c:v>
                </c:pt>
                <c:pt idx="1217">
                  <c:v>40</c:v>
                </c:pt>
                <c:pt idx="1218">
                  <c:v>53</c:v>
                </c:pt>
                <c:pt idx="1219">
                  <c:v>40</c:v>
                </c:pt>
                <c:pt idx="1220">
                  <c:v>43</c:v>
                </c:pt>
                <c:pt idx="1221">
                  <c:v>53</c:v>
                </c:pt>
                <c:pt idx="1222">
                  <c:v>69</c:v>
                </c:pt>
                <c:pt idx="1223">
                  <c:v>46</c:v>
                </c:pt>
                <c:pt idx="1224">
                  <c:v>51</c:v>
                </c:pt>
                <c:pt idx="1225">
                  <c:v>57</c:v>
                </c:pt>
                <c:pt idx="1226">
                  <c:v>28</c:v>
                </c:pt>
                <c:pt idx="1227">
                  <c:v>45</c:v>
                </c:pt>
                <c:pt idx="1228">
                  <c:v>79</c:v>
                </c:pt>
                <c:pt idx="1229">
                  <c:v>50</c:v>
                </c:pt>
                <c:pt idx="1230">
                  <c:v>38</c:v>
                </c:pt>
                <c:pt idx="1231">
                  <c:v>21</c:v>
                </c:pt>
                <c:pt idx="1232">
                  <c:v>59</c:v>
                </c:pt>
                <c:pt idx="1233">
                  <c:v>73</c:v>
                </c:pt>
                <c:pt idx="1234">
                  <c:v>38</c:v>
                </c:pt>
                <c:pt idx="1235">
                  <c:v>53</c:v>
                </c:pt>
                <c:pt idx="1236">
                  <c:v>49</c:v>
                </c:pt>
                <c:pt idx="1237">
                  <c:v>56</c:v>
                </c:pt>
                <c:pt idx="1238">
                  <c:v>65</c:v>
                </c:pt>
                <c:pt idx="1239">
                  <c:v>27</c:v>
                </c:pt>
                <c:pt idx="1240">
                  <c:v>85</c:v>
                </c:pt>
                <c:pt idx="1241">
                  <c:v>29</c:v>
                </c:pt>
                <c:pt idx="1242">
                  <c:v>33</c:v>
                </c:pt>
                <c:pt idx="1243">
                  <c:v>57</c:v>
                </c:pt>
                <c:pt idx="1244">
                  <c:v>69</c:v>
                </c:pt>
                <c:pt idx="1245">
                  <c:v>44</c:v>
                </c:pt>
                <c:pt idx="1246">
                  <c:v>87</c:v>
                </c:pt>
                <c:pt idx="1247">
                  <c:v>101</c:v>
                </c:pt>
                <c:pt idx="1248">
                  <c:v>55</c:v>
                </c:pt>
                <c:pt idx="1249">
                  <c:v>39</c:v>
                </c:pt>
                <c:pt idx="1250">
                  <c:v>56</c:v>
                </c:pt>
                <c:pt idx="1251">
                  <c:v>35</c:v>
                </c:pt>
                <c:pt idx="1252">
                  <c:v>68</c:v>
                </c:pt>
                <c:pt idx="1253">
                  <c:v>61</c:v>
                </c:pt>
                <c:pt idx="1254">
                  <c:v>74</c:v>
                </c:pt>
                <c:pt idx="1255">
                  <c:v>52</c:v>
                </c:pt>
                <c:pt idx="1256">
                  <c:v>47</c:v>
                </c:pt>
                <c:pt idx="1257">
                  <c:v>57</c:v>
                </c:pt>
                <c:pt idx="1258">
                  <c:v>62</c:v>
                </c:pt>
                <c:pt idx="1259">
                  <c:v>61</c:v>
                </c:pt>
                <c:pt idx="1260">
                  <c:v>59</c:v>
                </c:pt>
                <c:pt idx="1261">
                  <c:v>85</c:v>
                </c:pt>
                <c:pt idx="1262">
                  <c:v>79</c:v>
                </c:pt>
                <c:pt idx="1263">
                  <c:v>42</c:v>
                </c:pt>
                <c:pt idx="1264">
                  <c:v>68</c:v>
                </c:pt>
                <c:pt idx="1265">
                  <c:v>77</c:v>
                </c:pt>
                <c:pt idx="1266">
                  <c:v>80</c:v>
                </c:pt>
                <c:pt idx="1267">
                  <c:v>65</c:v>
                </c:pt>
                <c:pt idx="1268">
                  <c:v>81</c:v>
                </c:pt>
                <c:pt idx="1269">
                  <c:v>61</c:v>
                </c:pt>
                <c:pt idx="1270">
                  <c:v>63</c:v>
                </c:pt>
                <c:pt idx="1271">
                  <c:v>100</c:v>
                </c:pt>
                <c:pt idx="1272">
                  <c:v>45</c:v>
                </c:pt>
                <c:pt idx="1273">
                  <c:v>72</c:v>
                </c:pt>
                <c:pt idx="1274">
                  <c:v>58</c:v>
                </c:pt>
                <c:pt idx="1275">
                  <c:v>41</c:v>
                </c:pt>
                <c:pt idx="1276">
                  <c:v>53</c:v>
                </c:pt>
                <c:pt idx="1277">
                  <c:v>63</c:v>
                </c:pt>
                <c:pt idx="1278">
                  <c:v>77</c:v>
                </c:pt>
                <c:pt idx="1279">
                  <c:v>69</c:v>
                </c:pt>
                <c:pt idx="1280">
                  <c:v>80</c:v>
                </c:pt>
                <c:pt idx="1281">
                  <c:v>66</c:v>
                </c:pt>
                <c:pt idx="1282">
                  <c:v>66</c:v>
                </c:pt>
                <c:pt idx="1283">
                  <c:v>92</c:v>
                </c:pt>
                <c:pt idx="1284">
                  <c:v>87</c:v>
                </c:pt>
                <c:pt idx="1285">
                  <c:v>48</c:v>
                </c:pt>
                <c:pt idx="1286">
                  <c:v>56</c:v>
                </c:pt>
                <c:pt idx="1287">
                  <c:v>81</c:v>
                </c:pt>
                <c:pt idx="1288">
                  <c:v>81</c:v>
                </c:pt>
                <c:pt idx="1289">
                  <c:v>50</c:v>
                </c:pt>
                <c:pt idx="1290">
                  <c:v>63</c:v>
                </c:pt>
                <c:pt idx="1291">
                  <c:v>62</c:v>
                </c:pt>
                <c:pt idx="1292">
                  <c:v>70</c:v>
                </c:pt>
                <c:pt idx="1293">
                  <c:v>55</c:v>
                </c:pt>
                <c:pt idx="1294">
                  <c:v>40</c:v>
                </c:pt>
                <c:pt idx="1295">
                  <c:v>67</c:v>
                </c:pt>
                <c:pt idx="1296">
                  <c:v>56</c:v>
                </c:pt>
                <c:pt idx="1297">
                  <c:v>57</c:v>
                </c:pt>
                <c:pt idx="1298">
                  <c:v>61</c:v>
                </c:pt>
                <c:pt idx="1299">
                  <c:v>75</c:v>
                </c:pt>
                <c:pt idx="1300">
                  <c:v>61</c:v>
                </c:pt>
                <c:pt idx="1301">
                  <c:v>61</c:v>
                </c:pt>
                <c:pt idx="1302">
                  <c:v>74</c:v>
                </c:pt>
                <c:pt idx="1303">
                  <c:v>55</c:v>
                </c:pt>
                <c:pt idx="1304">
                  <c:v>66</c:v>
                </c:pt>
                <c:pt idx="1305">
                  <c:v>74</c:v>
                </c:pt>
                <c:pt idx="1306">
                  <c:v>95</c:v>
                </c:pt>
                <c:pt idx="1307">
                  <c:v>44</c:v>
                </c:pt>
                <c:pt idx="1308">
                  <c:v>88</c:v>
                </c:pt>
                <c:pt idx="1309">
                  <c:v>57</c:v>
                </c:pt>
                <c:pt idx="1310">
                  <c:v>56</c:v>
                </c:pt>
                <c:pt idx="1311">
                  <c:v>74</c:v>
                </c:pt>
                <c:pt idx="1312">
                  <c:v>69</c:v>
                </c:pt>
                <c:pt idx="1313">
                  <c:v>53</c:v>
                </c:pt>
                <c:pt idx="1314">
                  <c:v>54</c:v>
                </c:pt>
                <c:pt idx="1315">
                  <c:v>56</c:v>
                </c:pt>
                <c:pt idx="1316">
                  <c:v>71</c:v>
                </c:pt>
                <c:pt idx="1317">
                  <c:v>49</c:v>
                </c:pt>
                <c:pt idx="1318">
                  <c:v>39</c:v>
                </c:pt>
                <c:pt idx="1319">
                  <c:v>64</c:v>
                </c:pt>
                <c:pt idx="1320">
                  <c:v>66</c:v>
                </c:pt>
                <c:pt idx="1321">
                  <c:v>45</c:v>
                </c:pt>
                <c:pt idx="1322">
                  <c:v>75</c:v>
                </c:pt>
                <c:pt idx="1323">
                  <c:v>49</c:v>
                </c:pt>
                <c:pt idx="1324">
                  <c:v>59</c:v>
                </c:pt>
                <c:pt idx="1325">
                  <c:v>84</c:v>
                </c:pt>
                <c:pt idx="1326">
                  <c:v>49</c:v>
                </c:pt>
                <c:pt idx="1327">
                  <c:v>65</c:v>
                </c:pt>
                <c:pt idx="1328">
                  <c:v>45</c:v>
                </c:pt>
                <c:pt idx="1329">
                  <c:v>33</c:v>
                </c:pt>
                <c:pt idx="1330">
                  <c:v>50</c:v>
                </c:pt>
                <c:pt idx="1331">
                  <c:v>64</c:v>
                </c:pt>
                <c:pt idx="1332">
                  <c:v>39</c:v>
                </c:pt>
                <c:pt idx="1333">
                  <c:v>57</c:v>
                </c:pt>
                <c:pt idx="1334">
                  <c:v>46</c:v>
                </c:pt>
                <c:pt idx="1335">
                  <c:v>52</c:v>
                </c:pt>
                <c:pt idx="1336">
                  <c:v>83</c:v>
                </c:pt>
                <c:pt idx="1337">
                  <c:v>26</c:v>
                </c:pt>
                <c:pt idx="1338">
                  <c:v>47</c:v>
                </c:pt>
                <c:pt idx="1339">
                  <c:v>72</c:v>
                </c:pt>
                <c:pt idx="1340">
                  <c:v>41</c:v>
                </c:pt>
                <c:pt idx="1341">
                  <c:v>56</c:v>
                </c:pt>
                <c:pt idx="1342">
                  <c:v>63</c:v>
                </c:pt>
                <c:pt idx="1343">
                  <c:v>51</c:v>
                </c:pt>
                <c:pt idx="1344">
                  <c:v>51</c:v>
                </c:pt>
                <c:pt idx="1345">
                  <c:v>37</c:v>
                </c:pt>
                <c:pt idx="1346">
                  <c:v>51</c:v>
                </c:pt>
                <c:pt idx="1347">
                  <c:v>52</c:v>
                </c:pt>
                <c:pt idx="1348">
                  <c:v>34</c:v>
                </c:pt>
                <c:pt idx="1349">
                  <c:v>39</c:v>
                </c:pt>
                <c:pt idx="1350">
                  <c:v>34</c:v>
                </c:pt>
                <c:pt idx="1351">
                  <c:v>48</c:v>
                </c:pt>
                <c:pt idx="1352">
                  <c:v>49</c:v>
                </c:pt>
                <c:pt idx="1353">
                  <c:v>50</c:v>
                </c:pt>
                <c:pt idx="1354">
                  <c:v>33</c:v>
                </c:pt>
                <c:pt idx="1355">
                  <c:v>33</c:v>
                </c:pt>
                <c:pt idx="1356">
                  <c:v>55</c:v>
                </c:pt>
                <c:pt idx="1357">
                  <c:v>71</c:v>
                </c:pt>
                <c:pt idx="1358">
                  <c:v>61</c:v>
                </c:pt>
                <c:pt idx="1359">
                  <c:v>38</c:v>
                </c:pt>
                <c:pt idx="1360">
                  <c:v>61</c:v>
                </c:pt>
                <c:pt idx="1361">
                  <c:v>50</c:v>
                </c:pt>
                <c:pt idx="1362">
                  <c:v>43</c:v>
                </c:pt>
                <c:pt idx="1363">
                  <c:v>47</c:v>
                </c:pt>
                <c:pt idx="1364">
                  <c:v>31</c:v>
                </c:pt>
                <c:pt idx="1365">
                  <c:v>34</c:v>
                </c:pt>
                <c:pt idx="1366">
                  <c:v>38</c:v>
                </c:pt>
                <c:pt idx="1367">
                  <c:v>33</c:v>
                </c:pt>
                <c:pt idx="1368">
                  <c:v>42</c:v>
                </c:pt>
                <c:pt idx="1369">
                  <c:v>30</c:v>
                </c:pt>
                <c:pt idx="1370">
                  <c:v>27</c:v>
                </c:pt>
                <c:pt idx="1371">
                  <c:v>25</c:v>
                </c:pt>
                <c:pt idx="1372">
                  <c:v>26</c:v>
                </c:pt>
                <c:pt idx="1373">
                  <c:v>29</c:v>
                </c:pt>
                <c:pt idx="1374">
                  <c:v>16</c:v>
                </c:pt>
                <c:pt idx="1375">
                  <c:v>31</c:v>
                </c:pt>
                <c:pt idx="1376">
                  <c:v>27</c:v>
                </c:pt>
                <c:pt idx="1377">
                  <c:v>32</c:v>
                </c:pt>
                <c:pt idx="1378">
                  <c:v>37</c:v>
                </c:pt>
                <c:pt idx="1379">
                  <c:v>25</c:v>
                </c:pt>
                <c:pt idx="1380">
                  <c:v>16</c:v>
                </c:pt>
                <c:pt idx="1381">
                  <c:v>29</c:v>
                </c:pt>
                <c:pt idx="1382">
                  <c:v>29</c:v>
                </c:pt>
                <c:pt idx="1383">
                  <c:v>32</c:v>
                </c:pt>
                <c:pt idx="1384">
                  <c:v>28</c:v>
                </c:pt>
                <c:pt idx="1385">
                  <c:v>58</c:v>
                </c:pt>
                <c:pt idx="1386">
                  <c:v>14</c:v>
                </c:pt>
                <c:pt idx="1387">
                  <c:v>17</c:v>
                </c:pt>
                <c:pt idx="1388">
                  <c:v>14</c:v>
                </c:pt>
                <c:pt idx="1389">
                  <c:v>33</c:v>
                </c:pt>
                <c:pt idx="1390">
                  <c:v>30</c:v>
                </c:pt>
                <c:pt idx="1391">
                  <c:v>7</c:v>
                </c:pt>
                <c:pt idx="1392">
                  <c:v>24</c:v>
                </c:pt>
                <c:pt idx="1393">
                  <c:v>9</c:v>
                </c:pt>
                <c:pt idx="1394">
                  <c:v>20</c:v>
                </c:pt>
                <c:pt idx="1395">
                  <c:v>12</c:v>
                </c:pt>
                <c:pt idx="1396">
                  <c:v>9</c:v>
                </c:pt>
                <c:pt idx="1397">
                  <c:v>15</c:v>
                </c:pt>
                <c:pt idx="1398">
                  <c:v>13</c:v>
                </c:pt>
                <c:pt idx="1399">
                  <c:v>6</c:v>
                </c:pt>
                <c:pt idx="1400">
                  <c:v>18</c:v>
                </c:pt>
                <c:pt idx="1401">
                  <c:v>22</c:v>
                </c:pt>
                <c:pt idx="1402">
                  <c:v>24</c:v>
                </c:pt>
                <c:pt idx="1403">
                  <c:v>13</c:v>
                </c:pt>
                <c:pt idx="1404">
                  <c:v>6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2</c:v>
                </c:pt>
                <c:pt idx="1409">
                  <c:v>15</c:v>
                </c:pt>
                <c:pt idx="1410">
                  <c:v>23</c:v>
                </c:pt>
                <c:pt idx="1411">
                  <c:v>5</c:v>
                </c:pt>
                <c:pt idx="1412">
                  <c:v>12</c:v>
                </c:pt>
                <c:pt idx="1413">
                  <c:v>4</c:v>
                </c:pt>
                <c:pt idx="1414">
                  <c:v>4</c:v>
                </c:pt>
                <c:pt idx="1415">
                  <c:v>20</c:v>
                </c:pt>
                <c:pt idx="1416">
                  <c:v>9</c:v>
                </c:pt>
                <c:pt idx="1417">
                  <c:v>28</c:v>
                </c:pt>
                <c:pt idx="1418">
                  <c:v>19</c:v>
                </c:pt>
                <c:pt idx="1419">
                  <c:v>14</c:v>
                </c:pt>
                <c:pt idx="1420">
                  <c:v>5</c:v>
                </c:pt>
                <c:pt idx="1421">
                  <c:v>12</c:v>
                </c:pt>
                <c:pt idx="1422">
                  <c:v>4</c:v>
                </c:pt>
                <c:pt idx="1423">
                  <c:v>13</c:v>
                </c:pt>
                <c:pt idx="1424">
                  <c:v>9</c:v>
                </c:pt>
                <c:pt idx="1425">
                  <c:v>13</c:v>
                </c:pt>
                <c:pt idx="1426">
                  <c:v>2</c:v>
                </c:pt>
                <c:pt idx="1427">
                  <c:v>9</c:v>
                </c:pt>
                <c:pt idx="1428">
                  <c:v>2</c:v>
                </c:pt>
                <c:pt idx="1429">
                  <c:v>7</c:v>
                </c:pt>
                <c:pt idx="1430">
                  <c:v>3</c:v>
                </c:pt>
                <c:pt idx="1431">
                  <c:v>21</c:v>
                </c:pt>
                <c:pt idx="1432">
                  <c:v>4</c:v>
                </c:pt>
                <c:pt idx="1433">
                  <c:v>4</c:v>
                </c:pt>
                <c:pt idx="1434">
                  <c:v>9</c:v>
                </c:pt>
                <c:pt idx="1435">
                  <c:v>9</c:v>
                </c:pt>
                <c:pt idx="1436">
                  <c:v>7</c:v>
                </c:pt>
                <c:pt idx="1437">
                  <c:v>13</c:v>
                </c:pt>
                <c:pt idx="1438">
                  <c:v>15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2</c:v>
                </c:pt>
                <c:pt idx="1443">
                  <c:v>3</c:v>
                </c:pt>
                <c:pt idx="1444">
                  <c:v>-1</c:v>
                </c:pt>
                <c:pt idx="1445">
                  <c:v>11</c:v>
                </c:pt>
                <c:pt idx="1446">
                  <c:v>-3</c:v>
                </c:pt>
                <c:pt idx="1447">
                  <c:v>10</c:v>
                </c:pt>
                <c:pt idx="1448">
                  <c:v>5</c:v>
                </c:pt>
                <c:pt idx="1449">
                  <c:v>12</c:v>
                </c:pt>
                <c:pt idx="1450">
                  <c:v>-2</c:v>
                </c:pt>
                <c:pt idx="1451">
                  <c:v>6</c:v>
                </c:pt>
                <c:pt idx="1452">
                  <c:v>-4</c:v>
                </c:pt>
                <c:pt idx="1453">
                  <c:v>29</c:v>
                </c:pt>
                <c:pt idx="1454">
                  <c:v>-2</c:v>
                </c:pt>
                <c:pt idx="1455">
                  <c:v>6</c:v>
                </c:pt>
                <c:pt idx="1456">
                  <c:v>-1</c:v>
                </c:pt>
                <c:pt idx="1457">
                  <c:v>6</c:v>
                </c:pt>
                <c:pt idx="1458">
                  <c:v>3</c:v>
                </c:pt>
                <c:pt idx="145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C-468B-BA6C-BA5664F57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870720"/>
        <c:axId val="1679577456"/>
      </c:scatterChart>
      <c:valAx>
        <c:axId val="165487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79577456"/>
        <c:crosses val="autoZero"/>
        <c:crossBetween val="midCat"/>
      </c:valAx>
      <c:valAx>
        <c:axId val="16795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5487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 de CALOPEIA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2027</c:v>
              </c:pt>
              <c:pt idx="1">
                <c:v>2028</c:v>
              </c:pt>
            </c:strLit>
          </c:cat>
          <c:val>
            <c:numLit>
              <c:formatCode>General</c:formatCode>
              <c:ptCount val="2"/>
              <c:pt idx="0">
                <c:v>12974</c:v>
              </c:pt>
              <c:pt idx="1">
                <c:v>12641</c:v>
              </c:pt>
            </c:numLit>
          </c:val>
          <c:extLst>
            <c:ext xmlns:c16="http://schemas.microsoft.com/office/drawing/2014/chart" uri="{C3380CC4-5D6E-409C-BE32-E72D297353CC}">
              <c16:uniqueId val="{00000000-58BB-49FA-A506-C9260FB95AF8}"/>
            </c:ext>
          </c:extLst>
        </c:ser>
        <c:ser>
          <c:idx val="1"/>
          <c:order val="1"/>
          <c:tx>
            <c:v>Suma de PRE.SORANGE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2027</c:v>
              </c:pt>
              <c:pt idx="1">
                <c:v>2028</c:v>
              </c:pt>
            </c:strLit>
          </c:cat>
          <c:val>
            <c:numLit>
              <c:formatCode>General</c:formatCode>
              <c:ptCount val="2"/>
              <c:pt idx="0">
                <c:v>15307.6255</c:v>
              </c:pt>
              <c:pt idx="1">
                <c:v>35651.082999999999</c:v>
              </c:pt>
            </c:numLit>
          </c:val>
          <c:extLst>
            <c:ext xmlns:c16="http://schemas.microsoft.com/office/drawing/2014/chart" uri="{C3380CC4-5D6E-409C-BE32-E72D297353CC}">
              <c16:uniqueId val="{00000001-58BB-49FA-A506-C9260FB95AF8}"/>
            </c:ext>
          </c:extLst>
        </c:ser>
        <c:ser>
          <c:idx val="2"/>
          <c:order val="2"/>
          <c:tx>
            <c:v>Suma de TYRANT VERDADERO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2027</c:v>
              </c:pt>
              <c:pt idx="1">
                <c:v>2028</c:v>
              </c:pt>
            </c:strLit>
          </c:cat>
          <c:val>
            <c:numLit>
              <c:formatCode>General</c:formatCode>
              <c:ptCount val="2"/>
              <c:pt idx="0">
                <c:v>7084.5901639343938</c:v>
              </c:pt>
              <c:pt idx="1">
                <c:v>7084.5901639343938</c:v>
              </c:pt>
            </c:numLit>
          </c:val>
          <c:extLst>
            <c:ext xmlns:c16="http://schemas.microsoft.com/office/drawing/2014/chart" uri="{C3380CC4-5D6E-409C-BE32-E72D297353CC}">
              <c16:uniqueId val="{00000002-58BB-49FA-A506-C9260FB95AF8}"/>
            </c:ext>
          </c:extLst>
        </c:ser>
        <c:ser>
          <c:idx val="3"/>
          <c:order val="3"/>
          <c:tx>
            <c:v>Suma de ENTWORPE VERDADERO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2027</c:v>
              </c:pt>
              <c:pt idx="1">
                <c:v>2028</c:v>
              </c:pt>
            </c:strLit>
          </c:cat>
          <c:val>
            <c:numLit>
              <c:formatCode>General</c:formatCode>
              <c:ptCount val="2"/>
              <c:pt idx="0">
                <c:v>5999.9999999999964</c:v>
              </c:pt>
              <c:pt idx="1">
                <c:v>5999.9999999999964</c:v>
              </c:pt>
            </c:numLit>
          </c:val>
          <c:extLst>
            <c:ext xmlns:c16="http://schemas.microsoft.com/office/drawing/2014/chart" uri="{C3380CC4-5D6E-409C-BE32-E72D297353CC}">
              <c16:uniqueId val="{00000003-58BB-49FA-A506-C9260FB95AF8}"/>
            </c:ext>
          </c:extLst>
        </c:ser>
        <c:ser>
          <c:idx val="4"/>
          <c:order val="4"/>
          <c:tx>
            <c:v>Suma de Fardo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2027</c:v>
              </c:pt>
              <c:pt idx="1">
                <c:v>2028</c:v>
              </c:pt>
            </c:strLit>
          </c:cat>
          <c:val>
            <c:numLit>
              <c:formatCode>General</c:formatCode>
              <c:ptCount val="2"/>
              <c:pt idx="0">
                <c:v>6912.6988347453353</c:v>
              </c:pt>
              <c:pt idx="1">
                <c:v>7034.226266481377</c:v>
              </c:pt>
            </c:numLit>
          </c:val>
          <c:extLst>
            <c:ext xmlns:c16="http://schemas.microsoft.com/office/drawing/2014/chart" uri="{C3380CC4-5D6E-409C-BE32-E72D297353CC}">
              <c16:uniqueId val="{00000004-58BB-49FA-A506-C9260FB9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978495"/>
        <c:axId val="1662967455"/>
      </c:barChart>
      <c:catAx>
        <c:axId val="166297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62967455"/>
        <c:crosses val="autoZero"/>
        <c:auto val="1"/>
        <c:lblAlgn val="ctr"/>
        <c:lblOffset val="100"/>
        <c:noMultiLvlLbl val="0"/>
      </c:catAx>
      <c:valAx>
        <c:axId val="166296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6297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'[1]ANALISSI DEMANDA PRONOSTICO'!$B$5:$B$1464</c:f>
              <c:strCache>
                <c:ptCount val="14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</c:strCache>
            </c:strRef>
          </c:xVal>
          <c:yVal>
            <c:numRef>
              <c:f>'[1]ANALISSI DEMANDA PRONOSTICO'!$H$5:$H$1464</c:f>
              <c:numCache>
                <c:formatCode>General</c:formatCode>
                <c:ptCount val="14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19.409836065573771</c:v>
                </c:pt>
                <c:pt idx="731">
                  <c:v>19.409836065573771</c:v>
                </c:pt>
                <c:pt idx="732">
                  <c:v>19.409836065573771</c:v>
                </c:pt>
                <c:pt idx="733">
                  <c:v>19.409836065573771</c:v>
                </c:pt>
                <c:pt idx="734">
                  <c:v>19.409836065573771</c:v>
                </c:pt>
                <c:pt idx="735">
                  <c:v>19.409836065573771</c:v>
                </c:pt>
                <c:pt idx="736">
                  <c:v>19.409836065573771</c:v>
                </c:pt>
                <c:pt idx="737">
                  <c:v>19.409836065573771</c:v>
                </c:pt>
                <c:pt idx="738">
                  <c:v>19.409836065573771</c:v>
                </c:pt>
                <c:pt idx="739">
                  <c:v>19.409836065573771</c:v>
                </c:pt>
                <c:pt idx="740">
                  <c:v>19.409836065573771</c:v>
                </c:pt>
                <c:pt idx="741">
                  <c:v>19.409836065573771</c:v>
                </c:pt>
                <c:pt idx="742">
                  <c:v>19.409836065573771</c:v>
                </c:pt>
                <c:pt idx="743">
                  <c:v>19.409836065573771</c:v>
                </c:pt>
                <c:pt idx="744">
                  <c:v>19.409836065573771</c:v>
                </c:pt>
                <c:pt idx="745">
                  <c:v>19.409836065573771</c:v>
                </c:pt>
                <c:pt idx="746">
                  <c:v>19.409836065573771</c:v>
                </c:pt>
                <c:pt idx="747">
                  <c:v>19.409836065573771</c:v>
                </c:pt>
                <c:pt idx="748">
                  <c:v>19.409836065573771</c:v>
                </c:pt>
                <c:pt idx="749">
                  <c:v>19.409836065573771</c:v>
                </c:pt>
                <c:pt idx="750">
                  <c:v>19.409836065573771</c:v>
                </c:pt>
                <c:pt idx="751">
                  <c:v>19.409836065573771</c:v>
                </c:pt>
                <c:pt idx="752">
                  <c:v>19.409836065573771</c:v>
                </c:pt>
                <c:pt idx="753">
                  <c:v>19.409836065573771</c:v>
                </c:pt>
                <c:pt idx="754">
                  <c:v>19.409836065573771</c:v>
                </c:pt>
                <c:pt idx="755">
                  <c:v>19.409836065573771</c:v>
                </c:pt>
                <c:pt idx="756">
                  <c:v>19.409836065573771</c:v>
                </c:pt>
                <c:pt idx="757">
                  <c:v>19.409836065573771</c:v>
                </c:pt>
                <c:pt idx="758">
                  <c:v>19.409836065573771</c:v>
                </c:pt>
                <c:pt idx="759">
                  <c:v>19.409836065573771</c:v>
                </c:pt>
                <c:pt idx="760">
                  <c:v>19.409836065573771</c:v>
                </c:pt>
                <c:pt idx="761">
                  <c:v>19.409836065573771</c:v>
                </c:pt>
                <c:pt idx="762">
                  <c:v>19.409836065573771</c:v>
                </c:pt>
                <c:pt idx="763">
                  <c:v>19.409836065573771</c:v>
                </c:pt>
                <c:pt idx="764">
                  <c:v>19.409836065573771</c:v>
                </c:pt>
                <c:pt idx="765">
                  <c:v>19.409836065573771</c:v>
                </c:pt>
                <c:pt idx="766">
                  <c:v>19.409836065573771</c:v>
                </c:pt>
                <c:pt idx="767">
                  <c:v>19.409836065573771</c:v>
                </c:pt>
                <c:pt idx="768">
                  <c:v>19.409836065573771</c:v>
                </c:pt>
                <c:pt idx="769">
                  <c:v>19.409836065573771</c:v>
                </c:pt>
                <c:pt idx="770">
                  <c:v>19.409836065573771</c:v>
                </c:pt>
                <c:pt idx="771">
                  <c:v>19.409836065573771</c:v>
                </c:pt>
                <c:pt idx="772">
                  <c:v>19.409836065573771</c:v>
                </c:pt>
                <c:pt idx="773">
                  <c:v>19.409836065573771</c:v>
                </c:pt>
                <c:pt idx="774">
                  <c:v>19.409836065573771</c:v>
                </c:pt>
                <c:pt idx="775">
                  <c:v>19.409836065573771</c:v>
                </c:pt>
                <c:pt idx="776">
                  <c:v>19.409836065573771</c:v>
                </c:pt>
                <c:pt idx="777">
                  <c:v>19.409836065573771</c:v>
                </c:pt>
                <c:pt idx="778">
                  <c:v>19.409836065573771</c:v>
                </c:pt>
                <c:pt idx="779">
                  <c:v>19.409836065573771</c:v>
                </c:pt>
                <c:pt idx="780">
                  <c:v>19.409836065573771</c:v>
                </c:pt>
                <c:pt idx="781">
                  <c:v>19.409836065573771</c:v>
                </c:pt>
                <c:pt idx="782">
                  <c:v>19.409836065573771</c:v>
                </c:pt>
                <c:pt idx="783">
                  <c:v>19.409836065573771</c:v>
                </c:pt>
                <c:pt idx="784">
                  <c:v>19.409836065573771</c:v>
                </c:pt>
                <c:pt idx="785">
                  <c:v>19.409836065573771</c:v>
                </c:pt>
                <c:pt idx="786">
                  <c:v>19.409836065573771</c:v>
                </c:pt>
                <c:pt idx="787">
                  <c:v>19.409836065573771</c:v>
                </c:pt>
                <c:pt idx="788">
                  <c:v>19.409836065573771</c:v>
                </c:pt>
                <c:pt idx="789">
                  <c:v>19.409836065573771</c:v>
                </c:pt>
                <c:pt idx="790">
                  <c:v>19.409836065573771</c:v>
                </c:pt>
                <c:pt idx="791">
                  <c:v>19.409836065573771</c:v>
                </c:pt>
                <c:pt idx="792">
                  <c:v>19.409836065573771</c:v>
                </c:pt>
                <c:pt idx="793">
                  <c:v>19.409836065573771</c:v>
                </c:pt>
                <c:pt idx="794">
                  <c:v>19.409836065573771</c:v>
                </c:pt>
                <c:pt idx="795">
                  <c:v>19.409836065573771</c:v>
                </c:pt>
                <c:pt idx="796">
                  <c:v>19.409836065573771</c:v>
                </c:pt>
                <c:pt idx="797">
                  <c:v>19.409836065573771</c:v>
                </c:pt>
                <c:pt idx="798">
                  <c:v>19.409836065573771</c:v>
                </c:pt>
                <c:pt idx="799">
                  <c:v>19.409836065573771</c:v>
                </c:pt>
                <c:pt idx="800">
                  <c:v>19.409836065573771</c:v>
                </c:pt>
                <c:pt idx="801">
                  <c:v>19.409836065573771</c:v>
                </c:pt>
                <c:pt idx="802">
                  <c:v>19.409836065573771</c:v>
                </c:pt>
                <c:pt idx="803">
                  <c:v>19.409836065573771</c:v>
                </c:pt>
                <c:pt idx="804">
                  <c:v>19.409836065573771</c:v>
                </c:pt>
                <c:pt idx="805">
                  <c:v>19.409836065573771</c:v>
                </c:pt>
                <c:pt idx="806">
                  <c:v>19.409836065573771</c:v>
                </c:pt>
                <c:pt idx="807">
                  <c:v>19.409836065573771</c:v>
                </c:pt>
                <c:pt idx="808">
                  <c:v>19.409836065573771</c:v>
                </c:pt>
                <c:pt idx="809">
                  <c:v>19.409836065573771</c:v>
                </c:pt>
                <c:pt idx="810">
                  <c:v>19.409836065573771</c:v>
                </c:pt>
                <c:pt idx="811">
                  <c:v>19.409836065573771</c:v>
                </c:pt>
                <c:pt idx="812">
                  <c:v>19.409836065573771</c:v>
                </c:pt>
                <c:pt idx="813">
                  <c:v>19.409836065573771</c:v>
                </c:pt>
                <c:pt idx="814">
                  <c:v>19.409836065573771</c:v>
                </c:pt>
                <c:pt idx="815">
                  <c:v>19.409836065573771</c:v>
                </c:pt>
                <c:pt idx="816">
                  <c:v>19.409836065573771</c:v>
                </c:pt>
                <c:pt idx="817">
                  <c:v>19.409836065573771</c:v>
                </c:pt>
                <c:pt idx="818">
                  <c:v>19.409836065573771</c:v>
                </c:pt>
                <c:pt idx="819">
                  <c:v>19.409836065573771</c:v>
                </c:pt>
                <c:pt idx="820">
                  <c:v>19.409836065573771</c:v>
                </c:pt>
                <c:pt idx="821">
                  <c:v>19.409836065573771</c:v>
                </c:pt>
                <c:pt idx="822">
                  <c:v>19.409836065573771</c:v>
                </c:pt>
                <c:pt idx="823">
                  <c:v>19.409836065573771</c:v>
                </c:pt>
                <c:pt idx="824">
                  <c:v>19.409836065573771</c:v>
                </c:pt>
                <c:pt idx="825">
                  <c:v>19.409836065573771</c:v>
                </c:pt>
                <c:pt idx="826">
                  <c:v>19.409836065573771</c:v>
                </c:pt>
                <c:pt idx="827">
                  <c:v>19.409836065573771</c:v>
                </c:pt>
                <c:pt idx="828">
                  <c:v>19.409836065573771</c:v>
                </c:pt>
                <c:pt idx="829">
                  <c:v>19.409836065573771</c:v>
                </c:pt>
                <c:pt idx="830">
                  <c:v>19.409836065573771</c:v>
                </c:pt>
                <c:pt idx="831">
                  <c:v>19.409836065573771</c:v>
                </c:pt>
                <c:pt idx="832">
                  <c:v>19.409836065573771</c:v>
                </c:pt>
                <c:pt idx="833">
                  <c:v>19.409836065573771</c:v>
                </c:pt>
                <c:pt idx="834">
                  <c:v>19.409836065573771</c:v>
                </c:pt>
                <c:pt idx="835">
                  <c:v>19.409836065573771</c:v>
                </c:pt>
                <c:pt idx="836">
                  <c:v>19.409836065573771</c:v>
                </c:pt>
                <c:pt idx="837">
                  <c:v>19.409836065573771</c:v>
                </c:pt>
                <c:pt idx="838">
                  <c:v>19.409836065573771</c:v>
                </c:pt>
                <c:pt idx="839">
                  <c:v>19.409836065573771</c:v>
                </c:pt>
                <c:pt idx="840">
                  <c:v>19.409836065573771</c:v>
                </c:pt>
                <c:pt idx="841">
                  <c:v>19.409836065573771</c:v>
                </c:pt>
                <c:pt idx="842">
                  <c:v>19.409836065573771</c:v>
                </c:pt>
                <c:pt idx="843">
                  <c:v>19.409836065573771</c:v>
                </c:pt>
                <c:pt idx="844">
                  <c:v>19.409836065573771</c:v>
                </c:pt>
                <c:pt idx="845">
                  <c:v>19.409836065573771</c:v>
                </c:pt>
                <c:pt idx="846">
                  <c:v>19.409836065573771</c:v>
                </c:pt>
                <c:pt idx="847">
                  <c:v>19.409836065573771</c:v>
                </c:pt>
                <c:pt idx="848">
                  <c:v>19.409836065573771</c:v>
                </c:pt>
                <c:pt idx="849">
                  <c:v>19.409836065573771</c:v>
                </c:pt>
                <c:pt idx="850">
                  <c:v>19.409836065573771</c:v>
                </c:pt>
                <c:pt idx="851">
                  <c:v>19.409836065573771</c:v>
                </c:pt>
                <c:pt idx="852">
                  <c:v>19.409836065573771</c:v>
                </c:pt>
                <c:pt idx="853">
                  <c:v>19.409836065573771</c:v>
                </c:pt>
                <c:pt idx="854">
                  <c:v>19.409836065573771</c:v>
                </c:pt>
                <c:pt idx="855">
                  <c:v>19.409836065573771</c:v>
                </c:pt>
                <c:pt idx="856">
                  <c:v>19.409836065573771</c:v>
                </c:pt>
                <c:pt idx="857">
                  <c:v>19.409836065573771</c:v>
                </c:pt>
                <c:pt idx="858">
                  <c:v>19.409836065573771</c:v>
                </c:pt>
                <c:pt idx="859">
                  <c:v>19.409836065573771</c:v>
                </c:pt>
                <c:pt idx="860">
                  <c:v>19.409836065573771</c:v>
                </c:pt>
                <c:pt idx="861">
                  <c:v>19.409836065573771</c:v>
                </c:pt>
                <c:pt idx="862">
                  <c:v>19.409836065573771</c:v>
                </c:pt>
                <c:pt idx="863">
                  <c:v>19.409836065573771</c:v>
                </c:pt>
                <c:pt idx="864">
                  <c:v>19.409836065573771</c:v>
                </c:pt>
                <c:pt idx="865">
                  <c:v>19.409836065573771</c:v>
                </c:pt>
                <c:pt idx="866">
                  <c:v>19.409836065573771</c:v>
                </c:pt>
                <c:pt idx="867">
                  <c:v>19.409836065573771</c:v>
                </c:pt>
                <c:pt idx="868">
                  <c:v>19.409836065573771</c:v>
                </c:pt>
                <c:pt idx="869">
                  <c:v>19.409836065573771</c:v>
                </c:pt>
                <c:pt idx="870">
                  <c:v>19.409836065573771</c:v>
                </c:pt>
                <c:pt idx="871">
                  <c:v>19.409836065573771</c:v>
                </c:pt>
                <c:pt idx="872">
                  <c:v>19.409836065573771</c:v>
                </c:pt>
                <c:pt idx="873">
                  <c:v>19.409836065573771</c:v>
                </c:pt>
                <c:pt idx="874">
                  <c:v>19.409836065573771</c:v>
                </c:pt>
                <c:pt idx="875">
                  <c:v>19.409836065573771</c:v>
                </c:pt>
                <c:pt idx="876">
                  <c:v>19.409836065573771</c:v>
                </c:pt>
                <c:pt idx="877">
                  <c:v>19.409836065573771</c:v>
                </c:pt>
                <c:pt idx="878">
                  <c:v>19.409836065573771</c:v>
                </c:pt>
                <c:pt idx="879">
                  <c:v>19.409836065573771</c:v>
                </c:pt>
                <c:pt idx="880">
                  <c:v>19.409836065573771</c:v>
                </c:pt>
                <c:pt idx="881">
                  <c:v>19.409836065573771</c:v>
                </c:pt>
                <c:pt idx="882">
                  <c:v>19.409836065573771</c:v>
                </c:pt>
                <c:pt idx="883">
                  <c:v>19.409836065573771</c:v>
                </c:pt>
                <c:pt idx="884">
                  <c:v>19.409836065573771</c:v>
                </c:pt>
                <c:pt idx="885">
                  <c:v>19.409836065573771</c:v>
                </c:pt>
                <c:pt idx="886">
                  <c:v>19.409836065573771</c:v>
                </c:pt>
                <c:pt idx="887">
                  <c:v>19.409836065573771</c:v>
                </c:pt>
                <c:pt idx="888">
                  <c:v>19.409836065573771</c:v>
                </c:pt>
                <c:pt idx="889">
                  <c:v>19.409836065573771</c:v>
                </c:pt>
                <c:pt idx="890">
                  <c:v>19.409836065573771</c:v>
                </c:pt>
                <c:pt idx="891">
                  <c:v>19.409836065573771</c:v>
                </c:pt>
                <c:pt idx="892">
                  <c:v>19.409836065573771</c:v>
                </c:pt>
                <c:pt idx="893">
                  <c:v>19.409836065573771</c:v>
                </c:pt>
                <c:pt idx="894">
                  <c:v>19.409836065573771</c:v>
                </c:pt>
                <c:pt idx="895">
                  <c:v>19.409836065573771</c:v>
                </c:pt>
                <c:pt idx="896">
                  <c:v>19.409836065573771</c:v>
                </c:pt>
                <c:pt idx="897">
                  <c:v>19.409836065573771</c:v>
                </c:pt>
                <c:pt idx="898">
                  <c:v>19.409836065573771</c:v>
                </c:pt>
                <c:pt idx="899">
                  <c:v>19.409836065573771</c:v>
                </c:pt>
                <c:pt idx="900">
                  <c:v>19.409836065573771</c:v>
                </c:pt>
                <c:pt idx="901">
                  <c:v>19.409836065573771</c:v>
                </c:pt>
                <c:pt idx="902">
                  <c:v>19.409836065573771</c:v>
                </c:pt>
                <c:pt idx="903">
                  <c:v>19.409836065573771</c:v>
                </c:pt>
                <c:pt idx="904">
                  <c:v>19.409836065573771</c:v>
                </c:pt>
                <c:pt idx="905">
                  <c:v>19.409836065573771</c:v>
                </c:pt>
                <c:pt idx="906">
                  <c:v>19.409836065573771</c:v>
                </c:pt>
                <c:pt idx="907">
                  <c:v>19.409836065573771</c:v>
                </c:pt>
                <c:pt idx="908">
                  <c:v>19.409836065573771</c:v>
                </c:pt>
                <c:pt idx="909">
                  <c:v>19.409836065573771</c:v>
                </c:pt>
                <c:pt idx="910">
                  <c:v>19.409836065573771</c:v>
                </c:pt>
                <c:pt idx="911">
                  <c:v>19.409836065573771</c:v>
                </c:pt>
                <c:pt idx="912">
                  <c:v>19.409836065573771</c:v>
                </c:pt>
                <c:pt idx="913">
                  <c:v>19.409836065573771</c:v>
                </c:pt>
                <c:pt idx="914">
                  <c:v>19.409836065573771</c:v>
                </c:pt>
                <c:pt idx="915">
                  <c:v>19.409836065573771</c:v>
                </c:pt>
                <c:pt idx="916">
                  <c:v>19.409836065573771</c:v>
                </c:pt>
                <c:pt idx="917">
                  <c:v>19.409836065573771</c:v>
                </c:pt>
                <c:pt idx="918">
                  <c:v>19.409836065573771</c:v>
                </c:pt>
                <c:pt idx="919">
                  <c:v>19.409836065573771</c:v>
                </c:pt>
                <c:pt idx="920">
                  <c:v>19.409836065573771</c:v>
                </c:pt>
                <c:pt idx="921">
                  <c:v>19.409836065573771</c:v>
                </c:pt>
                <c:pt idx="922">
                  <c:v>19.409836065573771</c:v>
                </c:pt>
                <c:pt idx="923">
                  <c:v>19.409836065573771</c:v>
                </c:pt>
                <c:pt idx="924">
                  <c:v>19.409836065573771</c:v>
                </c:pt>
                <c:pt idx="925">
                  <c:v>19.409836065573771</c:v>
                </c:pt>
                <c:pt idx="926">
                  <c:v>19.409836065573771</c:v>
                </c:pt>
                <c:pt idx="927">
                  <c:v>19.409836065573771</c:v>
                </c:pt>
                <c:pt idx="928">
                  <c:v>19.409836065573771</c:v>
                </c:pt>
                <c:pt idx="929">
                  <c:v>19.409836065573771</c:v>
                </c:pt>
                <c:pt idx="930">
                  <c:v>19.409836065573771</c:v>
                </c:pt>
                <c:pt idx="931">
                  <c:v>19.409836065573771</c:v>
                </c:pt>
                <c:pt idx="932">
                  <c:v>19.409836065573771</c:v>
                </c:pt>
                <c:pt idx="933">
                  <c:v>19.409836065573771</c:v>
                </c:pt>
                <c:pt idx="934">
                  <c:v>19.409836065573771</c:v>
                </c:pt>
                <c:pt idx="935">
                  <c:v>19.409836065573771</c:v>
                </c:pt>
                <c:pt idx="936">
                  <c:v>19.409836065573771</c:v>
                </c:pt>
                <c:pt idx="937">
                  <c:v>19.409836065573771</c:v>
                </c:pt>
                <c:pt idx="938">
                  <c:v>19.409836065573771</c:v>
                </c:pt>
                <c:pt idx="939">
                  <c:v>19.409836065573771</c:v>
                </c:pt>
                <c:pt idx="940">
                  <c:v>19.409836065573771</c:v>
                </c:pt>
                <c:pt idx="941">
                  <c:v>19.409836065573771</c:v>
                </c:pt>
                <c:pt idx="942">
                  <c:v>19.409836065573771</c:v>
                </c:pt>
                <c:pt idx="943">
                  <c:v>19.409836065573771</c:v>
                </c:pt>
                <c:pt idx="944">
                  <c:v>19.409836065573771</c:v>
                </c:pt>
                <c:pt idx="945">
                  <c:v>19.409836065573771</c:v>
                </c:pt>
                <c:pt idx="946">
                  <c:v>19.409836065573771</c:v>
                </c:pt>
                <c:pt idx="947">
                  <c:v>19.409836065573771</c:v>
                </c:pt>
                <c:pt idx="948">
                  <c:v>19.409836065573771</c:v>
                </c:pt>
                <c:pt idx="949">
                  <c:v>19.409836065573771</c:v>
                </c:pt>
                <c:pt idx="950">
                  <c:v>19.409836065573771</c:v>
                </c:pt>
                <c:pt idx="951">
                  <c:v>19.409836065573771</c:v>
                </c:pt>
                <c:pt idx="952">
                  <c:v>19.409836065573771</c:v>
                </c:pt>
                <c:pt idx="953">
                  <c:v>19.409836065573771</c:v>
                </c:pt>
                <c:pt idx="954">
                  <c:v>19.409836065573771</c:v>
                </c:pt>
                <c:pt idx="955">
                  <c:v>19.409836065573771</c:v>
                </c:pt>
                <c:pt idx="956">
                  <c:v>19.409836065573771</c:v>
                </c:pt>
                <c:pt idx="957">
                  <c:v>19.409836065573771</c:v>
                </c:pt>
                <c:pt idx="958">
                  <c:v>19.409836065573771</c:v>
                </c:pt>
                <c:pt idx="959">
                  <c:v>19.409836065573771</c:v>
                </c:pt>
                <c:pt idx="960">
                  <c:v>19.409836065573771</c:v>
                </c:pt>
                <c:pt idx="961">
                  <c:v>19.409836065573771</c:v>
                </c:pt>
                <c:pt idx="962">
                  <c:v>19.409836065573771</c:v>
                </c:pt>
                <c:pt idx="963">
                  <c:v>19.409836065573771</c:v>
                </c:pt>
                <c:pt idx="964">
                  <c:v>19.409836065573771</c:v>
                </c:pt>
                <c:pt idx="965">
                  <c:v>19.409836065573771</c:v>
                </c:pt>
                <c:pt idx="966">
                  <c:v>19.409836065573771</c:v>
                </c:pt>
                <c:pt idx="967">
                  <c:v>19.409836065573771</c:v>
                </c:pt>
                <c:pt idx="968">
                  <c:v>19.409836065573771</c:v>
                </c:pt>
                <c:pt idx="969">
                  <c:v>19.409836065573771</c:v>
                </c:pt>
                <c:pt idx="970">
                  <c:v>19.409836065573771</c:v>
                </c:pt>
                <c:pt idx="971">
                  <c:v>19.409836065573771</c:v>
                </c:pt>
                <c:pt idx="972">
                  <c:v>19.409836065573771</c:v>
                </c:pt>
                <c:pt idx="973">
                  <c:v>19.409836065573771</c:v>
                </c:pt>
                <c:pt idx="974">
                  <c:v>19.409836065573771</c:v>
                </c:pt>
                <c:pt idx="975">
                  <c:v>19.409836065573771</c:v>
                </c:pt>
                <c:pt idx="976">
                  <c:v>19.409836065573771</c:v>
                </c:pt>
                <c:pt idx="977">
                  <c:v>19.409836065573771</c:v>
                </c:pt>
                <c:pt idx="978">
                  <c:v>19.409836065573771</c:v>
                </c:pt>
                <c:pt idx="979">
                  <c:v>19.409836065573771</c:v>
                </c:pt>
                <c:pt idx="980">
                  <c:v>19.409836065573771</c:v>
                </c:pt>
                <c:pt idx="981">
                  <c:v>19.409836065573771</c:v>
                </c:pt>
                <c:pt idx="982">
                  <c:v>19.409836065573771</c:v>
                </c:pt>
                <c:pt idx="983">
                  <c:v>19.409836065573771</c:v>
                </c:pt>
                <c:pt idx="984">
                  <c:v>19.409836065573771</c:v>
                </c:pt>
                <c:pt idx="985">
                  <c:v>19.409836065573771</c:v>
                </c:pt>
                <c:pt idx="986">
                  <c:v>19.409836065573771</c:v>
                </c:pt>
                <c:pt idx="987">
                  <c:v>19.409836065573771</c:v>
                </c:pt>
                <c:pt idx="988">
                  <c:v>19.409836065573771</c:v>
                </c:pt>
                <c:pt idx="989">
                  <c:v>19.409836065573771</c:v>
                </c:pt>
                <c:pt idx="990">
                  <c:v>19.409836065573771</c:v>
                </c:pt>
                <c:pt idx="991">
                  <c:v>19.409836065573771</c:v>
                </c:pt>
                <c:pt idx="992">
                  <c:v>19.409836065573771</c:v>
                </c:pt>
                <c:pt idx="993">
                  <c:v>19.409836065573771</c:v>
                </c:pt>
                <c:pt idx="994">
                  <c:v>19.409836065573771</c:v>
                </c:pt>
                <c:pt idx="995">
                  <c:v>19.409836065573771</c:v>
                </c:pt>
                <c:pt idx="996">
                  <c:v>19.409836065573771</c:v>
                </c:pt>
                <c:pt idx="997">
                  <c:v>19.409836065573771</c:v>
                </c:pt>
                <c:pt idx="998">
                  <c:v>19.409836065573771</c:v>
                </c:pt>
                <c:pt idx="999">
                  <c:v>19.409836065573771</c:v>
                </c:pt>
                <c:pt idx="1000">
                  <c:v>19.409836065573771</c:v>
                </c:pt>
                <c:pt idx="1001">
                  <c:v>19.409836065573771</c:v>
                </c:pt>
                <c:pt idx="1002">
                  <c:v>19.409836065573771</c:v>
                </c:pt>
                <c:pt idx="1003">
                  <c:v>19.409836065573771</c:v>
                </c:pt>
                <c:pt idx="1004">
                  <c:v>19.409836065573771</c:v>
                </c:pt>
                <c:pt idx="1005">
                  <c:v>19.409836065573771</c:v>
                </c:pt>
                <c:pt idx="1006">
                  <c:v>19.409836065573771</c:v>
                </c:pt>
                <c:pt idx="1007">
                  <c:v>19.409836065573771</c:v>
                </c:pt>
                <c:pt idx="1008">
                  <c:v>19.409836065573771</c:v>
                </c:pt>
                <c:pt idx="1009">
                  <c:v>19.409836065573771</c:v>
                </c:pt>
                <c:pt idx="1010">
                  <c:v>19.409836065573771</c:v>
                </c:pt>
                <c:pt idx="1011">
                  <c:v>19.409836065573771</c:v>
                </c:pt>
                <c:pt idx="1012">
                  <c:v>19.409836065573771</c:v>
                </c:pt>
                <c:pt idx="1013">
                  <c:v>19.409836065573771</c:v>
                </c:pt>
                <c:pt idx="1014">
                  <c:v>19.409836065573771</c:v>
                </c:pt>
                <c:pt idx="1015">
                  <c:v>19.409836065573771</c:v>
                </c:pt>
                <c:pt idx="1016">
                  <c:v>19.409836065573771</c:v>
                </c:pt>
                <c:pt idx="1017">
                  <c:v>19.409836065573771</c:v>
                </c:pt>
                <c:pt idx="1018">
                  <c:v>19.409836065573771</c:v>
                </c:pt>
                <c:pt idx="1019">
                  <c:v>19.409836065573771</c:v>
                </c:pt>
                <c:pt idx="1020">
                  <c:v>19.409836065573771</c:v>
                </c:pt>
                <c:pt idx="1021">
                  <c:v>19.409836065573771</c:v>
                </c:pt>
                <c:pt idx="1022">
                  <c:v>19.409836065573771</c:v>
                </c:pt>
                <c:pt idx="1023">
                  <c:v>19.409836065573771</c:v>
                </c:pt>
                <c:pt idx="1024">
                  <c:v>19.409836065573771</c:v>
                </c:pt>
                <c:pt idx="1025">
                  <c:v>19.409836065573771</c:v>
                </c:pt>
                <c:pt idx="1026">
                  <c:v>19.409836065573771</c:v>
                </c:pt>
                <c:pt idx="1027">
                  <c:v>19.409836065573771</c:v>
                </c:pt>
                <c:pt idx="1028">
                  <c:v>19.409836065573771</c:v>
                </c:pt>
                <c:pt idx="1029">
                  <c:v>19.409836065573771</c:v>
                </c:pt>
                <c:pt idx="1030">
                  <c:v>19.409836065573771</c:v>
                </c:pt>
                <c:pt idx="1031">
                  <c:v>19.409836065573771</c:v>
                </c:pt>
                <c:pt idx="1032">
                  <c:v>19.409836065573771</c:v>
                </c:pt>
                <c:pt idx="1033">
                  <c:v>19.409836065573771</c:v>
                </c:pt>
                <c:pt idx="1034">
                  <c:v>19.409836065573771</c:v>
                </c:pt>
                <c:pt idx="1035">
                  <c:v>19.409836065573771</c:v>
                </c:pt>
                <c:pt idx="1036">
                  <c:v>19.409836065573771</c:v>
                </c:pt>
                <c:pt idx="1037">
                  <c:v>19.409836065573771</c:v>
                </c:pt>
                <c:pt idx="1038">
                  <c:v>19.409836065573771</c:v>
                </c:pt>
                <c:pt idx="1039">
                  <c:v>19.409836065573771</c:v>
                </c:pt>
                <c:pt idx="1040">
                  <c:v>19.409836065573771</c:v>
                </c:pt>
                <c:pt idx="1041">
                  <c:v>19.409836065573771</c:v>
                </c:pt>
                <c:pt idx="1042">
                  <c:v>19.409836065573771</c:v>
                </c:pt>
                <c:pt idx="1043">
                  <c:v>19.409836065573771</c:v>
                </c:pt>
                <c:pt idx="1044">
                  <c:v>19.409836065573771</c:v>
                </c:pt>
                <c:pt idx="1045">
                  <c:v>19.409836065573771</c:v>
                </c:pt>
                <c:pt idx="1046">
                  <c:v>19.409836065573771</c:v>
                </c:pt>
                <c:pt idx="1047">
                  <c:v>19.409836065573771</c:v>
                </c:pt>
                <c:pt idx="1048">
                  <c:v>19.409836065573771</c:v>
                </c:pt>
                <c:pt idx="1049">
                  <c:v>19.409836065573771</c:v>
                </c:pt>
                <c:pt idx="1050">
                  <c:v>19.409836065573771</c:v>
                </c:pt>
                <c:pt idx="1051">
                  <c:v>19.409836065573771</c:v>
                </c:pt>
                <c:pt idx="1052">
                  <c:v>19.409836065573771</c:v>
                </c:pt>
                <c:pt idx="1053">
                  <c:v>19.409836065573771</c:v>
                </c:pt>
                <c:pt idx="1054">
                  <c:v>19.409836065573771</c:v>
                </c:pt>
                <c:pt idx="1055">
                  <c:v>19.409836065573771</c:v>
                </c:pt>
                <c:pt idx="1056">
                  <c:v>19.409836065573771</c:v>
                </c:pt>
                <c:pt idx="1057">
                  <c:v>19.409836065573771</c:v>
                </c:pt>
                <c:pt idx="1058">
                  <c:v>19.409836065573771</c:v>
                </c:pt>
                <c:pt idx="1059">
                  <c:v>19.409836065573771</c:v>
                </c:pt>
                <c:pt idx="1060">
                  <c:v>19.409836065573771</c:v>
                </c:pt>
                <c:pt idx="1061">
                  <c:v>19.409836065573771</c:v>
                </c:pt>
                <c:pt idx="1062">
                  <c:v>19.409836065573771</c:v>
                </c:pt>
                <c:pt idx="1063">
                  <c:v>19.409836065573771</c:v>
                </c:pt>
                <c:pt idx="1064">
                  <c:v>19.409836065573771</c:v>
                </c:pt>
                <c:pt idx="1065">
                  <c:v>19.409836065573771</c:v>
                </c:pt>
                <c:pt idx="1066">
                  <c:v>19.409836065573771</c:v>
                </c:pt>
                <c:pt idx="1067">
                  <c:v>19.409836065573771</c:v>
                </c:pt>
                <c:pt idx="1068">
                  <c:v>19.409836065573771</c:v>
                </c:pt>
                <c:pt idx="1069">
                  <c:v>19.409836065573771</c:v>
                </c:pt>
                <c:pt idx="1070">
                  <c:v>19.409836065573771</c:v>
                </c:pt>
                <c:pt idx="1071">
                  <c:v>19.409836065573771</c:v>
                </c:pt>
                <c:pt idx="1072">
                  <c:v>19.409836065573771</c:v>
                </c:pt>
                <c:pt idx="1073">
                  <c:v>19.409836065573771</c:v>
                </c:pt>
                <c:pt idx="1074">
                  <c:v>19.409836065573771</c:v>
                </c:pt>
                <c:pt idx="1075">
                  <c:v>19.409836065573771</c:v>
                </c:pt>
                <c:pt idx="1076">
                  <c:v>19.409836065573771</c:v>
                </c:pt>
                <c:pt idx="1077">
                  <c:v>19.409836065573771</c:v>
                </c:pt>
                <c:pt idx="1078">
                  <c:v>19.409836065573771</c:v>
                </c:pt>
                <c:pt idx="1079">
                  <c:v>19.409836065573771</c:v>
                </c:pt>
                <c:pt idx="1080">
                  <c:v>19.409836065573771</c:v>
                </c:pt>
                <c:pt idx="1081">
                  <c:v>19.409836065573771</c:v>
                </c:pt>
                <c:pt idx="1082">
                  <c:v>19.409836065573771</c:v>
                </c:pt>
                <c:pt idx="1083">
                  <c:v>19.409836065573771</c:v>
                </c:pt>
                <c:pt idx="1084">
                  <c:v>19.409836065573771</c:v>
                </c:pt>
                <c:pt idx="1085">
                  <c:v>19.409836065573771</c:v>
                </c:pt>
                <c:pt idx="1086">
                  <c:v>19.409836065573771</c:v>
                </c:pt>
                <c:pt idx="1087">
                  <c:v>19.409836065573771</c:v>
                </c:pt>
                <c:pt idx="1088">
                  <c:v>19.409836065573771</c:v>
                </c:pt>
                <c:pt idx="1089">
                  <c:v>19.409836065573771</c:v>
                </c:pt>
                <c:pt idx="1090">
                  <c:v>19.409836065573771</c:v>
                </c:pt>
                <c:pt idx="1091">
                  <c:v>19.409836065573771</c:v>
                </c:pt>
                <c:pt idx="1092">
                  <c:v>19.409836065573771</c:v>
                </c:pt>
                <c:pt idx="1093">
                  <c:v>19.409836065573771</c:v>
                </c:pt>
                <c:pt idx="1094">
                  <c:v>19.409836065573771</c:v>
                </c:pt>
                <c:pt idx="1095">
                  <c:v>19.409836065573771</c:v>
                </c:pt>
                <c:pt idx="1096">
                  <c:v>19.409836065573771</c:v>
                </c:pt>
                <c:pt idx="1097">
                  <c:v>19.409836065573771</c:v>
                </c:pt>
                <c:pt idx="1098">
                  <c:v>19.409836065573771</c:v>
                </c:pt>
                <c:pt idx="1099">
                  <c:v>19.409836065573771</c:v>
                </c:pt>
                <c:pt idx="1100">
                  <c:v>19.409836065573771</c:v>
                </c:pt>
                <c:pt idx="1101">
                  <c:v>19.409836065573771</c:v>
                </c:pt>
                <c:pt idx="1102">
                  <c:v>19.409836065573771</c:v>
                </c:pt>
                <c:pt idx="1103">
                  <c:v>19.409836065573771</c:v>
                </c:pt>
                <c:pt idx="1104">
                  <c:v>19.409836065573771</c:v>
                </c:pt>
                <c:pt idx="1105">
                  <c:v>19.409836065573771</c:v>
                </c:pt>
                <c:pt idx="1106">
                  <c:v>19.409836065573771</c:v>
                </c:pt>
                <c:pt idx="1107">
                  <c:v>19.409836065573771</c:v>
                </c:pt>
                <c:pt idx="1108">
                  <c:v>19.409836065573771</c:v>
                </c:pt>
                <c:pt idx="1109">
                  <c:v>19.409836065573771</c:v>
                </c:pt>
                <c:pt idx="1110">
                  <c:v>19.409836065573771</c:v>
                </c:pt>
                <c:pt idx="1111">
                  <c:v>19.409836065573771</c:v>
                </c:pt>
                <c:pt idx="1112">
                  <c:v>19.409836065573771</c:v>
                </c:pt>
                <c:pt idx="1113">
                  <c:v>19.409836065573771</c:v>
                </c:pt>
                <c:pt idx="1114">
                  <c:v>19.409836065573771</c:v>
                </c:pt>
                <c:pt idx="1115">
                  <c:v>19.409836065573771</c:v>
                </c:pt>
                <c:pt idx="1116">
                  <c:v>19.409836065573771</c:v>
                </c:pt>
                <c:pt idx="1117">
                  <c:v>19.409836065573771</c:v>
                </c:pt>
                <c:pt idx="1118">
                  <c:v>19.409836065573771</c:v>
                </c:pt>
                <c:pt idx="1119">
                  <c:v>19.409836065573771</c:v>
                </c:pt>
                <c:pt idx="1120">
                  <c:v>19.409836065573771</c:v>
                </c:pt>
                <c:pt idx="1121">
                  <c:v>19.409836065573771</c:v>
                </c:pt>
                <c:pt idx="1122">
                  <c:v>19.409836065573771</c:v>
                </c:pt>
                <c:pt idx="1123">
                  <c:v>19.409836065573771</c:v>
                </c:pt>
                <c:pt idx="1124">
                  <c:v>19.409836065573771</c:v>
                </c:pt>
                <c:pt idx="1125">
                  <c:v>19.409836065573771</c:v>
                </c:pt>
                <c:pt idx="1126">
                  <c:v>19.409836065573771</c:v>
                </c:pt>
                <c:pt idx="1127">
                  <c:v>19.409836065573771</c:v>
                </c:pt>
                <c:pt idx="1128">
                  <c:v>19.409836065573771</c:v>
                </c:pt>
                <c:pt idx="1129">
                  <c:v>19.409836065573771</c:v>
                </c:pt>
                <c:pt idx="1130">
                  <c:v>19.409836065573771</c:v>
                </c:pt>
                <c:pt idx="1131">
                  <c:v>19.409836065573771</c:v>
                </c:pt>
                <c:pt idx="1132">
                  <c:v>19.409836065573771</c:v>
                </c:pt>
                <c:pt idx="1133">
                  <c:v>19.409836065573771</c:v>
                </c:pt>
                <c:pt idx="1134">
                  <c:v>19.409836065573771</c:v>
                </c:pt>
                <c:pt idx="1135">
                  <c:v>19.409836065573771</c:v>
                </c:pt>
                <c:pt idx="1136">
                  <c:v>19.409836065573771</c:v>
                </c:pt>
                <c:pt idx="1137">
                  <c:v>19.409836065573771</c:v>
                </c:pt>
                <c:pt idx="1138">
                  <c:v>19.409836065573771</c:v>
                </c:pt>
                <c:pt idx="1139">
                  <c:v>19.409836065573771</c:v>
                </c:pt>
                <c:pt idx="1140">
                  <c:v>19.409836065573771</c:v>
                </c:pt>
                <c:pt idx="1141">
                  <c:v>19.409836065573771</c:v>
                </c:pt>
                <c:pt idx="1142">
                  <c:v>19.409836065573771</c:v>
                </c:pt>
                <c:pt idx="1143">
                  <c:v>19.409836065573771</c:v>
                </c:pt>
                <c:pt idx="1144">
                  <c:v>19.409836065573771</c:v>
                </c:pt>
                <c:pt idx="1145">
                  <c:v>19.409836065573771</c:v>
                </c:pt>
                <c:pt idx="1146">
                  <c:v>19.409836065573771</c:v>
                </c:pt>
                <c:pt idx="1147">
                  <c:v>19.409836065573771</c:v>
                </c:pt>
                <c:pt idx="1148">
                  <c:v>19.409836065573771</c:v>
                </c:pt>
                <c:pt idx="1149">
                  <c:v>19.409836065573771</c:v>
                </c:pt>
                <c:pt idx="1150">
                  <c:v>19.409836065573771</c:v>
                </c:pt>
                <c:pt idx="1151">
                  <c:v>19.409836065573771</c:v>
                </c:pt>
                <c:pt idx="1152">
                  <c:v>19.409836065573771</c:v>
                </c:pt>
                <c:pt idx="1153">
                  <c:v>19.409836065573771</c:v>
                </c:pt>
                <c:pt idx="1154">
                  <c:v>19.409836065573771</c:v>
                </c:pt>
                <c:pt idx="1155">
                  <c:v>19.409836065573771</c:v>
                </c:pt>
                <c:pt idx="1156">
                  <c:v>19.409836065573771</c:v>
                </c:pt>
                <c:pt idx="1157">
                  <c:v>19.409836065573771</c:v>
                </c:pt>
                <c:pt idx="1158">
                  <c:v>19.409836065573771</c:v>
                </c:pt>
                <c:pt idx="1159">
                  <c:v>19.409836065573771</c:v>
                </c:pt>
                <c:pt idx="1160">
                  <c:v>19.409836065573771</c:v>
                </c:pt>
                <c:pt idx="1161">
                  <c:v>19.409836065573771</c:v>
                </c:pt>
                <c:pt idx="1162">
                  <c:v>19.409836065573771</c:v>
                </c:pt>
                <c:pt idx="1163">
                  <c:v>19.409836065573771</c:v>
                </c:pt>
                <c:pt idx="1164">
                  <c:v>19.409836065573771</c:v>
                </c:pt>
                <c:pt idx="1165">
                  <c:v>19.409836065573771</c:v>
                </c:pt>
                <c:pt idx="1166">
                  <c:v>19.409836065573771</c:v>
                </c:pt>
                <c:pt idx="1167">
                  <c:v>19.409836065573771</c:v>
                </c:pt>
                <c:pt idx="1168">
                  <c:v>19.409836065573771</c:v>
                </c:pt>
                <c:pt idx="1169">
                  <c:v>19.409836065573771</c:v>
                </c:pt>
                <c:pt idx="1170">
                  <c:v>19.409836065573771</c:v>
                </c:pt>
                <c:pt idx="1171">
                  <c:v>19.409836065573771</c:v>
                </c:pt>
                <c:pt idx="1172">
                  <c:v>19.409836065573771</c:v>
                </c:pt>
                <c:pt idx="1173">
                  <c:v>19.409836065573771</c:v>
                </c:pt>
                <c:pt idx="1174">
                  <c:v>19.409836065573771</c:v>
                </c:pt>
                <c:pt idx="1175">
                  <c:v>19.409836065573771</c:v>
                </c:pt>
                <c:pt idx="1176">
                  <c:v>19.409836065573771</c:v>
                </c:pt>
                <c:pt idx="1177">
                  <c:v>19.409836065573771</c:v>
                </c:pt>
                <c:pt idx="1178">
                  <c:v>19.409836065573771</c:v>
                </c:pt>
                <c:pt idx="1179">
                  <c:v>19.409836065573771</c:v>
                </c:pt>
                <c:pt idx="1180">
                  <c:v>19.409836065573771</c:v>
                </c:pt>
                <c:pt idx="1181">
                  <c:v>19.409836065573771</c:v>
                </c:pt>
                <c:pt idx="1182">
                  <c:v>19.409836065573771</c:v>
                </c:pt>
                <c:pt idx="1183">
                  <c:v>19.409836065573771</c:v>
                </c:pt>
                <c:pt idx="1184">
                  <c:v>19.409836065573771</c:v>
                </c:pt>
                <c:pt idx="1185">
                  <c:v>19.409836065573771</c:v>
                </c:pt>
                <c:pt idx="1186">
                  <c:v>19.409836065573771</c:v>
                </c:pt>
                <c:pt idx="1187">
                  <c:v>19.409836065573771</c:v>
                </c:pt>
                <c:pt idx="1188">
                  <c:v>19.409836065573771</c:v>
                </c:pt>
                <c:pt idx="1189">
                  <c:v>19.409836065573771</c:v>
                </c:pt>
                <c:pt idx="1190">
                  <c:v>19.409836065573771</c:v>
                </c:pt>
                <c:pt idx="1191">
                  <c:v>19.409836065573771</c:v>
                </c:pt>
                <c:pt idx="1192">
                  <c:v>19.409836065573771</c:v>
                </c:pt>
                <c:pt idx="1193">
                  <c:v>19.409836065573771</c:v>
                </c:pt>
                <c:pt idx="1194">
                  <c:v>19.409836065573771</c:v>
                </c:pt>
                <c:pt idx="1195">
                  <c:v>19.409836065573771</c:v>
                </c:pt>
                <c:pt idx="1196">
                  <c:v>19.409836065573771</c:v>
                </c:pt>
                <c:pt idx="1197">
                  <c:v>19.409836065573771</c:v>
                </c:pt>
                <c:pt idx="1198">
                  <c:v>19.409836065573771</c:v>
                </c:pt>
                <c:pt idx="1199">
                  <c:v>19.409836065573771</c:v>
                </c:pt>
                <c:pt idx="1200">
                  <c:v>19.409836065573771</c:v>
                </c:pt>
                <c:pt idx="1201">
                  <c:v>19.409836065573771</c:v>
                </c:pt>
                <c:pt idx="1202">
                  <c:v>19.409836065573771</c:v>
                </c:pt>
                <c:pt idx="1203">
                  <c:v>19.409836065573771</c:v>
                </c:pt>
                <c:pt idx="1204">
                  <c:v>19.409836065573771</c:v>
                </c:pt>
                <c:pt idx="1205">
                  <c:v>19.409836065573771</c:v>
                </c:pt>
                <c:pt idx="1206">
                  <c:v>19.409836065573771</c:v>
                </c:pt>
                <c:pt idx="1207">
                  <c:v>19.409836065573771</c:v>
                </c:pt>
                <c:pt idx="1208">
                  <c:v>19.409836065573771</c:v>
                </c:pt>
                <c:pt idx="1209">
                  <c:v>19.409836065573771</c:v>
                </c:pt>
                <c:pt idx="1210">
                  <c:v>19.409836065573771</c:v>
                </c:pt>
                <c:pt idx="1211">
                  <c:v>19.409836065573771</c:v>
                </c:pt>
                <c:pt idx="1212">
                  <c:v>19.409836065573771</c:v>
                </c:pt>
                <c:pt idx="1213">
                  <c:v>19.409836065573771</c:v>
                </c:pt>
                <c:pt idx="1214">
                  <c:v>19.409836065573771</c:v>
                </c:pt>
                <c:pt idx="1215">
                  <c:v>19.409836065573771</c:v>
                </c:pt>
                <c:pt idx="1216">
                  <c:v>19.409836065573771</c:v>
                </c:pt>
                <c:pt idx="1217">
                  <c:v>19.409836065573771</c:v>
                </c:pt>
                <c:pt idx="1218">
                  <c:v>19.409836065573771</c:v>
                </c:pt>
                <c:pt idx="1219">
                  <c:v>19.409836065573771</c:v>
                </c:pt>
                <c:pt idx="1220">
                  <c:v>19.409836065573771</c:v>
                </c:pt>
                <c:pt idx="1221">
                  <c:v>19.409836065573771</c:v>
                </c:pt>
                <c:pt idx="1222">
                  <c:v>19.409836065573771</c:v>
                </c:pt>
                <c:pt idx="1223">
                  <c:v>19.409836065573771</c:v>
                </c:pt>
                <c:pt idx="1224">
                  <c:v>19.409836065573771</c:v>
                </c:pt>
                <c:pt idx="1225">
                  <c:v>19.409836065573771</c:v>
                </c:pt>
                <c:pt idx="1226">
                  <c:v>19.409836065573771</c:v>
                </c:pt>
                <c:pt idx="1227">
                  <c:v>19.409836065573771</c:v>
                </c:pt>
                <c:pt idx="1228">
                  <c:v>19.409836065573771</c:v>
                </c:pt>
                <c:pt idx="1229">
                  <c:v>19.409836065573771</c:v>
                </c:pt>
                <c:pt idx="1230">
                  <c:v>19.409836065573771</c:v>
                </c:pt>
                <c:pt idx="1231">
                  <c:v>19.409836065573771</c:v>
                </c:pt>
                <c:pt idx="1232">
                  <c:v>19.409836065573771</c:v>
                </c:pt>
                <c:pt idx="1233">
                  <c:v>19.409836065573771</c:v>
                </c:pt>
                <c:pt idx="1234">
                  <c:v>19.409836065573771</c:v>
                </c:pt>
                <c:pt idx="1235">
                  <c:v>19.409836065573771</c:v>
                </c:pt>
                <c:pt idx="1236">
                  <c:v>19.409836065573771</c:v>
                </c:pt>
                <c:pt idx="1237">
                  <c:v>19.409836065573771</c:v>
                </c:pt>
                <c:pt idx="1238">
                  <c:v>19.409836065573771</c:v>
                </c:pt>
                <c:pt idx="1239">
                  <c:v>19.409836065573771</c:v>
                </c:pt>
                <c:pt idx="1240">
                  <c:v>19.409836065573771</c:v>
                </c:pt>
                <c:pt idx="1241">
                  <c:v>19.409836065573771</c:v>
                </c:pt>
                <c:pt idx="1242">
                  <c:v>19.409836065573771</c:v>
                </c:pt>
                <c:pt idx="1243">
                  <c:v>19.409836065573771</c:v>
                </c:pt>
                <c:pt idx="1244">
                  <c:v>19.409836065573771</c:v>
                </c:pt>
                <c:pt idx="1245">
                  <c:v>19.409836065573771</c:v>
                </c:pt>
                <c:pt idx="1246">
                  <c:v>19.409836065573771</c:v>
                </c:pt>
                <c:pt idx="1247">
                  <c:v>19.409836065573771</c:v>
                </c:pt>
                <c:pt idx="1248">
                  <c:v>19.409836065573771</c:v>
                </c:pt>
                <c:pt idx="1249">
                  <c:v>19.409836065573771</c:v>
                </c:pt>
                <c:pt idx="1250">
                  <c:v>19.409836065573771</c:v>
                </c:pt>
                <c:pt idx="1251">
                  <c:v>19.409836065573771</c:v>
                </c:pt>
                <c:pt idx="1252">
                  <c:v>19.409836065573771</c:v>
                </c:pt>
                <c:pt idx="1253">
                  <c:v>19.409836065573771</c:v>
                </c:pt>
                <c:pt idx="1254">
                  <c:v>19.409836065573771</c:v>
                </c:pt>
                <c:pt idx="1255">
                  <c:v>19.409836065573771</c:v>
                </c:pt>
                <c:pt idx="1256">
                  <c:v>19.409836065573771</c:v>
                </c:pt>
                <c:pt idx="1257">
                  <c:v>19.409836065573771</c:v>
                </c:pt>
                <c:pt idx="1258">
                  <c:v>19.409836065573771</c:v>
                </c:pt>
                <c:pt idx="1259">
                  <c:v>19.409836065573771</c:v>
                </c:pt>
                <c:pt idx="1260">
                  <c:v>19.409836065573771</c:v>
                </c:pt>
                <c:pt idx="1261">
                  <c:v>19.409836065573771</c:v>
                </c:pt>
                <c:pt idx="1262">
                  <c:v>19.409836065573771</c:v>
                </c:pt>
                <c:pt idx="1263">
                  <c:v>19.409836065573771</c:v>
                </c:pt>
                <c:pt idx="1264">
                  <c:v>19.409836065573771</c:v>
                </c:pt>
                <c:pt idx="1265">
                  <c:v>19.409836065573771</c:v>
                </c:pt>
                <c:pt idx="1266">
                  <c:v>19.409836065573771</c:v>
                </c:pt>
                <c:pt idx="1267">
                  <c:v>19.409836065573771</c:v>
                </c:pt>
                <c:pt idx="1268">
                  <c:v>19.409836065573771</c:v>
                </c:pt>
                <c:pt idx="1269">
                  <c:v>19.409836065573771</c:v>
                </c:pt>
                <c:pt idx="1270">
                  <c:v>19.409836065573771</c:v>
                </c:pt>
                <c:pt idx="1271">
                  <c:v>19.409836065573771</c:v>
                </c:pt>
                <c:pt idx="1272">
                  <c:v>19.409836065573771</c:v>
                </c:pt>
                <c:pt idx="1273">
                  <c:v>19.409836065573771</c:v>
                </c:pt>
                <c:pt idx="1274">
                  <c:v>19.409836065573771</c:v>
                </c:pt>
                <c:pt idx="1275">
                  <c:v>19.409836065573771</c:v>
                </c:pt>
                <c:pt idx="1276">
                  <c:v>19.409836065573771</c:v>
                </c:pt>
                <c:pt idx="1277">
                  <c:v>19.409836065573771</c:v>
                </c:pt>
                <c:pt idx="1278">
                  <c:v>19.409836065573771</c:v>
                </c:pt>
                <c:pt idx="1279">
                  <c:v>19.409836065573771</c:v>
                </c:pt>
                <c:pt idx="1280">
                  <c:v>19.409836065573771</c:v>
                </c:pt>
                <c:pt idx="1281">
                  <c:v>19.409836065573771</c:v>
                </c:pt>
                <c:pt idx="1282">
                  <c:v>19.409836065573771</c:v>
                </c:pt>
                <c:pt idx="1283">
                  <c:v>19.409836065573771</c:v>
                </c:pt>
                <c:pt idx="1284">
                  <c:v>19.409836065573771</c:v>
                </c:pt>
                <c:pt idx="1285">
                  <c:v>19.409836065573771</c:v>
                </c:pt>
                <c:pt idx="1286">
                  <c:v>19.409836065573771</c:v>
                </c:pt>
                <c:pt idx="1287">
                  <c:v>19.409836065573771</c:v>
                </c:pt>
                <c:pt idx="1288">
                  <c:v>19.409836065573771</c:v>
                </c:pt>
                <c:pt idx="1289">
                  <c:v>19.409836065573771</c:v>
                </c:pt>
                <c:pt idx="1290">
                  <c:v>19.409836065573771</c:v>
                </c:pt>
                <c:pt idx="1291">
                  <c:v>19.409836065573771</c:v>
                </c:pt>
                <c:pt idx="1292">
                  <c:v>19.409836065573771</c:v>
                </c:pt>
                <c:pt idx="1293">
                  <c:v>19.409836065573771</c:v>
                </c:pt>
                <c:pt idx="1294">
                  <c:v>19.409836065573771</c:v>
                </c:pt>
                <c:pt idx="1295">
                  <c:v>19.409836065573771</c:v>
                </c:pt>
                <c:pt idx="1296">
                  <c:v>19.409836065573771</c:v>
                </c:pt>
                <c:pt idx="1297">
                  <c:v>19.409836065573771</c:v>
                </c:pt>
                <c:pt idx="1298">
                  <c:v>19.409836065573771</c:v>
                </c:pt>
                <c:pt idx="1299">
                  <c:v>19.409836065573771</c:v>
                </c:pt>
                <c:pt idx="1300">
                  <c:v>19.409836065573771</c:v>
                </c:pt>
                <c:pt idx="1301">
                  <c:v>19.409836065573771</c:v>
                </c:pt>
                <c:pt idx="1302">
                  <c:v>19.409836065573771</c:v>
                </c:pt>
                <c:pt idx="1303">
                  <c:v>19.409836065573771</c:v>
                </c:pt>
                <c:pt idx="1304">
                  <c:v>19.409836065573771</c:v>
                </c:pt>
                <c:pt idx="1305">
                  <c:v>19.409836065573771</c:v>
                </c:pt>
                <c:pt idx="1306">
                  <c:v>19.409836065573771</c:v>
                </c:pt>
                <c:pt idx="1307">
                  <c:v>19.409836065573771</c:v>
                </c:pt>
                <c:pt idx="1308">
                  <c:v>19.409836065573771</c:v>
                </c:pt>
                <c:pt idx="1309">
                  <c:v>19.409836065573771</c:v>
                </c:pt>
                <c:pt idx="1310">
                  <c:v>19.409836065573771</c:v>
                </c:pt>
                <c:pt idx="1311">
                  <c:v>19.409836065573771</c:v>
                </c:pt>
                <c:pt idx="1312">
                  <c:v>19.409836065573771</c:v>
                </c:pt>
                <c:pt idx="1313">
                  <c:v>19.409836065573771</c:v>
                </c:pt>
                <c:pt idx="1314">
                  <c:v>19.409836065573771</c:v>
                </c:pt>
                <c:pt idx="1315">
                  <c:v>19.409836065573771</c:v>
                </c:pt>
                <c:pt idx="1316">
                  <c:v>19.409836065573771</c:v>
                </c:pt>
                <c:pt idx="1317">
                  <c:v>19.409836065573771</c:v>
                </c:pt>
                <c:pt idx="1318">
                  <c:v>19.409836065573771</c:v>
                </c:pt>
                <c:pt idx="1319">
                  <c:v>19.409836065573771</c:v>
                </c:pt>
                <c:pt idx="1320">
                  <c:v>19.409836065573771</c:v>
                </c:pt>
                <c:pt idx="1321">
                  <c:v>19.409836065573771</c:v>
                </c:pt>
                <c:pt idx="1322">
                  <c:v>19.409836065573771</c:v>
                </c:pt>
                <c:pt idx="1323">
                  <c:v>19.409836065573771</c:v>
                </c:pt>
                <c:pt idx="1324">
                  <c:v>19.409836065573771</c:v>
                </c:pt>
                <c:pt idx="1325">
                  <c:v>19.409836065573771</c:v>
                </c:pt>
                <c:pt idx="1326">
                  <c:v>19.409836065573771</c:v>
                </c:pt>
                <c:pt idx="1327">
                  <c:v>19.409836065573771</c:v>
                </c:pt>
                <c:pt idx="1328">
                  <c:v>19.409836065573771</c:v>
                </c:pt>
                <c:pt idx="1329">
                  <c:v>19.409836065573771</c:v>
                </c:pt>
                <c:pt idx="1330">
                  <c:v>19.409836065573771</c:v>
                </c:pt>
                <c:pt idx="1331">
                  <c:v>19.409836065573771</c:v>
                </c:pt>
                <c:pt idx="1332">
                  <c:v>19.409836065573771</c:v>
                </c:pt>
                <c:pt idx="1333">
                  <c:v>19.409836065573771</c:v>
                </c:pt>
                <c:pt idx="1334">
                  <c:v>19.409836065573771</c:v>
                </c:pt>
                <c:pt idx="1335">
                  <c:v>19.409836065573771</c:v>
                </c:pt>
                <c:pt idx="1336">
                  <c:v>19.409836065573771</c:v>
                </c:pt>
                <c:pt idx="1337">
                  <c:v>19.409836065573771</c:v>
                </c:pt>
                <c:pt idx="1338">
                  <c:v>19.409836065573771</c:v>
                </c:pt>
                <c:pt idx="1339">
                  <c:v>19.409836065573771</c:v>
                </c:pt>
                <c:pt idx="1340">
                  <c:v>19.409836065573771</c:v>
                </c:pt>
                <c:pt idx="1341">
                  <c:v>19.409836065573771</c:v>
                </c:pt>
                <c:pt idx="1342">
                  <c:v>19.409836065573771</c:v>
                </c:pt>
                <c:pt idx="1343">
                  <c:v>19.409836065573771</c:v>
                </c:pt>
                <c:pt idx="1344">
                  <c:v>19.409836065573771</c:v>
                </c:pt>
                <c:pt idx="1345">
                  <c:v>19.409836065573771</c:v>
                </c:pt>
                <c:pt idx="1346">
                  <c:v>19.409836065573771</c:v>
                </c:pt>
                <c:pt idx="1347">
                  <c:v>19.409836065573771</c:v>
                </c:pt>
                <c:pt idx="1348">
                  <c:v>19.409836065573771</c:v>
                </c:pt>
                <c:pt idx="1349">
                  <c:v>19.409836065573771</c:v>
                </c:pt>
                <c:pt idx="1350">
                  <c:v>19.409836065573771</c:v>
                </c:pt>
                <c:pt idx="1351">
                  <c:v>19.409836065573771</c:v>
                </c:pt>
                <c:pt idx="1352">
                  <c:v>19.409836065573771</c:v>
                </c:pt>
                <c:pt idx="1353">
                  <c:v>19.409836065573771</c:v>
                </c:pt>
                <c:pt idx="1354">
                  <c:v>19.409836065573771</c:v>
                </c:pt>
                <c:pt idx="1355">
                  <c:v>19.409836065573771</c:v>
                </c:pt>
                <c:pt idx="1356">
                  <c:v>19.409836065573771</c:v>
                </c:pt>
                <c:pt idx="1357">
                  <c:v>19.409836065573771</c:v>
                </c:pt>
                <c:pt idx="1358">
                  <c:v>19.409836065573771</c:v>
                </c:pt>
                <c:pt idx="1359">
                  <c:v>19.409836065573771</c:v>
                </c:pt>
                <c:pt idx="1360">
                  <c:v>19.409836065573771</c:v>
                </c:pt>
                <c:pt idx="1361">
                  <c:v>19.409836065573771</c:v>
                </c:pt>
                <c:pt idx="1362">
                  <c:v>19.409836065573771</c:v>
                </c:pt>
                <c:pt idx="1363">
                  <c:v>19.409836065573771</c:v>
                </c:pt>
                <c:pt idx="1364">
                  <c:v>19.409836065573771</c:v>
                </c:pt>
                <c:pt idx="1365">
                  <c:v>19.409836065573771</c:v>
                </c:pt>
                <c:pt idx="1366">
                  <c:v>19.409836065573771</c:v>
                </c:pt>
                <c:pt idx="1367">
                  <c:v>19.409836065573771</c:v>
                </c:pt>
                <c:pt idx="1368">
                  <c:v>19.409836065573771</c:v>
                </c:pt>
                <c:pt idx="1369">
                  <c:v>19.409836065573771</c:v>
                </c:pt>
                <c:pt idx="1370">
                  <c:v>19.409836065573771</c:v>
                </c:pt>
                <c:pt idx="1371">
                  <c:v>19.409836065573771</c:v>
                </c:pt>
                <c:pt idx="1372">
                  <c:v>19.409836065573771</c:v>
                </c:pt>
                <c:pt idx="1373">
                  <c:v>19.409836065573771</c:v>
                </c:pt>
                <c:pt idx="1374">
                  <c:v>19.409836065573771</c:v>
                </c:pt>
                <c:pt idx="1375">
                  <c:v>19.409836065573771</c:v>
                </c:pt>
                <c:pt idx="1376">
                  <c:v>19.409836065573771</c:v>
                </c:pt>
                <c:pt idx="1377">
                  <c:v>19.409836065573771</c:v>
                </c:pt>
                <c:pt idx="1378">
                  <c:v>19.409836065573771</c:v>
                </c:pt>
                <c:pt idx="1379">
                  <c:v>19.409836065573771</c:v>
                </c:pt>
                <c:pt idx="1380">
                  <c:v>19.409836065573771</c:v>
                </c:pt>
                <c:pt idx="1381">
                  <c:v>19.409836065573771</c:v>
                </c:pt>
                <c:pt idx="1382">
                  <c:v>19.409836065573771</c:v>
                </c:pt>
                <c:pt idx="1383">
                  <c:v>19.409836065573771</c:v>
                </c:pt>
                <c:pt idx="1384">
                  <c:v>19.409836065573771</c:v>
                </c:pt>
                <c:pt idx="1385">
                  <c:v>19.409836065573771</c:v>
                </c:pt>
                <c:pt idx="1386">
                  <c:v>19.409836065573771</c:v>
                </c:pt>
                <c:pt idx="1387">
                  <c:v>19.409836065573771</c:v>
                </c:pt>
                <c:pt idx="1388">
                  <c:v>19.409836065573771</c:v>
                </c:pt>
                <c:pt idx="1389">
                  <c:v>19.409836065573771</c:v>
                </c:pt>
                <c:pt idx="1390">
                  <c:v>19.409836065573771</c:v>
                </c:pt>
                <c:pt idx="1391">
                  <c:v>19.409836065573771</c:v>
                </c:pt>
                <c:pt idx="1392">
                  <c:v>19.409836065573771</c:v>
                </c:pt>
                <c:pt idx="1393">
                  <c:v>19.409836065573771</c:v>
                </c:pt>
                <c:pt idx="1394">
                  <c:v>19.409836065573771</c:v>
                </c:pt>
                <c:pt idx="1395">
                  <c:v>19.409836065573771</c:v>
                </c:pt>
                <c:pt idx="1396">
                  <c:v>19.409836065573771</c:v>
                </c:pt>
                <c:pt idx="1397">
                  <c:v>19.409836065573771</c:v>
                </c:pt>
                <c:pt idx="1398">
                  <c:v>19.409836065573771</c:v>
                </c:pt>
                <c:pt idx="1399">
                  <c:v>19.409836065573771</c:v>
                </c:pt>
                <c:pt idx="1400">
                  <c:v>19.409836065573771</c:v>
                </c:pt>
                <c:pt idx="1401">
                  <c:v>19.409836065573771</c:v>
                </c:pt>
                <c:pt idx="1402">
                  <c:v>19.409836065573771</c:v>
                </c:pt>
                <c:pt idx="1403">
                  <c:v>19.409836065573771</c:v>
                </c:pt>
                <c:pt idx="1404">
                  <c:v>19.409836065573771</c:v>
                </c:pt>
                <c:pt idx="1405">
                  <c:v>19.409836065573771</c:v>
                </c:pt>
                <c:pt idx="1406">
                  <c:v>19.409836065573771</c:v>
                </c:pt>
                <c:pt idx="1407">
                  <c:v>19.409836065573771</c:v>
                </c:pt>
                <c:pt idx="1408">
                  <c:v>19.409836065573771</c:v>
                </c:pt>
                <c:pt idx="1409">
                  <c:v>19.409836065573771</c:v>
                </c:pt>
                <c:pt idx="1410">
                  <c:v>19.409836065573771</c:v>
                </c:pt>
                <c:pt idx="1411">
                  <c:v>19.409836065573771</c:v>
                </c:pt>
                <c:pt idx="1412">
                  <c:v>19.409836065573771</c:v>
                </c:pt>
                <c:pt idx="1413">
                  <c:v>19.409836065573771</c:v>
                </c:pt>
                <c:pt idx="1414">
                  <c:v>19.409836065573771</c:v>
                </c:pt>
                <c:pt idx="1415">
                  <c:v>19.409836065573771</c:v>
                </c:pt>
                <c:pt idx="1416">
                  <c:v>19.409836065573771</c:v>
                </c:pt>
                <c:pt idx="1417">
                  <c:v>19.409836065573771</c:v>
                </c:pt>
                <c:pt idx="1418">
                  <c:v>19.409836065573771</c:v>
                </c:pt>
                <c:pt idx="1419">
                  <c:v>19.409836065573771</c:v>
                </c:pt>
                <c:pt idx="1420">
                  <c:v>19.409836065573771</c:v>
                </c:pt>
                <c:pt idx="1421">
                  <c:v>19.409836065573771</c:v>
                </c:pt>
                <c:pt idx="1422">
                  <c:v>19.409836065573771</c:v>
                </c:pt>
                <c:pt idx="1423">
                  <c:v>19.409836065573771</c:v>
                </c:pt>
                <c:pt idx="1424">
                  <c:v>19.409836065573771</c:v>
                </c:pt>
                <c:pt idx="1425">
                  <c:v>19.409836065573771</c:v>
                </c:pt>
                <c:pt idx="1426">
                  <c:v>19.409836065573771</c:v>
                </c:pt>
                <c:pt idx="1427">
                  <c:v>19.409836065573771</c:v>
                </c:pt>
                <c:pt idx="1428">
                  <c:v>19.409836065573771</c:v>
                </c:pt>
                <c:pt idx="1429">
                  <c:v>19.409836065573771</c:v>
                </c:pt>
                <c:pt idx="1430">
                  <c:v>19.409836065573771</c:v>
                </c:pt>
                <c:pt idx="1431">
                  <c:v>19.409836065573771</c:v>
                </c:pt>
                <c:pt idx="1432">
                  <c:v>19.409836065573771</c:v>
                </c:pt>
                <c:pt idx="1433">
                  <c:v>19.409836065573771</c:v>
                </c:pt>
                <c:pt idx="1434">
                  <c:v>19.409836065573771</c:v>
                </c:pt>
                <c:pt idx="1435">
                  <c:v>19.409836065573771</c:v>
                </c:pt>
                <c:pt idx="1436">
                  <c:v>19.409836065573771</c:v>
                </c:pt>
                <c:pt idx="1437">
                  <c:v>19.409836065573771</c:v>
                </c:pt>
                <c:pt idx="1438">
                  <c:v>19.409836065573771</c:v>
                </c:pt>
                <c:pt idx="1439">
                  <c:v>19.409836065573771</c:v>
                </c:pt>
                <c:pt idx="1440">
                  <c:v>19.409836065573771</c:v>
                </c:pt>
                <c:pt idx="1441">
                  <c:v>19.409836065573771</c:v>
                </c:pt>
                <c:pt idx="1442">
                  <c:v>19.409836065573771</c:v>
                </c:pt>
                <c:pt idx="1443">
                  <c:v>19.409836065573771</c:v>
                </c:pt>
                <c:pt idx="1444">
                  <c:v>19.409836065573771</c:v>
                </c:pt>
                <c:pt idx="1445">
                  <c:v>19.409836065573771</c:v>
                </c:pt>
                <c:pt idx="1446">
                  <c:v>19.409836065573771</c:v>
                </c:pt>
                <c:pt idx="1447">
                  <c:v>19.409836065573771</c:v>
                </c:pt>
                <c:pt idx="1448">
                  <c:v>19.409836065573771</c:v>
                </c:pt>
                <c:pt idx="1449">
                  <c:v>19.409836065573771</c:v>
                </c:pt>
                <c:pt idx="1450">
                  <c:v>19.409836065573771</c:v>
                </c:pt>
                <c:pt idx="1451">
                  <c:v>19.409836065573771</c:v>
                </c:pt>
                <c:pt idx="1452">
                  <c:v>19.409836065573771</c:v>
                </c:pt>
                <c:pt idx="1453">
                  <c:v>19.409836065573771</c:v>
                </c:pt>
                <c:pt idx="1454">
                  <c:v>19.409836065573771</c:v>
                </c:pt>
                <c:pt idx="1455">
                  <c:v>19.409836065573771</c:v>
                </c:pt>
                <c:pt idx="1456">
                  <c:v>19.409836065573771</c:v>
                </c:pt>
                <c:pt idx="1457">
                  <c:v>19.409836065573771</c:v>
                </c:pt>
                <c:pt idx="1458">
                  <c:v>19.409836065573771</c:v>
                </c:pt>
                <c:pt idx="1459">
                  <c:v>19.409836065573771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3-438B-997C-C53AB1DB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537999"/>
        <c:axId val="1905546639"/>
      </c:scatterChart>
      <c:valAx>
        <c:axId val="190553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5546639"/>
        <c:crosses val="autoZero"/>
        <c:crossBetween val="midCat"/>
      </c:valAx>
      <c:valAx>
        <c:axId val="190554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90553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'[1]ANALISSI DEMANDA PRONOSTICO'!$L$4</c:f>
              <c:strCache>
                <c:ptCount val="1"/>
                <c:pt idx="0">
                  <c:v>ENTWORPE VERDADERO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'[1]ANALISSI DEMANDA PRONOSTICO'!$B$5:$B$1464</c:f>
              <c:strCache>
                <c:ptCount val="14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</c:strCache>
            </c:strRef>
          </c:xVal>
          <c:yVal>
            <c:numRef>
              <c:f>'[1]ANALISSI DEMANDA PRONOSTICO'!$L$5:$L$1464</c:f>
              <c:numCache>
                <c:formatCode>General</c:formatCode>
                <c:ptCount val="14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16.438356164383563</c:v>
                </c:pt>
                <c:pt idx="731">
                  <c:v>16.438356164383563</c:v>
                </c:pt>
                <c:pt idx="732">
                  <c:v>16.438356164383563</c:v>
                </c:pt>
                <c:pt idx="733">
                  <c:v>16.438356164383563</c:v>
                </c:pt>
                <c:pt idx="734">
                  <c:v>16.438356164383563</c:v>
                </c:pt>
                <c:pt idx="735">
                  <c:v>16.438356164383563</c:v>
                </c:pt>
                <c:pt idx="736">
                  <c:v>16.438356164383563</c:v>
                </c:pt>
                <c:pt idx="737">
                  <c:v>16.438356164383563</c:v>
                </c:pt>
                <c:pt idx="738">
                  <c:v>16.438356164383563</c:v>
                </c:pt>
                <c:pt idx="739">
                  <c:v>16.438356164383563</c:v>
                </c:pt>
                <c:pt idx="740">
                  <c:v>16.438356164383563</c:v>
                </c:pt>
                <c:pt idx="741">
                  <c:v>16.438356164383563</c:v>
                </c:pt>
                <c:pt idx="742">
                  <c:v>16.438356164383563</c:v>
                </c:pt>
                <c:pt idx="743">
                  <c:v>16.438356164383563</c:v>
                </c:pt>
                <c:pt idx="744">
                  <c:v>16.438356164383563</c:v>
                </c:pt>
                <c:pt idx="745">
                  <c:v>16.438356164383563</c:v>
                </c:pt>
                <c:pt idx="746">
                  <c:v>16.438356164383563</c:v>
                </c:pt>
                <c:pt idx="747">
                  <c:v>16.438356164383563</c:v>
                </c:pt>
                <c:pt idx="748">
                  <c:v>16.438356164383563</c:v>
                </c:pt>
                <c:pt idx="749">
                  <c:v>16.438356164383563</c:v>
                </c:pt>
                <c:pt idx="750">
                  <c:v>16.438356164383563</c:v>
                </c:pt>
                <c:pt idx="751">
                  <c:v>16.438356164383563</c:v>
                </c:pt>
                <c:pt idx="752">
                  <c:v>16.438356164383563</c:v>
                </c:pt>
                <c:pt idx="753">
                  <c:v>16.438356164383563</c:v>
                </c:pt>
                <c:pt idx="754">
                  <c:v>16.438356164383563</c:v>
                </c:pt>
                <c:pt idx="755">
                  <c:v>16.438356164383563</c:v>
                </c:pt>
                <c:pt idx="756">
                  <c:v>16.438356164383563</c:v>
                </c:pt>
                <c:pt idx="757">
                  <c:v>16.438356164383563</c:v>
                </c:pt>
                <c:pt idx="758">
                  <c:v>16.438356164383563</c:v>
                </c:pt>
                <c:pt idx="759">
                  <c:v>16.438356164383563</c:v>
                </c:pt>
                <c:pt idx="760">
                  <c:v>16.438356164383563</c:v>
                </c:pt>
                <c:pt idx="761">
                  <c:v>16.438356164383563</c:v>
                </c:pt>
                <c:pt idx="762">
                  <c:v>16.438356164383563</c:v>
                </c:pt>
                <c:pt idx="763">
                  <c:v>16.438356164383563</c:v>
                </c:pt>
                <c:pt idx="764">
                  <c:v>16.438356164383563</c:v>
                </c:pt>
                <c:pt idx="765">
                  <c:v>16.438356164383563</c:v>
                </c:pt>
                <c:pt idx="766">
                  <c:v>16.438356164383563</c:v>
                </c:pt>
                <c:pt idx="767">
                  <c:v>16.438356164383563</c:v>
                </c:pt>
                <c:pt idx="768">
                  <c:v>16.438356164383563</c:v>
                </c:pt>
                <c:pt idx="769">
                  <c:v>16.438356164383563</c:v>
                </c:pt>
                <c:pt idx="770">
                  <c:v>16.438356164383563</c:v>
                </c:pt>
                <c:pt idx="771">
                  <c:v>16.438356164383563</c:v>
                </c:pt>
                <c:pt idx="772">
                  <c:v>16.438356164383563</c:v>
                </c:pt>
                <c:pt idx="773">
                  <c:v>16.438356164383563</c:v>
                </c:pt>
                <c:pt idx="774">
                  <c:v>16.438356164383563</c:v>
                </c:pt>
                <c:pt idx="775">
                  <c:v>16.438356164383563</c:v>
                </c:pt>
                <c:pt idx="776">
                  <c:v>16.438356164383563</c:v>
                </c:pt>
                <c:pt idx="777">
                  <c:v>16.438356164383563</c:v>
                </c:pt>
                <c:pt idx="778">
                  <c:v>16.438356164383563</c:v>
                </c:pt>
                <c:pt idx="779">
                  <c:v>16.438356164383563</c:v>
                </c:pt>
                <c:pt idx="780">
                  <c:v>16.438356164383563</c:v>
                </c:pt>
                <c:pt idx="781">
                  <c:v>16.438356164383563</c:v>
                </c:pt>
                <c:pt idx="782">
                  <c:v>16.438356164383563</c:v>
                </c:pt>
                <c:pt idx="783">
                  <c:v>16.438356164383563</c:v>
                </c:pt>
                <c:pt idx="784">
                  <c:v>16.438356164383563</c:v>
                </c:pt>
                <c:pt idx="785">
                  <c:v>16.438356164383563</c:v>
                </c:pt>
                <c:pt idx="786">
                  <c:v>16.438356164383563</c:v>
                </c:pt>
                <c:pt idx="787">
                  <c:v>16.438356164383563</c:v>
                </c:pt>
                <c:pt idx="788">
                  <c:v>16.438356164383563</c:v>
                </c:pt>
                <c:pt idx="789">
                  <c:v>16.438356164383563</c:v>
                </c:pt>
                <c:pt idx="790">
                  <c:v>16.438356164383563</c:v>
                </c:pt>
                <c:pt idx="791">
                  <c:v>16.438356164383563</c:v>
                </c:pt>
                <c:pt idx="792">
                  <c:v>16.438356164383563</c:v>
                </c:pt>
                <c:pt idx="793">
                  <c:v>16.438356164383563</c:v>
                </c:pt>
                <c:pt idx="794">
                  <c:v>16.438356164383563</c:v>
                </c:pt>
                <c:pt idx="795">
                  <c:v>16.438356164383563</c:v>
                </c:pt>
                <c:pt idx="796">
                  <c:v>16.438356164383563</c:v>
                </c:pt>
                <c:pt idx="797">
                  <c:v>16.438356164383563</c:v>
                </c:pt>
                <c:pt idx="798">
                  <c:v>16.438356164383563</c:v>
                </c:pt>
                <c:pt idx="799">
                  <c:v>16.438356164383563</c:v>
                </c:pt>
                <c:pt idx="800">
                  <c:v>16.438356164383563</c:v>
                </c:pt>
                <c:pt idx="801">
                  <c:v>16.438356164383563</c:v>
                </c:pt>
                <c:pt idx="802">
                  <c:v>16.438356164383563</c:v>
                </c:pt>
                <c:pt idx="803">
                  <c:v>16.438356164383563</c:v>
                </c:pt>
                <c:pt idx="804">
                  <c:v>16.438356164383563</c:v>
                </c:pt>
                <c:pt idx="805">
                  <c:v>16.438356164383563</c:v>
                </c:pt>
                <c:pt idx="806">
                  <c:v>16.438356164383563</c:v>
                </c:pt>
                <c:pt idx="807">
                  <c:v>16.438356164383563</c:v>
                </c:pt>
                <c:pt idx="808">
                  <c:v>16.438356164383563</c:v>
                </c:pt>
                <c:pt idx="809">
                  <c:v>16.438356164383563</c:v>
                </c:pt>
                <c:pt idx="810">
                  <c:v>16.438356164383563</c:v>
                </c:pt>
                <c:pt idx="811">
                  <c:v>16.438356164383563</c:v>
                </c:pt>
                <c:pt idx="812">
                  <c:v>16.438356164383563</c:v>
                </c:pt>
                <c:pt idx="813">
                  <c:v>16.438356164383563</c:v>
                </c:pt>
                <c:pt idx="814">
                  <c:v>16.438356164383563</c:v>
                </c:pt>
                <c:pt idx="815">
                  <c:v>16.438356164383563</c:v>
                </c:pt>
                <c:pt idx="816">
                  <c:v>16.438356164383563</c:v>
                </c:pt>
                <c:pt idx="817">
                  <c:v>16.438356164383563</c:v>
                </c:pt>
                <c:pt idx="818">
                  <c:v>16.438356164383563</c:v>
                </c:pt>
                <c:pt idx="819">
                  <c:v>16.438356164383563</c:v>
                </c:pt>
                <c:pt idx="820">
                  <c:v>16.438356164383563</c:v>
                </c:pt>
                <c:pt idx="821">
                  <c:v>16.438356164383563</c:v>
                </c:pt>
                <c:pt idx="822">
                  <c:v>16.438356164383563</c:v>
                </c:pt>
                <c:pt idx="823">
                  <c:v>16.438356164383563</c:v>
                </c:pt>
                <c:pt idx="824">
                  <c:v>16.438356164383563</c:v>
                </c:pt>
                <c:pt idx="825">
                  <c:v>16.438356164383563</c:v>
                </c:pt>
                <c:pt idx="826">
                  <c:v>16.438356164383563</c:v>
                </c:pt>
                <c:pt idx="827">
                  <c:v>16.438356164383563</c:v>
                </c:pt>
                <c:pt idx="828">
                  <c:v>16.438356164383563</c:v>
                </c:pt>
                <c:pt idx="829">
                  <c:v>16.438356164383563</c:v>
                </c:pt>
                <c:pt idx="830">
                  <c:v>16.438356164383563</c:v>
                </c:pt>
                <c:pt idx="831">
                  <c:v>16.438356164383563</c:v>
                </c:pt>
                <c:pt idx="832">
                  <c:v>16.438356164383563</c:v>
                </c:pt>
                <c:pt idx="833">
                  <c:v>16.438356164383563</c:v>
                </c:pt>
                <c:pt idx="834">
                  <c:v>16.438356164383563</c:v>
                </c:pt>
                <c:pt idx="835">
                  <c:v>16.438356164383563</c:v>
                </c:pt>
                <c:pt idx="836">
                  <c:v>16.438356164383563</c:v>
                </c:pt>
                <c:pt idx="837">
                  <c:v>16.438356164383563</c:v>
                </c:pt>
                <c:pt idx="838">
                  <c:v>16.438356164383563</c:v>
                </c:pt>
                <c:pt idx="839">
                  <c:v>16.438356164383563</c:v>
                </c:pt>
                <c:pt idx="840">
                  <c:v>16.438356164383563</c:v>
                </c:pt>
                <c:pt idx="841">
                  <c:v>16.438356164383563</c:v>
                </c:pt>
                <c:pt idx="842">
                  <c:v>16.438356164383563</c:v>
                </c:pt>
                <c:pt idx="843">
                  <c:v>16.438356164383563</c:v>
                </c:pt>
                <c:pt idx="844">
                  <c:v>16.438356164383563</c:v>
                </c:pt>
                <c:pt idx="845">
                  <c:v>16.438356164383563</c:v>
                </c:pt>
                <c:pt idx="846">
                  <c:v>16.438356164383563</c:v>
                </c:pt>
                <c:pt idx="847">
                  <c:v>16.438356164383563</c:v>
                </c:pt>
                <c:pt idx="848">
                  <c:v>16.438356164383563</c:v>
                </c:pt>
                <c:pt idx="849">
                  <c:v>16.438356164383563</c:v>
                </c:pt>
                <c:pt idx="850">
                  <c:v>16.438356164383563</c:v>
                </c:pt>
                <c:pt idx="851">
                  <c:v>16.438356164383563</c:v>
                </c:pt>
                <c:pt idx="852">
                  <c:v>16.438356164383563</c:v>
                </c:pt>
                <c:pt idx="853">
                  <c:v>16.438356164383563</c:v>
                </c:pt>
                <c:pt idx="854">
                  <c:v>16.438356164383563</c:v>
                </c:pt>
                <c:pt idx="855">
                  <c:v>16.438356164383563</c:v>
                </c:pt>
                <c:pt idx="856">
                  <c:v>16.438356164383563</c:v>
                </c:pt>
                <c:pt idx="857">
                  <c:v>16.438356164383563</c:v>
                </c:pt>
                <c:pt idx="858">
                  <c:v>16.438356164383563</c:v>
                </c:pt>
                <c:pt idx="859">
                  <c:v>16.438356164383563</c:v>
                </c:pt>
                <c:pt idx="860">
                  <c:v>16.438356164383563</c:v>
                </c:pt>
                <c:pt idx="861">
                  <c:v>16.438356164383563</c:v>
                </c:pt>
                <c:pt idx="862">
                  <c:v>16.438356164383563</c:v>
                </c:pt>
                <c:pt idx="863">
                  <c:v>16.438356164383563</c:v>
                </c:pt>
                <c:pt idx="864">
                  <c:v>16.438356164383563</c:v>
                </c:pt>
                <c:pt idx="865">
                  <c:v>16.438356164383563</c:v>
                </c:pt>
                <c:pt idx="866">
                  <c:v>16.438356164383563</c:v>
                </c:pt>
                <c:pt idx="867">
                  <c:v>16.438356164383563</c:v>
                </c:pt>
                <c:pt idx="868">
                  <c:v>16.438356164383563</c:v>
                </c:pt>
                <c:pt idx="869">
                  <c:v>16.438356164383563</c:v>
                </c:pt>
                <c:pt idx="870">
                  <c:v>16.438356164383563</c:v>
                </c:pt>
                <c:pt idx="871">
                  <c:v>16.438356164383563</c:v>
                </c:pt>
                <c:pt idx="872">
                  <c:v>16.438356164383563</c:v>
                </c:pt>
                <c:pt idx="873">
                  <c:v>16.438356164383563</c:v>
                </c:pt>
                <c:pt idx="874">
                  <c:v>16.438356164383563</c:v>
                </c:pt>
                <c:pt idx="875">
                  <c:v>16.438356164383563</c:v>
                </c:pt>
                <c:pt idx="876">
                  <c:v>16.438356164383563</c:v>
                </c:pt>
                <c:pt idx="877">
                  <c:v>16.438356164383563</c:v>
                </c:pt>
                <c:pt idx="878">
                  <c:v>16.438356164383563</c:v>
                </c:pt>
                <c:pt idx="879">
                  <c:v>16.438356164383563</c:v>
                </c:pt>
                <c:pt idx="880">
                  <c:v>16.438356164383563</c:v>
                </c:pt>
                <c:pt idx="881">
                  <c:v>16.438356164383563</c:v>
                </c:pt>
                <c:pt idx="882">
                  <c:v>16.438356164383563</c:v>
                </c:pt>
                <c:pt idx="883">
                  <c:v>16.438356164383563</c:v>
                </c:pt>
                <c:pt idx="884">
                  <c:v>16.438356164383563</c:v>
                </c:pt>
                <c:pt idx="885">
                  <c:v>16.438356164383563</c:v>
                </c:pt>
                <c:pt idx="886">
                  <c:v>16.438356164383563</c:v>
                </c:pt>
                <c:pt idx="887">
                  <c:v>16.438356164383563</c:v>
                </c:pt>
                <c:pt idx="888">
                  <c:v>16.438356164383563</c:v>
                </c:pt>
                <c:pt idx="889">
                  <c:v>16.438356164383563</c:v>
                </c:pt>
                <c:pt idx="890">
                  <c:v>16.438356164383563</c:v>
                </c:pt>
                <c:pt idx="891">
                  <c:v>16.438356164383563</c:v>
                </c:pt>
                <c:pt idx="892">
                  <c:v>16.438356164383563</c:v>
                </c:pt>
                <c:pt idx="893">
                  <c:v>16.438356164383563</c:v>
                </c:pt>
                <c:pt idx="894">
                  <c:v>16.438356164383563</c:v>
                </c:pt>
                <c:pt idx="895">
                  <c:v>16.438356164383563</c:v>
                </c:pt>
                <c:pt idx="896">
                  <c:v>16.438356164383563</c:v>
                </c:pt>
                <c:pt idx="897">
                  <c:v>16.438356164383563</c:v>
                </c:pt>
                <c:pt idx="898">
                  <c:v>16.438356164383563</c:v>
                </c:pt>
                <c:pt idx="899">
                  <c:v>16.438356164383563</c:v>
                </c:pt>
                <c:pt idx="900">
                  <c:v>16.438356164383563</c:v>
                </c:pt>
                <c:pt idx="901">
                  <c:v>16.438356164383563</c:v>
                </c:pt>
                <c:pt idx="902">
                  <c:v>16.438356164383563</c:v>
                </c:pt>
                <c:pt idx="903">
                  <c:v>16.438356164383563</c:v>
                </c:pt>
                <c:pt idx="904">
                  <c:v>16.438356164383563</c:v>
                </c:pt>
                <c:pt idx="905">
                  <c:v>16.438356164383563</c:v>
                </c:pt>
                <c:pt idx="906">
                  <c:v>16.438356164383563</c:v>
                </c:pt>
                <c:pt idx="907">
                  <c:v>16.438356164383563</c:v>
                </c:pt>
                <c:pt idx="908">
                  <c:v>16.438356164383563</c:v>
                </c:pt>
                <c:pt idx="909">
                  <c:v>16.438356164383563</c:v>
                </c:pt>
                <c:pt idx="910">
                  <c:v>16.438356164383563</c:v>
                </c:pt>
                <c:pt idx="911">
                  <c:v>16.438356164383563</c:v>
                </c:pt>
                <c:pt idx="912">
                  <c:v>16.438356164383563</c:v>
                </c:pt>
                <c:pt idx="913">
                  <c:v>16.438356164383563</c:v>
                </c:pt>
                <c:pt idx="914">
                  <c:v>16.438356164383563</c:v>
                </c:pt>
                <c:pt idx="915">
                  <c:v>16.438356164383563</c:v>
                </c:pt>
                <c:pt idx="916">
                  <c:v>16.438356164383563</c:v>
                </c:pt>
                <c:pt idx="917">
                  <c:v>16.438356164383563</c:v>
                </c:pt>
                <c:pt idx="918">
                  <c:v>16.438356164383563</c:v>
                </c:pt>
                <c:pt idx="919">
                  <c:v>16.438356164383563</c:v>
                </c:pt>
                <c:pt idx="920">
                  <c:v>16.438356164383563</c:v>
                </c:pt>
                <c:pt idx="921">
                  <c:v>16.438356164383563</c:v>
                </c:pt>
                <c:pt idx="922">
                  <c:v>16.438356164383563</c:v>
                </c:pt>
                <c:pt idx="923">
                  <c:v>16.438356164383563</c:v>
                </c:pt>
                <c:pt idx="924">
                  <c:v>16.438356164383563</c:v>
                </c:pt>
                <c:pt idx="925">
                  <c:v>16.438356164383563</c:v>
                </c:pt>
                <c:pt idx="926">
                  <c:v>16.438356164383563</c:v>
                </c:pt>
                <c:pt idx="927">
                  <c:v>16.438356164383563</c:v>
                </c:pt>
                <c:pt idx="928">
                  <c:v>16.438356164383563</c:v>
                </c:pt>
                <c:pt idx="929">
                  <c:v>16.438356164383563</c:v>
                </c:pt>
                <c:pt idx="930">
                  <c:v>16.438356164383563</c:v>
                </c:pt>
                <c:pt idx="931">
                  <c:v>16.438356164383563</c:v>
                </c:pt>
                <c:pt idx="932">
                  <c:v>16.438356164383563</c:v>
                </c:pt>
                <c:pt idx="933">
                  <c:v>16.438356164383563</c:v>
                </c:pt>
                <c:pt idx="934">
                  <c:v>16.438356164383563</c:v>
                </c:pt>
                <c:pt idx="935">
                  <c:v>16.438356164383563</c:v>
                </c:pt>
                <c:pt idx="936">
                  <c:v>16.438356164383563</c:v>
                </c:pt>
                <c:pt idx="937">
                  <c:v>16.438356164383563</c:v>
                </c:pt>
                <c:pt idx="938">
                  <c:v>16.438356164383563</c:v>
                </c:pt>
                <c:pt idx="939">
                  <c:v>16.438356164383563</c:v>
                </c:pt>
                <c:pt idx="940">
                  <c:v>16.438356164383563</c:v>
                </c:pt>
                <c:pt idx="941">
                  <c:v>16.438356164383563</c:v>
                </c:pt>
                <c:pt idx="942">
                  <c:v>16.438356164383563</c:v>
                </c:pt>
                <c:pt idx="943">
                  <c:v>16.438356164383563</c:v>
                </c:pt>
                <c:pt idx="944">
                  <c:v>16.438356164383563</c:v>
                </c:pt>
                <c:pt idx="945">
                  <c:v>16.438356164383563</c:v>
                </c:pt>
                <c:pt idx="946">
                  <c:v>16.438356164383563</c:v>
                </c:pt>
                <c:pt idx="947">
                  <c:v>16.438356164383563</c:v>
                </c:pt>
                <c:pt idx="948">
                  <c:v>16.438356164383563</c:v>
                </c:pt>
                <c:pt idx="949">
                  <c:v>16.438356164383563</c:v>
                </c:pt>
                <c:pt idx="950">
                  <c:v>16.438356164383563</c:v>
                </c:pt>
                <c:pt idx="951">
                  <c:v>16.438356164383563</c:v>
                </c:pt>
                <c:pt idx="952">
                  <c:v>16.438356164383563</c:v>
                </c:pt>
                <c:pt idx="953">
                  <c:v>16.438356164383563</c:v>
                </c:pt>
                <c:pt idx="954">
                  <c:v>16.438356164383563</c:v>
                </c:pt>
                <c:pt idx="955">
                  <c:v>16.438356164383563</c:v>
                </c:pt>
                <c:pt idx="956">
                  <c:v>16.438356164383563</c:v>
                </c:pt>
                <c:pt idx="957">
                  <c:v>16.438356164383563</c:v>
                </c:pt>
                <c:pt idx="958">
                  <c:v>16.438356164383563</c:v>
                </c:pt>
                <c:pt idx="959">
                  <c:v>16.438356164383563</c:v>
                </c:pt>
                <c:pt idx="960">
                  <c:v>16.438356164383563</c:v>
                </c:pt>
                <c:pt idx="961">
                  <c:v>16.438356164383563</c:v>
                </c:pt>
                <c:pt idx="962">
                  <c:v>16.438356164383563</c:v>
                </c:pt>
                <c:pt idx="963">
                  <c:v>16.438356164383563</c:v>
                </c:pt>
                <c:pt idx="964">
                  <c:v>16.438356164383563</c:v>
                </c:pt>
                <c:pt idx="965">
                  <c:v>16.438356164383563</c:v>
                </c:pt>
                <c:pt idx="966">
                  <c:v>16.438356164383563</c:v>
                </c:pt>
                <c:pt idx="967">
                  <c:v>16.438356164383563</c:v>
                </c:pt>
                <c:pt idx="968">
                  <c:v>16.438356164383563</c:v>
                </c:pt>
                <c:pt idx="969">
                  <c:v>16.438356164383563</c:v>
                </c:pt>
                <c:pt idx="970">
                  <c:v>16.438356164383563</c:v>
                </c:pt>
                <c:pt idx="971">
                  <c:v>16.438356164383563</c:v>
                </c:pt>
                <c:pt idx="972">
                  <c:v>16.438356164383563</c:v>
                </c:pt>
                <c:pt idx="973">
                  <c:v>16.438356164383563</c:v>
                </c:pt>
                <c:pt idx="974">
                  <c:v>16.438356164383563</c:v>
                </c:pt>
                <c:pt idx="975">
                  <c:v>16.438356164383563</c:v>
                </c:pt>
                <c:pt idx="976">
                  <c:v>16.438356164383563</c:v>
                </c:pt>
                <c:pt idx="977">
                  <c:v>16.438356164383563</c:v>
                </c:pt>
                <c:pt idx="978">
                  <c:v>16.438356164383563</c:v>
                </c:pt>
                <c:pt idx="979">
                  <c:v>16.438356164383563</c:v>
                </c:pt>
                <c:pt idx="980">
                  <c:v>16.438356164383563</c:v>
                </c:pt>
                <c:pt idx="981">
                  <c:v>16.438356164383563</c:v>
                </c:pt>
                <c:pt idx="982">
                  <c:v>16.438356164383563</c:v>
                </c:pt>
                <c:pt idx="983">
                  <c:v>16.438356164383563</c:v>
                </c:pt>
                <c:pt idx="984">
                  <c:v>16.438356164383563</c:v>
                </c:pt>
                <c:pt idx="985">
                  <c:v>16.438356164383563</c:v>
                </c:pt>
                <c:pt idx="986">
                  <c:v>16.438356164383563</c:v>
                </c:pt>
                <c:pt idx="987">
                  <c:v>16.438356164383563</c:v>
                </c:pt>
                <c:pt idx="988">
                  <c:v>16.438356164383563</c:v>
                </c:pt>
                <c:pt idx="989">
                  <c:v>16.438356164383563</c:v>
                </c:pt>
                <c:pt idx="990">
                  <c:v>16.438356164383563</c:v>
                </c:pt>
                <c:pt idx="991">
                  <c:v>16.438356164383563</c:v>
                </c:pt>
                <c:pt idx="992">
                  <c:v>16.438356164383563</c:v>
                </c:pt>
                <c:pt idx="993">
                  <c:v>16.438356164383563</c:v>
                </c:pt>
                <c:pt idx="994">
                  <c:v>16.438356164383563</c:v>
                </c:pt>
                <c:pt idx="995">
                  <c:v>16.438356164383563</c:v>
                </c:pt>
                <c:pt idx="996">
                  <c:v>16.438356164383563</c:v>
                </c:pt>
                <c:pt idx="997">
                  <c:v>16.438356164383563</c:v>
                </c:pt>
                <c:pt idx="998">
                  <c:v>16.438356164383563</c:v>
                </c:pt>
                <c:pt idx="999">
                  <c:v>16.438356164383563</c:v>
                </c:pt>
                <c:pt idx="1000">
                  <c:v>16.438356164383563</c:v>
                </c:pt>
                <c:pt idx="1001">
                  <c:v>16.438356164383563</c:v>
                </c:pt>
                <c:pt idx="1002">
                  <c:v>16.438356164383563</c:v>
                </c:pt>
                <c:pt idx="1003">
                  <c:v>16.438356164383563</c:v>
                </c:pt>
                <c:pt idx="1004">
                  <c:v>16.438356164383563</c:v>
                </c:pt>
                <c:pt idx="1005">
                  <c:v>16.438356164383563</c:v>
                </c:pt>
                <c:pt idx="1006">
                  <c:v>16.438356164383563</c:v>
                </c:pt>
                <c:pt idx="1007">
                  <c:v>16.438356164383563</c:v>
                </c:pt>
                <c:pt idx="1008">
                  <c:v>16.438356164383563</c:v>
                </c:pt>
                <c:pt idx="1009">
                  <c:v>16.438356164383563</c:v>
                </c:pt>
                <c:pt idx="1010">
                  <c:v>16.438356164383563</c:v>
                </c:pt>
                <c:pt idx="1011">
                  <c:v>16.438356164383563</c:v>
                </c:pt>
                <c:pt idx="1012">
                  <c:v>16.438356164383563</c:v>
                </c:pt>
                <c:pt idx="1013">
                  <c:v>16.438356164383563</c:v>
                </c:pt>
                <c:pt idx="1014">
                  <c:v>16.438356164383563</c:v>
                </c:pt>
                <c:pt idx="1015">
                  <c:v>16.438356164383563</c:v>
                </c:pt>
                <c:pt idx="1016">
                  <c:v>16.438356164383563</c:v>
                </c:pt>
                <c:pt idx="1017">
                  <c:v>16.438356164383563</c:v>
                </c:pt>
                <c:pt idx="1018">
                  <c:v>16.438356164383563</c:v>
                </c:pt>
                <c:pt idx="1019">
                  <c:v>16.438356164383563</c:v>
                </c:pt>
                <c:pt idx="1020">
                  <c:v>16.438356164383563</c:v>
                </c:pt>
                <c:pt idx="1021">
                  <c:v>16.438356164383563</c:v>
                </c:pt>
                <c:pt idx="1022">
                  <c:v>16.438356164383563</c:v>
                </c:pt>
                <c:pt idx="1023">
                  <c:v>16.438356164383563</c:v>
                </c:pt>
                <c:pt idx="1024">
                  <c:v>16.438356164383563</c:v>
                </c:pt>
                <c:pt idx="1025">
                  <c:v>16.438356164383563</c:v>
                </c:pt>
                <c:pt idx="1026">
                  <c:v>16.438356164383563</c:v>
                </c:pt>
                <c:pt idx="1027">
                  <c:v>16.438356164383563</c:v>
                </c:pt>
                <c:pt idx="1028">
                  <c:v>16.438356164383563</c:v>
                </c:pt>
                <c:pt idx="1029">
                  <c:v>16.438356164383563</c:v>
                </c:pt>
                <c:pt idx="1030">
                  <c:v>16.438356164383563</c:v>
                </c:pt>
                <c:pt idx="1031">
                  <c:v>16.438356164383563</c:v>
                </c:pt>
                <c:pt idx="1032">
                  <c:v>16.438356164383563</c:v>
                </c:pt>
                <c:pt idx="1033">
                  <c:v>16.438356164383563</c:v>
                </c:pt>
                <c:pt idx="1034">
                  <c:v>16.438356164383563</c:v>
                </c:pt>
                <c:pt idx="1035">
                  <c:v>16.438356164383563</c:v>
                </c:pt>
                <c:pt idx="1036">
                  <c:v>16.438356164383563</c:v>
                </c:pt>
                <c:pt idx="1037">
                  <c:v>16.438356164383563</c:v>
                </c:pt>
                <c:pt idx="1038">
                  <c:v>16.438356164383563</c:v>
                </c:pt>
                <c:pt idx="1039">
                  <c:v>16.438356164383563</c:v>
                </c:pt>
                <c:pt idx="1040">
                  <c:v>16.438356164383563</c:v>
                </c:pt>
                <c:pt idx="1041">
                  <c:v>16.438356164383563</c:v>
                </c:pt>
                <c:pt idx="1042">
                  <c:v>16.438356164383563</c:v>
                </c:pt>
                <c:pt idx="1043">
                  <c:v>16.438356164383563</c:v>
                </c:pt>
                <c:pt idx="1044">
                  <c:v>16.438356164383563</c:v>
                </c:pt>
                <c:pt idx="1045">
                  <c:v>16.438356164383563</c:v>
                </c:pt>
                <c:pt idx="1046">
                  <c:v>16.438356164383563</c:v>
                </c:pt>
                <c:pt idx="1047">
                  <c:v>16.438356164383563</c:v>
                </c:pt>
                <c:pt idx="1048">
                  <c:v>16.438356164383563</c:v>
                </c:pt>
                <c:pt idx="1049">
                  <c:v>16.438356164383563</c:v>
                </c:pt>
                <c:pt idx="1050">
                  <c:v>16.438356164383563</c:v>
                </c:pt>
                <c:pt idx="1051">
                  <c:v>16.438356164383563</c:v>
                </c:pt>
                <c:pt idx="1052">
                  <c:v>16.438356164383563</c:v>
                </c:pt>
                <c:pt idx="1053">
                  <c:v>16.438356164383563</c:v>
                </c:pt>
                <c:pt idx="1054">
                  <c:v>16.438356164383563</c:v>
                </c:pt>
                <c:pt idx="1055">
                  <c:v>16.438356164383563</c:v>
                </c:pt>
                <c:pt idx="1056">
                  <c:v>16.438356164383563</c:v>
                </c:pt>
                <c:pt idx="1057">
                  <c:v>16.438356164383563</c:v>
                </c:pt>
                <c:pt idx="1058">
                  <c:v>16.438356164383563</c:v>
                </c:pt>
                <c:pt idx="1059">
                  <c:v>16.438356164383563</c:v>
                </c:pt>
                <c:pt idx="1060">
                  <c:v>16.438356164383563</c:v>
                </c:pt>
                <c:pt idx="1061">
                  <c:v>16.438356164383563</c:v>
                </c:pt>
                <c:pt idx="1062">
                  <c:v>16.438356164383563</c:v>
                </c:pt>
                <c:pt idx="1063">
                  <c:v>16.438356164383563</c:v>
                </c:pt>
                <c:pt idx="1064">
                  <c:v>16.438356164383563</c:v>
                </c:pt>
                <c:pt idx="1065">
                  <c:v>16.438356164383563</c:v>
                </c:pt>
                <c:pt idx="1066">
                  <c:v>16.438356164383563</c:v>
                </c:pt>
                <c:pt idx="1067">
                  <c:v>16.438356164383563</c:v>
                </c:pt>
                <c:pt idx="1068">
                  <c:v>16.438356164383563</c:v>
                </c:pt>
                <c:pt idx="1069">
                  <c:v>16.438356164383563</c:v>
                </c:pt>
                <c:pt idx="1070">
                  <c:v>16.438356164383563</c:v>
                </c:pt>
                <c:pt idx="1071">
                  <c:v>16.438356164383563</c:v>
                </c:pt>
                <c:pt idx="1072">
                  <c:v>16.438356164383563</c:v>
                </c:pt>
                <c:pt idx="1073">
                  <c:v>16.438356164383563</c:v>
                </c:pt>
                <c:pt idx="1074">
                  <c:v>16.438356164383563</c:v>
                </c:pt>
                <c:pt idx="1075">
                  <c:v>16.438356164383563</c:v>
                </c:pt>
                <c:pt idx="1076">
                  <c:v>16.438356164383563</c:v>
                </c:pt>
                <c:pt idx="1077">
                  <c:v>16.438356164383563</c:v>
                </c:pt>
                <c:pt idx="1078">
                  <c:v>16.438356164383563</c:v>
                </c:pt>
                <c:pt idx="1079">
                  <c:v>16.438356164383563</c:v>
                </c:pt>
                <c:pt idx="1080">
                  <c:v>16.438356164383563</c:v>
                </c:pt>
                <c:pt idx="1081">
                  <c:v>16.438356164383563</c:v>
                </c:pt>
                <c:pt idx="1082">
                  <c:v>16.438356164383563</c:v>
                </c:pt>
                <c:pt idx="1083">
                  <c:v>16.438356164383563</c:v>
                </c:pt>
                <c:pt idx="1084">
                  <c:v>16.438356164383563</c:v>
                </c:pt>
                <c:pt idx="1085">
                  <c:v>16.438356164383563</c:v>
                </c:pt>
                <c:pt idx="1086">
                  <c:v>16.438356164383563</c:v>
                </c:pt>
                <c:pt idx="1087">
                  <c:v>16.438356164383563</c:v>
                </c:pt>
                <c:pt idx="1088">
                  <c:v>16.438356164383563</c:v>
                </c:pt>
                <c:pt idx="1089">
                  <c:v>16.438356164383563</c:v>
                </c:pt>
                <c:pt idx="1090">
                  <c:v>16.438356164383563</c:v>
                </c:pt>
                <c:pt idx="1091">
                  <c:v>16.438356164383563</c:v>
                </c:pt>
                <c:pt idx="1092">
                  <c:v>16.438356164383563</c:v>
                </c:pt>
                <c:pt idx="1093">
                  <c:v>16.438356164383563</c:v>
                </c:pt>
                <c:pt idx="1094">
                  <c:v>16.438356164383563</c:v>
                </c:pt>
                <c:pt idx="1095">
                  <c:v>16.438356164383563</c:v>
                </c:pt>
                <c:pt idx="1096">
                  <c:v>16.438356164383563</c:v>
                </c:pt>
                <c:pt idx="1097">
                  <c:v>16.438356164383563</c:v>
                </c:pt>
                <c:pt idx="1098">
                  <c:v>16.438356164383563</c:v>
                </c:pt>
                <c:pt idx="1099">
                  <c:v>16.438356164383563</c:v>
                </c:pt>
                <c:pt idx="1100">
                  <c:v>16.438356164383563</c:v>
                </c:pt>
                <c:pt idx="1101">
                  <c:v>16.438356164383563</c:v>
                </c:pt>
                <c:pt idx="1102">
                  <c:v>16.438356164383563</c:v>
                </c:pt>
                <c:pt idx="1103">
                  <c:v>16.438356164383563</c:v>
                </c:pt>
                <c:pt idx="1104">
                  <c:v>16.438356164383563</c:v>
                </c:pt>
                <c:pt idx="1105">
                  <c:v>16.438356164383563</c:v>
                </c:pt>
                <c:pt idx="1106">
                  <c:v>16.438356164383563</c:v>
                </c:pt>
                <c:pt idx="1107">
                  <c:v>16.438356164383563</c:v>
                </c:pt>
                <c:pt idx="1108">
                  <c:v>16.438356164383563</c:v>
                </c:pt>
                <c:pt idx="1109">
                  <c:v>16.438356164383563</c:v>
                </c:pt>
                <c:pt idx="1110">
                  <c:v>16.438356164383563</c:v>
                </c:pt>
                <c:pt idx="1111">
                  <c:v>16.438356164383563</c:v>
                </c:pt>
                <c:pt idx="1112">
                  <c:v>16.438356164383563</c:v>
                </c:pt>
                <c:pt idx="1113">
                  <c:v>16.438356164383563</c:v>
                </c:pt>
                <c:pt idx="1114">
                  <c:v>16.438356164383563</c:v>
                </c:pt>
                <c:pt idx="1115">
                  <c:v>16.438356164383563</c:v>
                </c:pt>
                <c:pt idx="1116">
                  <c:v>16.438356164383563</c:v>
                </c:pt>
                <c:pt idx="1117">
                  <c:v>16.438356164383563</c:v>
                </c:pt>
                <c:pt idx="1118">
                  <c:v>16.438356164383563</c:v>
                </c:pt>
                <c:pt idx="1119">
                  <c:v>16.438356164383563</c:v>
                </c:pt>
                <c:pt idx="1120">
                  <c:v>16.438356164383563</c:v>
                </c:pt>
                <c:pt idx="1121">
                  <c:v>16.438356164383563</c:v>
                </c:pt>
                <c:pt idx="1122">
                  <c:v>16.438356164383563</c:v>
                </c:pt>
                <c:pt idx="1123">
                  <c:v>16.438356164383563</c:v>
                </c:pt>
                <c:pt idx="1124">
                  <c:v>16.438356164383563</c:v>
                </c:pt>
                <c:pt idx="1125">
                  <c:v>16.438356164383563</c:v>
                </c:pt>
                <c:pt idx="1126">
                  <c:v>16.438356164383563</c:v>
                </c:pt>
                <c:pt idx="1127">
                  <c:v>16.438356164383563</c:v>
                </c:pt>
                <c:pt idx="1128">
                  <c:v>16.438356164383563</c:v>
                </c:pt>
                <c:pt idx="1129">
                  <c:v>16.438356164383563</c:v>
                </c:pt>
                <c:pt idx="1130">
                  <c:v>16.438356164383563</c:v>
                </c:pt>
                <c:pt idx="1131">
                  <c:v>16.438356164383563</c:v>
                </c:pt>
                <c:pt idx="1132">
                  <c:v>16.438356164383563</c:v>
                </c:pt>
                <c:pt idx="1133">
                  <c:v>16.438356164383563</c:v>
                </c:pt>
                <c:pt idx="1134">
                  <c:v>16.438356164383563</c:v>
                </c:pt>
                <c:pt idx="1135">
                  <c:v>16.438356164383563</c:v>
                </c:pt>
                <c:pt idx="1136">
                  <c:v>16.438356164383563</c:v>
                </c:pt>
                <c:pt idx="1137">
                  <c:v>16.438356164383563</c:v>
                </c:pt>
                <c:pt idx="1138">
                  <c:v>16.438356164383563</c:v>
                </c:pt>
                <c:pt idx="1139">
                  <c:v>16.438356164383563</c:v>
                </c:pt>
                <c:pt idx="1140">
                  <c:v>16.438356164383563</c:v>
                </c:pt>
                <c:pt idx="1141">
                  <c:v>16.438356164383563</c:v>
                </c:pt>
                <c:pt idx="1142">
                  <c:v>16.438356164383563</c:v>
                </c:pt>
                <c:pt idx="1143">
                  <c:v>16.438356164383563</c:v>
                </c:pt>
                <c:pt idx="1144">
                  <c:v>16.438356164383563</c:v>
                </c:pt>
                <c:pt idx="1145">
                  <c:v>16.438356164383563</c:v>
                </c:pt>
                <c:pt idx="1146">
                  <c:v>16.438356164383563</c:v>
                </c:pt>
                <c:pt idx="1147">
                  <c:v>16.438356164383563</c:v>
                </c:pt>
                <c:pt idx="1148">
                  <c:v>16.438356164383563</c:v>
                </c:pt>
                <c:pt idx="1149">
                  <c:v>16.438356164383563</c:v>
                </c:pt>
                <c:pt idx="1150">
                  <c:v>16.438356164383563</c:v>
                </c:pt>
                <c:pt idx="1151">
                  <c:v>16.438356164383563</c:v>
                </c:pt>
                <c:pt idx="1152">
                  <c:v>16.438356164383563</c:v>
                </c:pt>
                <c:pt idx="1153">
                  <c:v>16.438356164383563</c:v>
                </c:pt>
                <c:pt idx="1154">
                  <c:v>16.438356164383563</c:v>
                </c:pt>
                <c:pt idx="1155">
                  <c:v>16.438356164383563</c:v>
                </c:pt>
                <c:pt idx="1156">
                  <c:v>16.438356164383563</c:v>
                </c:pt>
                <c:pt idx="1157">
                  <c:v>16.438356164383563</c:v>
                </c:pt>
                <c:pt idx="1158">
                  <c:v>16.438356164383563</c:v>
                </c:pt>
                <c:pt idx="1159">
                  <c:v>16.438356164383563</c:v>
                </c:pt>
                <c:pt idx="1160">
                  <c:v>16.438356164383563</c:v>
                </c:pt>
                <c:pt idx="1161">
                  <c:v>16.438356164383563</c:v>
                </c:pt>
                <c:pt idx="1162">
                  <c:v>16.438356164383563</c:v>
                </c:pt>
                <c:pt idx="1163">
                  <c:v>16.438356164383563</c:v>
                </c:pt>
                <c:pt idx="1164">
                  <c:v>16.438356164383563</c:v>
                </c:pt>
                <c:pt idx="1165">
                  <c:v>16.438356164383563</c:v>
                </c:pt>
                <c:pt idx="1166">
                  <c:v>16.438356164383563</c:v>
                </c:pt>
                <c:pt idx="1167">
                  <c:v>16.438356164383563</c:v>
                </c:pt>
                <c:pt idx="1168">
                  <c:v>16.438356164383563</c:v>
                </c:pt>
                <c:pt idx="1169">
                  <c:v>16.438356164383563</c:v>
                </c:pt>
                <c:pt idx="1170">
                  <c:v>16.438356164383563</c:v>
                </c:pt>
                <c:pt idx="1171">
                  <c:v>16.438356164383563</c:v>
                </c:pt>
                <c:pt idx="1172">
                  <c:v>16.438356164383563</c:v>
                </c:pt>
                <c:pt idx="1173">
                  <c:v>16.438356164383563</c:v>
                </c:pt>
                <c:pt idx="1174">
                  <c:v>16.438356164383563</c:v>
                </c:pt>
                <c:pt idx="1175">
                  <c:v>16.438356164383563</c:v>
                </c:pt>
                <c:pt idx="1176">
                  <c:v>16.438356164383563</c:v>
                </c:pt>
                <c:pt idx="1177">
                  <c:v>16.438356164383563</c:v>
                </c:pt>
                <c:pt idx="1178">
                  <c:v>16.438356164383563</c:v>
                </c:pt>
                <c:pt idx="1179">
                  <c:v>16.438356164383563</c:v>
                </c:pt>
                <c:pt idx="1180">
                  <c:v>16.438356164383563</c:v>
                </c:pt>
                <c:pt idx="1181">
                  <c:v>16.438356164383563</c:v>
                </c:pt>
                <c:pt idx="1182">
                  <c:v>16.438356164383563</c:v>
                </c:pt>
                <c:pt idx="1183">
                  <c:v>16.438356164383563</c:v>
                </c:pt>
                <c:pt idx="1184">
                  <c:v>16.438356164383563</c:v>
                </c:pt>
                <c:pt idx="1185">
                  <c:v>16.438356164383563</c:v>
                </c:pt>
                <c:pt idx="1186">
                  <c:v>16.438356164383563</c:v>
                </c:pt>
                <c:pt idx="1187">
                  <c:v>16.438356164383563</c:v>
                </c:pt>
                <c:pt idx="1188">
                  <c:v>16.438356164383563</c:v>
                </c:pt>
                <c:pt idx="1189">
                  <c:v>16.438356164383563</c:v>
                </c:pt>
                <c:pt idx="1190">
                  <c:v>16.438356164383563</c:v>
                </c:pt>
                <c:pt idx="1191">
                  <c:v>16.438356164383563</c:v>
                </c:pt>
                <c:pt idx="1192">
                  <c:v>16.438356164383563</c:v>
                </c:pt>
                <c:pt idx="1193">
                  <c:v>16.438356164383563</c:v>
                </c:pt>
                <c:pt idx="1194">
                  <c:v>16.438356164383563</c:v>
                </c:pt>
                <c:pt idx="1195">
                  <c:v>16.438356164383563</c:v>
                </c:pt>
                <c:pt idx="1196">
                  <c:v>16.438356164383563</c:v>
                </c:pt>
                <c:pt idx="1197">
                  <c:v>16.438356164383563</c:v>
                </c:pt>
                <c:pt idx="1198">
                  <c:v>16.438356164383563</c:v>
                </c:pt>
                <c:pt idx="1199">
                  <c:v>16.438356164383563</c:v>
                </c:pt>
                <c:pt idx="1200">
                  <c:v>16.438356164383563</c:v>
                </c:pt>
                <c:pt idx="1201">
                  <c:v>16.438356164383563</c:v>
                </c:pt>
                <c:pt idx="1202">
                  <c:v>16.438356164383563</c:v>
                </c:pt>
                <c:pt idx="1203">
                  <c:v>16.438356164383563</c:v>
                </c:pt>
                <c:pt idx="1204">
                  <c:v>16.438356164383563</c:v>
                </c:pt>
                <c:pt idx="1205">
                  <c:v>16.438356164383563</c:v>
                </c:pt>
                <c:pt idx="1206">
                  <c:v>16.438356164383563</c:v>
                </c:pt>
                <c:pt idx="1207">
                  <c:v>16.438356164383563</c:v>
                </c:pt>
                <c:pt idx="1208">
                  <c:v>16.438356164383563</c:v>
                </c:pt>
                <c:pt idx="1209">
                  <c:v>16.438356164383563</c:v>
                </c:pt>
                <c:pt idx="1210">
                  <c:v>16.438356164383563</c:v>
                </c:pt>
                <c:pt idx="1211">
                  <c:v>16.438356164383563</c:v>
                </c:pt>
                <c:pt idx="1212">
                  <c:v>16.438356164383563</c:v>
                </c:pt>
                <c:pt idx="1213">
                  <c:v>16.438356164383563</c:v>
                </c:pt>
                <c:pt idx="1214">
                  <c:v>16.438356164383563</c:v>
                </c:pt>
                <c:pt idx="1215">
                  <c:v>16.438356164383563</c:v>
                </c:pt>
                <c:pt idx="1216">
                  <c:v>16.438356164383563</c:v>
                </c:pt>
                <c:pt idx="1217">
                  <c:v>16.438356164383563</c:v>
                </c:pt>
                <c:pt idx="1218">
                  <c:v>16.438356164383563</c:v>
                </c:pt>
                <c:pt idx="1219">
                  <c:v>16.438356164383563</c:v>
                </c:pt>
                <c:pt idx="1220">
                  <c:v>16.438356164383563</c:v>
                </c:pt>
                <c:pt idx="1221">
                  <c:v>16.438356164383563</c:v>
                </c:pt>
                <c:pt idx="1222">
                  <c:v>16.438356164383563</c:v>
                </c:pt>
                <c:pt idx="1223">
                  <c:v>16.438356164383563</c:v>
                </c:pt>
                <c:pt idx="1224">
                  <c:v>16.438356164383563</c:v>
                </c:pt>
                <c:pt idx="1225">
                  <c:v>16.438356164383563</c:v>
                </c:pt>
                <c:pt idx="1226">
                  <c:v>16.438356164383563</c:v>
                </c:pt>
                <c:pt idx="1227">
                  <c:v>16.438356164383563</c:v>
                </c:pt>
                <c:pt idx="1228">
                  <c:v>16.438356164383563</c:v>
                </c:pt>
                <c:pt idx="1229">
                  <c:v>16.438356164383563</c:v>
                </c:pt>
                <c:pt idx="1230">
                  <c:v>16.438356164383563</c:v>
                </c:pt>
                <c:pt idx="1231">
                  <c:v>16.438356164383563</c:v>
                </c:pt>
                <c:pt idx="1232">
                  <c:v>16.438356164383563</c:v>
                </c:pt>
                <c:pt idx="1233">
                  <c:v>16.438356164383563</c:v>
                </c:pt>
                <c:pt idx="1234">
                  <c:v>16.438356164383563</c:v>
                </c:pt>
                <c:pt idx="1235">
                  <c:v>16.438356164383563</c:v>
                </c:pt>
                <c:pt idx="1236">
                  <c:v>16.438356164383563</c:v>
                </c:pt>
                <c:pt idx="1237">
                  <c:v>16.438356164383563</c:v>
                </c:pt>
                <c:pt idx="1238">
                  <c:v>16.438356164383563</c:v>
                </c:pt>
                <c:pt idx="1239">
                  <c:v>16.438356164383563</c:v>
                </c:pt>
                <c:pt idx="1240">
                  <c:v>16.438356164383563</c:v>
                </c:pt>
                <c:pt idx="1241">
                  <c:v>16.438356164383563</c:v>
                </c:pt>
                <c:pt idx="1242">
                  <c:v>16.438356164383563</c:v>
                </c:pt>
                <c:pt idx="1243">
                  <c:v>16.438356164383563</c:v>
                </c:pt>
                <c:pt idx="1244">
                  <c:v>16.438356164383563</c:v>
                </c:pt>
                <c:pt idx="1245">
                  <c:v>16.438356164383563</c:v>
                </c:pt>
                <c:pt idx="1246">
                  <c:v>16.438356164383563</c:v>
                </c:pt>
                <c:pt idx="1247">
                  <c:v>16.438356164383563</c:v>
                </c:pt>
                <c:pt idx="1248">
                  <c:v>16.438356164383563</c:v>
                </c:pt>
                <c:pt idx="1249">
                  <c:v>16.438356164383563</c:v>
                </c:pt>
                <c:pt idx="1250">
                  <c:v>16.438356164383563</c:v>
                </c:pt>
                <c:pt idx="1251">
                  <c:v>16.438356164383563</c:v>
                </c:pt>
                <c:pt idx="1252">
                  <c:v>16.438356164383563</c:v>
                </c:pt>
                <c:pt idx="1253">
                  <c:v>16.438356164383563</c:v>
                </c:pt>
                <c:pt idx="1254">
                  <c:v>16.438356164383563</c:v>
                </c:pt>
                <c:pt idx="1255">
                  <c:v>16.438356164383563</c:v>
                </c:pt>
                <c:pt idx="1256">
                  <c:v>16.438356164383563</c:v>
                </c:pt>
                <c:pt idx="1257">
                  <c:v>16.438356164383563</c:v>
                </c:pt>
                <c:pt idx="1258">
                  <c:v>16.438356164383563</c:v>
                </c:pt>
                <c:pt idx="1259">
                  <c:v>16.438356164383563</c:v>
                </c:pt>
                <c:pt idx="1260">
                  <c:v>16.438356164383563</c:v>
                </c:pt>
                <c:pt idx="1261">
                  <c:v>16.438356164383563</c:v>
                </c:pt>
                <c:pt idx="1262">
                  <c:v>16.438356164383563</c:v>
                </c:pt>
                <c:pt idx="1263">
                  <c:v>16.438356164383563</c:v>
                </c:pt>
                <c:pt idx="1264">
                  <c:v>16.438356164383563</c:v>
                </c:pt>
                <c:pt idx="1265">
                  <c:v>16.438356164383563</c:v>
                </c:pt>
                <c:pt idx="1266">
                  <c:v>16.438356164383563</c:v>
                </c:pt>
                <c:pt idx="1267">
                  <c:v>16.438356164383563</c:v>
                </c:pt>
                <c:pt idx="1268">
                  <c:v>16.438356164383563</c:v>
                </c:pt>
                <c:pt idx="1269">
                  <c:v>16.438356164383563</c:v>
                </c:pt>
                <c:pt idx="1270">
                  <c:v>16.438356164383563</c:v>
                </c:pt>
                <c:pt idx="1271">
                  <c:v>16.438356164383563</c:v>
                </c:pt>
                <c:pt idx="1272">
                  <c:v>16.438356164383563</c:v>
                </c:pt>
                <c:pt idx="1273">
                  <c:v>16.438356164383563</c:v>
                </c:pt>
                <c:pt idx="1274">
                  <c:v>16.438356164383563</c:v>
                </c:pt>
                <c:pt idx="1275">
                  <c:v>16.438356164383563</c:v>
                </c:pt>
                <c:pt idx="1276">
                  <c:v>16.438356164383563</c:v>
                </c:pt>
                <c:pt idx="1277">
                  <c:v>16.438356164383563</c:v>
                </c:pt>
                <c:pt idx="1278">
                  <c:v>16.438356164383563</c:v>
                </c:pt>
                <c:pt idx="1279">
                  <c:v>16.438356164383563</c:v>
                </c:pt>
                <c:pt idx="1280">
                  <c:v>16.438356164383563</c:v>
                </c:pt>
                <c:pt idx="1281">
                  <c:v>16.438356164383563</c:v>
                </c:pt>
                <c:pt idx="1282">
                  <c:v>16.438356164383563</c:v>
                </c:pt>
                <c:pt idx="1283">
                  <c:v>16.438356164383563</c:v>
                </c:pt>
                <c:pt idx="1284">
                  <c:v>16.438356164383563</c:v>
                </c:pt>
                <c:pt idx="1285">
                  <c:v>16.438356164383563</c:v>
                </c:pt>
                <c:pt idx="1286">
                  <c:v>16.438356164383563</c:v>
                </c:pt>
                <c:pt idx="1287">
                  <c:v>16.438356164383563</c:v>
                </c:pt>
                <c:pt idx="1288">
                  <c:v>16.438356164383563</c:v>
                </c:pt>
                <c:pt idx="1289">
                  <c:v>16.438356164383563</c:v>
                </c:pt>
                <c:pt idx="1290">
                  <c:v>16.438356164383563</c:v>
                </c:pt>
                <c:pt idx="1291">
                  <c:v>16.438356164383563</c:v>
                </c:pt>
                <c:pt idx="1292">
                  <c:v>16.438356164383563</c:v>
                </c:pt>
                <c:pt idx="1293">
                  <c:v>16.438356164383563</c:v>
                </c:pt>
                <c:pt idx="1294">
                  <c:v>16.438356164383563</c:v>
                </c:pt>
                <c:pt idx="1295">
                  <c:v>16.438356164383563</c:v>
                </c:pt>
                <c:pt idx="1296">
                  <c:v>16.438356164383563</c:v>
                </c:pt>
                <c:pt idx="1297">
                  <c:v>16.438356164383563</c:v>
                </c:pt>
                <c:pt idx="1298">
                  <c:v>16.438356164383563</c:v>
                </c:pt>
                <c:pt idx="1299">
                  <c:v>16.438356164383563</c:v>
                </c:pt>
                <c:pt idx="1300">
                  <c:v>16.438356164383563</c:v>
                </c:pt>
                <c:pt idx="1301">
                  <c:v>16.438356164383563</c:v>
                </c:pt>
                <c:pt idx="1302">
                  <c:v>16.438356164383563</c:v>
                </c:pt>
                <c:pt idx="1303">
                  <c:v>16.438356164383563</c:v>
                </c:pt>
                <c:pt idx="1304">
                  <c:v>16.438356164383563</c:v>
                </c:pt>
                <c:pt idx="1305">
                  <c:v>16.438356164383563</c:v>
                </c:pt>
                <c:pt idx="1306">
                  <c:v>16.438356164383563</c:v>
                </c:pt>
                <c:pt idx="1307">
                  <c:v>16.438356164383563</c:v>
                </c:pt>
                <c:pt idx="1308">
                  <c:v>16.438356164383563</c:v>
                </c:pt>
                <c:pt idx="1309">
                  <c:v>16.438356164383563</c:v>
                </c:pt>
                <c:pt idx="1310">
                  <c:v>16.438356164383563</c:v>
                </c:pt>
                <c:pt idx="1311">
                  <c:v>16.438356164383563</c:v>
                </c:pt>
                <c:pt idx="1312">
                  <c:v>16.438356164383563</c:v>
                </c:pt>
                <c:pt idx="1313">
                  <c:v>16.438356164383563</c:v>
                </c:pt>
                <c:pt idx="1314">
                  <c:v>16.438356164383563</c:v>
                </c:pt>
                <c:pt idx="1315">
                  <c:v>16.438356164383563</c:v>
                </c:pt>
                <c:pt idx="1316">
                  <c:v>16.438356164383563</c:v>
                </c:pt>
                <c:pt idx="1317">
                  <c:v>16.438356164383563</c:v>
                </c:pt>
                <c:pt idx="1318">
                  <c:v>16.438356164383563</c:v>
                </c:pt>
                <c:pt idx="1319">
                  <c:v>16.438356164383563</c:v>
                </c:pt>
                <c:pt idx="1320">
                  <c:v>16.438356164383563</c:v>
                </c:pt>
                <c:pt idx="1321">
                  <c:v>16.438356164383563</c:v>
                </c:pt>
                <c:pt idx="1322">
                  <c:v>16.438356164383563</c:v>
                </c:pt>
                <c:pt idx="1323">
                  <c:v>16.438356164383563</c:v>
                </c:pt>
                <c:pt idx="1324">
                  <c:v>16.438356164383563</c:v>
                </c:pt>
                <c:pt idx="1325">
                  <c:v>16.438356164383563</c:v>
                </c:pt>
                <c:pt idx="1326">
                  <c:v>16.438356164383563</c:v>
                </c:pt>
                <c:pt idx="1327">
                  <c:v>16.438356164383563</c:v>
                </c:pt>
                <c:pt idx="1328">
                  <c:v>16.438356164383563</c:v>
                </c:pt>
                <c:pt idx="1329">
                  <c:v>16.438356164383563</c:v>
                </c:pt>
                <c:pt idx="1330">
                  <c:v>16.438356164383563</c:v>
                </c:pt>
                <c:pt idx="1331">
                  <c:v>16.438356164383563</c:v>
                </c:pt>
                <c:pt idx="1332">
                  <c:v>16.438356164383563</c:v>
                </c:pt>
                <c:pt idx="1333">
                  <c:v>16.438356164383563</c:v>
                </c:pt>
                <c:pt idx="1334">
                  <c:v>16.438356164383563</c:v>
                </c:pt>
                <c:pt idx="1335">
                  <c:v>16.438356164383563</c:v>
                </c:pt>
                <c:pt idx="1336">
                  <c:v>16.438356164383563</c:v>
                </c:pt>
                <c:pt idx="1337">
                  <c:v>16.438356164383563</c:v>
                </c:pt>
                <c:pt idx="1338">
                  <c:v>16.438356164383563</c:v>
                </c:pt>
                <c:pt idx="1339">
                  <c:v>16.438356164383563</c:v>
                </c:pt>
                <c:pt idx="1340">
                  <c:v>16.438356164383563</c:v>
                </c:pt>
                <c:pt idx="1341">
                  <c:v>16.438356164383563</c:v>
                </c:pt>
                <c:pt idx="1342">
                  <c:v>16.438356164383563</c:v>
                </c:pt>
                <c:pt idx="1343">
                  <c:v>16.438356164383563</c:v>
                </c:pt>
                <c:pt idx="1344">
                  <c:v>16.438356164383563</c:v>
                </c:pt>
                <c:pt idx="1345">
                  <c:v>16.438356164383563</c:v>
                </c:pt>
                <c:pt idx="1346">
                  <c:v>16.438356164383563</c:v>
                </c:pt>
                <c:pt idx="1347">
                  <c:v>16.438356164383563</c:v>
                </c:pt>
                <c:pt idx="1348">
                  <c:v>16.438356164383563</c:v>
                </c:pt>
                <c:pt idx="1349">
                  <c:v>16.438356164383563</c:v>
                </c:pt>
                <c:pt idx="1350">
                  <c:v>16.438356164383563</c:v>
                </c:pt>
                <c:pt idx="1351">
                  <c:v>16.438356164383563</c:v>
                </c:pt>
                <c:pt idx="1352">
                  <c:v>16.438356164383563</c:v>
                </c:pt>
                <c:pt idx="1353">
                  <c:v>16.438356164383563</c:v>
                </c:pt>
                <c:pt idx="1354">
                  <c:v>16.438356164383563</c:v>
                </c:pt>
                <c:pt idx="1355">
                  <c:v>16.438356164383563</c:v>
                </c:pt>
                <c:pt idx="1356">
                  <c:v>16.438356164383563</c:v>
                </c:pt>
                <c:pt idx="1357">
                  <c:v>16.438356164383563</c:v>
                </c:pt>
                <c:pt idx="1358">
                  <c:v>16.438356164383563</c:v>
                </c:pt>
                <c:pt idx="1359">
                  <c:v>16.438356164383563</c:v>
                </c:pt>
                <c:pt idx="1360">
                  <c:v>16.438356164383563</c:v>
                </c:pt>
                <c:pt idx="1361">
                  <c:v>16.438356164383563</c:v>
                </c:pt>
                <c:pt idx="1362">
                  <c:v>16.438356164383563</c:v>
                </c:pt>
                <c:pt idx="1363">
                  <c:v>16.438356164383563</c:v>
                </c:pt>
                <c:pt idx="1364">
                  <c:v>16.438356164383563</c:v>
                </c:pt>
                <c:pt idx="1365">
                  <c:v>16.438356164383563</c:v>
                </c:pt>
                <c:pt idx="1366">
                  <c:v>16.438356164383563</c:v>
                </c:pt>
                <c:pt idx="1367">
                  <c:v>16.438356164383563</c:v>
                </c:pt>
                <c:pt idx="1368">
                  <c:v>16.438356164383563</c:v>
                </c:pt>
                <c:pt idx="1369">
                  <c:v>16.438356164383563</c:v>
                </c:pt>
                <c:pt idx="1370">
                  <c:v>16.438356164383563</c:v>
                </c:pt>
                <c:pt idx="1371">
                  <c:v>16.438356164383563</c:v>
                </c:pt>
                <c:pt idx="1372">
                  <c:v>16.438356164383563</c:v>
                </c:pt>
                <c:pt idx="1373">
                  <c:v>16.438356164383563</c:v>
                </c:pt>
                <c:pt idx="1374">
                  <c:v>16.438356164383563</c:v>
                </c:pt>
                <c:pt idx="1375">
                  <c:v>16.438356164383563</c:v>
                </c:pt>
                <c:pt idx="1376">
                  <c:v>16.438356164383563</c:v>
                </c:pt>
                <c:pt idx="1377">
                  <c:v>16.438356164383563</c:v>
                </c:pt>
                <c:pt idx="1378">
                  <c:v>16.438356164383563</c:v>
                </c:pt>
                <c:pt idx="1379">
                  <c:v>16.438356164383563</c:v>
                </c:pt>
                <c:pt idx="1380">
                  <c:v>16.438356164383563</c:v>
                </c:pt>
                <c:pt idx="1381">
                  <c:v>16.438356164383563</c:v>
                </c:pt>
                <c:pt idx="1382">
                  <c:v>16.438356164383563</c:v>
                </c:pt>
                <c:pt idx="1383">
                  <c:v>16.438356164383563</c:v>
                </c:pt>
                <c:pt idx="1384">
                  <c:v>16.438356164383563</c:v>
                </c:pt>
                <c:pt idx="1385">
                  <c:v>16.438356164383563</c:v>
                </c:pt>
                <c:pt idx="1386">
                  <c:v>16.438356164383563</c:v>
                </c:pt>
                <c:pt idx="1387">
                  <c:v>16.438356164383563</c:v>
                </c:pt>
                <c:pt idx="1388">
                  <c:v>16.438356164383563</c:v>
                </c:pt>
                <c:pt idx="1389">
                  <c:v>16.438356164383563</c:v>
                </c:pt>
                <c:pt idx="1390">
                  <c:v>16.438356164383563</c:v>
                </c:pt>
                <c:pt idx="1391">
                  <c:v>16.438356164383563</c:v>
                </c:pt>
                <c:pt idx="1392">
                  <c:v>16.438356164383563</c:v>
                </c:pt>
                <c:pt idx="1393">
                  <c:v>16.438356164383563</c:v>
                </c:pt>
                <c:pt idx="1394">
                  <c:v>16.438356164383563</c:v>
                </c:pt>
                <c:pt idx="1395">
                  <c:v>16.438356164383563</c:v>
                </c:pt>
                <c:pt idx="1396">
                  <c:v>16.438356164383563</c:v>
                </c:pt>
                <c:pt idx="1397">
                  <c:v>16.438356164383563</c:v>
                </c:pt>
                <c:pt idx="1398">
                  <c:v>16.438356164383563</c:v>
                </c:pt>
                <c:pt idx="1399">
                  <c:v>16.438356164383563</c:v>
                </c:pt>
                <c:pt idx="1400">
                  <c:v>16.438356164383563</c:v>
                </c:pt>
                <c:pt idx="1401">
                  <c:v>16.438356164383563</c:v>
                </c:pt>
                <c:pt idx="1402">
                  <c:v>16.438356164383563</c:v>
                </c:pt>
                <c:pt idx="1403">
                  <c:v>16.438356164383563</c:v>
                </c:pt>
                <c:pt idx="1404">
                  <c:v>16.438356164383563</c:v>
                </c:pt>
                <c:pt idx="1405">
                  <c:v>16.438356164383563</c:v>
                </c:pt>
                <c:pt idx="1406">
                  <c:v>16.438356164383563</c:v>
                </c:pt>
                <c:pt idx="1407">
                  <c:v>16.438356164383563</c:v>
                </c:pt>
                <c:pt idx="1408">
                  <c:v>16.438356164383563</c:v>
                </c:pt>
                <c:pt idx="1409">
                  <c:v>16.438356164383563</c:v>
                </c:pt>
                <c:pt idx="1410">
                  <c:v>16.438356164383563</c:v>
                </c:pt>
                <c:pt idx="1411">
                  <c:v>16.438356164383563</c:v>
                </c:pt>
                <c:pt idx="1412">
                  <c:v>16.438356164383563</c:v>
                </c:pt>
                <c:pt idx="1413">
                  <c:v>16.438356164383563</c:v>
                </c:pt>
                <c:pt idx="1414">
                  <c:v>16.438356164383563</c:v>
                </c:pt>
                <c:pt idx="1415">
                  <c:v>16.438356164383563</c:v>
                </c:pt>
                <c:pt idx="1416">
                  <c:v>16.438356164383563</c:v>
                </c:pt>
                <c:pt idx="1417">
                  <c:v>16.438356164383563</c:v>
                </c:pt>
                <c:pt idx="1418">
                  <c:v>16.438356164383563</c:v>
                </c:pt>
                <c:pt idx="1419">
                  <c:v>16.438356164383563</c:v>
                </c:pt>
                <c:pt idx="1420">
                  <c:v>16.438356164383563</c:v>
                </c:pt>
                <c:pt idx="1421">
                  <c:v>16.438356164383563</c:v>
                </c:pt>
                <c:pt idx="1422">
                  <c:v>16.438356164383563</c:v>
                </c:pt>
                <c:pt idx="1423">
                  <c:v>16.438356164383563</c:v>
                </c:pt>
                <c:pt idx="1424">
                  <c:v>16.438356164383563</c:v>
                </c:pt>
                <c:pt idx="1425">
                  <c:v>16.438356164383563</c:v>
                </c:pt>
                <c:pt idx="1426">
                  <c:v>16.438356164383563</c:v>
                </c:pt>
                <c:pt idx="1427">
                  <c:v>16.438356164383563</c:v>
                </c:pt>
                <c:pt idx="1428">
                  <c:v>16.438356164383563</c:v>
                </c:pt>
                <c:pt idx="1429">
                  <c:v>16.438356164383563</c:v>
                </c:pt>
                <c:pt idx="1430">
                  <c:v>16.438356164383563</c:v>
                </c:pt>
                <c:pt idx="1431">
                  <c:v>16.438356164383563</c:v>
                </c:pt>
                <c:pt idx="1432">
                  <c:v>16.438356164383563</c:v>
                </c:pt>
                <c:pt idx="1433">
                  <c:v>16.438356164383563</c:v>
                </c:pt>
                <c:pt idx="1434">
                  <c:v>16.438356164383563</c:v>
                </c:pt>
                <c:pt idx="1435">
                  <c:v>16.438356164383563</c:v>
                </c:pt>
                <c:pt idx="1436">
                  <c:v>16.438356164383563</c:v>
                </c:pt>
                <c:pt idx="1437">
                  <c:v>16.438356164383563</c:v>
                </c:pt>
                <c:pt idx="1438">
                  <c:v>16.438356164383563</c:v>
                </c:pt>
                <c:pt idx="1439">
                  <c:v>16.438356164383563</c:v>
                </c:pt>
                <c:pt idx="1440">
                  <c:v>16.438356164383563</c:v>
                </c:pt>
                <c:pt idx="1441">
                  <c:v>16.438356164383563</c:v>
                </c:pt>
                <c:pt idx="1442">
                  <c:v>16.438356164383563</c:v>
                </c:pt>
                <c:pt idx="1443">
                  <c:v>16.438356164383563</c:v>
                </c:pt>
                <c:pt idx="1444">
                  <c:v>16.438356164383563</c:v>
                </c:pt>
                <c:pt idx="1445">
                  <c:v>16.438356164383563</c:v>
                </c:pt>
                <c:pt idx="1446">
                  <c:v>16.438356164383563</c:v>
                </c:pt>
                <c:pt idx="1447">
                  <c:v>16.438356164383563</c:v>
                </c:pt>
                <c:pt idx="1448">
                  <c:v>16.438356164383563</c:v>
                </c:pt>
                <c:pt idx="1449">
                  <c:v>16.438356164383563</c:v>
                </c:pt>
                <c:pt idx="1450">
                  <c:v>16.438356164383563</c:v>
                </c:pt>
                <c:pt idx="1451">
                  <c:v>16.438356164383563</c:v>
                </c:pt>
                <c:pt idx="1452">
                  <c:v>16.438356164383563</c:v>
                </c:pt>
                <c:pt idx="1453">
                  <c:v>16.438356164383563</c:v>
                </c:pt>
                <c:pt idx="1454">
                  <c:v>16.438356164383563</c:v>
                </c:pt>
                <c:pt idx="1455">
                  <c:v>16.438356164383563</c:v>
                </c:pt>
                <c:pt idx="1456">
                  <c:v>16.438356164383563</c:v>
                </c:pt>
                <c:pt idx="1457">
                  <c:v>16.438356164383563</c:v>
                </c:pt>
                <c:pt idx="1458">
                  <c:v>16.438356164383563</c:v>
                </c:pt>
                <c:pt idx="1459">
                  <c:v>16.438356164383563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8-4247-8CE4-B9EF4ADD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0844415"/>
        <c:axId val="1740861215"/>
      </c:scatterChart>
      <c:valAx>
        <c:axId val="174084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40861215"/>
        <c:crosses val="autoZero"/>
        <c:crossBetween val="midCat"/>
      </c:valAx>
      <c:valAx>
        <c:axId val="174086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4084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[2]Sheet1!$E$2:$E$56</c:f>
              <c:strCache>
                <c:ptCount val="55"/>
              </c:strCache>
            </c:strRef>
          </c:xVal>
          <c:yVal>
            <c:numRef>
              <c:f>[2]Sheet1!$F$2:$F$56</c:f>
              <c:numCache>
                <c:formatCode>General</c:formatCode>
                <c:ptCount val="5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2-4A67-8340-1E540A63B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11728"/>
        <c:axId val="1413008368"/>
      </c:scatterChart>
      <c:valAx>
        <c:axId val="141301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13008368"/>
        <c:crosses val="autoZero"/>
        <c:crossBetween val="midCat"/>
      </c:valAx>
      <c:valAx>
        <c:axId val="14130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1301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distribucion exponencial de los tiempos entre pedidos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alpha val="96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A5-4542-8CD2-D5F9D7C18490}"/>
              </c:ext>
            </c:extLst>
          </c:dPt>
          <c:xVal>
            <c:strRef>
              <c:f>[2]Sheet1!$E$2:$E$518</c:f>
              <c:strCache>
                <c:ptCount val="517"/>
              </c:strCache>
            </c:strRef>
          </c:xVal>
          <c:yVal>
            <c:numRef>
              <c:f>[2]Sheet1!$F$2:$F$518</c:f>
              <c:numCache>
                <c:formatCode>General</c:formatCode>
                <c:ptCount val="51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5-4542-8CD2-D5F9D7C1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29247"/>
        <c:axId val="680226847"/>
      </c:scatterChart>
      <c:valAx>
        <c:axId val="68022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0226847"/>
        <c:crosses val="autoZero"/>
        <c:crossBetween val="midCat"/>
      </c:valAx>
      <c:valAx>
        <c:axId val="6802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022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Tiempo entre pedidos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Tiempo entre pedidos</a:t>
          </a:r>
        </a:p>
      </cx:txPr>
    </cx:title>
    <cx:plotArea>
      <cx:plotAreaRegion>
        <cx:series layoutId="clusteredColumn" uniqueId="{47B91DF8-9D6F-4EC5-ACA8-62BA44E66327}">
          <cx:tx>
            <cx:txData>
              <cx:f/>
              <cx:v>Tiempo_Entre_Pedidos</cx:v>
            </cx:txData>
          </cx:tx>
          <cx:dataId val="0"/>
          <cx:layoutPr>
            <cx:binning intervalClosed="r">
              <cx:binSize val="13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1683814</xdr:colOff>
      <xdr:row>114</xdr:row>
      <xdr:rowOff>164895</xdr:rowOff>
    </xdr:from>
    <xdr:to>
      <xdr:col>3</xdr:col>
      <xdr:colOff>794263</xdr:colOff>
      <xdr:row>125</xdr:row>
      <xdr:rowOff>28166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70A80715-5D7E-4B77-A539-C79395E85E09}"/>
            </a:ext>
          </a:extLst>
        </xdr:cNvPr>
        <xdr:cNvSpPr/>
      </xdr:nvSpPr>
      <xdr:spPr>
        <a:xfrm>
          <a:off x="5455714" y="21723145"/>
          <a:ext cx="1948899" cy="211752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1687534</xdr:colOff>
      <xdr:row>10</xdr:row>
      <xdr:rowOff>78288</xdr:rowOff>
    </xdr:from>
    <xdr:to>
      <xdr:col>5</xdr:col>
      <xdr:colOff>687192</xdr:colOff>
      <xdr:row>18</xdr:row>
      <xdr:rowOff>52191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EB4AECA-2621-4AB8-8904-E3E38DAF138A}"/>
            </a:ext>
          </a:extLst>
        </xdr:cNvPr>
        <xdr:cNvCxnSpPr/>
      </xdr:nvCxnSpPr>
      <xdr:spPr>
        <a:xfrm flipH="1">
          <a:off x="3706834" y="2110288"/>
          <a:ext cx="8143658" cy="14534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1764656</xdr:colOff>
      <xdr:row>63</xdr:row>
      <xdr:rowOff>95791</xdr:rowOff>
    </xdr:from>
    <xdr:to>
      <xdr:col>2</xdr:col>
      <xdr:colOff>2621355</xdr:colOff>
      <xdr:row>74</xdr:row>
      <xdr:rowOff>63384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E7F5481-7C41-463A-9BF9-7618A84EC079}"/>
            </a:ext>
          </a:extLst>
        </xdr:cNvPr>
        <xdr:cNvSpPr/>
      </xdr:nvSpPr>
      <xdr:spPr>
        <a:xfrm>
          <a:off x="7401215" y="12691203"/>
          <a:ext cx="856699" cy="22872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1773259</xdr:colOff>
      <xdr:row>0</xdr:row>
      <xdr:rowOff>0</xdr:rowOff>
    </xdr:from>
    <xdr:to>
      <xdr:col>9</xdr:col>
      <xdr:colOff>191892</xdr:colOff>
      <xdr:row>6</xdr:row>
      <xdr:rowOff>173928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FB47329-FD40-437A-A659-1E21C497533F}"/>
            </a:ext>
          </a:extLst>
        </xdr:cNvPr>
        <xdr:cNvCxnSpPr/>
      </xdr:nvCxnSpPr>
      <xdr:spPr>
        <a:xfrm flipH="1">
          <a:off x="10107634" y="0"/>
          <a:ext cx="9153308" cy="15074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2266520</xdr:colOff>
      <xdr:row>115</xdr:row>
      <xdr:rowOff>30424</xdr:rowOff>
    </xdr:from>
    <xdr:to>
      <xdr:col>4</xdr:col>
      <xdr:colOff>1533852</xdr:colOff>
      <xdr:row>125</xdr:row>
      <xdr:rowOff>84195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3AA027F1-119C-E437-92B5-5427FD38CAD5}"/>
            </a:ext>
          </a:extLst>
        </xdr:cNvPr>
        <xdr:cNvSpPr/>
      </xdr:nvSpPr>
      <xdr:spPr>
        <a:xfrm>
          <a:off x="8575432" y="22610277"/>
          <a:ext cx="1811067" cy="216047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1154134</xdr:colOff>
      <xdr:row>4</xdr:row>
      <xdr:rowOff>173538</xdr:rowOff>
    </xdr:from>
    <xdr:to>
      <xdr:col>5</xdr:col>
      <xdr:colOff>163317</xdr:colOff>
      <xdr:row>11</xdr:row>
      <xdr:rowOff>128391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BEE9731-6373-2251-14AB-341AD546DB34}"/>
            </a:ext>
          </a:extLst>
        </xdr:cNvPr>
        <xdr:cNvCxnSpPr/>
      </xdr:nvCxnSpPr>
      <xdr:spPr>
        <a:xfrm flipH="1">
          <a:off x="3078184" y="935538"/>
          <a:ext cx="7743608" cy="15074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577100</xdr:colOff>
      <xdr:row>192</xdr:row>
      <xdr:rowOff>130626</xdr:rowOff>
    </xdr:from>
    <xdr:to>
      <xdr:col>1</xdr:col>
      <xdr:colOff>2529929</xdr:colOff>
      <xdr:row>202</xdr:row>
      <xdr:rowOff>177342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86CBCD75-D32F-494D-AE58-CE1D72FD47BC}"/>
            </a:ext>
          </a:extLst>
        </xdr:cNvPr>
        <xdr:cNvSpPr/>
      </xdr:nvSpPr>
      <xdr:spPr>
        <a:xfrm>
          <a:off x="7181100" y="22002848"/>
          <a:ext cx="1952829" cy="21069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848775</xdr:colOff>
      <xdr:row>20</xdr:row>
      <xdr:rowOff>134317</xdr:rowOff>
    </xdr:from>
    <xdr:to>
      <xdr:col>3</xdr:col>
      <xdr:colOff>2289634</xdr:colOff>
      <xdr:row>28</xdr:row>
      <xdr:rowOff>119426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49446FA-9D78-48B1-8DF7-12BA49955594}"/>
            </a:ext>
          </a:extLst>
        </xdr:cNvPr>
        <xdr:cNvCxnSpPr/>
      </xdr:nvCxnSpPr>
      <xdr:spPr>
        <a:xfrm flipH="1">
          <a:off x="848775" y="4168435"/>
          <a:ext cx="7749771" cy="15091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258784</xdr:colOff>
      <xdr:row>126</xdr:row>
      <xdr:rowOff>11613</xdr:rowOff>
    </xdr:from>
    <xdr:to>
      <xdr:col>7</xdr:col>
      <xdr:colOff>944367</xdr:colOff>
      <xdr:row>132</xdr:row>
      <xdr:rowOff>366516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2484E2D8-45D6-4F02-9301-BCB728C53525}"/>
            </a:ext>
          </a:extLst>
        </xdr:cNvPr>
        <xdr:cNvCxnSpPr/>
      </xdr:nvCxnSpPr>
      <xdr:spPr>
        <a:xfrm flipH="1">
          <a:off x="6564334" y="24814713"/>
          <a:ext cx="7743608" cy="15074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1742482</xdr:colOff>
      <xdr:row>187</xdr:row>
      <xdr:rowOff>38068</xdr:rowOff>
    </xdr:from>
    <xdr:to>
      <xdr:col>2</xdr:col>
      <xdr:colOff>1943475</xdr:colOff>
      <xdr:row>197</xdr:row>
      <xdr:rowOff>70442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6420FBC-B1B2-491A-B4A1-10851D83DD0A}"/>
            </a:ext>
          </a:extLst>
        </xdr:cNvPr>
        <xdr:cNvSpPr/>
      </xdr:nvSpPr>
      <xdr:spPr>
        <a:xfrm>
          <a:off x="3757917" y="34673177"/>
          <a:ext cx="1954145" cy="20754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1913075</xdr:colOff>
      <xdr:row>1</xdr:row>
      <xdr:rowOff>67235</xdr:rowOff>
    </xdr:from>
    <xdr:to>
      <xdr:col>9</xdr:col>
      <xdr:colOff>389719</xdr:colOff>
      <xdr:row>8</xdr:row>
      <xdr:rowOff>48465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AC7AAD4-0862-4AF6-B1ED-1B1BB74D9017}"/>
            </a:ext>
          </a:extLst>
        </xdr:cNvPr>
        <xdr:cNvCxnSpPr/>
      </xdr:nvCxnSpPr>
      <xdr:spPr>
        <a:xfrm flipH="1">
          <a:off x="9028810" y="257735"/>
          <a:ext cx="9200674" cy="15052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1068409</xdr:colOff>
      <xdr:row>145</xdr:row>
      <xdr:rowOff>87813</xdr:rowOff>
    </xdr:from>
    <xdr:to>
      <xdr:col>6</xdr:col>
      <xdr:colOff>830067</xdr:colOff>
      <xdr:row>153</xdr:row>
      <xdr:rowOff>71241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C469269-B79C-4258-8D2B-314E305C8EC9}"/>
            </a:ext>
          </a:extLst>
        </xdr:cNvPr>
        <xdr:cNvCxnSpPr/>
      </xdr:nvCxnSpPr>
      <xdr:spPr>
        <a:xfrm flipH="1">
          <a:off x="5488009" y="28710438"/>
          <a:ext cx="9200933" cy="15074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720233</xdr:colOff>
      <xdr:row>5</xdr:row>
      <xdr:rowOff>137934</xdr:rowOff>
    </xdr:from>
    <xdr:to>
      <xdr:col>35</xdr:col>
      <xdr:colOff>702915</xdr:colOff>
      <xdr:row>18</xdr:row>
      <xdr:rowOff>158716</xdr:rowOff>
    </xdr:to>
    <xdr:graphicFrame macro="">
      <xdr:nvGraphicFramePr>
        <xdr:cNvPr id="2" name="Gráfico 11">
          <a:extLst>
            <a:ext uri="{FF2B5EF4-FFF2-40B4-BE49-F238E27FC236}">
              <a16:creationId xmlns:a16="http://schemas.microsoft.com/office/drawing/2014/main" id="{0C494DE5-ECED-4020-B5A1-85B5A4BF6255}"/>
            </a:ext>
            <a:ext uri="{147F2762-F138-4A5C-976F-8EAC2B608ADB}">
              <a16:predDERef xmlns:a16="http://schemas.microsoft.com/office/drawing/2014/main" pred="{AA026A16-19A8-4C14-87E4-C77590587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0</xdr:colOff>
      <xdr:row>139</xdr:row>
      <xdr:rowOff>125186</xdr:rowOff>
    </xdr:from>
    <xdr:to>
      <xdr:col>30</xdr:col>
      <xdr:colOff>2098</xdr:colOff>
      <xdr:row>146</xdr:row>
      <xdr:rowOff>134711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">
              <a:extLst>
                <a:ext uri="{FF2B5EF4-FFF2-40B4-BE49-F238E27FC236}">
                  <a16:creationId xmlns:a16="http://schemas.microsoft.com/office/drawing/2014/main" id="{EA61E780-8DB7-4B51-AA70-340DF998A0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37636" y="29860504"/>
              <a:ext cx="7193179" cy="14642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676157</xdr:colOff>
      <xdr:row>187</xdr:row>
      <xdr:rowOff>177840</xdr:rowOff>
    </xdr:from>
    <xdr:to>
      <xdr:col>28</xdr:col>
      <xdr:colOff>666324</xdr:colOff>
      <xdr:row>195</xdr:row>
      <xdr:rowOff>19285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FECHA 1">
              <a:extLst>
                <a:ext uri="{FF2B5EF4-FFF2-40B4-BE49-F238E27FC236}">
                  <a16:creationId xmlns:a16="http://schemas.microsoft.com/office/drawing/2014/main" id="{370DC603-B92F-4E61-AF06-579FC5EBA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24430" y="40511885"/>
              <a:ext cx="6815736" cy="15039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29</xdr:col>
      <xdr:colOff>200602</xdr:colOff>
      <xdr:row>166</xdr:row>
      <xdr:rowOff>4372</xdr:rowOff>
    </xdr:from>
    <xdr:to>
      <xdr:col>33</xdr:col>
      <xdr:colOff>513978</xdr:colOff>
      <xdr:row>178</xdr:row>
      <xdr:rowOff>205097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45268EB-8F6E-4874-AA8E-42667CA2B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115659</xdr:colOff>
      <xdr:row>67</xdr:row>
      <xdr:rowOff>29936</xdr:rowOff>
    </xdr:from>
    <xdr:to>
      <xdr:col>23</xdr:col>
      <xdr:colOff>1571624</xdr:colOff>
      <xdr:row>80</xdr:row>
      <xdr:rowOff>119743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1AB4E49-748B-4D4D-AC34-FF0E0F30C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809624</xdr:colOff>
      <xdr:row>112</xdr:row>
      <xdr:rowOff>57149</xdr:rowOff>
    </xdr:from>
    <xdr:to>
      <xdr:col>23</xdr:col>
      <xdr:colOff>1421946</xdr:colOff>
      <xdr:row>125</xdr:row>
      <xdr:rowOff>146957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AFF71A1-F076-4076-8F31-FC6C734A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286568</xdr:colOff>
      <xdr:row>4</xdr:row>
      <xdr:rowOff>46602</xdr:rowOff>
    </xdr:from>
    <xdr:to>
      <xdr:col>16</xdr:col>
      <xdr:colOff>15259</xdr:colOff>
      <xdr:row>19</xdr:row>
      <xdr:rowOff>27551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95FCF06-C5F8-4885-BA50-A4E686AF04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  <xdr:twoCellAnchor>
    <xdr:from>
      <xdr:col>7</xdr:col>
      <xdr:colOff>606425</xdr:colOff>
      <xdr:row>42</xdr:row>
      <xdr:rowOff>41275</xdr:rowOff>
    </xdr:from>
    <xdr:to>
      <xdr:col>15</xdr:col>
      <xdr:colOff>301625</xdr:colOff>
      <xdr:row>57</xdr:row>
      <xdr:rowOff>22225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FD7FAC-8EB3-4711-93E3-3084475DE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317500</xdr:colOff>
      <xdr:row>21</xdr:row>
      <xdr:rowOff>0</xdr:rowOff>
    </xdr:from>
    <xdr:to>
      <xdr:col>20</xdr:col>
      <xdr:colOff>245808</xdr:colOff>
      <xdr:row>35</xdr:row>
      <xdr:rowOff>165305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9DC174-2A94-4B12-8EDD-05AD18229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21</xdr:col>
      <xdr:colOff>295148</xdr:colOff>
      <xdr:row>4</xdr:row>
      <xdr:rowOff>118445</xdr:rowOff>
    </xdr:from>
    <xdr:ext cx="8050161" cy="61120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82288F-FE07-4FAE-85B8-1D4B02BAF447}"/>
                </a:ext>
              </a:extLst>
            </xdr:cNvPr>
            <xdr:cNvSpPr txBox="1"/>
          </xdr:nvSpPr>
          <xdr:spPr>
            <a:xfrm>
              <a:off x="12496673" y="880445"/>
              <a:ext cx="8050161" cy="611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s-PE" sz="1600" b="1"/>
                <a:t>El objetivo: predecir cuántos pedidos ocurrirán en un periodo</a:t>
              </a:r>
            </a:p>
            <a:p>
              <a:r>
                <a:rPr lang="es-PE" sz="1600"/>
                <a:t>Tú tienes </a:t>
              </a:r>
              <a:r>
                <a:rPr lang="es-PE" sz="1600" b="1"/>
                <a:t>tiempos entre pedidos</a:t>
              </a:r>
              <a:r>
                <a:rPr lang="es-PE" sz="1600"/>
                <a:t> (inter-arrivals).</a:t>
              </a:r>
              <a:br>
                <a:rPr lang="es-PE" sz="1600"/>
              </a:br>
              <a:r>
                <a:rPr lang="es-PE" sz="1600"/>
                <a:t>El modelo dice: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PE" sz="1600" b="0"/>
                      <m:t>Tiempo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entre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pedidos</m:t>
                    </m:r>
                    <m:r>
                      <a:rPr lang="es-PE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∼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Exponencial</m:t>
                    </m:r>
                    <m:d>
                      <m:dPr>
                        <m:ctrlPr>
                          <a:rPr lang="ar-AE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</m:e>
                    </m:d>
                  </m:oMath>
                </m:oMathPara>
              </a14:m>
              <a:endParaRPr lang="ar-AE" sz="1600" b="0"/>
            </a:p>
            <a:p>
              <a:r>
                <a:rPr lang="es-PE" sz="1600"/>
                <a:t>Si eso es cierto, ocurre algo </a:t>
              </a:r>
              <a:r>
                <a:rPr lang="es-PE" sz="1600" b="1"/>
                <a:t>muy poderoso</a:t>
              </a:r>
              <a:r>
                <a:rPr lang="es-PE" sz="1600"/>
                <a:t>:</a:t>
              </a:r>
            </a:p>
            <a:p>
              <a:br>
                <a:rPr lang="es-PE" sz="1600"/>
              </a:br>
              <a:r>
                <a:rPr lang="es-PE" sz="1600" b="1"/>
                <a:t>Propiedad clave:</a:t>
              </a:r>
            </a:p>
            <a:p>
              <a:r>
                <a:rPr lang="es-PE" sz="1600" b="1"/>
                <a:t>Exponencial → Proceso de Poisson → Predicción de eventos en el tiempo</a:t>
              </a:r>
            </a:p>
            <a:p>
              <a:r>
                <a:rPr lang="es-PE" sz="1600"/>
                <a:t>La exponencial automáticamente implica lo siguiente: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s-PE" sz="1600" b="0"/>
                      <m:t>N</m:t>
                    </m:r>
                    <m:r>
                      <m:rPr>
                        <m:nor/>
                      </m:rPr>
                      <a:rPr lang="es-PE" sz="1600" b="0"/>
                      <m:t>º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de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pedidos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en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un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periodo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de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m:rPr>
                        <m:nor/>
                      </m:rPr>
                      <a:rPr lang="es-PE" sz="1600" b="0" i="1"/>
                      <m:t>longitud</m:t>
                    </m:r>
                    <m:r>
                      <m:rPr>
                        <m:nor/>
                      </m:rPr>
                      <a:rPr lang="es-PE" sz="1600" b="0" i="1"/>
                      <m:t> </m:t>
                    </m:r>
                    <m:r>
                      <a:rPr lang="es-PE" sz="16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PE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∼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Poisson</m:t>
                    </m:r>
                    <m:d>
                      <m:dPr>
                        <m:ctrlPr>
                          <a:rPr lang="ar-AE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ar-AE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𝜆</m:t>
                        </m:r>
                        <m:r>
                          <a:rPr lang="ar-AE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⋅</m:t>
                        </m:r>
                        <m:r>
                          <a:rPr lang="ar-AE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ar-AE" sz="1600" b="0"/>
            </a:p>
            <a:p>
              <a:r>
                <a:rPr lang="es-PE" sz="1600"/>
                <a:t>Es decir:</a:t>
              </a:r>
            </a:p>
            <a:p>
              <a:r>
                <a:rPr lang="es-PE" sz="1600" b="1"/>
                <a:t>Si conoces </a:t>
              </a:r>
              <a:r>
                <a:rPr lang="el-GR" sz="1600" b="1"/>
                <a:t>λ, </a:t>
              </a:r>
              <a:r>
                <a:rPr lang="es-PE" sz="1600" b="1"/>
                <a:t>puedes predecir cuántos pedidos habrá en cualquier periodo</a:t>
              </a:r>
            </a:p>
            <a:p>
              <a:r>
                <a:rPr lang="es-PE" sz="1600"/>
                <a:t>Día, mes, año, 1460 días… lo que quieras.</a:t>
              </a:r>
            </a:p>
            <a:p>
              <a:br>
                <a:rPr lang="es-PE" sz="1600"/>
              </a:br>
              <a:r>
                <a:rPr lang="es-PE" sz="1600" b="1"/>
                <a:t>¿Qué significa eso en la práctica?</a:t>
              </a:r>
            </a:p>
            <a:p>
              <a:r>
                <a:rPr lang="es-PE" sz="1600"/>
                <a:t>Con tu valor: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𝜆</m:t>
                    </m:r>
                    <m:r>
                      <a:rPr lang="es-PE" sz="16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es-PE" sz="16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s-PE" sz="16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065838509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pedidos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por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d</m:t>
                    </m:r>
                    <m:limUpp>
                      <m:limUppPr>
                        <m:ctrlPr>
                          <a:rPr lang="ar-AE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limUppPr>
                      <m:e>
                        <m:r>
                          <m:rPr>
                            <m:nor/>
                          </m:rPr>
                          <a:rPr lang="es-PE" sz="1600" b="0" i="1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rPr>
                          <m:t>ı</m:t>
                        </m:r>
                      </m:e>
                      <m:lim>
                        <m:r>
                          <a:rPr lang="ar-AE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ˊ</m:t>
                        </m:r>
                      </m:lim>
                    </m:limUpp>
                    <m:r>
                      <m:rPr>
                        <m:nor/>
                      </m:rPr>
                      <a:rPr lang="es-PE" sz="1600" b="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a</m:t>
                    </m:r>
                  </m:oMath>
                </m:oMathPara>
              </a14:m>
              <a:endParaRPr lang="es-PE" sz="1600" b="0"/>
            </a:p>
            <a:p>
              <a:r>
                <a:rPr lang="es-PE" sz="1600"/>
                <a:t>Eso implica:</a:t>
              </a:r>
            </a:p>
            <a:p>
              <a:r>
                <a:rPr lang="es-PE" sz="1600" b="1"/>
                <a:t>✔ Promedio de pedidos por día: 0.0658</a:t>
              </a:r>
            </a:p>
            <a:p>
              <a:r>
                <a:rPr lang="es-PE" sz="1600" b="1"/>
                <a:t>✔ Promedio de pedidos en 730</a:t>
              </a:r>
              <a:r>
                <a:rPr lang="es-PE" sz="1600" b="1" baseline="0"/>
                <a:t> (tiempo de juego) </a:t>
              </a:r>
              <a:r>
                <a:rPr lang="es-PE" sz="1600" b="1"/>
                <a:t>días: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𝜆</m:t>
                    </m:r>
                    <m:r>
                      <a:rPr lang="es-PE" sz="16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es-ES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730</m:t>
                    </m:r>
                    <m:r>
                      <a:rPr lang="es-PE" sz="160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=0.065838509⋅730≈</m:t>
                    </m:r>
                    <m:r>
                      <a:rPr lang="es-ES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48.062</m:t>
                    </m:r>
                  </m:oMath>
                </m:oMathPara>
              </a14:m>
              <a:endParaRPr lang="es-PE" sz="16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6582288F-FE07-4FAE-85B8-1D4B02BAF447}"/>
                </a:ext>
              </a:extLst>
            </xdr:cNvPr>
            <xdr:cNvSpPr txBox="1"/>
          </xdr:nvSpPr>
          <xdr:spPr>
            <a:xfrm>
              <a:off x="12496673" y="880445"/>
              <a:ext cx="8050161" cy="61120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s-PE" sz="1600" b="1"/>
                <a:t>El objetivo: predecir cuántos pedidos ocurrirán en un periodo</a:t>
              </a:r>
            </a:p>
            <a:p>
              <a:r>
                <a:rPr lang="es-PE" sz="1600"/>
                <a:t>Tú tienes </a:t>
              </a:r>
              <a:r>
                <a:rPr lang="es-PE" sz="1600" b="1"/>
                <a:t>tiempos entre pedidos</a:t>
              </a:r>
              <a:r>
                <a:rPr lang="es-PE" sz="1600"/>
                <a:t> (inter-arrivals).</a:t>
              </a:r>
              <a:br>
                <a:rPr lang="es-PE" sz="1600"/>
              </a:br>
              <a:r>
                <a:rPr lang="es-PE" sz="1600"/>
                <a:t>El modelo dice:</a:t>
              </a:r>
            </a:p>
            <a:p>
              <a:pPr/>
              <a:r>
                <a:rPr lang="es-PE" sz="1600" b="0" i="0">
                  <a:latin typeface="Cambria Math" panose="02040503050406030204" pitchFamily="18" charset="0"/>
                </a:rPr>
                <a:t>"Tiempo entre pedidos</a:t>
              </a:r>
              <a:r>
                <a:rPr lang="es-P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"∼"Exponencial</a:t>
              </a:r>
              <a:r>
                <a:rPr lang="ar-A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(𝜆)</a:t>
              </a:r>
              <a:endParaRPr lang="ar-AE" sz="1600" b="0"/>
            </a:p>
            <a:p>
              <a:r>
                <a:rPr lang="es-PE" sz="1600"/>
                <a:t>Si eso es cierto, ocurre algo </a:t>
              </a:r>
              <a:r>
                <a:rPr lang="es-PE" sz="1600" b="1"/>
                <a:t>muy poderoso</a:t>
              </a:r>
              <a:r>
                <a:rPr lang="es-PE" sz="1600"/>
                <a:t>:</a:t>
              </a:r>
            </a:p>
            <a:p>
              <a:br>
                <a:rPr lang="es-PE" sz="1600"/>
              </a:br>
              <a:r>
                <a:rPr lang="es-PE" sz="1600" b="1"/>
                <a:t>Propiedad clave:</a:t>
              </a:r>
            </a:p>
            <a:p>
              <a:r>
                <a:rPr lang="es-PE" sz="1600" b="1"/>
                <a:t>Exponencial → Proceso de Poisson → Predicción de eventos en el tiempo</a:t>
              </a:r>
            </a:p>
            <a:p>
              <a:r>
                <a:rPr lang="es-PE" sz="1600"/>
                <a:t>La exponencial automáticamente implica lo siguiente:</a:t>
              </a:r>
            </a:p>
            <a:p>
              <a:pPr/>
              <a:r>
                <a:rPr lang="es-PE" sz="1600" b="0" i="0">
                  <a:latin typeface="Cambria Math" panose="02040503050406030204" pitchFamily="18" charset="0"/>
                </a:rPr>
                <a:t>"Nº de pedidos en un periodo de longitud " 𝑇</a:t>
              </a:r>
              <a:r>
                <a:rPr lang="es-P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∼"Poisson</a:t>
              </a:r>
              <a:r>
                <a:rPr lang="ar-A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(𝜆⋅𝑇)</a:t>
              </a:r>
              <a:endParaRPr lang="ar-AE" sz="1600" b="0"/>
            </a:p>
            <a:p>
              <a:r>
                <a:rPr lang="es-PE" sz="1600"/>
                <a:t>Es decir:</a:t>
              </a:r>
            </a:p>
            <a:p>
              <a:r>
                <a:rPr lang="es-PE" sz="1600" b="1"/>
                <a:t>Si conoces </a:t>
              </a:r>
              <a:r>
                <a:rPr lang="el-GR" sz="1600" b="1"/>
                <a:t>λ, </a:t>
              </a:r>
              <a:r>
                <a:rPr lang="es-PE" sz="1600" b="1"/>
                <a:t>puedes predecir cuántos pedidos habrá en cualquier periodo</a:t>
              </a:r>
            </a:p>
            <a:p>
              <a:r>
                <a:rPr lang="es-PE" sz="1600"/>
                <a:t>Día, mes, año, 1460 días… lo que quieras.</a:t>
              </a:r>
            </a:p>
            <a:p>
              <a:br>
                <a:rPr lang="es-PE" sz="1600"/>
              </a:br>
              <a:r>
                <a:rPr lang="es-PE" sz="1600" b="1"/>
                <a:t>¿Qué significa eso en la práctica?</a:t>
              </a:r>
            </a:p>
            <a:p>
              <a:r>
                <a:rPr lang="es-PE" sz="1600"/>
                <a:t>Con tu valor:</a:t>
              </a:r>
            </a:p>
            <a:p>
              <a:pPr/>
              <a:r>
                <a:rPr lang="es-PE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𝜆=0.065838509</a:t>
              </a:r>
              <a:r>
                <a:rPr lang="es-P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pedidos por d</a:t>
              </a:r>
              <a:r>
                <a:rPr lang="ar-A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s-PE" sz="16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"ı</a:t>
              </a:r>
              <a:r>
                <a:rPr lang="es-P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ar-A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┴ˊ</a:t>
              </a:r>
              <a:r>
                <a:rPr lang="es-PE" sz="16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 </a:t>
              </a:r>
              <a:r>
                <a:rPr lang="es-PE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"a</a:t>
              </a:r>
              <a:r>
                <a:rPr lang="es-PE" sz="16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</a:t>
              </a:r>
              <a:endParaRPr lang="es-PE" sz="1600" b="0"/>
            </a:p>
            <a:p>
              <a:r>
                <a:rPr lang="es-PE" sz="1600"/>
                <a:t>Eso implica:</a:t>
              </a:r>
            </a:p>
            <a:p>
              <a:r>
                <a:rPr lang="es-PE" sz="1600" b="1"/>
                <a:t>✔ Promedio de pedidos por día: 0.0658</a:t>
              </a:r>
            </a:p>
            <a:p>
              <a:r>
                <a:rPr lang="es-PE" sz="1600" b="1"/>
                <a:t>✔ Promedio de pedidos en 730</a:t>
              </a:r>
              <a:r>
                <a:rPr lang="es-PE" sz="1600" b="1" baseline="0"/>
                <a:t> (tiempo de juego) </a:t>
              </a:r>
              <a:r>
                <a:rPr lang="es-PE" sz="1600" b="1"/>
                <a:t>días:</a:t>
              </a:r>
            </a:p>
            <a:p>
              <a:pPr/>
              <a:r>
                <a:rPr lang="es-PE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𝜆⋅</a:t>
              </a:r>
              <a:r>
                <a:rPr lang="es-ES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730</a:t>
              </a:r>
              <a:r>
                <a:rPr lang="es-PE" sz="160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=0.065838509⋅730≈</a:t>
              </a:r>
              <a:r>
                <a:rPr lang="es-ES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48.062</a:t>
              </a:r>
              <a:endParaRPr lang="es-PE" sz="16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/personal/reynaldo_cuadrado_alum_udep_edu_pe/Documents/AN&#193;LISIS%20PARA%20EL%20MULTIREGI&#211;N.xlsx" TargetMode="External"/><Relationship Id="rId2" Type="http://schemas.openxmlformats.org/officeDocument/2006/relationships/externalLinkPath" Target="https://udepoffice365ms-my.sharepoint.com/personal/reynaldo_cuadrado_alum_udep_edu_pe/Documents/AN&#193;LISIS%20PARA%20EL%20MULTIREGI&#211;N.xlsx" TargetMode="External"/><Relationship Id="rId1" Type="http://schemas.openxmlformats.org/officeDocument/2006/relationships/externalLinkPath" Target="/personal/reynaldo_cuadrado_alum_udep_edu_pe/Documents/AN&#193;LISIS%20PARA%20EL%20MULTIREGI&#211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ICIO"/>
      <sheetName val="ANALISIS GLOBAL EOQ"/>
      <sheetName val="Q ES ESTO REY"/>
      <sheetName val="ANALISSI DEMANDA PRONOSTICO"/>
      <sheetName val="PRO.ETWORD EXTRA"/>
      <sheetName val="ANALISI DEMANDA REAL "/>
      <sheetName val="ANALISIS DEMNADA SIMULACION"/>
      <sheetName val="NO VALE ESTO"/>
      <sheetName val="PRO.FARDO"/>
      <sheetName val="PUEDE Q VALGA"/>
      <sheetName val="VALE (ANALISI FARDO EXTRA)"/>
      <sheetName val="FALTA ANALISI EOQ"/>
      <sheetName val="Hoja1"/>
      <sheetName val="ANALISI DE PRUEVA SIMU"/>
    </sheetNames>
    <sheetDataSet>
      <sheetData sheetId="0"/>
      <sheetData sheetId="1"/>
      <sheetData sheetId="2"/>
      <sheetData sheetId="3">
        <row r="4">
          <cell r="L4" t="str">
            <v>ENTWORPE VERDADERO</v>
          </cell>
        </row>
        <row r="5">
          <cell r="B5">
            <v>1</v>
          </cell>
          <cell r="D5">
            <v>11</v>
          </cell>
          <cell r="H5">
            <v>0</v>
          </cell>
          <cell r="L5">
            <v>0</v>
          </cell>
        </row>
        <row r="6">
          <cell r="B6">
            <v>2</v>
          </cell>
          <cell r="D6">
            <v>7</v>
          </cell>
          <cell r="H6">
            <v>0</v>
          </cell>
          <cell r="L6">
            <v>0</v>
          </cell>
        </row>
        <row r="7">
          <cell r="B7">
            <v>3</v>
          </cell>
          <cell r="D7">
            <v>4</v>
          </cell>
          <cell r="H7">
            <v>0</v>
          </cell>
          <cell r="L7">
            <v>0</v>
          </cell>
        </row>
        <row r="8">
          <cell r="B8">
            <v>4</v>
          </cell>
          <cell r="D8">
            <v>8</v>
          </cell>
          <cell r="H8">
            <v>0</v>
          </cell>
          <cell r="L8">
            <v>0</v>
          </cell>
        </row>
        <row r="9">
          <cell r="B9">
            <v>5</v>
          </cell>
          <cell r="D9">
            <v>5</v>
          </cell>
          <cell r="H9">
            <v>0</v>
          </cell>
          <cell r="L9">
            <v>0</v>
          </cell>
        </row>
        <row r="10">
          <cell r="B10">
            <v>6</v>
          </cell>
          <cell r="D10">
            <v>8</v>
          </cell>
          <cell r="H10">
            <v>0</v>
          </cell>
          <cell r="L10">
            <v>0</v>
          </cell>
        </row>
        <row r="11">
          <cell r="B11">
            <v>7</v>
          </cell>
          <cell r="D11">
            <v>14</v>
          </cell>
          <cell r="H11">
            <v>0</v>
          </cell>
          <cell r="L11">
            <v>0</v>
          </cell>
        </row>
        <row r="12">
          <cell r="B12">
            <v>8</v>
          </cell>
          <cell r="D12">
            <v>6</v>
          </cell>
          <cell r="H12">
            <v>0</v>
          </cell>
          <cell r="L12">
            <v>0</v>
          </cell>
        </row>
        <row r="13">
          <cell r="B13">
            <v>9</v>
          </cell>
          <cell r="D13">
            <v>31</v>
          </cell>
          <cell r="H13">
            <v>0</v>
          </cell>
          <cell r="L13">
            <v>0</v>
          </cell>
        </row>
        <row r="14">
          <cell r="B14">
            <v>10</v>
          </cell>
          <cell r="D14">
            <v>7</v>
          </cell>
          <cell r="H14">
            <v>0</v>
          </cell>
          <cell r="L14">
            <v>0</v>
          </cell>
        </row>
        <row r="15">
          <cell r="B15">
            <v>11</v>
          </cell>
          <cell r="D15">
            <v>7</v>
          </cell>
          <cell r="H15">
            <v>0</v>
          </cell>
          <cell r="L15">
            <v>0</v>
          </cell>
        </row>
        <row r="16">
          <cell r="B16">
            <v>12</v>
          </cell>
          <cell r="D16">
            <v>19</v>
          </cell>
          <cell r="H16">
            <v>0</v>
          </cell>
          <cell r="L16">
            <v>0</v>
          </cell>
        </row>
        <row r="17">
          <cell r="B17">
            <v>13</v>
          </cell>
          <cell r="D17">
            <v>5</v>
          </cell>
          <cell r="H17">
            <v>0</v>
          </cell>
          <cell r="L17">
            <v>0</v>
          </cell>
        </row>
        <row r="18">
          <cell r="B18">
            <v>14</v>
          </cell>
          <cell r="D18">
            <v>6</v>
          </cell>
          <cell r="H18">
            <v>0</v>
          </cell>
          <cell r="L18">
            <v>0</v>
          </cell>
        </row>
        <row r="19">
          <cell r="B19">
            <v>15</v>
          </cell>
          <cell r="D19">
            <v>7</v>
          </cell>
          <cell r="H19">
            <v>0</v>
          </cell>
          <cell r="L19">
            <v>0</v>
          </cell>
        </row>
        <row r="20">
          <cell r="B20">
            <v>16</v>
          </cell>
          <cell r="D20">
            <v>5</v>
          </cell>
          <cell r="H20">
            <v>0</v>
          </cell>
          <cell r="L20">
            <v>0</v>
          </cell>
        </row>
        <row r="21">
          <cell r="B21">
            <v>17</v>
          </cell>
          <cell r="D21">
            <v>14</v>
          </cell>
          <cell r="H21">
            <v>0</v>
          </cell>
          <cell r="L21">
            <v>0</v>
          </cell>
        </row>
        <row r="22">
          <cell r="B22">
            <v>18</v>
          </cell>
          <cell r="D22">
            <v>25</v>
          </cell>
          <cell r="H22">
            <v>0</v>
          </cell>
          <cell r="L22">
            <v>0</v>
          </cell>
        </row>
        <row r="23">
          <cell r="B23">
            <v>19</v>
          </cell>
          <cell r="D23">
            <v>2</v>
          </cell>
          <cell r="H23">
            <v>0</v>
          </cell>
          <cell r="L23">
            <v>0</v>
          </cell>
        </row>
        <row r="24">
          <cell r="B24">
            <v>20</v>
          </cell>
          <cell r="D24">
            <v>4</v>
          </cell>
          <cell r="H24">
            <v>0</v>
          </cell>
          <cell r="L24">
            <v>0</v>
          </cell>
        </row>
        <row r="25">
          <cell r="B25">
            <v>21</v>
          </cell>
          <cell r="D25">
            <v>11</v>
          </cell>
          <cell r="H25">
            <v>0</v>
          </cell>
          <cell r="L25">
            <v>0</v>
          </cell>
        </row>
        <row r="26">
          <cell r="B26">
            <v>22</v>
          </cell>
          <cell r="D26">
            <v>22</v>
          </cell>
          <cell r="H26">
            <v>0</v>
          </cell>
          <cell r="L26">
            <v>0</v>
          </cell>
        </row>
        <row r="27">
          <cell r="B27">
            <v>23</v>
          </cell>
          <cell r="D27">
            <v>8</v>
          </cell>
          <cell r="H27">
            <v>0</v>
          </cell>
          <cell r="L27">
            <v>0</v>
          </cell>
        </row>
        <row r="28">
          <cell r="B28">
            <v>24</v>
          </cell>
          <cell r="D28">
            <v>10</v>
          </cell>
          <cell r="H28">
            <v>0</v>
          </cell>
          <cell r="L28">
            <v>0</v>
          </cell>
        </row>
        <row r="29">
          <cell r="B29">
            <v>25</v>
          </cell>
          <cell r="D29">
            <v>11</v>
          </cell>
          <cell r="H29">
            <v>0</v>
          </cell>
          <cell r="L29">
            <v>0</v>
          </cell>
        </row>
        <row r="30">
          <cell r="B30">
            <v>26</v>
          </cell>
          <cell r="D30">
            <v>16</v>
          </cell>
          <cell r="H30">
            <v>0</v>
          </cell>
          <cell r="L30">
            <v>0</v>
          </cell>
        </row>
        <row r="31">
          <cell r="B31">
            <v>27</v>
          </cell>
          <cell r="D31">
            <v>17</v>
          </cell>
          <cell r="H31">
            <v>0</v>
          </cell>
          <cell r="L31">
            <v>0</v>
          </cell>
        </row>
        <row r="32">
          <cell r="B32">
            <v>28</v>
          </cell>
          <cell r="D32">
            <v>12</v>
          </cell>
          <cell r="H32">
            <v>0</v>
          </cell>
          <cell r="L32">
            <v>0</v>
          </cell>
        </row>
        <row r="33">
          <cell r="B33">
            <v>29</v>
          </cell>
          <cell r="D33">
            <v>7</v>
          </cell>
          <cell r="H33">
            <v>0</v>
          </cell>
          <cell r="L33">
            <v>0</v>
          </cell>
        </row>
        <row r="34">
          <cell r="B34">
            <v>30</v>
          </cell>
          <cell r="D34">
            <v>4</v>
          </cell>
          <cell r="H34">
            <v>0</v>
          </cell>
          <cell r="L34">
            <v>0</v>
          </cell>
        </row>
        <row r="35">
          <cell r="B35">
            <v>31</v>
          </cell>
          <cell r="D35">
            <v>25</v>
          </cell>
          <cell r="H35">
            <v>0</v>
          </cell>
          <cell r="L35">
            <v>0</v>
          </cell>
        </row>
        <row r="36">
          <cell r="B36">
            <v>32</v>
          </cell>
          <cell r="D36">
            <v>2</v>
          </cell>
          <cell r="H36">
            <v>0</v>
          </cell>
          <cell r="L36">
            <v>0</v>
          </cell>
        </row>
        <row r="37">
          <cell r="B37">
            <v>33</v>
          </cell>
          <cell r="D37">
            <v>14</v>
          </cell>
          <cell r="H37">
            <v>0</v>
          </cell>
          <cell r="L37">
            <v>0</v>
          </cell>
        </row>
        <row r="38">
          <cell r="B38">
            <v>34</v>
          </cell>
          <cell r="D38">
            <v>13</v>
          </cell>
          <cell r="H38">
            <v>0</v>
          </cell>
          <cell r="L38">
            <v>0</v>
          </cell>
        </row>
        <row r="39">
          <cell r="B39">
            <v>35</v>
          </cell>
          <cell r="D39">
            <v>25</v>
          </cell>
          <cell r="H39">
            <v>0</v>
          </cell>
          <cell r="L39">
            <v>0</v>
          </cell>
        </row>
        <row r="40">
          <cell r="B40">
            <v>36</v>
          </cell>
          <cell r="D40">
            <v>13</v>
          </cell>
          <cell r="H40">
            <v>0</v>
          </cell>
          <cell r="L40">
            <v>0</v>
          </cell>
        </row>
        <row r="41">
          <cell r="B41">
            <v>37</v>
          </cell>
          <cell r="D41">
            <v>8</v>
          </cell>
          <cell r="H41">
            <v>0</v>
          </cell>
          <cell r="L41">
            <v>0</v>
          </cell>
        </row>
        <row r="42">
          <cell r="B42">
            <v>38</v>
          </cell>
          <cell r="D42">
            <v>17</v>
          </cell>
          <cell r="H42">
            <v>0</v>
          </cell>
          <cell r="L42">
            <v>0</v>
          </cell>
        </row>
        <row r="43">
          <cell r="B43">
            <v>39</v>
          </cell>
          <cell r="D43">
            <v>24</v>
          </cell>
          <cell r="H43">
            <v>0</v>
          </cell>
          <cell r="L43">
            <v>0</v>
          </cell>
        </row>
        <row r="44">
          <cell r="B44">
            <v>40</v>
          </cell>
          <cell r="D44">
            <v>6</v>
          </cell>
          <cell r="H44">
            <v>0</v>
          </cell>
          <cell r="L44">
            <v>0</v>
          </cell>
        </row>
        <row r="45">
          <cell r="B45">
            <v>41</v>
          </cell>
          <cell r="D45">
            <v>19</v>
          </cell>
          <cell r="H45">
            <v>0</v>
          </cell>
          <cell r="L45">
            <v>0</v>
          </cell>
        </row>
        <row r="46">
          <cell r="B46">
            <v>42</v>
          </cell>
          <cell r="D46">
            <v>33</v>
          </cell>
          <cell r="H46">
            <v>0</v>
          </cell>
          <cell r="L46">
            <v>0</v>
          </cell>
        </row>
        <row r="47">
          <cell r="B47">
            <v>43</v>
          </cell>
          <cell r="D47">
            <v>7</v>
          </cell>
          <cell r="H47">
            <v>0</v>
          </cell>
          <cell r="L47">
            <v>0</v>
          </cell>
        </row>
        <row r="48">
          <cell r="B48">
            <v>44</v>
          </cell>
          <cell r="D48">
            <v>18</v>
          </cell>
          <cell r="H48">
            <v>0</v>
          </cell>
          <cell r="L48">
            <v>0</v>
          </cell>
        </row>
        <row r="49">
          <cell r="B49">
            <v>45</v>
          </cell>
          <cell r="D49">
            <v>12</v>
          </cell>
          <cell r="H49">
            <v>0</v>
          </cell>
          <cell r="L49">
            <v>0</v>
          </cell>
        </row>
        <row r="50">
          <cell r="B50">
            <v>46</v>
          </cell>
          <cell r="D50">
            <v>7</v>
          </cell>
          <cell r="H50">
            <v>0</v>
          </cell>
          <cell r="L50">
            <v>0</v>
          </cell>
        </row>
        <row r="51">
          <cell r="B51">
            <v>47</v>
          </cell>
          <cell r="D51">
            <v>3</v>
          </cell>
          <cell r="H51">
            <v>0</v>
          </cell>
          <cell r="L51">
            <v>0</v>
          </cell>
        </row>
        <row r="52">
          <cell r="B52">
            <v>48</v>
          </cell>
          <cell r="D52">
            <v>25</v>
          </cell>
          <cell r="H52">
            <v>0</v>
          </cell>
          <cell r="L52">
            <v>0</v>
          </cell>
        </row>
        <row r="53">
          <cell r="B53">
            <v>49</v>
          </cell>
          <cell r="D53">
            <v>15</v>
          </cell>
          <cell r="H53">
            <v>0</v>
          </cell>
          <cell r="L53">
            <v>0</v>
          </cell>
        </row>
        <row r="54">
          <cell r="B54">
            <v>50</v>
          </cell>
          <cell r="D54">
            <v>38</v>
          </cell>
          <cell r="H54">
            <v>0</v>
          </cell>
          <cell r="L54">
            <v>0</v>
          </cell>
        </row>
        <row r="55">
          <cell r="B55">
            <v>51</v>
          </cell>
          <cell r="D55">
            <v>28</v>
          </cell>
          <cell r="H55">
            <v>0</v>
          </cell>
          <cell r="L55">
            <v>0</v>
          </cell>
        </row>
        <row r="56">
          <cell r="B56">
            <v>52</v>
          </cell>
          <cell r="D56">
            <v>22</v>
          </cell>
          <cell r="H56">
            <v>0</v>
          </cell>
          <cell r="L56">
            <v>0</v>
          </cell>
        </row>
        <row r="57">
          <cell r="B57">
            <v>53</v>
          </cell>
          <cell r="D57">
            <v>5</v>
          </cell>
          <cell r="H57">
            <v>0</v>
          </cell>
          <cell r="L57">
            <v>0</v>
          </cell>
        </row>
        <row r="58">
          <cell r="B58">
            <v>54</v>
          </cell>
          <cell r="D58">
            <v>22</v>
          </cell>
          <cell r="H58">
            <v>0</v>
          </cell>
          <cell r="L58">
            <v>0</v>
          </cell>
        </row>
        <row r="59">
          <cell r="B59">
            <v>55</v>
          </cell>
          <cell r="D59">
            <v>6</v>
          </cell>
          <cell r="H59">
            <v>0</v>
          </cell>
          <cell r="L59">
            <v>0</v>
          </cell>
        </row>
        <row r="60">
          <cell r="B60">
            <v>56</v>
          </cell>
          <cell r="D60">
            <v>10</v>
          </cell>
          <cell r="H60">
            <v>0</v>
          </cell>
          <cell r="L60">
            <v>0</v>
          </cell>
        </row>
        <row r="61">
          <cell r="B61">
            <v>57</v>
          </cell>
          <cell r="D61">
            <v>14</v>
          </cell>
          <cell r="H61">
            <v>0</v>
          </cell>
          <cell r="L61">
            <v>0</v>
          </cell>
        </row>
        <row r="62">
          <cell r="B62">
            <v>58</v>
          </cell>
          <cell r="D62">
            <v>23</v>
          </cell>
          <cell r="H62">
            <v>0</v>
          </cell>
          <cell r="L62">
            <v>0</v>
          </cell>
        </row>
        <row r="63">
          <cell r="B63">
            <v>59</v>
          </cell>
          <cell r="D63">
            <v>40</v>
          </cell>
          <cell r="H63">
            <v>0</v>
          </cell>
          <cell r="L63">
            <v>0</v>
          </cell>
        </row>
        <row r="64">
          <cell r="B64">
            <v>60</v>
          </cell>
          <cell r="D64">
            <v>18</v>
          </cell>
          <cell r="H64">
            <v>0</v>
          </cell>
          <cell r="L64">
            <v>0</v>
          </cell>
        </row>
        <row r="65">
          <cell r="B65">
            <v>61</v>
          </cell>
          <cell r="D65">
            <v>15</v>
          </cell>
          <cell r="H65">
            <v>0</v>
          </cell>
          <cell r="L65">
            <v>0</v>
          </cell>
        </row>
        <row r="66">
          <cell r="B66">
            <v>62</v>
          </cell>
          <cell r="D66">
            <v>41</v>
          </cell>
          <cell r="H66">
            <v>0</v>
          </cell>
          <cell r="L66">
            <v>0</v>
          </cell>
        </row>
        <row r="67">
          <cell r="B67">
            <v>63</v>
          </cell>
          <cell r="D67">
            <v>30</v>
          </cell>
          <cell r="H67">
            <v>0</v>
          </cell>
          <cell r="L67">
            <v>0</v>
          </cell>
        </row>
        <row r="68">
          <cell r="B68">
            <v>64</v>
          </cell>
          <cell r="D68">
            <v>23</v>
          </cell>
          <cell r="H68">
            <v>0</v>
          </cell>
          <cell r="L68">
            <v>0</v>
          </cell>
        </row>
        <row r="69">
          <cell r="B69">
            <v>65</v>
          </cell>
          <cell r="D69">
            <v>17</v>
          </cell>
          <cell r="H69">
            <v>0</v>
          </cell>
          <cell r="L69">
            <v>0</v>
          </cell>
        </row>
        <row r="70">
          <cell r="B70">
            <v>66</v>
          </cell>
          <cell r="D70">
            <v>28</v>
          </cell>
          <cell r="H70">
            <v>0</v>
          </cell>
          <cell r="L70">
            <v>0</v>
          </cell>
        </row>
        <row r="71">
          <cell r="B71">
            <v>67</v>
          </cell>
          <cell r="D71">
            <v>33</v>
          </cell>
          <cell r="H71">
            <v>0</v>
          </cell>
          <cell r="L71">
            <v>0</v>
          </cell>
        </row>
        <row r="72">
          <cell r="B72">
            <v>68</v>
          </cell>
          <cell r="D72">
            <v>28</v>
          </cell>
          <cell r="H72">
            <v>0</v>
          </cell>
          <cell r="L72">
            <v>0</v>
          </cell>
        </row>
        <row r="73">
          <cell r="B73">
            <v>69</v>
          </cell>
          <cell r="D73">
            <v>17</v>
          </cell>
          <cell r="H73">
            <v>0</v>
          </cell>
          <cell r="L73">
            <v>0</v>
          </cell>
        </row>
        <row r="74">
          <cell r="B74">
            <v>70</v>
          </cell>
          <cell r="D74">
            <v>55</v>
          </cell>
          <cell r="H74">
            <v>0</v>
          </cell>
          <cell r="L74">
            <v>0</v>
          </cell>
        </row>
        <row r="75">
          <cell r="B75">
            <v>71</v>
          </cell>
          <cell r="D75">
            <v>15</v>
          </cell>
          <cell r="H75">
            <v>0</v>
          </cell>
          <cell r="L75">
            <v>0</v>
          </cell>
        </row>
        <row r="76">
          <cell r="B76">
            <v>72</v>
          </cell>
          <cell r="D76">
            <v>35</v>
          </cell>
          <cell r="H76">
            <v>0</v>
          </cell>
          <cell r="L76">
            <v>0</v>
          </cell>
        </row>
        <row r="77">
          <cell r="B77">
            <v>73</v>
          </cell>
          <cell r="D77">
            <v>50</v>
          </cell>
          <cell r="H77">
            <v>0</v>
          </cell>
          <cell r="L77">
            <v>0</v>
          </cell>
        </row>
        <row r="78">
          <cell r="B78">
            <v>74</v>
          </cell>
          <cell r="D78">
            <v>39</v>
          </cell>
          <cell r="H78">
            <v>0</v>
          </cell>
          <cell r="L78">
            <v>0</v>
          </cell>
        </row>
        <row r="79">
          <cell r="B79">
            <v>75</v>
          </cell>
          <cell r="D79">
            <v>50</v>
          </cell>
          <cell r="H79">
            <v>0</v>
          </cell>
          <cell r="L79">
            <v>0</v>
          </cell>
        </row>
        <row r="80">
          <cell r="B80">
            <v>76</v>
          </cell>
          <cell r="D80">
            <v>35</v>
          </cell>
          <cell r="H80">
            <v>0</v>
          </cell>
          <cell r="L80">
            <v>0</v>
          </cell>
        </row>
        <row r="81">
          <cell r="B81">
            <v>77</v>
          </cell>
          <cell r="D81">
            <v>45</v>
          </cell>
          <cell r="H81">
            <v>0</v>
          </cell>
          <cell r="L81">
            <v>0</v>
          </cell>
        </row>
        <row r="82">
          <cell r="B82">
            <v>78</v>
          </cell>
          <cell r="D82">
            <v>69</v>
          </cell>
          <cell r="H82">
            <v>0</v>
          </cell>
          <cell r="L82">
            <v>0</v>
          </cell>
        </row>
        <row r="83">
          <cell r="B83">
            <v>79</v>
          </cell>
          <cell r="D83">
            <v>38</v>
          </cell>
          <cell r="H83">
            <v>0</v>
          </cell>
          <cell r="L83">
            <v>0</v>
          </cell>
        </row>
        <row r="84">
          <cell r="B84">
            <v>80</v>
          </cell>
          <cell r="D84">
            <v>23</v>
          </cell>
          <cell r="H84">
            <v>0</v>
          </cell>
          <cell r="L84">
            <v>0</v>
          </cell>
        </row>
        <row r="85">
          <cell r="B85">
            <v>81</v>
          </cell>
          <cell r="D85">
            <v>19</v>
          </cell>
          <cell r="H85">
            <v>0</v>
          </cell>
          <cell r="L85">
            <v>0</v>
          </cell>
        </row>
        <row r="86">
          <cell r="B86">
            <v>82</v>
          </cell>
          <cell r="D86">
            <v>42</v>
          </cell>
          <cell r="H86">
            <v>0</v>
          </cell>
          <cell r="L86">
            <v>0</v>
          </cell>
        </row>
        <row r="87">
          <cell r="B87">
            <v>83</v>
          </cell>
          <cell r="D87">
            <v>39</v>
          </cell>
          <cell r="H87">
            <v>0</v>
          </cell>
          <cell r="L87">
            <v>0</v>
          </cell>
        </row>
        <row r="88">
          <cell r="B88">
            <v>84</v>
          </cell>
          <cell r="D88">
            <v>27</v>
          </cell>
          <cell r="H88">
            <v>0</v>
          </cell>
          <cell r="L88">
            <v>0</v>
          </cell>
        </row>
        <row r="89">
          <cell r="B89">
            <v>85</v>
          </cell>
          <cell r="D89">
            <v>19</v>
          </cell>
          <cell r="H89">
            <v>0</v>
          </cell>
          <cell r="L89">
            <v>0</v>
          </cell>
        </row>
        <row r="90">
          <cell r="B90">
            <v>86</v>
          </cell>
          <cell r="D90">
            <v>22</v>
          </cell>
          <cell r="H90">
            <v>0</v>
          </cell>
          <cell r="L90">
            <v>0</v>
          </cell>
        </row>
        <row r="91">
          <cell r="B91">
            <v>87</v>
          </cell>
          <cell r="D91">
            <v>32</v>
          </cell>
          <cell r="H91">
            <v>0</v>
          </cell>
          <cell r="L91">
            <v>0</v>
          </cell>
        </row>
        <row r="92">
          <cell r="B92">
            <v>88</v>
          </cell>
          <cell r="D92">
            <v>27</v>
          </cell>
          <cell r="H92">
            <v>0</v>
          </cell>
          <cell r="L92">
            <v>0</v>
          </cell>
        </row>
        <row r="93">
          <cell r="B93">
            <v>89</v>
          </cell>
          <cell r="D93">
            <v>36</v>
          </cell>
          <cell r="H93">
            <v>0</v>
          </cell>
          <cell r="L93">
            <v>0</v>
          </cell>
        </row>
        <row r="94">
          <cell r="B94">
            <v>90</v>
          </cell>
          <cell r="D94">
            <v>50</v>
          </cell>
          <cell r="H94">
            <v>0</v>
          </cell>
          <cell r="L94">
            <v>0</v>
          </cell>
        </row>
        <row r="95">
          <cell r="B95">
            <v>91</v>
          </cell>
          <cell r="D95">
            <v>27</v>
          </cell>
          <cell r="H95">
            <v>0</v>
          </cell>
          <cell r="L95">
            <v>0</v>
          </cell>
        </row>
        <row r="96">
          <cell r="B96">
            <v>92</v>
          </cell>
          <cell r="D96">
            <v>56</v>
          </cell>
          <cell r="H96">
            <v>0</v>
          </cell>
          <cell r="L96">
            <v>0</v>
          </cell>
        </row>
        <row r="97">
          <cell r="B97">
            <v>93</v>
          </cell>
          <cell r="D97">
            <v>43</v>
          </cell>
          <cell r="H97">
            <v>0</v>
          </cell>
          <cell r="L97">
            <v>0</v>
          </cell>
        </row>
        <row r="98">
          <cell r="B98">
            <v>94</v>
          </cell>
          <cell r="D98">
            <v>37</v>
          </cell>
          <cell r="H98">
            <v>0</v>
          </cell>
          <cell r="L98">
            <v>0</v>
          </cell>
        </row>
        <row r="99">
          <cell r="B99">
            <v>95</v>
          </cell>
          <cell r="D99">
            <v>39</v>
          </cell>
          <cell r="H99">
            <v>0</v>
          </cell>
          <cell r="L99">
            <v>0</v>
          </cell>
        </row>
        <row r="100">
          <cell r="B100">
            <v>96</v>
          </cell>
          <cell r="D100">
            <v>56</v>
          </cell>
          <cell r="H100">
            <v>0</v>
          </cell>
          <cell r="L100">
            <v>0</v>
          </cell>
        </row>
        <row r="101">
          <cell r="B101">
            <v>97</v>
          </cell>
          <cell r="D101">
            <v>38</v>
          </cell>
          <cell r="H101">
            <v>0</v>
          </cell>
          <cell r="L101">
            <v>0</v>
          </cell>
        </row>
        <row r="102">
          <cell r="B102">
            <v>98</v>
          </cell>
          <cell r="D102">
            <v>32</v>
          </cell>
          <cell r="H102">
            <v>0</v>
          </cell>
          <cell r="L102">
            <v>0</v>
          </cell>
        </row>
        <row r="103">
          <cell r="B103">
            <v>99</v>
          </cell>
          <cell r="D103">
            <v>34</v>
          </cell>
          <cell r="H103">
            <v>0</v>
          </cell>
          <cell r="L103">
            <v>0</v>
          </cell>
        </row>
        <row r="104">
          <cell r="B104">
            <v>100</v>
          </cell>
          <cell r="D104">
            <v>40</v>
          </cell>
          <cell r="H104">
            <v>0</v>
          </cell>
          <cell r="L104">
            <v>0</v>
          </cell>
        </row>
        <row r="105">
          <cell r="B105">
            <v>101</v>
          </cell>
          <cell r="D105">
            <v>30</v>
          </cell>
          <cell r="H105">
            <v>0</v>
          </cell>
          <cell r="L105">
            <v>0</v>
          </cell>
        </row>
        <row r="106">
          <cell r="B106">
            <v>102</v>
          </cell>
          <cell r="D106">
            <v>42</v>
          </cell>
          <cell r="H106">
            <v>0</v>
          </cell>
          <cell r="L106">
            <v>0</v>
          </cell>
        </row>
        <row r="107">
          <cell r="B107">
            <v>103</v>
          </cell>
          <cell r="D107">
            <v>31</v>
          </cell>
          <cell r="H107">
            <v>0</v>
          </cell>
          <cell r="L107">
            <v>0</v>
          </cell>
        </row>
        <row r="108">
          <cell r="B108">
            <v>104</v>
          </cell>
          <cell r="D108">
            <v>56</v>
          </cell>
          <cell r="H108">
            <v>0</v>
          </cell>
          <cell r="L108">
            <v>0</v>
          </cell>
        </row>
        <row r="109">
          <cell r="B109">
            <v>105</v>
          </cell>
          <cell r="D109">
            <v>26</v>
          </cell>
          <cell r="H109">
            <v>0</v>
          </cell>
          <cell r="L109">
            <v>0</v>
          </cell>
        </row>
        <row r="110">
          <cell r="B110">
            <v>106</v>
          </cell>
          <cell r="D110">
            <v>42</v>
          </cell>
          <cell r="H110">
            <v>0</v>
          </cell>
          <cell r="L110">
            <v>0</v>
          </cell>
        </row>
        <row r="111">
          <cell r="B111">
            <v>107</v>
          </cell>
          <cell r="D111">
            <v>59</v>
          </cell>
          <cell r="H111">
            <v>0</v>
          </cell>
          <cell r="L111">
            <v>0</v>
          </cell>
        </row>
        <row r="112">
          <cell r="B112">
            <v>108</v>
          </cell>
          <cell r="D112">
            <v>37</v>
          </cell>
          <cell r="H112">
            <v>0</v>
          </cell>
          <cell r="L112">
            <v>0</v>
          </cell>
        </row>
        <row r="113">
          <cell r="B113">
            <v>109</v>
          </cell>
          <cell r="D113">
            <v>50</v>
          </cell>
          <cell r="H113">
            <v>0</v>
          </cell>
          <cell r="L113">
            <v>0</v>
          </cell>
        </row>
        <row r="114">
          <cell r="B114">
            <v>110</v>
          </cell>
          <cell r="D114">
            <v>51</v>
          </cell>
          <cell r="H114">
            <v>0</v>
          </cell>
          <cell r="L114">
            <v>0</v>
          </cell>
        </row>
        <row r="115">
          <cell r="B115">
            <v>111</v>
          </cell>
          <cell r="D115">
            <v>63</v>
          </cell>
          <cell r="H115">
            <v>0</v>
          </cell>
          <cell r="L115">
            <v>0</v>
          </cell>
        </row>
        <row r="116">
          <cell r="B116">
            <v>112</v>
          </cell>
          <cell r="D116">
            <v>53</v>
          </cell>
          <cell r="H116">
            <v>0</v>
          </cell>
          <cell r="L116">
            <v>0</v>
          </cell>
        </row>
        <row r="117">
          <cell r="B117">
            <v>113</v>
          </cell>
          <cell r="D117">
            <v>24</v>
          </cell>
          <cell r="H117">
            <v>0</v>
          </cell>
          <cell r="L117">
            <v>0</v>
          </cell>
        </row>
        <row r="118">
          <cell r="B118">
            <v>114</v>
          </cell>
          <cell r="D118">
            <v>61</v>
          </cell>
          <cell r="H118">
            <v>0</v>
          </cell>
          <cell r="L118">
            <v>0</v>
          </cell>
        </row>
        <row r="119">
          <cell r="B119">
            <v>115</v>
          </cell>
          <cell r="D119">
            <v>44</v>
          </cell>
          <cell r="H119">
            <v>0</v>
          </cell>
          <cell r="L119">
            <v>0</v>
          </cell>
        </row>
        <row r="120">
          <cell r="B120">
            <v>116</v>
          </cell>
          <cell r="D120">
            <v>58</v>
          </cell>
          <cell r="H120">
            <v>0</v>
          </cell>
          <cell r="L120">
            <v>0</v>
          </cell>
        </row>
        <row r="121">
          <cell r="B121">
            <v>117</v>
          </cell>
          <cell r="D121">
            <v>103</v>
          </cell>
          <cell r="H121">
            <v>0</v>
          </cell>
          <cell r="L121">
            <v>0</v>
          </cell>
        </row>
        <row r="122">
          <cell r="B122">
            <v>118</v>
          </cell>
          <cell r="D122">
            <v>22</v>
          </cell>
          <cell r="H122">
            <v>0</v>
          </cell>
          <cell r="L122">
            <v>0</v>
          </cell>
        </row>
        <row r="123">
          <cell r="B123">
            <v>119</v>
          </cell>
          <cell r="D123">
            <v>52</v>
          </cell>
          <cell r="H123">
            <v>0</v>
          </cell>
          <cell r="L123">
            <v>0</v>
          </cell>
        </row>
        <row r="124">
          <cell r="B124">
            <v>120</v>
          </cell>
          <cell r="D124">
            <v>64</v>
          </cell>
          <cell r="H124">
            <v>0</v>
          </cell>
          <cell r="L124">
            <v>0</v>
          </cell>
        </row>
        <row r="125">
          <cell r="B125">
            <v>121</v>
          </cell>
          <cell r="D125">
            <v>55</v>
          </cell>
          <cell r="H125">
            <v>0</v>
          </cell>
          <cell r="L125">
            <v>0</v>
          </cell>
        </row>
        <row r="126">
          <cell r="B126">
            <v>122</v>
          </cell>
          <cell r="D126">
            <v>60</v>
          </cell>
          <cell r="H126">
            <v>0</v>
          </cell>
          <cell r="L126">
            <v>0</v>
          </cell>
        </row>
        <row r="127">
          <cell r="B127">
            <v>123</v>
          </cell>
          <cell r="D127">
            <v>53</v>
          </cell>
          <cell r="H127">
            <v>0</v>
          </cell>
          <cell r="L127">
            <v>0</v>
          </cell>
        </row>
        <row r="128">
          <cell r="B128">
            <v>124</v>
          </cell>
          <cell r="D128">
            <v>58</v>
          </cell>
          <cell r="H128">
            <v>0</v>
          </cell>
          <cell r="L128">
            <v>0</v>
          </cell>
        </row>
        <row r="129">
          <cell r="B129">
            <v>125</v>
          </cell>
          <cell r="D129">
            <v>30</v>
          </cell>
          <cell r="H129">
            <v>0</v>
          </cell>
          <cell r="L129">
            <v>0</v>
          </cell>
        </row>
        <row r="130">
          <cell r="B130">
            <v>126</v>
          </cell>
          <cell r="D130">
            <v>72</v>
          </cell>
          <cell r="H130">
            <v>0</v>
          </cell>
          <cell r="L130">
            <v>0</v>
          </cell>
        </row>
        <row r="131">
          <cell r="B131">
            <v>127</v>
          </cell>
          <cell r="D131">
            <v>53</v>
          </cell>
          <cell r="H131">
            <v>0</v>
          </cell>
          <cell r="L131">
            <v>0</v>
          </cell>
        </row>
        <row r="132">
          <cell r="B132">
            <v>128</v>
          </cell>
          <cell r="D132">
            <v>78</v>
          </cell>
          <cell r="H132">
            <v>0</v>
          </cell>
          <cell r="L132">
            <v>0</v>
          </cell>
        </row>
        <row r="133">
          <cell r="B133">
            <v>129</v>
          </cell>
          <cell r="D133">
            <v>64</v>
          </cell>
          <cell r="H133">
            <v>0</v>
          </cell>
          <cell r="L133">
            <v>0</v>
          </cell>
        </row>
        <row r="134">
          <cell r="B134">
            <v>130</v>
          </cell>
          <cell r="D134">
            <v>62</v>
          </cell>
          <cell r="H134">
            <v>0</v>
          </cell>
          <cell r="L134">
            <v>0</v>
          </cell>
        </row>
        <row r="135">
          <cell r="B135">
            <v>131</v>
          </cell>
          <cell r="D135">
            <v>75</v>
          </cell>
          <cell r="H135">
            <v>0</v>
          </cell>
          <cell r="L135">
            <v>0</v>
          </cell>
        </row>
        <row r="136">
          <cell r="B136">
            <v>132</v>
          </cell>
          <cell r="D136">
            <v>40</v>
          </cell>
          <cell r="H136">
            <v>0</v>
          </cell>
          <cell r="L136">
            <v>0</v>
          </cell>
        </row>
        <row r="137">
          <cell r="B137">
            <v>133</v>
          </cell>
          <cell r="D137">
            <v>129</v>
          </cell>
          <cell r="H137">
            <v>0</v>
          </cell>
          <cell r="L137">
            <v>0</v>
          </cell>
        </row>
        <row r="138">
          <cell r="B138">
            <v>134</v>
          </cell>
          <cell r="D138">
            <v>64</v>
          </cell>
          <cell r="H138">
            <v>0</v>
          </cell>
          <cell r="L138">
            <v>0</v>
          </cell>
        </row>
        <row r="139">
          <cell r="B139">
            <v>135</v>
          </cell>
          <cell r="D139">
            <v>79</v>
          </cell>
          <cell r="H139">
            <v>0</v>
          </cell>
          <cell r="L139">
            <v>0</v>
          </cell>
        </row>
        <row r="140">
          <cell r="B140">
            <v>136</v>
          </cell>
          <cell r="D140">
            <v>69</v>
          </cell>
          <cell r="H140">
            <v>0</v>
          </cell>
          <cell r="L140">
            <v>0</v>
          </cell>
        </row>
        <row r="141">
          <cell r="B141">
            <v>137</v>
          </cell>
          <cell r="D141">
            <v>49</v>
          </cell>
          <cell r="H141">
            <v>0</v>
          </cell>
          <cell r="L141">
            <v>0</v>
          </cell>
        </row>
        <row r="142">
          <cell r="B142">
            <v>138</v>
          </cell>
          <cell r="D142">
            <v>45</v>
          </cell>
          <cell r="H142">
            <v>0</v>
          </cell>
          <cell r="L142">
            <v>0</v>
          </cell>
        </row>
        <row r="143">
          <cell r="B143">
            <v>139</v>
          </cell>
          <cell r="D143">
            <v>43</v>
          </cell>
          <cell r="H143">
            <v>0</v>
          </cell>
          <cell r="L143">
            <v>0</v>
          </cell>
        </row>
        <row r="144">
          <cell r="B144">
            <v>140</v>
          </cell>
          <cell r="D144">
            <v>62</v>
          </cell>
          <cell r="H144">
            <v>0</v>
          </cell>
          <cell r="L144">
            <v>0</v>
          </cell>
        </row>
        <row r="145">
          <cell r="B145">
            <v>141</v>
          </cell>
          <cell r="D145">
            <v>52</v>
          </cell>
          <cell r="H145">
            <v>0</v>
          </cell>
          <cell r="L145">
            <v>0</v>
          </cell>
        </row>
        <row r="146">
          <cell r="B146">
            <v>142</v>
          </cell>
          <cell r="D146">
            <v>48</v>
          </cell>
          <cell r="H146">
            <v>0</v>
          </cell>
          <cell r="L146">
            <v>0</v>
          </cell>
        </row>
        <row r="147">
          <cell r="B147">
            <v>143</v>
          </cell>
          <cell r="D147">
            <v>83</v>
          </cell>
          <cell r="H147">
            <v>0</v>
          </cell>
          <cell r="L147">
            <v>0</v>
          </cell>
        </row>
        <row r="148">
          <cell r="B148">
            <v>144</v>
          </cell>
          <cell r="D148">
            <v>45</v>
          </cell>
          <cell r="H148">
            <v>0</v>
          </cell>
          <cell r="L148">
            <v>0</v>
          </cell>
        </row>
        <row r="149">
          <cell r="B149">
            <v>145</v>
          </cell>
          <cell r="D149">
            <v>42</v>
          </cell>
          <cell r="H149">
            <v>0</v>
          </cell>
          <cell r="L149">
            <v>0</v>
          </cell>
        </row>
        <row r="150">
          <cell r="B150">
            <v>146</v>
          </cell>
          <cell r="D150">
            <v>83</v>
          </cell>
          <cell r="H150">
            <v>0</v>
          </cell>
          <cell r="L150">
            <v>0</v>
          </cell>
        </row>
        <row r="151">
          <cell r="B151">
            <v>147</v>
          </cell>
          <cell r="D151">
            <v>57</v>
          </cell>
          <cell r="H151">
            <v>0</v>
          </cell>
          <cell r="L151">
            <v>0</v>
          </cell>
        </row>
        <row r="152">
          <cell r="B152">
            <v>148</v>
          </cell>
          <cell r="D152">
            <v>61</v>
          </cell>
          <cell r="H152">
            <v>0</v>
          </cell>
          <cell r="L152">
            <v>0</v>
          </cell>
        </row>
        <row r="153">
          <cell r="B153">
            <v>149</v>
          </cell>
          <cell r="D153">
            <v>81</v>
          </cell>
          <cell r="H153">
            <v>0</v>
          </cell>
          <cell r="L153">
            <v>0</v>
          </cell>
        </row>
        <row r="154">
          <cell r="B154">
            <v>150</v>
          </cell>
          <cell r="D154">
            <v>59</v>
          </cell>
          <cell r="H154">
            <v>0</v>
          </cell>
          <cell r="L154">
            <v>0</v>
          </cell>
        </row>
        <row r="155">
          <cell r="B155">
            <v>151</v>
          </cell>
          <cell r="D155">
            <v>51</v>
          </cell>
          <cell r="H155">
            <v>0</v>
          </cell>
          <cell r="L155">
            <v>0</v>
          </cell>
        </row>
        <row r="156">
          <cell r="B156">
            <v>152</v>
          </cell>
          <cell r="D156">
            <v>68</v>
          </cell>
          <cell r="H156">
            <v>0</v>
          </cell>
          <cell r="L156">
            <v>0</v>
          </cell>
        </row>
        <row r="157">
          <cell r="B157">
            <v>153</v>
          </cell>
          <cell r="D157">
            <v>101</v>
          </cell>
          <cell r="H157">
            <v>0</v>
          </cell>
          <cell r="L157">
            <v>0</v>
          </cell>
        </row>
        <row r="158">
          <cell r="B158">
            <v>154</v>
          </cell>
          <cell r="D158">
            <v>80</v>
          </cell>
          <cell r="H158">
            <v>0</v>
          </cell>
          <cell r="L158">
            <v>0</v>
          </cell>
        </row>
        <row r="159">
          <cell r="B159">
            <v>155</v>
          </cell>
          <cell r="D159">
            <v>43</v>
          </cell>
          <cell r="H159">
            <v>0</v>
          </cell>
          <cell r="L159">
            <v>0</v>
          </cell>
        </row>
        <row r="160">
          <cell r="B160">
            <v>156</v>
          </cell>
          <cell r="D160">
            <v>64</v>
          </cell>
          <cell r="H160">
            <v>0</v>
          </cell>
          <cell r="L160">
            <v>0</v>
          </cell>
        </row>
        <row r="161">
          <cell r="B161">
            <v>157</v>
          </cell>
          <cell r="D161">
            <v>89</v>
          </cell>
          <cell r="H161">
            <v>0</v>
          </cell>
          <cell r="L161">
            <v>0</v>
          </cell>
        </row>
        <row r="162">
          <cell r="B162">
            <v>158</v>
          </cell>
          <cell r="D162">
            <v>94</v>
          </cell>
          <cell r="H162">
            <v>0</v>
          </cell>
          <cell r="L162">
            <v>0</v>
          </cell>
        </row>
        <row r="163">
          <cell r="B163">
            <v>159</v>
          </cell>
          <cell r="D163">
            <v>49</v>
          </cell>
          <cell r="H163">
            <v>0</v>
          </cell>
          <cell r="L163">
            <v>0</v>
          </cell>
        </row>
        <row r="164">
          <cell r="B164">
            <v>160</v>
          </cell>
          <cell r="D164">
            <v>77</v>
          </cell>
          <cell r="H164">
            <v>0</v>
          </cell>
          <cell r="L164">
            <v>0</v>
          </cell>
        </row>
        <row r="165">
          <cell r="B165">
            <v>161</v>
          </cell>
          <cell r="D165">
            <v>74</v>
          </cell>
          <cell r="H165">
            <v>0</v>
          </cell>
          <cell r="L165">
            <v>0</v>
          </cell>
        </row>
        <row r="166">
          <cell r="B166">
            <v>162</v>
          </cell>
          <cell r="D166">
            <v>56</v>
          </cell>
          <cell r="H166">
            <v>0</v>
          </cell>
          <cell r="L166">
            <v>0</v>
          </cell>
        </row>
        <row r="167">
          <cell r="B167">
            <v>163</v>
          </cell>
          <cell r="D167">
            <v>54</v>
          </cell>
          <cell r="H167">
            <v>0</v>
          </cell>
          <cell r="L167">
            <v>0</v>
          </cell>
        </row>
        <row r="168">
          <cell r="B168">
            <v>164</v>
          </cell>
          <cell r="D168">
            <v>67</v>
          </cell>
          <cell r="H168">
            <v>0</v>
          </cell>
          <cell r="L168">
            <v>0</v>
          </cell>
        </row>
        <row r="169">
          <cell r="B169">
            <v>165</v>
          </cell>
          <cell r="D169">
            <v>83</v>
          </cell>
          <cell r="H169">
            <v>0</v>
          </cell>
          <cell r="L169">
            <v>0</v>
          </cell>
        </row>
        <row r="170">
          <cell r="B170">
            <v>166</v>
          </cell>
          <cell r="D170">
            <v>56</v>
          </cell>
          <cell r="H170">
            <v>0</v>
          </cell>
          <cell r="L170">
            <v>0</v>
          </cell>
        </row>
        <row r="171">
          <cell r="B171">
            <v>167</v>
          </cell>
          <cell r="D171">
            <v>70</v>
          </cell>
          <cell r="H171">
            <v>0</v>
          </cell>
          <cell r="L171">
            <v>0</v>
          </cell>
        </row>
        <row r="172">
          <cell r="B172">
            <v>168</v>
          </cell>
          <cell r="D172">
            <v>58</v>
          </cell>
          <cell r="H172">
            <v>0</v>
          </cell>
          <cell r="L172">
            <v>0</v>
          </cell>
        </row>
        <row r="173">
          <cell r="B173">
            <v>169</v>
          </cell>
          <cell r="D173">
            <v>76</v>
          </cell>
          <cell r="H173">
            <v>0</v>
          </cell>
          <cell r="L173">
            <v>0</v>
          </cell>
        </row>
        <row r="174">
          <cell r="B174">
            <v>170</v>
          </cell>
          <cell r="D174">
            <v>74</v>
          </cell>
          <cell r="H174">
            <v>0</v>
          </cell>
          <cell r="L174">
            <v>0</v>
          </cell>
        </row>
        <row r="175">
          <cell r="B175">
            <v>171</v>
          </cell>
          <cell r="D175">
            <v>46</v>
          </cell>
          <cell r="H175">
            <v>0</v>
          </cell>
          <cell r="L175">
            <v>0</v>
          </cell>
        </row>
        <row r="176">
          <cell r="B176">
            <v>172</v>
          </cell>
          <cell r="D176">
            <v>80</v>
          </cell>
          <cell r="H176">
            <v>0</v>
          </cell>
          <cell r="L176">
            <v>0</v>
          </cell>
        </row>
        <row r="177">
          <cell r="B177">
            <v>173</v>
          </cell>
          <cell r="D177">
            <v>48</v>
          </cell>
          <cell r="H177">
            <v>0</v>
          </cell>
          <cell r="L177">
            <v>0</v>
          </cell>
        </row>
        <row r="178">
          <cell r="B178">
            <v>174</v>
          </cell>
          <cell r="D178">
            <v>67</v>
          </cell>
          <cell r="H178">
            <v>0</v>
          </cell>
          <cell r="L178">
            <v>0</v>
          </cell>
        </row>
        <row r="179">
          <cell r="B179">
            <v>175</v>
          </cell>
          <cell r="D179">
            <v>104</v>
          </cell>
          <cell r="H179">
            <v>0</v>
          </cell>
          <cell r="L179">
            <v>0</v>
          </cell>
        </row>
        <row r="180">
          <cell r="B180">
            <v>176</v>
          </cell>
          <cell r="D180">
            <v>41</v>
          </cell>
          <cell r="H180">
            <v>0</v>
          </cell>
          <cell r="L180">
            <v>0</v>
          </cell>
        </row>
        <row r="181">
          <cell r="B181">
            <v>177</v>
          </cell>
          <cell r="D181">
            <v>81</v>
          </cell>
          <cell r="H181">
            <v>0</v>
          </cell>
          <cell r="L181">
            <v>0</v>
          </cell>
        </row>
        <row r="182">
          <cell r="B182">
            <v>178</v>
          </cell>
          <cell r="D182">
            <v>70</v>
          </cell>
          <cell r="H182">
            <v>0</v>
          </cell>
          <cell r="L182">
            <v>0</v>
          </cell>
        </row>
        <row r="183">
          <cell r="B183">
            <v>179</v>
          </cell>
          <cell r="D183">
            <v>69</v>
          </cell>
          <cell r="H183">
            <v>0</v>
          </cell>
          <cell r="L183">
            <v>0</v>
          </cell>
        </row>
        <row r="184">
          <cell r="B184">
            <v>180</v>
          </cell>
          <cell r="D184">
            <v>133</v>
          </cell>
          <cell r="H184">
            <v>0</v>
          </cell>
          <cell r="L184">
            <v>0</v>
          </cell>
        </row>
        <row r="185">
          <cell r="B185">
            <v>181</v>
          </cell>
          <cell r="D185">
            <v>56</v>
          </cell>
          <cell r="H185">
            <v>0</v>
          </cell>
          <cell r="L185">
            <v>0</v>
          </cell>
        </row>
        <row r="186">
          <cell r="B186">
            <v>182</v>
          </cell>
          <cell r="D186">
            <v>56</v>
          </cell>
          <cell r="H186">
            <v>0</v>
          </cell>
          <cell r="L186">
            <v>0</v>
          </cell>
        </row>
        <row r="187">
          <cell r="B187">
            <v>183</v>
          </cell>
          <cell r="D187">
            <v>88</v>
          </cell>
          <cell r="H187">
            <v>0</v>
          </cell>
          <cell r="L187">
            <v>0</v>
          </cell>
        </row>
        <row r="188">
          <cell r="B188">
            <v>184</v>
          </cell>
          <cell r="D188">
            <v>64</v>
          </cell>
          <cell r="H188">
            <v>0</v>
          </cell>
          <cell r="L188">
            <v>0</v>
          </cell>
        </row>
        <row r="189">
          <cell r="B189">
            <v>185</v>
          </cell>
          <cell r="D189">
            <v>58</v>
          </cell>
          <cell r="H189">
            <v>0</v>
          </cell>
          <cell r="L189">
            <v>0</v>
          </cell>
        </row>
        <row r="190">
          <cell r="B190">
            <v>186</v>
          </cell>
          <cell r="D190">
            <v>80</v>
          </cell>
          <cell r="H190">
            <v>0</v>
          </cell>
          <cell r="L190">
            <v>0</v>
          </cell>
        </row>
        <row r="191">
          <cell r="B191">
            <v>187</v>
          </cell>
          <cell r="D191">
            <v>96</v>
          </cell>
          <cell r="H191">
            <v>0</v>
          </cell>
          <cell r="L191">
            <v>0</v>
          </cell>
        </row>
        <row r="192">
          <cell r="B192">
            <v>188</v>
          </cell>
          <cell r="D192">
            <v>60</v>
          </cell>
          <cell r="H192">
            <v>0</v>
          </cell>
          <cell r="L192">
            <v>0</v>
          </cell>
        </row>
        <row r="193">
          <cell r="B193">
            <v>189</v>
          </cell>
          <cell r="D193">
            <v>100</v>
          </cell>
          <cell r="H193">
            <v>0</v>
          </cell>
          <cell r="L193">
            <v>0</v>
          </cell>
        </row>
        <row r="194">
          <cell r="B194">
            <v>190</v>
          </cell>
          <cell r="D194">
            <v>74</v>
          </cell>
          <cell r="H194">
            <v>0</v>
          </cell>
          <cell r="L194">
            <v>0</v>
          </cell>
        </row>
        <row r="195">
          <cell r="B195">
            <v>191</v>
          </cell>
          <cell r="D195">
            <v>44</v>
          </cell>
          <cell r="H195">
            <v>0</v>
          </cell>
          <cell r="L195">
            <v>0</v>
          </cell>
        </row>
        <row r="196">
          <cell r="B196">
            <v>192</v>
          </cell>
          <cell r="D196">
            <v>77</v>
          </cell>
          <cell r="H196">
            <v>0</v>
          </cell>
          <cell r="L196">
            <v>0</v>
          </cell>
        </row>
        <row r="197">
          <cell r="B197">
            <v>193</v>
          </cell>
          <cell r="D197">
            <v>99</v>
          </cell>
          <cell r="H197">
            <v>0</v>
          </cell>
          <cell r="L197">
            <v>0</v>
          </cell>
        </row>
        <row r="198">
          <cell r="B198">
            <v>194</v>
          </cell>
          <cell r="D198">
            <v>109</v>
          </cell>
          <cell r="H198">
            <v>0</v>
          </cell>
          <cell r="L198">
            <v>0</v>
          </cell>
        </row>
        <row r="199">
          <cell r="B199">
            <v>195</v>
          </cell>
          <cell r="D199">
            <v>62</v>
          </cell>
          <cell r="H199">
            <v>0</v>
          </cell>
          <cell r="L199">
            <v>0</v>
          </cell>
        </row>
        <row r="200">
          <cell r="B200">
            <v>196</v>
          </cell>
          <cell r="D200">
            <v>70</v>
          </cell>
          <cell r="H200">
            <v>0</v>
          </cell>
          <cell r="L200">
            <v>0</v>
          </cell>
        </row>
        <row r="201">
          <cell r="B201">
            <v>197</v>
          </cell>
          <cell r="D201">
            <v>56</v>
          </cell>
          <cell r="H201">
            <v>0</v>
          </cell>
          <cell r="L201">
            <v>0</v>
          </cell>
        </row>
        <row r="202">
          <cell r="B202">
            <v>198</v>
          </cell>
          <cell r="D202">
            <v>74</v>
          </cell>
          <cell r="H202">
            <v>0</v>
          </cell>
          <cell r="L202">
            <v>0</v>
          </cell>
        </row>
        <row r="203">
          <cell r="B203">
            <v>199</v>
          </cell>
          <cell r="D203">
            <v>60</v>
          </cell>
          <cell r="H203">
            <v>0</v>
          </cell>
          <cell r="L203">
            <v>0</v>
          </cell>
        </row>
        <row r="204">
          <cell r="B204">
            <v>200</v>
          </cell>
          <cell r="D204">
            <v>36</v>
          </cell>
          <cell r="H204">
            <v>0</v>
          </cell>
          <cell r="L204">
            <v>0</v>
          </cell>
        </row>
        <row r="205">
          <cell r="B205">
            <v>201</v>
          </cell>
          <cell r="D205">
            <v>72</v>
          </cell>
          <cell r="H205">
            <v>0</v>
          </cell>
          <cell r="L205">
            <v>0</v>
          </cell>
        </row>
        <row r="206">
          <cell r="B206">
            <v>202</v>
          </cell>
          <cell r="D206">
            <v>78</v>
          </cell>
          <cell r="H206">
            <v>0</v>
          </cell>
          <cell r="L206">
            <v>0</v>
          </cell>
        </row>
        <row r="207">
          <cell r="B207">
            <v>203</v>
          </cell>
          <cell r="D207">
            <v>62</v>
          </cell>
          <cell r="H207">
            <v>0</v>
          </cell>
          <cell r="L207">
            <v>0</v>
          </cell>
        </row>
        <row r="208">
          <cell r="B208">
            <v>204</v>
          </cell>
          <cell r="D208">
            <v>84</v>
          </cell>
          <cell r="H208">
            <v>0</v>
          </cell>
          <cell r="L208">
            <v>0</v>
          </cell>
        </row>
        <row r="209">
          <cell r="B209">
            <v>205</v>
          </cell>
          <cell r="D209">
            <v>81</v>
          </cell>
          <cell r="H209">
            <v>0</v>
          </cell>
          <cell r="L209">
            <v>0</v>
          </cell>
        </row>
        <row r="210">
          <cell r="B210">
            <v>206</v>
          </cell>
          <cell r="D210">
            <v>67</v>
          </cell>
          <cell r="H210">
            <v>0</v>
          </cell>
          <cell r="L210">
            <v>0</v>
          </cell>
        </row>
        <row r="211">
          <cell r="B211">
            <v>207</v>
          </cell>
          <cell r="D211">
            <v>92</v>
          </cell>
          <cell r="H211">
            <v>0</v>
          </cell>
          <cell r="L211">
            <v>0</v>
          </cell>
        </row>
        <row r="212">
          <cell r="B212">
            <v>208</v>
          </cell>
          <cell r="D212">
            <v>110</v>
          </cell>
          <cell r="H212">
            <v>0</v>
          </cell>
          <cell r="L212">
            <v>0</v>
          </cell>
        </row>
        <row r="213">
          <cell r="B213">
            <v>209</v>
          </cell>
          <cell r="D213">
            <v>41</v>
          </cell>
          <cell r="H213">
            <v>0</v>
          </cell>
          <cell r="L213">
            <v>0</v>
          </cell>
        </row>
        <row r="214">
          <cell r="B214">
            <v>210</v>
          </cell>
          <cell r="D214">
            <v>57</v>
          </cell>
          <cell r="H214">
            <v>0</v>
          </cell>
          <cell r="L214">
            <v>0</v>
          </cell>
        </row>
        <row r="215">
          <cell r="B215">
            <v>211</v>
          </cell>
          <cell r="D215">
            <v>52</v>
          </cell>
          <cell r="H215">
            <v>0</v>
          </cell>
          <cell r="L215">
            <v>0</v>
          </cell>
        </row>
        <row r="216">
          <cell r="B216">
            <v>212</v>
          </cell>
          <cell r="D216">
            <v>96</v>
          </cell>
          <cell r="H216">
            <v>0</v>
          </cell>
          <cell r="L216">
            <v>0</v>
          </cell>
        </row>
        <row r="217">
          <cell r="B217">
            <v>213</v>
          </cell>
          <cell r="D217">
            <v>65</v>
          </cell>
          <cell r="H217">
            <v>0</v>
          </cell>
          <cell r="L217">
            <v>0</v>
          </cell>
        </row>
        <row r="218">
          <cell r="B218">
            <v>214</v>
          </cell>
          <cell r="D218">
            <v>88</v>
          </cell>
          <cell r="H218">
            <v>0</v>
          </cell>
          <cell r="L218">
            <v>0</v>
          </cell>
        </row>
        <row r="219">
          <cell r="B219">
            <v>215</v>
          </cell>
          <cell r="D219">
            <v>44</v>
          </cell>
          <cell r="H219">
            <v>0</v>
          </cell>
          <cell r="L219">
            <v>0</v>
          </cell>
        </row>
        <row r="220">
          <cell r="B220">
            <v>216</v>
          </cell>
          <cell r="D220">
            <v>65</v>
          </cell>
          <cell r="H220">
            <v>0</v>
          </cell>
          <cell r="L220">
            <v>0</v>
          </cell>
        </row>
        <row r="221">
          <cell r="B221">
            <v>217</v>
          </cell>
          <cell r="D221">
            <v>76</v>
          </cell>
          <cell r="H221">
            <v>0</v>
          </cell>
          <cell r="L221">
            <v>0</v>
          </cell>
        </row>
        <row r="222">
          <cell r="B222">
            <v>218</v>
          </cell>
          <cell r="D222">
            <v>73</v>
          </cell>
          <cell r="H222">
            <v>0</v>
          </cell>
          <cell r="L222">
            <v>0</v>
          </cell>
        </row>
        <row r="223">
          <cell r="B223">
            <v>219</v>
          </cell>
          <cell r="D223">
            <v>64</v>
          </cell>
          <cell r="H223">
            <v>0</v>
          </cell>
          <cell r="L223">
            <v>0</v>
          </cell>
        </row>
        <row r="224">
          <cell r="B224">
            <v>220</v>
          </cell>
          <cell r="D224">
            <v>40</v>
          </cell>
          <cell r="H224">
            <v>0</v>
          </cell>
          <cell r="L224">
            <v>0</v>
          </cell>
        </row>
        <row r="225">
          <cell r="B225">
            <v>221</v>
          </cell>
          <cell r="D225">
            <v>64</v>
          </cell>
          <cell r="H225">
            <v>0</v>
          </cell>
          <cell r="L225">
            <v>0</v>
          </cell>
        </row>
        <row r="226">
          <cell r="B226">
            <v>222</v>
          </cell>
          <cell r="D226">
            <v>56</v>
          </cell>
          <cell r="H226">
            <v>0</v>
          </cell>
          <cell r="L226">
            <v>0</v>
          </cell>
        </row>
        <row r="227">
          <cell r="B227">
            <v>223</v>
          </cell>
          <cell r="D227">
            <v>78</v>
          </cell>
          <cell r="H227">
            <v>0</v>
          </cell>
          <cell r="L227">
            <v>0</v>
          </cell>
        </row>
        <row r="228">
          <cell r="B228">
            <v>224</v>
          </cell>
          <cell r="D228">
            <v>43</v>
          </cell>
          <cell r="H228">
            <v>0</v>
          </cell>
          <cell r="L228">
            <v>0</v>
          </cell>
        </row>
        <row r="229">
          <cell r="B229">
            <v>225</v>
          </cell>
          <cell r="D229">
            <v>78</v>
          </cell>
          <cell r="H229">
            <v>0</v>
          </cell>
          <cell r="L229">
            <v>0</v>
          </cell>
        </row>
        <row r="230">
          <cell r="B230">
            <v>226</v>
          </cell>
          <cell r="D230">
            <v>64</v>
          </cell>
          <cell r="H230">
            <v>0</v>
          </cell>
          <cell r="L230">
            <v>0</v>
          </cell>
        </row>
        <row r="231">
          <cell r="B231">
            <v>227</v>
          </cell>
          <cell r="D231">
            <v>67</v>
          </cell>
          <cell r="H231">
            <v>0</v>
          </cell>
          <cell r="L231">
            <v>0</v>
          </cell>
        </row>
        <row r="232">
          <cell r="B232">
            <v>228</v>
          </cell>
          <cell r="D232">
            <v>80</v>
          </cell>
          <cell r="H232">
            <v>0</v>
          </cell>
          <cell r="L232">
            <v>0</v>
          </cell>
        </row>
        <row r="233">
          <cell r="B233">
            <v>229</v>
          </cell>
          <cell r="D233">
            <v>40</v>
          </cell>
          <cell r="H233">
            <v>0</v>
          </cell>
          <cell r="L233">
            <v>0</v>
          </cell>
        </row>
        <row r="234">
          <cell r="B234">
            <v>230</v>
          </cell>
          <cell r="D234">
            <v>71</v>
          </cell>
          <cell r="H234">
            <v>0</v>
          </cell>
          <cell r="L234">
            <v>0</v>
          </cell>
        </row>
        <row r="235">
          <cell r="B235">
            <v>231</v>
          </cell>
          <cell r="D235">
            <v>84</v>
          </cell>
          <cell r="H235">
            <v>0</v>
          </cell>
          <cell r="L235">
            <v>0</v>
          </cell>
        </row>
        <row r="236">
          <cell r="B236">
            <v>232</v>
          </cell>
          <cell r="D236">
            <v>29</v>
          </cell>
          <cell r="H236">
            <v>0</v>
          </cell>
          <cell r="L236">
            <v>0</v>
          </cell>
        </row>
        <row r="237">
          <cell r="B237">
            <v>233</v>
          </cell>
          <cell r="D237">
            <v>53</v>
          </cell>
          <cell r="H237">
            <v>0</v>
          </cell>
          <cell r="L237">
            <v>0</v>
          </cell>
        </row>
        <row r="238">
          <cell r="B238">
            <v>234</v>
          </cell>
          <cell r="D238">
            <v>72</v>
          </cell>
          <cell r="H238">
            <v>0</v>
          </cell>
          <cell r="L238">
            <v>0</v>
          </cell>
        </row>
        <row r="239">
          <cell r="B239">
            <v>235</v>
          </cell>
          <cell r="D239">
            <v>39</v>
          </cell>
          <cell r="H239">
            <v>0</v>
          </cell>
          <cell r="L239">
            <v>0</v>
          </cell>
        </row>
        <row r="240">
          <cell r="B240">
            <v>236</v>
          </cell>
          <cell r="D240">
            <v>63</v>
          </cell>
          <cell r="H240">
            <v>0</v>
          </cell>
          <cell r="L240">
            <v>0</v>
          </cell>
        </row>
        <row r="241">
          <cell r="B241">
            <v>237</v>
          </cell>
          <cell r="D241">
            <v>83</v>
          </cell>
          <cell r="H241">
            <v>0</v>
          </cell>
          <cell r="L241">
            <v>0</v>
          </cell>
        </row>
        <row r="242">
          <cell r="B242">
            <v>238</v>
          </cell>
          <cell r="D242">
            <v>31</v>
          </cell>
          <cell r="H242">
            <v>0</v>
          </cell>
          <cell r="L242">
            <v>0</v>
          </cell>
        </row>
        <row r="243">
          <cell r="B243">
            <v>239</v>
          </cell>
          <cell r="D243">
            <v>57</v>
          </cell>
          <cell r="H243">
            <v>0</v>
          </cell>
          <cell r="L243">
            <v>0</v>
          </cell>
        </row>
        <row r="244">
          <cell r="B244">
            <v>240</v>
          </cell>
          <cell r="D244">
            <v>44</v>
          </cell>
          <cell r="H244">
            <v>0</v>
          </cell>
          <cell r="L244">
            <v>0</v>
          </cell>
        </row>
        <row r="245">
          <cell r="B245">
            <v>241</v>
          </cell>
          <cell r="D245">
            <v>34</v>
          </cell>
          <cell r="H245">
            <v>0</v>
          </cell>
          <cell r="L245">
            <v>0</v>
          </cell>
        </row>
        <row r="246">
          <cell r="B246">
            <v>242</v>
          </cell>
          <cell r="D246">
            <v>97</v>
          </cell>
          <cell r="H246">
            <v>0</v>
          </cell>
          <cell r="L246">
            <v>0</v>
          </cell>
        </row>
        <row r="247">
          <cell r="B247">
            <v>243</v>
          </cell>
          <cell r="D247">
            <v>30</v>
          </cell>
          <cell r="H247">
            <v>0</v>
          </cell>
          <cell r="L247">
            <v>0</v>
          </cell>
        </row>
        <row r="248">
          <cell r="B248">
            <v>244</v>
          </cell>
          <cell r="D248">
            <v>42</v>
          </cell>
          <cell r="H248">
            <v>0</v>
          </cell>
          <cell r="L248">
            <v>0</v>
          </cell>
        </row>
        <row r="249">
          <cell r="B249">
            <v>245</v>
          </cell>
          <cell r="D249">
            <v>83</v>
          </cell>
          <cell r="H249">
            <v>0</v>
          </cell>
          <cell r="L249">
            <v>0</v>
          </cell>
        </row>
        <row r="250">
          <cell r="B250">
            <v>246</v>
          </cell>
          <cell r="D250">
            <v>29</v>
          </cell>
          <cell r="H250">
            <v>0</v>
          </cell>
          <cell r="L250">
            <v>0</v>
          </cell>
        </row>
        <row r="251">
          <cell r="B251">
            <v>247</v>
          </cell>
          <cell r="D251">
            <v>73</v>
          </cell>
          <cell r="H251">
            <v>0</v>
          </cell>
          <cell r="L251">
            <v>0</v>
          </cell>
        </row>
        <row r="252">
          <cell r="B252">
            <v>248</v>
          </cell>
          <cell r="D252">
            <v>67</v>
          </cell>
          <cell r="H252">
            <v>0</v>
          </cell>
          <cell r="L252">
            <v>0</v>
          </cell>
        </row>
        <row r="253">
          <cell r="B253">
            <v>249</v>
          </cell>
          <cell r="D253">
            <v>42</v>
          </cell>
          <cell r="H253">
            <v>0</v>
          </cell>
          <cell r="L253">
            <v>0</v>
          </cell>
        </row>
        <row r="254">
          <cell r="B254">
            <v>250</v>
          </cell>
          <cell r="D254">
            <v>67</v>
          </cell>
          <cell r="H254">
            <v>0</v>
          </cell>
          <cell r="L254">
            <v>0</v>
          </cell>
        </row>
        <row r="255">
          <cell r="B255">
            <v>251</v>
          </cell>
          <cell r="D255">
            <v>32</v>
          </cell>
          <cell r="H255">
            <v>0</v>
          </cell>
          <cell r="L255">
            <v>0</v>
          </cell>
        </row>
        <row r="256">
          <cell r="B256">
            <v>252</v>
          </cell>
          <cell r="D256">
            <v>37</v>
          </cell>
          <cell r="H256">
            <v>0</v>
          </cell>
          <cell r="L256">
            <v>0</v>
          </cell>
        </row>
        <row r="257">
          <cell r="B257">
            <v>253</v>
          </cell>
          <cell r="D257">
            <v>44</v>
          </cell>
          <cell r="H257">
            <v>0</v>
          </cell>
          <cell r="L257">
            <v>0</v>
          </cell>
        </row>
        <row r="258">
          <cell r="B258">
            <v>254</v>
          </cell>
          <cell r="D258">
            <v>58</v>
          </cell>
          <cell r="H258">
            <v>0</v>
          </cell>
          <cell r="L258">
            <v>0</v>
          </cell>
        </row>
        <row r="259">
          <cell r="B259">
            <v>255</v>
          </cell>
          <cell r="D259">
            <v>50</v>
          </cell>
          <cell r="H259">
            <v>0</v>
          </cell>
          <cell r="L259">
            <v>0</v>
          </cell>
        </row>
        <row r="260">
          <cell r="B260">
            <v>256</v>
          </cell>
          <cell r="D260">
            <v>34</v>
          </cell>
          <cell r="H260">
            <v>0</v>
          </cell>
          <cell r="L260">
            <v>0</v>
          </cell>
        </row>
        <row r="261">
          <cell r="B261">
            <v>257</v>
          </cell>
          <cell r="D261">
            <v>69</v>
          </cell>
          <cell r="H261">
            <v>0</v>
          </cell>
          <cell r="L261">
            <v>0</v>
          </cell>
        </row>
        <row r="262">
          <cell r="B262">
            <v>258</v>
          </cell>
          <cell r="D262">
            <v>47</v>
          </cell>
          <cell r="H262">
            <v>0</v>
          </cell>
          <cell r="L262">
            <v>0</v>
          </cell>
        </row>
        <row r="263">
          <cell r="B263">
            <v>259</v>
          </cell>
          <cell r="D263">
            <v>44</v>
          </cell>
          <cell r="H263">
            <v>0</v>
          </cell>
          <cell r="L263">
            <v>0</v>
          </cell>
        </row>
        <row r="264">
          <cell r="B264">
            <v>260</v>
          </cell>
          <cell r="D264">
            <v>46</v>
          </cell>
          <cell r="H264">
            <v>0</v>
          </cell>
          <cell r="L264">
            <v>0</v>
          </cell>
        </row>
        <row r="265">
          <cell r="B265">
            <v>261</v>
          </cell>
          <cell r="D265">
            <v>45</v>
          </cell>
          <cell r="H265">
            <v>0</v>
          </cell>
          <cell r="L265">
            <v>0</v>
          </cell>
        </row>
        <row r="266">
          <cell r="B266">
            <v>262</v>
          </cell>
          <cell r="D266">
            <v>77</v>
          </cell>
          <cell r="H266">
            <v>0</v>
          </cell>
          <cell r="L266">
            <v>0</v>
          </cell>
        </row>
        <row r="267">
          <cell r="B267">
            <v>263</v>
          </cell>
          <cell r="D267">
            <v>74</v>
          </cell>
          <cell r="H267">
            <v>0</v>
          </cell>
          <cell r="L267">
            <v>0</v>
          </cell>
        </row>
        <row r="268">
          <cell r="B268">
            <v>264</v>
          </cell>
          <cell r="D268">
            <v>42</v>
          </cell>
          <cell r="H268">
            <v>0</v>
          </cell>
          <cell r="L268">
            <v>0</v>
          </cell>
        </row>
        <row r="269">
          <cell r="B269">
            <v>265</v>
          </cell>
          <cell r="D269">
            <v>22</v>
          </cell>
          <cell r="H269">
            <v>0</v>
          </cell>
          <cell r="L269">
            <v>0</v>
          </cell>
        </row>
        <row r="270">
          <cell r="B270">
            <v>266</v>
          </cell>
          <cell r="D270">
            <v>88</v>
          </cell>
          <cell r="H270">
            <v>0</v>
          </cell>
          <cell r="L270">
            <v>0</v>
          </cell>
        </row>
        <row r="271">
          <cell r="B271">
            <v>267</v>
          </cell>
          <cell r="D271">
            <v>70</v>
          </cell>
          <cell r="H271">
            <v>0</v>
          </cell>
          <cell r="L271">
            <v>0</v>
          </cell>
        </row>
        <row r="272">
          <cell r="B272">
            <v>268</v>
          </cell>
          <cell r="D272">
            <v>43</v>
          </cell>
          <cell r="H272">
            <v>0</v>
          </cell>
          <cell r="L272">
            <v>0</v>
          </cell>
        </row>
        <row r="273">
          <cell r="B273">
            <v>269</v>
          </cell>
          <cell r="D273">
            <v>47</v>
          </cell>
          <cell r="H273">
            <v>0</v>
          </cell>
          <cell r="L273">
            <v>0</v>
          </cell>
        </row>
        <row r="274">
          <cell r="B274">
            <v>270</v>
          </cell>
          <cell r="D274">
            <v>46</v>
          </cell>
          <cell r="H274">
            <v>0</v>
          </cell>
          <cell r="L274">
            <v>0</v>
          </cell>
        </row>
        <row r="275">
          <cell r="B275">
            <v>271</v>
          </cell>
          <cell r="D275">
            <v>44</v>
          </cell>
          <cell r="H275">
            <v>0</v>
          </cell>
          <cell r="L275">
            <v>0</v>
          </cell>
        </row>
        <row r="276">
          <cell r="B276">
            <v>272</v>
          </cell>
          <cell r="D276">
            <v>53</v>
          </cell>
          <cell r="H276">
            <v>0</v>
          </cell>
          <cell r="L276">
            <v>0</v>
          </cell>
        </row>
        <row r="277">
          <cell r="B277">
            <v>273</v>
          </cell>
          <cell r="D277">
            <v>38</v>
          </cell>
          <cell r="H277">
            <v>0</v>
          </cell>
          <cell r="L277">
            <v>0</v>
          </cell>
        </row>
        <row r="278">
          <cell r="B278">
            <v>274</v>
          </cell>
          <cell r="D278">
            <v>44</v>
          </cell>
          <cell r="H278">
            <v>0</v>
          </cell>
          <cell r="L278">
            <v>0</v>
          </cell>
        </row>
        <row r="279">
          <cell r="B279">
            <v>275</v>
          </cell>
          <cell r="D279">
            <v>37</v>
          </cell>
          <cell r="H279">
            <v>0</v>
          </cell>
          <cell r="L279">
            <v>0</v>
          </cell>
        </row>
        <row r="280">
          <cell r="B280">
            <v>276</v>
          </cell>
          <cell r="D280">
            <v>10</v>
          </cell>
          <cell r="H280">
            <v>0</v>
          </cell>
          <cell r="L280">
            <v>0</v>
          </cell>
        </row>
        <row r="281">
          <cell r="B281">
            <v>277</v>
          </cell>
          <cell r="D281">
            <v>40</v>
          </cell>
          <cell r="H281">
            <v>0</v>
          </cell>
          <cell r="L281">
            <v>0</v>
          </cell>
        </row>
        <row r="282">
          <cell r="B282">
            <v>278</v>
          </cell>
          <cell r="D282">
            <v>26</v>
          </cell>
          <cell r="H282">
            <v>0</v>
          </cell>
          <cell r="L282">
            <v>0</v>
          </cell>
        </row>
        <row r="283">
          <cell r="B283">
            <v>279</v>
          </cell>
          <cell r="D283">
            <v>16</v>
          </cell>
          <cell r="H283">
            <v>0</v>
          </cell>
          <cell r="L283">
            <v>0</v>
          </cell>
        </row>
        <row r="284">
          <cell r="B284">
            <v>280</v>
          </cell>
          <cell r="D284">
            <v>24</v>
          </cell>
          <cell r="H284">
            <v>0</v>
          </cell>
          <cell r="L284">
            <v>0</v>
          </cell>
        </row>
        <row r="285">
          <cell r="B285">
            <v>281</v>
          </cell>
          <cell r="D285">
            <v>38</v>
          </cell>
          <cell r="H285">
            <v>0</v>
          </cell>
          <cell r="L285">
            <v>0</v>
          </cell>
        </row>
        <row r="286">
          <cell r="B286">
            <v>282</v>
          </cell>
          <cell r="D286">
            <v>33</v>
          </cell>
          <cell r="H286">
            <v>0</v>
          </cell>
          <cell r="L286">
            <v>0</v>
          </cell>
        </row>
        <row r="287">
          <cell r="B287">
            <v>283</v>
          </cell>
          <cell r="D287">
            <v>38</v>
          </cell>
          <cell r="H287">
            <v>0</v>
          </cell>
          <cell r="L287">
            <v>0</v>
          </cell>
        </row>
        <row r="288">
          <cell r="B288">
            <v>284</v>
          </cell>
          <cell r="D288">
            <v>67</v>
          </cell>
          <cell r="H288">
            <v>0</v>
          </cell>
          <cell r="L288">
            <v>0</v>
          </cell>
        </row>
        <row r="289">
          <cell r="B289">
            <v>285</v>
          </cell>
          <cell r="D289">
            <v>22</v>
          </cell>
          <cell r="H289">
            <v>0</v>
          </cell>
          <cell r="L289">
            <v>0</v>
          </cell>
        </row>
        <row r="290">
          <cell r="B290">
            <v>286</v>
          </cell>
          <cell r="D290">
            <v>12</v>
          </cell>
          <cell r="H290">
            <v>0</v>
          </cell>
          <cell r="L290">
            <v>0</v>
          </cell>
        </row>
        <row r="291">
          <cell r="B291">
            <v>287</v>
          </cell>
          <cell r="D291">
            <v>33</v>
          </cell>
          <cell r="H291">
            <v>0</v>
          </cell>
          <cell r="L291">
            <v>0</v>
          </cell>
        </row>
        <row r="292">
          <cell r="B292">
            <v>288</v>
          </cell>
          <cell r="D292">
            <v>33</v>
          </cell>
          <cell r="H292">
            <v>0</v>
          </cell>
          <cell r="L292">
            <v>0</v>
          </cell>
        </row>
        <row r="293">
          <cell r="B293">
            <v>289</v>
          </cell>
          <cell r="D293">
            <v>44</v>
          </cell>
          <cell r="H293">
            <v>0</v>
          </cell>
          <cell r="L293">
            <v>0</v>
          </cell>
        </row>
        <row r="294">
          <cell r="B294">
            <v>290</v>
          </cell>
          <cell r="D294">
            <v>27</v>
          </cell>
          <cell r="H294">
            <v>0</v>
          </cell>
          <cell r="L294">
            <v>0</v>
          </cell>
        </row>
        <row r="295">
          <cell r="B295">
            <v>291</v>
          </cell>
          <cell r="D295">
            <v>58</v>
          </cell>
          <cell r="H295">
            <v>0</v>
          </cell>
          <cell r="L295">
            <v>0</v>
          </cell>
        </row>
        <row r="296">
          <cell r="B296">
            <v>292</v>
          </cell>
          <cell r="D296">
            <v>20</v>
          </cell>
          <cell r="H296">
            <v>0</v>
          </cell>
          <cell r="L296">
            <v>0</v>
          </cell>
        </row>
        <row r="297">
          <cell r="B297">
            <v>293</v>
          </cell>
          <cell r="D297">
            <v>29</v>
          </cell>
          <cell r="H297">
            <v>0</v>
          </cell>
          <cell r="L297">
            <v>0</v>
          </cell>
        </row>
        <row r="298">
          <cell r="B298">
            <v>294</v>
          </cell>
          <cell r="D298">
            <v>18</v>
          </cell>
          <cell r="H298">
            <v>0</v>
          </cell>
          <cell r="L298">
            <v>0</v>
          </cell>
        </row>
        <row r="299">
          <cell r="B299">
            <v>295</v>
          </cell>
          <cell r="D299">
            <v>62</v>
          </cell>
          <cell r="H299">
            <v>0</v>
          </cell>
          <cell r="L299">
            <v>0</v>
          </cell>
        </row>
        <row r="300">
          <cell r="B300">
            <v>296</v>
          </cell>
          <cell r="D300">
            <v>10</v>
          </cell>
          <cell r="H300">
            <v>0</v>
          </cell>
          <cell r="L300">
            <v>0</v>
          </cell>
        </row>
        <row r="301">
          <cell r="B301">
            <v>297</v>
          </cell>
          <cell r="D301">
            <v>4</v>
          </cell>
          <cell r="H301">
            <v>0</v>
          </cell>
          <cell r="L301">
            <v>0</v>
          </cell>
        </row>
        <row r="302">
          <cell r="B302">
            <v>298</v>
          </cell>
          <cell r="D302">
            <v>23</v>
          </cell>
          <cell r="H302">
            <v>0</v>
          </cell>
          <cell r="L302">
            <v>0</v>
          </cell>
        </row>
        <row r="303">
          <cell r="B303">
            <v>299</v>
          </cell>
          <cell r="D303">
            <v>14</v>
          </cell>
          <cell r="H303">
            <v>0</v>
          </cell>
          <cell r="L303">
            <v>0</v>
          </cell>
        </row>
        <row r="304">
          <cell r="B304">
            <v>300</v>
          </cell>
          <cell r="D304">
            <v>34</v>
          </cell>
          <cell r="H304">
            <v>0</v>
          </cell>
          <cell r="L304">
            <v>0</v>
          </cell>
        </row>
        <row r="305">
          <cell r="B305">
            <v>301</v>
          </cell>
          <cell r="D305">
            <v>10</v>
          </cell>
          <cell r="H305">
            <v>0</v>
          </cell>
          <cell r="L305">
            <v>0</v>
          </cell>
        </row>
        <row r="306">
          <cell r="B306">
            <v>302</v>
          </cell>
          <cell r="D306">
            <v>10</v>
          </cell>
          <cell r="H306">
            <v>0</v>
          </cell>
          <cell r="L306">
            <v>0</v>
          </cell>
        </row>
        <row r="307">
          <cell r="B307">
            <v>303</v>
          </cell>
          <cell r="D307">
            <v>14</v>
          </cell>
          <cell r="H307">
            <v>0</v>
          </cell>
          <cell r="L307">
            <v>0</v>
          </cell>
        </row>
        <row r="308">
          <cell r="B308">
            <v>304</v>
          </cell>
          <cell r="D308">
            <v>16</v>
          </cell>
          <cell r="H308">
            <v>0</v>
          </cell>
          <cell r="L308">
            <v>0</v>
          </cell>
        </row>
        <row r="309">
          <cell r="B309">
            <v>305</v>
          </cell>
          <cell r="D309">
            <v>10</v>
          </cell>
          <cell r="H309">
            <v>0</v>
          </cell>
          <cell r="L309">
            <v>0</v>
          </cell>
        </row>
        <row r="310">
          <cell r="B310">
            <v>306</v>
          </cell>
          <cell r="D310">
            <v>18</v>
          </cell>
          <cell r="H310">
            <v>0</v>
          </cell>
          <cell r="L310">
            <v>0</v>
          </cell>
        </row>
        <row r="311">
          <cell r="B311">
            <v>307</v>
          </cell>
          <cell r="D311">
            <v>12</v>
          </cell>
          <cell r="H311">
            <v>0</v>
          </cell>
          <cell r="L311">
            <v>0</v>
          </cell>
        </row>
        <row r="312">
          <cell r="B312">
            <v>308</v>
          </cell>
          <cell r="D312">
            <v>36</v>
          </cell>
          <cell r="H312">
            <v>0</v>
          </cell>
          <cell r="L312">
            <v>0</v>
          </cell>
        </row>
        <row r="313">
          <cell r="B313">
            <v>309</v>
          </cell>
          <cell r="D313">
            <v>20</v>
          </cell>
          <cell r="H313">
            <v>0</v>
          </cell>
          <cell r="L313">
            <v>0</v>
          </cell>
        </row>
        <row r="314">
          <cell r="B314">
            <v>310</v>
          </cell>
          <cell r="D314">
            <v>3</v>
          </cell>
          <cell r="H314">
            <v>0</v>
          </cell>
          <cell r="L314">
            <v>0</v>
          </cell>
        </row>
        <row r="315">
          <cell r="B315">
            <v>311</v>
          </cell>
          <cell r="D315">
            <v>12</v>
          </cell>
          <cell r="H315">
            <v>0</v>
          </cell>
          <cell r="L315">
            <v>0</v>
          </cell>
        </row>
        <row r="316">
          <cell r="B316">
            <v>312</v>
          </cell>
          <cell r="D316">
            <v>18</v>
          </cell>
          <cell r="H316">
            <v>0</v>
          </cell>
          <cell r="L316">
            <v>0</v>
          </cell>
        </row>
        <row r="317">
          <cell r="B317">
            <v>313</v>
          </cell>
          <cell r="D317">
            <v>9</v>
          </cell>
          <cell r="H317">
            <v>0</v>
          </cell>
          <cell r="L317">
            <v>0</v>
          </cell>
        </row>
        <row r="318">
          <cell r="B318">
            <v>314</v>
          </cell>
          <cell r="D318">
            <v>6</v>
          </cell>
          <cell r="H318">
            <v>0</v>
          </cell>
          <cell r="L318">
            <v>0</v>
          </cell>
        </row>
        <row r="319">
          <cell r="B319">
            <v>315</v>
          </cell>
          <cell r="D319">
            <v>26</v>
          </cell>
          <cell r="H319">
            <v>0</v>
          </cell>
          <cell r="L319">
            <v>0</v>
          </cell>
        </row>
        <row r="320">
          <cell r="B320">
            <v>316</v>
          </cell>
          <cell r="D320">
            <v>13</v>
          </cell>
          <cell r="H320">
            <v>0</v>
          </cell>
          <cell r="L320">
            <v>0</v>
          </cell>
        </row>
        <row r="321">
          <cell r="B321">
            <v>317</v>
          </cell>
          <cell r="D321">
            <v>16</v>
          </cell>
          <cell r="H321">
            <v>0</v>
          </cell>
          <cell r="L321">
            <v>0</v>
          </cell>
        </row>
        <row r="322">
          <cell r="B322">
            <v>318</v>
          </cell>
          <cell r="D322">
            <v>10</v>
          </cell>
          <cell r="H322">
            <v>0</v>
          </cell>
          <cell r="L322">
            <v>0</v>
          </cell>
        </row>
        <row r="323">
          <cell r="B323">
            <v>319</v>
          </cell>
          <cell r="D323">
            <v>7</v>
          </cell>
          <cell r="H323">
            <v>0</v>
          </cell>
          <cell r="L323">
            <v>0</v>
          </cell>
        </row>
        <row r="324">
          <cell r="B324">
            <v>320</v>
          </cell>
          <cell r="D324">
            <v>6</v>
          </cell>
          <cell r="H324">
            <v>0</v>
          </cell>
          <cell r="L324">
            <v>0</v>
          </cell>
        </row>
        <row r="325">
          <cell r="B325">
            <v>321</v>
          </cell>
          <cell r="D325">
            <v>20</v>
          </cell>
          <cell r="H325">
            <v>0</v>
          </cell>
          <cell r="L325">
            <v>0</v>
          </cell>
        </row>
        <row r="326">
          <cell r="B326">
            <v>322</v>
          </cell>
          <cell r="D326">
            <v>13</v>
          </cell>
          <cell r="H326">
            <v>0</v>
          </cell>
          <cell r="L326">
            <v>0</v>
          </cell>
        </row>
        <row r="327">
          <cell r="B327">
            <v>323</v>
          </cell>
          <cell r="D327">
            <v>6</v>
          </cell>
          <cell r="H327">
            <v>0</v>
          </cell>
          <cell r="L327">
            <v>0</v>
          </cell>
        </row>
        <row r="328">
          <cell r="B328">
            <v>324</v>
          </cell>
          <cell r="D328">
            <v>38</v>
          </cell>
          <cell r="H328">
            <v>0</v>
          </cell>
          <cell r="L328">
            <v>0</v>
          </cell>
        </row>
        <row r="329">
          <cell r="B329">
            <v>325</v>
          </cell>
          <cell r="D329">
            <v>18</v>
          </cell>
          <cell r="H329">
            <v>0</v>
          </cell>
          <cell r="L329">
            <v>0</v>
          </cell>
        </row>
        <row r="330">
          <cell r="B330">
            <v>326</v>
          </cell>
          <cell r="D330">
            <v>7</v>
          </cell>
          <cell r="H330">
            <v>0</v>
          </cell>
          <cell r="L330">
            <v>0</v>
          </cell>
        </row>
        <row r="331">
          <cell r="B331">
            <v>327</v>
          </cell>
          <cell r="D331">
            <v>6</v>
          </cell>
          <cell r="H331">
            <v>0</v>
          </cell>
          <cell r="L331">
            <v>0</v>
          </cell>
        </row>
        <row r="332">
          <cell r="B332">
            <v>328</v>
          </cell>
          <cell r="D332">
            <v>5</v>
          </cell>
          <cell r="H332">
            <v>0</v>
          </cell>
          <cell r="L332">
            <v>0</v>
          </cell>
        </row>
        <row r="333">
          <cell r="B333">
            <v>329</v>
          </cell>
          <cell r="D333">
            <v>13</v>
          </cell>
          <cell r="H333">
            <v>0</v>
          </cell>
          <cell r="L333">
            <v>0</v>
          </cell>
        </row>
        <row r="334">
          <cell r="B334">
            <v>330</v>
          </cell>
          <cell r="D334">
            <v>19</v>
          </cell>
          <cell r="H334">
            <v>0</v>
          </cell>
          <cell r="L334">
            <v>0</v>
          </cell>
        </row>
        <row r="335">
          <cell r="B335">
            <v>331</v>
          </cell>
          <cell r="D335">
            <v>24</v>
          </cell>
          <cell r="H335">
            <v>0</v>
          </cell>
          <cell r="L335">
            <v>0</v>
          </cell>
        </row>
        <row r="336">
          <cell r="B336">
            <v>332</v>
          </cell>
          <cell r="D336">
            <v>6</v>
          </cell>
          <cell r="H336">
            <v>0</v>
          </cell>
          <cell r="L336">
            <v>0</v>
          </cell>
        </row>
        <row r="337">
          <cell r="B337">
            <v>333</v>
          </cell>
          <cell r="D337">
            <v>18</v>
          </cell>
          <cell r="H337">
            <v>0</v>
          </cell>
          <cell r="L337">
            <v>0</v>
          </cell>
        </row>
        <row r="338">
          <cell r="B338">
            <v>334</v>
          </cell>
          <cell r="D338">
            <v>2</v>
          </cell>
          <cell r="H338">
            <v>0</v>
          </cell>
          <cell r="L338">
            <v>0</v>
          </cell>
        </row>
        <row r="339">
          <cell r="B339">
            <v>335</v>
          </cell>
          <cell r="D339">
            <v>10</v>
          </cell>
          <cell r="H339">
            <v>0</v>
          </cell>
          <cell r="L339">
            <v>0</v>
          </cell>
        </row>
        <row r="340">
          <cell r="B340">
            <v>336</v>
          </cell>
          <cell r="D340">
            <v>12</v>
          </cell>
          <cell r="H340">
            <v>0</v>
          </cell>
          <cell r="L340">
            <v>0</v>
          </cell>
        </row>
        <row r="341">
          <cell r="B341">
            <v>337</v>
          </cell>
          <cell r="D341">
            <v>11</v>
          </cell>
          <cell r="H341">
            <v>0</v>
          </cell>
          <cell r="L341">
            <v>0</v>
          </cell>
        </row>
        <row r="342">
          <cell r="B342">
            <v>338</v>
          </cell>
          <cell r="D342">
            <v>5</v>
          </cell>
          <cell r="H342">
            <v>0</v>
          </cell>
          <cell r="L342">
            <v>0</v>
          </cell>
        </row>
        <row r="343">
          <cell r="B343">
            <v>339</v>
          </cell>
          <cell r="D343">
            <v>4</v>
          </cell>
          <cell r="H343">
            <v>0</v>
          </cell>
          <cell r="L343">
            <v>0</v>
          </cell>
        </row>
        <row r="344">
          <cell r="B344">
            <v>340</v>
          </cell>
          <cell r="D344">
            <v>26</v>
          </cell>
          <cell r="H344">
            <v>0</v>
          </cell>
          <cell r="L344">
            <v>0</v>
          </cell>
        </row>
        <row r="345">
          <cell r="B345">
            <v>341</v>
          </cell>
          <cell r="D345">
            <v>2</v>
          </cell>
          <cell r="H345">
            <v>0</v>
          </cell>
          <cell r="L345">
            <v>0</v>
          </cell>
        </row>
        <row r="346">
          <cell r="B346">
            <v>342</v>
          </cell>
          <cell r="D346">
            <v>14</v>
          </cell>
          <cell r="H346">
            <v>0</v>
          </cell>
          <cell r="L346">
            <v>0</v>
          </cell>
        </row>
        <row r="347">
          <cell r="B347">
            <v>343</v>
          </cell>
          <cell r="D347">
            <v>31</v>
          </cell>
          <cell r="H347">
            <v>0</v>
          </cell>
          <cell r="L347">
            <v>0</v>
          </cell>
        </row>
        <row r="348">
          <cell r="B348">
            <v>344</v>
          </cell>
          <cell r="D348">
            <v>28</v>
          </cell>
          <cell r="H348">
            <v>0</v>
          </cell>
          <cell r="L348">
            <v>0</v>
          </cell>
        </row>
        <row r="349">
          <cell r="B349">
            <v>345</v>
          </cell>
          <cell r="D349">
            <v>5</v>
          </cell>
          <cell r="H349">
            <v>0</v>
          </cell>
          <cell r="L349">
            <v>0</v>
          </cell>
        </row>
        <row r="350">
          <cell r="B350">
            <v>346</v>
          </cell>
          <cell r="D350">
            <v>3</v>
          </cell>
          <cell r="H350">
            <v>0</v>
          </cell>
          <cell r="L350">
            <v>0</v>
          </cell>
        </row>
        <row r="351">
          <cell r="B351">
            <v>347</v>
          </cell>
          <cell r="D351">
            <v>4</v>
          </cell>
          <cell r="H351">
            <v>0</v>
          </cell>
          <cell r="L351">
            <v>0</v>
          </cell>
        </row>
        <row r="352">
          <cell r="B352">
            <v>348</v>
          </cell>
          <cell r="D352">
            <v>4</v>
          </cell>
          <cell r="H352">
            <v>0</v>
          </cell>
          <cell r="L352">
            <v>0</v>
          </cell>
        </row>
        <row r="353">
          <cell r="B353">
            <v>349</v>
          </cell>
          <cell r="D353">
            <v>10</v>
          </cell>
          <cell r="H353">
            <v>0</v>
          </cell>
          <cell r="L353">
            <v>0</v>
          </cell>
        </row>
        <row r="354">
          <cell r="B354">
            <v>350</v>
          </cell>
          <cell r="D354">
            <v>3</v>
          </cell>
          <cell r="H354">
            <v>0</v>
          </cell>
          <cell r="L354">
            <v>0</v>
          </cell>
        </row>
        <row r="355">
          <cell r="B355">
            <v>351</v>
          </cell>
          <cell r="D355">
            <v>2</v>
          </cell>
          <cell r="H355">
            <v>0</v>
          </cell>
          <cell r="L355">
            <v>0</v>
          </cell>
        </row>
        <row r="356">
          <cell r="B356">
            <v>352</v>
          </cell>
          <cell r="D356">
            <v>3</v>
          </cell>
          <cell r="H356">
            <v>0</v>
          </cell>
          <cell r="L356">
            <v>0</v>
          </cell>
        </row>
        <row r="357">
          <cell r="B357">
            <v>353</v>
          </cell>
          <cell r="D357">
            <v>29</v>
          </cell>
          <cell r="H357">
            <v>0</v>
          </cell>
          <cell r="L357">
            <v>0</v>
          </cell>
        </row>
        <row r="358">
          <cell r="B358">
            <v>354</v>
          </cell>
          <cell r="D358">
            <v>15</v>
          </cell>
          <cell r="H358">
            <v>0</v>
          </cell>
          <cell r="L358">
            <v>0</v>
          </cell>
        </row>
        <row r="359">
          <cell r="B359">
            <v>355</v>
          </cell>
          <cell r="D359">
            <v>4</v>
          </cell>
          <cell r="H359">
            <v>0</v>
          </cell>
          <cell r="L359">
            <v>0</v>
          </cell>
        </row>
        <row r="360">
          <cell r="B360">
            <v>356</v>
          </cell>
          <cell r="D360">
            <v>5</v>
          </cell>
          <cell r="H360">
            <v>0</v>
          </cell>
          <cell r="L360">
            <v>0</v>
          </cell>
        </row>
        <row r="361">
          <cell r="B361">
            <v>357</v>
          </cell>
          <cell r="D361">
            <v>7</v>
          </cell>
          <cell r="H361">
            <v>0</v>
          </cell>
          <cell r="L361">
            <v>0</v>
          </cell>
        </row>
        <row r="362">
          <cell r="B362">
            <v>358</v>
          </cell>
          <cell r="D362">
            <v>1</v>
          </cell>
          <cell r="H362">
            <v>0</v>
          </cell>
          <cell r="L362">
            <v>0</v>
          </cell>
        </row>
        <row r="363">
          <cell r="B363">
            <v>359</v>
          </cell>
          <cell r="D363">
            <v>41</v>
          </cell>
          <cell r="H363">
            <v>0</v>
          </cell>
          <cell r="L363">
            <v>0</v>
          </cell>
        </row>
        <row r="364">
          <cell r="B364">
            <v>360</v>
          </cell>
          <cell r="D364">
            <v>3</v>
          </cell>
          <cell r="H364">
            <v>0</v>
          </cell>
          <cell r="L364">
            <v>0</v>
          </cell>
        </row>
        <row r="365">
          <cell r="B365">
            <v>361</v>
          </cell>
          <cell r="D365">
            <v>3</v>
          </cell>
          <cell r="H365">
            <v>0</v>
          </cell>
          <cell r="L365">
            <v>0</v>
          </cell>
        </row>
        <row r="366">
          <cell r="B366">
            <v>362</v>
          </cell>
          <cell r="D366">
            <v>6</v>
          </cell>
          <cell r="H366">
            <v>0</v>
          </cell>
          <cell r="L366">
            <v>0</v>
          </cell>
        </row>
        <row r="367">
          <cell r="B367">
            <v>363</v>
          </cell>
          <cell r="D367">
            <v>12</v>
          </cell>
          <cell r="H367">
            <v>0</v>
          </cell>
          <cell r="L367">
            <v>0</v>
          </cell>
        </row>
        <row r="368">
          <cell r="B368">
            <v>364</v>
          </cell>
          <cell r="D368">
            <v>10</v>
          </cell>
          <cell r="H368">
            <v>0</v>
          </cell>
          <cell r="L368">
            <v>0</v>
          </cell>
        </row>
        <row r="369">
          <cell r="B369">
            <v>365</v>
          </cell>
          <cell r="D369">
            <v>14</v>
          </cell>
          <cell r="H369">
            <v>0</v>
          </cell>
          <cell r="L369">
            <v>0</v>
          </cell>
        </row>
        <row r="370">
          <cell r="B370">
            <v>366</v>
          </cell>
          <cell r="D370">
            <v>5</v>
          </cell>
          <cell r="H370">
            <v>0</v>
          </cell>
          <cell r="L370">
            <v>0</v>
          </cell>
        </row>
        <row r="371">
          <cell r="B371">
            <v>367</v>
          </cell>
          <cell r="D371">
            <v>4</v>
          </cell>
          <cell r="H371">
            <v>0</v>
          </cell>
          <cell r="L371">
            <v>0</v>
          </cell>
        </row>
        <row r="372">
          <cell r="B372">
            <v>368</v>
          </cell>
          <cell r="D372">
            <v>9</v>
          </cell>
          <cell r="H372">
            <v>0</v>
          </cell>
          <cell r="L372">
            <v>0</v>
          </cell>
        </row>
        <row r="373">
          <cell r="B373">
            <v>369</v>
          </cell>
          <cell r="D373">
            <v>9</v>
          </cell>
          <cell r="H373">
            <v>0</v>
          </cell>
          <cell r="L373">
            <v>0</v>
          </cell>
        </row>
        <row r="374">
          <cell r="B374">
            <v>370</v>
          </cell>
          <cell r="D374">
            <v>1</v>
          </cell>
          <cell r="H374">
            <v>0</v>
          </cell>
          <cell r="L374">
            <v>0</v>
          </cell>
        </row>
        <row r="375">
          <cell r="B375">
            <v>371</v>
          </cell>
          <cell r="D375">
            <v>29</v>
          </cell>
          <cell r="H375">
            <v>0</v>
          </cell>
          <cell r="L375">
            <v>0</v>
          </cell>
        </row>
        <row r="376">
          <cell r="B376">
            <v>372</v>
          </cell>
          <cell r="D376">
            <v>6</v>
          </cell>
          <cell r="H376">
            <v>0</v>
          </cell>
          <cell r="L376">
            <v>0</v>
          </cell>
        </row>
        <row r="377">
          <cell r="B377">
            <v>373</v>
          </cell>
          <cell r="D377">
            <v>4</v>
          </cell>
          <cell r="H377">
            <v>0</v>
          </cell>
          <cell r="L377">
            <v>0</v>
          </cell>
        </row>
        <row r="378">
          <cell r="B378">
            <v>374</v>
          </cell>
          <cell r="D378">
            <v>1</v>
          </cell>
          <cell r="H378">
            <v>0</v>
          </cell>
          <cell r="L378">
            <v>0</v>
          </cell>
        </row>
        <row r="379">
          <cell r="B379">
            <v>375</v>
          </cell>
          <cell r="D379">
            <v>13</v>
          </cell>
          <cell r="H379">
            <v>0</v>
          </cell>
          <cell r="L379">
            <v>0</v>
          </cell>
        </row>
        <row r="380">
          <cell r="B380">
            <v>376</v>
          </cell>
          <cell r="D380">
            <v>2</v>
          </cell>
          <cell r="H380">
            <v>0</v>
          </cell>
          <cell r="L380">
            <v>0</v>
          </cell>
        </row>
        <row r="381">
          <cell r="B381">
            <v>377</v>
          </cell>
          <cell r="D381">
            <v>2</v>
          </cell>
          <cell r="H381">
            <v>0</v>
          </cell>
          <cell r="L381">
            <v>0</v>
          </cell>
        </row>
        <row r="382">
          <cell r="B382">
            <v>378</v>
          </cell>
          <cell r="D382">
            <v>26</v>
          </cell>
          <cell r="H382">
            <v>0</v>
          </cell>
          <cell r="L382">
            <v>0</v>
          </cell>
        </row>
        <row r="383">
          <cell r="B383">
            <v>379</v>
          </cell>
          <cell r="D383">
            <v>6</v>
          </cell>
          <cell r="H383">
            <v>0</v>
          </cell>
          <cell r="L383">
            <v>0</v>
          </cell>
        </row>
        <row r="384">
          <cell r="B384">
            <v>380</v>
          </cell>
          <cell r="D384">
            <v>2</v>
          </cell>
          <cell r="H384">
            <v>0</v>
          </cell>
          <cell r="L384">
            <v>0</v>
          </cell>
        </row>
        <row r="385">
          <cell r="B385">
            <v>381</v>
          </cell>
          <cell r="D385">
            <v>18</v>
          </cell>
          <cell r="H385">
            <v>0</v>
          </cell>
          <cell r="L385">
            <v>0</v>
          </cell>
        </row>
        <row r="386">
          <cell r="B386">
            <v>382</v>
          </cell>
          <cell r="D386">
            <v>11</v>
          </cell>
          <cell r="H386">
            <v>0</v>
          </cell>
          <cell r="L386">
            <v>0</v>
          </cell>
        </row>
        <row r="387">
          <cell r="B387">
            <v>383</v>
          </cell>
          <cell r="D387">
            <v>9</v>
          </cell>
          <cell r="H387">
            <v>0</v>
          </cell>
          <cell r="L387">
            <v>0</v>
          </cell>
        </row>
        <row r="388">
          <cell r="B388">
            <v>384</v>
          </cell>
          <cell r="D388">
            <v>7</v>
          </cell>
          <cell r="H388">
            <v>0</v>
          </cell>
          <cell r="L388">
            <v>0</v>
          </cell>
        </row>
        <row r="389">
          <cell r="B389">
            <v>385</v>
          </cell>
          <cell r="D389">
            <v>31</v>
          </cell>
          <cell r="H389">
            <v>0</v>
          </cell>
          <cell r="L389">
            <v>0</v>
          </cell>
        </row>
        <row r="390">
          <cell r="B390">
            <v>386</v>
          </cell>
          <cell r="D390">
            <v>18</v>
          </cell>
          <cell r="H390">
            <v>0</v>
          </cell>
          <cell r="L390">
            <v>0</v>
          </cell>
        </row>
        <row r="391">
          <cell r="B391">
            <v>387</v>
          </cell>
          <cell r="D391">
            <v>30</v>
          </cell>
          <cell r="H391">
            <v>0</v>
          </cell>
          <cell r="L391">
            <v>0</v>
          </cell>
        </row>
        <row r="392">
          <cell r="B392">
            <v>388</v>
          </cell>
          <cell r="D392">
            <v>2</v>
          </cell>
          <cell r="H392">
            <v>0</v>
          </cell>
          <cell r="L392">
            <v>0</v>
          </cell>
        </row>
        <row r="393">
          <cell r="B393">
            <v>389</v>
          </cell>
          <cell r="D393">
            <v>8</v>
          </cell>
          <cell r="H393">
            <v>0</v>
          </cell>
          <cell r="L393">
            <v>0</v>
          </cell>
        </row>
        <row r="394">
          <cell r="B394">
            <v>390</v>
          </cell>
          <cell r="D394">
            <v>15</v>
          </cell>
          <cell r="H394">
            <v>0</v>
          </cell>
          <cell r="L394">
            <v>0</v>
          </cell>
        </row>
        <row r="395">
          <cell r="B395">
            <v>391</v>
          </cell>
          <cell r="D395">
            <v>26</v>
          </cell>
          <cell r="H395">
            <v>0</v>
          </cell>
          <cell r="L395">
            <v>0</v>
          </cell>
        </row>
        <row r="396">
          <cell r="B396">
            <v>392</v>
          </cell>
          <cell r="D396">
            <v>6</v>
          </cell>
          <cell r="H396">
            <v>0</v>
          </cell>
          <cell r="L396">
            <v>0</v>
          </cell>
        </row>
        <row r="397">
          <cell r="B397">
            <v>393</v>
          </cell>
          <cell r="D397">
            <v>16</v>
          </cell>
          <cell r="H397">
            <v>0</v>
          </cell>
          <cell r="L397">
            <v>0</v>
          </cell>
        </row>
        <row r="398">
          <cell r="B398">
            <v>394</v>
          </cell>
          <cell r="D398">
            <v>13</v>
          </cell>
          <cell r="H398">
            <v>0</v>
          </cell>
          <cell r="L398">
            <v>0</v>
          </cell>
        </row>
        <row r="399">
          <cell r="B399">
            <v>395</v>
          </cell>
          <cell r="D399">
            <v>10</v>
          </cell>
          <cell r="H399">
            <v>0</v>
          </cell>
          <cell r="L399">
            <v>0</v>
          </cell>
        </row>
        <row r="400">
          <cell r="B400">
            <v>396</v>
          </cell>
          <cell r="D400">
            <v>4</v>
          </cell>
          <cell r="H400">
            <v>0</v>
          </cell>
          <cell r="L400">
            <v>0</v>
          </cell>
        </row>
        <row r="401">
          <cell r="B401">
            <v>397</v>
          </cell>
          <cell r="D401">
            <v>21</v>
          </cell>
          <cell r="H401">
            <v>0</v>
          </cell>
          <cell r="L401">
            <v>0</v>
          </cell>
        </row>
        <row r="402">
          <cell r="B402">
            <v>398</v>
          </cell>
          <cell r="D402">
            <v>11</v>
          </cell>
          <cell r="H402">
            <v>0</v>
          </cell>
          <cell r="L402">
            <v>0</v>
          </cell>
        </row>
        <row r="403">
          <cell r="B403">
            <v>399</v>
          </cell>
          <cell r="D403">
            <v>5</v>
          </cell>
          <cell r="H403">
            <v>0</v>
          </cell>
          <cell r="L403">
            <v>0</v>
          </cell>
        </row>
        <row r="404">
          <cell r="B404">
            <v>400</v>
          </cell>
          <cell r="D404">
            <v>4</v>
          </cell>
          <cell r="H404">
            <v>0</v>
          </cell>
          <cell r="L404">
            <v>0</v>
          </cell>
        </row>
        <row r="405">
          <cell r="B405">
            <v>401</v>
          </cell>
          <cell r="D405">
            <v>18</v>
          </cell>
          <cell r="H405">
            <v>0</v>
          </cell>
          <cell r="L405">
            <v>0</v>
          </cell>
        </row>
        <row r="406">
          <cell r="B406">
            <v>402</v>
          </cell>
          <cell r="D406">
            <v>21</v>
          </cell>
          <cell r="H406">
            <v>0</v>
          </cell>
          <cell r="L406">
            <v>0</v>
          </cell>
        </row>
        <row r="407">
          <cell r="B407">
            <v>403</v>
          </cell>
          <cell r="D407">
            <v>24</v>
          </cell>
          <cell r="H407">
            <v>0</v>
          </cell>
          <cell r="L407">
            <v>0</v>
          </cell>
        </row>
        <row r="408">
          <cell r="B408">
            <v>404</v>
          </cell>
          <cell r="D408">
            <v>4</v>
          </cell>
          <cell r="H408">
            <v>0</v>
          </cell>
          <cell r="L408">
            <v>0</v>
          </cell>
        </row>
        <row r="409">
          <cell r="B409">
            <v>405</v>
          </cell>
          <cell r="D409">
            <v>5</v>
          </cell>
          <cell r="H409">
            <v>0</v>
          </cell>
          <cell r="L409">
            <v>0</v>
          </cell>
        </row>
        <row r="410">
          <cell r="B410">
            <v>406</v>
          </cell>
          <cell r="D410">
            <v>12</v>
          </cell>
          <cell r="H410">
            <v>0</v>
          </cell>
          <cell r="L410">
            <v>0</v>
          </cell>
        </row>
        <row r="411">
          <cell r="B411">
            <v>407</v>
          </cell>
          <cell r="D411">
            <v>18</v>
          </cell>
          <cell r="H411">
            <v>0</v>
          </cell>
          <cell r="L411">
            <v>0</v>
          </cell>
        </row>
        <row r="412">
          <cell r="B412">
            <v>408</v>
          </cell>
          <cell r="D412">
            <v>10</v>
          </cell>
          <cell r="H412">
            <v>0</v>
          </cell>
          <cell r="L412">
            <v>0</v>
          </cell>
        </row>
        <row r="413">
          <cell r="B413">
            <v>409</v>
          </cell>
          <cell r="D413">
            <v>9</v>
          </cell>
          <cell r="H413">
            <v>0</v>
          </cell>
          <cell r="L413">
            <v>0</v>
          </cell>
        </row>
        <row r="414">
          <cell r="B414">
            <v>410</v>
          </cell>
          <cell r="D414">
            <v>33</v>
          </cell>
          <cell r="H414">
            <v>0</v>
          </cell>
          <cell r="L414">
            <v>0</v>
          </cell>
        </row>
        <row r="415">
          <cell r="B415">
            <v>411</v>
          </cell>
          <cell r="D415">
            <v>22</v>
          </cell>
          <cell r="H415">
            <v>0</v>
          </cell>
          <cell r="L415">
            <v>0</v>
          </cell>
        </row>
        <row r="416">
          <cell r="B416">
            <v>412</v>
          </cell>
          <cell r="D416">
            <v>63</v>
          </cell>
          <cell r="H416">
            <v>0</v>
          </cell>
          <cell r="L416">
            <v>0</v>
          </cell>
        </row>
        <row r="417">
          <cell r="B417">
            <v>413</v>
          </cell>
          <cell r="D417">
            <v>25</v>
          </cell>
          <cell r="H417">
            <v>0</v>
          </cell>
          <cell r="L417">
            <v>0</v>
          </cell>
        </row>
        <row r="418">
          <cell r="B418">
            <v>414</v>
          </cell>
          <cell r="D418">
            <v>19</v>
          </cell>
          <cell r="H418">
            <v>0</v>
          </cell>
          <cell r="L418">
            <v>0</v>
          </cell>
        </row>
        <row r="419">
          <cell r="B419">
            <v>415</v>
          </cell>
          <cell r="D419">
            <v>20</v>
          </cell>
          <cell r="H419">
            <v>0</v>
          </cell>
          <cell r="L419">
            <v>0</v>
          </cell>
        </row>
        <row r="420">
          <cell r="B420">
            <v>416</v>
          </cell>
          <cell r="D420">
            <v>15</v>
          </cell>
          <cell r="H420">
            <v>0</v>
          </cell>
          <cell r="L420">
            <v>0</v>
          </cell>
        </row>
        <row r="421">
          <cell r="B421">
            <v>417</v>
          </cell>
          <cell r="D421">
            <v>21</v>
          </cell>
          <cell r="H421">
            <v>0</v>
          </cell>
          <cell r="L421">
            <v>0</v>
          </cell>
        </row>
        <row r="422">
          <cell r="B422">
            <v>418</v>
          </cell>
          <cell r="D422">
            <v>25</v>
          </cell>
          <cell r="H422">
            <v>0</v>
          </cell>
          <cell r="L422">
            <v>0</v>
          </cell>
        </row>
        <row r="423">
          <cell r="B423">
            <v>419</v>
          </cell>
          <cell r="D423">
            <v>15</v>
          </cell>
          <cell r="H423">
            <v>0</v>
          </cell>
          <cell r="L423">
            <v>0</v>
          </cell>
        </row>
        <row r="424">
          <cell r="B424">
            <v>420</v>
          </cell>
          <cell r="D424">
            <v>23</v>
          </cell>
          <cell r="H424">
            <v>0</v>
          </cell>
          <cell r="L424">
            <v>0</v>
          </cell>
        </row>
        <row r="425">
          <cell r="B425">
            <v>421</v>
          </cell>
          <cell r="D425">
            <v>16</v>
          </cell>
          <cell r="H425">
            <v>0</v>
          </cell>
          <cell r="L425">
            <v>0</v>
          </cell>
        </row>
        <row r="426">
          <cell r="B426">
            <v>422</v>
          </cell>
          <cell r="D426">
            <v>19</v>
          </cell>
          <cell r="H426">
            <v>0</v>
          </cell>
          <cell r="L426">
            <v>0</v>
          </cell>
        </row>
        <row r="427">
          <cell r="B427">
            <v>423</v>
          </cell>
          <cell r="D427">
            <v>18</v>
          </cell>
          <cell r="H427">
            <v>0</v>
          </cell>
          <cell r="L427">
            <v>0</v>
          </cell>
        </row>
        <row r="428">
          <cell r="B428">
            <v>424</v>
          </cell>
          <cell r="D428">
            <v>22</v>
          </cell>
          <cell r="H428">
            <v>0</v>
          </cell>
          <cell r="L428">
            <v>0</v>
          </cell>
        </row>
        <row r="429">
          <cell r="B429">
            <v>425</v>
          </cell>
          <cell r="D429">
            <v>23</v>
          </cell>
          <cell r="H429">
            <v>0</v>
          </cell>
          <cell r="L429">
            <v>0</v>
          </cell>
        </row>
        <row r="430">
          <cell r="B430">
            <v>426</v>
          </cell>
          <cell r="D430">
            <v>27</v>
          </cell>
          <cell r="H430">
            <v>0</v>
          </cell>
          <cell r="L430">
            <v>0</v>
          </cell>
        </row>
        <row r="431">
          <cell r="B431">
            <v>427</v>
          </cell>
          <cell r="D431">
            <v>19</v>
          </cell>
          <cell r="H431">
            <v>0</v>
          </cell>
          <cell r="L431">
            <v>0</v>
          </cell>
        </row>
        <row r="432">
          <cell r="B432">
            <v>428</v>
          </cell>
          <cell r="D432">
            <v>47</v>
          </cell>
          <cell r="H432">
            <v>0</v>
          </cell>
          <cell r="L432">
            <v>0</v>
          </cell>
        </row>
        <row r="433">
          <cell r="B433">
            <v>429</v>
          </cell>
          <cell r="D433">
            <v>15</v>
          </cell>
          <cell r="H433">
            <v>0</v>
          </cell>
          <cell r="L433">
            <v>0</v>
          </cell>
        </row>
        <row r="434">
          <cell r="B434">
            <v>430</v>
          </cell>
          <cell r="D434">
            <v>5</v>
          </cell>
          <cell r="H434">
            <v>0</v>
          </cell>
          <cell r="L434">
            <v>0</v>
          </cell>
        </row>
        <row r="435">
          <cell r="B435">
            <v>431</v>
          </cell>
          <cell r="D435">
            <v>17</v>
          </cell>
          <cell r="H435">
            <v>0</v>
          </cell>
          <cell r="L435">
            <v>0</v>
          </cell>
        </row>
        <row r="436">
          <cell r="B436">
            <v>432</v>
          </cell>
          <cell r="D436">
            <v>39</v>
          </cell>
          <cell r="H436">
            <v>0</v>
          </cell>
          <cell r="L436">
            <v>0</v>
          </cell>
        </row>
        <row r="437">
          <cell r="B437">
            <v>433</v>
          </cell>
          <cell r="D437">
            <v>16</v>
          </cell>
          <cell r="H437">
            <v>0</v>
          </cell>
          <cell r="L437">
            <v>0</v>
          </cell>
        </row>
        <row r="438">
          <cell r="B438">
            <v>434</v>
          </cell>
          <cell r="D438">
            <v>43</v>
          </cell>
          <cell r="H438">
            <v>0</v>
          </cell>
          <cell r="L438">
            <v>0</v>
          </cell>
        </row>
        <row r="439">
          <cell r="B439">
            <v>435</v>
          </cell>
          <cell r="D439">
            <v>19</v>
          </cell>
          <cell r="H439">
            <v>0</v>
          </cell>
          <cell r="L439">
            <v>0</v>
          </cell>
        </row>
        <row r="440">
          <cell r="B440">
            <v>436</v>
          </cell>
          <cell r="D440">
            <v>51</v>
          </cell>
          <cell r="H440">
            <v>0</v>
          </cell>
          <cell r="L440">
            <v>0</v>
          </cell>
        </row>
        <row r="441">
          <cell r="B441">
            <v>437</v>
          </cell>
          <cell r="D441">
            <v>27</v>
          </cell>
          <cell r="H441">
            <v>0</v>
          </cell>
          <cell r="L441">
            <v>0</v>
          </cell>
        </row>
        <row r="442">
          <cell r="B442">
            <v>438</v>
          </cell>
          <cell r="D442">
            <v>28</v>
          </cell>
          <cell r="H442">
            <v>0</v>
          </cell>
          <cell r="L442">
            <v>0</v>
          </cell>
        </row>
        <row r="443">
          <cell r="B443">
            <v>439</v>
          </cell>
          <cell r="D443">
            <v>48</v>
          </cell>
          <cell r="H443">
            <v>0</v>
          </cell>
          <cell r="L443">
            <v>0</v>
          </cell>
        </row>
        <row r="444">
          <cell r="B444">
            <v>440</v>
          </cell>
          <cell r="D444">
            <v>14</v>
          </cell>
          <cell r="H444">
            <v>0</v>
          </cell>
          <cell r="L444">
            <v>0</v>
          </cell>
        </row>
        <row r="445">
          <cell r="B445">
            <v>441</v>
          </cell>
          <cell r="D445">
            <v>26</v>
          </cell>
          <cell r="H445">
            <v>0</v>
          </cell>
          <cell r="L445">
            <v>0</v>
          </cell>
        </row>
        <row r="446">
          <cell r="B446">
            <v>442</v>
          </cell>
          <cell r="D446">
            <v>46</v>
          </cell>
          <cell r="H446">
            <v>0</v>
          </cell>
          <cell r="L446">
            <v>0</v>
          </cell>
        </row>
        <row r="447">
          <cell r="B447">
            <v>443</v>
          </cell>
          <cell r="D447">
            <v>38</v>
          </cell>
          <cell r="H447">
            <v>0</v>
          </cell>
          <cell r="L447">
            <v>0</v>
          </cell>
        </row>
        <row r="448">
          <cell r="B448">
            <v>444</v>
          </cell>
          <cell r="D448">
            <v>13</v>
          </cell>
          <cell r="H448">
            <v>0</v>
          </cell>
          <cell r="L448">
            <v>0</v>
          </cell>
        </row>
        <row r="449">
          <cell r="B449">
            <v>445</v>
          </cell>
          <cell r="D449">
            <v>19</v>
          </cell>
          <cell r="H449">
            <v>0</v>
          </cell>
          <cell r="L449">
            <v>0</v>
          </cell>
        </row>
        <row r="450">
          <cell r="B450">
            <v>446</v>
          </cell>
          <cell r="D450">
            <v>48</v>
          </cell>
          <cell r="H450">
            <v>0</v>
          </cell>
          <cell r="L450">
            <v>0</v>
          </cell>
        </row>
        <row r="451">
          <cell r="B451">
            <v>447</v>
          </cell>
          <cell r="D451">
            <v>37</v>
          </cell>
          <cell r="H451">
            <v>0</v>
          </cell>
          <cell r="L451">
            <v>0</v>
          </cell>
        </row>
        <row r="452">
          <cell r="B452">
            <v>448</v>
          </cell>
          <cell r="D452">
            <v>49</v>
          </cell>
          <cell r="H452">
            <v>0</v>
          </cell>
          <cell r="L452">
            <v>0</v>
          </cell>
        </row>
        <row r="453">
          <cell r="B453">
            <v>449</v>
          </cell>
          <cell r="D453">
            <v>40</v>
          </cell>
          <cell r="H453">
            <v>0</v>
          </cell>
          <cell r="L453">
            <v>0</v>
          </cell>
        </row>
        <row r="454">
          <cell r="B454">
            <v>450</v>
          </cell>
          <cell r="D454">
            <v>49</v>
          </cell>
          <cell r="H454">
            <v>0</v>
          </cell>
          <cell r="L454">
            <v>0</v>
          </cell>
        </row>
        <row r="455">
          <cell r="B455">
            <v>451</v>
          </cell>
          <cell r="D455">
            <v>37</v>
          </cell>
          <cell r="H455">
            <v>0</v>
          </cell>
          <cell r="L455">
            <v>0</v>
          </cell>
        </row>
        <row r="456">
          <cell r="B456">
            <v>452</v>
          </cell>
          <cell r="D456">
            <v>38</v>
          </cell>
          <cell r="H456">
            <v>0</v>
          </cell>
          <cell r="L456">
            <v>0</v>
          </cell>
        </row>
        <row r="457">
          <cell r="B457">
            <v>453</v>
          </cell>
          <cell r="D457">
            <v>46</v>
          </cell>
          <cell r="H457">
            <v>0</v>
          </cell>
          <cell r="L457">
            <v>0</v>
          </cell>
        </row>
        <row r="458">
          <cell r="B458">
            <v>454</v>
          </cell>
          <cell r="D458">
            <v>31</v>
          </cell>
          <cell r="H458">
            <v>0</v>
          </cell>
          <cell r="L458">
            <v>0</v>
          </cell>
        </row>
        <row r="459">
          <cell r="B459">
            <v>455</v>
          </cell>
          <cell r="D459">
            <v>41</v>
          </cell>
          <cell r="H459">
            <v>0</v>
          </cell>
          <cell r="L459">
            <v>0</v>
          </cell>
        </row>
        <row r="460">
          <cell r="B460">
            <v>456</v>
          </cell>
          <cell r="D460">
            <v>16</v>
          </cell>
          <cell r="H460">
            <v>0</v>
          </cell>
          <cell r="L460">
            <v>0</v>
          </cell>
        </row>
        <row r="461">
          <cell r="B461">
            <v>457</v>
          </cell>
          <cell r="D461">
            <v>23</v>
          </cell>
          <cell r="H461">
            <v>0</v>
          </cell>
          <cell r="L461">
            <v>0</v>
          </cell>
        </row>
        <row r="462">
          <cell r="B462">
            <v>458</v>
          </cell>
          <cell r="D462">
            <v>26</v>
          </cell>
          <cell r="H462">
            <v>0</v>
          </cell>
          <cell r="L462">
            <v>0</v>
          </cell>
        </row>
        <row r="463">
          <cell r="B463">
            <v>459</v>
          </cell>
          <cell r="D463">
            <v>40</v>
          </cell>
          <cell r="H463">
            <v>0</v>
          </cell>
          <cell r="L463">
            <v>0</v>
          </cell>
        </row>
        <row r="464">
          <cell r="B464">
            <v>460</v>
          </cell>
          <cell r="D464">
            <v>47</v>
          </cell>
          <cell r="H464">
            <v>0</v>
          </cell>
          <cell r="L464">
            <v>0</v>
          </cell>
        </row>
        <row r="465">
          <cell r="B465">
            <v>461</v>
          </cell>
          <cell r="D465">
            <v>25</v>
          </cell>
          <cell r="H465">
            <v>0</v>
          </cell>
          <cell r="L465">
            <v>0</v>
          </cell>
        </row>
        <row r="466">
          <cell r="B466">
            <v>462</v>
          </cell>
          <cell r="D466">
            <v>26</v>
          </cell>
          <cell r="H466">
            <v>0</v>
          </cell>
          <cell r="L466">
            <v>0</v>
          </cell>
        </row>
        <row r="467">
          <cell r="B467">
            <v>463</v>
          </cell>
          <cell r="D467">
            <v>51</v>
          </cell>
          <cell r="H467">
            <v>0</v>
          </cell>
          <cell r="L467">
            <v>0</v>
          </cell>
        </row>
        <row r="468">
          <cell r="B468">
            <v>464</v>
          </cell>
          <cell r="D468">
            <v>28</v>
          </cell>
          <cell r="H468">
            <v>0</v>
          </cell>
          <cell r="L468">
            <v>0</v>
          </cell>
        </row>
        <row r="469">
          <cell r="B469">
            <v>465</v>
          </cell>
          <cell r="D469">
            <v>46</v>
          </cell>
          <cell r="H469">
            <v>0</v>
          </cell>
          <cell r="L469">
            <v>0</v>
          </cell>
        </row>
        <row r="470">
          <cell r="B470">
            <v>466</v>
          </cell>
          <cell r="D470">
            <v>45</v>
          </cell>
          <cell r="H470">
            <v>0</v>
          </cell>
          <cell r="L470">
            <v>0</v>
          </cell>
        </row>
        <row r="471">
          <cell r="B471">
            <v>467</v>
          </cell>
          <cell r="D471">
            <v>43</v>
          </cell>
          <cell r="H471">
            <v>0</v>
          </cell>
          <cell r="L471">
            <v>0</v>
          </cell>
        </row>
        <row r="472">
          <cell r="B472">
            <v>468</v>
          </cell>
          <cell r="D472">
            <v>26</v>
          </cell>
          <cell r="H472">
            <v>0</v>
          </cell>
          <cell r="L472">
            <v>0</v>
          </cell>
        </row>
        <row r="473">
          <cell r="B473">
            <v>469</v>
          </cell>
          <cell r="D473">
            <v>50</v>
          </cell>
          <cell r="H473">
            <v>0</v>
          </cell>
          <cell r="L473">
            <v>0</v>
          </cell>
        </row>
        <row r="474">
          <cell r="B474">
            <v>470</v>
          </cell>
          <cell r="D474">
            <v>26</v>
          </cell>
          <cell r="H474">
            <v>0</v>
          </cell>
          <cell r="L474">
            <v>0</v>
          </cell>
        </row>
        <row r="475">
          <cell r="B475">
            <v>471</v>
          </cell>
          <cell r="D475">
            <v>64</v>
          </cell>
          <cell r="H475">
            <v>0</v>
          </cell>
          <cell r="L475">
            <v>0</v>
          </cell>
        </row>
        <row r="476">
          <cell r="B476">
            <v>472</v>
          </cell>
          <cell r="D476">
            <v>33</v>
          </cell>
          <cell r="H476">
            <v>0</v>
          </cell>
          <cell r="L476">
            <v>0</v>
          </cell>
        </row>
        <row r="477">
          <cell r="B477">
            <v>473</v>
          </cell>
          <cell r="D477">
            <v>57</v>
          </cell>
          <cell r="H477">
            <v>0</v>
          </cell>
          <cell r="L477">
            <v>0</v>
          </cell>
        </row>
        <row r="478">
          <cell r="B478">
            <v>474</v>
          </cell>
          <cell r="D478">
            <v>38</v>
          </cell>
          <cell r="H478">
            <v>0</v>
          </cell>
          <cell r="L478">
            <v>0</v>
          </cell>
        </row>
        <row r="479">
          <cell r="B479">
            <v>475</v>
          </cell>
          <cell r="D479">
            <v>36</v>
          </cell>
          <cell r="H479">
            <v>0</v>
          </cell>
          <cell r="L479">
            <v>0</v>
          </cell>
        </row>
        <row r="480">
          <cell r="B480">
            <v>476</v>
          </cell>
          <cell r="D480">
            <v>40</v>
          </cell>
          <cell r="H480">
            <v>0</v>
          </cell>
          <cell r="L480">
            <v>0</v>
          </cell>
        </row>
        <row r="481">
          <cell r="B481">
            <v>477</v>
          </cell>
          <cell r="D481">
            <v>36</v>
          </cell>
          <cell r="H481">
            <v>0</v>
          </cell>
          <cell r="L481">
            <v>0</v>
          </cell>
        </row>
        <row r="482">
          <cell r="B482">
            <v>478</v>
          </cell>
          <cell r="D482">
            <v>79</v>
          </cell>
          <cell r="H482">
            <v>0</v>
          </cell>
          <cell r="L482">
            <v>0</v>
          </cell>
        </row>
        <row r="483">
          <cell r="B483">
            <v>479</v>
          </cell>
          <cell r="D483">
            <v>43</v>
          </cell>
          <cell r="H483">
            <v>0</v>
          </cell>
          <cell r="L483">
            <v>0</v>
          </cell>
        </row>
        <row r="484">
          <cell r="B484">
            <v>480</v>
          </cell>
          <cell r="D484">
            <v>47</v>
          </cell>
          <cell r="H484">
            <v>0</v>
          </cell>
          <cell r="L484">
            <v>0</v>
          </cell>
        </row>
        <row r="485">
          <cell r="B485">
            <v>481</v>
          </cell>
          <cell r="D485">
            <v>57</v>
          </cell>
          <cell r="H485">
            <v>0</v>
          </cell>
          <cell r="L485">
            <v>0</v>
          </cell>
        </row>
        <row r="486">
          <cell r="B486">
            <v>482</v>
          </cell>
          <cell r="D486">
            <v>37</v>
          </cell>
          <cell r="H486">
            <v>0</v>
          </cell>
          <cell r="L486">
            <v>0</v>
          </cell>
        </row>
        <row r="487">
          <cell r="B487">
            <v>483</v>
          </cell>
          <cell r="D487">
            <v>30</v>
          </cell>
          <cell r="H487">
            <v>0</v>
          </cell>
          <cell r="L487">
            <v>0</v>
          </cell>
        </row>
        <row r="488">
          <cell r="B488">
            <v>484</v>
          </cell>
          <cell r="D488">
            <v>38</v>
          </cell>
          <cell r="H488">
            <v>0</v>
          </cell>
          <cell r="L488">
            <v>0</v>
          </cell>
        </row>
        <row r="489">
          <cell r="B489">
            <v>485</v>
          </cell>
          <cell r="D489">
            <v>79</v>
          </cell>
          <cell r="H489">
            <v>0</v>
          </cell>
          <cell r="L489">
            <v>0</v>
          </cell>
        </row>
        <row r="490">
          <cell r="B490">
            <v>486</v>
          </cell>
          <cell r="D490">
            <v>46</v>
          </cell>
          <cell r="H490">
            <v>0</v>
          </cell>
          <cell r="L490">
            <v>0</v>
          </cell>
        </row>
        <row r="491">
          <cell r="B491">
            <v>487</v>
          </cell>
          <cell r="D491">
            <v>42</v>
          </cell>
          <cell r="H491">
            <v>0</v>
          </cell>
          <cell r="L491">
            <v>0</v>
          </cell>
        </row>
        <row r="492">
          <cell r="B492">
            <v>488</v>
          </cell>
          <cell r="D492">
            <v>43</v>
          </cell>
          <cell r="H492">
            <v>0</v>
          </cell>
          <cell r="L492">
            <v>0</v>
          </cell>
        </row>
        <row r="493">
          <cell r="B493">
            <v>489</v>
          </cell>
          <cell r="D493">
            <v>58</v>
          </cell>
          <cell r="H493">
            <v>0</v>
          </cell>
          <cell r="L493">
            <v>0</v>
          </cell>
        </row>
        <row r="494">
          <cell r="B494">
            <v>490</v>
          </cell>
          <cell r="D494">
            <v>49</v>
          </cell>
          <cell r="H494">
            <v>0</v>
          </cell>
          <cell r="L494">
            <v>0</v>
          </cell>
        </row>
        <row r="495">
          <cell r="B495">
            <v>491</v>
          </cell>
          <cell r="D495">
            <v>42</v>
          </cell>
          <cell r="H495">
            <v>0</v>
          </cell>
          <cell r="L495">
            <v>0</v>
          </cell>
        </row>
        <row r="496">
          <cell r="B496">
            <v>492</v>
          </cell>
          <cell r="D496">
            <v>59</v>
          </cell>
          <cell r="H496">
            <v>0</v>
          </cell>
          <cell r="L496">
            <v>0</v>
          </cell>
        </row>
        <row r="497">
          <cell r="B497">
            <v>493</v>
          </cell>
          <cell r="D497">
            <v>72</v>
          </cell>
          <cell r="H497">
            <v>0</v>
          </cell>
          <cell r="L497">
            <v>0</v>
          </cell>
        </row>
        <row r="498">
          <cell r="B498">
            <v>494</v>
          </cell>
          <cell r="D498">
            <v>48</v>
          </cell>
          <cell r="H498">
            <v>0</v>
          </cell>
          <cell r="L498">
            <v>0</v>
          </cell>
        </row>
        <row r="499">
          <cell r="B499">
            <v>495</v>
          </cell>
          <cell r="D499">
            <v>55</v>
          </cell>
          <cell r="H499">
            <v>0</v>
          </cell>
          <cell r="L499">
            <v>0</v>
          </cell>
        </row>
        <row r="500">
          <cell r="B500">
            <v>496</v>
          </cell>
          <cell r="D500">
            <v>59</v>
          </cell>
          <cell r="H500">
            <v>0</v>
          </cell>
          <cell r="L500">
            <v>0</v>
          </cell>
        </row>
        <row r="501">
          <cell r="B501">
            <v>497</v>
          </cell>
          <cell r="D501">
            <v>32</v>
          </cell>
          <cell r="H501">
            <v>0</v>
          </cell>
          <cell r="L501">
            <v>0</v>
          </cell>
        </row>
        <row r="502">
          <cell r="B502">
            <v>498</v>
          </cell>
          <cell r="D502">
            <v>32</v>
          </cell>
          <cell r="H502">
            <v>0</v>
          </cell>
          <cell r="L502">
            <v>0</v>
          </cell>
        </row>
        <row r="503">
          <cell r="B503">
            <v>499</v>
          </cell>
          <cell r="D503">
            <v>92</v>
          </cell>
          <cell r="H503">
            <v>0</v>
          </cell>
          <cell r="L503">
            <v>0</v>
          </cell>
        </row>
        <row r="504">
          <cell r="B504">
            <v>500</v>
          </cell>
          <cell r="D504">
            <v>51</v>
          </cell>
          <cell r="H504">
            <v>0</v>
          </cell>
          <cell r="L504">
            <v>0</v>
          </cell>
        </row>
        <row r="505">
          <cell r="B505">
            <v>501</v>
          </cell>
          <cell r="D505">
            <v>39</v>
          </cell>
          <cell r="H505">
            <v>0</v>
          </cell>
          <cell r="L505">
            <v>0</v>
          </cell>
        </row>
        <row r="506">
          <cell r="B506">
            <v>502</v>
          </cell>
          <cell r="D506">
            <v>24</v>
          </cell>
          <cell r="H506">
            <v>0</v>
          </cell>
          <cell r="L506">
            <v>0</v>
          </cell>
        </row>
        <row r="507">
          <cell r="B507">
            <v>503</v>
          </cell>
          <cell r="D507">
            <v>71</v>
          </cell>
          <cell r="H507">
            <v>0</v>
          </cell>
          <cell r="L507">
            <v>0</v>
          </cell>
        </row>
        <row r="508">
          <cell r="B508">
            <v>504</v>
          </cell>
          <cell r="D508">
            <v>88</v>
          </cell>
          <cell r="H508">
            <v>0</v>
          </cell>
          <cell r="L508">
            <v>0</v>
          </cell>
        </row>
        <row r="509">
          <cell r="B509">
            <v>505</v>
          </cell>
          <cell r="D509">
            <v>38</v>
          </cell>
          <cell r="H509">
            <v>0</v>
          </cell>
          <cell r="L509">
            <v>0</v>
          </cell>
        </row>
        <row r="510">
          <cell r="B510">
            <v>506</v>
          </cell>
          <cell r="D510">
            <v>59</v>
          </cell>
          <cell r="H510">
            <v>0</v>
          </cell>
          <cell r="L510">
            <v>0</v>
          </cell>
        </row>
        <row r="511">
          <cell r="B511">
            <v>507</v>
          </cell>
          <cell r="D511">
            <v>55</v>
          </cell>
          <cell r="H511">
            <v>0</v>
          </cell>
          <cell r="L511">
            <v>0</v>
          </cell>
        </row>
        <row r="512">
          <cell r="B512">
            <v>508</v>
          </cell>
          <cell r="D512">
            <v>55</v>
          </cell>
          <cell r="H512">
            <v>0</v>
          </cell>
          <cell r="L512">
            <v>0</v>
          </cell>
        </row>
        <row r="513">
          <cell r="B513">
            <v>509</v>
          </cell>
          <cell r="D513">
            <v>75</v>
          </cell>
          <cell r="H513">
            <v>0</v>
          </cell>
          <cell r="L513">
            <v>0</v>
          </cell>
        </row>
        <row r="514">
          <cell r="B514">
            <v>510</v>
          </cell>
          <cell r="D514">
            <v>28</v>
          </cell>
          <cell r="H514">
            <v>0</v>
          </cell>
          <cell r="L514">
            <v>0</v>
          </cell>
        </row>
        <row r="515">
          <cell r="B515">
            <v>511</v>
          </cell>
          <cell r="D515">
            <v>90</v>
          </cell>
          <cell r="H515">
            <v>0</v>
          </cell>
          <cell r="L515">
            <v>0</v>
          </cell>
        </row>
        <row r="516">
          <cell r="B516">
            <v>512</v>
          </cell>
          <cell r="D516">
            <v>27</v>
          </cell>
          <cell r="H516">
            <v>0</v>
          </cell>
          <cell r="L516">
            <v>0</v>
          </cell>
        </row>
        <row r="517">
          <cell r="B517">
            <v>513</v>
          </cell>
          <cell r="D517">
            <v>32</v>
          </cell>
          <cell r="H517">
            <v>0</v>
          </cell>
          <cell r="L517">
            <v>0</v>
          </cell>
        </row>
        <row r="518">
          <cell r="B518">
            <v>514</v>
          </cell>
          <cell r="D518">
            <v>58</v>
          </cell>
          <cell r="H518">
            <v>0</v>
          </cell>
          <cell r="L518">
            <v>0</v>
          </cell>
        </row>
        <row r="519">
          <cell r="B519">
            <v>515</v>
          </cell>
          <cell r="D519">
            <v>78</v>
          </cell>
          <cell r="H519">
            <v>0</v>
          </cell>
          <cell r="L519">
            <v>0</v>
          </cell>
        </row>
        <row r="520">
          <cell r="B520">
            <v>516</v>
          </cell>
          <cell r="D520">
            <v>48</v>
          </cell>
          <cell r="H520">
            <v>0</v>
          </cell>
          <cell r="L520">
            <v>0</v>
          </cell>
        </row>
        <row r="521">
          <cell r="B521">
            <v>517</v>
          </cell>
          <cell r="D521">
            <v>97</v>
          </cell>
          <cell r="H521">
            <v>0</v>
          </cell>
          <cell r="L521">
            <v>0</v>
          </cell>
        </row>
        <row r="522">
          <cell r="B522">
            <v>518</v>
          </cell>
          <cell r="D522">
            <v>106</v>
          </cell>
          <cell r="H522">
            <v>0</v>
          </cell>
          <cell r="L522">
            <v>0</v>
          </cell>
        </row>
        <row r="523">
          <cell r="B523">
            <v>519</v>
          </cell>
          <cell r="D523">
            <v>53</v>
          </cell>
          <cell r="H523">
            <v>0</v>
          </cell>
          <cell r="L523">
            <v>0</v>
          </cell>
        </row>
        <row r="524">
          <cell r="B524">
            <v>520</v>
          </cell>
          <cell r="D524">
            <v>43</v>
          </cell>
          <cell r="H524">
            <v>0</v>
          </cell>
          <cell r="L524">
            <v>0</v>
          </cell>
        </row>
        <row r="525">
          <cell r="B525">
            <v>521</v>
          </cell>
          <cell r="D525">
            <v>59</v>
          </cell>
          <cell r="H525">
            <v>0</v>
          </cell>
          <cell r="L525">
            <v>0</v>
          </cell>
        </row>
        <row r="526">
          <cell r="B526">
            <v>522</v>
          </cell>
          <cell r="D526">
            <v>28</v>
          </cell>
          <cell r="H526">
            <v>0</v>
          </cell>
          <cell r="L526">
            <v>0</v>
          </cell>
        </row>
        <row r="527">
          <cell r="B527">
            <v>523</v>
          </cell>
          <cell r="D527">
            <v>70</v>
          </cell>
          <cell r="H527">
            <v>0</v>
          </cell>
          <cell r="L527">
            <v>0</v>
          </cell>
        </row>
        <row r="528">
          <cell r="B528">
            <v>524</v>
          </cell>
          <cell r="D528">
            <v>72</v>
          </cell>
          <cell r="H528">
            <v>0</v>
          </cell>
          <cell r="L528">
            <v>0</v>
          </cell>
        </row>
        <row r="529">
          <cell r="B529">
            <v>525</v>
          </cell>
          <cell r="D529">
            <v>80</v>
          </cell>
          <cell r="H529">
            <v>0</v>
          </cell>
          <cell r="L529">
            <v>0</v>
          </cell>
        </row>
        <row r="530">
          <cell r="B530">
            <v>526</v>
          </cell>
          <cell r="D530">
            <v>53</v>
          </cell>
          <cell r="H530">
            <v>0</v>
          </cell>
          <cell r="L530">
            <v>0</v>
          </cell>
        </row>
        <row r="531">
          <cell r="B531">
            <v>527</v>
          </cell>
          <cell r="D531">
            <v>52</v>
          </cell>
          <cell r="H531">
            <v>0</v>
          </cell>
          <cell r="L531">
            <v>0</v>
          </cell>
        </row>
        <row r="532">
          <cell r="B532">
            <v>528</v>
          </cell>
          <cell r="D532">
            <v>64</v>
          </cell>
          <cell r="H532">
            <v>0</v>
          </cell>
          <cell r="L532">
            <v>0</v>
          </cell>
        </row>
        <row r="533">
          <cell r="B533">
            <v>529</v>
          </cell>
          <cell r="D533">
            <v>66</v>
          </cell>
          <cell r="H533">
            <v>0</v>
          </cell>
          <cell r="L533">
            <v>0</v>
          </cell>
        </row>
        <row r="534">
          <cell r="B534">
            <v>530</v>
          </cell>
          <cell r="D534">
            <v>62</v>
          </cell>
          <cell r="H534">
            <v>0</v>
          </cell>
          <cell r="L534">
            <v>0</v>
          </cell>
        </row>
        <row r="535">
          <cell r="B535">
            <v>531</v>
          </cell>
          <cell r="D535">
            <v>66</v>
          </cell>
          <cell r="H535">
            <v>0</v>
          </cell>
          <cell r="L535">
            <v>0</v>
          </cell>
        </row>
        <row r="536">
          <cell r="B536">
            <v>532</v>
          </cell>
          <cell r="D536">
            <v>94</v>
          </cell>
          <cell r="H536">
            <v>0</v>
          </cell>
          <cell r="L536">
            <v>0</v>
          </cell>
        </row>
        <row r="537">
          <cell r="B537">
            <v>533</v>
          </cell>
          <cell r="D537">
            <v>88</v>
          </cell>
          <cell r="H537">
            <v>0</v>
          </cell>
          <cell r="L537">
            <v>0</v>
          </cell>
        </row>
        <row r="538">
          <cell r="B538">
            <v>534</v>
          </cell>
          <cell r="D538">
            <v>37</v>
          </cell>
          <cell r="H538">
            <v>0</v>
          </cell>
          <cell r="L538">
            <v>0</v>
          </cell>
        </row>
        <row r="539">
          <cell r="B539">
            <v>535</v>
          </cell>
          <cell r="D539">
            <v>71</v>
          </cell>
          <cell r="H539">
            <v>0</v>
          </cell>
          <cell r="L539">
            <v>0</v>
          </cell>
        </row>
        <row r="540">
          <cell r="B540">
            <v>536</v>
          </cell>
          <cell r="D540">
            <v>89</v>
          </cell>
          <cell r="H540">
            <v>0</v>
          </cell>
          <cell r="L540">
            <v>0</v>
          </cell>
        </row>
        <row r="541">
          <cell r="B541">
            <v>537</v>
          </cell>
          <cell r="D541">
            <v>83</v>
          </cell>
          <cell r="H541">
            <v>0</v>
          </cell>
          <cell r="L541">
            <v>0</v>
          </cell>
        </row>
        <row r="542">
          <cell r="B542">
            <v>538</v>
          </cell>
          <cell r="D542">
            <v>72</v>
          </cell>
          <cell r="H542">
            <v>0</v>
          </cell>
          <cell r="L542">
            <v>0</v>
          </cell>
        </row>
        <row r="543">
          <cell r="B543">
            <v>539</v>
          </cell>
          <cell r="D543">
            <v>86</v>
          </cell>
          <cell r="H543">
            <v>0</v>
          </cell>
          <cell r="L543">
            <v>0</v>
          </cell>
        </row>
        <row r="544">
          <cell r="B544">
            <v>540</v>
          </cell>
          <cell r="D544">
            <v>53</v>
          </cell>
          <cell r="H544">
            <v>0</v>
          </cell>
          <cell r="L544">
            <v>0</v>
          </cell>
        </row>
        <row r="545">
          <cell r="B545">
            <v>541</v>
          </cell>
          <cell r="D545">
            <v>72</v>
          </cell>
          <cell r="H545">
            <v>0</v>
          </cell>
          <cell r="L545">
            <v>0</v>
          </cell>
        </row>
        <row r="546">
          <cell r="B546">
            <v>542</v>
          </cell>
          <cell r="D546">
            <v>107</v>
          </cell>
          <cell r="H546">
            <v>0</v>
          </cell>
          <cell r="L546">
            <v>0</v>
          </cell>
        </row>
        <row r="547">
          <cell r="B547">
            <v>543</v>
          </cell>
          <cell r="D547">
            <v>42</v>
          </cell>
          <cell r="H547">
            <v>0</v>
          </cell>
          <cell r="L547">
            <v>0</v>
          </cell>
        </row>
        <row r="548">
          <cell r="B548">
            <v>544</v>
          </cell>
          <cell r="D548">
            <v>76</v>
          </cell>
          <cell r="H548">
            <v>0</v>
          </cell>
          <cell r="L548">
            <v>0</v>
          </cell>
        </row>
        <row r="549">
          <cell r="B549">
            <v>545</v>
          </cell>
          <cell r="D549">
            <v>44</v>
          </cell>
          <cell r="H549">
            <v>0</v>
          </cell>
          <cell r="L549">
            <v>0</v>
          </cell>
        </row>
        <row r="550">
          <cell r="B550">
            <v>546</v>
          </cell>
          <cell r="D550">
            <v>45</v>
          </cell>
          <cell r="H550">
            <v>0</v>
          </cell>
          <cell r="L550">
            <v>0</v>
          </cell>
        </row>
        <row r="551">
          <cell r="B551">
            <v>547</v>
          </cell>
          <cell r="D551">
            <v>63</v>
          </cell>
          <cell r="H551">
            <v>0</v>
          </cell>
          <cell r="L551">
            <v>0</v>
          </cell>
        </row>
        <row r="552">
          <cell r="B552">
            <v>548</v>
          </cell>
          <cell r="D552">
            <v>53</v>
          </cell>
          <cell r="H552">
            <v>0</v>
          </cell>
          <cell r="L552">
            <v>0</v>
          </cell>
        </row>
        <row r="553">
          <cell r="B553">
            <v>549</v>
          </cell>
          <cell r="D553">
            <v>98</v>
          </cell>
          <cell r="H553">
            <v>0</v>
          </cell>
          <cell r="L553">
            <v>0</v>
          </cell>
        </row>
        <row r="554">
          <cell r="B554">
            <v>550</v>
          </cell>
          <cell r="D554">
            <v>89</v>
          </cell>
          <cell r="H554">
            <v>0</v>
          </cell>
          <cell r="L554">
            <v>0</v>
          </cell>
        </row>
        <row r="555">
          <cell r="B555">
            <v>551</v>
          </cell>
          <cell r="D555">
            <v>92</v>
          </cell>
          <cell r="H555">
            <v>0</v>
          </cell>
          <cell r="L555">
            <v>0</v>
          </cell>
        </row>
        <row r="556">
          <cell r="B556">
            <v>552</v>
          </cell>
          <cell r="D556">
            <v>51</v>
          </cell>
          <cell r="H556">
            <v>0</v>
          </cell>
          <cell r="L556">
            <v>0</v>
          </cell>
        </row>
        <row r="557">
          <cell r="B557">
            <v>553</v>
          </cell>
          <cell r="D557">
            <v>79</v>
          </cell>
          <cell r="H557">
            <v>0</v>
          </cell>
          <cell r="L557">
            <v>0</v>
          </cell>
        </row>
        <row r="558">
          <cell r="B558">
            <v>554</v>
          </cell>
          <cell r="D558">
            <v>95</v>
          </cell>
          <cell r="H558">
            <v>0</v>
          </cell>
          <cell r="L558">
            <v>0</v>
          </cell>
        </row>
        <row r="559">
          <cell r="B559">
            <v>555</v>
          </cell>
          <cell r="D559">
            <v>108</v>
          </cell>
          <cell r="H559">
            <v>0</v>
          </cell>
          <cell r="L559">
            <v>0</v>
          </cell>
        </row>
        <row r="560">
          <cell r="B560">
            <v>556</v>
          </cell>
          <cell r="D560">
            <v>61</v>
          </cell>
          <cell r="H560">
            <v>0</v>
          </cell>
          <cell r="L560">
            <v>0</v>
          </cell>
        </row>
        <row r="561">
          <cell r="B561">
            <v>557</v>
          </cell>
          <cell r="D561">
            <v>47</v>
          </cell>
          <cell r="H561">
            <v>0</v>
          </cell>
          <cell r="L561">
            <v>0</v>
          </cell>
        </row>
        <row r="562">
          <cell r="B562">
            <v>558</v>
          </cell>
          <cell r="D562">
            <v>73</v>
          </cell>
          <cell r="H562">
            <v>0</v>
          </cell>
          <cell r="L562">
            <v>0</v>
          </cell>
        </row>
        <row r="563">
          <cell r="B563">
            <v>559</v>
          </cell>
          <cell r="D563">
            <v>64</v>
          </cell>
          <cell r="H563">
            <v>0</v>
          </cell>
          <cell r="L563">
            <v>0</v>
          </cell>
        </row>
        <row r="564">
          <cell r="B564">
            <v>560</v>
          </cell>
          <cell r="D564">
            <v>45</v>
          </cell>
          <cell r="H564">
            <v>0</v>
          </cell>
          <cell r="L564">
            <v>0</v>
          </cell>
        </row>
        <row r="565">
          <cell r="B565">
            <v>561</v>
          </cell>
          <cell r="D565">
            <v>64</v>
          </cell>
          <cell r="H565">
            <v>0</v>
          </cell>
          <cell r="L565">
            <v>0</v>
          </cell>
        </row>
        <row r="566">
          <cell r="B566">
            <v>562</v>
          </cell>
          <cell r="D566">
            <v>74</v>
          </cell>
          <cell r="H566">
            <v>0</v>
          </cell>
          <cell r="L566">
            <v>0</v>
          </cell>
        </row>
        <row r="567">
          <cell r="B567">
            <v>563</v>
          </cell>
          <cell r="D567">
            <v>75</v>
          </cell>
          <cell r="H567">
            <v>0</v>
          </cell>
          <cell r="L567">
            <v>0</v>
          </cell>
        </row>
        <row r="568">
          <cell r="B568">
            <v>564</v>
          </cell>
          <cell r="D568">
            <v>59</v>
          </cell>
          <cell r="H568">
            <v>0</v>
          </cell>
          <cell r="L568">
            <v>0</v>
          </cell>
        </row>
        <row r="569">
          <cell r="B569">
            <v>565</v>
          </cell>
          <cell r="D569">
            <v>52</v>
          </cell>
          <cell r="H569">
            <v>0</v>
          </cell>
          <cell r="L569">
            <v>0</v>
          </cell>
        </row>
        <row r="570">
          <cell r="B570">
            <v>566</v>
          </cell>
          <cell r="D570">
            <v>71</v>
          </cell>
          <cell r="H570">
            <v>0</v>
          </cell>
          <cell r="L570">
            <v>0</v>
          </cell>
        </row>
        <row r="571">
          <cell r="B571">
            <v>567</v>
          </cell>
          <cell r="D571">
            <v>44</v>
          </cell>
          <cell r="H571">
            <v>0</v>
          </cell>
          <cell r="L571">
            <v>0</v>
          </cell>
        </row>
        <row r="572">
          <cell r="B572">
            <v>568</v>
          </cell>
          <cell r="D572">
            <v>59</v>
          </cell>
          <cell r="H572">
            <v>0</v>
          </cell>
          <cell r="L572">
            <v>0</v>
          </cell>
        </row>
        <row r="573">
          <cell r="B573">
            <v>569</v>
          </cell>
          <cell r="D573">
            <v>48</v>
          </cell>
          <cell r="H573">
            <v>0</v>
          </cell>
          <cell r="L573">
            <v>0</v>
          </cell>
        </row>
        <row r="574">
          <cell r="B574">
            <v>570</v>
          </cell>
          <cell r="D574">
            <v>76</v>
          </cell>
          <cell r="H574">
            <v>0</v>
          </cell>
          <cell r="L574">
            <v>0</v>
          </cell>
        </row>
        <row r="575">
          <cell r="B575">
            <v>571</v>
          </cell>
          <cell r="D575">
            <v>62</v>
          </cell>
          <cell r="H575">
            <v>0</v>
          </cell>
          <cell r="L575">
            <v>0</v>
          </cell>
        </row>
        <row r="576">
          <cell r="B576">
            <v>572</v>
          </cell>
          <cell r="D576">
            <v>41</v>
          </cell>
          <cell r="H576">
            <v>0</v>
          </cell>
          <cell r="L576">
            <v>0</v>
          </cell>
        </row>
        <row r="577">
          <cell r="B577">
            <v>573</v>
          </cell>
          <cell r="D577">
            <v>49</v>
          </cell>
          <cell r="H577">
            <v>0</v>
          </cell>
          <cell r="L577">
            <v>0</v>
          </cell>
        </row>
        <row r="578">
          <cell r="B578">
            <v>574</v>
          </cell>
          <cell r="D578">
            <v>72</v>
          </cell>
          <cell r="H578">
            <v>0</v>
          </cell>
          <cell r="L578">
            <v>0</v>
          </cell>
        </row>
        <row r="579">
          <cell r="B579">
            <v>575</v>
          </cell>
          <cell r="D579">
            <v>81</v>
          </cell>
          <cell r="H579">
            <v>0</v>
          </cell>
          <cell r="L579">
            <v>0</v>
          </cell>
        </row>
        <row r="580">
          <cell r="B580">
            <v>576</v>
          </cell>
          <cell r="D580">
            <v>101</v>
          </cell>
          <cell r="H580">
            <v>0</v>
          </cell>
          <cell r="L580">
            <v>0</v>
          </cell>
        </row>
        <row r="581">
          <cell r="B581">
            <v>577</v>
          </cell>
          <cell r="D581">
            <v>103</v>
          </cell>
          <cell r="H581">
            <v>0</v>
          </cell>
          <cell r="L581">
            <v>0</v>
          </cell>
        </row>
        <row r="582">
          <cell r="B582">
            <v>578</v>
          </cell>
          <cell r="D582">
            <v>35</v>
          </cell>
          <cell r="H582">
            <v>0</v>
          </cell>
          <cell r="L582">
            <v>0</v>
          </cell>
        </row>
        <row r="583">
          <cell r="B583">
            <v>579</v>
          </cell>
          <cell r="D583">
            <v>96</v>
          </cell>
          <cell r="H583">
            <v>0</v>
          </cell>
          <cell r="L583">
            <v>0</v>
          </cell>
        </row>
        <row r="584">
          <cell r="B584">
            <v>580</v>
          </cell>
          <cell r="D584">
            <v>77</v>
          </cell>
          <cell r="H584">
            <v>0</v>
          </cell>
          <cell r="L584">
            <v>0</v>
          </cell>
        </row>
        <row r="585">
          <cell r="B585">
            <v>581</v>
          </cell>
          <cell r="D585">
            <v>57</v>
          </cell>
          <cell r="H585">
            <v>0</v>
          </cell>
          <cell r="L585">
            <v>0</v>
          </cell>
        </row>
        <row r="586">
          <cell r="B586">
            <v>582</v>
          </cell>
          <cell r="D586">
            <v>81</v>
          </cell>
          <cell r="H586">
            <v>0</v>
          </cell>
          <cell r="L586">
            <v>0</v>
          </cell>
        </row>
        <row r="587">
          <cell r="B587">
            <v>583</v>
          </cell>
          <cell r="D587">
            <v>74</v>
          </cell>
          <cell r="H587">
            <v>0</v>
          </cell>
          <cell r="L587">
            <v>0</v>
          </cell>
        </row>
        <row r="588">
          <cell r="B588">
            <v>584</v>
          </cell>
          <cell r="D588">
            <v>52</v>
          </cell>
          <cell r="H588">
            <v>0</v>
          </cell>
          <cell r="L588">
            <v>0</v>
          </cell>
        </row>
        <row r="589">
          <cell r="B589">
            <v>585</v>
          </cell>
          <cell r="D589">
            <v>73</v>
          </cell>
          <cell r="H589">
            <v>0</v>
          </cell>
          <cell r="L589">
            <v>0</v>
          </cell>
        </row>
        <row r="590">
          <cell r="B590">
            <v>586</v>
          </cell>
          <cell r="D590">
            <v>58</v>
          </cell>
          <cell r="H590">
            <v>0</v>
          </cell>
          <cell r="L590">
            <v>0</v>
          </cell>
        </row>
        <row r="591">
          <cell r="B591">
            <v>587</v>
          </cell>
          <cell r="D591">
            <v>93</v>
          </cell>
          <cell r="H591">
            <v>0</v>
          </cell>
          <cell r="L591">
            <v>0</v>
          </cell>
        </row>
        <row r="592">
          <cell r="B592">
            <v>588</v>
          </cell>
          <cell r="D592">
            <v>33</v>
          </cell>
          <cell r="H592">
            <v>0</v>
          </cell>
          <cell r="L592">
            <v>0</v>
          </cell>
        </row>
        <row r="593">
          <cell r="B593">
            <v>589</v>
          </cell>
          <cell r="D593">
            <v>42</v>
          </cell>
          <cell r="H593">
            <v>0</v>
          </cell>
          <cell r="L593">
            <v>0</v>
          </cell>
        </row>
        <row r="594">
          <cell r="B594">
            <v>590</v>
          </cell>
          <cell r="D594">
            <v>59</v>
          </cell>
          <cell r="H594">
            <v>0</v>
          </cell>
          <cell r="L594">
            <v>0</v>
          </cell>
        </row>
        <row r="595">
          <cell r="B595">
            <v>591</v>
          </cell>
          <cell r="D595">
            <v>75</v>
          </cell>
          <cell r="H595">
            <v>0</v>
          </cell>
          <cell r="L595">
            <v>0</v>
          </cell>
        </row>
        <row r="596">
          <cell r="B596">
            <v>592</v>
          </cell>
          <cell r="D596">
            <v>34</v>
          </cell>
          <cell r="H596">
            <v>0</v>
          </cell>
          <cell r="L596">
            <v>0</v>
          </cell>
        </row>
        <row r="597">
          <cell r="B597">
            <v>593</v>
          </cell>
          <cell r="D597">
            <v>77</v>
          </cell>
          <cell r="H597">
            <v>0</v>
          </cell>
          <cell r="L597">
            <v>0</v>
          </cell>
        </row>
        <row r="598">
          <cell r="B598">
            <v>594</v>
          </cell>
          <cell r="D598">
            <v>64</v>
          </cell>
          <cell r="H598">
            <v>0</v>
          </cell>
          <cell r="L598">
            <v>0</v>
          </cell>
        </row>
        <row r="599">
          <cell r="B599">
            <v>595</v>
          </cell>
          <cell r="D599">
            <v>57</v>
          </cell>
          <cell r="H599">
            <v>0</v>
          </cell>
          <cell r="L599">
            <v>0</v>
          </cell>
        </row>
        <row r="600">
          <cell r="B600">
            <v>596</v>
          </cell>
          <cell r="D600">
            <v>91</v>
          </cell>
          <cell r="H600">
            <v>0</v>
          </cell>
          <cell r="L600">
            <v>0</v>
          </cell>
        </row>
        <row r="601">
          <cell r="B601">
            <v>597</v>
          </cell>
          <cell r="D601">
            <v>74</v>
          </cell>
          <cell r="H601">
            <v>0</v>
          </cell>
          <cell r="L601">
            <v>0</v>
          </cell>
        </row>
        <row r="602">
          <cell r="B602">
            <v>598</v>
          </cell>
          <cell r="D602">
            <v>84</v>
          </cell>
          <cell r="H602">
            <v>0</v>
          </cell>
          <cell r="L602">
            <v>0</v>
          </cell>
        </row>
        <row r="603">
          <cell r="B603">
            <v>599</v>
          </cell>
          <cell r="D603">
            <v>30</v>
          </cell>
          <cell r="H603">
            <v>0</v>
          </cell>
          <cell r="L603">
            <v>0</v>
          </cell>
        </row>
        <row r="604">
          <cell r="B604">
            <v>600</v>
          </cell>
          <cell r="D604">
            <v>35</v>
          </cell>
          <cell r="H604">
            <v>0</v>
          </cell>
          <cell r="L604">
            <v>0</v>
          </cell>
        </row>
        <row r="605">
          <cell r="B605">
            <v>601</v>
          </cell>
          <cell r="D605">
            <v>45</v>
          </cell>
          <cell r="H605">
            <v>0</v>
          </cell>
          <cell r="L605">
            <v>0</v>
          </cell>
        </row>
        <row r="606">
          <cell r="B606">
            <v>602</v>
          </cell>
          <cell r="D606">
            <v>55</v>
          </cell>
          <cell r="H606">
            <v>0</v>
          </cell>
          <cell r="L606">
            <v>0</v>
          </cell>
        </row>
        <row r="607">
          <cell r="B607">
            <v>603</v>
          </cell>
          <cell r="D607">
            <v>53</v>
          </cell>
          <cell r="H607">
            <v>0</v>
          </cell>
          <cell r="L607">
            <v>0</v>
          </cell>
        </row>
        <row r="608">
          <cell r="B608">
            <v>604</v>
          </cell>
          <cell r="D608">
            <v>64</v>
          </cell>
          <cell r="H608">
            <v>0</v>
          </cell>
          <cell r="L608">
            <v>0</v>
          </cell>
        </row>
        <row r="609">
          <cell r="B609">
            <v>605</v>
          </cell>
          <cell r="D609">
            <v>56</v>
          </cell>
          <cell r="H609">
            <v>0</v>
          </cell>
          <cell r="L609">
            <v>0</v>
          </cell>
        </row>
        <row r="610">
          <cell r="B610">
            <v>606</v>
          </cell>
          <cell r="D610">
            <v>75</v>
          </cell>
          <cell r="H610">
            <v>0</v>
          </cell>
          <cell r="L610">
            <v>0</v>
          </cell>
        </row>
        <row r="611">
          <cell r="B611">
            <v>607</v>
          </cell>
          <cell r="D611">
            <v>80</v>
          </cell>
          <cell r="H611">
            <v>0</v>
          </cell>
          <cell r="L611">
            <v>0</v>
          </cell>
        </row>
        <row r="612">
          <cell r="B612">
            <v>608</v>
          </cell>
          <cell r="D612">
            <v>30</v>
          </cell>
          <cell r="H612">
            <v>0</v>
          </cell>
          <cell r="L612">
            <v>0</v>
          </cell>
        </row>
        <row r="613">
          <cell r="B613">
            <v>609</v>
          </cell>
          <cell r="D613">
            <v>60</v>
          </cell>
          <cell r="H613">
            <v>0</v>
          </cell>
          <cell r="L613">
            <v>0</v>
          </cell>
        </row>
        <row r="614">
          <cell r="B614">
            <v>610</v>
          </cell>
          <cell r="D614">
            <v>71</v>
          </cell>
          <cell r="H614">
            <v>0</v>
          </cell>
          <cell r="L614">
            <v>0</v>
          </cell>
        </row>
        <row r="615">
          <cell r="B615">
            <v>611</v>
          </cell>
          <cell r="D615">
            <v>60</v>
          </cell>
          <cell r="H615">
            <v>0</v>
          </cell>
          <cell r="L615">
            <v>0</v>
          </cell>
        </row>
        <row r="616">
          <cell r="B616">
            <v>612</v>
          </cell>
          <cell r="D616">
            <v>50</v>
          </cell>
          <cell r="H616">
            <v>0</v>
          </cell>
          <cell r="L616">
            <v>0</v>
          </cell>
        </row>
        <row r="617">
          <cell r="B617">
            <v>613</v>
          </cell>
          <cell r="D617">
            <v>66</v>
          </cell>
          <cell r="H617">
            <v>0</v>
          </cell>
          <cell r="L617">
            <v>0</v>
          </cell>
        </row>
        <row r="618">
          <cell r="B618">
            <v>614</v>
          </cell>
          <cell r="D618">
            <v>67</v>
          </cell>
          <cell r="H618">
            <v>0</v>
          </cell>
          <cell r="L618">
            <v>0</v>
          </cell>
        </row>
        <row r="619">
          <cell r="B619">
            <v>615</v>
          </cell>
          <cell r="D619">
            <v>46</v>
          </cell>
          <cell r="H619">
            <v>0</v>
          </cell>
          <cell r="L619">
            <v>0</v>
          </cell>
        </row>
        <row r="620">
          <cell r="B620">
            <v>616</v>
          </cell>
          <cell r="D620">
            <v>48</v>
          </cell>
          <cell r="H620">
            <v>0</v>
          </cell>
          <cell r="L620">
            <v>0</v>
          </cell>
        </row>
        <row r="621">
          <cell r="B621">
            <v>617</v>
          </cell>
          <cell r="D621">
            <v>71</v>
          </cell>
          <cell r="H621">
            <v>0</v>
          </cell>
          <cell r="L621">
            <v>0</v>
          </cell>
        </row>
        <row r="622">
          <cell r="B622">
            <v>618</v>
          </cell>
          <cell r="D622">
            <v>68</v>
          </cell>
          <cell r="H622">
            <v>0</v>
          </cell>
          <cell r="L622">
            <v>0</v>
          </cell>
        </row>
        <row r="623">
          <cell r="B623">
            <v>619</v>
          </cell>
          <cell r="D623">
            <v>22</v>
          </cell>
          <cell r="H623">
            <v>0</v>
          </cell>
          <cell r="L623">
            <v>0</v>
          </cell>
        </row>
        <row r="624">
          <cell r="B624">
            <v>620</v>
          </cell>
          <cell r="D624">
            <v>36</v>
          </cell>
          <cell r="H624">
            <v>0</v>
          </cell>
          <cell r="L624">
            <v>0</v>
          </cell>
        </row>
        <row r="625">
          <cell r="B625">
            <v>621</v>
          </cell>
          <cell r="D625">
            <v>41</v>
          </cell>
          <cell r="H625">
            <v>0</v>
          </cell>
          <cell r="L625">
            <v>0</v>
          </cell>
        </row>
        <row r="626">
          <cell r="B626">
            <v>622</v>
          </cell>
          <cell r="D626">
            <v>36</v>
          </cell>
          <cell r="H626">
            <v>0</v>
          </cell>
          <cell r="L626">
            <v>0</v>
          </cell>
        </row>
        <row r="627">
          <cell r="B627">
            <v>623</v>
          </cell>
          <cell r="D627">
            <v>58</v>
          </cell>
          <cell r="H627">
            <v>0</v>
          </cell>
          <cell r="L627">
            <v>0</v>
          </cell>
        </row>
        <row r="628">
          <cell r="B628">
            <v>624</v>
          </cell>
          <cell r="D628">
            <v>63</v>
          </cell>
          <cell r="H628">
            <v>0</v>
          </cell>
          <cell r="L628">
            <v>0</v>
          </cell>
        </row>
        <row r="629">
          <cell r="B629">
            <v>625</v>
          </cell>
          <cell r="D629">
            <v>29</v>
          </cell>
          <cell r="H629">
            <v>0</v>
          </cell>
          <cell r="L629">
            <v>0</v>
          </cell>
        </row>
        <row r="630">
          <cell r="B630">
            <v>626</v>
          </cell>
          <cell r="D630">
            <v>29</v>
          </cell>
          <cell r="H630">
            <v>0</v>
          </cell>
          <cell r="L630">
            <v>0</v>
          </cell>
        </row>
        <row r="631">
          <cell r="B631">
            <v>627</v>
          </cell>
          <cell r="D631">
            <v>42</v>
          </cell>
          <cell r="H631">
            <v>0</v>
          </cell>
          <cell r="L631">
            <v>0</v>
          </cell>
        </row>
        <row r="632">
          <cell r="B632">
            <v>628</v>
          </cell>
          <cell r="D632">
            <v>75</v>
          </cell>
          <cell r="H632">
            <v>0</v>
          </cell>
          <cell r="L632">
            <v>0</v>
          </cell>
        </row>
        <row r="633">
          <cell r="B633">
            <v>629</v>
          </cell>
          <cell r="D633">
            <v>85</v>
          </cell>
          <cell r="H633">
            <v>0</v>
          </cell>
          <cell r="L633">
            <v>0</v>
          </cell>
        </row>
        <row r="634">
          <cell r="B634">
            <v>630</v>
          </cell>
          <cell r="D634">
            <v>61</v>
          </cell>
          <cell r="H634">
            <v>0</v>
          </cell>
          <cell r="L634">
            <v>0</v>
          </cell>
        </row>
        <row r="635">
          <cell r="B635">
            <v>631</v>
          </cell>
          <cell r="D635">
            <v>47</v>
          </cell>
          <cell r="H635">
            <v>0</v>
          </cell>
          <cell r="L635">
            <v>0</v>
          </cell>
        </row>
        <row r="636">
          <cell r="B636">
            <v>632</v>
          </cell>
          <cell r="D636">
            <v>39</v>
          </cell>
          <cell r="H636">
            <v>0</v>
          </cell>
          <cell r="L636">
            <v>0</v>
          </cell>
        </row>
        <row r="637">
          <cell r="B637">
            <v>633</v>
          </cell>
          <cell r="D637">
            <v>49</v>
          </cell>
          <cell r="H637">
            <v>0</v>
          </cell>
          <cell r="L637">
            <v>0</v>
          </cell>
        </row>
        <row r="638">
          <cell r="B638">
            <v>634</v>
          </cell>
          <cell r="D638">
            <v>54</v>
          </cell>
          <cell r="H638">
            <v>0</v>
          </cell>
          <cell r="L638">
            <v>0</v>
          </cell>
        </row>
        <row r="639">
          <cell r="B639">
            <v>635</v>
          </cell>
          <cell r="D639">
            <v>25</v>
          </cell>
          <cell r="H639">
            <v>0</v>
          </cell>
          <cell r="L639">
            <v>0</v>
          </cell>
        </row>
        <row r="640">
          <cell r="B640">
            <v>636</v>
          </cell>
          <cell r="D640">
            <v>32</v>
          </cell>
          <cell r="H640">
            <v>0</v>
          </cell>
          <cell r="L640">
            <v>0</v>
          </cell>
        </row>
        <row r="641">
          <cell r="B641">
            <v>637</v>
          </cell>
          <cell r="D641">
            <v>31</v>
          </cell>
          <cell r="H641">
            <v>0</v>
          </cell>
          <cell r="L641">
            <v>0</v>
          </cell>
        </row>
        <row r="642">
          <cell r="B642">
            <v>638</v>
          </cell>
          <cell r="D642">
            <v>36</v>
          </cell>
          <cell r="H642">
            <v>0</v>
          </cell>
          <cell r="L642">
            <v>0</v>
          </cell>
        </row>
        <row r="643">
          <cell r="B643">
            <v>639</v>
          </cell>
          <cell r="D643">
            <v>48</v>
          </cell>
          <cell r="H643">
            <v>0</v>
          </cell>
          <cell r="L643">
            <v>0</v>
          </cell>
        </row>
        <row r="644">
          <cell r="B644">
            <v>640</v>
          </cell>
          <cell r="D644">
            <v>32</v>
          </cell>
          <cell r="H644">
            <v>0</v>
          </cell>
          <cell r="L644">
            <v>0</v>
          </cell>
        </row>
        <row r="645">
          <cell r="B645">
            <v>641</v>
          </cell>
          <cell r="D645">
            <v>50</v>
          </cell>
          <cell r="H645">
            <v>0</v>
          </cell>
          <cell r="L645">
            <v>0</v>
          </cell>
        </row>
        <row r="646">
          <cell r="B646">
            <v>642</v>
          </cell>
          <cell r="D646">
            <v>21</v>
          </cell>
          <cell r="H646">
            <v>0</v>
          </cell>
          <cell r="L646">
            <v>0</v>
          </cell>
        </row>
        <row r="647">
          <cell r="B647">
            <v>643</v>
          </cell>
          <cell r="D647">
            <v>34</v>
          </cell>
          <cell r="H647">
            <v>0</v>
          </cell>
          <cell r="L647">
            <v>0</v>
          </cell>
        </row>
        <row r="648">
          <cell r="B648">
            <v>644</v>
          </cell>
          <cell r="D648">
            <v>49</v>
          </cell>
          <cell r="H648">
            <v>0</v>
          </cell>
          <cell r="L648">
            <v>0</v>
          </cell>
        </row>
        <row r="649">
          <cell r="B649">
            <v>645</v>
          </cell>
          <cell r="D649">
            <v>18</v>
          </cell>
          <cell r="H649">
            <v>0</v>
          </cell>
          <cell r="L649">
            <v>0</v>
          </cell>
        </row>
        <row r="650">
          <cell r="B650">
            <v>646</v>
          </cell>
          <cell r="D650">
            <v>33</v>
          </cell>
          <cell r="H650">
            <v>0</v>
          </cell>
          <cell r="L650">
            <v>0</v>
          </cell>
        </row>
        <row r="651">
          <cell r="B651">
            <v>647</v>
          </cell>
          <cell r="D651">
            <v>30</v>
          </cell>
          <cell r="H651">
            <v>0</v>
          </cell>
          <cell r="L651">
            <v>0</v>
          </cell>
        </row>
        <row r="652">
          <cell r="B652">
            <v>648</v>
          </cell>
          <cell r="D652">
            <v>35</v>
          </cell>
          <cell r="H652">
            <v>0</v>
          </cell>
          <cell r="L652">
            <v>0</v>
          </cell>
        </row>
        <row r="653">
          <cell r="B653">
            <v>649</v>
          </cell>
          <cell r="D653">
            <v>18</v>
          </cell>
          <cell r="H653">
            <v>0</v>
          </cell>
          <cell r="L653">
            <v>0</v>
          </cell>
        </row>
        <row r="654">
          <cell r="B654">
            <v>650</v>
          </cell>
          <cell r="D654">
            <v>33</v>
          </cell>
          <cell r="H654">
            <v>0</v>
          </cell>
          <cell r="L654">
            <v>0</v>
          </cell>
        </row>
        <row r="655">
          <cell r="B655">
            <v>651</v>
          </cell>
          <cell r="D655">
            <v>26</v>
          </cell>
          <cell r="H655">
            <v>0</v>
          </cell>
          <cell r="L655">
            <v>0</v>
          </cell>
        </row>
        <row r="656">
          <cell r="B656">
            <v>652</v>
          </cell>
          <cell r="D656">
            <v>34</v>
          </cell>
          <cell r="H656">
            <v>0</v>
          </cell>
          <cell r="L656">
            <v>0</v>
          </cell>
        </row>
        <row r="657">
          <cell r="B657">
            <v>653</v>
          </cell>
          <cell r="D657">
            <v>34</v>
          </cell>
          <cell r="H657">
            <v>0</v>
          </cell>
          <cell r="L657">
            <v>0</v>
          </cell>
        </row>
        <row r="658">
          <cell r="B658">
            <v>654</v>
          </cell>
          <cell r="D658">
            <v>30</v>
          </cell>
          <cell r="H658">
            <v>0</v>
          </cell>
          <cell r="L658">
            <v>0</v>
          </cell>
        </row>
        <row r="659">
          <cell r="B659">
            <v>655</v>
          </cell>
          <cell r="D659">
            <v>37</v>
          </cell>
          <cell r="H659">
            <v>0</v>
          </cell>
          <cell r="L659">
            <v>0</v>
          </cell>
        </row>
        <row r="660">
          <cell r="B660">
            <v>656</v>
          </cell>
          <cell r="D660">
            <v>65</v>
          </cell>
          <cell r="H660">
            <v>0</v>
          </cell>
          <cell r="L660">
            <v>0</v>
          </cell>
        </row>
        <row r="661">
          <cell r="B661">
            <v>657</v>
          </cell>
          <cell r="D661">
            <v>16</v>
          </cell>
          <cell r="H661">
            <v>0</v>
          </cell>
          <cell r="L661">
            <v>0</v>
          </cell>
        </row>
        <row r="662">
          <cell r="B662">
            <v>658</v>
          </cell>
          <cell r="D662">
            <v>15</v>
          </cell>
          <cell r="H662">
            <v>0</v>
          </cell>
          <cell r="L662">
            <v>0</v>
          </cell>
        </row>
        <row r="663">
          <cell r="B663">
            <v>659</v>
          </cell>
          <cell r="D663">
            <v>17</v>
          </cell>
          <cell r="H663">
            <v>0</v>
          </cell>
          <cell r="L663">
            <v>0</v>
          </cell>
        </row>
        <row r="664">
          <cell r="B664">
            <v>660</v>
          </cell>
          <cell r="D664">
            <v>14</v>
          </cell>
          <cell r="H664">
            <v>0</v>
          </cell>
          <cell r="L664">
            <v>0</v>
          </cell>
        </row>
        <row r="665">
          <cell r="B665">
            <v>661</v>
          </cell>
          <cell r="D665">
            <v>54</v>
          </cell>
          <cell r="H665">
            <v>0</v>
          </cell>
          <cell r="L665">
            <v>0</v>
          </cell>
        </row>
        <row r="666">
          <cell r="B666">
            <v>662</v>
          </cell>
          <cell r="D666">
            <v>17</v>
          </cell>
          <cell r="H666">
            <v>0</v>
          </cell>
          <cell r="L666">
            <v>0</v>
          </cell>
        </row>
        <row r="667">
          <cell r="B667">
            <v>663</v>
          </cell>
          <cell r="D667">
            <v>33</v>
          </cell>
          <cell r="H667">
            <v>0</v>
          </cell>
          <cell r="L667">
            <v>0</v>
          </cell>
        </row>
        <row r="668">
          <cell r="B668">
            <v>664</v>
          </cell>
          <cell r="D668">
            <v>12</v>
          </cell>
          <cell r="H668">
            <v>0</v>
          </cell>
          <cell r="L668">
            <v>0</v>
          </cell>
        </row>
        <row r="669">
          <cell r="B669">
            <v>665</v>
          </cell>
          <cell r="D669">
            <v>15</v>
          </cell>
          <cell r="H669">
            <v>0</v>
          </cell>
          <cell r="L669">
            <v>0</v>
          </cell>
        </row>
        <row r="670">
          <cell r="B670">
            <v>666</v>
          </cell>
          <cell r="D670">
            <v>21</v>
          </cell>
          <cell r="H670">
            <v>0</v>
          </cell>
          <cell r="L670">
            <v>0</v>
          </cell>
        </row>
        <row r="671">
          <cell r="B671">
            <v>667</v>
          </cell>
          <cell r="D671">
            <v>16</v>
          </cell>
          <cell r="H671">
            <v>0</v>
          </cell>
          <cell r="L671">
            <v>0</v>
          </cell>
        </row>
        <row r="672">
          <cell r="B672">
            <v>668</v>
          </cell>
          <cell r="D672">
            <v>24</v>
          </cell>
          <cell r="H672">
            <v>0</v>
          </cell>
          <cell r="L672">
            <v>0</v>
          </cell>
        </row>
        <row r="673">
          <cell r="B673">
            <v>669</v>
          </cell>
          <cell r="D673">
            <v>19</v>
          </cell>
          <cell r="H673">
            <v>0</v>
          </cell>
          <cell r="L673">
            <v>0</v>
          </cell>
        </row>
        <row r="674">
          <cell r="B674">
            <v>670</v>
          </cell>
          <cell r="D674">
            <v>10</v>
          </cell>
          <cell r="H674">
            <v>0</v>
          </cell>
          <cell r="L674">
            <v>0</v>
          </cell>
        </row>
        <row r="675">
          <cell r="B675">
            <v>671</v>
          </cell>
          <cell r="D675">
            <v>26</v>
          </cell>
          <cell r="H675">
            <v>0</v>
          </cell>
          <cell r="L675">
            <v>0</v>
          </cell>
        </row>
        <row r="676">
          <cell r="B676">
            <v>672</v>
          </cell>
          <cell r="D676">
            <v>39</v>
          </cell>
          <cell r="H676">
            <v>0</v>
          </cell>
          <cell r="L676">
            <v>0</v>
          </cell>
        </row>
        <row r="677">
          <cell r="B677">
            <v>673</v>
          </cell>
          <cell r="D677">
            <v>23</v>
          </cell>
          <cell r="H677">
            <v>0</v>
          </cell>
          <cell r="L677">
            <v>0</v>
          </cell>
        </row>
        <row r="678">
          <cell r="B678">
            <v>674</v>
          </cell>
          <cell r="D678">
            <v>14</v>
          </cell>
          <cell r="H678">
            <v>0</v>
          </cell>
          <cell r="L678">
            <v>0</v>
          </cell>
        </row>
        <row r="679">
          <cell r="B679">
            <v>675</v>
          </cell>
          <cell r="D679">
            <v>16</v>
          </cell>
          <cell r="H679">
            <v>0</v>
          </cell>
          <cell r="L679">
            <v>0</v>
          </cell>
        </row>
        <row r="680">
          <cell r="B680">
            <v>676</v>
          </cell>
          <cell r="D680">
            <v>26</v>
          </cell>
          <cell r="H680">
            <v>0</v>
          </cell>
          <cell r="L680">
            <v>0</v>
          </cell>
        </row>
        <row r="681">
          <cell r="B681">
            <v>677</v>
          </cell>
          <cell r="D681">
            <v>21</v>
          </cell>
          <cell r="H681">
            <v>0</v>
          </cell>
          <cell r="L681">
            <v>0</v>
          </cell>
        </row>
        <row r="682">
          <cell r="B682">
            <v>678</v>
          </cell>
          <cell r="D682">
            <v>29</v>
          </cell>
          <cell r="H682">
            <v>0</v>
          </cell>
          <cell r="L682">
            <v>0</v>
          </cell>
        </row>
        <row r="683">
          <cell r="B683">
            <v>679</v>
          </cell>
          <cell r="D683">
            <v>7</v>
          </cell>
          <cell r="H683">
            <v>0</v>
          </cell>
          <cell r="L683">
            <v>0</v>
          </cell>
        </row>
        <row r="684">
          <cell r="B684">
            <v>680</v>
          </cell>
          <cell r="D684">
            <v>13</v>
          </cell>
          <cell r="H684">
            <v>0</v>
          </cell>
          <cell r="L684">
            <v>0</v>
          </cell>
        </row>
        <row r="685">
          <cell r="B685">
            <v>681</v>
          </cell>
          <cell r="D685">
            <v>40</v>
          </cell>
          <cell r="H685">
            <v>0</v>
          </cell>
          <cell r="L685">
            <v>0</v>
          </cell>
        </row>
        <row r="686">
          <cell r="B686">
            <v>682</v>
          </cell>
          <cell r="D686">
            <v>4</v>
          </cell>
          <cell r="H686">
            <v>0</v>
          </cell>
          <cell r="L686">
            <v>0</v>
          </cell>
        </row>
        <row r="687">
          <cell r="B687">
            <v>683</v>
          </cell>
          <cell r="D687">
            <v>22</v>
          </cell>
          <cell r="H687">
            <v>0</v>
          </cell>
          <cell r="L687">
            <v>0</v>
          </cell>
        </row>
        <row r="688">
          <cell r="B688">
            <v>684</v>
          </cell>
          <cell r="D688">
            <v>9</v>
          </cell>
          <cell r="H688">
            <v>0</v>
          </cell>
          <cell r="L688">
            <v>0</v>
          </cell>
        </row>
        <row r="689">
          <cell r="B689">
            <v>685</v>
          </cell>
          <cell r="D689">
            <v>11</v>
          </cell>
          <cell r="H689">
            <v>0</v>
          </cell>
          <cell r="L689">
            <v>0</v>
          </cell>
        </row>
        <row r="690">
          <cell r="B690">
            <v>686</v>
          </cell>
          <cell r="D690">
            <v>29</v>
          </cell>
          <cell r="H690">
            <v>0</v>
          </cell>
          <cell r="L690">
            <v>0</v>
          </cell>
        </row>
        <row r="691">
          <cell r="B691">
            <v>687</v>
          </cell>
          <cell r="D691">
            <v>13</v>
          </cell>
          <cell r="H691">
            <v>0</v>
          </cell>
          <cell r="L691">
            <v>0</v>
          </cell>
        </row>
        <row r="692">
          <cell r="B692">
            <v>688</v>
          </cell>
          <cell r="D692">
            <v>56</v>
          </cell>
          <cell r="H692">
            <v>0</v>
          </cell>
          <cell r="L692">
            <v>0</v>
          </cell>
        </row>
        <row r="693">
          <cell r="B693">
            <v>689</v>
          </cell>
          <cell r="D693">
            <v>12</v>
          </cell>
          <cell r="H693">
            <v>0</v>
          </cell>
          <cell r="L693">
            <v>0</v>
          </cell>
        </row>
        <row r="694">
          <cell r="B694">
            <v>690</v>
          </cell>
          <cell r="D694">
            <v>19</v>
          </cell>
          <cell r="H694">
            <v>0</v>
          </cell>
          <cell r="L694">
            <v>0</v>
          </cell>
        </row>
        <row r="695">
          <cell r="B695">
            <v>691</v>
          </cell>
          <cell r="D695">
            <v>12</v>
          </cell>
          <cell r="H695">
            <v>0</v>
          </cell>
          <cell r="L695">
            <v>0</v>
          </cell>
        </row>
        <row r="696">
          <cell r="B696">
            <v>692</v>
          </cell>
          <cell r="D696">
            <v>26</v>
          </cell>
          <cell r="H696">
            <v>0</v>
          </cell>
          <cell r="L696">
            <v>0</v>
          </cell>
        </row>
        <row r="697">
          <cell r="B697">
            <v>693</v>
          </cell>
          <cell r="D697">
            <v>11</v>
          </cell>
          <cell r="H697">
            <v>0</v>
          </cell>
          <cell r="L697">
            <v>0</v>
          </cell>
        </row>
        <row r="698">
          <cell r="B698">
            <v>694</v>
          </cell>
          <cell r="D698">
            <v>21</v>
          </cell>
          <cell r="H698">
            <v>0</v>
          </cell>
          <cell r="L698">
            <v>0</v>
          </cell>
        </row>
        <row r="699">
          <cell r="B699">
            <v>695</v>
          </cell>
          <cell r="D699">
            <v>9</v>
          </cell>
          <cell r="H699">
            <v>0</v>
          </cell>
          <cell r="L699">
            <v>0</v>
          </cell>
        </row>
        <row r="700">
          <cell r="B700">
            <v>696</v>
          </cell>
          <cell r="D700">
            <v>11</v>
          </cell>
          <cell r="H700">
            <v>0</v>
          </cell>
          <cell r="L700">
            <v>0</v>
          </cell>
        </row>
        <row r="701">
          <cell r="B701">
            <v>697</v>
          </cell>
          <cell r="D701">
            <v>6</v>
          </cell>
          <cell r="H701">
            <v>0</v>
          </cell>
          <cell r="L701">
            <v>0</v>
          </cell>
        </row>
        <row r="702">
          <cell r="B702">
            <v>698</v>
          </cell>
          <cell r="D702">
            <v>8</v>
          </cell>
          <cell r="H702">
            <v>0</v>
          </cell>
          <cell r="L702">
            <v>0</v>
          </cell>
        </row>
        <row r="703">
          <cell r="B703">
            <v>699</v>
          </cell>
          <cell r="D703">
            <v>10</v>
          </cell>
          <cell r="H703">
            <v>0</v>
          </cell>
          <cell r="L703">
            <v>0</v>
          </cell>
        </row>
        <row r="704">
          <cell r="B704">
            <v>700</v>
          </cell>
          <cell r="D704">
            <v>12</v>
          </cell>
          <cell r="H704">
            <v>0</v>
          </cell>
          <cell r="L704">
            <v>0</v>
          </cell>
        </row>
        <row r="705">
          <cell r="B705">
            <v>701</v>
          </cell>
          <cell r="D705">
            <v>3</v>
          </cell>
          <cell r="H705">
            <v>0</v>
          </cell>
          <cell r="L705">
            <v>0</v>
          </cell>
        </row>
        <row r="706">
          <cell r="B706">
            <v>702</v>
          </cell>
          <cell r="D706">
            <v>38</v>
          </cell>
          <cell r="H706">
            <v>0</v>
          </cell>
          <cell r="L706">
            <v>0</v>
          </cell>
        </row>
        <row r="707">
          <cell r="B707">
            <v>703</v>
          </cell>
          <cell r="D707">
            <v>11</v>
          </cell>
          <cell r="H707">
            <v>0</v>
          </cell>
          <cell r="L707">
            <v>0</v>
          </cell>
        </row>
        <row r="708">
          <cell r="B708">
            <v>704</v>
          </cell>
          <cell r="D708">
            <v>13</v>
          </cell>
          <cell r="H708">
            <v>0</v>
          </cell>
          <cell r="L708">
            <v>0</v>
          </cell>
        </row>
        <row r="709">
          <cell r="B709">
            <v>705</v>
          </cell>
          <cell r="D709">
            <v>2</v>
          </cell>
          <cell r="H709">
            <v>0</v>
          </cell>
          <cell r="L709">
            <v>0</v>
          </cell>
        </row>
        <row r="710">
          <cell r="B710">
            <v>706</v>
          </cell>
          <cell r="D710">
            <v>23</v>
          </cell>
          <cell r="H710">
            <v>0</v>
          </cell>
          <cell r="L710">
            <v>0</v>
          </cell>
        </row>
        <row r="711">
          <cell r="B711">
            <v>707</v>
          </cell>
          <cell r="D711">
            <v>9</v>
          </cell>
          <cell r="H711">
            <v>0</v>
          </cell>
          <cell r="L711">
            <v>0</v>
          </cell>
        </row>
        <row r="712">
          <cell r="B712">
            <v>708</v>
          </cell>
          <cell r="D712">
            <v>5</v>
          </cell>
          <cell r="H712">
            <v>0</v>
          </cell>
          <cell r="L712">
            <v>0</v>
          </cell>
        </row>
        <row r="713">
          <cell r="B713">
            <v>709</v>
          </cell>
          <cell r="D713">
            <v>10</v>
          </cell>
          <cell r="H713">
            <v>0</v>
          </cell>
          <cell r="L713">
            <v>0</v>
          </cell>
        </row>
        <row r="714">
          <cell r="B714">
            <v>710</v>
          </cell>
          <cell r="D714">
            <v>9</v>
          </cell>
          <cell r="H714">
            <v>0</v>
          </cell>
          <cell r="L714">
            <v>0</v>
          </cell>
        </row>
        <row r="715">
          <cell r="B715">
            <v>711</v>
          </cell>
          <cell r="D715">
            <v>10</v>
          </cell>
          <cell r="H715">
            <v>0</v>
          </cell>
          <cell r="L715">
            <v>0</v>
          </cell>
        </row>
        <row r="716">
          <cell r="B716">
            <v>712</v>
          </cell>
          <cell r="D716">
            <v>11</v>
          </cell>
          <cell r="H716">
            <v>0</v>
          </cell>
          <cell r="L716">
            <v>0</v>
          </cell>
        </row>
        <row r="717">
          <cell r="B717">
            <v>713</v>
          </cell>
          <cell r="D717">
            <v>9</v>
          </cell>
          <cell r="H717">
            <v>0</v>
          </cell>
          <cell r="L717">
            <v>0</v>
          </cell>
        </row>
        <row r="718">
          <cell r="B718">
            <v>714</v>
          </cell>
          <cell r="D718">
            <v>5</v>
          </cell>
          <cell r="H718">
            <v>0</v>
          </cell>
          <cell r="L718">
            <v>0</v>
          </cell>
        </row>
        <row r="719">
          <cell r="B719">
            <v>715</v>
          </cell>
          <cell r="D719">
            <v>6</v>
          </cell>
          <cell r="H719">
            <v>0</v>
          </cell>
          <cell r="L719">
            <v>0</v>
          </cell>
        </row>
        <row r="720">
          <cell r="B720">
            <v>716</v>
          </cell>
          <cell r="D720">
            <v>27</v>
          </cell>
          <cell r="H720">
            <v>0</v>
          </cell>
          <cell r="L720">
            <v>0</v>
          </cell>
        </row>
        <row r="721">
          <cell r="B721">
            <v>717</v>
          </cell>
          <cell r="D721">
            <v>3</v>
          </cell>
          <cell r="H721">
            <v>0</v>
          </cell>
          <cell r="L721">
            <v>0</v>
          </cell>
        </row>
        <row r="722">
          <cell r="B722">
            <v>718</v>
          </cell>
          <cell r="D722">
            <v>1</v>
          </cell>
          <cell r="H722">
            <v>0</v>
          </cell>
          <cell r="L722">
            <v>0</v>
          </cell>
        </row>
        <row r="723">
          <cell r="B723">
            <v>719</v>
          </cell>
          <cell r="D723">
            <v>4</v>
          </cell>
          <cell r="H723">
            <v>0</v>
          </cell>
          <cell r="L723">
            <v>0</v>
          </cell>
        </row>
        <row r="724">
          <cell r="B724">
            <v>720</v>
          </cell>
          <cell r="D724">
            <v>27</v>
          </cell>
          <cell r="H724">
            <v>0</v>
          </cell>
          <cell r="L724">
            <v>0</v>
          </cell>
        </row>
        <row r="725">
          <cell r="B725">
            <v>721</v>
          </cell>
          <cell r="D725">
            <v>2</v>
          </cell>
          <cell r="H725">
            <v>0</v>
          </cell>
          <cell r="L725">
            <v>0</v>
          </cell>
        </row>
        <row r="726">
          <cell r="B726">
            <v>722</v>
          </cell>
          <cell r="D726">
            <v>13</v>
          </cell>
          <cell r="H726">
            <v>0</v>
          </cell>
          <cell r="L726">
            <v>0</v>
          </cell>
        </row>
        <row r="727">
          <cell r="B727">
            <v>723</v>
          </cell>
          <cell r="D727">
            <v>1</v>
          </cell>
          <cell r="H727">
            <v>0</v>
          </cell>
          <cell r="L727">
            <v>0</v>
          </cell>
        </row>
        <row r="728">
          <cell r="B728">
            <v>724</v>
          </cell>
          <cell r="D728">
            <v>27</v>
          </cell>
          <cell r="H728">
            <v>0</v>
          </cell>
          <cell r="L728">
            <v>0</v>
          </cell>
        </row>
        <row r="729">
          <cell r="B729">
            <v>725</v>
          </cell>
          <cell r="D729">
            <v>3</v>
          </cell>
          <cell r="H729">
            <v>0</v>
          </cell>
          <cell r="L729">
            <v>0</v>
          </cell>
        </row>
        <row r="730">
          <cell r="B730">
            <v>726</v>
          </cell>
          <cell r="D730">
            <v>17</v>
          </cell>
          <cell r="H730">
            <v>0</v>
          </cell>
          <cell r="L730">
            <v>0</v>
          </cell>
        </row>
        <row r="731">
          <cell r="B731">
            <v>727</v>
          </cell>
          <cell r="D731">
            <v>2</v>
          </cell>
          <cell r="H731">
            <v>0</v>
          </cell>
          <cell r="L731">
            <v>0</v>
          </cell>
        </row>
        <row r="732">
          <cell r="B732">
            <v>728</v>
          </cell>
          <cell r="D732">
            <v>8</v>
          </cell>
          <cell r="H732">
            <v>0</v>
          </cell>
          <cell r="L732">
            <v>0</v>
          </cell>
        </row>
        <row r="733">
          <cell r="B733">
            <v>729</v>
          </cell>
          <cell r="D733">
            <v>4</v>
          </cell>
          <cell r="H733">
            <v>0</v>
          </cell>
          <cell r="L733">
            <v>0</v>
          </cell>
        </row>
        <row r="734">
          <cell r="B734">
            <v>730</v>
          </cell>
          <cell r="D734">
            <v>10</v>
          </cell>
          <cell r="H734">
            <v>0</v>
          </cell>
          <cell r="L734">
            <v>0</v>
          </cell>
        </row>
        <row r="735">
          <cell r="B735">
            <v>731</v>
          </cell>
          <cell r="D735">
            <v>2</v>
          </cell>
          <cell r="H735">
            <v>19.409836065573771</v>
          </cell>
          <cell r="L735">
            <v>16.438356164383563</v>
          </cell>
        </row>
        <row r="736">
          <cell r="B736">
            <v>732</v>
          </cell>
          <cell r="D736">
            <v>1</v>
          </cell>
          <cell r="H736">
            <v>19.409836065573771</v>
          </cell>
          <cell r="L736">
            <v>16.438356164383563</v>
          </cell>
        </row>
        <row r="737">
          <cell r="B737">
            <v>733</v>
          </cell>
          <cell r="D737">
            <v>4</v>
          </cell>
          <cell r="H737">
            <v>19.409836065573771</v>
          </cell>
          <cell r="L737">
            <v>16.438356164383563</v>
          </cell>
        </row>
        <row r="738">
          <cell r="B738">
            <v>734</v>
          </cell>
          <cell r="D738">
            <v>5</v>
          </cell>
          <cell r="H738">
            <v>19.409836065573771</v>
          </cell>
          <cell r="L738">
            <v>16.438356164383563</v>
          </cell>
        </row>
        <row r="739">
          <cell r="B739">
            <v>735</v>
          </cell>
          <cell r="D739">
            <v>-3</v>
          </cell>
          <cell r="H739">
            <v>19.409836065573771</v>
          </cell>
          <cell r="L739">
            <v>16.438356164383563</v>
          </cell>
        </row>
        <row r="740">
          <cell r="B740">
            <v>736</v>
          </cell>
          <cell r="D740">
            <v>22</v>
          </cell>
          <cell r="H740">
            <v>19.409836065573771</v>
          </cell>
          <cell r="L740">
            <v>16.438356164383563</v>
          </cell>
        </row>
        <row r="741">
          <cell r="B741">
            <v>737</v>
          </cell>
          <cell r="D741">
            <v>5</v>
          </cell>
          <cell r="H741">
            <v>19.409836065573771</v>
          </cell>
          <cell r="L741">
            <v>16.438356164383563</v>
          </cell>
        </row>
        <row r="742">
          <cell r="B742">
            <v>738</v>
          </cell>
          <cell r="D742">
            <v>2</v>
          </cell>
          <cell r="H742">
            <v>19.409836065573771</v>
          </cell>
          <cell r="L742">
            <v>16.438356164383563</v>
          </cell>
        </row>
        <row r="743">
          <cell r="B743">
            <v>739</v>
          </cell>
          <cell r="D743">
            <v>4</v>
          </cell>
          <cell r="H743">
            <v>19.409836065573771</v>
          </cell>
          <cell r="L743">
            <v>16.438356164383563</v>
          </cell>
        </row>
        <row r="744">
          <cell r="B744">
            <v>740</v>
          </cell>
          <cell r="D744">
            <v>8</v>
          </cell>
          <cell r="H744">
            <v>19.409836065573771</v>
          </cell>
          <cell r="L744">
            <v>16.438356164383563</v>
          </cell>
        </row>
        <row r="745">
          <cell r="B745">
            <v>741</v>
          </cell>
          <cell r="D745">
            <v>-2</v>
          </cell>
          <cell r="H745">
            <v>19.409836065573771</v>
          </cell>
          <cell r="L745">
            <v>16.438356164383563</v>
          </cell>
        </row>
        <row r="746">
          <cell r="B746">
            <v>742</v>
          </cell>
          <cell r="D746">
            <v>2</v>
          </cell>
          <cell r="H746">
            <v>19.409836065573771</v>
          </cell>
          <cell r="L746">
            <v>16.438356164383563</v>
          </cell>
        </row>
        <row r="747">
          <cell r="B747">
            <v>743</v>
          </cell>
          <cell r="D747">
            <v>18</v>
          </cell>
          <cell r="H747">
            <v>19.409836065573771</v>
          </cell>
          <cell r="L747">
            <v>16.438356164383563</v>
          </cell>
        </row>
        <row r="748">
          <cell r="B748">
            <v>744</v>
          </cell>
          <cell r="D748">
            <v>3</v>
          </cell>
          <cell r="H748">
            <v>19.409836065573771</v>
          </cell>
          <cell r="L748">
            <v>16.438356164383563</v>
          </cell>
        </row>
        <row r="749">
          <cell r="B749">
            <v>745</v>
          </cell>
          <cell r="D749">
            <v>-1</v>
          </cell>
          <cell r="H749">
            <v>19.409836065573771</v>
          </cell>
          <cell r="L749">
            <v>16.438356164383563</v>
          </cell>
        </row>
        <row r="750">
          <cell r="B750">
            <v>746</v>
          </cell>
          <cell r="D750">
            <v>12</v>
          </cell>
          <cell r="H750">
            <v>19.409836065573771</v>
          </cell>
          <cell r="L750">
            <v>16.438356164383563</v>
          </cell>
        </row>
        <row r="751">
          <cell r="B751">
            <v>747</v>
          </cell>
          <cell r="D751">
            <v>9</v>
          </cell>
          <cell r="H751">
            <v>19.409836065573771</v>
          </cell>
          <cell r="L751">
            <v>16.438356164383563</v>
          </cell>
        </row>
        <row r="752">
          <cell r="B752">
            <v>748</v>
          </cell>
          <cell r="D752">
            <v>9</v>
          </cell>
          <cell r="H752">
            <v>19.409836065573771</v>
          </cell>
          <cell r="L752">
            <v>16.438356164383563</v>
          </cell>
        </row>
        <row r="753">
          <cell r="B753">
            <v>749</v>
          </cell>
          <cell r="D753">
            <v>3</v>
          </cell>
          <cell r="H753">
            <v>19.409836065573771</v>
          </cell>
          <cell r="L753">
            <v>16.438356164383563</v>
          </cell>
        </row>
        <row r="754">
          <cell r="B754">
            <v>750</v>
          </cell>
          <cell r="D754">
            <v>23</v>
          </cell>
          <cell r="H754">
            <v>19.409836065573771</v>
          </cell>
          <cell r="L754">
            <v>16.438356164383563</v>
          </cell>
        </row>
        <row r="755">
          <cell r="B755">
            <v>751</v>
          </cell>
          <cell r="D755">
            <v>15</v>
          </cell>
          <cell r="H755">
            <v>19.409836065573771</v>
          </cell>
          <cell r="L755">
            <v>16.438356164383563</v>
          </cell>
        </row>
        <row r="756">
          <cell r="B756">
            <v>752</v>
          </cell>
          <cell r="D756">
            <v>27</v>
          </cell>
          <cell r="H756">
            <v>19.409836065573771</v>
          </cell>
          <cell r="L756">
            <v>16.438356164383563</v>
          </cell>
        </row>
        <row r="757">
          <cell r="B757">
            <v>753</v>
          </cell>
          <cell r="D757">
            <v>1</v>
          </cell>
          <cell r="H757">
            <v>19.409836065573771</v>
          </cell>
          <cell r="L757">
            <v>16.438356164383563</v>
          </cell>
        </row>
        <row r="758">
          <cell r="B758">
            <v>754</v>
          </cell>
          <cell r="D758">
            <v>6</v>
          </cell>
          <cell r="H758">
            <v>19.409836065573771</v>
          </cell>
          <cell r="L758">
            <v>16.438356164383563</v>
          </cell>
        </row>
        <row r="759">
          <cell r="B759">
            <v>755</v>
          </cell>
          <cell r="D759">
            <v>12</v>
          </cell>
          <cell r="H759">
            <v>19.409836065573771</v>
          </cell>
          <cell r="L759">
            <v>16.438356164383563</v>
          </cell>
        </row>
        <row r="760">
          <cell r="B760">
            <v>756</v>
          </cell>
          <cell r="D760">
            <v>22</v>
          </cell>
          <cell r="H760">
            <v>19.409836065573771</v>
          </cell>
          <cell r="L760">
            <v>16.438356164383563</v>
          </cell>
        </row>
        <row r="761">
          <cell r="B761">
            <v>757</v>
          </cell>
          <cell r="D761">
            <v>6</v>
          </cell>
          <cell r="H761">
            <v>19.409836065573771</v>
          </cell>
          <cell r="L761">
            <v>16.438356164383563</v>
          </cell>
        </row>
        <row r="762">
          <cell r="B762">
            <v>758</v>
          </cell>
          <cell r="D762">
            <v>13</v>
          </cell>
          <cell r="H762">
            <v>19.409836065573771</v>
          </cell>
          <cell r="L762">
            <v>16.438356164383563</v>
          </cell>
        </row>
        <row r="763">
          <cell r="B763">
            <v>759</v>
          </cell>
          <cell r="D763">
            <v>9</v>
          </cell>
          <cell r="H763">
            <v>19.409836065573771</v>
          </cell>
          <cell r="L763">
            <v>16.438356164383563</v>
          </cell>
        </row>
        <row r="764">
          <cell r="B764">
            <v>760</v>
          </cell>
          <cell r="D764">
            <v>7</v>
          </cell>
          <cell r="H764">
            <v>19.409836065573771</v>
          </cell>
          <cell r="L764">
            <v>16.438356164383563</v>
          </cell>
        </row>
        <row r="765">
          <cell r="B765">
            <v>761</v>
          </cell>
          <cell r="D765">
            <v>6</v>
          </cell>
          <cell r="H765">
            <v>19.409836065573771</v>
          </cell>
          <cell r="L765">
            <v>16.438356164383563</v>
          </cell>
        </row>
        <row r="766">
          <cell r="B766">
            <v>762</v>
          </cell>
          <cell r="D766">
            <v>15</v>
          </cell>
          <cell r="H766">
            <v>19.409836065573771</v>
          </cell>
          <cell r="L766">
            <v>16.438356164383563</v>
          </cell>
        </row>
        <row r="767">
          <cell r="B767">
            <v>763</v>
          </cell>
          <cell r="D767">
            <v>9</v>
          </cell>
          <cell r="H767">
            <v>19.409836065573771</v>
          </cell>
          <cell r="L767">
            <v>16.438356164383563</v>
          </cell>
        </row>
        <row r="768">
          <cell r="B768">
            <v>764</v>
          </cell>
          <cell r="D768">
            <v>4</v>
          </cell>
          <cell r="H768">
            <v>19.409836065573771</v>
          </cell>
          <cell r="L768">
            <v>16.438356164383563</v>
          </cell>
        </row>
        <row r="769">
          <cell r="B769">
            <v>765</v>
          </cell>
          <cell r="D769">
            <v>5</v>
          </cell>
          <cell r="H769">
            <v>19.409836065573771</v>
          </cell>
          <cell r="L769">
            <v>16.438356164383563</v>
          </cell>
        </row>
        <row r="770">
          <cell r="B770">
            <v>766</v>
          </cell>
          <cell r="D770">
            <v>14</v>
          </cell>
          <cell r="H770">
            <v>19.409836065573771</v>
          </cell>
          <cell r="L770">
            <v>16.438356164383563</v>
          </cell>
        </row>
        <row r="771">
          <cell r="B771">
            <v>767</v>
          </cell>
          <cell r="D771">
            <v>15</v>
          </cell>
          <cell r="H771">
            <v>19.409836065573771</v>
          </cell>
          <cell r="L771">
            <v>16.438356164383563</v>
          </cell>
        </row>
        <row r="772">
          <cell r="B772">
            <v>768</v>
          </cell>
          <cell r="D772">
            <v>20</v>
          </cell>
          <cell r="H772">
            <v>19.409836065573771</v>
          </cell>
          <cell r="L772">
            <v>16.438356164383563</v>
          </cell>
        </row>
        <row r="773">
          <cell r="B773">
            <v>769</v>
          </cell>
          <cell r="D773">
            <v>5</v>
          </cell>
          <cell r="H773">
            <v>19.409836065573771</v>
          </cell>
          <cell r="L773">
            <v>16.438356164383563</v>
          </cell>
        </row>
        <row r="774">
          <cell r="B774">
            <v>770</v>
          </cell>
          <cell r="D774">
            <v>2</v>
          </cell>
          <cell r="H774">
            <v>19.409836065573771</v>
          </cell>
          <cell r="L774">
            <v>16.438356164383563</v>
          </cell>
        </row>
        <row r="775">
          <cell r="B775">
            <v>771</v>
          </cell>
          <cell r="D775">
            <v>10</v>
          </cell>
          <cell r="H775">
            <v>19.409836065573771</v>
          </cell>
          <cell r="L775">
            <v>16.438356164383563</v>
          </cell>
        </row>
        <row r="776">
          <cell r="B776">
            <v>772</v>
          </cell>
          <cell r="D776">
            <v>17</v>
          </cell>
          <cell r="H776">
            <v>19.409836065573771</v>
          </cell>
          <cell r="L776">
            <v>16.438356164383563</v>
          </cell>
        </row>
        <row r="777">
          <cell r="B777">
            <v>773</v>
          </cell>
          <cell r="D777">
            <v>6</v>
          </cell>
          <cell r="H777">
            <v>19.409836065573771</v>
          </cell>
          <cell r="L777">
            <v>16.438356164383563</v>
          </cell>
        </row>
        <row r="778">
          <cell r="B778">
            <v>774</v>
          </cell>
          <cell r="D778">
            <v>7</v>
          </cell>
          <cell r="H778">
            <v>19.409836065573771</v>
          </cell>
          <cell r="L778">
            <v>16.438356164383563</v>
          </cell>
        </row>
        <row r="779">
          <cell r="B779">
            <v>775</v>
          </cell>
          <cell r="D779">
            <v>25</v>
          </cell>
          <cell r="H779">
            <v>19.409836065573771</v>
          </cell>
          <cell r="L779">
            <v>16.438356164383563</v>
          </cell>
        </row>
        <row r="780">
          <cell r="B780">
            <v>776</v>
          </cell>
          <cell r="D780">
            <v>16</v>
          </cell>
          <cell r="H780">
            <v>19.409836065573771</v>
          </cell>
          <cell r="L780">
            <v>16.438356164383563</v>
          </cell>
        </row>
        <row r="781">
          <cell r="B781">
            <v>777</v>
          </cell>
          <cell r="D781">
            <v>49</v>
          </cell>
          <cell r="H781">
            <v>19.409836065573771</v>
          </cell>
          <cell r="L781">
            <v>16.438356164383563</v>
          </cell>
        </row>
        <row r="782">
          <cell r="B782">
            <v>778</v>
          </cell>
          <cell r="D782">
            <v>25</v>
          </cell>
          <cell r="H782">
            <v>19.409836065573771</v>
          </cell>
          <cell r="L782">
            <v>16.438356164383563</v>
          </cell>
        </row>
        <row r="783">
          <cell r="B783">
            <v>779</v>
          </cell>
          <cell r="D783">
            <v>17</v>
          </cell>
          <cell r="H783">
            <v>19.409836065573771</v>
          </cell>
          <cell r="L783">
            <v>16.438356164383563</v>
          </cell>
        </row>
        <row r="784">
          <cell r="B784">
            <v>780</v>
          </cell>
          <cell r="D784">
            <v>22</v>
          </cell>
          <cell r="H784">
            <v>19.409836065573771</v>
          </cell>
          <cell r="L784">
            <v>16.438356164383563</v>
          </cell>
        </row>
        <row r="785">
          <cell r="B785">
            <v>781</v>
          </cell>
          <cell r="D785">
            <v>16</v>
          </cell>
          <cell r="H785">
            <v>19.409836065573771</v>
          </cell>
          <cell r="L785">
            <v>16.438356164383563</v>
          </cell>
        </row>
        <row r="786">
          <cell r="B786">
            <v>782</v>
          </cell>
          <cell r="D786">
            <v>19</v>
          </cell>
          <cell r="H786">
            <v>19.409836065573771</v>
          </cell>
          <cell r="L786">
            <v>16.438356164383563</v>
          </cell>
        </row>
        <row r="787">
          <cell r="B787">
            <v>783</v>
          </cell>
          <cell r="D787">
            <v>19</v>
          </cell>
          <cell r="H787">
            <v>19.409836065573771</v>
          </cell>
          <cell r="L787">
            <v>16.438356164383563</v>
          </cell>
        </row>
        <row r="788">
          <cell r="B788">
            <v>784</v>
          </cell>
          <cell r="D788">
            <v>14</v>
          </cell>
          <cell r="H788">
            <v>19.409836065573771</v>
          </cell>
          <cell r="L788">
            <v>16.438356164383563</v>
          </cell>
        </row>
        <row r="789">
          <cell r="B789">
            <v>785</v>
          </cell>
          <cell r="D789">
            <v>18</v>
          </cell>
          <cell r="H789">
            <v>19.409836065573771</v>
          </cell>
          <cell r="L789">
            <v>16.438356164383563</v>
          </cell>
        </row>
        <row r="790">
          <cell r="B790">
            <v>786</v>
          </cell>
          <cell r="D790">
            <v>13</v>
          </cell>
          <cell r="H790">
            <v>19.409836065573771</v>
          </cell>
          <cell r="L790">
            <v>16.438356164383563</v>
          </cell>
        </row>
        <row r="791">
          <cell r="B791">
            <v>787</v>
          </cell>
          <cell r="D791">
            <v>16</v>
          </cell>
          <cell r="H791">
            <v>19.409836065573771</v>
          </cell>
          <cell r="L791">
            <v>16.438356164383563</v>
          </cell>
        </row>
        <row r="792">
          <cell r="B792">
            <v>788</v>
          </cell>
          <cell r="D792">
            <v>17</v>
          </cell>
          <cell r="H792">
            <v>19.409836065573771</v>
          </cell>
          <cell r="L792">
            <v>16.438356164383563</v>
          </cell>
        </row>
        <row r="793">
          <cell r="B793">
            <v>789</v>
          </cell>
          <cell r="D793">
            <v>23</v>
          </cell>
          <cell r="H793">
            <v>19.409836065573771</v>
          </cell>
          <cell r="L793">
            <v>16.438356164383563</v>
          </cell>
        </row>
        <row r="794">
          <cell r="B794">
            <v>790</v>
          </cell>
          <cell r="D794">
            <v>19</v>
          </cell>
          <cell r="H794">
            <v>19.409836065573771</v>
          </cell>
          <cell r="L794">
            <v>16.438356164383563</v>
          </cell>
        </row>
        <row r="795">
          <cell r="B795">
            <v>791</v>
          </cell>
          <cell r="D795">
            <v>22</v>
          </cell>
          <cell r="H795">
            <v>19.409836065573771</v>
          </cell>
          <cell r="L795">
            <v>16.438356164383563</v>
          </cell>
        </row>
        <row r="796">
          <cell r="B796">
            <v>792</v>
          </cell>
          <cell r="D796">
            <v>21</v>
          </cell>
          <cell r="H796">
            <v>19.409836065573771</v>
          </cell>
          <cell r="L796">
            <v>16.438356164383563</v>
          </cell>
        </row>
        <row r="797">
          <cell r="B797">
            <v>793</v>
          </cell>
          <cell r="D797">
            <v>41</v>
          </cell>
          <cell r="H797">
            <v>19.409836065573771</v>
          </cell>
          <cell r="L797">
            <v>16.438356164383563</v>
          </cell>
        </row>
        <row r="798">
          <cell r="B798">
            <v>794</v>
          </cell>
          <cell r="D798">
            <v>14</v>
          </cell>
          <cell r="H798">
            <v>19.409836065573771</v>
          </cell>
          <cell r="L798">
            <v>16.438356164383563</v>
          </cell>
        </row>
        <row r="799">
          <cell r="B799">
            <v>795</v>
          </cell>
          <cell r="D799">
            <v>4</v>
          </cell>
          <cell r="H799">
            <v>19.409836065573771</v>
          </cell>
          <cell r="L799">
            <v>16.438356164383563</v>
          </cell>
        </row>
        <row r="800">
          <cell r="B800">
            <v>796</v>
          </cell>
          <cell r="D800">
            <v>16</v>
          </cell>
          <cell r="H800">
            <v>19.409836065573771</v>
          </cell>
          <cell r="L800">
            <v>16.438356164383563</v>
          </cell>
        </row>
        <row r="801">
          <cell r="B801">
            <v>797</v>
          </cell>
          <cell r="D801">
            <v>34</v>
          </cell>
          <cell r="H801">
            <v>19.409836065573771</v>
          </cell>
          <cell r="L801">
            <v>16.438356164383563</v>
          </cell>
        </row>
        <row r="802">
          <cell r="B802">
            <v>798</v>
          </cell>
          <cell r="D802">
            <v>15</v>
          </cell>
          <cell r="H802">
            <v>19.409836065573771</v>
          </cell>
          <cell r="L802">
            <v>16.438356164383563</v>
          </cell>
        </row>
        <row r="803">
          <cell r="B803">
            <v>799</v>
          </cell>
          <cell r="D803">
            <v>35</v>
          </cell>
          <cell r="H803">
            <v>19.409836065573771</v>
          </cell>
          <cell r="L803">
            <v>16.438356164383563</v>
          </cell>
        </row>
        <row r="804">
          <cell r="B804">
            <v>800</v>
          </cell>
          <cell r="D804">
            <v>23</v>
          </cell>
          <cell r="H804">
            <v>19.409836065573771</v>
          </cell>
          <cell r="L804">
            <v>16.438356164383563</v>
          </cell>
        </row>
        <row r="805">
          <cell r="B805">
            <v>801</v>
          </cell>
          <cell r="D805">
            <v>41</v>
          </cell>
          <cell r="H805">
            <v>19.409836065573771</v>
          </cell>
          <cell r="L805">
            <v>16.438356164383563</v>
          </cell>
        </row>
        <row r="806">
          <cell r="B806">
            <v>802</v>
          </cell>
          <cell r="D806">
            <v>26</v>
          </cell>
          <cell r="H806">
            <v>19.409836065573771</v>
          </cell>
          <cell r="L806">
            <v>16.438356164383563</v>
          </cell>
        </row>
        <row r="807">
          <cell r="B807">
            <v>803</v>
          </cell>
          <cell r="D807">
            <v>29</v>
          </cell>
          <cell r="H807">
            <v>19.409836065573771</v>
          </cell>
          <cell r="L807">
            <v>16.438356164383563</v>
          </cell>
        </row>
        <row r="808">
          <cell r="B808">
            <v>804</v>
          </cell>
          <cell r="D808">
            <v>43</v>
          </cell>
          <cell r="H808">
            <v>19.409836065573771</v>
          </cell>
          <cell r="L808">
            <v>16.438356164383563</v>
          </cell>
        </row>
        <row r="809">
          <cell r="B809">
            <v>805</v>
          </cell>
          <cell r="D809">
            <v>18</v>
          </cell>
          <cell r="H809">
            <v>19.409836065573771</v>
          </cell>
          <cell r="L809">
            <v>16.438356164383563</v>
          </cell>
        </row>
        <row r="810">
          <cell r="B810">
            <v>806</v>
          </cell>
          <cell r="D810">
            <v>24</v>
          </cell>
          <cell r="H810">
            <v>19.409836065573771</v>
          </cell>
          <cell r="L810">
            <v>16.438356164383563</v>
          </cell>
        </row>
        <row r="811">
          <cell r="B811">
            <v>807</v>
          </cell>
          <cell r="D811">
            <v>42</v>
          </cell>
          <cell r="H811">
            <v>19.409836065573771</v>
          </cell>
          <cell r="L811">
            <v>16.438356164383563</v>
          </cell>
        </row>
        <row r="812">
          <cell r="B812">
            <v>808</v>
          </cell>
          <cell r="D812">
            <v>40</v>
          </cell>
          <cell r="H812">
            <v>19.409836065573771</v>
          </cell>
          <cell r="L812">
            <v>16.438356164383563</v>
          </cell>
        </row>
        <row r="813">
          <cell r="B813">
            <v>809</v>
          </cell>
          <cell r="D813">
            <v>13</v>
          </cell>
          <cell r="H813">
            <v>19.409836065573771</v>
          </cell>
          <cell r="L813">
            <v>16.438356164383563</v>
          </cell>
        </row>
        <row r="814">
          <cell r="B814">
            <v>810</v>
          </cell>
          <cell r="D814">
            <v>14</v>
          </cell>
          <cell r="H814">
            <v>19.409836065573771</v>
          </cell>
          <cell r="L814">
            <v>16.438356164383563</v>
          </cell>
        </row>
        <row r="815">
          <cell r="B815">
            <v>811</v>
          </cell>
          <cell r="D815">
            <v>38</v>
          </cell>
          <cell r="H815">
            <v>19.409836065573771</v>
          </cell>
          <cell r="L815">
            <v>16.438356164383563</v>
          </cell>
        </row>
        <row r="816">
          <cell r="B816">
            <v>812</v>
          </cell>
          <cell r="D816">
            <v>34</v>
          </cell>
          <cell r="H816">
            <v>19.409836065573771</v>
          </cell>
          <cell r="L816">
            <v>16.438356164383563</v>
          </cell>
        </row>
        <row r="817">
          <cell r="B817">
            <v>813</v>
          </cell>
          <cell r="D817">
            <v>43</v>
          </cell>
          <cell r="H817">
            <v>19.409836065573771</v>
          </cell>
          <cell r="L817">
            <v>16.438356164383563</v>
          </cell>
        </row>
        <row r="818">
          <cell r="B818">
            <v>814</v>
          </cell>
          <cell r="D818">
            <v>34</v>
          </cell>
          <cell r="H818">
            <v>19.409836065573771</v>
          </cell>
          <cell r="L818">
            <v>16.438356164383563</v>
          </cell>
        </row>
        <row r="819">
          <cell r="B819">
            <v>815</v>
          </cell>
          <cell r="D819">
            <v>41</v>
          </cell>
          <cell r="H819">
            <v>19.409836065573771</v>
          </cell>
          <cell r="L819">
            <v>16.438356164383563</v>
          </cell>
        </row>
        <row r="820">
          <cell r="B820">
            <v>816</v>
          </cell>
          <cell r="D820">
            <v>32</v>
          </cell>
          <cell r="H820">
            <v>19.409836065573771</v>
          </cell>
          <cell r="L820">
            <v>16.438356164383563</v>
          </cell>
        </row>
        <row r="821">
          <cell r="B821">
            <v>817</v>
          </cell>
          <cell r="D821">
            <v>36</v>
          </cell>
          <cell r="H821">
            <v>19.409836065573771</v>
          </cell>
          <cell r="L821">
            <v>16.438356164383563</v>
          </cell>
        </row>
        <row r="822">
          <cell r="B822">
            <v>818</v>
          </cell>
          <cell r="D822">
            <v>41</v>
          </cell>
          <cell r="H822">
            <v>19.409836065573771</v>
          </cell>
          <cell r="L822">
            <v>16.438356164383563</v>
          </cell>
        </row>
        <row r="823">
          <cell r="B823">
            <v>819</v>
          </cell>
          <cell r="D823">
            <v>31</v>
          </cell>
          <cell r="H823">
            <v>19.409836065573771</v>
          </cell>
          <cell r="L823">
            <v>16.438356164383563</v>
          </cell>
        </row>
        <row r="824">
          <cell r="B824">
            <v>820</v>
          </cell>
          <cell r="D824">
            <v>41</v>
          </cell>
          <cell r="H824">
            <v>19.409836065573771</v>
          </cell>
          <cell r="L824">
            <v>16.438356164383563</v>
          </cell>
        </row>
        <row r="825">
          <cell r="B825">
            <v>821</v>
          </cell>
          <cell r="D825">
            <v>16</v>
          </cell>
          <cell r="H825">
            <v>19.409836065573771</v>
          </cell>
          <cell r="L825">
            <v>16.438356164383563</v>
          </cell>
        </row>
        <row r="826">
          <cell r="B826">
            <v>822</v>
          </cell>
          <cell r="D826">
            <v>27</v>
          </cell>
          <cell r="H826">
            <v>19.409836065573771</v>
          </cell>
          <cell r="L826">
            <v>16.438356164383563</v>
          </cell>
        </row>
        <row r="827">
          <cell r="B827">
            <v>823</v>
          </cell>
          <cell r="D827">
            <v>26</v>
          </cell>
          <cell r="H827">
            <v>19.409836065573771</v>
          </cell>
          <cell r="L827">
            <v>16.438356164383563</v>
          </cell>
        </row>
        <row r="828">
          <cell r="B828">
            <v>824</v>
          </cell>
          <cell r="D828">
            <v>35</v>
          </cell>
          <cell r="H828">
            <v>19.409836065573771</v>
          </cell>
          <cell r="L828">
            <v>16.438356164383563</v>
          </cell>
        </row>
        <row r="829">
          <cell r="B829">
            <v>825</v>
          </cell>
          <cell r="D829">
            <v>42</v>
          </cell>
          <cell r="H829">
            <v>19.409836065573771</v>
          </cell>
          <cell r="L829">
            <v>16.438356164383563</v>
          </cell>
        </row>
        <row r="830">
          <cell r="B830">
            <v>826</v>
          </cell>
          <cell r="D830">
            <v>27</v>
          </cell>
          <cell r="H830">
            <v>19.409836065573771</v>
          </cell>
          <cell r="L830">
            <v>16.438356164383563</v>
          </cell>
        </row>
        <row r="831">
          <cell r="B831">
            <v>827</v>
          </cell>
          <cell r="D831">
            <v>24</v>
          </cell>
          <cell r="H831">
            <v>19.409836065573771</v>
          </cell>
          <cell r="L831">
            <v>16.438356164383563</v>
          </cell>
        </row>
        <row r="832">
          <cell r="B832">
            <v>828</v>
          </cell>
          <cell r="D832">
            <v>43</v>
          </cell>
          <cell r="H832">
            <v>19.409836065573771</v>
          </cell>
          <cell r="L832">
            <v>16.438356164383563</v>
          </cell>
        </row>
        <row r="833">
          <cell r="B833">
            <v>829</v>
          </cell>
          <cell r="D833">
            <v>26</v>
          </cell>
          <cell r="H833">
            <v>19.409836065573771</v>
          </cell>
          <cell r="L833">
            <v>16.438356164383563</v>
          </cell>
        </row>
        <row r="834">
          <cell r="B834">
            <v>830</v>
          </cell>
          <cell r="D834">
            <v>41</v>
          </cell>
          <cell r="H834">
            <v>19.409836065573771</v>
          </cell>
          <cell r="L834">
            <v>16.438356164383563</v>
          </cell>
        </row>
        <row r="835">
          <cell r="B835">
            <v>831</v>
          </cell>
          <cell r="D835">
            <v>39</v>
          </cell>
          <cell r="H835">
            <v>19.409836065573771</v>
          </cell>
          <cell r="L835">
            <v>16.438356164383563</v>
          </cell>
        </row>
        <row r="836">
          <cell r="B836">
            <v>832</v>
          </cell>
          <cell r="D836">
            <v>40</v>
          </cell>
          <cell r="H836">
            <v>19.409836065573771</v>
          </cell>
          <cell r="L836">
            <v>16.438356164383563</v>
          </cell>
        </row>
        <row r="837">
          <cell r="B837">
            <v>833</v>
          </cell>
          <cell r="D837">
            <v>24</v>
          </cell>
          <cell r="H837">
            <v>19.409836065573771</v>
          </cell>
          <cell r="L837">
            <v>16.438356164383563</v>
          </cell>
        </row>
        <row r="838">
          <cell r="B838">
            <v>834</v>
          </cell>
          <cell r="D838">
            <v>48</v>
          </cell>
          <cell r="H838">
            <v>19.409836065573771</v>
          </cell>
          <cell r="L838">
            <v>16.438356164383563</v>
          </cell>
        </row>
        <row r="839">
          <cell r="B839">
            <v>835</v>
          </cell>
          <cell r="D839">
            <v>23</v>
          </cell>
          <cell r="H839">
            <v>19.409836065573771</v>
          </cell>
          <cell r="L839">
            <v>16.438356164383563</v>
          </cell>
        </row>
        <row r="840">
          <cell r="B840">
            <v>836</v>
          </cell>
          <cell r="D840">
            <v>57</v>
          </cell>
          <cell r="H840">
            <v>19.409836065573771</v>
          </cell>
          <cell r="L840">
            <v>16.438356164383563</v>
          </cell>
        </row>
        <row r="841">
          <cell r="B841">
            <v>837</v>
          </cell>
          <cell r="D841">
            <v>36</v>
          </cell>
          <cell r="H841">
            <v>19.409836065573771</v>
          </cell>
          <cell r="L841">
            <v>16.438356164383563</v>
          </cell>
        </row>
        <row r="842">
          <cell r="B842">
            <v>838</v>
          </cell>
          <cell r="D842">
            <v>50</v>
          </cell>
          <cell r="H842">
            <v>19.409836065573771</v>
          </cell>
          <cell r="L842">
            <v>16.438356164383563</v>
          </cell>
        </row>
        <row r="843">
          <cell r="B843">
            <v>839</v>
          </cell>
          <cell r="D843">
            <v>38</v>
          </cell>
          <cell r="H843">
            <v>19.409836065573771</v>
          </cell>
          <cell r="L843">
            <v>16.438356164383563</v>
          </cell>
        </row>
        <row r="844">
          <cell r="B844">
            <v>840</v>
          </cell>
          <cell r="D844">
            <v>36</v>
          </cell>
          <cell r="H844">
            <v>19.409836065573771</v>
          </cell>
          <cell r="L844">
            <v>16.438356164383563</v>
          </cell>
        </row>
        <row r="845">
          <cell r="B845">
            <v>841</v>
          </cell>
          <cell r="D845">
            <v>41</v>
          </cell>
          <cell r="H845">
            <v>19.409836065573771</v>
          </cell>
          <cell r="L845">
            <v>16.438356164383563</v>
          </cell>
        </row>
        <row r="846">
          <cell r="B846">
            <v>842</v>
          </cell>
          <cell r="D846">
            <v>35</v>
          </cell>
          <cell r="H846">
            <v>19.409836065573771</v>
          </cell>
          <cell r="L846">
            <v>16.438356164383563</v>
          </cell>
        </row>
        <row r="847">
          <cell r="B847">
            <v>843</v>
          </cell>
          <cell r="D847">
            <v>64</v>
          </cell>
          <cell r="H847">
            <v>19.409836065573771</v>
          </cell>
          <cell r="L847">
            <v>16.438356164383563</v>
          </cell>
        </row>
        <row r="848">
          <cell r="B848">
            <v>844</v>
          </cell>
          <cell r="D848">
            <v>44</v>
          </cell>
          <cell r="H848">
            <v>19.409836065573771</v>
          </cell>
          <cell r="L848">
            <v>16.438356164383563</v>
          </cell>
        </row>
        <row r="849">
          <cell r="B849">
            <v>845</v>
          </cell>
          <cell r="D849">
            <v>44</v>
          </cell>
          <cell r="H849">
            <v>19.409836065573771</v>
          </cell>
          <cell r="L849">
            <v>16.438356164383563</v>
          </cell>
        </row>
        <row r="850">
          <cell r="B850">
            <v>846</v>
          </cell>
          <cell r="D850">
            <v>54</v>
          </cell>
          <cell r="H850">
            <v>19.409836065573771</v>
          </cell>
          <cell r="L850">
            <v>16.438356164383563</v>
          </cell>
        </row>
        <row r="851">
          <cell r="B851">
            <v>847</v>
          </cell>
          <cell r="D851">
            <v>47</v>
          </cell>
          <cell r="H851">
            <v>19.409836065573771</v>
          </cell>
          <cell r="L851">
            <v>16.438356164383563</v>
          </cell>
        </row>
        <row r="852">
          <cell r="B852">
            <v>848</v>
          </cell>
          <cell r="D852">
            <v>24</v>
          </cell>
          <cell r="H852">
            <v>19.409836065573771</v>
          </cell>
          <cell r="L852">
            <v>16.438356164383563</v>
          </cell>
        </row>
        <row r="853">
          <cell r="B853">
            <v>849</v>
          </cell>
          <cell r="D853">
            <v>36</v>
          </cell>
          <cell r="H853">
            <v>19.409836065573771</v>
          </cell>
          <cell r="L853">
            <v>16.438356164383563</v>
          </cell>
        </row>
        <row r="854">
          <cell r="B854">
            <v>850</v>
          </cell>
          <cell r="D854">
            <v>72</v>
          </cell>
          <cell r="H854">
            <v>19.409836065573771</v>
          </cell>
          <cell r="L854">
            <v>16.438356164383563</v>
          </cell>
        </row>
        <row r="855">
          <cell r="B855">
            <v>851</v>
          </cell>
          <cell r="D855">
            <v>44</v>
          </cell>
          <cell r="H855">
            <v>19.409836065573771</v>
          </cell>
          <cell r="L855">
            <v>16.438356164383563</v>
          </cell>
        </row>
        <row r="856">
          <cell r="B856">
            <v>852</v>
          </cell>
          <cell r="D856">
            <v>41</v>
          </cell>
          <cell r="H856">
            <v>19.409836065573771</v>
          </cell>
          <cell r="L856">
            <v>16.438356164383563</v>
          </cell>
        </row>
        <row r="857">
          <cell r="B857">
            <v>853</v>
          </cell>
          <cell r="D857">
            <v>41</v>
          </cell>
          <cell r="H857">
            <v>19.409836065573771</v>
          </cell>
          <cell r="L857">
            <v>16.438356164383563</v>
          </cell>
        </row>
        <row r="858">
          <cell r="B858">
            <v>854</v>
          </cell>
          <cell r="D858">
            <v>54</v>
          </cell>
          <cell r="H858">
            <v>19.409836065573771</v>
          </cell>
          <cell r="L858">
            <v>16.438356164383563</v>
          </cell>
        </row>
        <row r="859">
          <cell r="B859">
            <v>855</v>
          </cell>
          <cell r="D859">
            <v>41</v>
          </cell>
          <cell r="H859">
            <v>19.409836065573771</v>
          </cell>
          <cell r="L859">
            <v>16.438356164383563</v>
          </cell>
        </row>
        <row r="860">
          <cell r="B860">
            <v>856</v>
          </cell>
          <cell r="D860">
            <v>44</v>
          </cell>
          <cell r="H860">
            <v>19.409836065573771</v>
          </cell>
          <cell r="L860">
            <v>16.438356164383563</v>
          </cell>
        </row>
        <row r="861">
          <cell r="B861">
            <v>857</v>
          </cell>
          <cell r="D861">
            <v>54</v>
          </cell>
          <cell r="H861">
            <v>19.409836065573771</v>
          </cell>
          <cell r="L861">
            <v>16.438356164383563</v>
          </cell>
        </row>
        <row r="862">
          <cell r="B862">
            <v>858</v>
          </cell>
          <cell r="D862">
            <v>69</v>
          </cell>
          <cell r="H862">
            <v>19.409836065573771</v>
          </cell>
          <cell r="L862">
            <v>16.438356164383563</v>
          </cell>
        </row>
        <row r="863">
          <cell r="B863">
            <v>859</v>
          </cell>
          <cell r="D863">
            <v>47</v>
          </cell>
          <cell r="H863">
            <v>19.409836065573771</v>
          </cell>
          <cell r="L863">
            <v>16.438356164383563</v>
          </cell>
        </row>
        <row r="864">
          <cell r="B864">
            <v>860</v>
          </cell>
          <cell r="D864">
            <v>52</v>
          </cell>
          <cell r="H864">
            <v>19.409836065573771</v>
          </cell>
          <cell r="L864">
            <v>16.438356164383563</v>
          </cell>
        </row>
        <row r="865">
          <cell r="B865">
            <v>861</v>
          </cell>
          <cell r="D865">
            <v>58</v>
          </cell>
          <cell r="H865">
            <v>19.409836065573771</v>
          </cell>
          <cell r="L865">
            <v>16.438356164383563</v>
          </cell>
        </row>
        <row r="866">
          <cell r="B866">
            <v>862</v>
          </cell>
          <cell r="D866">
            <v>29</v>
          </cell>
          <cell r="H866">
            <v>19.409836065573771</v>
          </cell>
          <cell r="L866">
            <v>16.438356164383563</v>
          </cell>
        </row>
        <row r="867">
          <cell r="B867">
            <v>863</v>
          </cell>
          <cell r="D867">
            <v>46</v>
          </cell>
          <cell r="H867">
            <v>19.409836065573771</v>
          </cell>
          <cell r="L867">
            <v>16.438356164383563</v>
          </cell>
        </row>
        <row r="868">
          <cell r="B868">
            <v>864</v>
          </cell>
          <cell r="D868">
            <v>80</v>
          </cell>
          <cell r="H868">
            <v>19.409836065573771</v>
          </cell>
          <cell r="L868">
            <v>16.438356164383563</v>
          </cell>
        </row>
        <row r="869">
          <cell r="B869">
            <v>865</v>
          </cell>
          <cell r="D869">
            <v>51</v>
          </cell>
          <cell r="H869">
            <v>19.409836065573771</v>
          </cell>
          <cell r="L869">
            <v>16.438356164383563</v>
          </cell>
        </row>
        <row r="870">
          <cell r="B870">
            <v>866</v>
          </cell>
          <cell r="D870">
            <v>39</v>
          </cell>
          <cell r="H870">
            <v>19.409836065573771</v>
          </cell>
          <cell r="L870">
            <v>16.438356164383563</v>
          </cell>
        </row>
        <row r="871">
          <cell r="B871">
            <v>867</v>
          </cell>
          <cell r="D871">
            <v>22</v>
          </cell>
          <cell r="H871">
            <v>19.409836065573771</v>
          </cell>
          <cell r="L871">
            <v>16.438356164383563</v>
          </cell>
        </row>
        <row r="872">
          <cell r="B872">
            <v>868</v>
          </cell>
          <cell r="D872">
            <v>59</v>
          </cell>
          <cell r="H872">
            <v>19.409836065573771</v>
          </cell>
          <cell r="L872">
            <v>16.438356164383563</v>
          </cell>
        </row>
        <row r="873">
          <cell r="B873">
            <v>869</v>
          </cell>
          <cell r="D873">
            <v>74</v>
          </cell>
          <cell r="H873">
            <v>19.409836065573771</v>
          </cell>
          <cell r="L873">
            <v>16.438356164383563</v>
          </cell>
        </row>
        <row r="874">
          <cell r="B874">
            <v>870</v>
          </cell>
          <cell r="D874">
            <v>39</v>
          </cell>
          <cell r="H874">
            <v>19.409836065573771</v>
          </cell>
          <cell r="L874">
            <v>16.438356164383563</v>
          </cell>
        </row>
        <row r="875">
          <cell r="B875">
            <v>871</v>
          </cell>
          <cell r="D875">
            <v>54</v>
          </cell>
          <cell r="H875">
            <v>19.409836065573771</v>
          </cell>
          <cell r="L875">
            <v>16.438356164383563</v>
          </cell>
        </row>
        <row r="876">
          <cell r="B876">
            <v>872</v>
          </cell>
          <cell r="D876">
            <v>50</v>
          </cell>
          <cell r="H876">
            <v>19.409836065573771</v>
          </cell>
          <cell r="L876">
            <v>16.438356164383563</v>
          </cell>
        </row>
        <row r="877">
          <cell r="B877">
            <v>873</v>
          </cell>
          <cell r="D877">
            <v>57</v>
          </cell>
          <cell r="H877">
            <v>19.409836065573771</v>
          </cell>
          <cell r="L877">
            <v>16.438356164383563</v>
          </cell>
        </row>
        <row r="878">
          <cell r="B878">
            <v>874</v>
          </cell>
          <cell r="D878">
            <v>66</v>
          </cell>
          <cell r="H878">
            <v>19.409836065573771</v>
          </cell>
          <cell r="L878">
            <v>16.438356164383563</v>
          </cell>
        </row>
        <row r="879">
          <cell r="B879">
            <v>875</v>
          </cell>
          <cell r="D879">
            <v>28</v>
          </cell>
          <cell r="H879">
            <v>19.409836065573771</v>
          </cell>
          <cell r="L879">
            <v>16.438356164383563</v>
          </cell>
        </row>
        <row r="880">
          <cell r="B880">
            <v>876</v>
          </cell>
          <cell r="D880">
            <v>86</v>
          </cell>
          <cell r="H880">
            <v>19.409836065573771</v>
          </cell>
          <cell r="L880">
            <v>16.438356164383563</v>
          </cell>
        </row>
        <row r="881">
          <cell r="B881">
            <v>877</v>
          </cell>
          <cell r="D881">
            <v>30</v>
          </cell>
          <cell r="H881">
            <v>19.409836065573771</v>
          </cell>
          <cell r="L881">
            <v>16.438356164383563</v>
          </cell>
        </row>
        <row r="882">
          <cell r="B882">
            <v>878</v>
          </cell>
          <cell r="D882">
            <v>34</v>
          </cell>
          <cell r="H882">
            <v>19.409836065573771</v>
          </cell>
          <cell r="L882">
            <v>16.438356164383563</v>
          </cell>
        </row>
        <row r="883">
          <cell r="B883">
            <v>879</v>
          </cell>
          <cell r="D883">
            <v>58</v>
          </cell>
          <cell r="H883">
            <v>19.409836065573771</v>
          </cell>
          <cell r="L883">
            <v>16.438356164383563</v>
          </cell>
        </row>
        <row r="884">
          <cell r="B884">
            <v>880</v>
          </cell>
          <cell r="D884">
            <v>69</v>
          </cell>
          <cell r="H884">
            <v>19.409836065573771</v>
          </cell>
          <cell r="L884">
            <v>16.438356164383563</v>
          </cell>
        </row>
        <row r="885">
          <cell r="B885">
            <v>881</v>
          </cell>
          <cell r="D885">
            <v>45</v>
          </cell>
          <cell r="H885">
            <v>19.409836065573771</v>
          </cell>
          <cell r="L885">
            <v>16.438356164383563</v>
          </cell>
        </row>
        <row r="886">
          <cell r="B886">
            <v>882</v>
          </cell>
          <cell r="D886">
            <v>88</v>
          </cell>
          <cell r="H886">
            <v>19.409836065573771</v>
          </cell>
          <cell r="L886">
            <v>16.438356164383563</v>
          </cell>
        </row>
        <row r="887">
          <cell r="B887">
            <v>883</v>
          </cell>
          <cell r="D887">
            <v>102</v>
          </cell>
          <cell r="H887">
            <v>19.409836065573771</v>
          </cell>
          <cell r="L887">
            <v>16.438356164383563</v>
          </cell>
        </row>
        <row r="888">
          <cell r="B888">
            <v>884</v>
          </cell>
          <cell r="D888">
            <v>56</v>
          </cell>
          <cell r="H888">
            <v>19.409836065573771</v>
          </cell>
          <cell r="L888">
            <v>16.438356164383563</v>
          </cell>
        </row>
        <row r="889">
          <cell r="B889">
            <v>885</v>
          </cell>
          <cell r="D889">
            <v>40</v>
          </cell>
          <cell r="H889">
            <v>19.409836065573771</v>
          </cell>
          <cell r="L889">
            <v>16.438356164383563</v>
          </cell>
        </row>
        <row r="890">
          <cell r="B890">
            <v>886</v>
          </cell>
          <cell r="D890">
            <v>57</v>
          </cell>
          <cell r="H890">
            <v>19.409836065573771</v>
          </cell>
          <cell r="L890">
            <v>16.438356164383563</v>
          </cell>
        </row>
        <row r="891">
          <cell r="B891">
            <v>887</v>
          </cell>
          <cell r="D891">
            <v>36</v>
          </cell>
          <cell r="H891">
            <v>19.409836065573771</v>
          </cell>
          <cell r="L891">
            <v>16.438356164383563</v>
          </cell>
        </row>
        <row r="892">
          <cell r="B892">
            <v>888</v>
          </cell>
          <cell r="D892">
            <v>69</v>
          </cell>
          <cell r="H892">
            <v>19.409836065573771</v>
          </cell>
          <cell r="L892">
            <v>16.438356164383563</v>
          </cell>
        </row>
        <row r="893">
          <cell r="B893">
            <v>889</v>
          </cell>
          <cell r="D893">
            <v>62</v>
          </cell>
          <cell r="H893">
            <v>19.409836065573771</v>
          </cell>
          <cell r="L893">
            <v>16.438356164383563</v>
          </cell>
        </row>
        <row r="894">
          <cell r="B894">
            <v>890</v>
          </cell>
          <cell r="D894">
            <v>75</v>
          </cell>
          <cell r="H894">
            <v>19.409836065573771</v>
          </cell>
          <cell r="L894">
            <v>16.438356164383563</v>
          </cell>
        </row>
        <row r="895">
          <cell r="B895">
            <v>891</v>
          </cell>
          <cell r="D895">
            <v>53</v>
          </cell>
          <cell r="H895">
            <v>19.409836065573771</v>
          </cell>
          <cell r="L895">
            <v>16.438356164383563</v>
          </cell>
        </row>
        <row r="896">
          <cell r="B896">
            <v>892</v>
          </cell>
          <cell r="D896">
            <v>48</v>
          </cell>
          <cell r="H896">
            <v>19.409836065573771</v>
          </cell>
          <cell r="L896">
            <v>16.438356164383563</v>
          </cell>
        </row>
        <row r="897">
          <cell r="B897">
            <v>893</v>
          </cell>
          <cell r="D897">
            <v>58</v>
          </cell>
          <cell r="H897">
            <v>19.409836065573771</v>
          </cell>
          <cell r="L897">
            <v>16.438356164383563</v>
          </cell>
        </row>
        <row r="898">
          <cell r="B898">
            <v>894</v>
          </cell>
          <cell r="D898">
            <v>62</v>
          </cell>
          <cell r="H898">
            <v>19.409836065573771</v>
          </cell>
          <cell r="L898">
            <v>16.438356164383563</v>
          </cell>
        </row>
        <row r="899">
          <cell r="B899">
            <v>895</v>
          </cell>
          <cell r="D899">
            <v>62</v>
          </cell>
          <cell r="H899">
            <v>19.409836065573771</v>
          </cell>
          <cell r="L899">
            <v>16.438356164383563</v>
          </cell>
        </row>
        <row r="900">
          <cell r="B900">
            <v>896</v>
          </cell>
          <cell r="D900">
            <v>60</v>
          </cell>
          <cell r="H900">
            <v>19.409836065573771</v>
          </cell>
          <cell r="L900">
            <v>16.438356164383563</v>
          </cell>
        </row>
        <row r="901">
          <cell r="B901">
            <v>897</v>
          </cell>
          <cell r="D901">
            <v>86</v>
          </cell>
          <cell r="H901">
            <v>19.409836065573771</v>
          </cell>
          <cell r="L901">
            <v>16.438356164383563</v>
          </cell>
        </row>
        <row r="902">
          <cell r="B902">
            <v>898</v>
          </cell>
          <cell r="D902">
            <v>80</v>
          </cell>
          <cell r="H902">
            <v>19.409836065573771</v>
          </cell>
          <cell r="L902">
            <v>16.438356164383563</v>
          </cell>
        </row>
        <row r="903">
          <cell r="B903">
            <v>899</v>
          </cell>
          <cell r="D903">
            <v>43</v>
          </cell>
          <cell r="H903">
            <v>19.409836065573771</v>
          </cell>
          <cell r="L903">
            <v>16.438356164383563</v>
          </cell>
        </row>
        <row r="904">
          <cell r="B904">
            <v>900</v>
          </cell>
          <cell r="D904">
            <v>69</v>
          </cell>
          <cell r="H904">
            <v>19.409836065573771</v>
          </cell>
          <cell r="L904">
            <v>16.438356164383563</v>
          </cell>
        </row>
        <row r="905">
          <cell r="B905">
            <v>901</v>
          </cell>
          <cell r="D905">
            <v>78</v>
          </cell>
          <cell r="H905">
            <v>19.409836065573771</v>
          </cell>
          <cell r="L905">
            <v>16.438356164383563</v>
          </cell>
        </row>
        <row r="906">
          <cell r="B906">
            <v>902</v>
          </cell>
          <cell r="D906">
            <v>81</v>
          </cell>
          <cell r="H906">
            <v>19.409836065573771</v>
          </cell>
          <cell r="L906">
            <v>16.438356164383563</v>
          </cell>
        </row>
        <row r="907">
          <cell r="B907">
            <v>903</v>
          </cell>
          <cell r="D907">
            <v>66</v>
          </cell>
          <cell r="H907">
            <v>19.409836065573771</v>
          </cell>
          <cell r="L907">
            <v>16.438356164383563</v>
          </cell>
        </row>
        <row r="908">
          <cell r="B908">
            <v>904</v>
          </cell>
          <cell r="D908">
            <v>81</v>
          </cell>
          <cell r="H908">
            <v>19.409836065573771</v>
          </cell>
          <cell r="L908">
            <v>16.438356164383563</v>
          </cell>
        </row>
        <row r="909">
          <cell r="B909">
            <v>905</v>
          </cell>
          <cell r="D909">
            <v>62</v>
          </cell>
          <cell r="H909">
            <v>19.409836065573771</v>
          </cell>
          <cell r="L909">
            <v>16.438356164383563</v>
          </cell>
        </row>
        <row r="910">
          <cell r="B910">
            <v>906</v>
          </cell>
          <cell r="D910">
            <v>64</v>
          </cell>
          <cell r="H910">
            <v>19.409836065573771</v>
          </cell>
          <cell r="L910">
            <v>16.438356164383563</v>
          </cell>
        </row>
        <row r="911">
          <cell r="B911">
            <v>907</v>
          </cell>
          <cell r="D911">
            <v>100</v>
          </cell>
          <cell r="H911">
            <v>19.409836065573771</v>
          </cell>
          <cell r="L911">
            <v>16.438356164383563</v>
          </cell>
        </row>
        <row r="912">
          <cell r="B912">
            <v>908</v>
          </cell>
          <cell r="D912">
            <v>46</v>
          </cell>
          <cell r="H912">
            <v>19.409836065573771</v>
          </cell>
          <cell r="L912">
            <v>16.438356164383563</v>
          </cell>
        </row>
        <row r="913">
          <cell r="B913">
            <v>909</v>
          </cell>
          <cell r="D913">
            <v>73</v>
          </cell>
          <cell r="H913">
            <v>19.409836065573771</v>
          </cell>
          <cell r="L913">
            <v>16.438356164383563</v>
          </cell>
        </row>
        <row r="914">
          <cell r="B914">
            <v>910</v>
          </cell>
          <cell r="D914">
            <v>59</v>
          </cell>
          <cell r="H914">
            <v>19.409836065573771</v>
          </cell>
          <cell r="L914">
            <v>16.438356164383563</v>
          </cell>
        </row>
        <row r="915">
          <cell r="B915">
            <v>911</v>
          </cell>
          <cell r="D915">
            <v>42</v>
          </cell>
          <cell r="H915">
            <v>19.409836065573771</v>
          </cell>
          <cell r="L915">
            <v>16.438356164383563</v>
          </cell>
        </row>
        <row r="916">
          <cell r="B916">
            <v>912</v>
          </cell>
          <cell r="D916">
            <v>54</v>
          </cell>
          <cell r="H916">
            <v>19.409836065573771</v>
          </cell>
          <cell r="L916">
            <v>16.438356164383563</v>
          </cell>
        </row>
        <row r="917">
          <cell r="B917">
            <v>913</v>
          </cell>
          <cell r="D917">
            <v>64</v>
          </cell>
          <cell r="H917">
            <v>19.409836065573771</v>
          </cell>
          <cell r="L917">
            <v>16.438356164383563</v>
          </cell>
        </row>
        <row r="918">
          <cell r="B918">
            <v>914</v>
          </cell>
          <cell r="D918">
            <v>78</v>
          </cell>
          <cell r="H918">
            <v>19.409836065573771</v>
          </cell>
          <cell r="L918">
            <v>16.438356164383563</v>
          </cell>
        </row>
        <row r="919">
          <cell r="B919">
            <v>915</v>
          </cell>
          <cell r="D919">
            <v>70</v>
          </cell>
          <cell r="H919">
            <v>19.409836065573771</v>
          </cell>
          <cell r="L919">
            <v>16.438356164383563</v>
          </cell>
        </row>
        <row r="920">
          <cell r="B920">
            <v>916</v>
          </cell>
          <cell r="D920">
            <v>81</v>
          </cell>
          <cell r="H920">
            <v>19.409836065573771</v>
          </cell>
          <cell r="L920">
            <v>16.438356164383563</v>
          </cell>
        </row>
        <row r="921">
          <cell r="B921">
            <v>917</v>
          </cell>
          <cell r="D921">
            <v>67</v>
          </cell>
          <cell r="H921">
            <v>19.409836065573771</v>
          </cell>
          <cell r="L921">
            <v>16.438356164383563</v>
          </cell>
        </row>
        <row r="922">
          <cell r="B922">
            <v>918</v>
          </cell>
          <cell r="D922">
            <v>66</v>
          </cell>
          <cell r="H922">
            <v>19.409836065573771</v>
          </cell>
          <cell r="L922">
            <v>16.438356164383563</v>
          </cell>
        </row>
        <row r="923">
          <cell r="B923">
            <v>919</v>
          </cell>
          <cell r="D923">
            <v>93</v>
          </cell>
          <cell r="H923">
            <v>19.409836065573771</v>
          </cell>
          <cell r="L923">
            <v>16.438356164383563</v>
          </cell>
        </row>
        <row r="924">
          <cell r="B924">
            <v>920</v>
          </cell>
          <cell r="D924">
            <v>88</v>
          </cell>
          <cell r="H924">
            <v>19.409836065573771</v>
          </cell>
          <cell r="L924">
            <v>16.438356164383563</v>
          </cell>
        </row>
        <row r="925">
          <cell r="B925">
            <v>921</v>
          </cell>
          <cell r="D925">
            <v>49</v>
          </cell>
          <cell r="H925">
            <v>19.409836065573771</v>
          </cell>
          <cell r="L925">
            <v>16.438356164383563</v>
          </cell>
        </row>
        <row r="926">
          <cell r="B926">
            <v>922</v>
          </cell>
          <cell r="D926">
            <v>57</v>
          </cell>
          <cell r="H926">
            <v>19.409836065573771</v>
          </cell>
          <cell r="L926">
            <v>16.438356164383563</v>
          </cell>
        </row>
        <row r="927">
          <cell r="B927">
            <v>923</v>
          </cell>
          <cell r="D927">
            <v>82</v>
          </cell>
          <cell r="H927">
            <v>19.409836065573771</v>
          </cell>
          <cell r="L927">
            <v>16.438356164383563</v>
          </cell>
        </row>
        <row r="928">
          <cell r="B928">
            <v>924</v>
          </cell>
          <cell r="D928">
            <v>82</v>
          </cell>
          <cell r="H928">
            <v>19.409836065573771</v>
          </cell>
          <cell r="L928">
            <v>16.438356164383563</v>
          </cell>
        </row>
        <row r="929">
          <cell r="B929">
            <v>925</v>
          </cell>
          <cell r="D929">
            <v>51</v>
          </cell>
          <cell r="H929">
            <v>19.409836065573771</v>
          </cell>
          <cell r="L929">
            <v>16.438356164383563</v>
          </cell>
        </row>
        <row r="930">
          <cell r="B930">
            <v>926</v>
          </cell>
          <cell r="D930">
            <v>64</v>
          </cell>
          <cell r="H930">
            <v>19.409836065573771</v>
          </cell>
          <cell r="L930">
            <v>16.438356164383563</v>
          </cell>
        </row>
        <row r="931">
          <cell r="B931">
            <v>927</v>
          </cell>
          <cell r="D931">
            <v>63</v>
          </cell>
          <cell r="H931">
            <v>19.409836065573771</v>
          </cell>
          <cell r="L931">
            <v>16.438356164383563</v>
          </cell>
        </row>
        <row r="932">
          <cell r="B932">
            <v>928</v>
          </cell>
          <cell r="D932">
            <v>71</v>
          </cell>
          <cell r="H932">
            <v>19.409836065573771</v>
          </cell>
          <cell r="L932">
            <v>16.438356164383563</v>
          </cell>
        </row>
        <row r="933">
          <cell r="B933">
            <v>929</v>
          </cell>
          <cell r="D933">
            <v>56</v>
          </cell>
          <cell r="H933">
            <v>19.409836065573771</v>
          </cell>
          <cell r="L933">
            <v>16.438356164383563</v>
          </cell>
        </row>
        <row r="934">
          <cell r="B934">
            <v>930</v>
          </cell>
          <cell r="D934">
            <v>41</v>
          </cell>
          <cell r="H934">
            <v>19.409836065573771</v>
          </cell>
          <cell r="L934">
            <v>16.438356164383563</v>
          </cell>
        </row>
        <row r="935">
          <cell r="B935">
            <v>931</v>
          </cell>
          <cell r="D935">
            <v>68</v>
          </cell>
          <cell r="H935">
            <v>19.409836065573771</v>
          </cell>
          <cell r="L935">
            <v>16.438356164383563</v>
          </cell>
        </row>
        <row r="936">
          <cell r="B936">
            <v>932</v>
          </cell>
          <cell r="D936">
            <v>56</v>
          </cell>
          <cell r="H936">
            <v>19.409836065573771</v>
          </cell>
          <cell r="L936">
            <v>16.438356164383563</v>
          </cell>
        </row>
        <row r="937">
          <cell r="B937">
            <v>933</v>
          </cell>
          <cell r="D937">
            <v>58</v>
          </cell>
          <cell r="H937">
            <v>19.409836065573771</v>
          </cell>
          <cell r="L937">
            <v>16.438356164383563</v>
          </cell>
        </row>
        <row r="938">
          <cell r="B938">
            <v>934</v>
          </cell>
          <cell r="D938">
            <v>62</v>
          </cell>
          <cell r="H938">
            <v>19.409836065573771</v>
          </cell>
          <cell r="L938">
            <v>16.438356164383563</v>
          </cell>
        </row>
        <row r="939">
          <cell r="B939">
            <v>935</v>
          </cell>
          <cell r="D939">
            <v>76</v>
          </cell>
          <cell r="H939">
            <v>19.409836065573771</v>
          </cell>
          <cell r="L939">
            <v>16.438356164383563</v>
          </cell>
        </row>
        <row r="940">
          <cell r="B940">
            <v>936</v>
          </cell>
          <cell r="D940">
            <v>62</v>
          </cell>
          <cell r="H940">
            <v>19.409836065573771</v>
          </cell>
          <cell r="L940">
            <v>16.438356164383563</v>
          </cell>
        </row>
        <row r="941">
          <cell r="B941">
            <v>937</v>
          </cell>
          <cell r="D941">
            <v>62</v>
          </cell>
          <cell r="H941">
            <v>19.409836065573771</v>
          </cell>
          <cell r="L941">
            <v>16.438356164383563</v>
          </cell>
        </row>
        <row r="942">
          <cell r="B942">
            <v>938</v>
          </cell>
          <cell r="D942">
            <v>75</v>
          </cell>
          <cell r="H942">
            <v>19.409836065573771</v>
          </cell>
          <cell r="L942">
            <v>16.438356164383563</v>
          </cell>
        </row>
        <row r="943">
          <cell r="B943">
            <v>939</v>
          </cell>
          <cell r="D943">
            <v>56</v>
          </cell>
          <cell r="H943">
            <v>19.409836065573771</v>
          </cell>
          <cell r="L943">
            <v>16.438356164383563</v>
          </cell>
        </row>
        <row r="944">
          <cell r="B944">
            <v>940</v>
          </cell>
          <cell r="D944">
            <v>67</v>
          </cell>
          <cell r="H944">
            <v>19.409836065573771</v>
          </cell>
          <cell r="L944">
            <v>16.438356164383563</v>
          </cell>
        </row>
        <row r="945">
          <cell r="B945">
            <v>941</v>
          </cell>
          <cell r="D945">
            <v>75</v>
          </cell>
          <cell r="H945">
            <v>19.409836065573771</v>
          </cell>
          <cell r="L945">
            <v>16.438356164383563</v>
          </cell>
        </row>
        <row r="946">
          <cell r="B946">
            <v>942</v>
          </cell>
          <cell r="D946">
            <v>96</v>
          </cell>
          <cell r="H946">
            <v>19.409836065573771</v>
          </cell>
          <cell r="L946">
            <v>16.438356164383563</v>
          </cell>
        </row>
        <row r="947">
          <cell r="B947">
            <v>943</v>
          </cell>
          <cell r="D947">
            <v>45</v>
          </cell>
          <cell r="H947">
            <v>19.409836065573771</v>
          </cell>
          <cell r="L947">
            <v>16.438356164383563</v>
          </cell>
        </row>
        <row r="948">
          <cell r="B948">
            <v>944</v>
          </cell>
          <cell r="D948">
            <v>89</v>
          </cell>
          <cell r="H948">
            <v>19.409836065573771</v>
          </cell>
          <cell r="L948">
            <v>16.438356164383563</v>
          </cell>
        </row>
        <row r="949">
          <cell r="B949">
            <v>945</v>
          </cell>
          <cell r="D949">
            <v>58</v>
          </cell>
          <cell r="H949">
            <v>19.409836065573771</v>
          </cell>
          <cell r="L949">
            <v>16.438356164383563</v>
          </cell>
        </row>
        <row r="950">
          <cell r="B950">
            <v>946</v>
          </cell>
          <cell r="D950">
            <v>57</v>
          </cell>
          <cell r="H950">
            <v>19.409836065573771</v>
          </cell>
          <cell r="L950">
            <v>16.438356164383563</v>
          </cell>
        </row>
        <row r="951">
          <cell r="B951">
            <v>947</v>
          </cell>
          <cell r="D951">
            <v>75</v>
          </cell>
          <cell r="H951">
            <v>19.409836065573771</v>
          </cell>
          <cell r="L951">
            <v>16.438356164383563</v>
          </cell>
        </row>
        <row r="952">
          <cell r="B952">
            <v>948</v>
          </cell>
          <cell r="D952">
            <v>70</v>
          </cell>
          <cell r="H952">
            <v>19.409836065573771</v>
          </cell>
          <cell r="L952">
            <v>16.438356164383563</v>
          </cell>
        </row>
        <row r="953">
          <cell r="B953">
            <v>949</v>
          </cell>
          <cell r="D953">
            <v>54</v>
          </cell>
          <cell r="H953">
            <v>19.409836065573771</v>
          </cell>
          <cell r="L953">
            <v>16.438356164383563</v>
          </cell>
        </row>
        <row r="954">
          <cell r="B954">
            <v>950</v>
          </cell>
          <cell r="D954">
            <v>54</v>
          </cell>
          <cell r="H954">
            <v>19.409836065573771</v>
          </cell>
          <cell r="L954">
            <v>16.438356164383563</v>
          </cell>
        </row>
        <row r="955">
          <cell r="B955">
            <v>951</v>
          </cell>
          <cell r="D955">
            <v>57</v>
          </cell>
          <cell r="H955">
            <v>19.409836065573771</v>
          </cell>
          <cell r="L955">
            <v>16.438356164383563</v>
          </cell>
        </row>
        <row r="956">
          <cell r="B956">
            <v>952</v>
          </cell>
          <cell r="D956">
            <v>72</v>
          </cell>
          <cell r="H956">
            <v>19.409836065573771</v>
          </cell>
          <cell r="L956">
            <v>16.438356164383563</v>
          </cell>
        </row>
        <row r="957">
          <cell r="B957">
            <v>953</v>
          </cell>
          <cell r="D957">
            <v>50</v>
          </cell>
          <cell r="H957">
            <v>19.409836065573771</v>
          </cell>
          <cell r="L957">
            <v>16.438356164383563</v>
          </cell>
        </row>
        <row r="958">
          <cell r="B958">
            <v>954</v>
          </cell>
          <cell r="D958">
            <v>40</v>
          </cell>
          <cell r="H958">
            <v>19.409836065573771</v>
          </cell>
          <cell r="L958">
            <v>16.438356164383563</v>
          </cell>
        </row>
        <row r="959">
          <cell r="B959">
            <v>955</v>
          </cell>
          <cell r="D959">
            <v>65</v>
          </cell>
          <cell r="H959">
            <v>19.409836065573771</v>
          </cell>
          <cell r="L959">
            <v>16.438356164383563</v>
          </cell>
        </row>
        <row r="960">
          <cell r="B960">
            <v>956</v>
          </cell>
          <cell r="D960">
            <v>67</v>
          </cell>
          <cell r="H960">
            <v>19.409836065573771</v>
          </cell>
          <cell r="L960">
            <v>16.438356164383563</v>
          </cell>
        </row>
        <row r="961">
          <cell r="B961">
            <v>957</v>
          </cell>
          <cell r="D961">
            <v>46</v>
          </cell>
          <cell r="H961">
            <v>19.409836065573771</v>
          </cell>
          <cell r="L961">
            <v>16.438356164383563</v>
          </cell>
        </row>
        <row r="962">
          <cell r="B962">
            <v>958</v>
          </cell>
          <cell r="D962">
            <v>76</v>
          </cell>
          <cell r="H962">
            <v>19.409836065573771</v>
          </cell>
          <cell r="L962">
            <v>16.438356164383563</v>
          </cell>
        </row>
        <row r="963">
          <cell r="B963">
            <v>959</v>
          </cell>
          <cell r="D963">
            <v>50</v>
          </cell>
          <cell r="H963">
            <v>19.409836065573771</v>
          </cell>
          <cell r="L963">
            <v>16.438356164383563</v>
          </cell>
        </row>
        <row r="964">
          <cell r="B964">
            <v>960</v>
          </cell>
          <cell r="D964">
            <v>60</v>
          </cell>
          <cell r="H964">
            <v>19.409836065573771</v>
          </cell>
          <cell r="L964">
            <v>16.438356164383563</v>
          </cell>
        </row>
        <row r="965">
          <cell r="B965">
            <v>961</v>
          </cell>
          <cell r="D965">
            <v>85</v>
          </cell>
          <cell r="H965">
            <v>19.409836065573771</v>
          </cell>
          <cell r="L965">
            <v>16.438356164383563</v>
          </cell>
        </row>
        <row r="966">
          <cell r="B966">
            <v>962</v>
          </cell>
          <cell r="D966">
            <v>50</v>
          </cell>
          <cell r="H966">
            <v>19.409836065573771</v>
          </cell>
          <cell r="L966">
            <v>16.438356164383563</v>
          </cell>
        </row>
        <row r="967">
          <cell r="B967">
            <v>963</v>
          </cell>
          <cell r="D967">
            <v>66</v>
          </cell>
          <cell r="H967">
            <v>19.409836065573771</v>
          </cell>
          <cell r="L967">
            <v>16.438356164383563</v>
          </cell>
        </row>
        <row r="968">
          <cell r="B968">
            <v>964</v>
          </cell>
          <cell r="D968">
            <v>46</v>
          </cell>
          <cell r="H968">
            <v>19.409836065573771</v>
          </cell>
          <cell r="L968">
            <v>16.438356164383563</v>
          </cell>
        </row>
        <row r="969">
          <cell r="B969">
            <v>965</v>
          </cell>
          <cell r="D969">
            <v>34</v>
          </cell>
          <cell r="H969">
            <v>19.409836065573771</v>
          </cell>
          <cell r="L969">
            <v>16.438356164383563</v>
          </cell>
        </row>
        <row r="970">
          <cell r="B970">
            <v>966</v>
          </cell>
          <cell r="D970">
            <v>50</v>
          </cell>
          <cell r="H970">
            <v>19.409836065573771</v>
          </cell>
          <cell r="L970">
            <v>16.438356164383563</v>
          </cell>
        </row>
        <row r="971">
          <cell r="B971">
            <v>967</v>
          </cell>
          <cell r="D971">
            <v>65</v>
          </cell>
          <cell r="H971">
            <v>19.409836065573771</v>
          </cell>
          <cell r="L971">
            <v>16.438356164383563</v>
          </cell>
        </row>
        <row r="972">
          <cell r="B972">
            <v>968</v>
          </cell>
          <cell r="D972">
            <v>40</v>
          </cell>
          <cell r="H972">
            <v>19.409836065573771</v>
          </cell>
          <cell r="L972">
            <v>16.438356164383563</v>
          </cell>
        </row>
        <row r="973">
          <cell r="B973">
            <v>969</v>
          </cell>
          <cell r="D973">
            <v>58</v>
          </cell>
          <cell r="H973">
            <v>19.409836065573771</v>
          </cell>
          <cell r="L973">
            <v>16.438356164383563</v>
          </cell>
        </row>
        <row r="974">
          <cell r="B974">
            <v>970</v>
          </cell>
          <cell r="D974">
            <v>47</v>
          </cell>
          <cell r="H974">
            <v>19.409836065573771</v>
          </cell>
          <cell r="L974">
            <v>16.438356164383563</v>
          </cell>
        </row>
        <row r="975">
          <cell r="B975">
            <v>971</v>
          </cell>
          <cell r="D975">
            <v>52</v>
          </cell>
          <cell r="H975">
            <v>19.409836065573771</v>
          </cell>
          <cell r="L975">
            <v>16.438356164383563</v>
          </cell>
        </row>
        <row r="976">
          <cell r="B976">
            <v>972</v>
          </cell>
          <cell r="D976">
            <v>84</v>
          </cell>
          <cell r="H976">
            <v>19.409836065573771</v>
          </cell>
          <cell r="L976">
            <v>16.438356164383563</v>
          </cell>
        </row>
        <row r="977">
          <cell r="B977">
            <v>973</v>
          </cell>
          <cell r="D977">
            <v>27</v>
          </cell>
          <cell r="H977">
            <v>19.409836065573771</v>
          </cell>
          <cell r="L977">
            <v>16.438356164383563</v>
          </cell>
        </row>
        <row r="978">
          <cell r="B978">
            <v>974</v>
          </cell>
          <cell r="D978">
            <v>48</v>
          </cell>
          <cell r="H978">
            <v>19.409836065573771</v>
          </cell>
          <cell r="L978">
            <v>16.438356164383563</v>
          </cell>
        </row>
        <row r="979">
          <cell r="B979">
            <v>975</v>
          </cell>
          <cell r="D979">
            <v>73</v>
          </cell>
          <cell r="H979">
            <v>19.409836065573771</v>
          </cell>
          <cell r="L979">
            <v>16.438356164383563</v>
          </cell>
        </row>
        <row r="980">
          <cell r="B980">
            <v>976</v>
          </cell>
          <cell r="D980">
            <v>42</v>
          </cell>
          <cell r="H980">
            <v>19.409836065573771</v>
          </cell>
          <cell r="L980">
            <v>16.438356164383563</v>
          </cell>
        </row>
        <row r="981">
          <cell r="B981">
            <v>977</v>
          </cell>
          <cell r="D981">
            <v>57</v>
          </cell>
          <cell r="H981">
            <v>19.409836065573771</v>
          </cell>
          <cell r="L981">
            <v>16.438356164383563</v>
          </cell>
        </row>
        <row r="982">
          <cell r="B982">
            <v>978</v>
          </cell>
          <cell r="D982">
            <v>63</v>
          </cell>
          <cell r="H982">
            <v>19.409836065573771</v>
          </cell>
          <cell r="L982">
            <v>16.438356164383563</v>
          </cell>
        </row>
        <row r="983">
          <cell r="B983">
            <v>979</v>
          </cell>
          <cell r="D983">
            <v>52</v>
          </cell>
          <cell r="H983">
            <v>19.409836065573771</v>
          </cell>
          <cell r="L983">
            <v>16.438356164383563</v>
          </cell>
        </row>
        <row r="984">
          <cell r="B984">
            <v>980</v>
          </cell>
          <cell r="D984">
            <v>52</v>
          </cell>
          <cell r="H984">
            <v>19.409836065573771</v>
          </cell>
          <cell r="L984">
            <v>16.438356164383563</v>
          </cell>
        </row>
        <row r="985">
          <cell r="B985">
            <v>981</v>
          </cell>
          <cell r="D985">
            <v>38</v>
          </cell>
          <cell r="H985">
            <v>19.409836065573771</v>
          </cell>
          <cell r="L985">
            <v>16.438356164383563</v>
          </cell>
        </row>
        <row r="986">
          <cell r="B986">
            <v>982</v>
          </cell>
          <cell r="D986">
            <v>52</v>
          </cell>
          <cell r="H986">
            <v>19.409836065573771</v>
          </cell>
          <cell r="L986">
            <v>16.438356164383563</v>
          </cell>
        </row>
        <row r="987">
          <cell r="B987">
            <v>983</v>
          </cell>
          <cell r="D987">
            <v>53</v>
          </cell>
          <cell r="H987">
            <v>19.409836065573771</v>
          </cell>
          <cell r="L987">
            <v>16.438356164383563</v>
          </cell>
        </row>
        <row r="988">
          <cell r="B988">
            <v>984</v>
          </cell>
          <cell r="D988">
            <v>35</v>
          </cell>
          <cell r="H988">
            <v>19.409836065573771</v>
          </cell>
          <cell r="L988">
            <v>16.438356164383563</v>
          </cell>
        </row>
        <row r="989">
          <cell r="B989">
            <v>985</v>
          </cell>
          <cell r="D989">
            <v>40</v>
          </cell>
          <cell r="H989">
            <v>19.409836065573771</v>
          </cell>
          <cell r="L989">
            <v>16.438356164383563</v>
          </cell>
        </row>
        <row r="990">
          <cell r="B990">
            <v>986</v>
          </cell>
          <cell r="D990">
            <v>35</v>
          </cell>
          <cell r="H990">
            <v>19.409836065573771</v>
          </cell>
          <cell r="L990">
            <v>16.438356164383563</v>
          </cell>
        </row>
        <row r="991">
          <cell r="B991">
            <v>987</v>
          </cell>
          <cell r="D991">
            <v>48</v>
          </cell>
          <cell r="H991">
            <v>19.409836065573771</v>
          </cell>
          <cell r="L991">
            <v>16.438356164383563</v>
          </cell>
        </row>
        <row r="992">
          <cell r="B992">
            <v>988</v>
          </cell>
          <cell r="D992">
            <v>50</v>
          </cell>
          <cell r="H992">
            <v>19.409836065573771</v>
          </cell>
          <cell r="L992">
            <v>16.438356164383563</v>
          </cell>
        </row>
        <row r="993">
          <cell r="B993">
            <v>989</v>
          </cell>
          <cell r="D993">
            <v>51</v>
          </cell>
          <cell r="H993">
            <v>19.409836065573771</v>
          </cell>
          <cell r="L993">
            <v>16.438356164383563</v>
          </cell>
        </row>
        <row r="994">
          <cell r="B994">
            <v>990</v>
          </cell>
          <cell r="D994">
            <v>34</v>
          </cell>
          <cell r="H994">
            <v>19.409836065573771</v>
          </cell>
          <cell r="L994">
            <v>16.438356164383563</v>
          </cell>
        </row>
        <row r="995">
          <cell r="B995">
            <v>991</v>
          </cell>
          <cell r="D995">
            <v>33</v>
          </cell>
          <cell r="H995">
            <v>19.409836065573771</v>
          </cell>
          <cell r="L995">
            <v>16.438356164383563</v>
          </cell>
        </row>
        <row r="996">
          <cell r="B996">
            <v>992</v>
          </cell>
          <cell r="D996">
            <v>56</v>
          </cell>
          <cell r="H996">
            <v>19.409836065573771</v>
          </cell>
          <cell r="L996">
            <v>16.438356164383563</v>
          </cell>
        </row>
        <row r="997">
          <cell r="B997">
            <v>993</v>
          </cell>
          <cell r="D997">
            <v>72</v>
          </cell>
          <cell r="H997">
            <v>19.409836065573771</v>
          </cell>
          <cell r="L997">
            <v>16.438356164383563</v>
          </cell>
        </row>
        <row r="998">
          <cell r="B998">
            <v>994</v>
          </cell>
          <cell r="D998">
            <v>62</v>
          </cell>
          <cell r="H998">
            <v>19.409836065573771</v>
          </cell>
          <cell r="L998">
            <v>16.438356164383563</v>
          </cell>
        </row>
        <row r="999">
          <cell r="B999">
            <v>995</v>
          </cell>
          <cell r="D999">
            <v>39</v>
          </cell>
          <cell r="H999">
            <v>19.409836065573771</v>
          </cell>
          <cell r="L999">
            <v>16.438356164383563</v>
          </cell>
        </row>
        <row r="1000">
          <cell r="B1000">
            <v>996</v>
          </cell>
          <cell r="D1000">
            <v>62</v>
          </cell>
          <cell r="H1000">
            <v>19.409836065573771</v>
          </cell>
          <cell r="L1000">
            <v>16.438356164383563</v>
          </cell>
        </row>
        <row r="1001">
          <cell r="B1001">
            <v>997</v>
          </cell>
          <cell r="D1001">
            <v>50</v>
          </cell>
          <cell r="H1001">
            <v>19.409836065573771</v>
          </cell>
          <cell r="L1001">
            <v>16.438356164383563</v>
          </cell>
        </row>
        <row r="1002">
          <cell r="B1002">
            <v>998</v>
          </cell>
          <cell r="D1002">
            <v>44</v>
          </cell>
          <cell r="H1002">
            <v>19.409836065573771</v>
          </cell>
          <cell r="L1002">
            <v>16.438356164383563</v>
          </cell>
        </row>
        <row r="1003">
          <cell r="B1003">
            <v>999</v>
          </cell>
          <cell r="D1003">
            <v>48</v>
          </cell>
          <cell r="H1003">
            <v>19.409836065573771</v>
          </cell>
          <cell r="L1003">
            <v>16.438356164383563</v>
          </cell>
        </row>
        <row r="1004">
          <cell r="B1004">
            <v>1000</v>
          </cell>
          <cell r="D1004">
            <v>32</v>
          </cell>
          <cell r="H1004">
            <v>19.409836065573771</v>
          </cell>
          <cell r="L1004">
            <v>16.438356164383563</v>
          </cell>
        </row>
        <row r="1005">
          <cell r="B1005">
            <v>1001</v>
          </cell>
          <cell r="D1005">
            <v>35</v>
          </cell>
          <cell r="H1005">
            <v>19.409836065573771</v>
          </cell>
          <cell r="L1005">
            <v>16.438356164383563</v>
          </cell>
        </row>
        <row r="1006">
          <cell r="B1006">
            <v>1002</v>
          </cell>
          <cell r="D1006">
            <v>39</v>
          </cell>
          <cell r="H1006">
            <v>19.409836065573771</v>
          </cell>
          <cell r="L1006">
            <v>16.438356164383563</v>
          </cell>
        </row>
        <row r="1007">
          <cell r="B1007">
            <v>1003</v>
          </cell>
          <cell r="D1007">
            <v>34</v>
          </cell>
          <cell r="H1007">
            <v>19.409836065573771</v>
          </cell>
          <cell r="L1007">
            <v>16.438356164383563</v>
          </cell>
        </row>
        <row r="1008">
          <cell r="B1008">
            <v>1004</v>
          </cell>
          <cell r="D1008">
            <v>43</v>
          </cell>
          <cell r="H1008">
            <v>19.409836065573771</v>
          </cell>
          <cell r="L1008">
            <v>16.438356164383563</v>
          </cell>
        </row>
        <row r="1009">
          <cell r="B1009">
            <v>1005</v>
          </cell>
          <cell r="D1009">
            <v>31</v>
          </cell>
          <cell r="H1009">
            <v>19.409836065573771</v>
          </cell>
          <cell r="L1009">
            <v>16.438356164383563</v>
          </cell>
        </row>
        <row r="1010">
          <cell r="B1010">
            <v>1006</v>
          </cell>
          <cell r="D1010">
            <v>28</v>
          </cell>
          <cell r="H1010">
            <v>19.409836065573771</v>
          </cell>
          <cell r="L1010">
            <v>16.438356164383563</v>
          </cell>
        </row>
        <row r="1011">
          <cell r="B1011">
            <v>1007</v>
          </cell>
          <cell r="D1011">
            <v>26</v>
          </cell>
          <cell r="H1011">
            <v>19.409836065573771</v>
          </cell>
          <cell r="L1011">
            <v>16.438356164383563</v>
          </cell>
        </row>
        <row r="1012">
          <cell r="B1012">
            <v>1008</v>
          </cell>
          <cell r="D1012">
            <v>27</v>
          </cell>
          <cell r="H1012">
            <v>19.409836065573771</v>
          </cell>
          <cell r="L1012">
            <v>16.438356164383563</v>
          </cell>
        </row>
        <row r="1013">
          <cell r="B1013">
            <v>1009</v>
          </cell>
          <cell r="D1013">
            <v>30</v>
          </cell>
          <cell r="H1013">
            <v>19.409836065573771</v>
          </cell>
          <cell r="L1013">
            <v>16.438356164383563</v>
          </cell>
        </row>
        <row r="1014">
          <cell r="B1014">
            <v>1010</v>
          </cell>
          <cell r="D1014">
            <v>17</v>
          </cell>
          <cell r="H1014">
            <v>19.409836065573771</v>
          </cell>
          <cell r="L1014">
            <v>16.438356164383563</v>
          </cell>
        </row>
        <row r="1015">
          <cell r="B1015">
            <v>1011</v>
          </cell>
          <cell r="D1015">
            <v>32</v>
          </cell>
          <cell r="H1015">
            <v>19.409836065573771</v>
          </cell>
          <cell r="L1015">
            <v>16.438356164383563</v>
          </cell>
        </row>
        <row r="1016">
          <cell r="B1016">
            <v>1012</v>
          </cell>
          <cell r="D1016">
            <v>28</v>
          </cell>
          <cell r="H1016">
            <v>19.409836065573771</v>
          </cell>
          <cell r="L1016">
            <v>16.438356164383563</v>
          </cell>
        </row>
        <row r="1017">
          <cell r="B1017">
            <v>1013</v>
          </cell>
          <cell r="D1017">
            <v>33</v>
          </cell>
          <cell r="H1017">
            <v>19.409836065573771</v>
          </cell>
          <cell r="L1017">
            <v>16.438356164383563</v>
          </cell>
        </row>
        <row r="1018">
          <cell r="B1018">
            <v>1014</v>
          </cell>
          <cell r="D1018">
            <v>38</v>
          </cell>
          <cell r="H1018">
            <v>19.409836065573771</v>
          </cell>
          <cell r="L1018">
            <v>16.438356164383563</v>
          </cell>
        </row>
        <row r="1019">
          <cell r="B1019">
            <v>1015</v>
          </cell>
          <cell r="D1019">
            <v>26</v>
          </cell>
          <cell r="H1019">
            <v>19.409836065573771</v>
          </cell>
          <cell r="L1019">
            <v>16.438356164383563</v>
          </cell>
        </row>
        <row r="1020">
          <cell r="B1020">
            <v>1016</v>
          </cell>
          <cell r="D1020">
            <v>17</v>
          </cell>
          <cell r="H1020">
            <v>19.409836065573771</v>
          </cell>
          <cell r="L1020">
            <v>16.438356164383563</v>
          </cell>
        </row>
        <row r="1021">
          <cell r="B1021">
            <v>1017</v>
          </cell>
          <cell r="D1021">
            <v>30</v>
          </cell>
          <cell r="H1021">
            <v>19.409836065573771</v>
          </cell>
          <cell r="L1021">
            <v>16.438356164383563</v>
          </cell>
        </row>
        <row r="1022">
          <cell r="B1022">
            <v>1018</v>
          </cell>
          <cell r="D1022">
            <v>30</v>
          </cell>
          <cell r="H1022">
            <v>19.409836065573771</v>
          </cell>
          <cell r="L1022">
            <v>16.438356164383563</v>
          </cell>
        </row>
        <row r="1023">
          <cell r="B1023">
            <v>1019</v>
          </cell>
          <cell r="D1023">
            <v>33</v>
          </cell>
          <cell r="H1023">
            <v>19.409836065573771</v>
          </cell>
          <cell r="L1023">
            <v>16.438356164383563</v>
          </cell>
        </row>
        <row r="1024">
          <cell r="B1024">
            <v>1020</v>
          </cell>
          <cell r="D1024">
            <v>29</v>
          </cell>
          <cell r="H1024">
            <v>19.409836065573771</v>
          </cell>
          <cell r="L1024">
            <v>16.438356164383563</v>
          </cell>
        </row>
        <row r="1025">
          <cell r="B1025">
            <v>1021</v>
          </cell>
          <cell r="D1025">
            <v>59</v>
          </cell>
          <cell r="H1025">
            <v>19.409836065573771</v>
          </cell>
          <cell r="L1025">
            <v>16.438356164383563</v>
          </cell>
        </row>
        <row r="1026">
          <cell r="B1026">
            <v>1022</v>
          </cell>
          <cell r="D1026">
            <v>15</v>
          </cell>
          <cell r="H1026">
            <v>19.409836065573771</v>
          </cell>
          <cell r="L1026">
            <v>16.438356164383563</v>
          </cell>
        </row>
        <row r="1027">
          <cell r="B1027">
            <v>1023</v>
          </cell>
          <cell r="D1027">
            <v>18</v>
          </cell>
          <cell r="H1027">
            <v>19.409836065573771</v>
          </cell>
          <cell r="L1027">
            <v>16.438356164383563</v>
          </cell>
        </row>
        <row r="1028">
          <cell r="B1028">
            <v>1024</v>
          </cell>
          <cell r="D1028">
            <v>15</v>
          </cell>
          <cell r="H1028">
            <v>19.409836065573771</v>
          </cell>
          <cell r="L1028">
            <v>16.438356164383563</v>
          </cell>
        </row>
        <row r="1029">
          <cell r="B1029">
            <v>1025</v>
          </cell>
          <cell r="D1029">
            <v>34</v>
          </cell>
          <cell r="H1029">
            <v>19.409836065573771</v>
          </cell>
          <cell r="L1029">
            <v>16.438356164383563</v>
          </cell>
        </row>
        <row r="1030">
          <cell r="B1030">
            <v>1026</v>
          </cell>
          <cell r="D1030">
            <v>31</v>
          </cell>
          <cell r="H1030">
            <v>19.409836065573771</v>
          </cell>
          <cell r="L1030">
            <v>16.438356164383563</v>
          </cell>
        </row>
        <row r="1031">
          <cell r="B1031">
            <v>1027</v>
          </cell>
          <cell r="D1031">
            <v>8</v>
          </cell>
          <cell r="H1031">
            <v>19.409836065573771</v>
          </cell>
          <cell r="L1031">
            <v>16.438356164383563</v>
          </cell>
        </row>
        <row r="1032">
          <cell r="B1032">
            <v>1028</v>
          </cell>
          <cell r="D1032">
            <v>25</v>
          </cell>
          <cell r="H1032">
            <v>19.409836065573771</v>
          </cell>
          <cell r="L1032">
            <v>16.438356164383563</v>
          </cell>
        </row>
        <row r="1033">
          <cell r="B1033">
            <v>1029</v>
          </cell>
          <cell r="D1033">
            <v>9</v>
          </cell>
          <cell r="H1033">
            <v>19.409836065573771</v>
          </cell>
          <cell r="L1033">
            <v>16.438356164383563</v>
          </cell>
        </row>
        <row r="1034">
          <cell r="B1034">
            <v>1030</v>
          </cell>
          <cell r="D1034">
            <v>21</v>
          </cell>
          <cell r="H1034">
            <v>19.409836065573771</v>
          </cell>
          <cell r="L1034">
            <v>16.438356164383563</v>
          </cell>
        </row>
        <row r="1035">
          <cell r="B1035">
            <v>1031</v>
          </cell>
          <cell r="D1035">
            <v>13</v>
          </cell>
          <cell r="H1035">
            <v>19.409836065573771</v>
          </cell>
          <cell r="L1035">
            <v>16.438356164383563</v>
          </cell>
        </row>
        <row r="1036">
          <cell r="B1036">
            <v>1032</v>
          </cell>
          <cell r="D1036">
            <v>10</v>
          </cell>
          <cell r="H1036">
            <v>19.409836065573771</v>
          </cell>
          <cell r="L1036">
            <v>16.438356164383563</v>
          </cell>
        </row>
        <row r="1037">
          <cell r="B1037">
            <v>1033</v>
          </cell>
          <cell r="D1037">
            <v>16</v>
          </cell>
          <cell r="H1037">
            <v>19.409836065573771</v>
          </cell>
          <cell r="L1037">
            <v>16.438356164383563</v>
          </cell>
        </row>
        <row r="1038">
          <cell r="B1038">
            <v>1034</v>
          </cell>
          <cell r="D1038">
            <v>14</v>
          </cell>
          <cell r="H1038">
            <v>19.409836065573771</v>
          </cell>
          <cell r="L1038">
            <v>16.438356164383563</v>
          </cell>
        </row>
        <row r="1039">
          <cell r="B1039">
            <v>1035</v>
          </cell>
          <cell r="D1039">
            <v>7</v>
          </cell>
          <cell r="H1039">
            <v>19.409836065573771</v>
          </cell>
          <cell r="L1039">
            <v>16.438356164383563</v>
          </cell>
        </row>
        <row r="1040">
          <cell r="B1040">
            <v>1036</v>
          </cell>
          <cell r="D1040">
            <v>19</v>
          </cell>
          <cell r="H1040">
            <v>19.409836065573771</v>
          </cell>
          <cell r="L1040">
            <v>16.438356164383563</v>
          </cell>
        </row>
        <row r="1041">
          <cell r="B1041">
            <v>1037</v>
          </cell>
          <cell r="D1041">
            <v>23</v>
          </cell>
          <cell r="H1041">
            <v>19.409836065573771</v>
          </cell>
          <cell r="L1041">
            <v>16.438356164383563</v>
          </cell>
        </row>
        <row r="1042">
          <cell r="B1042">
            <v>1038</v>
          </cell>
          <cell r="D1042">
            <v>25</v>
          </cell>
          <cell r="H1042">
            <v>19.409836065573771</v>
          </cell>
          <cell r="L1042">
            <v>16.438356164383563</v>
          </cell>
        </row>
        <row r="1043">
          <cell r="B1043">
            <v>1039</v>
          </cell>
          <cell r="D1043">
            <v>14</v>
          </cell>
          <cell r="H1043">
            <v>19.409836065573771</v>
          </cell>
          <cell r="L1043">
            <v>16.438356164383563</v>
          </cell>
        </row>
        <row r="1044">
          <cell r="B1044">
            <v>1040</v>
          </cell>
          <cell r="D1044">
            <v>7</v>
          </cell>
          <cell r="H1044">
            <v>19.409836065573771</v>
          </cell>
          <cell r="L1044">
            <v>16.438356164383563</v>
          </cell>
        </row>
        <row r="1045">
          <cell r="B1045">
            <v>1041</v>
          </cell>
          <cell r="D1045">
            <v>16</v>
          </cell>
          <cell r="H1045">
            <v>19.409836065573771</v>
          </cell>
          <cell r="L1045">
            <v>16.438356164383563</v>
          </cell>
        </row>
        <row r="1046">
          <cell r="B1046">
            <v>1042</v>
          </cell>
          <cell r="D1046">
            <v>16</v>
          </cell>
          <cell r="H1046">
            <v>19.409836065573771</v>
          </cell>
          <cell r="L1046">
            <v>16.438356164383563</v>
          </cell>
        </row>
        <row r="1047">
          <cell r="B1047">
            <v>1043</v>
          </cell>
          <cell r="D1047">
            <v>16</v>
          </cell>
          <cell r="H1047">
            <v>19.409836065573771</v>
          </cell>
          <cell r="L1047">
            <v>16.438356164383563</v>
          </cell>
        </row>
        <row r="1048">
          <cell r="B1048">
            <v>1044</v>
          </cell>
          <cell r="D1048">
            <v>3</v>
          </cell>
          <cell r="H1048">
            <v>19.409836065573771</v>
          </cell>
          <cell r="L1048">
            <v>16.438356164383563</v>
          </cell>
        </row>
        <row r="1049">
          <cell r="B1049">
            <v>1045</v>
          </cell>
          <cell r="D1049">
            <v>16</v>
          </cell>
          <cell r="H1049">
            <v>19.409836065573771</v>
          </cell>
          <cell r="L1049">
            <v>16.438356164383563</v>
          </cell>
        </row>
        <row r="1050">
          <cell r="B1050">
            <v>1046</v>
          </cell>
          <cell r="D1050">
            <v>24</v>
          </cell>
          <cell r="H1050">
            <v>19.409836065573771</v>
          </cell>
          <cell r="L1050">
            <v>16.438356164383563</v>
          </cell>
        </row>
        <row r="1051">
          <cell r="B1051">
            <v>1047</v>
          </cell>
          <cell r="D1051">
            <v>6</v>
          </cell>
          <cell r="H1051">
            <v>19.409836065573771</v>
          </cell>
          <cell r="L1051">
            <v>16.438356164383563</v>
          </cell>
        </row>
        <row r="1052">
          <cell r="B1052">
            <v>1048</v>
          </cell>
          <cell r="D1052">
            <v>13</v>
          </cell>
          <cell r="H1052">
            <v>19.409836065573771</v>
          </cell>
          <cell r="L1052">
            <v>16.438356164383563</v>
          </cell>
        </row>
        <row r="1053">
          <cell r="B1053">
            <v>1049</v>
          </cell>
          <cell r="D1053">
            <v>5</v>
          </cell>
          <cell r="H1053">
            <v>19.409836065573771</v>
          </cell>
          <cell r="L1053">
            <v>16.438356164383563</v>
          </cell>
        </row>
        <row r="1054">
          <cell r="B1054">
            <v>1050</v>
          </cell>
          <cell r="D1054">
            <v>5</v>
          </cell>
          <cell r="H1054">
            <v>19.409836065573771</v>
          </cell>
          <cell r="L1054">
            <v>16.438356164383563</v>
          </cell>
        </row>
        <row r="1055">
          <cell r="B1055">
            <v>1051</v>
          </cell>
          <cell r="D1055">
            <v>21</v>
          </cell>
          <cell r="H1055">
            <v>19.409836065573771</v>
          </cell>
          <cell r="L1055">
            <v>16.438356164383563</v>
          </cell>
        </row>
        <row r="1056">
          <cell r="B1056">
            <v>1052</v>
          </cell>
          <cell r="D1056">
            <v>10</v>
          </cell>
          <cell r="H1056">
            <v>19.409836065573771</v>
          </cell>
          <cell r="L1056">
            <v>16.438356164383563</v>
          </cell>
        </row>
        <row r="1057">
          <cell r="B1057">
            <v>1053</v>
          </cell>
          <cell r="D1057">
            <v>29</v>
          </cell>
          <cell r="H1057">
            <v>19.409836065573771</v>
          </cell>
          <cell r="L1057">
            <v>16.438356164383563</v>
          </cell>
        </row>
        <row r="1058">
          <cell r="B1058">
            <v>1054</v>
          </cell>
          <cell r="D1058">
            <v>20</v>
          </cell>
          <cell r="H1058">
            <v>19.409836065573771</v>
          </cell>
          <cell r="L1058">
            <v>16.438356164383563</v>
          </cell>
        </row>
        <row r="1059">
          <cell r="B1059">
            <v>1055</v>
          </cell>
          <cell r="D1059">
            <v>15</v>
          </cell>
          <cell r="H1059">
            <v>19.409836065573771</v>
          </cell>
          <cell r="L1059">
            <v>16.438356164383563</v>
          </cell>
        </row>
        <row r="1060">
          <cell r="B1060">
            <v>1056</v>
          </cell>
          <cell r="D1060">
            <v>6</v>
          </cell>
          <cell r="H1060">
            <v>19.409836065573771</v>
          </cell>
          <cell r="L1060">
            <v>16.438356164383563</v>
          </cell>
        </row>
        <row r="1061">
          <cell r="B1061">
            <v>1057</v>
          </cell>
          <cell r="D1061">
            <v>13</v>
          </cell>
          <cell r="H1061">
            <v>19.409836065573771</v>
          </cell>
          <cell r="L1061">
            <v>16.438356164383563</v>
          </cell>
        </row>
        <row r="1062">
          <cell r="B1062">
            <v>1058</v>
          </cell>
          <cell r="D1062">
            <v>5</v>
          </cell>
          <cell r="H1062">
            <v>19.409836065573771</v>
          </cell>
          <cell r="L1062">
            <v>16.438356164383563</v>
          </cell>
        </row>
        <row r="1063">
          <cell r="B1063">
            <v>1059</v>
          </cell>
          <cell r="D1063">
            <v>14</v>
          </cell>
          <cell r="H1063">
            <v>19.409836065573771</v>
          </cell>
          <cell r="L1063">
            <v>16.438356164383563</v>
          </cell>
        </row>
        <row r="1064">
          <cell r="B1064">
            <v>1060</v>
          </cell>
          <cell r="D1064">
            <v>10</v>
          </cell>
          <cell r="H1064">
            <v>19.409836065573771</v>
          </cell>
          <cell r="L1064">
            <v>16.438356164383563</v>
          </cell>
        </row>
        <row r="1065">
          <cell r="B1065">
            <v>1061</v>
          </cell>
          <cell r="D1065">
            <v>14</v>
          </cell>
          <cell r="H1065">
            <v>19.409836065573771</v>
          </cell>
          <cell r="L1065">
            <v>16.438356164383563</v>
          </cell>
        </row>
        <row r="1066">
          <cell r="B1066">
            <v>1062</v>
          </cell>
          <cell r="D1066">
            <v>3</v>
          </cell>
          <cell r="H1066">
            <v>19.409836065573771</v>
          </cell>
          <cell r="L1066">
            <v>16.438356164383563</v>
          </cell>
        </row>
        <row r="1067">
          <cell r="B1067">
            <v>1063</v>
          </cell>
          <cell r="D1067">
            <v>10</v>
          </cell>
          <cell r="H1067">
            <v>19.409836065573771</v>
          </cell>
          <cell r="L1067">
            <v>16.438356164383563</v>
          </cell>
        </row>
        <row r="1068">
          <cell r="B1068">
            <v>1064</v>
          </cell>
          <cell r="D1068">
            <v>3</v>
          </cell>
          <cell r="H1068">
            <v>19.409836065573771</v>
          </cell>
          <cell r="L1068">
            <v>16.438356164383563</v>
          </cell>
        </row>
        <row r="1069">
          <cell r="B1069">
            <v>1065</v>
          </cell>
          <cell r="D1069">
            <v>8</v>
          </cell>
          <cell r="H1069">
            <v>19.409836065573771</v>
          </cell>
          <cell r="L1069">
            <v>16.438356164383563</v>
          </cell>
        </row>
        <row r="1070">
          <cell r="B1070">
            <v>1066</v>
          </cell>
          <cell r="D1070">
            <v>4</v>
          </cell>
          <cell r="H1070">
            <v>19.409836065573771</v>
          </cell>
          <cell r="L1070">
            <v>16.438356164383563</v>
          </cell>
        </row>
        <row r="1071">
          <cell r="B1071">
            <v>1067</v>
          </cell>
          <cell r="D1071">
            <v>22</v>
          </cell>
          <cell r="H1071">
            <v>19.409836065573771</v>
          </cell>
          <cell r="L1071">
            <v>16.438356164383563</v>
          </cell>
        </row>
        <row r="1072">
          <cell r="B1072">
            <v>1068</v>
          </cell>
          <cell r="D1072">
            <v>5</v>
          </cell>
          <cell r="H1072">
            <v>19.409836065573771</v>
          </cell>
          <cell r="L1072">
            <v>16.438356164383563</v>
          </cell>
        </row>
        <row r="1073">
          <cell r="B1073">
            <v>1069</v>
          </cell>
          <cell r="D1073">
            <v>5</v>
          </cell>
          <cell r="H1073">
            <v>19.409836065573771</v>
          </cell>
          <cell r="L1073">
            <v>16.438356164383563</v>
          </cell>
        </row>
        <row r="1074">
          <cell r="B1074">
            <v>1070</v>
          </cell>
          <cell r="D1074">
            <v>10</v>
          </cell>
          <cell r="H1074">
            <v>19.409836065573771</v>
          </cell>
          <cell r="L1074">
            <v>16.438356164383563</v>
          </cell>
        </row>
        <row r="1075">
          <cell r="B1075">
            <v>1071</v>
          </cell>
          <cell r="D1075">
            <v>10</v>
          </cell>
          <cell r="H1075">
            <v>19.409836065573771</v>
          </cell>
          <cell r="L1075">
            <v>16.438356164383563</v>
          </cell>
        </row>
        <row r="1076">
          <cell r="B1076">
            <v>1072</v>
          </cell>
          <cell r="D1076">
            <v>8</v>
          </cell>
          <cell r="H1076">
            <v>19.409836065573771</v>
          </cell>
          <cell r="L1076">
            <v>16.438356164383563</v>
          </cell>
        </row>
        <row r="1077">
          <cell r="B1077">
            <v>1073</v>
          </cell>
          <cell r="D1077">
            <v>14</v>
          </cell>
          <cell r="H1077">
            <v>19.409836065573771</v>
          </cell>
          <cell r="L1077">
            <v>16.438356164383563</v>
          </cell>
        </row>
        <row r="1078">
          <cell r="B1078">
            <v>1074</v>
          </cell>
          <cell r="D1078">
            <v>16</v>
          </cell>
          <cell r="H1078">
            <v>19.409836065573771</v>
          </cell>
          <cell r="L1078">
            <v>16.438356164383563</v>
          </cell>
        </row>
        <row r="1079">
          <cell r="B1079">
            <v>1075</v>
          </cell>
          <cell r="D1079">
            <v>4</v>
          </cell>
          <cell r="H1079">
            <v>19.409836065573771</v>
          </cell>
          <cell r="L1079">
            <v>16.438356164383563</v>
          </cell>
        </row>
        <row r="1080">
          <cell r="B1080">
            <v>1076</v>
          </cell>
          <cell r="D1080">
            <v>4</v>
          </cell>
          <cell r="H1080">
            <v>19.409836065573771</v>
          </cell>
          <cell r="L1080">
            <v>16.438356164383563</v>
          </cell>
        </row>
        <row r="1081">
          <cell r="B1081">
            <v>1077</v>
          </cell>
          <cell r="D1081">
            <v>4</v>
          </cell>
          <cell r="H1081">
            <v>19.409836065573771</v>
          </cell>
          <cell r="L1081">
            <v>16.438356164383563</v>
          </cell>
        </row>
        <row r="1082">
          <cell r="B1082">
            <v>1078</v>
          </cell>
          <cell r="D1082">
            <v>3</v>
          </cell>
          <cell r="H1082">
            <v>19.409836065573771</v>
          </cell>
          <cell r="L1082">
            <v>16.438356164383563</v>
          </cell>
        </row>
        <row r="1083">
          <cell r="B1083">
            <v>1079</v>
          </cell>
          <cell r="D1083">
            <v>4</v>
          </cell>
          <cell r="H1083">
            <v>19.409836065573771</v>
          </cell>
          <cell r="L1083">
            <v>16.438356164383563</v>
          </cell>
        </row>
        <row r="1084">
          <cell r="B1084">
            <v>1080</v>
          </cell>
          <cell r="D1084">
            <v>1</v>
          </cell>
          <cell r="H1084">
            <v>19.409836065573771</v>
          </cell>
          <cell r="L1084">
            <v>16.438356164383563</v>
          </cell>
        </row>
        <row r="1085">
          <cell r="B1085">
            <v>1081</v>
          </cell>
          <cell r="D1085">
            <v>12</v>
          </cell>
          <cell r="H1085">
            <v>19.409836065573771</v>
          </cell>
          <cell r="L1085">
            <v>16.438356164383563</v>
          </cell>
        </row>
        <row r="1086">
          <cell r="B1086">
            <v>1082</v>
          </cell>
          <cell r="D1086">
            <v>-2</v>
          </cell>
          <cell r="H1086">
            <v>19.409836065573771</v>
          </cell>
          <cell r="L1086">
            <v>16.438356164383563</v>
          </cell>
        </row>
        <row r="1087">
          <cell r="B1087">
            <v>1083</v>
          </cell>
          <cell r="D1087">
            <v>11</v>
          </cell>
          <cell r="H1087">
            <v>19.409836065573771</v>
          </cell>
          <cell r="L1087">
            <v>16.438356164383563</v>
          </cell>
        </row>
        <row r="1088">
          <cell r="B1088">
            <v>1084</v>
          </cell>
          <cell r="D1088">
            <v>6</v>
          </cell>
          <cell r="H1088">
            <v>19.409836065573771</v>
          </cell>
          <cell r="L1088">
            <v>16.438356164383563</v>
          </cell>
        </row>
        <row r="1089">
          <cell r="B1089">
            <v>1085</v>
          </cell>
          <cell r="D1089">
            <v>13</v>
          </cell>
          <cell r="H1089">
            <v>19.409836065573771</v>
          </cell>
          <cell r="L1089">
            <v>16.438356164383563</v>
          </cell>
        </row>
        <row r="1090">
          <cell r="B1090">
            <v>1086</v>
          </cell>
          <cell r="D1090">
            <v>-1</v>
          </cell>
          <cell r="H1090">
            <v>19.409836065573771</v>
          </cell>
          <cell r="L1090">
            <v>16.438356164383563</v>
          </cell>
        </row>
        <row r="1091">
          <cell r="B1091">
            <v>1087</v>
          </cell>
          <cell r="D1091">
            <v>7</v>
          </cell>
          <cell r="H1091">
            <v>19.409836065573771</v>
          </cell>
          <cell r="L1091">
            <v>16.438356164383563</v>
          </cell>
        </row>
        <row r="1092">
          <cell r="B1092">
            <v>1088</v>
          </cell>
          <cell r="D1092">
            <v>-3</v>
          </cell>
          <cell r="H1092">
            <v>19.409836065573771</v>
          </cell>
          <cell r="L1092">
            <v>16.438356164383563</v>
          </cell>
        </row>
        <row r="1093">
          <cell r="B1093">
            <v>1089</v>
          </cell>
          <cell r="D1093">
            <v>30</v>
          </cell>
          <cell r="H1093">
            <v>19.409836065573771</v>
          </cell>
          <cell r="L1093">
            <v>16.438356164383563</v>
          </cell>
        </row>
        <row r="1094">
          <cell r="B1094">
            <v>1090</v>
          </cell>
          <cell r="D1094">
            <v>-1</v>
          </cell>
          <cell r="H1094">
            <v>19.409836065573771</v>
          </cell>
          <cell r="L1094">
            <v>16.438356164383563</v>
          </cell>
        </row>
        <row r="1095">
          <cell r="B1095">
            <v>1091</v>
          </cell>
          <cell r="D1095">
            <v>7</v>
          </cell>
          <cell r="H1095">
            <v>19.409836065573771</v>
          </cell>
          <cell r="L1095">
            <v>16.438356164383563</v>
          </cell>
        </row>
        <row r="1096">
          <cell r="B1096">
            <v>1092</v>
          </cell>
          <cell r="D1096">
            <v>-1</v>
          </cell>
          <cell r="H1096">
            <v>19.409836065573771</v>
          </cell>
          <cell r="L1096">
            <v>16.438356164383563</v>
          </cell>
        </row>
        <row r="1097">
          <cell r="B1097">
            <v>1093</v>
          </cell>
          <cell r="D1097">
            <v>7</v>
          </cell>
          <cell r="H1097">
            <v>19.409836065573771</v>
          </cell>
          <cell r="L1097">
            <v>16.438356164383563</v>
          </cell>
        </row>
        <row r="1098">
          <cell r="B1098">
            <v>1094</v>
          </cell>
          <cell r="D1098">
            <v>4</v>
          </cell>
          <cell r="H1098">
            <v>19.409836065573771</v>
          </cell>
          <cell r="L1098">
            <v>16.438356164383563</v>
          </cell>
        </row>
        <row r="1099">
          <cell r="B1099">
            <v>1095</v>
          </cell>
          <cell r="D1099">
            <v>10</v>
          </cell>
          <cell r="H1099">
            <v>19.409836065573771</v>
          </cell>
          <cell r="L1099">
            <v>16.438356164383563</v>
          </cell>
        </row>
        <row r="1100">
          <cell r="B1100">
            <v>1096</v>
          </cell>
          <cell r="D1100">
            <v>1</v>
          </cell>
          <cell r="H1100">
            <v>19.409836065573771</v>
          </cell>
          <cell r="L1100">
            <v>16.438356164383563</v>
          </cell>
        </row>
        <row r="1101">
          <cell r="B1101">
            <v>1097</v>
          </cell>
          <cell r="D1101">
            <v>-1</v>
          </cell>
          <cell r="H1101">
            <v>19.409836065573771</v>
          </cell>
          <cell r="L1101">
            <v>16.438356164383563</v>
          </cell>
        </row>
        <row r="1102">
          <cell r="B1102">
            <v>1098</v>
          </cell>
          <cell r="D1102">
            <v>3</v>
          </cell>
          <cell r="H1102">
            <v>19.409836065573771</v>
          </cell>
          <cell r="L1102">
            <v>16.438356164383563</v>
          </cell>
        </row>
        <row r="1103">
          <cell r="B1103">
            <v>1099</v>
          </cell>
          <cell r="D1103">
            <v>4</v>
          </cell>
          <cell r="H1103">
            <v>19.409836065573771</v>
          </cell>
          <cell r="L1103">
            <v>16.438356164383563</v>
          </cell>
        </row>
        <row r="1104">
          <cell r="B1104">
            <v>1100</v>
          </cell>
          <cell r="D1104">
            <v>-4</v>
          </cell>
          <cell r="H1104">
            <v>19.409836065573771</v>
          </cell>
          <cell r="L1104">
            <v>16.438356164383563</v>
          </cell>
        </row>
        <row r="1105">
          <cell r="B1105">
            <v>1101</v>
          </cell>
          <cell r="D1105">
            <v>21</v>
          </cell>
          <cell r="H1105">
            <v>19.409836065573771</v>
          </cell>
          <cell r="L1105">
            <v>16.438356164383563</v>
          </cell>
        </row>
        <row r="1106">
          <cell r="B1106">
            <v>1102</v>
          </cell>
          <cell r="D1106">
            <v>4</v>
          </cell>
          <cell r="H1106">
            <v>19.409836065573771</v>
          </cell>
          <cell r="L1106">
            <v>16.438356164383563</v>
          </cell>
        </row>
        <row r="1107">
          <cell r="B1107">
            <v>1103</v>
          </cell>
          <cell r="D1107">
            <v>1</v>
          </cell>
          <cell r="H1107">
            <v>19.409836065573771</v>
          </cell>
          <cell r="L1107">
            <v>16.438356164383563</v>
          </cell>
        </row>
        <row r="1108">
          <cell r="B1108">
            <v>1104</v>
          </cell>
          <cell r="D1108">
            <v>3</v>
          </cell>
          <cell r="H1108">
            <v>19.409836065573771</v>
          </cell>
          <cell r="L1108">
            <v>16.438356164383563</v>
          </cell>
        </row>
        <row r="1109">
          <cell r="B1109">
            <v>1105</v>
          </cell>
          <cell r="D1109">
            <v>7</v>
          </cell>
          <cell r="H1109">
            <v>19.409836065573771</v>
          </cell>
          <cell r="L1109">
            <v>16.438356164383563</v>
          </cell>
        </row>
        <row r="1110">
          <cell r="B1110">
            <v>1106</v>
          </cell>
          <cell r="D1110">
            <v>-2</v>
          </cell>
          <cell r="H1110">
            <v>19.409836065573771</v>
          </cell>
          <cell r="L1110">
            <v>16.438356164383563</v>
          </cell>
        </row>
        <row r="1111">
          <cell r="B1111">
            <v>1107</v>
          </cell>
          <cell r="D1111">
            <v>1</v>
          </cell>
          <cell r="H1111">
            <v>19.409836065573771</v>
          </cell>
          <cell r="L1111">
            <v>16.438356164383563</v>
          </cell>
        </row>
        <row r="1112">
          <cell r="B1112">
            <v>1108</v>
          </cell>
          <cell r="D1112">
            <v>17</v>
          </cell>
          <cell r="H1112">
            <v>19.409836065573771</v>
          </cell>
          <cell r="L1112">
            <v>16.438356164383563</v>
          </cell>
        </row>
        <row r="1113">
          <cell r="B1113">
            <v>1109</v>
          </cell>
          <cell r="D1113">
            <v>2</v>
          </cell>
          <cell r="H1113">
            <v>19.409836065573771</v>
          </cell>
          <cell r="L1113">
            <v>16.438356164383563</v>
          </cell>
        </row>
        <row r="1114">
          <cell r="B1114">
            <v>1110</v>
          </cell>
          <cell r="D1114">
            <v>-2</v>
          </cell>
          <cell r="H1114">
            <v>19.409836065573771</v>
          </cell>
          <cell r="L1114">
            <v>16.438356164383563</v>
          </cell>
        </row>
        <row r="1115">
          <cell r="B1115">
            <v>1111</v>
          </cell>
          <cell r="D1115">
            <v>12</v>
          </cell>
          <cell r="H1115">
            <v>19.409836065573771</v>
          </cell>
          <cell r="L1115">
            <v>16.438356164383563</v>
          </cell>
        </row>
        <row r="1116">
          <cell r="B1116">
            <v>1112</v>
          </cell>
          <cell r="D1116">
            <v>8</v>
          </cell>
          <cell r="H1116">
            <v>19.409836065573771</v>
          </cell>
          <cell r="L1116">
            <v>16.438356164383563</v>
          </cell>
        </row>
        <row r="1117">
          <cell r="B1117">
            <v>1113</v>
          </cell>
          <cell r="D1117">
            <v>8</v>
          </cell>
          <cell r="H1117">
            <v>19.409836065573771</v>
          </cell>
          <cell r="L1117">
            <v>16.438356164383563</v>
          </cell>
        </row>
        <row r="1118">
          <cell r="B1118">
            <v>1114</v>
          </cell>
          <cell r="D1118">
            <v>2</v>
          </cell>
          <cell r="H1118">
            <v>19.409836065573771</v>
          </cell>
          <cell r="L1118">
            <v>16.438356164383563</v>
          </cell>
        </row>
        <row r="1119">
          <cell r="B1119">
            <v>1115</v>
          </cell>
          <cell r="D1119">
            <v>22</v>
          </cell>
          <cell r="H1119">
            <v>19.409836065573771</v>
          </cell>
          <cell r="L1119">
            <v>16.438356164383563</v>
          </cell>
        </row>
        <row r="1120">
          <cell r="B1120">
            <v>1116</v>
          </cell>
          <cell r="D1120">
            <v>14</v>
          </cell>
          <cell r="H1120">
            <v>19.409836065573771</v>
          </cell>
          <cell r="L1120">
            <v>16.438356164383563</v>
          </cell>
        </row>
        <row r="1121">
          <cell r="B1121">
            <v>1117</v>
          </cell>
          <cell r="D1121">
            <v>26</v>
          </cell>
          <cell r="H1121">
            <v>19.409836065573771</v>
          </cell>
          <cell r="L1121">
            <v>16.438356164383563</v>
          </cell>
        </row>
        <row r="1122">
          <cell r="B1122">
            <v>1118</v>
          </cell>
          <cell r="D1122">
            <v>-1</v>
          </cell>
          <cell r="H1122">
            <v>19.409836065573771</v>
          </cell>
          <cell r="L1122">
            <v>16.438356164383563</v>
          </cell>
        </row>
        <row r="1123">
          <cell r="B1123">
            <v>1119</v>
          </cell>
          <cell r="D1123">
            <v>5</v>
          </cell>
          <cell r="H1123">
            <v>19.409836065573771</v>
          </cell>
          <cell r="L1123">
            <v>16.438356164383563</v>
          </cell>
        </row>
        <row r="1124">
          <cell r="B1124">
            <v>1120</v>
          </cell>
          <cell r="D1124">
            <v>11</v>
          </cell>
          <cell r="H1124">
            <v>19.409836065573771</v>
          </cell>
          <cell r="L1124">
            <v>16.438356164383563</v>
          </cell>
        </row>
        <row r="1125">
          <cell r="B1125">
            <v>1121</v>
          </cell>
          <cell r="D1125">
            <v>21</v>
          </cell>
          <cell r="H1125">
            <v>19.409836065573771</v>
          </cell>
          <cell r="L1125">
            <v>16.438356164383563</v>
          </cell>
        </row>
        <row r="1126">
          <cell r="B1126">
            <v>1122</v>
          </cell>
          <cell r="D1126">
            <v>5</v>
          </cell>
          <cell r="H1126">
            <v>19.409836065573771</v>
          </cell>
          <cell r="L1126">
            <v>16.438356164383563</v>
          </cell>
        </row>
        <row r="1127">
          <cell r="B1127">
            <v>1123</v>
          </cell>
          <cell r="D1127">
            <v>12</v>
          </cell>
          <cell r="H1127">
            <v>19.409836065573771</v>
          </cell>
          <cell r="L1127">
            <v>16.438356164383563</v>
          </cell>
        </row>
        <row r="1128">
          <cell r="B1128">
            <v>1124</v>
          </cell>
          <cell r="D1128">
            <v>9</v>
          </cell>
          <cell r="H1128">
            <v>19.409836065573771</v>
          </cell>
          <cell r="L1128">
            <v>16.438356164383563</v>
          </cell>
        </row>
        <row r="1129">
          <cell r="B1129">
            <v>1125</v>
          </cell>
          <cell r="D1129">
            <v>6</v>
          </cell>
          <cell r="H1129">
            <v>19.409836065573771</v>
          </cell>
          <cell r="L1129">
            <v>16.438356164383563</v>
          </cell>
        </row>
        <row r="1130">
          <cell r="B1130">
            <v>1126</v>
          </cell>
          <cell r="D1130">
            <v>5</v>
          </cell>
          <cell r="H1130">
            <v>19.409836065573771</v>
          </cell>
          <cell r="L1130">
            <v>16.438356164383563</v>
          </cell>
        </row>
        <row r="1131">
          <cell r="B1131">
            <v>1127</v>
          </cell>
          <cell r="D1131">
            <v>14</v>
          </cell>
          <cell r="H1131">
            <v>19.409836065573771</v>
          </cell>
          <cell r="L1131">
            <v>16.438356164383563</v>
          </cell>
        </row>
        <row r="1132">
          <cell r="B1132">
            <v>1128</v>
          </cell>
          <cell r="D1132">
            <v>8</v>
          </cell>
          <cell r="H1132">
            <v>19.409836065573771</v>
          </cell>
          <cell r="L1132">
            <v>16.438356164383563</v>
          </cell>
        </row>
        <row r="1133">
          <cell r="B1133">
            <v>1129</v>
          </cell>
          <cell r="D1133">
            <v>3</v>
          </cell>
          <cell r="H1133">
            <v>19.409836065573771</v>
          </cell>
          <cell r="L1133">
            <v>16.438356164383563</v>
          </cell>
        </row>
        <row r="1134">
          <cell r="B1134">
            <v>1130</v>
          </cell>
          <cell r="D1134">
            <v>4</v>
          </cell>
          <cell r="H1134">
            <v>19.409836065573771</v>
          </cell>
          <cell r="L1134">
            <v>16.438356164383563</v>
          </cell>
        </row>
        <row r="1135">
          <cell r="B1135">
            <v>1131</v>
          </cell>
          <cell r="D1135">
            <v>13</v>
          </cell>
          <cell r="H1135">
            <v>19.409836065573771</v>
          </cell>
          <cell r="L1135">
            <v>16.438356164383563</v>
          </cell>
        </row>
        <row r="1136">
          <cell r="B1136">
            <v>1132</v>
          </cell>
          <cell r="D1136">
            <v>14</v>
          </cell>
          <cell r="H1136">
            <v>19.409836065573771</v>
          </cell>
          <cell r="L1136">
            <v>16.438356164383563</v>
          </cell>
        </row>
        <row r="1137">
          <cell r="B1137">
            <v>1133</v>
          </cell>
          <cell r="D1137">
            <v>19</v>
          </cell>
          <cell r="H1137">
            <v>19.409836065573771</v>
          </cell>
          <cell r="L1137">
            <v>16.438356164383563</v>
          </cell>
        </row>
        <row r="1138">
          <cell r="B1138">
            <v>1134</v>
          </cell>
          <cell r="D1138">
            <v>4</v>
          </cell>
          <cell r="H1138">
            <v>19.409836065573771</v>
          </cell>
          <cell r="L1138">
            <v>16.438356164383563</v>
          </cell>
        </row>
        <row r="1139">
          <cell r="B1139">
            <v>1135</v>
          </cell>
          <cell r="D1139">
            <v>1</v>
          </cell>
          <cell r="H1139">
            <v>19.409836065573771</v>
          </cell>
          <cell r="L1139">
            <v>16.438356164383563</v>
          </cell>
        </row>
        <row r="1140">
          <cell r="B1140">
            <v>1136</v>
          </cell>
          <cell r="D1140">
            <v>9</v>
          </cell>
          <cell r="H1140">
            <v>19.409836065573771</v>
          </cell>
          <cell r="L1140">
            <v>16.438356164383563</v>
          </cell>
        </row>
        <row r="1141">
          <cell r="B1141">
            <v>1137</v>
          </cell>
          <cell r="D1141">
            <v>17</v>
          </cell>
          <cell r="H1141">
            <v>19.409836065573771</v>
          </cell>
          <cell r="L1141">
            <v>16.438356164383563</v>
          </cell>
        </row>
        <row r="1142">
          <cell r="B1142">
            <v>1138</v>
          </cell>
          <cell r="D1142">
            <v>5</v>
          </cell>
          <cell r="H1142">
            <v>19.409836065573771</v>
          </cell>
          <cell r="L1142">
            <v>16.438356164383563</v>
          </cell>
        </row>
        <row r="1143">
          <cell r="B1143">
            <v>1139</v>
          </cell>
          <cell r="D1143">
            <v>6</v>
          </cell>
          <cell r="H1143">
            <v>19.409836065573771</v>
          </cell>
          <cell r="L1143">
            <v>16.438356164383563</v>
          </cell>
        </row>
        <row r="1144">
          <cell r="B1144">
            <v>1140</v>
          </cell>
          <cell r="D1144">
            <v>25</v>
          </cell>
          <cell r="H1144">
            <v>19.409836065573771</v>
          </cell>
          <cell r="L1144">
            <v>16.438356164383563</v>
          </cell>
        </row>
        <row r="1145">
          <cell r="B1145">
            <v>1141</v>
          </cell>
          <cell r="D1145">
            <v>15</v>
          </cell>
          <cell r="H1145">
            <v>19.409836065573771</v>
          </cell>
          <cell r="L1145">
            <v>16.438356164383563</v>
          </cell>
        </row>
        <row r="1146">
          <cell r="B1146">
            <v>1142</v>
          </cell>
          <cell r="D1146">
            <v>49</v>
          </cell>
          <cell r="H1146">
            <v>19.409836065573771</v>
          </cell>
          <cell r="L1146">
            <v>16.438356164383563</v>
          </cell>
        </row>
        <row r="1147">
          <cell r="B1147">
            <v>1143</v>
          </cell>
          <cell r="D1147">
            <v>24</v>
          </cell>
          <cell r="H1147">
            <v>19.409836065573771</v>
          </cell>
          <cell r="L1147">
            <v>16.438356164383563</v>
          </cell>
        </row>
        <row r="1148">
          <cell r="B1148">
            <v>1144</v>
          </cell>
          <cell r="D1148">
            <v>17</v>
          </cell>
          <cell r="H1148">
            <v>19.409836065573771</v>
          </cell>
          <cell r="L1148">
            <v>16.438356164383563</v>
          </cell>
        </row>
        <row r="1149">
          <cell r="B1149">
            <v>1145</v>
          </cell>
          <cell r="D1149">
            <v>22</v>
          </cell>
          <cell r="H1149">
            <v>19.409836065573771</v>
          </cell>
          <cell r="L1149">
            <v>16.438356164383563</v>
          </cell>
        </row>
        <row r="1150">
          <cell r="B1150">
            <v>1146</v>
          </cell>
          <cell r="D1150">
            <v>15</v>
          </cell>
          <cell r="H1150">
            <v>19.409836065573771</v>
          </cell>
          <cell r="L1150">
            <v>16.438356164383563</v>
          </cell>
        </row>
        <row r="1151">
          <cell r="B1151">
            <v>1147</v>
          </cell>
          <cell r="D1151">
            <v>18</v>
          </cell>
          <cell r="H1151">
            <v>19.409836065573771</v>
          </cell>
          <cell r="L1151">
            <v>16.438356164383563</v>
          </cell>
        </row>
        <row r="1152">
          <cell r="B1152">
            <v>1148</v>
          </cell>
          <cell r="D1152">
            <v>18</v>
          </cell>
          <cell r="H1152">
            <v>19.409836065573771</v>
          </cell>
          <cell r="L1152">
            <v>16.438356164383563</v>
          </cell>
        </row>
        <row r="1153">
          <cell r="B1153">
            <v>1149</v>
          </cell>
          <cell r="D1153">
            <v>13</v>
          </cell>
          <cell r="H1153">
            <v>19.409836065573771</v>
          </cell>
          <cell r="L1153">
            <v>16.438356164383563</v>
          </cell>
        </row>
        <row r="1154">
          <cell r="B1154">
            <v>1150</v>
          </cell>
          <cell r="D1154">
            <v>17</v>
          </cell>
          <cell r="H1154">
            <v>19.409836065573771</v>
          </cell>
          <cell r="L1154">
            <v>16.438356164383563</v>
          </cell>
        </row>
        <row r="1155">
          <cell r="B1155">
            <v>1151</v>
          </cell>
          <cell r="D1155">
            <v>12</v>
          </cell>
          <cell r="H1155">
            <v>19.409836065573771</v>
          </cell>
          <cell r="L1155">
            <v>16.438356164383563</v>
          </cell>
        </row>
        <row r="1156">
          <cell r="B1156">
            <v>1152</v>
          </cell>
          <cell r="D1156">
            <v>15</v>
          </cell>
          <cell r="H1156">
            <v>19.409836065573771</v>
          </cell>
          <cell r="L1156">
            <v>16.438356164383563</v>
          </cell>
        </row>
        <row r="1157">
          <cell r="B1157">
            <v>1153</v>
          </cell>
          <cell r="D1157">
            <v>16</v>
          </cell>
          <cell r="H1157">
            <v>19.409836065573771</v>
          </cell>
          <cell r="L1157">
            <v>16.438356164383563</v>
          </cell>
        </row>
        <row r="1158">
          <cell r="B1158">
            <v>1154</v>
          </cell>
          <cell r="D1158">
            <v>22</v>
          </cell>
          <cell r="H1158">
            <v>19.409836065573771</v>
          </cell>
          <cell r="L1158">
            <v>16.438356164383563</v>
          </cell>
        </row>
        <row r="1159">
          <cell r="B1159">
            <v>1155</v>
          </cell>
          <cell r="D1159">
            <v>18</v>
          </cell>
          <cell r="H1159">
            <v>19.409836065573771</v>
          </cell>
          <cell r="L1159">
            <v>16.438356164383563</v>
          </cell>
        </row>
        <row r="1160">
          <cell r="B1160">
            <v>1156</v>
          </cell>
          <cell r="D1160">
            <v>21</v>
          </cell>
          <cell r="H1160">
            <v>19.409836065573771</v>
          </cell>
          <cell r="L1160">
            <v>16.438356164383563</v>
          </cell>
        </row>
        <row r="1161">
          <cell r="B1161">
            <v>1157</v>
          </cell>
          <cell r="D1161">
            <v>20</v>
          </cell>
          <cell r="H1161">
            <v>19.409836065573771</v>
          </cell>
          <cell r="L1161">
            <v>16.438356164383563</v>
          </cell>
        </row>
        <row r="1162">
          <cell r="B1162">
            <v>1158</v>
          </cell>
          <cell r="D1162">
            <v>40</v>
          </cell>
          <cell r="H1162">
            <v>19.409836065573771</v>
          </cell>
          <cell r="L1162">
            <v>16.438356164383563</v>
          </cell>
        </row>
        <row r="1163">
          <cell r="B1163">
            <v>1159</v>
          </cell>
          <cell r="D1163">
            <v>13</v>
          </cell>
          <cell r="H1163">
            <v>19.409836065573771</v>
          </cell>
          <cell r="L1163">
            <v>16.438356164383563</v>
          </cell>
        </row>
        <row r="1164">
          <cell r="B1164">
            <v>1160</v>
          </cell>
          <cell r="D1164">
            <v>4</v>
          </cell>
          <cell r="H1164">
            <v>19.409836065573771</v>
          </cell>
          <cell r="L1164">
            <v>16.438356164383563</v>
          </cell>
        </row>
        <row r="1165">
          <cell r="B1165">
            <v>1161</v>
          </cell>
          <cell r="D1165">
            <v>15</v>
          </cell>
          <cell r="H1165">
            <v>19.409836065573771</v>
          </cell>
          <cell r="L1165">
            <v>16.438356164383563</v>
          </cell>
        </row>
        <row r="1166">
          <cell r="B1166">
            <v>1162</v>
          </cell>
          <cell r="D1166">
            <v>34</v>
          </cell>
          <cell r="H1166">
            <v>19.409836065573771</v>
          </cell>
          <cell r="L1166">
            <v>16.438356164383563</v>
          </cell>
        </row>
        <row r="1167">
          <cell r="B1167">
            <v>1163</v>
          </cell>
          <cell r="D1167">
            <v>14</v>
          </cell>
          <cell r="H1167">
            <v>19.409836065573771</v>
          </cell>
          <cell r="L1167">
            <v>16.438356164383563</v>
          </cell>
        </row>
        <row r="1168">
          <cell r="B1168">
            <v>1164</v>
          </cell>
          <cell r="D1168">
            <v>34</v>
          </cell>
          <cell r="H1168">
            <v>19.409836065573771</v>
          </cell>
          <cell r="L1168">
            <v>16.438356164383563</v>
          </cell>
        </row>
        <row r="1169">
          <cell r="B1169">
            <v>1165</v>
          </cell>
          <cell r="D1169">
            <v>22</v>
          </cell>
          <cell r="H1169">
            <v>19.409836065573771</v>
          </cell>
          <cell r="L1169">
            <v>16.438356164383563</v>
          </cell>
        </row>
        <row r="1170">
          <cell r="B1170">
            <v>1166</v>
          </cell>
          <cell r="D1170">
            <v>40</v>
          </cell>
          <cell r="H1170">
            <v>19.409836065573771</v>
          </cell>
          <cell r="L1170">
            <v>16.438356164383563</v>
          </cell>
        </row>
        <row r="1171">
          <cell r="B1171">
            <v>1167</v>
          </cell>
          <cell r="D1171">
            <v>25</v>
          </cell>
          <cell r="H1171">
            <v>19.409836065573771</v>
          </cell>
          <cell r="L1171">
            <v>16.438356164383563</v>
          </cell>
        </row>
        <row r="1172">
          <cell r="B1172">
            <v>1168</v>
          </cell>
          <cell r="D1172">
            <v>29</v>
          </cell>
          <cell r="H1172">
            <v>19.409836065573771</v>
          </cell>
          <cell r="L1172">
            <v>16.438356164383563</v>
          </cell>
        </row>
        <row r="1173">
          <cell r="B1173">
            <v>1169</v>
          </cell>
          <cell r="D1173">
            <v>42</v>
          </cell>
          <cell r="H1173">
            <v>19.409836065573771</v>
          </cell>
          <cell r="L1173">
            <v>16.438356164383563</v>
          </cell>
        </row>
        <row r="1174">
          <cell r="B1174">
            <v>1170</v>
          </cell>
          <cell r="D1174">
            <v>17</v>
          </cell>
          <cell r="H1174">
            <v>19.409836065573771</v>
          </cell>
          <cell r="L1174">
            <v>16.438356164383563</v>
          </cell>
        </row>
        <row r="1175">
          <cell r="B1175">
            <v>1171</v>
          </cell>
          <cell r="D1175">
            <v>23</v>
          </cell>
          <cell r="H1175">
            <v>19.409836065573771</v>
          </cell>
          <cell r="L1175">
            <v>16.438356164383563</v>
          </cell>
        </row>
        <row r="1176">
          <cell r="B1176">
            <v>1172</v>
          </cell>
          <cell r="D1176">
            <v>41</v>
          </cell>
          <cell r="H1176">
            <v>19.409836065573771</v>
          </cell>
          <cell r="L1176">
            <v>16.438356164383563</v>
          </cell>
        </row>
        <row r="1177">
          <cell r="B1177">
            <v>1173</v>
          </cell>
          <cell r="D1177">
            <v>39</v>
          </cell>
          <cell r="H1177">
            <v>19.409836065573771</v>
          </cell>
          <cell r="L1177">
            <v>16.438356164383563</v>
          </cell>
        </row>
        <row r="1178">
          <cell r="B1178">
            <v>1174</v>
          </cell>
          <cell r="D1178">
            <v>12</v>
          </cell>
          <cell r="H1178">
            <v>19.409836065573771</v>
          </cell>
          <cell r="L1178">
            <v>16.438356164383563</v>
          </cell>
        </row>
        <row r="1179">
          <cell r="B1179">
            <v>1175</v>
          </cell>
          <cell r="D1179">
            <v>14</v>
          </cell>
          <cell r="H1179">
            <v>19.409836065573771</v>
          </cell>
          <cell r="L1179">
            <v>16.438356164383563</v>
          </cell>
        </row>
        <row r="1180">
          <cell r="B1180">
            <v>1176</v>
          </cell>
          <cell r="D1180">
            <v>37</v>
          </cell>
          <cell r="H1180">
            <v>19.409836065573771</v>
          </cell>
          <cell r="L1180">
            <v>16.438356164383563</v>
          </cell>
        </row>
        <row r="1181">
          <cell r="B1181">
            <v>1177</v>
          </cell>
          <cell r="D1181">
            <v>33</v>
          </cell>
          <cell r="H1181">
            <v>19.409836065573771</v>
          </cell>
          <cell r="L1181">
            <v>16.438356164383563</v>
          </cell>
        </row>
        <row r="1182">
          <cell r="B1182">
            <v>1178</v>
          </cell>
          <cell r="D1182">
            <v>43</v>
          </cell>
          <cell r="H1182">
            <v>19.409836065573771</v>
          </cell>
          <cell r="L1182">
            <v>16.438356164383563</v>
          </cell>
        </row>
        <row r="1183">
          <cell r="B1183">
            <v>1179</v>
          </cell>
          <cell r="D1183">
            <v>33</v>
          </cell>
          <cell r="H1183">
            <v>19.409836065573771</v>
          </cell>
          <cell r="L1183">
            <v>16.438356164383563</v>
          </cell>
        </row>
        <row r="1184">
          <cell r="B1184">
            <v>1180</v>
          </cell>
          <cell r="D1184">
            <v>40</v>
          </cell>
          <cell r="H1184">
            <v>19.409836065573771</v>
          </cell>
          <cell r="L1184">
            <v>16.438356164383563</v>
          </cell>
        </row>
        <row r="1185">
          <cell r="B1185">
            <v>1181</v>
          </cell>
          <cell r="D1185">
            <v>32</v>
          </cell>
          <cell r="H1185">
            <v>19.409836065573771</v>
          </cell>
          <cell r="L1185">
            <v>16.438356164383563</v>
          </cell>
        </row>
        <row r="1186">
          <cell r="B1186">
            <v>1182</v>
          </cell>
          <cell r="D1186">
            <v>35</v>
          </cell>
          <cell r="H1186">
            <v>19.409836065573771</v>
          </cell>
          <cell r="L1186">
            <v>16.438356164383563</v>
          </cell>
        </row>
        <row r="1187">
          <cell r="B1187">
            <v>1183</v>
          </cell>
          <cell r="D1187">
            <v>40</v>
          </cell>
          <cell r="H1187">
            <v>19.409836065573771</v>
          </cell>
          <cell r="L1187">
            <v>16.438356164383563</v>
          </cell>
        </row>
        <row r="1188">
          <cell r="B1188">
            <v>1184</v>
          </cell>
          <cell r="D1188">
            <v>30</v>
          </cell>
          <cell r="H1188">
            <v>19.409836065573771</v>
          </cell>
          <cell r="L1188">
            <v>16.438356164383563</v>
          </cell>
        </row>
        <row r="1189">
          <cell r="B1189">
            <v>1185</v>
          </cell>
          <cell r="D1189">
            <v>40</v>
          </cell>
          <cell r="H1189">
            <v>19.409836065573771</v>
          </cell>
          <cell r="L1189">
            <v>16.438356164383563</v>
          </cell>
        </row>
        <row r="1190">
          <cell r="B1190">
            <v>1186</v>
          </cell>
          <cell r="D1190">
            <v>15</v>
          </cell>
          <cell r="H1190">
            <v>19.409836065573771</v>
          </cell>
          <cell r="L1190">
            <v>16.438356164383563</v>
          </cell>
        </row>
        <row r="1191">
          <cell r="B1191">
            <v>1187</v>
          </cell>
          <cell r="D1191">
            <v>26</v>
          </cell>
          <cell r="H1191">
            <v>19.409836065573771</v>
          </cell>
          <cell r="L1191">
            <v>16.438356164383563</v>
          </cell>
        </row>
        <row r="1192">
          <cell r="B1192">
            <v>1188</v>
          </cell>
          <cell r="D1192">
            <v>25</v>
          </cell>
          <cell r="H1192">
            <v>19.409836065573771</v>
          </cell>
          <cell r="L1192">
            <v>16.438356164383563</v>
          </cell>
        </row>
        <row r="1193">
          <cell r="B1193">
            <v>1189</v>
          </cell>
          <cell r="D1193">
            <v>35</v>
          </cell>
          <cell r="H1193">
            <v>19.409836065573771</v>
          </cell>
          <cell r="L1193">
            <v>16.438356164383563</v>
          </cell>
        </row>
        <row r="1194">
          <cell r="B1194">
            <v>1190</v>
          </cell>
          <cell r="D1194">
            <v>41</v>
          </cell>
          <cell r="H1194">
            <v>19.409836065573771</v>
          </cell>
          <cell r="L1194">
            <v>16.438356164383563</v>
          </cell>
        </row>
        <row r="1195">
          <cell r="B1195">
            <v>1191</v>
          </cell>
          <cell r="D1195">
            <v>27</v>
          </cell>
          <cell r="H1195">
            <v>19.409836065573771</v>
          </cell>
          <cell r="L1195">
            <v>16.438356164383563</v>
          </cell>
        </row>
        <row r="1196">
          <cell r="B1196">
            <v>1192</v>
          </cell>
          <cell r="D1196">
            <v>23</v>
          </cell>
          <cell r="H1196">
            <v>19.409836065573771</v>
          </cell>
          <cell r="L1196">
            <v>16.438356164383563</v>
          </cell>
        </row>
        <row r="1197">
          <cell r="B1197">
            <v>1193</v>
          </cell>
          <cell r="D1197">
            <v>42</v>
          </cell>
          <cell r="H1197">
            <v>19.409836065573771</v>
          </cell>
          <cell r="L1197">
            <v>16.438356164383563</v>
          </cell>
        </row>
        <row r="1198">
          <cell r="B1198">
            <v>1194</v>
          </cell>
          <cell r="D1198">
            <v>25</v>
          </cell>
          <cell r="H1198">
            <v>19.409836065573771</v>
          </cell>
          <cell r="L1198">
            <v>16.438356164383563</v>
          </cell>
        </row>
        <row r="1199">
          <cell r="B1199">
            <v>1195</v>
          </cell>
          <cell r="D1199">
            <v>40</v>
          </cell>
          <cell r="H1199">
            <v>19.409836065573771</v>
          </cell>
          <cell r="L1199">
            <v>16.438356164383563</v>
          </cell>
        </row>
        <row r="1200">
          <cell r="B1200">
            <v>1196</v>
          </cell>
          <cell r="D1200">
            <v>38</v>
          </cell>
          <cell r="H1200">
            <v>19.409836065573771</v>
          </cell>
          <cell r="L1200">
            <v>16.438356164383563</v>
          </cell>
        </row>
        <row r="1201">
          <cell r="B1201">
            <v>1197</v>
          </cell>
          <cell r="D1201">
            <v>39</v>
          </cell>
          <cell r="H1201">
            <v>19.409836065573771</v>
          </cell>
          <cell r="L1201">
            <v>16.438356164383563</v>
          </cell>
        </row>
        <row r="1202">
          <cell r="B1202">
            <v>1198</v>
          </cell>
          <cell r="D1202">
            <v>23</v>
          </cell>
          <cell r="H1202">
            <v>19.409836065573771</v>
          </cell>
          <cell r="L1202">
            <v>16.438356164383563</v>
          </cell>
        </row>
        <row r="1203">
          <cell r="B1203">
            <v>1199</v>
          </cell>
          <cell r="D1203">
            <v>47</v>
          </cell>
          <cell r="H1203">
            <v>19.409836065573771</v>
          </cell>
          <cell r="L1203">
            <v>16.438356164383563</v>
          </cell>
        </row>
        <row r="1204">
          <cell r="B1204">
            <v>1200</v>
          </cell>
          <cell r="D1204">
            <v>22</v>
          </cell>
          <cell r="H1204">
            <v>19.409836065573771</v>
          </cell>
          <cell r="L1204">
            <v>16.438356164383563</v>
          </cell>
        </row>
        <row r="1205">
          <cell r="B1205">
            <v>1201</v>
          </cell>
          <cell r="D1205">
            <v>56</v>
          </cell>
          <cell r="H1205">
            <v>19.409836065573771</v>
          </cell>
          <cell r="L1205">
            <v>16.438356164383563</v>
          </cell>
        </row>
        <row r="1206">
          <cell r="B1206">
            <v>1202</v>
          </cell>
          <cell r="D1206">
            <v>35</v>
          </cell>
          <cell r="H1206">
            <v>19.409836065573771</v>
          </cell>
          <cell r="L1206">
            <v>16.438356164383563</v>
          </cell>
        </row>
        <row r="1207">
          <cell r="B1207">
            <v>1203</v>
          </cell>
          <cell r="D1207">
            <v>49</v>
          </cell>
          <cell r="H1207">
            <v>19.409836065573771</v>
          </cell>
          <cell r="L1207">
            <v>16.438356164383563</v>
          </cell>
        </row>
        <row r="1208">
          <cell r="B1208">
            <v>1204</v>
          </cell>
          <cell r="D1208">
            <v>37</v>
          </cell>
          <cell r="H1208">
            <v>19.409836065573771</v>
          </cell>
          <cell r="L1208">
            <v>16.438356164383563</v>
          </cell>
        </row>
        <row r="1209">
          <cell r="B1209">
            <v>1205</v>
          </cell>
          <cell r="D1209">
            <v>35</v>
          </cell>
          <cell r="H1209">
            <v>19.409836065573771</v>
          </cell>
          <cell r="L1209">
            <v>16.438356164383563</v>
          </cell>
        </row>
        <row r="1210">
          <cell r="B1210">
            <v>1206</v>
          </cell>
          <cell r="D1210">
            <v>40</v>
          </cell>
          <cell r="H1210">
            <v>19.409836065573771</v>
          </cell>
          <cell r="L1210">
            <v>16.438356164383563</v>
          </cell>
        </row>
        <row r="1211">
          <cell r="B1211">
            <v>1207</v>
          </cell>
          <cell r="D1211">
            <v>34</v>
          </cell>
          <cell r="H1211">
            <v>19.409836065573771</v>
          </cell>
          <cell r="L1211">
            <v>16.438356164383563</v>
          </cell>
        </row>
        <row r="1212">
          <cell r="B1212">
            <v>1208</v>
          </cell>
          <cell r="D1212">
            <v>63</v>
          </cell>
          <cell r="H1212">
            <v>19.409836065573771</v>
          </cell>
          <cell r="L1212">
            <v>16.438356164383563</v>
          </cell>
        </row>
        <row r="1213">
          <cell r="B1213">
            <v>1209</v>
          </cell>
          <cell r="D1213">
            <v>43</v>
          </cell>
          <cell r="H1213">
            <v>19.409836065573771</v>
          </cell>
          <cell r="L1213">
            <v>16.438356164383563</v>
          </cell>
        </row>
        <row r="1214">
          <cell r="B1214">
            <v>1210</v>
          </cell>
          <cell r="D1214">
            <v>43</v>
          </cell>
          <cell r="H1214">
            <v>19.409836065573771</v>
          </cell>
          <cell r="L1214">
            <v>16.438356164383563</v>
          </cell>
        </row>
        <row r="1215">
          <cell r="B1215">
            <v>1211</v>
          </cell>
          <cell r="D1215">
            <v>53</v>
          </cell>
          <cell r="H1215">
            <v>19.409836065573771</v>
          </cell>
          <cell r="L1215">
            <v>16.438356164383563</v>
          </cell>
        </row>
        <row r="1216">
          <cell r="B1216">
            <v>1212</v>
          </cell>
          <cell r="D1216">
            <v>46</v>
          </cell>
          <cell r="H1216">
            <v>19.409836065573771</v>
          </cell>
          <cell r="L1216">
            <v>16.438356164383563</v>
          </cell>
        </row>
        <row r="1217">
          <cell r="B1217">
            <v>1213</v>
          </cell>
          <cell r="D1217">
            <v>23</v>
          </cell>
          <cell r="H1217">
            <v>19.409836065573771</v>
          </cell>
          <cell r="L1217">
            <v>16.438356164383563</v>
          </cell>
        </row>
        <row r="1218">
          <cell r="B1218">
            <v>1214</v>
          </cell>
          <cell r="D1218">
            <v>35</v>
          </cell>
          <cell r="H1218">
            <v>19.409836065573771</v>
          </cell>
          <cell r="L1218">
            <v>16.438356164383563</v>
          </cell>
        </row>
        <row r="1219">
          <cell r="B1219">
            <v>1215</v>
          </cell>
          <cell r="D1219">
            <v>71</v>
          </cell>
          <cell r="H1219">
            <v>19.409836065573771</v>
          </cell>
          <cell r="L1219">
            <v>16.438356164383563</v>
          </cell>
        </row>
        <row r="1220">
          <cell r="B1220">
            <v>1216</v>
          </cell>
          <cell r="D1220">
            <v>43</v>
          </cell>
          <cell r="H1220">
            <v>19.409836065573771</v>
          </cell>
          <cell r="L1220">
            <v>16.438356164383563</v>
          </cell>
        </row>
        <row r="1221">
          <cell r="B1221">
            <v>1217</v>
          </cell>
          <cell r="D1221">
            <v>41</v>
          </cell>
          <cell r="H1221">
            <v>19.409836065573771</v>
          </cell>
          <cell r="L1221">
            <v>16.438356164383563</v>
          </cell>
        </row>
        <row r="1222">
          <cell r="B1222">
            <v>1218</v>
          </cell>
          <cell r="D1222">
            <v>40</v>
          </cell>
          <cell r="H1222">
            <v>19.409836065573771</v>
          </cell>
          <cell r="L1222">
            <v>16.438356164383563</v>
          </cell>
        </row>
        <row r="1223">
          <cell r="B1223">
            <v>1219</v>
          </cell>
          <cell r="D1223">
            <v>53</v>
          </cell>
          <cell r="H1223">
            <v>19.409836065573771</v>
          </cell>
          <cell r="L1223">
            <v>16.438356164383563</v>
          </cell>
        </row>
        <row r="1224">
          <cell r="B1224">
            <v>1220</v>
          </cell>
          <cell r="D1224">
            <v>40</v>
          </cell>
          <cell r="H1224">
            <v>19.409836065573771</v>
          </cell>
          <cell r="L1224">
            <v>16.438356164383563</v>
          </cell>
        </row>
        <row r="1225">
          <cell r="B1225">
            <v>1221</v>
          </cell>
          <cell r="D1225">
            <v>43</v>
          </cell>
          <cell r="H1225">
            <v>19.409836065573771</v>
          </cell>
          <cell r="L1225">
            <v>16.438356164383563</v>
          </cell>
        </row>
        <row r="1226">
          <cell r="B1226">
            <v>1222</v>
          </cell>
          <cell r="D1226">
            <v>53</v>
          </cell>
          <cell r="H1226">
            <v>19.409836065573771</v>
          </cell>
          <cell r="L1226">
            <v>16.438356164383563</v>
          </cell>
        </row>
        <row r="1227">
          <cell r="B1227">
            <v>1223</v>
          </cell>
          <cell r="D1227">
            <v>69</v>
          </cell>
          <cell r="H1227">
            <v>19.409836065573771</v>
          </cell>
          <cell r="L1227">
            <v>16.438356164383563</v>
          </cell>
        </row>
        <row r="1228">
          <cell r="B1228">
            <v>1224</v>
          </cell>
          <cell r="D1228">
            <v>46</v>
          </cell>
          <cell r="H1228">
            <v>19.409836065573771</v>
          </cell>
          <cell r="L1228">
            <v>16.438356164383563</v>
          </cell>
        </row>
        <row r="1229">
          <cell r="B1229">
            <v>1225</v>
          </cell>
          <cell r="D1229">
            <v>51</v>
          </cell>
          <cell r="H1229">
            <v>19.409836065573771</v>
          </cell>
          <cell r="L1229">
            <v>16.438356164383563</v>
          </cell>
        </row>
        <row r="1230">
          <cell r="B1230">
            <v>1226</v>
          </cell>
          <cell r="D1230">
            <v>57</v>
          </cell>
          <cell r="H1230">
            <v>19.409836065573771</v>
          </cell>
          <cell r="L1230">
            <v>16.438356164383563</v>
          </cell>
        </row>
        <row r="1231">
          <cell r="B1231">
            <v>1227</v>
          </cell>
          <cell r="D1231">
            <v>28</v>
          </cell>
          <cell r="H1231">
            <v>19.409836065573771</v>
          </cell>
          <cell r="L1231">
            <v>16.438356164383563</v>
          </cell>
        </row>
        <row r="1232">
          <cell r="B1232">
            <v>1228</v>
          </cell>
          <cell r="D1232">
            <v>45</v>
          </cell>
          <cell r="H1232">
            <v>19.409836065573771</v>
          </cell>
          <cell r="L1232">
            <v>16.438356164383563</v>
          </cell>
        </row>
        <row r="1233">
          <cell r="B1233">
            <v>1229</v>
          </cell>
          <cell r="D1233">
            <v>79</v>
          </cell>
          <cell r="H1233">
            <v>19.409836065573771</v>
          </cell>
          <cell r="L1233">
            <v>16.438356164383563</v>
          </cell>
        </row>
        <row r="1234">
          <cell r="B1234">
            <v>1230</v>
          </cell>
          <cell r="D1234">
            <v>50</v>
          </cell>
          <cell r="H1234">
            <v>19.409836065573771</v>
          </cell>
          <cell r="L1234">
            <v>16.438356164383563</v>
          </cell>
        </row>
        <row r="1235">
          <cell r="B1235">
            <v>1231</v>
          </cell>
          <cell r="D1235">
            <v>38</v>
          </cell>
          <cell r="H1235">
            <v>19.409836065573771</v>
          </cell>
          <cell r="L1235">
            <v>16.438356164383563</v>
          </cell>
        </row>
        <row r="1236">
          <cell r="B1236">
            <v>1232</v>
          </cell>
          <cell r="D1236">
            <v>21</v>
          </cell>
          <cell r="H1236">
            <v>19.409836065573771</v>
          </cell>
          <cell r="L1236">
            <v>16.438356164383563</v>
          </cell>
        </row>
        <row r="1237">
          <cell r="B1237">
            <v>1233</v>
          </cell>
          <cell r="D1237">
            <v>59</v>
          </cell>
          <cell r="H1237">
            <v>19.409836065573771</v>
          </cell>
          <cell r="L1237">
            <v>16.438356164383563</v>
          </cell>
        </row>
        <row r="1238">
          <cell r="B1238">
            <v>1234</v>
          </cell>
          <cell r="D1238">
            <v>73</v>
          </cell>
          <cell r="H1238">
            <v>19.409836065573771</v>
          </cell>
          <cell r="L1238">
            <v>16.438356164383563</v>
          </cell>
        </row>
        <row r="1239">
          <cell r="B1239">
            <v>1235</v>
          </cell>
          <cell r="D1239">
            <v>38</v>
          </cell>
          <cell r="H1239">
            <v>19.409836065573771</v>
          </cell>
          <cell r="L1239">
            <v>16.438356164383563</v>
          </cell>
        </row>
        <row r="1240">
          <cell r="B1240">
            <v>1236</v>
          </cell>
          <cell r="D1240">
            <v>53</v>
          </cell>
          <cell r="H1240">
            <v>19.409836065573771</v>
          </cell>
          <cell r="L1240">
            <v>16.438356164383563</v>
          </cell>
        </row>
        <row r="1241">
          <cell r="B1241">
            <v>1237</v>
          </cell>
          <cell r="D1241">
            <v>49</v>
          </cell>
          <cell r="H1241">
            <v>19.409836065573771</v>
          </cell>
          <cell r="L1241">
            <v>16.438356164383563</v>
          </cell>
        </row>
        <row r="1242">
          <cell r="B1242">
            <v>1238</v>
          </cell>
          <cell r="D1242">
            <v>56</v>
          </cell>
          <cell r="H1242">
            <v>19.409836065573771</v>
          </cell>
          <cell r="L1242">
            <v>16.438356164383563</v>
          </cell>
        </row>
        <row r="1243">
          <cell r="B1243">
            <v>1239</v>
          </cell>
          <cell r="D1243">
            <v>65</v>
          </cell>
          <cell r="H1243">
            <v>19.409836065573771</v>
          </cell>
          <cell r="L1243">
            <v>16.438356164383563</v>
          </cell>
        </row>
        <row r="1244">
          <cell r="B1244">
            <v>1240</v>
          </cell>
          <cell r="D1244">
            <v>27</v>
          </cell>
          <cell r="H1244">
            <v>19.409836065573771</v>
          </cell>
          <cell r="L1244">
            <v>16.438356164383563</v>
          </cell>
        </row>
        <row r="1245">
          <cell r="B1245">
            <v>1241</v>
          </cell>
          <cell r="D1245">
            <v>85</v>
          </cell>
          <cell r="H1245">
            <v>19.409836065573771</v>
          </cell>
          <cell r="L1245">
            <v>16.438356164383563</v>
          </cell>
        </row>
        <row r="1246">
          <cell r="B1246">
            <v>1242</v>
          </cell>
          <cell r="D1246">
            <v>29</v>
          </cell>
          <cell r="H1246">
            <v>19.409836065573771</v>
          </cell>
          <cell r="L1246">
            <v>16.438356164383563</v>
          </cell>
        </row>
        <row r="1247">
          <cell r="B1247">
            <v>1243</v>
          </cell>
          <cell r="D1247">
            <v>33</v>
          </cell>
          <cell r="H1247">
            <v>19.409836065573771</v>
          </cell>
          <cell r="L1247">
            <v>16.438356164383563</v>
          </cell>
        </row>
        <row r="1248">
          <cell r="B1248">
            <v>1244</v>
          </cell>
          <cell r="D1248">
            <v>57</v>
          </cell>
          <cell r="H1248">
            <v>19.409836065573771</v>
          </cell>
          <cell r="L1248">
            <v>16.438356164383563</v>
          </cell>
        </row>
        <row r="1249">
          <cell r="B1249">
            <v>1245</v>
          </cell>
          <cell r="D1249">
            <v>69</v>
          </cell>
          <cell r="H1249">
            <v>19.409836065573771</v>
          </cell>
          <cell r="L1249">
            <v>16.438356164383563</v>
          </cell>
        </row>
        <row r="1250">
          <cell r="B1250">
            <v>1246</v>
          </cell>
          <cell r="D1250">
            <v>44</v>
          </cell>
          <cell r="H1250">
            <v>19.409836065573771</v>
          </cell>
          <cell r="L1250">
            <v>16.438356164383563</v>
          </cell>
        </row>
        <row r="1251">
          <cell r="B1251">
            <v>1247</v>
          </cell>
          <cell r="D1251">
            <v>87</v>
          </cell>
          <cell r="H1251">
            <v>19.409836065573771</v>
          </cell>
          <cell r="L1251">
            <v>16.438356164383563</v>
          </cell>
        </row>
        <row r="1252">
          <cell r="B1252">
            <v>1248</v>
          </cell>
          <cell r="D1252">
            <v>101</v>
          </cell>
          <cell r="H1252">
            <v>19.409836065573771</v>
          </cell>
          <cell r="L1252">
            <v>16.438356164383563</v>
          </cell>
        </row>
        <row r="1253">
          <cell r="B1253">
            <v>1249</v>
          </cell>
          <cell r="D1253">
            <v>55</v>
          </cell>
          <cell r="H1253">
            <v>19.409836065573771</v>
          </cell>
          <cell r="L1253">
            <v>16.438356164383563</v>
          </cell>
        </row>
        <row r="1254">
          <cell r="B1254">
            <v>1250</v>
          </cell>
          <cell r="D1254">
            <v>39</v>
          </cell>
          <cell r="H1254">
            <v>19.409836065573771</v>
          </cell>
          <cell r="L1254">
            <v>16.438356164383563</v>
          </cell>
        </row>
        <row r="1255">
          <cell r="B1255">
            <v>1251</v>
          </cell>
          <cell r="D1255">
            <v>56</v>
          </cell>
          <cell r="H1255">
            <v>19.409836065573771</v>
          </cell>
          <cell r="L1255">
            <v>16.438356164383563</v>
          </cell>
        </row>
        <row r="1256">
          <cell r="B1256">
            <v>1252</v>
          </cell>
          <cell r="D1256">
            <v>35</v>
          </cell>
          <cell r="H1256">
            <v>19.409836065573771</v>
          </cell>
          <cell r="L1256">
            <v>16.438356164383563</v>
          </cell>
        </row>
        <row r="1257">
          <cell r="B1257">
            <v>1253</v>
          </cell>
          <cell r="D1257">
            <v>68</v>
          </cell>
          <cell r="H1257">
            <v>19.409836065573771</v>
          </cell>
          <cell r="L1257">
            <v>16.438356164383563</v>
          </cell>
        </row>
        <row r="1258">
          <cell r="B1258">
            <v>1254</v>
          </cell>
          <cell r="D1258">
            <v>61</v>
          </cell>
          <cell r="H1258">
            <v>19.409836065573771</v>
          </cell>
          <cell r="L1258">
            <v>16.438356164383563</v>
          </cell>
        </row>
        <row r="1259">
          <cell r="B1259">
            <v>1255</v>
          </cell>
          <cell r="D1259">
            <v>74</v>
          </cell>
          <cell r="H1259">
            <v>19.409836065573771</v>
          </cell>
          <cell r="L1259">
            <v>16.438356164383563</v>
          </cell>
        </row>
        <row r="1260">
          <cell r="B1260">
            <v>1256</v>
          </cell>
          <cell r="D1260">
            <v>52</v>
          </cell>
          <cell r="H1260">
            <v>19.409836065573771</v>
          </cell>
          <cell r="L1260">
            <v>16.438356164383563</v>
          </cell>
        </row>
        <row r="1261">
          <cell r="B1261">
            <v>1257</v>
          </cell>
          <cell r="D1261">
            <v>47</v>
          </cell>
          <cell r="H1261">
            <v>19.409836065573771</v>
          </cell>
          <cell r="L1261">
            <v>16.438356164383563</v>
          </cell>
        </row>
        <row r="1262">
          <cell r="B1262">
            <v>1258</v>
          </cell>
          <cell r="D1262">
            <v>57</v>
          </cell>
          <cell r="H1262">
            <v>19.409836065573771</v>
          </cell>
          <cell r="L1262">
            <v>16.438356164383563</v>
          </cell>
        </row>
        <row r="1263">
          <cell r="B1263">
            <v>1259</v>
          </cell>
          <cell r="D1263">
            <v>62</v>
          </cell>
          <cell r="H1263">
            <v>19.409836065573771</v>
          </cell>
          <cell r="L1263">
            <v>16.438356164383563</v>
          </cell>
        </row>
        <row r="1264">
          <cell r="B1264">
            <v>1260</v>
          </cell>
          <cell r="D1264">
            <v>61</v>
          </cell>
          <cell r="H1264">
            <v>19.409836065573771</v>
          </cell>
          <cell r="L1264">
            <v>16.438356164383563</v>
          </cell>
        </row>
        <row r="1265">
          <cell r="B1265">
            <v>1261</v>
          </cell>
          <cell r="D1265">
            <v>59</v>
          </cell>
          <cell r="H1265">
            <v>19.409836065573771</v>
          </cell>
          <cell r="L1265">
            <v>16.438356164383563</v>
          </cell>
        </row>
        <row r="1266">
          <cell r="B1266">
            <v>1262</v>
          </cell>
          <cell r="D1266">
            <v>85</v>
          </cell>
          <cell r="H1266">
            <v>19.409836065573771</v>
          </cell>
          <cell r="L1266">
            <v>16.438356164383563</v>
          </cell>
        </row>
        <row r="1267">
          <cell r="B1267">
            <v>1263</v>
          </cell>
          <cell r="D1267">
            <v>79</v>
          </cell>
          <cell r="H1267">
            <v>19.409836065573771</v>
          </cell>
          <cell r="L1267">
            <v>16.438356164383563</v>
          </cell>
        </row>
        <row r="1268">
          <cell r="B1268">
            <v>1264</v>
          </cell>
          <cell r="D1268">
            <v>42</v>
          </cell>
          <cell r="H1268">
            <v>19.409836065573771</v>
          </cell>
          <cell r="L1268">
            <v>16.438356164383563</v>
          </cell>
        </row>
        <row r="1269">
          <cell r="B1269">
            <v>1265</v>
          </cell>
          <cell r="D1269">
            <v>68</v>
          </cell>
          <cell r="H1269">
            <v>19.409836065573771</v>
          </cell>
          <cell r="L1269">
            <v>16.438356164383563</v>
          </cell>
        </row>
        <row r="1270">
          <cell r="B1270">
            <v>1266</v>
          </cell>
          <cell r="D1270">
            <v>77</v>
          </cell>
          <cell r="H1270">
            <v>19.409836065573771</v>
          </cell>
          <cell r="L1270">
            <v>16.438356164383563</v>
          </cell>
        </row>
        <row r="1271">
          <cell r="B1271">
            <v>1267</v>
          </cell>
          <cell r="D1271">
            <v>80</v>
          </cell>
          <cell r="H1271">
            <v>19.409836065573771</v>
          </cell>
          <cell r="L1271">
            <v>16.438356164383563</v>
          </cell>
        </row>
        <row r="1272">
          <cell r="B1272">
            <v>1268</v>
          </cell>
          <cell r="D1272">
            <v>65</v>
          </cell>
          <cell r="H1272">
            <v>19.409836065573771</v>
          </cell>
          <cell r="L1272">
            <v>16.438356164383563</v>
          </cell>
        </row>
        <row r="1273">
          <cell r="B1273">
            <v>1269</v>
          </cell>
          <cell r="D1273">
            <v>81</v>
          </cell>
          <cell r="H1273">
            <v>19.409836065573771</v>
          </cell>
          <cell r="L1273">
            <v>16.438356164383563</v>
          </cell>
        </row>
        <row r="1274">
          <cell r="B1274">
            <v>1270</v>
          </cell>
          <cell r="D1274">
            <v>61</v>
          </cell>
          <cell r="H1274">
            <v>19.409836065573771</v>
          </cell>
          <cell r="L1274">
            <v>16.438356164383563</v>
          </cell>
        </row>
        <row r="1275">
          <cell r="B1275">
            <v>1271</v>
          </cell>
          <cell r="D1275">
            <v>63</v>
          </cell>
          <cell r="H1275">
            <v>19.409836065573771</v>
          </cell>
          <cell r="L1275">
            <v>16.438356164383563</v>
          </cell>
        </row>
        <row r="1276">
          <cell r="B1276">
            <v>1272</v>
          </cell>
          <cell r="D1276">
            <v>100</v>
          </cell>
          <cell r="H1276">
            <v>19.409836065573771</v>
          </cell>
          <cell r="L1276">
            <v>16.438356164383563</v>
          </cell>
        </row>
        <row r="1277">
          <cell r="B1277">
            <v>1273</v>
          </cell>
          <cell r="D1277">
            <v>45</v>
          </cell>
          <cell r="H1277">
            <v>19.409836065573771</v>
          </cell>
          <cell r="L1277">
            <v>16.438356164383563</v>
          </cell>
        </row>
        <row r="1278">
          <cell r="B1278">
            <v>1274</v>
          </cell>
          <cell r="D1278">
            <v>72</v>
          </cell>
          <cell r="H1278">
            <v>19.409836065573771</v>
          </cell>
          <cell r="L1278">
            <v>16.438356164383563</v>
          </cell>
        </row>
        <row r="1279">
          <cell r="B1279">
            <v>1275</v>
          </cell>
          <cell r="D1279">
            <v>58</v>
          </cell>
          <cell r="H1279">
            <v>19.409836065573771</v>
          </cell>
          <cell r="L1279">
            <v>16.438356164383563</v>
          </cell>
        </row>
        <row r="1280">
          <cell r="B1280">
            <v>1276</v>
          </cell>
          <cell r="D1280">
            <v>41</v>
          </cell>
          <cell r="H1280">
            <v>19.409836065573771</v>
          </cell>
          <cell r="L1280">
            <v>16.438356164383563</v>
          </cell>
        </row>
        <row r="1281">
          <cell r="B1281">
            <v>1277</v>
          </cell>
          <cell r="D1281">
            <v>53</v>
          </cell>
          <cell r="H1281">
            <v>19.409836065573771</v>
          </cell>
          <cell r="L1281">
            <v>16.438356164383563</v>
          </cell>
        </row>
        <row r="1282">
          <cell r="B1282">
            <v>1278</v>
          </cell>
          <cell r="D1282">
            <v>63</v>
          </cell>
          <cell r="H1282">
            <v>19.409836065573771</v>
          </cell>
          <cell r="L1282">
            <v>16.438356164383563</v>
          </cell>
        </row>
        <row r="1283">
          <cell r="B1283">
            <v>1279</v>
          </cell>
          <cell r="D1283">
            <v>77</v>
          </cell>
          <cell r="H1283">
            <v>19.409836065573771</v>
          </cell>
          <cell r="L1283">
            <v>16.438356164383563</v>
          </cell>
        </row>
        <row r="1284">
          <cell r="B1284">
            <v>1280</v>
          </cell>
          <cell r="D1284">
            <v>69</v>
          </cell>
          <cell r="H1284">
            <v>19.409836065573771</v>
          </cell>
          <cell r="L1284">
            <v>16.438356164383563</v>
          </cell>
        </row>
        <row r="1285">
          <cell r="B1285">
            <v>1281</v>
          </cell>
          <cell r="D1285">
            <v>80</v>
          </cell>
          <cell r="H1285">
            <v>19.409836065573771</v>
          </cell>
          <cell r="L1285">
            <v>16.438356164383563</v>
          </cell>
        </row>
        <row r="1286">
          <cell r="B1286">
            <v>1282</v>
          </cell>
          <cell r="D1286">
            <v>66</v>
          </cell>
          <cell r="H1286">
            <v>19.409836065573771</v>
          </cell>
          <cell r="L1286">
            <v>16.438356164383563</v>
          </cell>
        </row>
        <row r="1287">
          <cell r="B1287">
            <v>1283</v>
          </cell>
          <cell r="D1287">
            <v>66</v>
          </cell>
          <cell r="H1287">
            <v>19.409836065573771</v>
          </cell>
          <cell r="L1287">
            <v>16.438356164383563</v>
          </cell>
        </row>
        <row r="1288">
          <cell r="B1288">
            <v>1284</v>
          </cell>
          <cell r="D1288">
            <v>92</v>
          </cell>
          <cell r="H1288">
            <v>19.409836065573771</v>
          </cell>
          <cell r="L1288">
            <v>16.438356164383563</v>
          </cell>
        </row>
        <row r="1289">
          <cell r="B1289">
            <v>1285</v>
          </cell>
          <cell r="D1289">
            <v>87</v>
          </cell>
          <cell r="H1289">
            <v>19.409836065573771</v>
          </cell>
          <cell r="L1289">
            <v>16.438356164383563</v>
          </cell>
        </row>
        <row r="1290">
          <cell r="B1290">
            <v>1286</v>
          </cell>
          <cell r="D1290">
            <v>48</v>
          </cell>
          <cell r="H1290">
            <v>19.409836065573771</v>
          </cell>
          <cell r="L1290">
            <v>16.438356164383563</v>
          </cell>
        </row>
        <row r="1291">
          <cell r="B1291">
            <v>1287</v>
          </cell>
          <cell r="D1291">
            <v>56</v>
          </cell>
          <cell r="H1291">
            <v>19.409836065573771</v>
          </cell>
          <cell r="L1291">
            <v>16.438356164383563</v>
          </cell>
        </row>
        <row r="1292">
          <cell r="B1292">
            <v>1288</v>
          </cell>
          <cell r="D1292">
            <v>81</v>
          </cell>
          <cell r="H1292">
            <v>19.409836065573771</v>
          </cell>
          <cell r="L1292">
            <v>16.438356164383563</v>
          </cell>
        </row>
        <row r="1293">
          <cell r="B1293">
            <v>1289</v>
          </cell>
          <cell r="D1293">
            <v>81</v>
          </cell>
          <cell r="H1293">
            <v>19.409836065573771</v>
          </cell>
          <cell r="L1293">
            <v>16.438356164383563</v>
          </cell>
        </row>
        <row r="1294">
          <cell r="B1294">
            <v>1290</v>
          </cell>
          <cell r="D1294">
            <v>50</v>
          </cell>
          <cell r="H1294">
            <v>19.409836065573771</v>
          </cell>
          <cell r="L1294">
            <v>16.438356164383563</v>
          </cell>
        </row>
        <row r="1295">
          <cell r="B1295">
            <v>1291</v>
          </cell>
          <cell r="D1295">
            <v>63</v>
          </cell>
          <cell r="H1295">
            <v>19.409836065573771</v>
          </cell>
          <cell r="L1295">
            <v>16.438356164383563</v>
          </cell>
        </row>
        <row r="1296">
          <cell r="B1296">
            <v>1292</v>
          </cell>
          <cell r="D1296">
            <v>62</v>
          </cell>
          <cell r="H1296">
            <v>19.409836065573771</v>
          </cell>
          <cell r="L1296">
            <v>16.438356164383563</v>
          </cell>
        </row>
        <row r="1297">
          <cell r="B1297">
            <v>1293</v>
          </cell>
          <cell r="D1297">
            <v>70</v>
          </cell>
          <cell r="H1297">
            <v>19.409836065573771</v>
          </cell>
          <cell r="L1297">
            <v>16.438356164383563</v>
          </cell>
        </row>
        <row r="1298">
          <cell r="B1298">
            <v>1294</v>
          </cell>
          <cell r="D1298">
            <v>55</v>
          </cell>
          <cell r="H1298">
            <v>19.409836065573771</v>
          </cell>
          <cell r="L1298">
            <v>16.438356164383563</v>
          </cell>
        </row>
        <row r="1299">
          <cell r="B1299">
            <v>1295</v>
          </cell>
          <cell r="D1299">
            <v>40</v>
          </cell>
          <cell r="H1299">
            <v>19.409836065573771</v>
          </cell>
          <cell r="L1299">
            <v>16.438356164383563</v>
          </cell>
        </row>
        <row r="1300">
          <cell r="B1300">
            <v>1296</v>
          </cell>
          <cell r="D1300">
            <v>67</v>
          </cell>
          <cell r="H1300">
            <v>19.409836065573771</v>
          </cell>
          <cell r="L1300">
            <v>16.438356164383563</v>
          </cell>
        </row>
        <row r="1301">
          <cell r="B1301">
            <v>1297</v>
          </cell>
          <cell r="D1301">
            <v>56</v>
          </cell>
          <cell r="H1301">
            <v>19.409836065573771</v>
          </cell>
          <cell r="L1301">
            <v>16.438356164383563</v>
          </cell>
        </row>
        <row r="1302">
          <cell r="B1302">
            <v>1298</v>
          </cell>
          <cell r="D1302">
            <v>57</v>
          </cell>
          <cell r="H1302">
            <v>19.409836065573771</v>
          </cell>
          <cell r="L1302">
            <v>16.438356164383563</v>
          </cell>
        </row>
        <row r="1303">
          <cell r="B1303">
            <v>1299</v>
          </cell>
          <cell r="D1303">
            <v>61</v>
          </cell>
          <cell r="H1303">
            <v>19.409836065573771</v>
          </cell>
          <cell r="L1303">
            <v>16.438356164383563</v>
          </cell>
        </row>
        <row r="1304">
          <cell r="B1304">
            <v>1300</v>
          </cell>
          <cell r="D1304">
            <v>75</v>
          </cell>
          <cell r="H1304">
            <v>19.409836065573771</v>
          </cell>
          <cell r="L1304">
            <v>16.438356164383563</v>
          </cell>
        </row>
        <row r="1305">
          <cell r="B1305">
            <v>1301</v>
          </cell>
          <cell r="D1305">
            <v>61</v>
          </cell>
          <cell r="H1305">
            <v>19.409836065573771</v>
          </cell>
          <cell r="L1305">
            <v>16.438356164383563</v>
          </cell>
        </row>
        <row r="1306">
          <cell r="B1306">
            <v>1302</v>
          </cell>
          <cell r="D1306">
            <v>61</v>
          </cell>
          <cell r="H1306">
            <v>19.409836065573771</v>
          </cell>
          <cell r="L1306">
            <v>16.438356164383563</v>
          </cell>
        </row>
        <row r="1307">
          <cell r="B1307">
            <v>1303</v>
          </cell>
          <cell r="D1307">
            <v>74</v>
          </cell>
          <cell r="H1307">
            <v>19.409836065573771</v>
          </cell>
          <cell r="L1307">
            <v>16.438356164383563</v>
          </cell>
        </row>
        <row r="1308">
          <cell r="B1308">
            <v>1304</v>
          </cell>
          <cell r="D1308">
            <v>55</v>
          </cell>
          <cell r="H1308">
            <v>19.409836065573771</v>
          </cell>
          <cell r="L1308">
            <v>16.438356164383563</v>
          </cell>
        </row>
        <row r="1309">
          <cell r="B1309">
            <v>1305</v>
          </cell>
          <cell r="D1309">
            <v>66</v>
          </cell>
          <cell r="H1309">
            <v>19.409836065573771</v>
          </cell>
          <cell r="L1309">
            <v>16.438356164383563</v>
          </cell>
        </row>
        <row r="1310">
          <cell r="B1310">
            <v>1306</v>
          </cell>
          <cell r="D1310">
            <v>74</v>
          </cell>
          <cell r="H1310">
            <v>19.409836065573771</v>
          </cell>
          <cell r="L1310">
            <v>16.438356164383563</v>
          </cell>
        </row>
        <row r="1311">
          <cell r="B1311">
            <v>1307</v>
          </cell>
          <cell r="D1311">
            <v>95</v>
          </cell>
          <cell r="H1311">
            <v>19.409836065573771</v>
          </cell>
          <cell r="L1311">
            <v>16.438356164383563</v>
          </cell>
        </row>
        <row r="1312">
          <cell r="B1312">
            <v>1308</v>
          </cell>
          <cell r="D1312">
            <v>44</v>
          </cell>
          <cell r="H1312">
            <v>19.409836065573771</v>
          </cell>
          <cell r="L1312">
            <v>16.438356164383563</v>
          </cell>
        </row>
        <row r="1313">
          <cell r="B1313">
            <v>1309</v>
          </cell>
          <cell r="D1313">
            <v>88</v>
          </cell>
          <cell r="H1313">
            <v>19.409836065573771</v>
          </cell>
          <cell r="L1313">
            <v>16.438356164383563</v>
          </cell>
        </row>
        <row r="1314">
          <cell r="B1314">
            <v>1310</v>
          </cell>
          <cell r="D1314">
            <v>57</v>
          </cell>
          <cell r="H1314">
            <v>19.409836065573771</v>
          </cell>
          <cell r="L1314">
            <v>16.438356164383563</v>
          </cell>
        </row>
        <row r="1315">
          <cell r="B1315">
            <v>1311</v>
          </cell>
          <cell r="D1315">
            <v>56</v>
          </cell>
          <cell r="H1315">
            <v>19.409836065573771</v>
          </cell>
          <cell r="L1315">
            <v>16.438356164383563</v>
          </cell>
        </row>
        <row r="1316">
          <cell r="B1316">
            <v>1312</v>
          </cell>
          <cell r="D1316">
            <v>74</v>
          </cell>
          <cell r="H1316">
            <v>19.409836065573771</v>
          </cell>
          <cell r="L1316">
            <v>16.438356164383563</v>
          </cell>
        </row>
        <row r="1317">
          <cell r="B1317">
            <v>1313</v>
          </cell>
          <cell r="D1317">
            <v>69</v>
          </cell>
          <cell r="H1317">
            <v>19.409836065573771</v>
          </cell>
          <cell r="L1317">
            <v>16.438356164383563</v>
          </cell>
        </row>
        <row r="1318">
          <cell r="B1318">
            <v>1314</v>
          </cell>
          <cell r="D1318">
            <v>53</v>
          </cell>
          <cell r="H1318">
            <v>19.409836065573771</v>
          </cell>
          <cell r="L1318">
            <v>16.438356164383563</v>
          </cell>
        </row>
        <row r="1319">
          <cell r="B1319">
            <v>1315</v>
          </cell>
          <cell r="D1319">
            <v>54</v>
          </cell>
          <cell r="H1319">
            <v>19.409836065573771</v>
          </cell>
          <cell r="L1319">
            <v>16.438356164383563</v>
          </cell>
        </row>
        <row r="1320">
          <cell r="B1320">
            <v>1316</v>
          </cell>
          <cell r="D1320">
            <v>56</v>
          </cell>
          <cell r="H1320">
            <v>19.409836065573771</v>
          </cell>
          <cell r="L1320">
            <v>16.438356164383563</v>
          </cell>
        </row>
        <row r="1321">
          <cell r="B1321">
            <v>1317</v>
          </cell>
          <cell r="D1321">
            <v>71</v>
          </cell>
          <cell r="H1321">
            <v>19.409836065573771</v>
          </cell>
          <cell r="L1321">
            <v>16.438356164383563</v>
          </cell>
        </row>
        <row r="1322">
          <cell r="B1322">
            <v>1318</v>
          </cell>
          <cell r="D1322">
            <v>49</v>
          </cell>
          <cell r="H1322">
            <v>19.409836065573771</v>
          </cell>
          <cell r="L1322">
            <v>16.438356164383563</v>
          </cell>
        </row>
        <row r="1323">
          <cell r="B1323">
            <v>1319</v>
          </cell>
          <cell r="D1323">
            <v>39</v>
          </cell>
          <cell r="H1323">
            <v>19.409836065573771</v>
          </cell>
          <cell r="L1323">
            <v>16.438356164383563</v>
          </cell>
        </row>
        <row r="1324">
          <cell r="B1324">
            <v>1320</v>
          </cell>
          <cell r="D1324">
            <v>64</v>
          </cell>
          <cell r="H1324">
            <v>19.409836065573771</v>
          </cell>
          <cell r="L1324">
            <v>16.438356164383563</v>
          </cell>
        </row>
        <row r="1325">
          <cell r="B1325">
            <v>1321</v>
          </cell>
          <cell r="D1325">
            <v>66</v>
          </cell>
          <cell r="H1325">
            <v>19.409836065573771</v>
          </cell>
          <cell r="L1325">
            <v>16.438356164383563</v>
          </cell>
        </row>
        <row r="1326">
          <cell r="B1326">
            <v>1322</v>
          </cell>
          <cell r="D1326">
            <v>45</v>
          </cell>
          <cell r="H1326">
            <v>19.409836065573771</v>
          </cell>
          <cell r="L1326">
            <v>16.438356164383563</v>
          </cell>
        </row>
        <row r="1327">
          <cell r="B1327">
            <v>1323</v>
          </cell>
          <cell r="D1327">
            <v>75</v>
          </cell>
          <cell r="H1327">
            <v>19.409836065573771</v>
          </cell>
          <cell r="L1327">
            <v>16.438356164383563</v>
          </cell>
        </row>
        <row r="1328">
          <cell r="B1328">
            <v>1324</v>
          </cell>
          <cell r="D1328">
            <v>49</v>
          </cell>
          <cell r="H1328">
            <v>19.409836065573771</v>
          </cell>
          <cell r="L1328">
            <v>16.438356164383563</v>
          </cell>
        </row>
        <row r="1329">
          <cell r="B1329">
            <v>1325</v>
          </cell>
          <cell r="D1329">
            <v>59</v>
          </cell>
          <cell r="H1329">
            <v>19.409836065573771</v>
          </cell>
          <cell r="L1329">
            <v>16.438356164383563</v>
          </cell>
        </row>
        <row r="1330">
          <cell r="B1330">
            <v>1326</v>
          </cell>
          <cell r="D1330">
            <v>84</v>
          </cell>
          <cell r="H1330">
            <v>19.409836065573771</v>
          </cell>
          <cell r="L1330">
            <v>16.438356164383563</v>
          </cell>
        </row>
        <row r="1331">
          <cell r="B1331">
            <v>1327</v>
          </cell>
          <cell r="D1331">
            <v>49</v>
          </cell>
          <cell r="H1331">
            <v>19.409836065573771</v>
          </cell>
          <cell r="L1331">
            <v>16.438356164383563</v>
          </cell>
        </row>
        <row r="1332">
          <cell r="B1332">
            <v>1328</v>
          </cell>
          <cell r="D1332">
            <v>65</v>
          </cell>
          <cell r="H1332">
            <v>19.409836065573771</v>
          </cell>
          <cell r="L1332">
            <v>16.438356164383563</v>
          </cell>
        </row>
        <row r="1333">
          <cell r="B1333">
            <v>1329</v>
          </cell>
          <cell r="D1333">
            <v>45</v>
          </cell>
          <cell r="H1333">
            <v>19.409836065573771</v>
          </cell>
          <cell r="L1333">
            <v>16.438356164383563</v>
          </cell>
        </row>
        <row r="1334">
          <cell r="B1334">
            <v>1330</v>
          </cell>
          <cell r="D1334">
            <v>33</v>
          </cell>
          <cell r="H1334">
            <v>19.409836065573771</v>
          </cell>
          <cell r="L1334">
            <v>16.438356164383563</v>
          </cell>
        </row>
        <row r="1335">
          <cell r="B1335">
            <v>1331</v>
          </cell>
          <cell r="D1335">
            <v>50</v>
          </cell>
          <cell r="H1335">
            <v>19.409836065573771</v>
          </cell>
          <cell r="L1335">
            <v>16.438356164383563</v>
          </cell>
        </row>
        <row r="1336">
          <cell r="B1336">
            <v>1332</v>
          </cell>
          <cell r="D1336">
            <v>64</v>
          </cell>
          <cell r="H1336">
            <v>19.409836065573771</v>
          </cell>
          <cell r="L1336">
            <v>16.438356164383563</v>
          </cell>
        </row>
        <row r="1337">
          <cell r="B1337">
            <v>1333</v>
          </cell>
          <cell r="D1337">
            <v>39</v>
          </cell>
          <cell r="H1337">
            <v>19.409836065573771</v>
          </cell>
          <cell r="L1337">
            <v>16.438356164383563</v>
          </cell>
        </row>
        <row r="1338">
          <cell r="B1338">
            <v>1334</v>
          </cell>
          <cell r="D1338">
            <v>57</v>
          </cell>
          <cell r="H1338">
            <v>19.409836065573771</v>
          </cell>
          <cell r="L1338">
            <v>16.438356164383563</v>
          </cell>
        </row>
        <row r="1339">
          <cell r="B1339">
            <v>1335</v>
          </cell>
          <cell r="D1339">
            <v>46</v>
          </cell>
          <cell r="H1339">
            <v>19.409836065573771</v>
          </cell>
          <cell r="L1339">
            <v>16.438356164383563</v>
          </cell>
        </row>
        <row r="1340">
          <cell r="B1340">
            <v>1336</v>
          </cell>
          <cell r="D1340">
            <v>52</v>
          </cell>
          <cell r="H1340">
            <v>19.409836065573771</v>
          </cell>
          <cell r="L1340">
            <v>16.438356164383563</v>
          </cell>
        </row>
        <row r="1341">
          <cell r="B1341">
            <v>1337</v>
          </cell>
          <cell r="D1341">
            <v>83</v>
          </cell>
          <cell r="H1341">
            <v>19.409836065573771</v>
          </cell>
          <cell r="L1341">
            <v>16.438356164383563</v>
          </cell>
        </row>
        <row r="1342">
          <cell r="B1342">
            <v>1338</v>
          </cell>
          <cell r="D1342">
            <v>26</v>
          </cell>
          <cell r="H1342">
            <v>19.409836065573771</v>
          </cell>
          <cell r="L1342">
            <v>16.438356164383563</v>
          </cell>
        </row>
        <row r="1343">
          <cell r="B1343">
            <v>1339</v>
          </cell>
          <cell r="D1343">
            <v>47</v>
          </cell>
          <cell r="H1343">
            <v>19.409836065573771</v>
          </cell>
          <cell r="L1343">
            <v>16.438356164383563</v>
          </cell>
        </row>
        <row r="1344">
          <cell r="B1344">
            <v>1340</v>
          </cell>
          <cell r="D1344">
            <v>72</v>
          </cell>
          <cell r="H1344">
            <v>19.409836065573771</v>
          </cell>
          <cell r="L1344">
            <v>16.438356164383563</v>
          </cell>
        </row>
        <row r="1345">
          <cell r="B1345">
            <v>1341</v>
          </cell>
          <cell r="D1345">
            <v>41</v>
          </cell>
          <cell r="H1345">
            <v>19.409836065573771</v>
          </cell>
          <cell r="L1345">
            <v>16.438356164383563</v>
          </cell>
        </row>
        <row r="1346">
          <cell r="B1346">
            <v>1342</v>
          </cell>
          <cell r="D1346">
            <v>56</v>
          </cell>
          <cell r="H1346">
            <v>19.409836065573771</v>
          </cell>
          <cell r="L1346">
            <v>16.438356164383563</v>
          </cell>
        </row>
        <row r="1347">
          <cell r="B1347">
            <v>1343</v>
          </cell>
          <cell r="D1347">
            <v>63</v>
          </cell>
          <cell r="H1347">
            <v>19.409836065573771</v>
          </cell>
          <cell r="L1347">
            <v>16.438356164383563</v>
          </cell>
        </row>
        <row r="1348">
          <cell r="B1348">
            <v>1344</v>
          </cell>
          <cell r="D1348">
            <v>51</v>
          </cell>
          <cell r="H1348">
            <v>19.409836065573771</v>
          </cell>
          <cell r="L1348">
            <v>16.438356164383563</v>
          </cell>
        </row>
        <row r="1349">
          <cell r="B1349">
            <v>1345</v>
          </cell>
          <cell r="D1349">
            <v>51</v>
          </cell>
          <cell r="H1349">
            <v>19.409836065573771</v>
          </cell>
          <cell r="L1349">
            <v>16.438356164383563</v>
          </cell>
        </row>
        <row r="1350">
          <cell r="B1350">
            <v>1346</v>
          </cell>
          <cell r="D1350">
            <v>37</v>
          </cell>
          <cell r="H1350">
            <v>19.409836065573771</v>
          </cell>
          <cell r="L1350">
            <v>16.438356164383563</v>
          </cell>
        </row>
        <row r="1351">
          <cell r="B1351">
            <v>1347</v>
          </cell>
          <cell r="D1351">
            <v>51</v>
          </cell>
          <cell r="H1351">
            <v>19.409836065573771</v>
          </cell>
          <cell r="L1351">
            <v>16.438356164383563</v>
          </cell>
        </row>
        <row r="1352">
          <cell r="B1352">
            <v>1348</v>
          </cell>
          <cell r="D1352">
            <v>52</v>
          </cell>
          <cell r="H1352">
            <v>19.409836065573771</v>
          </cell>
          <cell r="L1352">
            <v>16.438356164383563</v>
          </cell>
        </row>
        <row r="1353">
          <cell r="B1353">
            <v>1349</v>
          </cell>
          <cell r="D1353">
            <v>34</v>
          </cell>
          <cell r="H1353">
            <v>19.409836065573771</v>
          </cell>
          <cell r="L1353">
            <v>16.438356164383563</v>
          </cell>
        </row>
        <row r="1354">
          <cell r="B1354">
            <v>1350</v>
          </cell>
          <cell r="D1354">
            <v>39</v>
          </cell>
          <cell r="H1354">
            <v>19.409836065573771</v>
          </cell>
          <cell r="L1354">
            <v>16.438356164383563</v>
          </cell>
        </row>
        <row r="1355">
          <cell r="B1355">
            <v>1351</v>
          </cell>
          <cell r="D1355">
            <v>34</v>
          </cell>
          <cell r="H1355">
            <v>19.409836065573771</v>
          </cell>
          <cell r="L1355">
            <v>16.438356164383563</v>
          </cell>
        </row>
        <row r="1356">
          <cell r="B1356">
            <v>1352</v>
          </cell>
          <cell r="D1356">
            <v>48</v>
          </cell>
          <cell r="H1356">
            <v>19.409836065573771</v>
          </cell>
          <cell r="L1356">
            <v>16.438356164383563</v>
          </cell>
        </row>
        <row r="1357">
          <cell r="B1357">
            <v>1353</v>
          </cell>
          <cell r="D1357">
            <v>49</v>
          </cell>
          <cell r="H1357">
            <v>19.409836065573771</v>
          </cell>
          <cell r="L1357">
            <v>16.438356164383563</v>
          </cell>
        </row>
        <row r="1358">
          <cell r="B1358">
            <v>1354</v>
          </cell>
          <cell r="D1358">
            <v>50</v>
          </cell>
          <cell r="H1358">
            <v>19.409836065573771</v>
          </cell>
          <cell r="L1358">
            <v>16.438356164383563</v>
          </cell>
        </row>
        <row r="1359">
          <cell r="B1359">
            <v>1355</v>
          </cell>
          <cell r="D1359">
            <v>33</v>
          </cell>
          <cell r="H1359">
            <v>19.409836065573771</v>
          </cell>
          <cell r="L1359">
            <v>16.438356164383563</v>
          </cell>
        </row>
        <row r="1360">
          <cell r="B1360">
            <v>1356</v>
          </cell>
          <cell r="D1360">
            <v>33</v>
          </cell>
          <cell r="H1360">
            <v>19.409836065573771</v>
          </cell>
          <cell r="L1360">
            <v>16.438356164383563</v>
          </cell>
        </row>
        <row r="1361">
          <cell r="B1361">
            <v>1357</v>
          </cell>
          <cell r="D1361">
            <v>55</v>
          </cell>
          <cell r="H1361">
            <v>19.409836065573771</v>
          </cell>
          <cell r="L1361">
            <v>16.438356164383563</v>
          </cell>
        </row>
        <row r="1362">
          <cell r="B1362">
            <v>1358</v>
          </cell>
          <cell r="D1362">
            <v>71</v>
          </cell>
          <cell r="H1362">
            <v>19.409836065573771</v>
          </cell>
          <cell r="L1362">
            <v>16.438356164383563</v>
          </cell>
        </row>
        <row r="1363">
          <cell r="B1363">
            <v>1359</v>
          </cell>
          <cell r="D1363">
            <v>61</v>
          </cell>
          <cell r="H1363">
            <v>19.409836065573771</v>
          </cell>
          <cell r="L1363">
            <v>16.438356164383563</v>
          </cell>
        </row>
        <row r="1364">
          <cell r="B1364">
            <v>1360</v>
          </cell>
          <cell r="D1364">
            <v>38</v>
          </cell>
          <cell r="H1364">
            <v>19.409836065573771</v>
          </cell>
          <cell r="L1364">
            <v>16.438356164383563</v>
          </cell>
        </row>
        <row r="1365">
          <cell r="B1365">
            <v>1361</v>
          </cell>
          <cell r="D1365">
            <v>61</v>
          </cell>
          <cell r="H1365">
            <v>19.409836065573771</v>
          </cell>
          <cell r="L1365">
            <v>16.438356164383563</v>
          </cell>
        </row>
        <row r="1366">
          <cell r="B1366">
            <v>1362</v>
          </cell>
          <cell r="D1366">
            <v>50</v>
          </cell>
          <cell r="H1366">
            <v>19.409836065573771</v>
          </cell>
          <cell r="L1366">
            <v>16.438356164383563</v>
          </cell>
        </row>
        <row r="1367">
          <cell r="B1367">
            <v>1363</v>
          </cell>
          <cell r="D1367">
            <v>43</v>
          </cell>
          <cell r="H1367">
            <v>19.409836065573771</v>
          </cell>
          <cell r="L1367">
            <v>16.438356164383563</v>
          </cell>
        </row>
        <row r="1368">
          <cell r="B1368">
            <v>1364</v>
          </cell>
          <cell r="D1368">
            <v>47</v>
          </cell>
          <cell r="H1368">
            <v>19.409836065573771</v>
          </cell>
          <cell r="L1368">
            <v>16.438356164383563</v>
          </cell>
        </row>
        <row r="1369">
          <cell r="B1369">
            <v>1365</v>
          </cell>
          <cell r="D1369">
            <v>31</v>
          </cell>
          <cell r="H1369">
            <v>19.409836065573771</v>
          </cell>
          <cell r="L1369">
            <v>16.438356164383563</v>
          </cell>
        </row>
        <row r="1370">
          <cell r="B1370">
            <v>1366</v>
          </cell>
          <cell r="D1370">
            <v>34</v>
          </cell>
          <cell r="H1370">
            <v>19.409836065573771</v>
          </cell>
          <cell r="L1370">
            <v>16.438356164383563</v>
          </cell>
        </row>
        <row r="1371">
          <cell r="B1371">
            <v>1367</v>
          </cell>
          <cell r="D1371">
            <v>38</v>
          </cell>
          <cell r="H1371">
            <v>19.409836065573771</v>
          </cell>
          <cell r="L1371">
            <v>16.438356164383563</v>
          </cell>
        </row>
        <row r="1372">
          <cell r="B1372">
            <v>1368</v>
          </cell>
          <cell r="D1372">
            <v>33</v>
          </cell>
          <cell r="H1372">
            <v>19.409836065573771</v>
          </cell>
          <cell r="L1372">
            <v>16.438356164383563</v>
          </cell>
        </row>
        <row r="1373">
          <cell r="B1373">
            <v>1369</v>
          </cell>
          <cell r="D1373">
            <v>42</v>
          </cell>
          <cell r="H1373">
            <v>19.409836065573771</v>
          </cell>
          <cell r="L1373">
            <v>16.438356164383563</v>
          </cell>
        </row>
        <row r="1374">
          <cell r="B1374">
            <v>1370</v>
          </cell>
          <cell r="D1374">
            <v>30</v>
          </cell>
          <cell r="H1374">
            <v>19.409836065573771</v>
          </cell>
          <cell r="L1374">
            <v>16.438356164383563</v>
          </cell>
        </row>
        <row r="1375">
          <cell r="B1375">
            <v>1371</v>
          </cell>
          <cell r="D1375">
            <v>27</v>
          </cell>
          <cell r="H1375">
            <v>19.409836065573771</v>
          </cell>
          <cell r="L1375">
            <v>16.438356164383563</v>
          </cell>
        </row>
        <row r="1376">
          <cell r="B1376">
            <v>1372</v>
          </cell>
          <cell r="D1376">
            <v>25</v>
          </cell>
          <cell r="H1376">
            <v>19.409836065573771</v>
          </cell>
          <cell r="L1376">
            <v>16.438356164383563</v>
          </cell>
        </row>
        <row r="1377">
          <cell r="B1377">
            <v>1373</v>
          </cell>
          <cell r="D1377">
            <v>26</v>
          </cell>
          <cell r="H1377">
            <v>19.409836065573771</v>
          </cell>
          <cell r="L1377">
            <v>16.438356164383563</v>
          </cell>
        </row>
        <row r="1378">
          <cell r="B1378">
            <v>1374</v>
          </cell>
          <cell r="D1378">
            <v>29</v>
          </cell>
          <cell r="H1378">
            <v>19.409836065573771</v>
          </cell>
          <cell r="L1378">
            <v>16.438356164383563</v>
          </cell>
        </row>
        <row r="1379">
          <cell r="B1379">
            <v>1375</v>
          </cell>
          <cell r="D1379">
            <v>16</v>
          </cell>
          <cell r="H1379">
            <v>19.409836065573771</v>
          </cell>
          <cell r="L1379">
            <v>16.438356164383563</v>
          </cell>
        </row>
        <row r="1380">
          <cell r="B1380">
            <v>1376</v>
          </cell>
          <cell r="D1380">
            <v>31</v>
          </cell>
          <cell r="H1380">
            <v>19.409836065573771</v>
          </cell>
          <cell r="L1380">
            <v>16.438356164383563</v>
          </cell>
        </row>
        <row r="1381">
          <cell r="B1381">
            <v>1377</v>
          </cell>
          <cell r="D1381">
            <v>27</v>
          </cell>
          <cell r="H1381">
            <v>19.409836065573771</v>
          </cell>
          <cell r="L1381">
            <v>16.438356164383563</v>
          </cell>
        </row>
        <row r="1382">
          <cell r="B1382">
            <v>1378</v>
          </cell>
          <cell r="D1382">
            <v>32</v>
          </cell>
          <cell r="H1382">
            <v>19.409836065573771</v>
          </cell>
          <cell r="L1382">
            <v>16.438356164383563</v>
          </cell>
        </row>
        <row r="1383">
          <cell r="B1383">
            <v>1379</v>
          </cell>
          <cell r="D1383">
            <v>37</v>
          </cell>
          <cell r="H1383">
            <v>19.409836065573771</v>
          </cell>
          <cell r="L1383">
            <v>16.438356164383563</v>
          </cell>
        </row>
        <row r="1384">
          <cell r="B1384">
            <v>1380</v>
          </cell>
          <cell r="D1384">
            <v>25</v>
          </cell>
          <cell r="H1384">
            <v>19.409836065573771</v>
          </cell>
          <cell r="L1384">
            <v>16.438356164383563</v>
          </cell>
        </row>
        <row r="1385">
          <cell r="B1385">
            <v>1381</v>
          </cell>
          <cell r="D1385">
            <v>16</v>
          </cell>
          <cell r="H1385">
            <v>19.409836065573771</v>
          </cell>
          <cell r="L1385">
            <v>16.438356164383563</v>
          </cell>
        </row>
        <row r="1386">
          <cell r="B1386">
            <v>1382</v>
          </cell>
          <cell r="D1386">
            <v>29</v>
          </cell>
          <cell r="H1386">
            <v>19.409836065573771</v>
          </cell>
          <cell r="L1386">
            <v>16.438356164383563</v>
          </cell>
        </row>
        <row r="1387">
          <cell r="B1387">
            <v>1383</v>
          </cell>
          <cell r="D1387">
            <v>29</v>
          </cell>
          <cell r="H1387">
            <v>19.409836065573771</v>
          </cell>
          <cell r="L1387">
            <v>16.438356164383563</v>
          </cell>
        </row>
        <row r="1388">
          <cell r="B1388">
            <v>1384</v>
          </cell>
          <cell r="D1388">
            <v>32</v>
          </cell>
          <cell r="H1388">
            <v>19.409836065573771</v>
          </cell>
          <cell r="L1388">
            <v>16.438356164383563</v>
          </cell>
        </row>
        <row r="1389">
          <cell r="B1389">
            <v>1385</v>
          </cell>
          <cell r="D1389">
            <v>28</v>
          </cell>
          <cell r="H1389">
            <v>19.409836065573771</v>
          </cell>
          <cell r="L1389">
            <v>16.438356164383563</v>
          </cell>
        </row>
        <row r="1390">
          <cell r="B1390">
            <v>1386</v>
          </cell>
          <cell r="D1390">
            <v>58</v>
          </cell>
          <cell r="H1390">
            <v>19.409836065573771</v>
          </cell>
          <cell r="L1390">
            <v>16.438356164383563</v>
          </cell>
        </row>
        <row r="1391">
          <cell r="B1391">
            <v>1387</v>
          </cell>
          <cell r="D1391">
            <v>14</v>
          </cell>
          <cell r="H1391">
            <v>19.409836065573771</v>
          </cell>
          <cell r="L1391">
            <v>16.438356164383563</v>
          </cell>
        </row>
        <row r="1392">
          <cell r="B1392">
            <v>1388</v>
          </cell>
          <cell r="D1392">
            <v>17</v>
          </cell>
          <cell r="H1392">
            <v>19.409836065573771</v>
          </cell>
          <cell r="L1392">
            <v>16.438356164383563</v>
          </cell>
        </row>
        <row r="1393">
          <cell r="B1393">
            <v>1389</v>
          </cell>
          <cell r="D1393">
            <v>14</v>
          </cell>
          <cell r="H1393">
            <v>19.409836065573771</v>
          </cell>
          <cell r="L1393">
            <v>16.438356164383563</v>
          </cell>
        </row>
        <row r="1394">
          <cell r="B1394">
            <v>1390</v>
          </cell>
          <cell r="D1394">
            <v>33</v>
          </cell>
          <cell r="H1394">
            <v>19.409836065573771</v>
          </cell>
          <cell r="L1394">
            <v>16.438356164383563</v>
          </cell>
        </row>
        <row r="1395">
          <cell r="B1395">
            <v>1391</v>
          </cell>
          <cell r="D1395">
            <v>30</v>
          </cell>
          <cell r="H1395">
            <v>19.409836065573771</v>
          </cell>
          <cell r="L1395">
            <v>16.438356164383563</v>
          </cell>
        </row>
        <row r="1396">
          <cell r="B1396">
            <v>1392</v>
          </cell>
          <cell r="D1396">
            <v>7</v>
          </cell>
          <cell r="H1396">
            <v>19.409836065573771</v>
          </cell>
          <cell r="L1396">
            <v>16.438356164383563</v>
          </cell>
        </row>
        <row r="1397">
          <cell r="B1397">
            <v>1393</v>
          </cell>
          <cell r="D1397">
            <v>24</v>
          </cell>
          <cell r="H1397">
            <v>19.409836065573771</v>
          </cell>
          <cell r="L1397">
            <v>16.438356164383563</v>
          </cell>
        </row>
        <row r="1398">
          <cell r="B1398">
            <v>1394</v>
          </cell>
          <cell r="D1398">
            <v>9</v>
          </cell>
          <cell r="H1398">
            <v>19.409836065573771</v>
          </cell>
          <cell r="L1398">
            <v>16.438356164383563</v>
          </cell>
        </row>
        <row r="1399">
          <cell r="B1399">
            <v>1395</v>
          </cell>
          <cell r="D1399">
            <v>20</v>
          </cell>
          <cell r="H1399">
            <v>19.409836065573771</v>
          </cell>
          <cell r="L1399">
            <v>16.438356164383563</v>
          </cell>
        </row>
        <row r="1400">
          <cell r="B1400">
            <v>1396</v>
          </cell>
          <cell r="D1400">
            <v>12</v>
          </cell>
          <cell r="H1400">
            <v>19.409836065573771</v>
          </cell>
          <cell r="L1400">
            <v>16.438356164383563</v>
          </cell>
        </row>
        <row r="1401">
          <cell r="B1401">
            <v>1397</v>
          </cell>
          <cell r="D1401">
            <v>9</v>
          </cell>
          <cell r="H1401">
            <v>19.409836065573771</v>
          </cell>
          <cell r="L1401">
            <v>16.438356164383563</v>
          </cell>
        </row>
        <row r="1402">
          <cell r="B1402">
            <v>1398</v>
          </cell>
          <cell r="D1402">
            <v>15</v>
          </cell>
          <cell r="H1402">
            <v>19.409836065573771</v>
          </cell>
          <cell r="L1402">
            <v>16.438356164383563</v>
          </cell>
        </row>
        <row r="1403">
          <cell r="B1403">
            <v>1399</v>
          </cell>
          <cell r="D1403">
            <v>13</v>
          </cell>
          <cell r="H1403">
            <v>19.409836065573771</v>
          </cell>
          <cell r="L1403">
            <v>16.438356164383563</v>
          </cell>
        </row>
        <row r="1404">
          <cell r="B1404">
            <v>1400</v>
          </cell>
          <cell r="D1404">
            <v>6</v>
          </cell>
          <cell r="H1404">
            <v>19.409836065573771</v>
          </cell>
          <cell r="L1404">
            <v>16.438356164383563</v>
          </cell>
        </row>
        <row r="1405">
          <cell r="B1405">
            <v>1401</v>
          </cell>
          <cell r="D1405">
            <v>18</v>
          </cell>
          <cell r="H1405">
            <v>19.409836065573771</v>
          </cell>
          <cell r="L1405">
            <v>16.438356164383563</v>
          </cell>
        </row>
        <row r="1406">
          <cell r="B1406">
            <v>1402</v>
          </cell>
          <cell r="D1406">
            <v>22</v>
          </cell>
          <cell r="H1406">
            <v>19.409836065573771</v>
          </cell>
          <cell r="L1406">
            <v>16.438356164383563</v>
          </cell>
        </row>
        <row r="1407">
          <cell r="B1407">
            <v>1403</v>
          </cell>
          <cell r="D1407">
            <v>24</v>
          </cell>
          <cell r="H1407">
            <v>19.409836065573771</v>
          </cell>
          <cell r="L1407">
            <v>16.438356164383563</v>
          </cell>
        </row>
        <row r="1408">
          <cell r="B1408">
            <v>1404</v>
          </cell>
          <cell r="D1408">
            <v>13</v>
          </cell>
          <cell r="H1408">
            <v>19.409836065573771</v>
          </cell>
          <cell r="L1408">
            <v>16.438356164383563</v>
          </cell>
        </row>
        <row r="1409">
          <cell r="B1409">
            <v>1405</v>
          </cell>
          <cell r="D1409">
            <v>6</v>
          </cell>
          <cell r="H1409">
            <v>19.409836065573771</v>
          </cell>
          <cell r="L1409">
            <v>16.438356164383563</v>
          </cell>
        </row>
        <row r="1410">
          <cell r="B1410">
            <v>1406</v>
          </cell>
          <cell r="D1410">
            <v>15</v>
          </cell>
          <cell r="H1410">
            <v>19.409836065573771</v>
          </cell>
          <cell r="L1410">
            <v>16.438356164383563</v>
          </cell>
        </row>
        <row r="1411">
          <cell r="B1411">
            <v>1407</v>
          </cell>
          <cell r="D1411">
            <v>15</v>
          </cell>
          <cell r="H1411">
            <v>19.409836065573771</v>
          </cell>
          <cell r="L1411">
            <v>16.438356164383563</v>
          </cell>
        </row>
        <row r="1412">
          <cell r="B1412">
            <v>1408</v>
          </cell>
          <cell r="D1412">
            <v>15</v>
          </cell>
          <cell r="H1412">
            <v>19.409836065573771</v>
          </cell>
          <cell r="L1412">
            <v>16.438356164383563</v>
          </cell>
        </row>
        <row r="1413">
          <cell r="B1413">
            <v>1409</v>
          </cell>
          <cell r="D1413">
            <v>2</v>
          </cell>
          <cell r="H1413">
            <v>19.409836065573771</v>
          </cell>
          <cell r="L1413">
            <v>16.438356164383563</v>
          </cell>
        </row>
        <row r="1414">
          <cell r="B1414">
            <v>1410</v>
          </cell>
          <cell r="D1414">
            <v>15</v>
          </cell>
          <cell r="H1414">
            <v>19.409836065573771</v>
          </cell>
          <cell r="L1414">
            <v>16.438356164383563</v>
          </cell>
        </row>
        <row r="1415">
          <cell r="B1415">
            <v>1411</v>
          </cell>
          <cell r="D1415">
            <v>23</v>
          </cell>
          <cell r="H1415">
            <v>19.409836065573771</v>
          </cell>
          <cell r="L1415">
            <v>16.438356164383563</v>
          </cell>
        </row>
        <row r="1416">
          <cell r="B1416">
            <v>1412</v>
          </cell>
          <cell r="D1416">
            <v>5</v>
          </cell>
          <cell r="H1416">
            <v>19.409836065573771</v>
          </cell>
          <cell r="L1416">
            <v>16.438356164383563</v>
          </cell>
        </row>
        <row r="1417">
          <cell r="B1417">
            <v>1413</v>
          </cell>
          <cell r="D1417">
            <v>12</v>
          </cell>
          <cell r="H1417">
            <v>19.409836065573771</v>
          </cell>
          <cell r="L1417">
            <v>16.438356164383563</v>
          </cell>
        </row>
        <row r="1418">
          <cell r="B1418">
            <v>1414</v>
          </cell>
          <cell r="D1418">
            <v>4</v>
          </cell>
          <cell r="H1418">
            <v>19.409836065573771</v>
          </cell>
          <cell r="L1418">
            <v>16.438356164383563</v>
          </cell>
        </row>
        <row r="1419">
          <cell r="B1419">
            <v>1415</v>
          </cell>
          <cell r="D1419">
            <v>4</v>
          </cell>
          <cell r="H1419">
            <v>19.409836065573771</v>
          </cell>
          <cell r="L1419">
            <v>16.438356164383563</v>
          </cell>
        </row>
        <row r="1420">
          <cell r="B1420">
            <v>1416</v>
          </cell>
          <cell r="D1420">
            <v>20</v>
          </cell>
          <cell r="H1420">
            <v>19.409836065573771</v>
          </cell>
          <cell r="L1420">
            <v>16.438356164383563</v>
          </cell>
        </row>
        <row r="1421">
          <cell r="B1421">
            <v>1417</v>
          </cell>
          <cell r="D1421">
            <v>9</v>
          </cell>
          <cell r="H1421">
            <v>19.409836065573771</v>
          </cell>
          <cell r="L1421">
            <v>16.438356164383563</v>
          </cell>
        </row>
        <row r="1422">
          <cell r="B1422">
            <v>1418</v>
          </cell>
          <cell r="D1422">
            <v>28</v>
          </cell>
          <cell r="H1422">
            <v>19.409836065573771</v>
          </cell>
          <cell r="L1422">
            <v>16.438356164383563</v>
          </cell>
        </row>
        <row r="1423">
          <cell r="B1423">
            <v>1419</v>
          </cell>
          <cell r="D1423">
            <v>19</v>
          </cell>
          <cell r="H1423">
            <v>19.409836065573771</v>
          </cell>
          <cell r="L1423">
            <v>16.438356164383563</v>
          </cell>
        </row>
        <row r="1424">
          <cell r="B1424">
            <v>1420</v>
          </cell>
          <cell r="D1424">
            <v>14</v>
          </cell>
          <cell r="H1424">
            <v>19.409836065573771</v>
          </cell>
          <cell r="L1424">
            <v>16.438356164383563</v>
          </cell>
        </row>
        <row r="1425">
          <cell r="B1425">
            <v>1421</v>
          </cell>
          <cell r="D1425">
            <v>5</v>
          </cell>
          <cell r="H1425">
            <v>19.409836065573771</v>
          </cell>
          <cell r="L1425">
            <v>16.438356164383563</v>
          </cell>
        </row>
        <row r="1426">
          <cell r="B1426">
            <v>1422</v>
          </cell>
          <cell r="D1426">
            <v>12</v>
          </cell>
          <cell r="H1426">
            <v>19.409836065573771</v>
          </cell>
          <cell r="L1426">
            <v>16.438356164383563</v>
          </cell>
        </row>
        <row r="1427">
          <cell r="B1427">
            <v>1423</v>
          </cell>
          <cell r="D1427">
            <v>4</v>
          </cell>
          <cell r="H1427">
            <v>19.409836065573771</v>
          </cell>
          <cell r="L1427">
            <v>16.438356164383563</v>
          </cell>
        </row>
        <row r="1428">
          <cell r="B1428">
            <v>1424</v>
          </cell>
          <cell r="D1428">
            <v>13</v>
          </cell>
          <cell r="H1428">
            <v>19.409836065573771</v>
          </cell>
          <cell r="L1428">
            <v>16.438356164383563</v>
          </cell>
        </row>
        <row r="1429">
          <cell r="B1429">
            <v>1425</v>
          </cell>
          <cell r="D1429">
            <v>9</v>
          </cell>
          <cell r="H1429">
            <v>19.409836065573771</v>
          </cell>
          <cell r="L1429">
            <v>16.438356164383563</v>
          </cell>
        </row>
        <row r="1430">
          <cell r="B1430">
            <v>1426</v>
          </cell>
          <cell r="D1430">
            <v>13</v>
          </cell>
          <cell r="H1430">
            <v>19.409836065573771</v>
          </cell>
          <cell r="L1430">
            <v>16.438356164383563</v>
          </cell>
        </row>
        <row r="1431">
          <cell r="B1431">
            <v>1427</v>
          </cell>
          <cell r="D1431">
            <v>2</v>
          </cell>
          <cell r="H1431">
            <v>19.409836065573771</v>
          </cell>
          <cell r="L1431">
            <v>16.438356164383563</v>
          </cell>
        </row>
        <row r="1432">
          <cell r="B1432">
            <v>1428</v>
          </cell>
          <cell r="D1432">
            <v>9</v>
          </cell>
          <cell r="H1432">
            <v>19.409836065573771</v>
          </cell>
          <cell r="L1432">
            <v>16.438356164383563</v>
          </cell>
        </row>
        <row r="1433">
          <cell r="B1433">
            <v>1429</v>
          </cell>
          <cell r="D1433">
            <v>2</v>
          </cell>
          <cell r="H1433">
            <v>19.409836065573771</v>
          </cell>
          <cell r="L1433">
            <v>16.438356164383563</v>
          </cell>
        </row>
        <row r="1434">
          <cell r="B1434">
            <v>1430</v>
          </cell>
          <cell r="D1434">
            <v>7</v>
          </cell>
          <cell r="H1434">
            <v>19.409836065573771</v>
          </cell>
          <cell r="L1434">
            <v>16.438356164383563</v>
          </cell>
        </row>
        <row r="1435">
          <cell r="B1435">
            <v>1431</v>
          </cell>
          <cell r="D1435">
            <v>3</v>
          </cell>
          <cell r="H1435">
            <v>19.409836065573771</v>
          </cell>
          <cell r="L1435">
            <v>16.438356164383563</v>
          </cell>
        </row>
        <row r="1436">
          <cell r="B1436">
            <v>1432</v>
          </cell>
          <cell r="D1436">
            <v>21</v>
          </cell>
          <cell r="H1436">
            <v>19.409836065573771</v>
          </cell>
          <cell r="L1436">
            <v>16.438356164383563</v>
          </cell>
        </row>
        <row r="1437">
          <cell r="B1437">
            <v>1433</v>
          </cell>
          <cell r="D1437">
            <v>4</v>
          </cell>
          <cell r="H1437">
            <v>19.409836065573771</v>
          </cell>
          <cell r="L1437">
            <v>16.438356164383563</v>
          </cell>
        </row>
        <row r="1438">
          <cell r="B1438">
            <v>1434</v>
          </cell>
          <cell r="D1438">
            <v>4</v>
          </cell>
          <cell r="H1438">
            <v>19.409836065573771</v>
          </cell>
          <cell r="L1438">
            <v>16.438356164383563</v>
          </cell>
        </row>
        <row r="1439">
          <cell r="B1439">
            <v>1435</v>
          </cell>
          <cell r="D1439">
            <v>9</v>
          </cell>
          <cell r="H1439">
            <v>19.409836065573771</v>
          </cell>
          <cell r="L1439">
            <v>16.438356164383563</v>
          </cell>
        </row>
        <row r="1440">
          <cell r="B1440">
            <v>1436</v>
          </cell>
          <cell r="D1440">
            <v>9</v>
          </cell>
          <cell r="H1440">
            <v>19.409836065573771</v>
          </cell>
          <cell r="L1440">
            <v>16.438356164383563</v>
          </cell>
        </row>
        <row r="1441">
          <cell r="B1441">
            <v>1437</v>
          </cell>
          <cell r="D1441">
            <v>7</v>
          </cell>
          <cell r="H1441">
            <v>19.409836065573771</v>
          </cell>
          <cell r="L1441">
            <v>16.438356164383563</v>
          </cell>
        </row>
        <row r="1442">
          <cell r="B1442">
            <v>1438</v>
          </cell>
          <cell r="D1442">
            <v>13</v>
          </cell>
          <cell r="H1442">
            <v>19.409836065573771</v>
          </cell>
          <cell r="L1442">
            <v>16.438356164383563</v>
          </cell>
        </row>
        <row r="1443">
          <cell r="B1443">
            <v>1439</v>
          </cell>
          <cell r="D1443">
            <v>15</v>
          </cell>
          <cell r="H1443">
            <v>19.409836065573771</v>
          </cell>
          <cell r="L1443">
            <v>16.438356164383563</v>
          </cell>
        </row>
        <row r="1444">
          <cell r="B1444">
            <v>1440</v>
          </cell>
          <cell r="D1444">
            <v>3</v>
          </cell>
          <cell r="H1444">
            <v>19.409836065573771</v>
          </cell>
          <cell r="L1444">
            <v>16.438356164383563</v>
          </cell>
        </row>
        <row r="1445">
          <cell r="B1445">
            <v>1441</v>
          </cell>
          <cell r="D1445">
            <v>3</v>
          </cell>
          <cell r="H1445">
            <v>19.409836065573771</v>
          </cell>
          <cell r="L1445">
            <v>16.438356164383563</v>
          </cell>
        </row>
        <row r="1446">
          <cell r="B1446">
            <v>1442</v>
          </cell>
          <cell r="D1446">
            <v>4</v>
          </cell>
          <cell r="H1446">
            <v>19.409836065573771</v>
          </cell>
          <cell r="L1446">
            <v>16.438356164383563</v>
          </cell>
        </row>
        <row r="1447">
          <cell r="B1447">
            <v>1443</v>
          </cell>
          <cell r="D1447">
            <v>2</v>
          </cell>
          <cell r="H1447">
            <v>19.409836065573771</v>
          </cell>
          <cell r="L1447">
            <v>16.438356164383563</v>
          </cell>
        </row>
        <row r="1448">
          <cell r="B1448">
            <v>1444</v>
          </cell>
          <cell r="D1448">
            <v>3</v>
          </cell>
          <cell r="H1448">
            <v>19.409836065573771</v>
          </cell>
          <cell r="L1448">
            <v>16.438356164383563</v>
          </cell>
        </row>
        <row r="1449">
          <cell r="B1449">
            <v>1445</v>
          </cell>
          <cell r="D1449">
            <v>-1</v>
          </cell>
          <cell r="H1449">
            <v>19.409836065573771</v>
          </cell>
          <cell r="L1449">
            <v>16.438356164383563</v>
          </cell>
        </row>
        <row r="1450">
          <cell r="B1450">
            <v>1446</v>
          </cell>
          <cell r="D1450">
            <v>11</v>
          </cell>
          <cell r="H1450">
            <v>19.409836065573771</v>
          </cell>
          <cell r="L1450">
            <v>16.438356164383563</v>
          </cell>
        </row>
        <row r="1451">
          <cell r="B1451">
            <v>1447</v>
          </cell>
          <cell r="D1451">
            <v>-3</v>
          </cell>
          <cell r="H1451">
            <v>19.409836065573771</v>
          </cell>
          <cell r="L1451">
            <v>16.438356164383563</v>
          </cell>
        </row>
        <row r="1452">
          <cell r="B1452">
            <v>1448</v>
          </cell>
          <cell r="D1452">
            <v>10</v>
          </cell>
          <cell r="H1452">
            <v>19.409836065573771</v>
          </cell>
          <cell r="L1452">
            <v>16.438356164383563</v>
          </cell>
        </row>
        <row r="1453">
          <cell r="B1453">
            <v>1449</v>
          </cell>
          <cell r="D1453">
            <v>5</v>
          </cell>
          <cell r="H1453">
            <v>19.409836065573771</v>
          </cell>
          <cell r="L1453">
            <v>16.438356164383563</v>
          </cell>
        </row>
        <row r="1454">
          <cell r="B1454">
            <v>1450</v>
          </cell>
          <cell r="D1454">
            <v>12</v>
          </cell>
          <cell r="H1454">
            <v>19.409836065573771</v>
          </cell>
          <cell r="L1454">
            <v>16.438356164383563</v>
          </cell>
        </row>
        <row r="1455">
          <cell r="B1455">
            <v>1451</v>
          </cell>
          <cell r="D1455">
            <v>-2</v>
          </cell>
          <cell r="H1455">
            <v>19.409836065573771</v>
          </cell>
          <cell r="L1455">
            <v>16.438356164383563</v>
          </cell>
        </row>
        <row r="1456">
          <cell r="B1456">
            <v>1452</v>
          </cell>
          <cell r="D1456">
            <v>6</v>
          </cell>
          <cell r="H1456">
            <v>19.409836065573771</v>
          </cell>
          <cell r="L1456">
            <v>16.438356164383563</v>
          </cell>
        </row>
        <row r="1457">
          <cell r="B1457">
            <v>1453</v>
          </cell>
          <cell r="D1457">
            <v>-4</v>
          </cell>
          <cell r="H1457">
            <v>19.409836065573771</v>
          </cell>
          <cell r="L1457">
            <v>16.438356164383563</v>
          </cell>
        </row>
        <row r="1458">
          <cell r="B1458">
            <v>1454</v>
          </cell>
          <cell r="D1458">
            <v>29</v>
          </cell>
          <cell r="H1458">
            <v>19.409836065573771</v>
          </cell>
          <cell r="L1458">
            <v>16.438356164383563</v>
          </cell>
        </row>
        <row r="1459">
          <cell r="B1459">
            <v>1455</v>
          </cell>
          <cell r="D1459">
            <v>-2</v>
          </cell>
          <cell r="H1459">
            <v>19.409836065573771</v>
          </cell>
          <cell r="L1459">
            <v>16.438356164383563</v>
          </cell>
        </row>
        <row r="1460">
          <cell r="B1460">
            <v>1456</v>
          </cell>
          <cell r="D1460">
            <v>6</v>
          </cell>
          <cell r="H1460">
            <v>19.409836065573771</v>
          </cell>
          <cell r="L1460">
            <v>16.438356164383563</v>
          </cell>
        </row>
        <row r="1461">
          <cell r="B1461">
            <v>1457</v>
          </cell>
          <cell r="D1461">
            <v>-1</v>
          </cell>
          <cell r="H1461">
            <v>19.409836065573771</v>
          </cell>
          <cell r="L1461">
            <v>16.438356164383563</v>
          </cell>
        </row>
        <row r="1462">
          <cell r="B1462">
            <v>1458</v>
          </cell>
          <cell r="D1462">
            <v>6</v>
          </cell>
          <cell r="H1462">
            <v>19.409836065573771</v>
          </cell>
          <cell r="L1462">
            <v>16.438356164383563</v>
          </cell>
        </row>
        <row r="1463">
          <cell r="B1463">
            <v>1459</v>
          </cell>
          <cell r="D1463">
            <v>3</v>
          </cell>
          <cell r="H1463">
            <v>19.409836065573771</v>
          </cell>
          <cell r="L1463">
            <v>16.438356164383563</v>
          </cell>
        </row>
        <row r="1464">
          <cell r="B1464">
            <v>1460</v>
          </cell>
          <cell r="D1464">
            <v>9</v>
          </cell>
          <cell r="H1464">
            <v>19.409836065573771</v>
          </cell>
          <cell r="L1464">
            <v>16.438356164383563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reynaldo_cuadrado_alum_udep_edu_pe/Documents/AN&#193;LISIS%20PARA%20EL%20MULTIREGI&#211;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reynaldo_cuadrado_alum_udep_edu_pe/Documents/AN&#193;LISIS%20PARA%20EL%20MULTIREGI&#211;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139805439816" createdVersion="8" refreshedVersion="8" minRefreshableVersion="3" recordCount="1460" xr:uid="{3DCCC1BA-CCC5-44C8-A41D-16C5FAF9609A}">
  <cacheSource type="worksheet">
    <worksheetSource name="Tabla3" r:id="rId2"/>
  </cacheSource>
  <cacheFields count="18">
    <cacheField name="DÍA" numFmtId="0">
      <sharedItems containsSemiMixedTypes="0" containsString="0" containsNumber="1" containsInteger="1" minValue="1" maxValue="1460"/>
    </cacheField>
    <cacheField name="FECHA" numFmtId="14">
      <sharedItems containsSemiMixedTypes="0" containsNonDate="0" containsDate="1" containsString="0" minDate="2025-01-01T00:00:00" maxDate="2028-12-31T00:00:00" count="146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</sharedItems>
      <fieldGroup par="17"/>
    </cacheField>
    <cacheField name="CALOPEIA" numFmtId="0">
      <sharedItems containsSemiMixedTypes="0" containsString="0" containsNumber="1" containsInteger="1" minValue="-4" maxValue="133"/>
    </cacheField>
    <cacheField name="PRE.CALOPEIA" numFmtId="0">
      <sharedItems containsNonDate="0" containsString="0" containsBlank="1"/>
    </cacheField>
    <cacheField name="SORANGE" numFmtId="0">
      <sharedItems containsSemiMixedTypes="0" containsString="0" containsNumber="1" containsInteger="1" minValue="0" maxValue="45"/>
    </cacheField>
    <cacheField name="PRE.SORANGE" numFmtId="0">
      <sharedItems containsSemiMixedTypes="0" containsString="0" containsNumber="1" minValue="0" maxValue="125.46560000000001"/>
    </cacheField>
    <cacheField name="TYRANT VERDADERO" numFmtId="0">
      <sharedItems containsSemiMixedTypes="0" containsString="0" containsNumber="1" minValue="0" maxValue="19.409836065573771"/>
    </cacheField>
    <cacheField name="TYRAN" numFmtId="0">
      <sharedItems containsSemiMixedTypes="0" containsString="0" containsNumber="1" minValue="0" maxValue="64"/>
    </cacheField>
    <cacheField name="PRE.TYRAN" numFmtId="0">
      <sharedItems containsNonDate="0" containsString="0" containsBlank="1"/>
    </cacheField>
    <cacheField name="Entworpe" numFmtId="0">
      <sharedItems containsSemiMixedTypes="0" containsString="0" containsNumber="1" minValue="0" maxValue="250"/>
    </cacheField>
    <cacheField name="ENTWORPE VERDADERO" numFmtId="0">
      <sharedItems containsSemiMixedTypes="0" containsString="0" containsNumber="1" minValue="0" maxValue="16.438356164383563"/>
    </cacheField>
    <cacheField name="PRE.Entworpe" numFmtId="0">
      <sharedItems containsString="0" containsBlank="1" containsNumber="1" minValue="10.989010989010989" maxValue="69.164666022614909"/>
    </cacheField>
    <cacheField name="FARDO VERDADERO" numFmtId="0">
      <sharedItems containsSemiMixedTypes="0" containsString="0" containsNumber="1" minValue="14.098901098901099" maxValue="14.098901098901099"/>
    </cacheField>
    <cacheField name="Fardo" numFmtId="0">
      <sharedItems containsSemiMixedTypes="0" containsString="0" containsNumber="1" minValue="0" maxValue="83"/>
    </cacheField>
    <cacheField name="PRE.Fardo" numFmtId="0">
      <sharedItems containsNonDate="0" containsString="0" containsBlank="1"/>
    </cacheField>
    <cacheField name="Meses (FECHA)" numFmtId="0" databaseField="0">
      <fieldGroup base="1">
        <rangePr groupBy="months" startDate="2025-01-01T00:00:00" endDate="2028-12-31T00:00:00"/>
        <groupItems count="14">
          <s v="&lt;1/1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/12/2028"/>
        </groupItems>
      </fieldGroup>
    </cacheField>
    <cacheField name="Trimestres (FECHA)" numFmtId="0" databaseField="0">
      <fieldGroup base="1">
        <rangePr groupBy="quarters" startDate="2025-01-01T00:00:00" endDate="2028-12-31T00:00:00"/>
        <groupItems count="6">
          <s v="&lt;1/1/2025"/>
          <s v="Trim.1"/>
          <s v="Trim.2"/>
          <s v="Trim.3"/>
          <s v="Trim.4"/>
          <s v="&gt;31/12/2028"/>
        </groupItems>
      </fieldGroup>
    </cacheField>
    <cacheField name="Años (FECHA)" numFmtId="0" databaseField="0">
      <fieldGroup base="1">
        <rangePr groupBy="years" startDate="2025-01-01T00:00:00" endDate="2028-12-31T00:00:00"/>
        <groupItems count="6">
          <s v="&lt;1/1/2025"/>
          <s v="2025"/>
          <s v="2026"/>
          <s v="2027"/>
          <s v="2028"/>
          <s v="&gt;31/12/2028"/>
        </groupItems>
      </fieldGroup>
    </cacheField>
  </cacheFields>
  <extLst>
    <ext xmlns:x14="http://schemas.microsoft.com/office/spreadsheetml/2009/9/main" uri="{725AE2AE-9491-48be-B2B4-4EB974FC3084}">
      <x14:pivotCacheDefinition pivotCacheId="133693175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031731944444" createdVersion="8" refreshedVersion="8" minRefreshableVersion="3" recordCount="1460" xr:uid="{E1C25D70-C4A0-473C-B0DC-39CEA0781787}">
  <cacheSource type="worksheet">
    <worksheetSource name="Tabla4" r:id="rId2"/>
  </cacheSource>
  <cacheFields count="10">
    <cacheField name="día" numFmtId="0">
      <sharedItems containsSemiMixedTypes="0" containsString="0" containsNumber="1" containsInteger="1" minValue="1" maxValue="1460"/>
    </cacheField>
    <cacheField name="Calopeia" numFmtId="0">
      <sharedItems containsSemiMixedTypes="0" containsString="0" containsNumber="1" containsInteger="1" minValue="0" maxValue="133"/>
    </cacheField>
    <cacheField name="Sorange" numFmtId="0">
      <sharedItems containsSemiMixedTypes="0" containsString="0" containsNumber="1" containsInteger="1" minValue="0" maxValue="214"/>
    </cacheField>
    <cacheField name="Tyran" numFmtId="0">
      <sharedItems containsSemiMixedTypes="0" containsString="0" containsNumber="1" containsInteger="1" minValue="0" maxValue="89"/>
    </cacheField>
    <cacheField name="Entworpe" numFmtId="0">
      <sharedItems containsSemiMixedTypes="0" containsString="0" containsNumber="1" containsInteger="1" minValue="0" maxValue="250"/>
    </cacheField>
    <cacheField name="Fardo" numFmtId="0">
      <sharedItems containsSemiMixedTypes="0" containsString="0" containsNumber="1" containsInteger="1" minValue="0" maxValue="87"/>
    </cacheField>
    <cacheField name="FECHA" numFmtId="14">
      <sharedItems containsSemiMixedTypes="0" containsNonDate="0" containsDate="1" containsString="0" minDate="2025-01-01T00:00:00" maxDate="2028-12-31T00:00:00" count="146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8-01-02T00:00:00"/>
        <d v="2028-01-03T00:00:00"/>
        <d v="2028-01-04T00:00:00"/>
        <d v="2028-01-05T00:00:00"/>
        <d v="2028-01-06T00:00:00"/>
        <d v="2028-01-07T00:00:00"/>
        <d v="2028-01-08T00:00:00"/>
        <d v="2028-01-09T00:00:00"/>
        <d v="2028-01-10T00:00:00"/>
        <d v="2028-01-11T00:00:00"/>
        <d v="2028-01-12T00:00:00"/>
        <d v="2028-01-13T00:00:00"/>
        <d v="2028-01-14T00:00:00"/>
        <d v="2028-01-15T00:00:00"/>
        <d v="2028-01-16T00:00:00"/>
        <d v="2028-01-17T00:00:00"/>
        <d v="2028-01-18T00:00:00"/>
        <d v="2028-01-19T00:00:00"/>
        <d v="2028-01-20T00:00:00"/>
        <d v="2028-01-21T00:00:00"/>
        <d v="2028-01-22T00:00:00"/>
        <d v="2028-01-23T00:00:00"/>
        <d v="2028-01-24T00:00:00"/>
        <d v="2028-01-25T00:00:00"/>
        <d v="2028-01-26T00:00:00"/>
        <d v="2028-01-27T00:00:00"/>
        <d v="2028-01-28T00:00:00"/>
        <d v="2028-01-29T00:00:00"/>
        <d v="2028-01-30T00:00:00"/>
        <d v="2028-01-31T00:00:00"/>
        <d v="2028-02-01T00:00:00"/>
        <d v="2028-02-02T00:00:00"/>
        <d v="2028-02-03T00:00:00"/>
        <d v="2028-02-04T00:00:00"/>
        <d v="2028-02-05T00:00:00"/>
        <d v="2028-02-06T00:00:00"/>
        <d v="2028-02-07T00:00:00"/>
        <d v="2028-02-08T00:00:00"/>
        <d v="2028-02-09T00:00:00"/>
        <d v="2028-02-10T00:00:00"/>
        <d v="2028-02-11T00:00:00"/>
        <d v="2028-02-12T00:00:00"/>
        <d v="2028-02-13T00:00:00"/>
        <d v="2028-02-14T00:00:00"/>
        <d v="2028-02-15T00:00:00"/>
        <d v="2028-02-16T00:00:00"/>
        <d v="2028-02-17T00:00:00"/>
        <d v="2028-02-18T00:00:00"/>
        <d v="2028-02-19T00:00:00"/>
        <d v="2028-02-20T00:00:00"/>
        <d v="2028-02-21T00:00:00"/>
        <d v="2028-02-22T00:00:00"/>
        <d v="2028-02-23T00:00:00"/>
        <d v="2028-02-24T00:00:00"/>
        <d v="2028-02-25T00:00:00"/>
        <d v="2028-02-26T00:00:00"/>
        <d v="2028-02-27T00:00:00"/>
        <d v="2028-02-28T00:00:00"/>
        <d v="2028-02-29T00:00:00"/>
        <d v="2028-03-01T00:00:00"/>
        <d v="2028-03-02T00:00:00"/>
        <d v="2028-03-03T00:00:00"/>
        <d v="2028-03-04T00:00:00"/>
        <d v="2028-03-05T00:00:00"/>
        <d v="2028-03-06T00:00:00"/>
        <d v="2028-03-07T00:00:00"/>
        <d v="2028-03-08T00:00:00"/>
        <d v="2028-03-09T00:00:00"/>
        <d v="2028-03-10T00:00:00"/>
        <d v="2028-03-11T00:00:00"/>
        <d v="2028-03-12T00:00:00"/>
        <d v="2028-03-13T00:00:00"/>
        <d v="2028-03-14T00:00:00"/>
        <d v="2028-03-15T00:00:00"/>
        <d v="2028-03-16T00:00:00"/>
        <d v="2028-03-17T00:00:00"/>
        <d v="2028-03-18T00:00:00"/>
        <d v="2028-03-19T00:00:00"/>
        <d v="2028-03-20T00:00:00"/>
        <d v="2028-03-21T00:00:00"/>
        <d v="2028-03-22T00:00:00"/>
        <d v="2028-03-23T00:00:00"/>
        <d v="2028-03-24T00:00:00"/>
        <d v="2028-03-25T00:00:00"/>
        <d v="2028-03-26T00:00:00"/>
        <d v="2028-03-27T00:00:00"/>
        <d v="2028-03-28T00:00:00"/>
        <d v="2028-03-29T00:00:00"/>
        <d v="2028-03-30T00:00:00"/>
        <d v="2028-03-31T00:00:00"/>
        <d v="2028-04-01T00:00:00"/>
        <d v="2028-04-02T00:00:00"/>
        <d v="2028-04-03T00:00:00"/>
        <d v="2028-04-04T00:00:00"/>
        <d v="2028-04-05T00:00:00"/>
        <d v="2028-04-06T00:00:00"/>
        <d v="2028-04-07T00:00:00"/>
        <d v="2028-04-08T00:00:00"/>
        <d v="2028-04-09T00:00:00"/>
        <d v="2028-04-10T00:00:00"/>
        <d v="2028-04-11T00:00:00"/>
        <d v="2028-04-12T00:00:00"/>
        <d v="2028-04-13T00:00:00"/>
        <d v="2028-04-14T00:00:00"/>
        <d v="2028-04-15T00:00:00"/>
        <d v="2028-04-16T00:00:00"/>
        <d v="2028-04-17T00:00:00"/>
        <d v="2028-04-18T00:00:00"/>
        <d v="2028-04-19T00:00:00"/>
        <d v="2028-04-20T00:00:00"/>
        <d v="2028-04-21T00:00:00"/>
        <d v="2028-04-22T00:00:00"/>
        <d v="2028-04-23T00:00:00"/>
        <d v="2028-04-24T00:00:00"/>
        <d v="2028-04-25T00:00:00"/>
        <d v="2028-04-26T00:00:00"/>
        <d v="2028-04-27T00:00:00"/>
        <d v="2028-04-28T00:00:00"/>
        <d v="2028-04-29T00:00:00"/>
        <d v="2028-04-30T00:00:00"/>
        <d v="2028-05-01T00:00:00"/>
        <d v="2028-05-02T00:00:00"/>
        <d v="2028-05-03T00:00:00"/>
        <d v="2028-05-04T00:00:00"/>
        <d v="2028-05-05T00:00:00"/>
        <d v="2028-05-06T00:00:00"/>
        <d v="2028-05-07T00:00:00"/>
        <d v="2028-05-08T00:00:00"/>
        <d v="2028-05-09T00:00:00"/>
        <d v="2028-05-10T00:00:00"/>
        <d v="2028-05-11T00:00:00"/>
        <d v="2028-05-12T00:00:00"/>
        <d v="2028-05-13T00:00:00"/>
        <d v="2028-05-14T00:00:00"/>
        <d v="2028-05-15T00:00:00"/>
        <d v="2028-05-16T00:00:00"/>
        <d v="2028-05-17T00:00:00"/>
        <d v="2028-05-18T00:00:00"/>
        <d v="2028-05-19T00:00:00"/>
        <d v="2028-05-20T00:00:00"/>
        <d v="2028-05-21T00:00:00"/>
        <d v="2028-05-22T00:00:00"/>
        <d v="2028-05-23T00:00:00"/>
        <d v="2028-05-24T00:00:00"/>
        <d v="2028-05-25T00:00:00"/>
        <d v="2028-05-26T00:00:00"/>
        <d v="2028-05-27T00:00:00"/>
        <d v="2028-05-28T00:00:00"/>
        <d v="2028-05-29T00:00:00"/>
        <d v="2028-05-30T00:00:00"/>
        <d v="2028-05-31T00:00:00"/>
        <d v="2028-06-01T00:00:00"/>
        <d v="2028-06-02T00:00:00"/>
        <d v="2028-06-03T00:00:00"/>
        <d v="2028-06-04T00:00:00"/>
        <d v="2028-06-05T00:00:00"/>
        <d v="2028-06-06T00:00:00"/>
        <d v="2028-06-07T00:00:00"/>
        <d v="2028-06-08T00:00:00"/>
        <d v="2028-06-09T00:00:00"/>
        <d v="2028-06-10T00:00:00"/>
        <d v="2028-06-11T00:00:00"/>
        <d v="2028-06-12T00:00:00"/>
        <d v="2028-06-13T00:00:00"/>
        <d v="2028-06-14T00:00:00"/>
        <d v="2028-06-15T00:00:00"/>
        <d v="2028-06-16T00:00:00"/>
        <d v="2028-06-17T00:00:00"/>
        <d v="2028-06-18T00:00:00"/>
        <d v="2028-06-19T00:00:00"/>
        <d v="2028-06-20T00:00:00"/>
        <d v="2028-06-21T00:00:00"/>
        <d v="2028-06-22T00:00:00"/>
        <d v="2028-06-23T00:00:00"/>
        <d v="2028-06-24T00:00:00"/>
        <d v="2028-06-25T00:00:00"/>
        <d v="2028-06-26T00:00:00"/>
        <d v="2028-06-27T00:00:00"/>
        <d v="2028-06-28T00:00:00"/>
        <d v="2028-06-29T00:00:00"/>
        <d v="2028-06-30T00:00:00"/>
        <d v="2028-07-01T00:00:00"/>
        <d v="2028-07-02T00:00:00"/>
        <d v="2028-07-03T00:00:00"/>
        <d v="2028-07-04T00:00:00"/>
        <d v="2028-07-05T00:00:00"/>
        <d v="2028-07-06T00:00:00"/>
        <d v="2028-07-07T00:00:00"/>
        <d v="2028-07-08T00:00:00"/>
        <d v="2028-07-09T00:00:00"/>
        <d v="2028-07-10T00:00:00"/>
        <d v="2028-07-11T00:00:00"/>
        <d v="2028-07-12T00:00:00"/>
        <d v="2028-07-13T00:00:00"/>
        <d v="2028-07-14T00:00:00"/>
        <d v="2028-07-15T00:00:00"/>
        <d v="2028-07-16T00:00:00"/>
        <d v="2028-07-17T00:00:00"/>
        <d v="2028-07-18T00:00:00"/>
        <d v="2028-07-19T00:00:00"/>
        <d v="2028-07-20T00:00:00"/>
        <d v="2028-07-21T00:00:00"/>
        <d v="2028-07-22T00:00:00"/>
        <d v="2028-07-23T00:00:00"/>
        <d v="2028-07-24T00:00:00"/>
        <d v="2028-07-25T00:00:00"/>
        <d v="2028-07-26T00:00:00"/>
        <d v="2028-07-27T00:00:00"/>
        <d v="2028-07-28T00:00:00"/>
        <d v="2028-07-29T00:00:00"/>
        <d v="2028-07-30T00:00:00"/>
        <d v="2028-07-31T00:00:00"/>
        <d v="2028-08-01T00:00:00"/>
        <d v="2028-08-02T00:00:00"/>
        <d v="2028-08-03T00:00:00"/>
        <d v="2028-08-04T00:00:00"/>
        <d v="2028-08-05T00:00:00"/>
        <d v="2028-08-06T00:00:00"/>
        <d v="2028-08-07T00:00:00"/>
        <d v="2028-08-08T00:00:00"/>
        <d v="2028-08-09T00:00:00"/>
        <d v="2028-08-10T00:00:00"/>
        <d v="2028-08-11T00:00:00"/>
        <d v="2028-08-12T00:00:00"/>
        <d v="2028-08-13T00:00:00"/>
        <d v="2028-08-14T00:00:00"/>
        <d v="2028-08-15T00:00:00"/>
        <d v="2028-08-16T00:00:00"/>
        <d v="2028-08-17T00:00:00"/>
        <d v="2028-08-18T00:00:00"/>
        <d v="2028-08-19T00:00:00"/>
        <d v="2028-08-20T00:00:00"/>
        <d v="2028-08-21T00:00:00"/>
        <d v="2028-08-22T00:00:00"/>
        <d v="2028-08-23T00:00:00"/>
        <d v="2028-08-24T00:00:00"/>
        <d v="2028-08-25T00:00:00"/>
        <d v="2028-08-26T00:00:00"/>
        <d v="2028-08-27T00:00:00"/>
        <d v="2028-08-28T00:00:00"/>
        <d v="2028-08-29T00:00:00"/>
        <d v="2028-08-30T00:00:00"/>
        <d v="2028-08-31T00:00:00"/>
        <d v="2028-09-01T00:00:00"/>
        <d v="2028-09-02T00:00:00"/>
        <d v="2028-09-03T00:00:00"/>
        <d v="2028-09-04T00:00:00"/>
        <d v="2028-09-05T00:00:00"/>
        <d v="2028-09-06T00:00:00"/>
        <d v="2028-09-07T00:00:00"/>
        <d v="2028-09-08T00:00:00"/>
        <d v="2028-09-09T00:00:00"/>
        <d v="2028-09-10T00:00:00"/>
        <d v="2028-09-11T00:00:00"/>
        <d v="2028-09-12T00:00:00"/>
        <d v="2028-09-13T00:00:00"/>
        <d v="2028-09-14T00:00:00"/>
        <d v="2028-09-15T00:00:00"/>
        <d v="2028-09-16T00:00:00"/>
        <d v="2028-09-17T00:00:00"/>
        <d v="2028-09-18T00:00:00"/>
        <d v="2028-09-19T00:00:00"/>
        <d v="2028-09-20T00:00:00"/>
        <d v="2028-09-21T00:00:00"/>
        <d v="2028-09-22T00:00:00"/>
        <d v="2028-09-23T00:00:00"/>
        <d v="2028-09-24T00:00:00"/>
        <d v="2028-09-25T00:00:00"/>
        <d v="2028-09-26T00:00:00"/>
        <d v="2028-09-27T00:00:00"/>
        <d v="2028-09-28T00:00:00"/>
        <d v="2028-09-29T00:00:00"/>
        <d v="2028-09-30T00:00:00"/>
        <d v="2028-10-01T00:00:00"/>
        <d v="2028-10-02T00:00:00"/>
        <d v="2028-10-03T00:00:00"/>
        <d v="2028-10-04T00:00:00"/>
        <d v="2028-10-05T00:00:00"/>
        <d v="2028-10-06T00:00:00"/>
        <d v="2028-10-07T00:00:00"/>
        <d v="2028-10-08T00:00:00"/>
        <d v="2028-10-09T00:00:00"/>
        <d v="2028-10-10T00:00:00"/>
        <d v="2028-10-11T00:00:00"/>
        <d v="2028-10-12T00:00:00"/>
        <d v="2028-10-13T00:00:00"/>
        <d v="2028-10-14T00:00:00"/>
        <d v="2028-10-15T00:00:00"/>
        <d v="2028-10-16T00:00:00"/>
        <d v="2028-10-17T00:00:00"/>
        <d v="2028-10-18T00:00:00"/>
        <d v="2028-10-19T00:00:00"/>
        <d v="2028-10-20T00:00:00"/>
        <d v="2028-10-21T00:00:00"/>
        <d v="2028-10-22T00:00:00"/>
        <d v="2028-10-23T00:00:00"/>
        <d v="2028-10-24T00:00:00"/>
        <d v="2028-10-25T00:00:00"/>
        <d v="2028-10-26T00:00:00"/>
        <d v="2028-10-27T00:00:00"/>
        <d v="2028-10-28T00:00:00"/>
        <d v="2028-10-29T00:00:00"/>
        <d v="2028-10-30T00:00:00"/>
        <d v="2028-10-31T00:00:00"/>
        <d v="2028-11-01T00:00:00"/>
        <d v="2028-11-02T00:00:00"/>
        <d v="2028-11-03T00:00:00"/>
        <d v="2028-11-04T00:00:00"/>
        <d v="2028-11-05T00:00:00"/>
        <d v="2028-11-06T00:00:00"/>
        <d v="2028-11-07T00:00:00"/>
        <d v="2028-11-08T00:00:00"/>
        <d v="2028-11-09T00:00:00"/>
        <d v="2028-11-10T00:00:00"/>
        <d v="2028-11-11T00:00:00"/>
        <d v="2028-11-12T00:00:00"/>
        <d v="2028-11-13T00:00:00"/>
        <d v="2028-11-14T00:00:00"/>
        <d v="2028-11-15T00:00:00"/>
        <d v="2028-11-16T00:00:00"/>
        <d v="2028-11-17T00:00:00"/>
        <d v="2028-11-18T00:00:00"/>
        <d v="2028-11-19T00:00:00"/>
        <d v="2028-11-20T00:00:00"/>
        <d v="2028-11-21T00:00:00"/>
        <d v="2028-11-22T00:00:00"/>
        <d v="2028-11-23T00:00:00"/>
        <d v="2028-11-24T00:00:00"/>
        <d v="2028-11-25T00:00:00"/>
        <d v="2028-11-26T00:00:00"/>
        <d v="2028-11-27T00:00:00"/>
        <d v="2028-11-28T00:00:00"/>
        <d v="2028-11-29T00:00:00"/>
        <d v="2028-11-30T00:00:00"/>
        <d v="2028-12-01T00:00:00"/>
        <d v="2028-12-02T00:00:00"/>
        <d v="2028-12-03T00:00:00"/>
        <d v="2028-12-04T00:00:00"/>
        <d v="2028-12-05T00:00:00"/>
        <d v="2028-12-06T00:00:00"/>
        <d v="2028-12-07T00:00:00"/>
        <d v="2028-12-08T00:00:00"/>
        <d v="2028-12-09T00:00:00"/>
        <d v="2028-12-10T00:00:00"/>
        <d v="2028-12-11T00:00:00"/>
        <d v="2028-12-12T00:00:00"/>
        <d v="2028-12-13T00:00:00"/>
        <d v="2028-12-14T00:00:00"/>
        <d v="2028-12-15T00:00:00"/>
        <d v="2028-12-16T00:00:00"/>
        <d v="2028-12-17T00:00:00"/>
        <d v="2028-12-18T00:00:00"/>
        <d v="2028-12-19T00:00:00"/>
        <d v="2028-12-20T00:00:00"/>
        <d v="2028-12-21T00:00:00"/>
        <d v="2028-12-22T00:00:00"/>
        <d v="2028-12-23T00:00:00"/>
        <d v="2028-12-24T00:00:00"/>
        <d v="2028-12-25T00:00:00"/>
        <d v="2028-12-26T00:00:00"/>
        <d v="2028-12-27T00:00:00"/>
        <d v="2028-12-28T00:00:00"/>
        <d v="2028-12-29T00:00:00"/>
        <d v="2028-12-30T00:00:00"/>
      </sharedItems>
      <fieldGroup par="9"/>
    </cacheField>
    <cacheField name="Meses (FECHA)" numFmtId="0" databaseField="0">
      <fieldGroup base="6">
        <rangePr groupBy="months" startDate="2025-01-01T00:00:00" endDate="2028-12-31T00:00:00"/>
        <groupItems count="14">
          <s v="&lt;1/1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/12/2028"/>
        </groupItems>
      </fieldGroup>
    </cacheField>
    <cacheField name="Trimestres (FECHA)" numFmtId="0" databaseField="0">
      <fieldGroup base="6">
        <rangePr groupBy="quarters" startDate="2025-01-01T00:00:00" endDate="2028-12-31T00:00:00"/>
        <groupItems count="6">
          <s v="&lt;1/1/2025"/>
          <s v="Trim.1"/>
          <s v="Trim.2"/>
          <s v="Trim.3"/>
          <s v="Trim.4"/>
          <s v="&gt;31/12/2028"/>
        </groupItems>
      </fieldGroup>
    </cacheField>
    <cacheField name="Años (FECHA)" numFmtId="0" databaseField="0">
      <fieldGroup base="6">
        <rangePr groupBy="years" startDate="2025-01-01T00:00:00" endDate="2028-12-31T00:00:00"/>
        <groupItems count="6">
          <s v="&lt;1/1/2025"/>
          <s v="2025"/>
          <s v="2026"/>
          <s v="2027"/>
          <s v="2028"/>
          <s v="&gt;31/12/2028"/>
        </groupItems>
      </fieldGroup>
    </cacheField>
  </cacheFields>
  <extLst>
    <ext xmlns:x14="http://schemas.microsoft.com/office/spreadsheetml/2009/9/main" uri="{725AE2AE-9491-48be-B2B4-4EB974FC3084}">
      <x14:pivotCacheDefinition pivotCacheId="13162151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n v="1"/>
    <x v="0"/>
    <n v="11"/>
    <m/>
    <n v="0"/>
    <n v="0"/>
    <n v="0"/>
    <n v="0"/>
    <m/>
    <n v="0"/>
    <n v="0"/>
    <m/>
    <n v="14.098901098901099"/>
    <n v="0"/>
    <m/>
  </r>
  <r>
    <n v="2"/>
    <x v="1"/>
    <n v="7"/>
    <m/>
    <n v="0"/>
    <n v="0"/>
    <n v="0"/>
    <n v="0"/>
    <m/>
    <n v="0"/>
    <n v="0"/>
    <m/>
    <n v="14.098901098901099"/>
    <n v="0"/>
    <m/>
  </r>
  <r>
    <n v="3"/>
    <x v="2"/>
    <n v="4"/>
    <m/>
    <n v="0"/>
    <n v="0"/>
    <n v="0"/>
    <n v="0"/>
    <m/>
    <n v="0"/>
    <n v="0"/>
    <m/>
    <n v="14.098901098901099"/>
    <n v="0"/>
    <m/>
  </r>
  <r>
    <n v="4"/>
    <x v="3"/>
    <n v="8"/>
    <m/>
    <n v="0"/>
    <n v="0"/>
    <n v="0"/>
    <n v="0"/>
    <m/>
    <n v="0"/>
    <n v="0"/>
    <m/>
    <n v="14.098901098901099"/>
    <n v="0"/>
    <m/>
  </r>
  <r>
    <n v="5"/>
    <x v="4"/>
    <n v="5"/>
    <m/>
    <n v="0"/>
    <n v="0"/>
    <n v="0"/>
    <n v="0"/>
    <m/>
    <n v="0"/>
    <n v="0"/>
    <m/>
    <n v="14.098901098901099"/>
    <n v="0"/>
    <m/>
  </r>
  <r>
    <n v="6"/>
    <x v="5"/>
    <n v="8"/>
    <m/>
    <n v="0"/>
    <n v="0"/>
    <n v="0"/>
    <n v="0"/>
    <m/>
    <n v="0"/>
    <n v="0"/>
    <m/>
    <n v="14.098901098901099"/>
    <n v="0"/>
    <m/>
  </r>
  <r>
    <n v="7"/>
    <x v="6"/>
    <n v="14"/>
    <m/>
    <n v="0"/>
    <n v="0"/>
    <n v="0"/>
    <n v="0"/>
    <m/>
    <n v="0"/>
    <n v="0"/>
    <m/>
    <n v="14.098901098901099"/>
    <n v="0"/>
    <m/>
  </r>
  <r>
    <n v="8"/>
    <x v="7"/>
    <n v="6"/>
    <m/>
    <n v="0"/>
    <n v="0"/>
    <n v="0"/>
    <n v="0"/>
    <m/>
    <n v="0"/>
    <n v="0"/>
    <m/>
    <n v="14.098901098901099"/>
    <n v="0"/>
    <m/>
  </r>
  <r>
    <n v="9"/>
    <x v="8"/>
    <n v="31"/>
    <m/>
    <n v="0"/>
    <n v="0"/>
    <n v="0"/>
    <n v="0"/>
    <m/>
    <n v="0"/>
    <n v="0"/>
    <m/>
    <n v="14.098901098901099"/>
    <n v="0"/>
    <m/>
  </r>
  <r>
    <n v="10"/>
    <x v="9"/>
    <n v="7"/>
    <m/>
    <n v="0"/>
    <n v="0"/>
    <n v="0"/>
    <n v="0"/>
    <m/>
    <n v="0"/>
    <n v="0"/>
    <m/>
    <n v="14.098901098901099"/>
    <n v="0"/>
    <m/>
  </r>
  <r>
    <n v="11"/>
    <x v="10"/>
    <n v="7"/>
    <m/>
    <n v="0"/>
    <n v="0"/>
    <n v="0"/>
    <n v="0"/>
    <m/>
    <n v="0"/>
    <n v="0"/>
    <m/>
    <n v="14.098901098901099"/>
    <n v="0"/>
    <m/>
  </r>
  <r>
    <n v="12"/>
    <x v="11"/>
    <n v="19"/>
    <m/>
    <n v="0"/>
    <n v="0"/>
    <n v="0"/>
    <n v="0"/>
    <m/>
    <n v="0"/>
    <n v="0"/>
    <m/>
    <n v="14.098901098901099"/>
    <n v="0"/>
    <m/>
  </r>
  <r>
    <n v="13"/>
    <x v="12"/>
    <n v="5"/>
    <m/>
    <n v="0"/>
    <n v="0"/>
    <n v="0"/>
    <n v="0"/>
    <m/>
    <n v="0"/>
    <n v="0"/>
    <m/>
    <n v="14.098901098901099"/>
    <n v="0"/>
    <m/>
  </r>
  <r>
    <n v="14"/>
    <x v="13"/>
    <n v="6"/>
    <m/>
    <n v="0"/>
    <n v="0"/>
    <n v="0"/>
    <n v="0"/>
    <m/>
    <n v="0"/>
    <n v="0"/>
    <m/>
    <n v="14.098901098901099"/>
    <n v="0"/>
    <m/>
  </r>
  <r>
    <n v="15"/>
    <x v="14"/>
    <n v="7"/>
    <m/>
    <n v="0"/>
    <n v="0"/>
    <n v="0"/>
    <n v="0"/>
    <m/>
    <n v="0"/>
    <n v="0"/>
    <m/>
    <n v="14.098901098901099"/>
    <n v="0"/>
    <m/>
  </r>
  <r>
    <n v="16"/>
    <x v="15"/>
    <n v="5"/>
    <m/>
    <n v="0"/>
    <n v="0"/>
    <n v="0"/>
    <n v="0"/>
    <m/>
    <n v="0"/>
    <n v="0"/>
    <m/>
    <n v="14.098901098901099"/>
    <n v="0"/>
    <m/>
  </r>
  <r>
    <n v="17"/>
    <x v="16"/>
    <n v="14"/>
    <m/>
    <n v="0"/>
    <n v="0"/>
    <n v="0"/>
    <n v="0"/>
    <m/>
    <n v="0"/>
    <n v="0"/>
    <m/>
    <n v="14.098901098901099"/>
    <n v="0"/>
    <m/>
  </r>
  <r>
    <n v="18"/>
    <x v="17"/>
    <n v="25"/>
    <m/>
    <n v="0"/>
    <n v="0"/>
    <n v="0"/>
    <n v="0"/>
    <m/>
    <n v="0"/>
    <n v="0"/>
    <m/>
    <n v="14.098901098901099"/>
    <n v="0"/>
    <m/>
  </r>
  <r>
    <n v="19"/>
    <x v="18"/>
    <n v="2"/>
    <m/>
    <n v="0"/>
    <n v="0"/>
    <n v="0"/>
    <n v="0"/>
    <m/>
    <n v="0"/>
    <n v="0"/>
    <m/>
    <n v="14.098901098901099"/>
    <n v="0"/>
    <m/>
  </r>
  <r>
    <n v="20"/>
    <x v="19"/>
    <n v="4"/>
    <m/>
    <n v="0"/>
    <n v="0"/>
    <n v="0"/>
    <n v="0"/>
    <m/>
    <n v="0"/>
    <n v="0"/>
    <m/>
    <n v="14.098901098901099"/>
    <n v="0"/>
    <m/>
  </r>
  <r>
    <n v="21"/>
    <x v="20"/>
    <n v="11"/>
    <m/>
    <n v="0"/>
    <n v="0"/>
    <n v="0"/>
    <n v="0"/>
    <m/>
    <n v="0"/>
    <n v="0"/>
    <m/>
    <n v="14.098901098901099"/>
    <n v="0"/>
    <m/>
  </r>
  <r>
    <n v="22"/>
    <x v="21"/>
    <n v="22"/>
    <m/>
    <n v="0"/>
    <n v="0"/>
    <n v="0"/>
    <n v="0"/>
    <m/>
    <n v="0"/>
    <n v="0"/>
    <m/>
    <n v="14.098901098901099"/>
    <n v="0"/>
    <m/>
  </r>
  <r>
    <n v="23"/>
    <x v="22"/>
    <n v="8"/>
    <m/>
    <n v="0"/>
    <n v="0"/>
    <n v="0"/>
    <n v="0"/>
    <m/>
    <n v="0"/>
    <n v="0"/>
    <m/>
    <n v="14.098901098901099"/>
    <n v="0"/>
    <m/>
  </r>
  <r>
    <n v="24"/>
    <x v="23"/>
    <n v="10"/>
    <m/>
    <n v="0"/>
    <n v="0"/>
    <n v="0"/>
    <n v="0"/>
    <m/>
    <n v="0"/>
    <n v="0"/>
    <m/>
    <n v="14.098901098901099"/>
    <n v="0"/>
    <m/>
  </r>
  <r>
    <n v="25"/>
    <x v="24"/>
    <n v="11"/>
    <m/>
    <n v="0"/>
    <n v="0"/>
    <n v="0"/>
    <n v="0"/>
    <m/>
    <n v="0"/>
    <n v="0"/>
    <m/>
    <n v="14.098901098901099"/>
    <n v="0"/>
    <m/>
  </r>
  <r>
    <n v="26"/>
    <x v="25"/>
    <n v="16"/>
    <m/>
    <n v="0"/>
    <n v="0"/>
    <n v="0"/>
    <n v="0"/>
    <m/>
    <n v="0"/>
    <n v="0"/>
    <m/>
    <n v="14.098901098901099"/>
    <n v="0"/>
    <m/>
  </r>
  <r>
    <n v="27"/>
    <x v="26"/>
    <n v="17"/>
    <m/>
    <n v="0"/>
    <n v="0"/>
    <n v="0"/>
    <n v="0"/>
    <m/>
    <n v="0"/>
    <n v="0"/>
    <m/>
    <n v="14.098901098901099"/>
    <n v="0"/>
    <m/>
  </r>
  <r>
    <n v="28"/>
    <x v="27"/>
    <n v="12"/>
    <m/>
    <n v="0"/>
    <n v="0"/>
    <n v="0"/>
    <n v="0"/>
    <m/>
    <n v="0"/>
    <n v="0"/>
    <m/>
    <n v="14.098901098901099"/>
    <n v="0"/>
    <m/>
  </r>
  <r>
    <n v="29"/>
    <x v="28"/>
    <n v="7"/>
    <m/>
    <n v="0"/>
    <n v="0"/>
    <n v="0"/>
    <n v="0"/>
    <m/>
    <n v="0"/>
    <n v="0"/>
    <m/>
    <n v="14.098901098901099"/>
    <n v="0"/>
    <m/>
  </r>
  <r>
    <n v="30"/>
    <x v="29"/>
    <n v="4"/>
    <m/>
    <n v="0"/>
    <n v="0"/>
    <n v="0"/>
    <n v="0"/>
    <m/>
    <n v="0"/>
    <n v="0"/>
    <m/>
    <n v="14.098901098901099"/>
    <n v="0"/>
    <m/>
  </r>
  <r>
    <n v="31"/>
    <x v="30"/>
    <n v="25"/>
    <m/>
    <n v="0"/>
    <n v="0"/>
    <n v="0"/>
    <n v="0"/>
    <m/>
    <n v="0"/>
    <n v="0"/>
    <m/>
    <n v="14.098901098901099"/>
    <n v="0"/>
    <m/>
  </r>
  <r>
    <n v="32"/>
    <x v="31"/>
    <n v="2"/>
    <m/>
    <n v="0"/>
    <n v="0"/>
    <n v="0"/>
    <n v="0"/>
    <m/>
    <n v="0"/>
    <n v="0"/>
    <m/>
    <n v="14.098901098901099"/>
    <n v="0"/>
    <m/>
  </r>
  <r>
    <n v="33"/>
    <x v="32"/>
    <n v="14"/>
    <m/>
    <n v="0"/>
    <n v="0"/>
    <n v="0"/>
    <n v="0"/>
    <m/>
    <n v="0"/>
    <n v="0"/>
    <m/>
    <n v="14.098901098901099"/>
    <n v="0"/>
    <m/>
  </r>
  <r>
    <n v="34"/>
    <x v="33"/>
    <n v="13"/>
    <m/>
    <n v="0"/>
    <n v="0"/>
    <n v="0"/>
    <n v="0"/>
    <m/>
    <n v="0"/>
    <n v="0"/>
    <m/>
    <n v="14.098901098901099"/>
    <n v="0"/>
    <m/>
  </r>
  <r>
    <n v="35"/>
    <x v="34"/>
    <n v="25"/>
    <m/>
    <n v="0"/>
    <n v="0"/>
    <n v="0"/>
    <n v="0"/>
    <m/>
    <n v="0"/>
    <n v="0"/>
    <m/>
    <n v="14.098901098901099"/>
    <n v="0"/>
    <m/>
  </r>
  <r>
    <n v="36"/>
    <x v="35"/>
    <n v="13"/>
    <m/>
    <n v="0"/>
    <n v="0"/>
    <n v="0"/>
    <n v="0"/>
    <m/>
    <n v="0"/>
    <n v="0"/>
    <m/>
    <n v="14.098901098901099"/>
    <n v="0"/>
    <m/>
  </r>
  <r>
    <n v="37"/>
    <x v="36"/>
    <n v="8"/>
    <m/>
    <n v="0"/>
    <n v="0"/>
    <n v="0"/>
    <n v="0"/>
    <m/>
    <n v="0"/>
    <n v="0"/>
    <m/>
    <n v="14.098901098901099"/>
    <n v="0"/>
    <m/>
  </r>
  <r>
    <n v="38"/>
    <x v="37"/>
    <n v="17"/>
    <m/>
    <n v="0"/>
    <n v="0"/>
    <n v="0"/>
    <n v="0"/>
    <m/>
    <n v="0"/>
    <n v="0"/>
    <m/>
    <n v="14.098901098901099"/>
    <n v="0"/>
    <m/>
  </r>
  <r>
    <n v="39"/>
    <x v="38"/>
    <n v="24"/>
    <m/>
    <n v="0"/>
    <n v="0"/>
    <n v="0"/>
    <n v="0"/>
    <m/>
    <n v="0"/>
    <n v="0"/>
    <m/>
    <n v="14.098901098901099"/>
    <n v="0"/>
    <m/>
  </r>
  <r>
    <n v="40"/>
    <x v="39"/>
    <n v="6"/>
    <m/>
    <n v="0"/>
    <n v="0"/>
    <n v="0"/>
    <n v="0"/>
    <m/>
    <n v="0"/>
    <n v="0"/>
    <m/>
    <n v="14.098901098901099"/>
    <n v="0"/>
    <m/>
  </r>
  <r>
    <n v="41"/>
    <x v="40"/>
    <n v="19"/>
    <m/>
    <n v="0"/>
    <n v="0"/>
    <n v="0"/>
    <n v="0"/>
    <m/>
    <n v="0"/>
    <n v="0"/>
    <m/>
    <n v="14.098901098901099"/>
    <n v="0"/>
    <m/>
  </r>
  <r>
    <n v="42"/>
    <x v="41"/>
    <n v="33"/>
    <m/>
    <n v="0"/>
    <n v="0"/>
    <n v="0"/>
    <n v="0"/>
    <m/>
    <n v="0"/>
    <n v="0"/>
    <m/>
    <n v="14.098901098901099"/>
    <n v="0"/>
    <m/>
  </r>
  <r>
    <n v="43"/>
    <x v="42"/>
    <n v="7"/>
    <m/>
    <n v="0"/>
    <n v="0"/>
    <n v="0"/>
    <n v="0"/>
    <m/>
    <n v="0"/>
    <n v="0"/>
    <m/>
    <n v="14.098901098901099"/>
    <n v="0"/>
    <m/>
  </r>
  <r>
    <n v="44"/>
    <x v="43"/>
    <n v="18"/>
    <m/>
    <n v="0"/>
    <n v="0"/>
    <n v="0"/>
    <n v="0"/>
    <m/>
    <n v="0"/>
    <n v="0"/>
    <m/>
    <n v="14.098901098901099"/>
    <n v="0"/>
    <m/>
  </r>
  <r>
    <n v="45"/>
    <x v="44"/>
    <n v="12"/>
    <m/>
    <n v="0"/>
    <n v="0"/>
    <n v="0"/>
    <n v="0"/>
    <m/>
    <n v="0"/>
    <n v="0"/>
    <m/>
    <n v="14.098901098901099"/>
    <n v="0"/>
    <m/>
  </r>
  <r>
    <n v="46"/>
    <x v="45"/>
    <n v="7"/>
    <m/>
    <n v="0"/>
    <n v="0"/>
    <n v="0"/>
    <n v="0"/>
    <m/>
    <n v="0"/>
    <n v="0"/>
    <m/>
    <n v="14.098901098901099"/>
    <n v="0"/>
    <m/>
  </r>
  <r>
    <n v="47"/>
    <x v="46"/>
    <n v="3"/>
    <m/>
    <n v="0"/>
    <n v="0"/>
    <n v="0"/>
    <n v="0"/>
    <m/>
    <n v="0"/>
    <n v="0"/>
    <m/>
    <n v="14.098901098901099"/>
    <n v="0"/>
    <m/>
  </r>
  <r>
    <n v="48"/>
    <x v="47"/>
    <n v="25"/>
    <m/>
    <n v="0"/>
    <n v="0"/>
    <n v="0"/>
    <n v="0"/>
    <m/>
    <n v="0"/>
    <n v="0"/>
    <m/>
    <n v="14.098901098901099"/>
    <n v="0"/>
    <m/>
  </r>
  <r>
    <n v="49"/>
    <x v="48"/>
    <n v="15"/>
    <m/>
    <n v="0"/>
    <n v="0"/>
    <n v="0"/>
    <n v="0"/>
    <m/>
    <n v="0"/>
    <n v="0"/>
    <m/>
    <n v="14.098901098901099"/>
    <n v="0"/>
    <m/>
  </r>
  <r>
    <n v="50"/>
    <x v="49"/>
    <n v="38"/>
    <m/>
    <n v="0"/>
    <n v="0"/>
    <n v="0"/>
    <n v="0"/>
    <m/>
    <n v="0"/>
    <n v="0"/>
    <m/>
    <n v="14.098901098901099"/>
    <n v="0"/>
    <m/>
  </r>
  <r>
    <n v="51"/>
    <x v="50"/>
    <n v="28"/>
    <m/>
    <n v="0"/>
    <n v="0"/>
    <n v="0"/>
    <n v="0"/>
    <m/>
    <n v="0"/>
    <n v="0"/>
    <m/>
    <n v="14.098901098901099"/>
    <n v="0"/>
    <m/>
  </r>
  <r>
    <n v="52"/>
    <x v="51"/>
    <n v="22"/>
    <m/>
    <n v="0"/>
    <n v="0"/>
    <n v="0"/>
    <n v="0"/>
    <m/>
    <n v="0"/>
    <n v="0"/>
    <m/>
    <n v="14.098901098901099"/>
    <n v="0"/>
    <m/>
  </r>
  <r>
    <n v="53"/>
    <x v="52"/>
    <n v="5"/>
    <m/>
    <n v="0"/>
    <n v="0"/>
    <n v="0"/>
    <n v="0"/>
    <m/>
    <n v="0"/>
    <n v="0"/>
    <m/>
    <n v="14.098901098901099"/>
    <n v="0"/>
    <m/>
  </r>
  <r>
    <n v="54"/>
    <x v="53"/>
    <n v="22"/>
    <m/>
    <n v="0"/>
    <n v="0"/>
    <n v="0"/>
    <n v="0"/>
    <m/>
    <n v="0"/>
    <n v="0"/>
    <m/>
    <n v="14.098901098901099"/>
    <n v="0"/>
    <m/>
  </r>
  <r>
    <n v="55"/>
    <x v="54"/>
    <n v="6"/>
    <m/>
    <n v="0"/>
    <n v="0"/>
    <n v="0"/>
    <n v="0"/>
    <m/>
    <n v="0"/>
    <n v="0"/>
    <m/>
    <n v="14.098901098901099"/>
    <n v="0"/>
    <m/>
  </r>
  <r>
    <n v="56"/>
    <x v="55"/>
    <n v="10"/>
    <m/>
    <n v="0"/>
    <n v="0"/>
    <n v="0"/>
    <n v="0"/>
    <m/>
    <n v="0"/>
    <n v="0"/>
    <m/>
    <n v="14.098901098901099"/>
    <n v="0"/>
    <m/>
  </r>
  <r>
    <n v="57"/>
    <x v="56"/>
    <n v="14"/>
    <m/>
    <n v="0"/>
    <n v="0"/>
    <n v="0"/>
    <n v="0"/>
    <m/>
    <n v="0"/>
    <n v="0"/>
    <m/>
    <n v="14.098901098901099"/>
    <n v="0"/>
    <m/>
  </r>
  <r>
    <n v="58"/>
    <x v="57"/>
    <n v="23"/>
    <m/>
    <n v="0"/>
    <n v="0"/>
    <n v="0"/>
    <n v="0"/>
    <m/>
    <n v="0"/>
    <n v="0"/>
    <m/>
    <n v="14.098901098901099"/>
    <n v="0"/>
    <m/>
  </r>
  <r>
    <n v="59"/>
    <x v="58"/>
    <n v="40"/>
    <m/>
    <n v="0"/>
    <n v="0"/>
    <n v="0"/>
    <n v="0"/>
    <m/>
    <n v="0"/>
    <n v="0"/>
    <m/>
    <n v="14.098901098901099"/>
    <n v="0"/>
    <m/>
  </r>
  <r>
    <n v="60"/>
    <x v="59"/>
    <n v="18"/>
    <m/>
    <n v="0"/>
    <n v="0"/>
    <n v="0"/>
    <n v="0"/>
    <m/>
    <n v="0"/>
    <n v="0"/>
    <m/>
    <n v="14.098901098901099"/>
    <n v="0"/>
    <m/>
  </r>
  <r>
    <n v="61"/>
    <x v="60"/>
    <n v="15"/>
    <m/>
    <n v="0"/>
    <n v="0"/>
    <n v="0"/>
    <n v="0"/>
    <m/>
    <n v="0"/>
    <n v="0"/>
    <m/>
    <n v="14.098901098901099"/>
    <n v="0"/>
    <m/>
  </r>
  <r>
    <n v="62"/>
    <x v="61"/>
    <n v="41"/>
    <m/>
    <n v="0"/>
    <n v="0"/>
    <n v="0"/>
    <n v="0"/>
    <m/>
    <n v="0"/>
    <n v="0"/>
    <m/>
    <n v="14.098901098901099"/>
    <n v="0"/>
    <m/>
  </r>
  <r>
    <n v="63"/>
    <x v="62"/>
    <n v="30"/>
    <m/>
    <n v="0"/>
    <n v="0"/>
    <n v="0"/>
    <n v="0"/>
    <m/>
    <n v="0"/>
    <n v="0"/>
    <m/>
    <n v="14.098901098901099"/>
    <n v="0"/>
    <m/>
  </r>
  <r>
    <n v="64"/>
    <x v="63"/>
    <n v="23"/>
    <m/>
    <n v="0"/>
    <n v="0"/>
    <n v="0"/>
    <n v="0"/>
    <m/>
    <n v="0"/>
    <n v="0"/>
    <m/>
    <n v="14.098901098901099"/>
    <n v="0"/>
    <m/>
  </r>
  <r>
    <n v="65"/>
    <x v="64"/>
    <n v="17"/>
    <m/>
    <n v="0"/>
    <n v="0"/>
    <n v="0"/>
    <n v="0"/>
    <m/>
    <n v="0"/>
    <n v="0"/>
    <m/>
    <n v="14.098901098901099"/>
    <n v="0"/>
    <m/>
  </r>
  <r>
    <n v="66"/>
    <x v="65"/>
    <n v="28"/>
    <m/>
    <n v="0"/>
    <n v="0"/>
    <n v="0"/>
    <n v="0"/>
    <m/>
    <n v="0"/>
    <n v="0"/>
    <m/>
    <n v="14.098901098901099"/>
    <n v="0"/>
    <m/>
  </r>
  <r>
    <n v="67"/>
    <x v="66"/>
    <n v="33"/>
    <m/>
    <n v="0"/>
    <n v="0"/>
    <n v="0"/>
    <n v="0"/>
    <m/>
    <n v="0"/>
    <n v="0"/>
    <m/>
    <n v="14.098901098901099"/>
    <n v="0"/>
    <m/>
  </r>
  <r>
    <n v="68"/>
    <x v="67"/>
    <n v="28"/>
    <m/>
    <n v="0"/>
    <n v="0"/>
    <n v="0"/>
    <n v="0"/>
    <m/>
    <n v="0"/>
    <n v="0"/>
    <m/>
    <n v="14.098901098901099"/>
    <n v="0"/>
    <m/>
  </r>
  <r>
    <n v="69"/>
    <x v="68"/>
    <n v="17"/>
    <m/>
    <n v="0"/>
    <n v="0"/>
    <n v="0"/>
    <n v="0"/>
    <m/>
    <n v="0"/>
    <n v="0"/>
    <m/>
    <n v="14.098901098901099"/>
    <n v="0"/>
    <m/>
  </r>
  <r>
    <n v="70"/>
    <x v="69"/>
    <n v="55"/>
    <m/>
    <n v="0"/>
    <n v="0"/>
    <n v="0"/>
    <n v="0"/>
    <m/>
    <n v="0"/>
    <n v="0"/>
    <m/>
    <n v="14.098901098901099"/>
    <n v="0"/>
    <m/>
  </r>
  <r>
    <n v="71"/>
    <x v="70"/>
    <n v="15"/>
    <m/>
    <n v="0"/>
    <n v="0"/>
    <n v="0"/>
    <n v="0"/>
    <m/>
    <n v="0"/>
    <n v="0"/>
    <m/>
    <n v="14.098901098901099"/>
    <n v="0"/>
    <m/>
  </r>
  <r>
    <n v="72"/>
    <x v="71"/>
    <n v="35"/>
    <m/>
    <n v="0"/>
    <n v="0"/>
    <n v="0"/>
    <n v="0"/>
    <m/>
    <n v="0"/>
    <n v="0"/>
    <m/>
    <n v="14.098901098901099"/>
    <n v="0"/>
    <m/>
  </r>
  <r>
    <n v="73"/>
    <x v="72"/>
    <n v="50"/>
    <m/>
    <n v="0"/>
    <n v="0"/>
    <n v="0"/>
    <n v="0"/>
    <m/>
    <n v="0"/>
    <n v="0"/>
    <m/>
    <n v="14.098901098901099"/>
    <n v="0"/>
    <m/>
  </r>
  <r>
    <n v="74"/>
    <x v="73"/>
    <n v="39"/>
    <m/>
    <n v="0"/>
    <n v="0"/>
    <n v="0"/>
    <n v="0"/>
    <m/>
    <n v="0"/>
    <n v="0"/>
    <m/>
    <n v="14.098901098901099"/>
    <n v="0"/>
    <m/>
  </r>
  <r>
    <n v="75"/>
    <x v="74"/>
    <n v="50"/>
    <m/>
    <n v="0"/>
    <n v="0"/>
    <n v="0"/>
    <n v="0"/>
    <m/>
    <n v="0"/>
    <n v="0"/>
    <m/>
    <n v="14.098901098901099"/>
    <n v="0"/>
    <m/>
  </r>
  <r>
    <n v="76"/>
    <x v="75"/>
    <n v="35"/>
    <m/>
    <n v="0"/>
    <n v="0"/>
    <n v="0"/>
    <n v="0"/>
    <m/>
    <n v="0"/>
    <n v="0"/>
    <m/>
    <n v="14.098901098901099"/>
    <n v="0"/>
    <m/>
  </r>
  <r>
    <n v="77"/>
    <x v="76"/>
    <n v="45"/>
    <m/>
    <n v="0"/>
    <n v="0"/>
    <n v="0"/>
    <n v="0"/>
    <m/>
    <n v="0"/>
    <n v="0"/>
    <m/>
    <n v="14.098901098901099"/>
    <n v="0"/>
    <m/>
  </r>
  <r>
    <n v="78"/>
    <x v="77"/>
    <n v="69"/>
    <m/>
    <n v="0"/>
    <n v="0"/>
    <n v="0"/>
    <n v="0"/>
    <m/>
    <n v="0"/>
    <n v="0"/>
    <m/>
    <n v="14.098901098901099"/>
    <n v="0"/>
    <m/>
  </r>
  <r>
    <n v="79"/>
    <x v="78"/>
    <n v="38"/>
    <m/>
    <n v="0"/>
    <n v="0"/>
    <n v="0"/>
    <n v="0"/>
    <m/>
    <n v="0"/>
    <n v="0"/>
    <m/>
    <n v="14.098901098901099"/>
    <n v="0"/>
    <m/>
  </r>
  <r>
    <n v="80"/>
    <x v="79"/>
    <n v="23"/>
    <m/>
    <n v="0"/>
    <n v="0"/>
    <n v="0"/>
    <n v="0"/>
    <m/>
    <n v="0"/>
    <n v="0"/>
    <m/>
    <n v="14.098901098901099"/>
    <n v="0"/>
    <m/>
  </r>
  <r>
    <n v="81"/>
    <x v="80"/>
    <n v="19"/>
    <m/>
    <n v="0"/>
    <n v="0"/>
    <n v="0"/>
    <n v="0"/>
    <m/>
    <n v="0"/>
    <n v="0"/>
    <m/>
    <n v="14.098901098901099"/>
    <n v="0"/>
    <m/>
  </r>
  <r>
    <n v="82"/>
    <x v="81"/>
    <n v="42"/>
    <m/>
    <n v="0"/>
    <n v="0"/>
    <n v="0"/>
    <n v="0"/>
    <m/>
    <n v="0"/>
    <n v="0"/>
    <m/>
    <n v="14.098901098901099"/>
    <n v="0"/>
    <m/>
  </r>
  <r>
    <n v="83"/>
    <x v="82"/>
    <n v="39"/>
    <m/>
    <n v="0"/>
    <n v="0"/>
    <n v="0"/>
    <n v="0"/>
    <m/>
    <n v="0"/>
    <n v="0"/>
    <m/>
    <n v="14.098901098901099"/>
    <n v="0"/>
    <m/>
  </r>
  <r>
    <n v="84"/>
    <x v="83"/>
    <n v="27"/>
    <m/>
    <n v="0"/>
    <n v="0"/>
    <n v="0"/>
    <n v="0"/>
    <m/>
    <n v="0"/>
    <n v="0"/>
    <m/>
    <n v="14.098901098901099"/>
    <n v="0"/>
    <m/>
  </r>
  <r>
    <n v="85"/>
    <x v="84"/>
    <n v="19"/>
    <m/>
    <n v="0"/>
    <n v="0"/>
    <n v="0"/>
    <n v="0"/>
    <m/>
    <n v="0"/>
    <n v="0"/>
    <m/>
    <n v="14.098901098901099"/>
    <n v="0"/>
    <m/>
  </r>
  <r>
    <n v="86"/>
    <x v="85"/>
    <n v="22"/>
    <m/>
    <n v="0"/>
    <n v="0"/>
    <n v="0"/>
    <n v="0"/>
    <m/>
    <n v="0"/>
    <n v="0"/>
    <m/>
    <n v="14.098901098901099"/>
    <n v="0"/>
    <m/>
  </r>
  <r>
    <n v="87"/>
    <x v="86"/>
    <n v="32"/>
    <m/>
    <n v="0"/>
    <n v="0"/>
    <n v="0"/>
    <n v="0"/>
    <m/>
    <n v="0"/>
    <n v="0"/>
    <m/>
    <n v="14.098901098901099"/>
    <n v="0"/>
    <m/>
  </r>
  <r>
    <n v="88"/>
    <x v="87"/>
    <n v="27"/>
    <m/>
    <n v="0"/>
    <n v="0"/>
    <n v="0"/>
    <n v="0"/>
    <m/>
    <n v="0"/>
    <n v="0"/>
    <m/>
    <n v="14.098901098901099"/>
    <n v="0"/>
    <m/>
  </r>
  <r>
    <n v="89"/>
    <x v="88"/>
    <n v="36"/>
    <m/>
    <n v="0"/>
    <n v="0"/>
    <n v="0"/>
    <n v="0"/>
    <m/>
    <n v="0"/>
    <n v="0"/>
    <m/>
    <n v="14.098901098901099"/>
    <n v="0"/>
    <m/>
  </r>
  <r>
    <n v="90"/>
    <x v="89"/>
    <n v="50"/>
    <m/>
    <n v="0"/>
    <n v="0"/>
    <n v="0"/>
    <n v="0"/>
    <m/>
    <n v="0"/>
    <n v="0"/>
    <m/>
    <n v="14.098901098901099"/>
    <n v="0"/>
    <m/>
  </r>
  <r>
    <n v="91"/>
    <x v="90"/>
    <n v="27"/>
    <m/>
    <n v="0"/>
    <n v="0"/>
    <n v="0"/>
    <n v="0"/>
    <m/>
    <n v="0"/>
    <n v="0"/>
    <m/>
    <n v="14.098901098901099"/>
    <n v="0"/>
    <m/>
  </r>
  <r>
    <n v="92"/>
    <x v="91"/>
    <n v="56"/>
    <m/>
    <n v="0"/>
    <n v="0"/>
    <n v="0"/>
    <n v="0"/>
    <m/>
    <n v="0"/>
    <n v="0"/>
    <m/>
    <n v="14.098901098901099"/>
    <n v="0"/>
    <m/>
  </r>
  <r>
    <n v="93"/>
    <x v="92"/>
    <n v="43"/>
    <m/>
    <n v="0"/>
    <n v="0"/>
    <n v="0"/>
    <n v="0"/>
    <m/>
    <n v="0"/>
    <n v="0"/>
    <m/>
    <n v="14.098901098901099"/>
    <n v="0"/>
    <m/>
  </r>
  <r>
    <n v="94"/>
    <x v="93"/>
    <n v="37"/>
    <m/>
    <n v="0"/>
    <n v="0"/>
    <n v="0"/>
    <n v="0"/>
    <m/>
    <n v="0"/>
    <n v="0"/>
    <m/>
    <n v="14.098901098901099"/>
    <n v="0"/>
    <m/>
  </r>
  <r>
    <n v="95"/>
    <x v="94"/>
    <n v="39"/>
    <m/>
    <n v="0"/>
    <n v="0"/>
    <n v="0"/>
    <n v="0"/>
    <m/>
    <n v="0"/>
    <n v="0"/>
    <m/>
    <n v="14.098901098901099"/>
    <n v="0"/>
    <m/>
  </r>
  <r>
    <n v="96"/>
    <x v="95"/>
    <n v="56"/>
    <m/>
    <n v="0"/>
    <n v="0"/>
    <n v="0"/>
    <n v="0"/>
    <m/>
    <n v="0"/>
    <n v="0"/>
    <m/>
    <n v="14.098901098901099"/>
    <n v="0"/>
    <m/>
  </r>
  <r>
    <n v="97"/>
    <x v="96"/>
    <n v="38"/>
    <m/>
    <n v="0"/>
    <n v="0"/>
    <n v="0"/>
    <n v="0"/>
    <m/>
    <n v="0"/>
    <n v="0"/>
    <m/>
    <n v="14.098901098901099"/>
    <n v="0"/>
    <m/>
  </r>
  <r>
    <n v="98"/>
    <x v="97"/>
    <n v="32"/>
    <m/>
    <n v="0"/>
    <n v="0"/>
    <n v="0"/>
    <n v="0"/>
    <m/>
    <n v="0"/>
    <n v="0"/>
    <m/>
    <n v="14.098901098901099"/>
    <n v="0"/>
    <m/>
  </r>
  <r>
    <n v="99"/>
    <x v="98"/>
    <n v="34"/>
    <m/>
    <n v="0"/>
    <n v="0"/>
    <n v="0"/>
    <n v="0"/>
    <m/>
    <n v="0"/>
    <n v="0"/>
    <m/>
    <n v="14.098901098901099"/>
    <n v="0"/>
    <m/>
  </r>
  <r>
    <n v="100"/>
    <x v="99"/>
    <n v="40"/>
    <m/>
    <n v="0"/>
    <n v="0"/>
    <n v="0"/>
    <n v="0"/>
    <m/>
    <n v="0"/>
    <n v="0"/>
    <m/>
    <n v="14.098901098901099"/>
    <n v="0"/>
    <m/>
  </r>
  <r>
    <n v="101"/>
    <x v="100"/>
    <n v="30"/>
    <m/>
    <n v="0"/>
    <n v="0"/>
    <n v="0"/>
    <n v="0"/>
    <m/>
    <n v="0"/>
    <n v="0"/>
    <m/>
    <n v="14.098901098901099"/>
    <n v="0"/>
    <m/>
  </r>
  <r>
    <n v="102"/>
    <x v="101"/>
    <n v="42"/>
    <m/>
    <n v="0"/>
    <n v="0"/>
    <n v="0"/>
    <n v="0"/>
    <m/>
    <n v="0"/>
    <n v="0"/>
    <m/>
    <n v="14.098901098901099"/>
    <n v="0"/>
    <m/>
  </r>
  <r>
    <n v="103"/>
    <x v="102"/>
    <n v="31"/>
    <m/>
    <n v="0"/>
    <n v="0"/>
    <n v="0"/>
    <n v="0"/>
    <m/>
    <n v="0"/>
    <n v="0"/>
    <m/>
    <n v="14.098901098901099"/>
    <n v="0"/>
    <m/>
  </r>
  <r>
    <n v="104"/>
    <x v="103"/>
    <n v="56"/>
    <m/>
    <n v="0"/>
    <n v="0"/>
    <n v="0"/>
    <n v="0"/>
    <m/>
    <n v="0"/>
    <n v="0"/>
    <m/>
    <n v="14.098901098901099"/>
    <n v="0"/>
    <m/>
  </r>
  <r>
    <n v="105"/>
    <x v="104"/>
    <n v="26"/>
    <m/>
    <n v="0"/>
    <n v="0"/>
    <n v="0"/>
    <n v="0"/>
    <m/>
    <n v="0"/>
    <n v="0"/>
    <m/>
    <n v="14.098901098901099"/>
    <n v="0"/>
    <m/>
  </r>
  <r>
    <n v="106"/>
    <x v="105"/>
    <n v="42"/>
    <m/>
    <n v="0"/>
    <n v="0"/>
    <n v="0"/>
    <n v="0"/>
    <m/>
    <n v="0"/>
    <n v="0"/>
    <m/>
    <n v="14.098901098901099"/>
    <n v="0"/>
    <m/>
  </r>
  <r>
    <n v="107"/>
    <x v="106"/>
    <n v="59"/>
    <m/>
    <n v="0"/>
    <n v="0"/>
    <n v="0"/>
    <n v="0"/>
    <m/>
    <n v="0"/>
    <n v="0"/>
    <m/>
    <n v="14.098901098901099"/>
    <n v="0"/>
    <m/>
  </r>
  <r>
    <n v="108"/>
    <x v="107"/>
    <n v="37"/>
    <m/>
    <n v="0"/>
    <n v="0"/>
    <n v="0"/>
    <n v="0"/>
    <m/>
    <n v="0"/>
    <n v="0"/>
    <m/>
    <n v="14.098901098901099"/>
    <n v="0"/>
    <m/>
  </r>
  <r>
    <n v="109"/>
    <x v="108"/>
    <n v="50"/>
    <m/>
    <n v="0"/>
    <n v="0"/>
    <n v="0"/>
    <n v="0"/>
    <m/>
    <n v="0"/>
    <n v="0"/>
    <m/>
    <n v="14.098901098901099"/>
    <n v="0"/>
    <m/>
  </r>
  <r>
    <n v="110"/>
    <x v="109"/>
    <n v="51"/>
    <m/>
    <n v="0"/>
    <n v="0"/>
    <n v="0"/>
    <n v="0"/>
    <m/>
    <n v="0"/>
    <n v="0"/>
    <m/>
    <n v="14.098901098901099"/>
    <n v="0"/>
    <m/>
  </r>
  <r>
    <n v="111"/>
    <x v="110"/>
    <n v="63"/>
    <m/>
    <n v="0"/>
    <n v="0"/>
    <n v="0"/>
    <n v="0"/>
    <m/>
    <n v="0"/>
    <n v="0"/>
    <m/>
    <n v="14.098901098901099"/>
    <n v="0"/>
    <m/>
  </r>
  <r>
    <n v="112"/>
    <x v="111"/>
    <n v="53"/>
    <m/>
    <n v="0"/>
    <n v="0"/>
    <n v="0"/>
    <n v="0"/>
    <m/>
    <n v="0"/>
    <n v="0"/>
    <m/>
    <n v="14.098901098901099"/>
    <n v="0"/>
    <m/>
  </r>
  <r>
    <n v="113"/>
    <x v="112"/>
    <n v="24"/>
    <m/>
    <n v="0"/>
    <n v="0"/>
    <n v="0"/>
    <n v="0"/>
    <m/>
    <n v="0"/>
    <n v="0"/>
    <m/>
    <n v="14.098901098901099"/>
    <n v="0"/>
    <m/>
  </r>
  <r>
    <n v="114"/>
    <x v="113"/>
    <n v="61"/>
    <m/>
    <n v="0"/>
    <n v="0"/>
    <n v="0"/>
    <n v="0"/>
    <m/>
    <n v="0"/>
    <n v="0"/>
    <m/>
    <n v="14.098901098901099"/>
    <n v="0"/>
    <m/>
  </r>
  <r>
    <n v="115"/>
    <x v="114"/>
    <n v="44"/>
    <m/>
    <n v="0"/>
    <n v="0"/>
    <n v="0"/>
    <n v="0"/>
    <m/>
    <n v="0"/>
    <n v="0"/>
    <m/>
    <n v="14.098901098901099"/>
    <n v="0"/>
    <m/>
  </r>
  <r>
    <n v="116"/>
    <x v="115"/>
    <n v="58"/>
    <m/>
    <n v="0"/>
    <n v="0"/>
    <n v="0"/>
    <n v="0"/>
    <m/>
    <n v="0"/>
    <n v="0"/>
    <m/>
    <n v="14.098901098901099"/>
    <n v="0"/>
    <m/>
  </r>
  <r>
    <n v="117"/>
    <x v="116"/>
    <n v="103"/>
    <m/>
    <n v="0"/>
    <n v="0"/>
    <n v="0"/>
    <n v="0"/>
    <m/>
    <n v="0"/>
    <n v="0"/>
    <m/>
    <n v="14.098901098901099"/>
    <n v="0"/>
    <m/>
  </r>
  <r>
    <n v="118"/>
    <x v="117"/>
    <n v="22"/>
    <m/>
    <n v="0"/>
    <n v="0"/>
    <n v="0"/>
    <n v="0"/>
    <m/>
    <n v="0"/>
    <n v="0"/>
    <m/>
    <n v="14.098901098901099"/>
    <n v="0"/>
    <m/>
  </r>
  <r>
    <n v="119"/>
    <x v="118"/>
    <n v="52"/>
    <m/>
    <n v="0"/>
    <n v="0"/>
    <n v="0"/>
    <n v="0"/>
    <m/>
    <n v="0"/>
    <n v="0"/>
    <m/>
    <n v="14.098901098901099"/>
    <n v="0"/>
    <m/>
  </r>
  <r>
    <n v="120"/>
    <x v="119"/>
    <n v="64"/>
    <m/>
    <n v="0"/>
    <n v="0"/>
    <n v="0"/>
    <n v="0"/>
    <m/>
    <n v="0"/>
    <n v="0"/>
    <m/>
    <n v="14.098901098901099"/>
    <n v="0"/>
    <m/>
  </r>
  <r>
    <n v="121"/>
    <x v="120"/>
    <n v="55"/>
    <m/>
    <n v="0"/>
    <n v="0"/>
    <n v="0"/>
    <n v="0"/>
    <m/>
    <n v="0"/>
    <n v="0"/>
    <m/>
    <n v="14.098901098901099"/>
    <n v="0"/>
    <m/>
  </r>
  <r>
    <n v="122"/>
    <x v="121"/>
    <n v="60"/>
    <m/>
    <n v="0"/>
    <n v="0"/>
    <n v="0"/>
    <n v="0"/>
    <m/>
    <n v="0"/>
    <n v="0"/>
    <m/>
    <n v="14.098901098901099"/>
    <n v="0"/>
    <m/>
  </r>
  <r>
    <n v="123"/>
    <x v="122"/>
    <n v="53"/>
    <m/>
    <n v="0"/>
    <n v="0"/>
    <n v="0"/>
    <n v="0"/>
    <m/>
    <n v="0"/>
    <n v="0"/>
    <m/>
    <n v="14.098901098901099"/>
    <n v="0"/>
    <m/>
  </r>
  <r>
    <n v="124"/>
    <x v="123"/>
    <n v="58"/>
    <m/>
    <n v="0"/>
    <n v="0"/>
    <n v="0"/>
    <n v="0"/>
    <m/>
    <n v="0"/>
    <n v="0"/>
    <m/>
    <n v="14.098901098901099"/>
    <n v="0"/>
    <m/>
  </r>
  <r>
    <n v="125"/>
    <x v="124"/>
    <n v="30"/>
    <m/>
    <n v="0"/>
    <n v="0"/>
    <n v="0"/>
    <n v="0"/>
    <m/>
    <n v="0"/>
    <n v="0"/>
    <m/>
    <n v="14.098901098901099"/>
    <n v="0"/>
    <m/>
  </r>
  <r>
    <n v="126"/>
    <x v="125"/>
    <n v="72"/>
    <m/>
    <n v="0"/>
    <n v="0"/>
    <n v="0"/>
    <n v="0"/>
    <m/>
    <n v="0"/>
    <n v="0"/>
    <m/>
    <n v="14.098901098901099"/>
    <n v="0"/>
    <m/>
  </r>
  <r>
    <n v="127"/>
    <x v="126"/>
    <n v="53"/>
    <m/>
    <n v="0"/>
    <n v="0"/>
    <n v="0"/>
    <n v="0"/>
    <m/>
    <n v="0"/>
    <n v="0"/>
    <m/>
    <n v="14.098901098901099"/>
    <n v="0"/>
    <m/>
  </r>
  <r>
    <n v="128"/>
    <x v="127"/>
    <n v="78"/>
    <m/>
    <n v="0"/>
    <n v="0"/>
    <n v="0"/>
    <n v="0"/>
    <m/>
    <n v="0"/>
    <n v="0"/>
    <m/>
    <n v="14.098901098901099"/>
    <n v="0"/>
    <m/>
  </r>
  <r>
    <n v="129"/>
    <x v="128"/>
    <n v="64"/>
    <m/>
    <n v="0"/>
    <n v="0"/>
    <n v="0"/>
    <n v="0"/>
    <m/>
    <n v="0"/>
    <n v="0"/>
    <m/>
    <n v="14.098901098901099"/>
    <n v="0"/>
    <m/>
  </r>
  <r>
    <n v="130"/>
    <x v="129"/>
    <n v="62"/>
    <m/>
    <n v="0"/>
    <n v="0"/>
    <n v="0"/>
    <n v="0"/>
    <m/>
    <n v="0"/>
    <n v="0"/>
    <m/>
    <n v="14.098901098901099"/>
    <n v="0"/>
    <m/>
  </r>
  <r>
    <n v="131"/>
    <x v="130"/>
    <n v="75"/>
    <m/>
    <n v="0"/>
    <n v="0"/>
    <n v="0"/>
    <n v="0"/>
    <m/>
    <n v="0"/>
    <n v="0"/>
    <m/>
    <n v="14.098901098901099"/>
    <n v="0"/>
    <m/>
  </r>
  <r>
    <n v="132"/>
    <x v="131"/>
    <n v="40"/>
    <m/>
    <n v="0"/>
    <n v="0"/>
    <n v="0"/>
    <n v="0"/>
    <m/>
    <n v="0"/>
    <n v="0"/>
    <m/>
    <n v="14.098901098901099"/>
    <n v="0"/>
    <m/>
  </r>
  <r>
    <n v="133"/>
    <x v="132"/>
    <n v="129"/>
    <m/>
    <n v="0"/>
    <n v="0"/>
    <n v="0"/>
    <n v="0"/>
    <m/>
    <n v="0"/>
    <n v="0"/>
    <m/>
    <n v="14.098901098901099"/>
    <n v="0"/>
    <m/>
  </r>
  <r>
    <n v="134"/>
    <x v="133"/>
    <n v="64"/>
    <m/>
    <n v="0"/>
    <n v="0"/>
    <n v="0"/>
    <n v="0"/>
    <m/>
    <n v="0"/>
    <n v="0"/>
    <m/>
    <n v="14.098901098901099"/>
    <n v="0"/>
    <m/>
  </r>
  <r>
    <n v="135"/>
    <x v="134"/>
    <n v="79"/>
    <m/>
    <n v="0"/>
    <n v="0"/>
    <n v="0"/>
    <n v="0"/>
    <m/>
    <n v="0"/>
    <n v="0"/>
    <m/>
    <n v="14.098901098901099"/>
    <n v="0"/>
    <m/>
  </r>
  <r>
    <n v="136"/>
    <x v="135"/>
    <n v="69"/>
    <m/>
    <n v="0"/>
    <n v="0"/>
    <n v="0"/>
    <n v="0"/>
    <m/>
    <n v="0"/>
    <n v="0"/>
    <m/>
    <n v="14.098901098901099"/>
    <n v="0"/>
    <m/>
  </r>
  <r>
    <n v="137"/>
    <x v="136"/>
    <n v="49"/>
    <m/>
    <n v="0"/>
    <n v="0"/>
    <n v="0"/>
    <n v="0"/>
    <m/>
    <n v="0"/>
    <n v="0"/>
    <m/>
    <n v="14.098901098901099"/>
    <n v="0"/>
    <m/>
  </r>
  <r>
    <n v="138"/>
    <x v="137"/>
    <n v="45"/>
    <m/>
    <n v="0"/>
    <n v="0"/>
    <n v="0"/>
    <n v="0"/>
    <m/>
    <n v="0"/>
    <n v="0"/>
    <m/>
    <n v="14.098901098901099"/>
    <n v="0"/>
    <m/>
  </r>
  <r>
    <n v="139"/>
    <x v="138"/>
    <n v="43"/>
    <m/>
    <n v="0"/>
    <n v="0"/>
    <n v="0"/>
    <n v="0"/>
    <m/>
    <n v="0"/>
    <n v="0"/>
    <m/>
    <n v="14.098901098901099"/>
    <n v="0"/>
    <m/>
  </r>
  <r>
    <n v="140"/>
    <x v="139"/>
    <n v="62"/>
    <m/>
    <n v="0"/>
    <n v="0"/>
    <n v="0"/>
    <n v="0"/>
    <m/>
    <n v="0"/>
    <n v="0"/>
    <m/>
    <n v="14.098901098901099"/>
    <n v="0"/>
    <m/>
  </r>
  <r>
    <n v="141"/>
    <x v="140"/>
    <n v="52"/>
    <m/>
    <n v="0"/>
    <n v="0"/>
    <n v="0"/>
    <n v="0"/>
    <m/>
    <n v="0"/>
    <n v="0"/>
    <m/>
    <n v="14.098901098901099"/>
    <n v="0"/>
    <m/>
  </r>
  <r>
    <n v="142"/>
    <x v="141"/>
    <n v="48"/>
    <m/>
    <n v="0"/>
    <n v="0"/>
    <n v="0"/>
    <n v="0"/>
    <m/>
    <n v="0"/>
    <n v="0"/>
    <m/>
    <n v="14.098901098901099"/>
    <n v="0"/>
    <m/>
  </r>
  <r>
    <n v="143"/>
    <x v="142"/>
    <n v="83"/>
    <m/>
    <n v="0"/>
    <n v="0"/>
    <n v="0"/>
    <n v="0"/>
    <m/>
    <n v="0"/>
    <n v="0"/>
    <m/>
    <n v="14.098901098901099"/>
    <n v="0"/>
    <m/>
  </r>
  <r>
    <n v="144"/>
    <x v="143"/>
    <n v="45"/>
    <m/>
    <n v="0"/>
    <n v="0"/>
    <n v="0"/>
    <n v="0"/>
    <m/>
    <n v="0"/>
    <n v="0"/>
    <m/>
    <n v="14.098901098901099"/>
    <n v="0"/>
    <m/>
  </r>
  <r>
    <n v="145"/>
    <x v="144"/>
    <n v="42"/>
    <m/>
    <n v="0"/>
    <n v="0"/>
    <n v="0"/>
    <n v="0"/>
    <m/>
    <n v="0"/>
    <n v="0"/>
    <m/>
    <n v="14.098901098901099"/>
    <n v="0"/>
    <m/>
  </r>
  <r>
    <n v="146"/>
    <x v="145"/>
    <n v="83"/>
    <m/>
    <n v="0"/>
    <n v="0"/>
    <n v="0"/>
    <n v="0"/>
    <m/>
    <n v="0"/>
    <n v="0"/>
    <m/>
    <n v="14.098901098901099"/>
    <n v="0"/>
    <m/>
  </r>
  <r>
    <n v="147"/>
    <x v="146"/>
    <n v="57"/>
    <m/>
    <n v="0"/>
    <n v="0"/>
    <n v="0"/>
    <n v="0"/>
    <m/>
    <n v="0"/>
    <n v="0"/>
    <m/>
    <n v="14.098901098901099"/>
    <n v="0"/>
    <m/>
  </r>
  <r>
    <n v="148"/>
    <x v="147"/>
    <n v="61"/>
    <m/>
    <n v="0"/>
    <n v="0"/>
    <n v="0"/>
    <n v="0"/>
    <m/>
    <n v="0"/>
    <n v="0"/>
    <m/>
    <n v="14.098901098901099"/>
    <n v="0"/>
    <m/>
  </r>
  <r>
    <n v="149"/>
    <x v="148"/>
    <n v="81"/>
    <m/>
    <n v="0"/>
    <n v="0"/>
    <n v="0"/>
    <n v="0"/>
    <m/>
    <n v="0"/>
    <n v="0"/>
    <m/>
    <n v="14.098901098901099"/>
    <n v="0"/>
    <m/>
  </r>
  <r>
    <n v="150"/>
    <x v="149"/>
    <n v="59"/>
    <m/>
    <n v="0"/>
    <n v="0"/>
    <n v="0"/>
    <n v="0"/>
    <m/>
    <n v="0"/>
    <n v="0"/>
    <m/>
    <n v="14.098901098901099"/>
    <n v="0"/>
    <m/>
  </r>
  <r>
    <n v="151"/>
    <x v="150"/>
    <n v="51"/>
    <m/>
    <n v="0"/>
    <n v="0"/>
    <n v="0"/>
    <n v="0"/>
    <m/>
    <n v="0"/>
    <n v="0"/>
    <m/>
    <n v="14.098901098901099"/>
    <n v="0"/>
    <m/>
  </r>
  <r>
    <n v="152"/>
    <x v="151"/>
    <n v="68"/>
    <m/>
    <n v="0"/>
    <n v="0"/>
    <n v="0"/>
    <n v="0"/>
    <m/>
    <n v="0"/>
    <n v="0"/>
    <m/>
    <n v="14.098901098901099"/>
    <n v="0"/>
    <m/>
  </r>
  <r>
    <n v="153"/>
    <x v="152"/>
    <n v="101"/>
    <m/>
    <n v="0"/>
    <n v="0"/>
    <n v="0"/>
    <n v="0"/>
    <m/>
    <n v="0"/>
    <n v="0"/>
    <m/>
    <n v="14.098901098901099"/>
    <n v="0"/>
    <m/>
  </r>
  <r>
    <n v="154"/>
    <x v="153"/>
    <n v="80"/>
    <m/>
    <n v="0"/>
    <n v="0"/>
    <n v="0"/>
    <n v="0"/>
    <m/>
    <n v="0"/>
    <n v="0"/>
    <m/>
    <n v="14.098901098901099"/>
    <n v="0"/>
    <m/>
  </r>
  <r>
    <n v="155"/>
    <x v="154"/>
    <n v="43"/>
    <m/>
    <n v="0"/>
    <n v="0"/>
    <n v="0"/>
    <n v="0"/>
    <m/>
    <n v="0"/>
    <n v="0"/>
    <m/>
    <n v="14.098901098901099"/>
    <n v="0"/>
    <m/>
  </r>
  <r>
    <n v="156"/>
    <x v="155"/>
    <n v="64"/>
    <m/>
    <n v="0"/>
    <n v="0"/>
    <n v="0"/>
    <n v="0"/>
    <m/>
    <n v="0"/>
    <n v="0"/>
    <m/>
    <n v="14.098901098901099"/>
    <n v="0"/>
    <m/>
  </r>
  <r>
    <n v="157"/>
    <x v="156"/>
    <n v="89"/>
    <m/>
    <n v="0"/>
    <n v="0"/>
    <n v="0"/>
    <n v="0"/>
    <m/>
    <n v="0"/>
    <n v="0"/>
    <m/>
    <n v="14.098901098901099"/>
    <n v="0"/>
    <m/>
  </r>
  <r>
    <n v="158"/>
    <x v="157"/>
    <n v="94"/>
    <m/>
    <n v="0"/>
    <n v="0"/>
    <n v="0"/>
    <n v="0"/>
    <m/>
    <n v="0"/>
    <n v="0"/>
    <m/>
    <n v="14.098901098901099"/>
    <n v="0"/>
    <m/>
  </r>
  <r>
    <n v="159"/>
    <x v="158"/>
    <n v="49"/>
    <m/>
    <n v="0"/>
    <n v="0"/>
    <n v="0"/>
    <n v="0"/>
    <m/>
    <n v="0"/>
    <n v="0"/>
    <m/>
    <n v="14.098901098901099"/>
    <n v="0"/>
    <m/>
  </r>
  <r>
    <n v="160"/>
    <x v="159"/>
    <n v="77"/>
    <m/>
    <n v="0"/>
    <n v="0"/>
    <n v="0"/>
    <n v="0"/>
    <m/>
    <n v="0"/>
    <n v="0"/>
    <m/>
    <n v="14.098901098901099"/>
    <n v="0"/>
    <m/>
  </r>
  <r>
    <n v="161"/>
    <x v="160"/>
    <n v="74"/>
    <m/>
    <n v="0"/>
    <n v="0"/>
    <n v="0"/>
    <n v="0"/>
    <m/>
    <n v="0"/>
    <n v="0"/>
    <m/>
    <n v="14.098901098901099"/>
    <n v="0"/>
    <m/>
  </r>
  <r>
    <n v="162"/>
    <x v="161"/>
    <n v="56"/>
    <m/>
    <n v="0"/>
    <n v="0"/>
    <n v="0"/>
    <n v="0"/>
    <m/>
    <n v="0"/>
    <n v="0"/>
    <m/>
    <n v="14.098901098901099"/>
    <n v="0"/>
    <m/>
  </r>
  <r>
    <n v="163"/>
    <x v="162"/>
    <n v="54"/>
    <m/>
    <n v="0"/>
    <n v="0"/>
    <n v="0"/>
    <n v="0"/>
    <m/>
    <n v="0"/>
    <n v="0"/>
    <m/>
    <n v="14.098901098901099"/>
    <n v="0"/>
    <m/>
  </r>
  <r>
    <n v="164"/>
    <x v="163"/>
    <n v="67"/>
    <m/>
    <n v="0"/>
    <n v="0"/>
    <n v="0"/>
    <n v="0"/>
    <m/>
    <n v="0"/>
    <n v="0"/>
    <m/>
    <n v="14.098901098901099"/>
    <n v="0"/>
    <m/>
  </r>
  <r>
    <n v="165"/>
    <x v="164"/>
    <n v="83"/>
    <m/>
    <n v="0"/>
    <n v="0"/>
    <n v="0"/>
    <n v="0"/>
    <m/>
    <n v="0"/>
    <n v="0"/>
    <m/>
    <n v="14.098901098901099"/>
    <n v="0"/>
    <m/>
  </r>
  <r>
    <n v="166"/>
    <x v="165"/>
    <n v="56"/>
    <m/>
    <n v="0"/>
    <n v="0"/>
    <n v="0"/>
    <n v="0"/>
    <m/>
    <n v="0"/>
    <n v="0"/>
    <m/>
    <n v="14.098901098901099"/>
    <n v="0"/>
    <m/>
  </r>
  <r>
    <n v="167"/>
    <x v="166"/>
    <n v="70"/>
    <m/>
    <n v="0"/>
    <n v="0"/>
    <n v="0"/>
    <n v="0"/>
    <m/>
    <n v="0"/>
    <n v="0"/>
    <m/>
    <n v="14.098901098901099"/>
    <n v="0"/>
    <m/>
  </r>
  <r>
    <n v="168"/>
    <x v="167"/>
    <n v="58"/>
    <m/>
    <n v="0"/>
    <n v="0"/>
    <n v="0"/>
    <n v="0"/>
    <m/>
    <n v="0"/>
    <n v="0"/>
    <m/>
    <n v="14.098901098901099"/>
    <n v="0"/>
    <m/>
  </r>
  <r>
    <n v="169"/>
    <x v="168"/>
    <n v="76"/>
    <m/>
    <n v="0"/>
    <n v="0"/>
    <n v="0"/>
    <n v="0"/>
    <m/>
    <n v="0"/>
    <n v="0"/>
    <m/>
    <n v="14.098901098901099"/>
    <n v="0"/>
    <m/>
  </r>
  <r>
    <n v="170"/>
    <x v="169"/>
    <n v="74"/>
    <m/>
    <n v="0"/>
    <n v="0"/>
    <n v="0"/>
    <n v="0"/>
    <m/>
    <n v="0"/>
    <n v="0"/>
    <m/>
    <n v="14.098901098901099"/>
    <n v="0"/>
    <m/>
  </r>
  <r>
    <n v="171"/>
    <x v="170"/>
    <n v="46"/>
    <m/>
    <n v="0"/>
    <n v="0"/>
    <n v="0"/>
    <n v="0"/>
    <m/>
    <n v="0"/>
    <n v="0"/>
    <m/>
    <n v="14.098901098901099"/>
    <n v="0"/>
    <m/>
  </r>
  <r>
    <n v="172"/>
    <x v="171"/>
    <n v="80"/>
    <m/>
    <n v="0"/>
    <n v="0"/>
    <n v="0"/>
    <n v="0"/>
    <m/>
    <n v="0"/>
    <n v="0"/>
    <m/>
    <n v="14.098901098901099"/>
    <n v="0"/>
    <m/>
  </r>
  <r>
    <n v="173"/>
    <x v="172"/>
    <n v="48"/>
    <m/>
    <n v="0"/>
    <n v="0"/>
    <n v="0"/>
    <n v="0"/>
    <m/>
    <n v="0"/>
    <n v="0"/>
    <m/>
    <n v="14.098901098901099"/>
    <n v="0"/>
    <m/>
  </r>
  <r>
    <n v="174"/>
    <x v="173"/>
    <n v="67"/>
    <m/>
    <n v="0"/>
    <n v="0"/>
    <n v="0"/>
    <n v="0"/>
    <m/>
    <n v="0"/>
    <n v="0"/>
    <m/>
    <n v="14.098901098901099"/>
    <n v="0"/>
    <m/>
  </r>
  <r>
    <n v="175"/>
    <x v="174"/>
    <n v="104"/>
    <m/>
    <n v="0"/>
    <n v="0"/>
    <n v="0"/>
    <n v="0"/>
    <m/>
    <n v="0"/>
    <n v="0"/>
    <m/>
    <n v="14.098901098901099"/>
    <n v="0"/>
    <m/>
  </r>
  <r>
    <n v="176"/>
    <x v="175"/>
    <n v="41"/>
    <m/>
    <n v="0"/>
    <n v="0"/>
    <n v="0"/>
    <n v="0"/>
    <m/>
    <n v="0"/>
    <n v="0"/>
    <m/>
    <n v="14.098901098901099"/>
    <n v="0"/>
    <m/>
  </r>
  <r>
    <n v="177"/>
    <x v="176"/>
    <n v="81"/>
    <m/>
    <n v="0"/>
    <n v="0"/>
    <n v="0"/>
    <n v="0"/>
    <m/>
    <n v="0"/>
    <n v="0"/>
    <m/>
    <n v="14.098901098901099"/>
    <n v="0"/>
    <m/>
  </r>
  <r>
    <n v="178"/>
    <x v="177"/>
    <n v="70"/>
    <m/>
    <n v="0"/>
    <n v="0"/>
    <n v="0"/>
    <n v="0"/>
    <m/>
    <n v="0"/>
    <n v="0"/>
    <m/>
    <n v="14.098901098901099"/>
    <n v="0"/>
    <m/>
  </r>
  <r>
    <n v="179"/>
    <x v="178"/>
    <n v="69"/>
    <m/>
    <n v="0"/>
    <n v="0"/>
    <n v="0"/>
    <n v="0"/>
    <m/>
    <n v="0"/>
    <n v="0"/>
    <m/>
    <n v="14.098901098901099"/>
    <n v="0"/>
    <m/>
  </r>
  <r>
    <n v="180"/>
    <x v="179"/>
    <n v="133"/>
    <m/>
    <n v="0"/>
    <n v="0"/>
    <n v="0"/>
    <n v="0"/>
    <m/>
    <n v="0"/>
    <n v="0"/>
    <m/>
    <n v="14.098901098901099"/>
    <n v="0"/>
    <m/>
  </r>
  <r>
    <n v="181"/>
    <x v="180"/>
    <n v="56"/>
    <m/>
    <n v="0"/>
    <n v="0"/>
    <n v="0"/>
    <n v="0"/>
    <m/>
    <n v="0"/>
    <n v="0"/>
    <m/>
    <n v="14.098901098901099"/>
    <n v="0"/>
    <m/>
  </r>
  <r>
    <n v="182"/>
    <x v="181"/>
    <n v="56"/>
    <m/>
    <n v="0"/>
    <n v="0"/>
    <n v="0"/>
    <n v="0"/>
    <m/>
    <n v="0"/>
    <n v="0"/>
    <m/>
    <n v="14.098901098901099"/>
    <n v="0"/>
    <m/>
  </r>
  <r>
    <n v="183"/>
    <x v="182"/>
    <n v="88"/>
    <m/>
    <n v="0"/>
    <n v="0"/>
    <n v="0"/>
    <n v="0"/>
    <m/>
    <n v="0"/>
    <n v="0"/>
    <m/>
    <n v="14.098901098901099"/>
    <n v="0"/>
    <m/>
  </r>
  <r>
    <n v="184"/>
    <x v="183"/>
    <n v="64"/>
    <m/>
    <n v="0"/>
    <n v="0"/>
    <n v="0"/>
    <n v="0"/>
    <m/>
    <n v="0"/>
    <n v="0"/>
    <m/>
    <n v="14.098901098901099"/>
    <n v="0"/>
    <m/>
  </r>
  <r>
    <n v="185"/>
    <x v="184"/>
    <n v="58"/>
    <m/>
    <n v="0"/>
    <n v="0"/>
    <n v="0"/>
    <n v="0"/>
    <m/>
    <n v="0"/>
    <n v="0"/>
    <m/>
    <n v="14.098901098901099"/>
    <n v="0"/>
    <m/>
  </r>
  <r>
    <n v="186"/>
    <x v="185"/>
    <n v="80"/>
    <m/>
    <n v="0"/>
    <n v="0"/>
    <n v="0"/>
    <n v="0"/>
    <m/>
    <n v="0"/>
    <n v="0"/>
    <m/>
    <n v="14.098901098901099"/>
    <n v="0"/>
    <m/>
  </r>
  <r>
    <n v="187"/>
    <x v="186"/>
    <n v="96"/>
    <m/>
    <n v="0"/>
    <n v="0"/>
    <n v="0"/>
    <n v="0"/>
    <m/>
    <n v="0"/>
    <n v="0"/>
    <m/>
    <n v="14.098901098901099"/>
    <n v="0"/>
    <m/>
  </r>
  <r>
    <n v="188"/>
    <x v="187"/>
    <n v="60"/>
    <m/>
    <n v="0"/>
    <n v="0"/>
    <n v="0"/>
    <n v="0"/>
    <m/>
    <n v="0"/>
    <n v="0"/>
    <m/>
    <n v="14.098901098901099"/>
    <n v="0"/>
    <m/>
  </r>
  <r>
    <n v="189"/>
    <x v="188"/>
    <n v="100"/>
    <m/>
    <n v="0"/>
    <n v="0"/>
    <n v="0"/>
    <n v="0"/>
    <m/>
    <n v="0"/>
    <n v="0"/>
    <m/>
    <n v="14.098901098901099"/>
    <n v="0"/>
    <m/>
  </r>
  <r>
    <n v="190"/>
    <x v="189"/>
    <n v="74"/>
    <m/>
    <n v="0"/>
    <n v="0"/>
    <n v="0"/>
    <n v="0"/>
    <m/>
    <n v="0"/>
    <n v="0"/>
    <m/>
    <n v="14.098901098901099"/>
    <n v="0"/>
    <m/>
  </r>
  <r>
    <n v="191"/>
    <x v="190"/>
    <n v="44"/>
    <m/>
    <n v="0"/>
    <n v="0"/>
    <n v="0"/>
    <n v="0"/>
    <m/>
    <n v="0"/>
    <n v="0"/>
    <m/>
    <n v="14.098901098901099"/>
    <n v="0"/>
    <m/>
  </r>
  <r>
    <n v="192"/>
    <x v="191"/>
    <n v="77"/>
    <m/>
    <n v="0"/>
    <n v="0"/>
    <n v="0"/>
    <n v="0"/>
    <m/>
    <n v="0"/>
    <n v="0"/>
    <m/>
    <n v="14.098901098901099"/>
    <n v="0"/>
    <m/>
  </r>
  <r>
    <n v="193"/>
    <x v="192"/>
    <n v="99"/>
    <m/>
    <n v="0"/>
    <n v="0"/>
    <n v="0"/>
    <n v="0"/>
    <m/>
    <n v="0"/>
    <n v="0"/>
    <m/>
    <n v="14.098901098901099"/>
    <n v="0"/>
    <m/>
  </r>
  <r>
    <n v="194"/>
    <x v="193"/>
    <n v="109"/>
    <m/>
    <n v="0"/>
    <n v="0"/>
    <n v="0"/>
    <n v="0"/>
    <m/>
    <n v="0"/>
    <n v="0"/>
    <m/>
    <n v="14.098901098901099"/>
    <n v="0"/>
    <m/>
  </r>
  <r>
    <n v="195"/>
    <x v="194"/>
    <n v="62"/>
    <m/>
    <n v="0"/>
    <n v="0"/>
    <n v="0"/>
    <n v="0"/>
    <m/>
    <n v="0"/>
    <n v="0"/>
    <m/>
    <n v="14.098901098901099"/>
    <n v="0"/>
    <m/>
  </r>
  <r>
    <n v="196"/>
    <x v="195"/>
    <n v="70"/>
    <m/>
    <n v="0"/>
    <n v="0"/>
    <n v="0"/>
    <n v="0"/>
    <m/>
    <n v="0"/>
    <n v="0"/>
    <m/>
    <n v="14.098901098901099"/>
    <n v="0"/>
    <m/>
  </r>
  <r>
    <n v="197"/>
    <x v="196"/>
    <n v="56"/>
    <m/>
    <n v="0"/>
    <n v="0"/>
    <n v="0"/>
    <n v="0"/>
    <m/>
    <n v="0"/>
    <n v="0"/>
    <m/>
    <n v="14.098901098901099"/>
    <n v="0"/>
    <m/>
  </r>
  <r>
    <n v="198"/>
    <x v="197"/>
    <n v="74"/>
    <m/>
    <n v="0"/>
    <n v="0"/>
    <n v="0"/>
    <n v="0"/>
    <m/>
    <n v="0"/>
    <n v="0"/>
    <m/>
    <n v="14.098901098901099"/>
    <n v="0"/>
    <m/>
  </r>
  <r>
    <n v="199"/>
    <x v="198"/>
    <n v="60"/>
    <m/>
    <n v="0"/>
    <n v="0"/>
    <n v="0"/>
    <n v="0"/>
    <m/>
    <n v="0"/>
    <n v="0"/>
    <m/>
    <n v="14.098901098901099"/>
    <n v="0"/>
    <m/>
  </r>
  <r>
    <n v="200"/>
    <x v="199"/>
    <n v="36"/>
    <m/>
    <n v="0"/>
    <n v="0"/>
    <n v="0"/>
    <n v="0"/>
    <m/>
    <n v="0"/>
    <n v="0"/>
    <m/>
    <n v="14.098901098901099"/>
    <n v="0"/>
    <m/>
  </r>
  <r>
    <n v="201"/>
    <x v="200"/>
    <n v="72"/>
    <m/>
    <n v="0"/>
    <n v="0"/>
    <n v="0"/>
    <n v="0"/>
    <m/>
    <n v="0"/>
    <n v="0"/>
    <m/>
    <n v="14.098901098901099"/>
    <n v="0"/>
    <m/>
  </r>
  <r>
    <n v="202"/>
    <x v="201"/>
    <n v="78"/>
    <m/>
    <n v="0"/>
    <n v="0"/>
    <n v="0"/>
    <n v="0"/>
    <m/>
    <n v="0"/>
    <n v="0"/>
    <m/>
    <n v="14.098901098901099"/>
    <n v="0"/>
    <m/>
  </r>
  <r>
    <n v="203"/>
    <x v="202"/>
    <n v="62"/>
    <m/>
    <n v="0"/>
    <n v="0"/>
    <n v="0"/>
    <n v="0"/>
    <m/>
    <n v="0"/>
    <n v="0"/>
    <m/>
    <n v="14.098901098901099"/>
    <n v="0"/>
    <m/>
  </r>
  <r>
    <n v="204"/>
    <x v="203"/>
    <n v="84"/>
    <m/>
    <n v="0"/>
    <n v="0"/>
    <n v="0"/>
    <n v="0"/>
    <m/>
    <n v="0"/>
    <n v="0"/>
    <m/>
    <n v="14.098901098901099"/>
    <n v="0"/>
    <m/>
  </r>
  <r>
    <n v="205"/>
    <x v="204"/>
    <n v="81"/>
    <m/>
    <n v="0"/>
    <n v="0"/>
    <n v="0"/>
    <n v="0"/>
    <m/>
    <n v="0"/>
    <n v="0"/>
    <m/>
    <n v="14.098901098901099"/>
    <n v="0"/>
    <m/>
  </r>
  <r>
    <n v="206"/>
    <x v="205"/>
    <n v="67"/>
    <m/>
    <n v="0"/>
    <n v="0"/>
    <n v="0"/>
    <n v="0"/>
    <m/>
    <n v="0"/>
    <n v="0"/>
    <m/>
    <n v="14.098901098901099"/>
    <n v="0"/>
    <m/>
  </r>
  <r>
    <n v="207"/>
    <x v="206"/>
    <n v="92"/>
    <m/>
    <n v="0"/>
    <n v="0"/>
    <n v="0"/>
    <n v="0"/>
    <m/>
    <n v="0"/>
    <n v="0"/>
    <m/>
    <n v="14.098901098901099"/>
    <n v="0"/>
    <m/>
  </r>
  <r>
    <n v="208"/>
    <x v="207"/>
    <n v="110"/>
    <m/>
    <n v="0"/>
    <n v="0"/>
    <n v="0"/>
    <n v="0"/>
    <m/>
    <n v="0"/>
    <n v="0"/>
    <m/>
    <n v="14.098901098901099"/>
    <n v="0"/>
    <m/>
  </r>
  <r>
    <n v="209"/>
    <x v="208"/>
    <n v="41"/>
    <m/>
    <n v="0"/>
    <n v="0"/>
    <n v="0"/>
    <n v="0"/>
    <m/>
    <n v="0"/>
    <n v="0"/>
    <m/>
    <n v="14.098901098901099"/>
    <n v="0"/>
    <m/>
  </r>
  <r>
    <n v="210"/>
    <x v="209"/>
    <n v="57"/>
    <m/>
    <n v="0"/>
    <n v="0"/>
    <n v="0"/>
    <n v="0"/>
    <m/>
    <n v="0"/>
    <n v="0"/>
    <m/>
    <n v="14.098901098901099"/>
    <n v="0"/>
    <m/>
  </r>
  <r>
    <n v="211"/>
    <x v="210"/>
    <n v="52"/>
    <m/>
    <n v="0"/>
    <n v="0"/>
    <n v="0"/>
    <n v="0"/>
    <m/>
    <n v="0"/>
    <n v="0"/>
    <m/>
    <n v="14.098901098901099"/>
    <n v="0"/>
    <m/>
  </r>
  <r>
    <n v="212"/>
    <x v="211"/>
    <n v="96"/>
    <m/>
    <n v="0"/>
    <n v="0"/>
    <n v="0"/>
    <n v="0"/>
    <m/>
    <n v="0"/>
    <n v="0"/>
    <m/>
    <n v="14.098901098901099"/>
    <n v="0"/>
    <m/>
  </r>
  <r>
    <n v="213"/>
    <x v="212"/>
    <n v="65"/>
    <m/>
    <n v="0"/>
    <n v="0"/>
    <n v="0"/>
    <n v="0"/>
    <m/>
    <n v="0"/>
    <n v="0"/>
    <m/>
    <n v="14.098901098901099"/>
    <n v="0"/>
    <m/>
  </r>
  <r>
    <n v="214"/>
    <x v="213"/>
    <n v="88"/>
    <m/>
    <n v="0"/>
    <n v="0"/>
    <n v="0"/>
    <n v="0"/>
    <m/>
    <n v="0"/>
    <n v="0"/>
    <m/>
    <n v="14.098901098901099"/>
    <n v="0"/>
    <m/>
  </r>
  <r>
    <n v="215"/>
    <x v="214"/>
    <n v="44"/>
    <m/>
    <n v="0"/>
    <n v="0"/>
    <n v="0"/>
    <n v="0"/>
    <m/>
    <n v="0"/>
    <n v="0"/>
    <m/>
    <n v="14.098901098901099"/>
    <n v="0"/>
    <m/>
  </r>
  <r>
    <n v="216"/>
    <x v="215"/>
    <n v="65"/>
    <m/>
    <n v="0"/>
    <n v="0"/>
    <n v="0"/>
    <n v="0"/>
    <m/>
    <n v="0"/>
    <n v="0"/>
    <m/>
    <n v="14.098901098901099"/>
    <n v="0"/>
    <m/>
  </r>
  <r>
    <n v="217"/>
    <x v="216"/>
    <n v="76"/>
    <m/>
    <n v="0"/>
    <n v="0"/>
    <n v="0"/>
    <n v="0"/>
    <m/>
    <n v="0"/>
    <n v="0"/>
    <m/>
    <n v="14.098901098901099"/>
    <n v="0"/>
    <m/>
  </r>
  <r>
    <n v="218"/>
    <x v="217"/>
    <n v="73"/>
    <m/>
    <n v="0"/>
    <n v="0"/>
    <n v="0"/>
    <n v="0"/>
    <m/>
    <n v="0"/>
    <n v="0"/>
    <m/>
    <n v="14.098901098901099"/>
    <n v="0"/>
    <m/>
  </r>
  <r>
    <n v="219"/>
    <x v="218"/>
    <n v="64"/>
    <m/>
    <n v="0"/>
    <n v="0"/>
    <n v="0"/>
    <n v="0"/>
    <m/>
    <n v="0"/>
    <n v="0"/>
    <m/>
    <n v="14.098901098901099"/>
    <n v="0"/>
    <m/>
  </r>
  <r>
    <n v="220"/>
    <x v="219"/>
    <n v="40"/>
    <m/>
    <n v="0"/>
    <n v="0"/>
    <n v="0"/>
    <n v="0"/>
    <m/>
    <n v="0"/>
    <n v="0"/>
    <m/>
    <n v="14.098901098901099"/>
    <n v="0"/>
    <m/>
  </r>
  <r>
    <n v="221"/>
    <x v="220"/>
    <n v="64"/>
    <m/>
    <n v="0"/>
    <n v="0"/>
    <n v="0"/>
    <n v="0"/>
    <m/>
    <n v="0"/>
    <n v="0"/>
    <m/>
    <n v="14.098901098901099"/>
    <n v="0"/>
    <m/>
  </r>
  <r>
    <n v="222"/>
    <x v="221"/>
    <n v="56"/>
    <m/>
    <n v="0"/>
    <n v="0"/>
    <n v="0"/>
    <n v="0"/>
    <m/>
    <n v="0"/>
    <n v="0"/>
    <m/>
    <n v="14.098901098901099"/>
    <n v="0"/>
    <m/>
  </r>
  <r>
    <n v="223"/>
    <x v="222"/>
    <n v="78"/>
    <m/>
    <n v="0"/>
    <n v="0"/>
    <n v="0"/>
    <n v="0"/>
    <m/>
    <n v="0"/>
    <n v="0"/>
    <m/>
    <n v="14.098901098901099"/>
    <n v="0"/>
    <m/>
  </r>
  <r>
    <n v="224"/>
    <x v="223"/>
    <n v="43"/>
    <m/>
    <n v="0"/>
    <n v="0"/>
    <n v="0"/>
    <n v="0"/>
    <m/>
    <n v="0"/>
    <n v="0"/>
    <m/>
    <n v="14.098901098901099"/>
    <n v="0"/>
    <m/>
  </r>
  <r>
    <n v="225"/>
    <x v="224"/>
    <n v="78"/>
    <m/>
    <n v="0"/>
    <n v="0"/>
    <n v="0"/>
    <n v="0"/>
    <m/>
    <n v="0"/>
    <n v="0"/>
    <m/>
    <n v="14.098901098901099"/>
    <n v="0"/>
    <m/>
  </r>
  <r>
    <n v="226"/>
    <x v="225"/>
    <n v="64"/>
    <m/>
    <n v="0"/>
    <n v="0"/>
    <n v="0"/>
    <n v="0"/>
    <m/>
    <n v="0"/>
    <n v="0"/>
    <m/>
    <n v="14.098901098901099"/>
    <n v="0"/>
    <m/>
  </r>
  <r>
    <n v="227"/>
    <x v="226"/>
    <n v="67"/>
    <m/>
    <n v="0"/>
    <n v="0"/>
    <n v="0"/>
    <n v="0"/>
    <m/>
    <n v="0"/>
    <n v="0"/>
    <m/>
    <n v="14.098901098901099"/>
    <n v="0"/>
    <m/>
  </r>
  <r>
    <n v="228"/>
    <x v="227"/>
    <n v="80"/>
    <m/>
    <n v="0"/>
    <n v="0"/>
    <n v="0"/>
    <n v="0"/>
    <m/>
    <n v="0"/>
    <n v="0"/>
    <m/>
    <n v="14.098901098901099"/>
    <n v="0"/>
    <m/>
  </r>
  <r>
    <n v="229"/>
    <x v="228"/>
    <n v="40"/>
    <m/>
    <n v="0"/>
    <n v="0"/>
    <n v="0"/>
    <n v="0"/>
    <m/>
    <n v="0"/>
    <n v="0"/>
    <m/>
    <n v="14.098901098901099"/>
    <n v="0"/>
    <m/>
  </r>
  <r>
    <n v="230"/>
    <x v="229"/>
    <n v="71"/>
    <m/>
    <n v="0"/>
    <n v="0"/>
    <n v="0"/>
    <n v="0"/>
    <m/>
    <n v="0"/>
    <n v="0"/>
    <m/>
    <n v="14.098901098901099"/>
    <n v="0"/>
    <m/>
  </r>
  <r>
    <n v="231"/>
    <x v="230"/>
    <n v="84"/>
    <m/>
    <n v="0"/>
    <n v="0"/>
    <n v="0"/>
    <n v="0"/>
    <m/>
    <n v="0"/>
    <n v="0"/>
    <m/>
    <n v="14.098901098901099"/>
    <n v="0"/>
    <m/>
  </r>
  <r>
    <n v="232"/>
    <x v="231"/>
    <n v="29"/>
    <m/>
    <n v="0"/>
    <n v="0"/>
    <n v="0"/>
    <n v="0"/>
    <m/>
    <n v="0"/>
    <n v="0"/>
    <m/>
    <n v="14.098901098901099"/>
    <n v="0"/>
    <m/>
  </r>
  <r>
    <n v="233"/>
    <x v="232"/>
    <n v="53"/>
    <m/>
    <n v="0"/>
    <n v="0"/>
    <n v="0"/>
    <n v="0"/>
    <m/>
    <n v="0"/>
    <n v="0"/>
    <m/>
    <n v="14.098901098901099"/>
    <n v="0"/>
    <m/>
  </r>
  <r>
    <n v="234"/>
    <x v="233"/>
    <n v="72"/>
    <m/>
    <n v="0"/>
    <n v="0"/>
    <n v="0"/>
    <n v="0"/>
    <m/>
    <n v="0"/>
    <n v="0"/>
    <m/>
    <n v="14.098901098901099"/>
    <n v="0"/>
    <m/>
  </r>
  <r>
    <n v="235"/>
    <x v="234"/>
    <n v="39"/>
    <m/>
    <n v="0"/>
    <n v="0"/>
    <n v="0"/>
    <n v="0"/>
    <m/>
    <n v="0"/>
    <n v="0"/>
    <m/>
    <n v="14.098901098901099"/>
    <n v="0"/>
    <m/>
  </r>
  <r>
    <n v="236"/>
    <x v="235"/>
    <n v="63"/>
    <m/>
    <n v="0"/>
    <n v="0"/>
    <n v="0"/>
    <n v="0"/>
    <m/>
    <n v="0"/>
    <n v="0"/>
    <m/>
    <n v="14.098901098901099"/>
    <n v="0"/>
    <m/>
  </r>
  <r>
    <n v="237"/>
    <x v="236"/>
    <n v="83"/>
    <m/>
    <n v="0"/>
    <n v="0"/>
    <n v="0"/>
    <n v="0"/>
    <m/>
    <n v="0"/>
    <n v="0"/>
    <m/>
    <n v="14.098901098901099"/>
    <n v="0"/>
    <m/>
  </r>
  <r>
    <n v="238"/>
    <x v="237"/>
    <n v="31"/>
    <m/>
    <n v="0"/>
    <n v="0"/>
    <n v="0"/>
    <n v="0"/>
    <m/>
    <n v="0"/>
    <n v="0"/>
    <m/>
    <n v="14.098901098901099"/>
    <n v="0"/>
    <m/>
  </r>
  <r>
    <n v="239"/>
    <x v="238"/>
    <n v="57"/>
    <m/>
    <n v="0"/>
    <n v="0"/>
    <n v="0"/>
    <n v="0"/>
    <m/>
    <n v="0"/>
    <n v="0"/>
    <m/>
    <n v="14.098901098901099"/>
    <n v="0"/>
    <m/>
  </r>
  <r>
    <n v="240"/>
    <x v="239"/>
    <n v="44"/>
    <m/>
    <n v="0"/>
    <n v="0"/>
    <n v="0"/>
    <n v="0"/>
    <m/>
    <n v="0"/>
    <n v="0"/>
    <m/>
    <n v="14.098901098901099"/>
    <n v="0"/>
    <m/>
  </r>
  <r>
    <n v="241"/>
    <x v="240"/>
    <n v="34"/>
    <m/>
    <n v="0"/>
    <n v="0"/>
    <n v="0"/>
    <n v="0"/>
    <m/>
    <n v="0"/>
    <n v="0"/>
    <m/>
    <n v="14.098901098901099"/>
    <n v="0"/>
    <m/>
  </r>
  <r>
    <n v="242"/>
    <x v="241"/>
    <n v="97"/>
    <m/>
    <n v="0"/>
    <n v="0"/>
    <n v="0"/>
    <n v="0"/>
    <m/>
    <n v="0"/>
    <n v="0"/>
    <m/>
    <n v="14.098901098901099"/>
    <n v="0"/>
    <m/>
  </r>
  <r>
    <n v="243"/>
    <x v="242"/>
    <n v="30"/>
    <m/>
    <n v="0"/>
    <n v="0"/>
    <n v="0"/>
    <n v="0"/>
    <m/>
    <n v="0"/>
    <n v="0"/>
    <m/>
    <n v="14.098901098901099"/>
    <n v="0"/>
    <m/>
  </r>
  <r>
    <n v="244"/>
    <x v="243"/>
    <n v="42"/>
    <m/>
    <n v="0"/>
    <n v="0"/>
    <n v="0"/>
    <n v="0"/>
    <m/>
    <n v="0"/>
    <n v="0"/>
    <m/>
    <n v="14.098901098901099"/>
    <n v="0"/>
    <m/>
  </r>
  <r>
    <n v="245"/>
    <x v="244"/>
    <n v="83"/>
    <m/>
    <n v="0"/>
    <n v="0"/>
    <n v="0"/>
    <n v="0"/>
    <m/>
    <n v="0"/>
    <n v="0"/>
    <m/>
    <n v="14.098901098901099"/>
    <n v="0"/>
    <m/>
  </r>
  <r>
    <n v="246"/>
    <x v="245"/>
    <n v="29"/>
    <m/>
    <n v="0"/>
    <n v="0"/>
    <n v="0"/>
    <n v="0"/>
    <m/>
    <n v="0"/>
    <n v="0"/>
    <m/>
    <n v="14.098901098901099"/>
    <n v="0"/>
    <m/>
  </r>
  <r>
    <n v="247"/>
    <x v="246"/>
    <n v="73"/>
    <m/>
    <n v="0"/>
    <n v="0"/>
    <n v="0"/>
    <n v="0"/>
    <m/>
    <n v="0"/>
    <n v="0"/>
    <m/>
    <n v="14.098901098901099"/>
    <n v="0"/>
    <m/>
  </r>
  <r>
    <n v="248"/>
    <x v="247"/>
    <n v="67"/>
    <m/>
    <n v="0"/>
    <n v="0"/>
    <n v="0"/>
    <n v="0"/>
    <m/>
    <n v="0"/>
    <n v="0"/>
    <m/>
    <n v="14.098901098901099"/>
    <n v="0"/>
    <m/>
  </r>
  <r>
    <n v="249"/>
    <x v="248"/>
    <n v="42"/>
    <m/>
    <n v="0"/>
    <n v="0"/>
    <n v="0"/>
    <n v="0"/>
    <m/>
    <n v="0"/>
    <n v="0"/>
    <m/>
    <n v="14.098901098901099"/>
    <n v="0"/>
    <m/>
  </r>
  <r>
    <n v="250"/>
    <x v="249"/>
    <n v="67"/>
    <m/>
    <n v="0"/>
    <n v="0"/>
    <n v="0"/>
    <n v="0"/>
    <m/>
    <n v="0"/>
    <n v="0"/>
    <m/>
    <n v="14.098901098901099"/>
    <n v="0"/>
    <m/>
  </r>
  <r>
    <n v="251"/>
    <x v="250"/>
    <n v="32"/>
    <m/>
    <n v="0"/>
    <n v="0"/>
    <n v="0"/>
    <n v="0"/>
    <m/>
    <n v="0"/>
    <n v="0"/>
    <m/>
    <n v="14.098901098901099"/>
    <n v="0"/>
    <m/>
  </r>
  <r>
    <n v="252"/>
    <x v="251"/>
    <n v="37"/>
    <m/>
    <n v="0"/>
    <n v="0"/>
    <n v="0"/>
    <n v="0"/>
    <m/>
    <n v="0"/>
    <n v="0"/>
    <m/>
    <n v="14.098901098901099"/>
    <n v="0"/>
    <m/>
  </r>
  <r>
    <n v="253"/>
    <x v="252"/>
    <n v="44"/>
    <m/>
    <n v="0"/>
    <n v="0"/>
    <n v="0"/>
    <n v="0"/>
    <m/>
    <n v="0"/>
    <n v="0"/>
    <m/>
    <n v="14.098901098901099"/>
    <n v="0"/>
    <m/>
  </r>
  <r>
    <n v="254"/>
    <x v="253"/>
    <n v="58"/>
    <m/>
    <n v="0"/>
    <n v="0"/>
    <n v="0"/>
    <n v="0"/>
    <m/>
    <n v="0"/>
    <n v="0"/>
    <m/>
    <n v="14.098901098901099"/>
    <n v="0"/>
    <m/>
  </r>
  <r>
    <n v="255"/>
    <x v="254"/>
    <n v="50"/>
    <m/>
    <n v="0"/>
    <n v="0"/>
    <n v="0"/>
    <n v="0"/>
    <m/>
    <n v="0"/>
    <n v="0"/>
    <m/>
    <n v="14.098901098901099"/>
    <n v="0"/>
    <m/>
  </r>
  <r>
    <n v="256"/>
    <x v="255"/>
    <n v="34"/>
    <m/>
    <n v="0"/>
    <n v="0"/>
    <n v="0"/>
    <n v="0"/>
    <m/>
    <n v="0"/>
    <n v="0"/>
    <m/>
    <n v="14.098901098901099"/>
    <n v="0"/>
    <m/>
  </r>
  <r>
    <n v="257"/>
    <x v="256"/>
    <n v="69"/>
    <m/>
    <n v="0"/>
    <n v="0"/>
    <n v="0"/>
    <n v="0"/>
    <m/>
    <n v="0"/>
    <n v="0"/>
    <m/>
    <n v="14.098901098901099"/>
    <n v="0"/>
    <m/>
  </r>
  <r>
    <n v="258"/>
    <x v="257"/>
    <n v="47"/>
    <m/>
    <n v="0"/>
    <n v="0"/>
    <n v="0"/>
    <n v="0"/>
    <m/>
    <n v="0"/>
    <n v="0"/>
    <m/>
    <n v="14.098901098901099"/>
    <n v="0"/>
    <m/>
  </r>
  <r>
    <n v="259"/>
    <x v="258"/>
    <n v="44"/>
    <m/>
    <n v="0"/>
    <n v="0"/>
    <n v="0"/>
    <n v="0"/>
    <m/>
    <n v="0"/>
    <n v="0"/>
    <m/>
    <n v="14.098901098901099"/>
    <n v="0"/>
    <m/>
  </r>
  <r>
    <n v="260"/>
    <x v="259"/>
    <n v="46"/>
    <m/>
    <n v="0"/>
    <n v="0"/>
    <n v="0"/>
    <n v="0"/>
    <m/>
    <n v="0"/>
    <n v="0"/>
    <m/>
    <n v="14.098901098901099"/>
    <n v="0"/>
    <m/>
  </r>
  <r>
    <n v="261"/>
    <x v="260"/>
    <n v="45"/>
    <m/>
    <n v="0"/>
    <n v="0"/>
    <n v="0"/>
    <n v="0"/>
    <m/>
    <n v="0"/>
    <n v="0"/>
    <m/>
    <n v="14.098901098901099"/>
    <n v="0"/>
    <m/>
  </r>
  <r>
    <n v="262"/>
    <x v="261"/>
    <n v="77"/>
    <m/>
    <n v="0"/>
    <n v="0"/>
    <n v="0"/>
    <n v="0"/>
    <m/>
    <n v="0"/>
    <n v="0"/>
    <m/>
    <n v="14.098901098901099"/>
    <n v="0"/>
    <m/>
  </r>
  <r>
    <n v="263"/>
    <x v="262"/>
    <n v="74"/>
    <m/>
    <n v="0"/>
    <n v="0"/>
    <n v="0"/>
    <n v="0"/>
    <m/>
    <n v="0"/>
    <n v="0"/>
    <m/>
    <n v="14.098901098901099"/>
    <n v="0"/>
    <m/>
  </r>
  <r>
    <n v="264"/>
    <x v="263"/>
    <n v="42"/>
    <m/>
    <n v="0"/>
    <n v="0"/>
    <n v="0"/>
    <n v="0"/>
    <m/>
    <n v="0"/>
    <n v="0"/>
    <m/>
    <n v="14.098901098901099"/>
    <n v="0"/>
    <m/>
  </r>
  <r>
    <n v="265"/>
    <x v="264"/>
    <n v="22"/>
    <m/>
    <n v="0"/>
    <n v="0"/>
    <n v="0"/>
    <n v="0"/>
    <m/>
    <n v="0"/>
    <n v="0"/>
    <m/>
    <n v="14.098901098901099"/>
    <n v="0"/>
    <m/>
  </r>
  <r>
    <n v="266"/>
    <x v="265"/>
    <n v="88"/>
    <m/>
    <n v="0"/>
    <n v="0"/>
    <n v="0"/>
    <n v="0"/>
    <m/>
    <n v="0"/>
    <n v="0"/>
    <m/>
    <n v="14.098901098901099"/>
    <n v="0"/>
    <m/>
  </r>
  <r>
    <n v="267"/>
    <x v="266"/>
    <n v="70"/>
    <m/>
    <n v="0"/>
    <n v="0"/>
    <n v="0"/>
    <n v="0"/>
    <m/>
    <n v="0"/>
    <n v="0"/>
    <m/>
    <n v="14.098901098901099"/>
    <n v="0"/>
    <m/>
  </r>
  <r>
    <n v="268"/>
    <x v="267"/>
    <n v="43"/>
    <m/>
    <n v="0"/>
    <n v="0"/>
    <n v="0"/>
    <n v="0"/>
    <m/>
    <n v="0"/>
    <n v="0"/>
    <m/>
    <n v="14.098901098901099"/>
    <n v="0"/>
    <m/>
  </r>
  <r>
    <n v="269"/>
    <x v="268"/>
    <n v="47"/>
    <m/>
    <n v="0"/>
    <n v="0"/>
    <n v="0"/>
    <n v="0"/>
    <m/>
    <n v="0"/>
    <n v="0"/>
    <m/>
    <n v="14.098901098901099"/>
    <n v="0"/>
    <m/>
  </r>
  <r>
    <n v="270"/>
    <x v="269"/>
    <n v="46"/>
    <m/>
    <n v="0"/>
    <n v="0"/>
    <n v="0"/>
    <n v="0"/>
    <m/>
    <n v="0"/>
    <n v="0"/>
    <m/>
    <n v="14.098901098901099"/>
    <n v="0"/>
    <m/>
  </r>
  <r>
    <n v="271"/>
    <x v="270"/>
    <n v="44"/>
    <m/>
    <n v="0"/>
    <n v="0"/>
    <n v="0"/>
    <n v="0"/>
    <m/>
    <n v="0"/>
    <n v="0"/>
    <m/>
    <n v="14.098901098901099"/>
    <n v="0"/>
    <m/>
  </r>
  <r>
    <n v="272"/>
    <x v="271"/>
    <n v="53"/>
    <m/>
    <n v="0"/>
    <n v="0"/>
    <n v="0"/>
    <n v="0"/>
    <m/>
    <n v="0"/>
    <n v="0"/>
    <m/>
    <n v="14.098901098901099"/>
    <n v="0"/>
    <m/>
  </r>
  <r>
    <n v="273"/>
    <x v="272"/>
    <n v="38"/>
    <m/>
    <n v="0"/>
    <n v="0"/>
    <n v="0"/>
    <n v="0"/>
    <m/>
    <n v="0"/>
    <n v="0"/>
    <m/>
    <n v="14.098901098901099"/>
    <n v="0"/>
    <m/>
  </r>
  <r>
    <n v="274"/>
    <x v="273"/>
    <n v="44"/>
    <m/>
    <n v="0"/>
    <n v="0"/>
    <n v="0"/>
    <n v="0"/>
    <m/>
    <n v="0"/>
    <n v="0"/>
    <m/>
    <n v="14.098901098901099"/>
    <n v="0"/>
    <m/>
  </r>
  <r>
    <n v="275"/>
    <x v="274"/>
    <n v="37"/>
    <m/>
    <n v="0"/>
    <n v="0"/>
    <n v="0"/>
    <n v="0"/>
    <m/>
    <n v="0"/>
    <n v="0"/>
    <m/>
    <n v="14.098901098901099"/>
    <n v="0"/>
    <m/>
  </r>
  <r>
    <n v="276"/>
    <x v="275"/>
    <n v="10"/>
    <m/>
    <n v="0"/>
    <n v="0"/>
    <n v="0"/>
    <n v="0"/>
    <m/>
    <n v="0"/>
    <n v="0"/>
    <m/>
    <n v="14.098901098901099"/>
    <n v="0"/>
    <m/>
  </r>
  <r>
    <n v="277"/>
    <x v="276"/>
    <n v="40"/>
    <m/>
    <n v="0"/>
    <n v="0"/>
    <n v="0"/>
    <n v="0"/>
    <m/>
    <n v="0"/>
    <n v="0"/>
    <m/>
    <n v="14.098901098901099"/>
    <n v="0"/>
    <m/>
  </r>
  <r>
    <n v="278"/>
    <x v="277"/>
    <n v="26"/>
    <m/>
    <n v="0"/>
    <n v="0"/>
    <n v="0"/>
    <n v="0"/>
    <m/>
    <n v="0"/>
    <n v="0"/>
    <m/>
    <n v="14.098901098901099"/>
    <n v="0"/>
    <m/>
  </r>
  <r>
    <n v="279"/>
    <x v="278"/>
    <n v="16"/>
    <m/>
    <n v="0"/>
    <n v="0"/>
    <n v="0"/>
    <n v="0"/>
    <m/>
    <n v="0"/>
    <n v="0"/>
    <m/>
    <n v="14.098901098901099"/>
    <n v="0"/>
    <m/>
  </r>
  <r>
    <n v="280"/>
    <x v="279"/>
    <n v="24"/>
    <m/>
    <n v="0"/>
    <n v="0"/>
    <n v="0"/>
    <n v="0"/>
    <m/>
    <n v="0"/>
    <n v="0"/>
    <m/>
    <n v="14.098901098901099"/>
    <n v="0"/>
    <m/>
  </r>
  <r>
    <n v="281"/>
    <x v="280"/>
    <n v="38"/>
    <m/>
    <n v="0"/>
    <n v="0"/>
    <n v="0"/>
    <n v="0"/>
    <m/>
    <n v="0"/>
    <n v="0"/>
    <m/>
    <n v="14.098901098901099"/>
    <n v="0"/>
    <m/>
  </r>
  <r>
    <n v="282"/>
    <x v="281"/>
    <n v="33"/>
    <m/>
    <n v="0"/>
    <n v="0"/>
    <n v="0"/>
    <n v="0"/>
    <m/>
    <n v="0"/>
    <n v="0"/>
    <m/>
    <n v="14.098901098901099"/>
    <n v="0"/>
    <m/>
  </r>
  <r>
    <n v="283"/>
    <x v="282"/>
    <n v="38"/>
    <m/>
    <n v="0"/>
    <n v="0"/>
    <n v="0"/>
    <n v="0"/>
    <m/>
    <n v="0"/>
    <n v="0"/>
    <m/>
    <n v="14.098901098901099"/>
    <n v="0"/>
    <m/>
  </r>
  <r>
    <n v="284"/>
    <x v="283"/>
    <n v="67"/>
    <m/>
    <n v="0"/>
    <n v="0"/>
    <n v="0"/>
    <n v="0"/>
    <m/>
    <n v="0"/>
    <n v="0"/>
    <m/>
    <n v="14.098901098901099"/>
    <n v="0"/>
    <m/>
  </r>
  <r>
    <n v="285"/>
    <x v="284"/>
    <n v="22"/>
    <m/>
    <n v="0"/>
    <n v="0"/>
    <n v="0"/>
    <n v="0"/>
    <m/>
    <n v="0"/>
    <n v="0"/>
    <m/>
    <n v="14.098901098901099"/>
    <n v="0"/>
    <m/>
  </r>
  <r>
    <n v="286"/>
    <x v="285"/>
    <n v="12"/>
    <m/>
    <n v="0"/>
    <n v="0"/>
    <n v="0"/>
    <n v="0"/>
    <m/>
    <n v="0"/>
    <n v="0"/>
    <m/>
    <n v="14.098901098901099"/>
    <n v="0"/>
    <m/>
  </r>
  <r>
    <n v="287"/>
    <x v="286"/>
    <n v="33"/>
    <m/>
    <n v="0"/>
    <n v="0"/>
    <n v="0"/>
    <n v="0"/>
    <m/>
    <n v="0"/>
    <n v="0"/>
    <m/>
    <n v="14.098901098901099"/>
    <n v="0"/>
    <m/>
  </r>
  <r>
    <n v="288"/>
    <x v="287"/>
    <n v="33"/>
    <m/>
    <n v="0"/>
    <n v="0"/>
    <n v="0"/>
    <n v="0"/>
    <m/>
    <n v="0"/>
    <n v="0"/>
    <m/>
    <n v="14.098901098901099"/>
    <n v="0"/>
    <m/>
  </r>
  <r>
    <n v="289"/>
    <x v="288"/>
    <n v="44"/>
    <m/>
    <n v="0"/>
    <n v="0"/>
    <n v="0"/>
    <n v="0"/>
    <m/>
    <n v="0"/>
    <n v="0"/>
    <m/>
    <n v="14.098901098901099"/>
    <n v="0"/>
    <m/>
  </r>
  <r>
    <n v="290"/>
    <x v="289"/>
    <n v="27"/>
    <m/>
    <n v="0"/>
    <n v="0"/>
    <n v="0"/>
    <n v="0"/>
    <m/>
    <n v="0"/>
    <n v="0"/>
    <m/>
    <n v="14.098901098901099"/>
    <n v="0"/>
    <m/>
  </r>
  <r>
    <n v="291"/>
    <x v="290"/>
    <n v="58"/>
    <m/>
    <n v="0"/>
    <n v="0"/>
    <n v="0"/>
    <n v="0"/>
    <m/>
    <n v="0"/>
    <n v="0"/>
    <m/>
    <n v="14.098901098901099"/>
    <n v="0"/>
    <m/>
  </r>
  <r>
    <n v="292"/>
    <x v="291"/>
    <n v="20"/>
    <m/>
    <n v="0"/>
    <n v="0"/>
    <n v="0"/>
    <n v="0"/>
    <m/>
    <n v="0"/>
    <n v="0"/>
    <m/>
    <n v="14.098901098901099"/>
    <n v="0"/>
    <m/>
  </r>
  <r>
    <n v="293"/>
    <x v="292"/>
    <n v="29"/>
    <m/>
    <n v="0"/>
    <n v="0"/>
    <n v="0"/>
    <n v="0"/>
    <m/>
    <n v="0"/>
    <n v="0"/>
    <m/>
    <n v="14.098901098901099"/>
    <n v="0"/>
    <m/>
  </r>
  <r>
    <n v="294"/>
    <x v="293"/>
    <n v="18"/>
    <m/>
    <n v="0"/>
    <n v="0"/>
    <n v="0"/>
    <n v="0"/>
    <m/>
    <n v="0"/>
    <n v="0"/>
    <m/>
    <n v="14.098901098901099"/>
    <n v="0"/>
    <m/>
  </r>
  <r>
    <n v="295"/>
    <x v="294"/>
    <n v="62"/>
    <m/>
    <n v="0"/>
    <n v="0"/>
    <n v="0"/>
    <n v="0"/>
    <m/>
    <n v="0"/>
    <n v="0"/>
    <m/>
    <n v="14.098901098901099"/>
    <n v="0"/>
    <m/>
  </r>
  <r>
    <n v="296"/>
    <x v="295"/>
    <n v="10"/>
    <m/>
    <n v="0"/>
    <n v="0"/>
    <n v="0"/>
    <n v="0"/>
    <m/>
    <n v="0"/>
    <n v="0"/>
    <m/>
    <n v="14.098901098901099"/>
    <n v="0"/>
    <m/>
  </r>
  <r>
    <n v="297"/>
    <x v="296"/>
    <n v="4"/>
    <m/>
    <n v="0"/>
    <n v="0"/>
    <n v="0"/>
    <n v="0"/>
    <m/>
    <n v="0"/>
    <n v="0"/>
    <m/>
    <n v="14.098901098901099"/>
    <n v="0"/>
    <m/>
  </r>
  <r>
    <n v="298"/>
    <x v="297"/>
    <n v="23"/>
    <m/>
    <n v="0"/>
    <n v="0"/>
    <n v="0"/>
    <n v="0"/>
    <m/>
    <n v="0"/>
    <n v="0"/>
    <m/>
    <n v="14.098901098901099"/>
    <n v="0"/>
    <m/>
  </r>
  <r>
    <n v="299"/>
    <x v="298"/>
    <n v="14"/>
    <m/>
    <n v="0"/>
    <n v="0"/>
    <n v="0"/>
    <n v="0"/>
    <m/>
    <n v="0"/>
    <n v="0"/>
    <m/>
    <n v="14.098901098901099"/>
    <n v="0"/>
    <m/>
  </r>
  <r>
    <n v="300"/>
    <x v="299"/>
    <n v="34"/>
    <m/>
    <n v="0"/>
    <n v="0"/>
    <n v="0"/>
    <n v="0"/>
    <m/>
    <n v="0"/>
    <n v="0"/>
    <m/>
    <n v="14.098901098901099"/>
    <n v="0"/>
    <m/>
  </r>
  <r>
    <n v="301"/>
    <x v="300"/>
    <n v="10"/>
    <m/>
    <n v="0"/>
    <n v="0"/>
    <n v="0"/>
    <n v="0"/>
    <m/>
    <n v="0"/>
    <n v="0"/>
    <m/>
    <n v="14.098901098901099"/>
    <n v="0"/>
    <m/>
  </r>
  <r>
    <n v="302"/>
    <x v="301"/>
    <n v="10"/>
    <m/>
    <n v="0"/>
    <n v="0"/>
    <n v="0"/>
    <n v="0"/>
    <m/>
    <n v="0"/>
    <n v="0"/>
    <m/>
    <n v="14.098901098901099"/>
    <n v="0"/>
    <m/>
  </r>
  <r>
    <n v="303"/>
    <x v="302"/>
    <n v="14"/>
    <m/>
    <n v="0"/>
    <n v="0"/>
    <n v="0"/>
    <n v="0"/>
    <m/>
    <n v="0"/>
    <n v="0"/>
    <m/>
    <n v="14.098901098901099"/>
    <n v="0"/>
    <m/>
  </r>
  <r>
    <n v="304"/>
    <x v="303"/>
    <n v="16"/>
    <m/>
    <n v="0"/>
    <n v="0"/>
    <n v="0"/>
    <n v="0"/>
    <m/>
    <n v="0"/>
    <n v="0"/>
    <m/>
    <n v="14.098901098901099"/>
    <n v="0"/>
    <m/>
  </r>
  <r>
    <n v="305"/>
    <x v="304"/>
    <n v="10"/>
    <m/>
    <n v="0"/>
    <n v="0"/>
    <n v="0"/>
    <n v="0"/>
    <m/>
    <n v="0"/>
    <n v="0"/>
    <m/>
    <n v="14.098901098901099"/>
    <n v="0"/>
    <m/>
  </r>
  <r>
    <n v="306"/>
    <x v="305"/>
    <n v="18"/>
    <m/>
    <n v="0"/>
    <n v="0"/>
    <n v="0"/>
    <n v="0"/>
    <m/>
    <n v="0"/>
    <n v="0"/>
    <m/>
    <n v="14.098901098901099"/>
    <n v="0"/>
    <m/>
  </r>
  <r>
    <n v="307"/>
    <x v="306"/>
    <n v="12"/>
    <m/>
    <n v="0"/>
    <n v="0"/>
    <n v="0"/>
    <n v="0"/>
    <m/>
    <n v="0"/>
    <n v="0"/>
    <m/>
    <n v="14.098901098901099"/>
    <n v="0"/>
    <m/>
  </r>
  <r>
    <n v="308"/>
    <x v="307"/>
    <n v="36"/>
    <m/>
    <n v="0"/>
    <n v="0"/>
    <n v="0"/>
    <n v="0"/>
    <m/>
    <n v="0"/>
    <n v="0"/>
    <m/>
    <n v="14.098901098901099"/>
    <n v="0"/>
    <m/>
  </r>
  <r>
    <n v="309"/>
    <x v="308"/>
    <n v="20"/>
    <m/>
    <n v="0"/>
    <n v="0"/>
    <n v="0"/>
    <n v="0"/>
    <m/>
    <n v="0"/>
    <n v="0"/>
    <m/>
    <n v="14.098901098901099"/>
    <n v="0"/>
    <m/>
  </r>
  <r>
    <n v="310"/>
    <x v="309"/>
    <n v="3"/>
    <m/>
    <n v="0"/>
    <n v="0"/>
    <n v="0"/>
    <n v="0"/>
    <m/>
    <n v="0"/>
    <n v="0"/>
    <m/>
    <n v="14.098901098901099"/>
    <n v="0"/>
    <m/>
  </r>
  <r>
    <n v="311"/>
    <x v="310"/>
    <n v="12"/>
    <m/>
    <n v="0"/>
    <n v="0"/>
    <n v="0"/>
    <n v="0"/>
    <m/>
    <n v="0"/>
    <n v="0"/>
    <m/>
    <n v="14.098901098901099"/>
    <n v="0"/>
    <m/>
  </r>
  <r>
    <n v="312"/>
    <x v="311"/>
    <n v="18"/>
    <m/>
    <n v="0"/>
    <n v="0"/>
    <n v="0"/>
    <n v="0"/>
    <m/>
    <n v="0"/>
    <n v="0"/>
    <m/>
    <n v="14.098901098901099"/>
    <n v="0"/>
    <m/>
  </r>
  <r>
    <n v="313"/>
    <x v="312"/>
    <n v="9"/>
    <m/>
    <n v="0"/>
    <n v="0"/>
    <n v="0"/>
    <n v="0"/>
    <m/>
    <n v="0"/>
    <n v="0"/>
    <m/>
    <n v="14.098901098901099"/>
    <n v="0"/>
    <m/>
  </r>
  <r>
    <n v="314"/>
    <x v="313"/>
    <n v="6"/>
    <m/>
    <n v="0"/>
    <n v="0"/>
    <n v="0"/>
    <n v="0"/>
    <m/>
    <n v="0"/>
    <n v="0"/>
    <m/>
    <n v="14.098901098901099"/>
    <n v="0"/>
    <m/>
  </r>
  <r>
    <n v="315"/>
    <x v="314"/>
    <n v="26"/>
    <m/>
    <n v="0"/>
    <n v="0"/>
    <n v="0"/>
    <n v="0"/>
    <m/>
    <n v="0"/>
    <n v="0"/>
    <m/>
    <n v="14.098901098901099"/>
    <n v="0"/>
    <m/>
  </r>
  <r>
    <n v="316"/>
    <x v="315"/>
    <n v="13"/>
    <m/>
    <n v="0"/>
    <n v="0"/>
    <n v="0"/>
    <n v="0"/>
    <m/>
    <n v="0"/>
    <n v="0"/>
    <m/>
    <n v="14.098901098901099"/>
    <n v="0"/>
    <m/>
  </r>
  <r>
    <n v="317"/>
    <x v="316"/>
    <n v="16"/>
    <m/>
    <n v="0"/>
    <n v="0"/>
    <n v="0"/>
    <n v="0"/>
    <m/>
    <n v="0"/>
    <n v="0"/>
    <m/>
    <n v="14.098901098901099"/>
    <n v="0"/>
    <m/>
  </r>
  <r>
    <n v="318"/>
    <x v="317"/>
    <n v="10"/>
    <m/>
    <n v="0"/>
    <n v="0"/>
    <n v="0"/>
    <n v="0"/>
    <m/>
    <n v="0"/>
    <n v="0"/>
    <m/>
    <n v="14.098901098901099"/>
    <n v="0"/>
    <m/>
  </r>
  <r>
    <n v="319"/>
    <x v="318"/>
    <n v="7"/>
    <m/>
    <n v="0"/>
    <n v="0"/>
    <n v="0"/>
    <n v="0"/>
    <m/>
    <n v="0"/>
    <n v="0"/>
    <m/>
    <n v="14.098901098901099"/>
    <n v="0"/>
    <m/>
  </r>
  <r>
    <n v="320"/>
    <x v="319"/>
    <n v="6"/>
    <m/>
    <n v="0"/>
    <n v="0"/>
    <n v="0"/>
    <n v="0"/>
    <m/>
    <n v="0"/>
    <n v="0"/>
    <m/>
    <n v="14.098901098901099"/>
    <n v="0"/>
    <m/>
  </r>
  <r>
    <n v="321"/>
    <x v="320"/>
    <n v="20"/>
    <m/>
    <n v="0"/>
    <n v="0"/>
    <n v="0"/>
    <n v="0"/>
    <m/>
    <n v="0"/>
    <n v="0"/>
    <m/>
    <n v="14.098901098901099"/>
    <n v="0"/>
    <m/>
  </r>
  <r>
    <n v="322"/>
    <x v="321"/>
    <n v="13"/>
    <m/>
    <n v="0"/>
    <n v="0"/>
    <n v="0"/>
    <n v="0"/>
    <m/>
    <n v="0"/>
    <n v="0"/>
    <m/>
    <n v="14.098901098901099"/>
    <n v="0"/>
    <m/>
  </r>
  <r>
    <n v="323"/>
    <x v="322"/>
    <n v="6"/>
    <m/>
    <n v="0"/>
    <n v="0"/>
    <n v="0"/>
    <n v="0"/>
    <m/>
    <n v="0"/>
    <n v="0"/>
    <m/>
    <n v="14.098901098901099"/>
    <n v="0"/>
    <m/>
  </r>
  <r>
    <n v="324"/>
    <x v="323"/>
    <n v="38"/>
    <m/>
    <n v="0"/>
    <n v="0"/>
    <n v="0"/>
    <n v="0"/>
    <m/>
    <n v="0"/>
    <n v="0"/>
    <m/>
    <n v="14.098901098901099"/>
    <n v="0"/>
    <m/>
  </r>
  <r>
    <n v="325"/>
    <x v="324"/>
    <n v="18"/>
    <m/>
    <n v="0"/>
    <n v="0"/>
    <n v="0"/>
    <n v="0"/>
    <m/>
    <n v="0"/>
    <n v="0"/>
    <m/>
    <n v="14.098901098901099"/>
    <n v="0"/>
    <m/>
  </r>
  <r>
    <n v="326"/>
    <x v="325"/>
    <n v="7"/>
    <m/>
    <n v="0"/>
    <n v="0"/>
    <n v="0"/>
    <n v="0"/>
    <m/>
    <n v="0"/>
    <n v="0"/>
    <m/>
    <n v="14.098901098901099"/>
    <n v="0"/>
    <m/>
  </r>
  <r>
    <n v="327"/>
    <x v="326"/>
    <n v="6"/>
    <m/>
    <n v="0"/>
    <n v="0"/>
    <n v="0"/>
    <n v="0"/>
    <m/>
    <n v="0"/>
    <n v="0"/>
    <m/>
    <n v="14.098901098901099"/>
    <n v="0"/>
    <m/>
  </r>
  <r>
    <n v="328"/>
    <x v="327"/>
    <n v="5"/>
    <m/>
    <n v="0"/>
    <n v="0"/>
    <n v="0"/>
    <n v="0"/>
    <m/>
    <n v="0"/>
    <n v="0"/>
    <m/>
    <n v="14.098901098901099"/>
    <n v="0"/>
    <m/>
  </r>
  <r>
    <n v="329"/>
    <x v="328"/>
    <n v="13"/>
    <m/>
    <n v="0"/>
    <n v="0"/>
    <n v="0"/>
    <n v="0"/>
    <m/>
    <n v="0"/>
    <n v="0"/>
    <m/>
    <n v="14.098901098901099"/>
    <n v="0"/>
    <m/>
  </r>
  <r>
    <n v="330"/>
    <x v="329"/>
    <n v="19"/>
    <m/>
    <n v="0"/>
    <n v="0"/>
    <n v="0"/>
    <n v="0"/>
    <m/>
    <n v="0"/>
    <n v="0"/>
    <m/>
    <n v="14.098901098901099"/>
    <n v="0"/>
    <m/>
  </r>
  <r>
    <n v="331"/>
    <x v="330"/>
    <n v="24"/>
    <m/>
    <n v="0"/>
    <n v="0"/>
    <n v="0"/>
    <n v="0"/>
    <m/>
    <n v="0"/>
    <n v="0"/>
    <m/>
    <n v="14.098901098901099"/>
    <n v="0"/>
    <m/>
  </r>
  <r>
    <n v="332"/>
    <x v="331"/>
    <n v="6"/>
    <m/>
    <n v="0"/>
    <n v="0"/>
    <n v="0"/>
    <n v="0"/>
    <m/>
    <n v="0"/>
    <n v="0"/>
    <m/>
    <n v="14.098901098901099"/>
    <n v="0"/>
    <m/>
  </r>
  <r>
    <n v="333"/>
    <x v="332"/>
    <n v="18"/>
    <m/>
    <n v="0"/>
    <n v="0"/>
    <n v="0"/>
    <n v="0"/>
    <m/>
    <n v="0"/>
    <n v="0"/>
    <m/>
    <n v="14.098901098901099"/>
    <n v="0"/>
    <m/>
  </r>
  <r>
    <n v="334"/>
    <x v="333"/>
    <n v="2"/>
    <m/>
    <n v="0"/>
    <n v="0"/>
    <n v="0"/>
    <n v="0"/>
    <m/>
    <n v="0"/>
    <n v="0"/>
    <m/>
    <n v="14.098901098901099"/>
    <n v="0"/>
    <m/>
  </r>
  <r>
    <n v="335"/>
    <x v="334"/>
    <n v="10"/>
    <m/>
    <n v="0"/>
    <n v="0"/>
    <n v="0"/>
    <n v="0"/>
    <m/>
    <n v="0"/>
    <n v="0"/>
    <m/>
    <n v="14.098901098901099"/>
    <n v="0"/>
    <m/>
  </r>
  <r>
    <n v="336"/>
    <x v="335"/>
    <n v="12"/>
    <m/>
    <n v="0"/>
    <n v="0"/>
    <n v="0"/>
    <n v="0"/>
    <m/>
    <n v="0"/>
    <n v="0"/>
    <m/>
    <n v="14.098901098901099"/>
    <n v="0"/>
    <m/>
  </r>
  <r>
    <n v="337"/>
    <x v="336"/>
    <n v="11"/>
    <m/>
    <n v="0"/>
    <n v="0"/>
    <n v="0"/>
    <n v="0"/>
    <m/>
    <n v="0"/>
    <n v="0"/>
    <m/>
    <n v="14.098901098901099"/>
    <n v="0"/>
    <m/>
  </r>
  <r>
    <n v="338"/>
    <x v="337"/>
    <n v="5"/>
    <m/>
    <n v="0"/>
    <n v="0"/>
    <n v="0"/>
    <n v="0"/>
    <m/>
    <n v="0"/>
    <n v="0"/>
    <m/>
    <n v="14.098901098901099"/>
    <n v="0"/>
    <m/>
  </r>
  <r>
    <n v="339"/>
    <x v="338"/>
    <n v="4"/>
    <m/>
    <n v="0"/>
    <n v="0"/>
    <n v="0"/>
    <n v="0"/>
    <m/>
    <n v="0"/>
    <n v="0"/>
    <m/>
    <n v="14.098901098901099"/>
    <n v="0"/>
    <m/>
  </r>
  <r>
    <n v="340"/>
    <x v="339"/>
    <n v="26"/>
    <m/>
    <n v="0"/>
    <n v="0"/>
    <n v="0"/>
    <n v="0"/>
    <m/>
    <n v="0"/>
    <n v="0"/>
    <m/>
    <n v="14.098901098901099"/>
    <n v="0"/>
    <m/>
  </r>
  <r>
    <n v="341"/>
    <x v="340"/>
    <n v="2"/>
    <m/>
    <n v="0"/>
    <n v="0"/>
    <n v="0"/>
    <n v="0"/>
    <m/>
    <n v="0"/>
    <n v="0"/>
    <m/>
    <n v="14.098901098901099"/>
    <n v="0"/>
    <m/>
  </r>
  <r>
    <n v="342"/>
    <x v="341"/>
    <n v="14"/>
    <m/>
    <n v="0"/>
    <n v="0"/>
    <n v="0"/>
    <n v="0"/>
    <m/>
    <n v="0"/>
    <n v="0"/>
    <m/>
    <n v="14.098901098901099"/>
    <n v="0"/>
    <m/>
  </r>
  <r>
    <n v="343"/>
    <x v="342"/>
    <n v="31"/>
    <m/>
    <n v="0"/>
    <n v="0"/>
    <n v="0"/>
    <n v="0"/>
    <m/>
    <n v="0"/>
    <n v="0"/>
    <m/>
    <n v="14.098901098901099"/>
    <n v="0"/>
    <m/>
  </r>
  <r>
    <n v="344"/>
    <x v="343"/>
    <n v="28"/>
    <m/>
    <n v="0"/>
    <n v="0"/>
    <n v="0"/>
    <n v="0"/>
    <m/>
    <n v="0"/>
    <n v="0"/>
    <m/>
    <n v="14.098901098901099"/>
    <n v="0"/>
    <m/>
  </r>
  <r>
    <n v="345"/>
    <x v="344"/>
    <n v="5"/>
    <m/>
    <n v="0"/>
    <n v="0"/>
    <n v="0"/>
    <n v="0"/>
    <m/>
    <n v="0"/>
    <n v="0"/>
    <m/>
    <n v="14.098901098901099"/>
    <n v="0"/>
    <m/>
  </r>
  <r>
    <n v="346"/>
    <x v="345"/>
    <n v="3"/>
    <m/>
    <n v="0"/>
    <n v="0"/>
    <n v="0"/>
    <n v="0"/>
    <m/>
    <n v="0"/>
    <n v="0"/>
    <m/>
    <n v="14.098901098901099"/>
    <n v="0"/>
    <m/>
  </r>
  <r>
    <n v="347"/>
    <x v="346"/>
    <n v="4"/>
    <m/>
    <n v="0"/>
    <n v="0"/>
    <n v="0"/>
    <n v="0"/>
    <m/>
    <n v="0"/>
    <n v="0"/>
    <m/>
    <n v="14.098901098901099"/>
    <n v="0"/>
    <m/>
  </r>
  <r>
    <n v="348"/>
    <x v="347"/>
    <n v="4"/>
    <m/>
    <n v="0"/>
    <n v="0"/>
    <n v="0"/>
    <n v="0"/>
    <m/>
    <n v="0"/>
    <n v="0"/>
    <m/>
    <n v="14.098901098901099"/>
    <n v="0"/>
    <m/>
  </r>
  <r>
    <n v="349"/>
    <x v="348"/>
    <n v="10"/>
    <m/>
    <n v="0"/>
    <n v="0"/>
    <n v="0"/>
    <n v="0"/>
    <m/>
    <n v="0"/>
    <n v="0"/>
    <m/>
    <n v="14.098901098901099"/>
    <n v="0"/>
    <m/>
  </r>
  <r>
    <n v="350"/>
    <x v="349"/>
    <n v="3"/>
    <m/>
    <n v="0"/>
    <n v="0"/>
    <n v="0"/>
    <n v="0"/>
    <m/>
    <n v="0"/>
    <n v="0"/>
    <m/>
    <n v="14.098901098901099"/>
    <n v="0"/>
    <m/>
  </r>
  <r>
    <n v="351"/>
    <x v="350"/>
    <n v="2"/>
    <m/>
    <n v="0"/>
    <n v="0"/>
    <n v="0"/>
    <n v="0"/>
    <m/>
    <n v="0"/>
    <n v="0"/>
    <m/>
    <n v="14.098901098901099"/>
    <n v="0"/>
    <m/>
  </r>
  <r>
    <n v="352"/>
    <x v="351"/>
    <n v="3"/>
    <m/>
    <n v="0"/>
    <n v="0"/>
    <n v="0"/>
    <n v="0"/>
    <m/>
    <n v="0"/>
    <n v="0"/>
    <m/>
    <n v="14.098901098901099"/>
    <n v="0"/>
    <m/>
  </r>
  <r>
    <n v="353"/>
    <x v="352"/>
    <n v="29"/>
    <m/>
    <n v="0"/>
    <n v="0"/>
    <n v="0"/>
    <n v="0"/>
    <m/>
    <n v="0"/>
    <n v="0"/>
    <m/>
    <n v="14.098901098901099"/>
    <n v="0"/>
    <m/>
  </r>
  <r>
    <n v="354"/>
    <x v="353"/>
    <n v="15"/>
    <m/>
    <n v="0"/>
    <n v="0"/>
    <n v="0"/>
    <n v="0"/>
    <m/>
    <n v="0"/>
    <n v="0"/>
    <m/>
    <n v="14.098901098901099"/>
    <n v="0"/>
    <m/>
  </r>
  <r>
    <n v="355"/>
    <x v="354"/>
    <n v="4"/>
    <m/>
    <n v="0"/>
    <n v="0"/>
    <n v="0"/>
    <n v="0"/>
    <m/>
    <n v="0"/>
    <n v="0"/>
    <m/>
    <n v="14.098901098901099"/>
    <n v="0"/>
    <m/>
  </r>
  <r>
    <n v="356"/>
    <x v="355"/>
    <n v="5"/>
    <m/>
    <n v="0"/>
    <n v="0"/>
    <n v="0"/>
    <n v="0"/>
    <m/>
    <n v="0"/>
    <n v="0"/>
    <m/>
    <n v="14.098901098901099"/>
    <n v="0"/>
    <m/>
  </r>
  <r>
    <n v="357"/>
    <x v="356"/>
    <n v="7"/>
    <m/>
    <n v="0"/>
    <n v="0"/>
    <n v="0"/>
    <n v="0"/>
    <m/>
    <n v="0"/>
    <n v="0"/>
    <m/>
    <n v="14.098901098901099"/>
    <n v="0"/>
    <m/>
  </r>
  <r>
    <n v="358"/>
    <x v="357"/>
    <n v="1"/>
    <m/>
    <n v="0"/>
    <n v="0"/>
    <n v="0"/>
    <n v="0"/>
    <m/>
    <n v="0"/>
    <n v="0"/>
    <m/>
    <n v="14.098901098901099"/>
    <n v="0"/>
    <m/>
  </r>
  <r>
    <n v="359"/>
    <x v="358"/>
    <n v="41"/>
    <m/>
    <n v="0"/>
    <n v="0"/>
    <n v="0"/>
    <n v="0"/>
    <m/>
    <n v="0"/>
    <n v="0"/>
    <m/>
    <n v="14.098901098901099"/>
    <n v="0"/>
    <m/>
  </r>
  <r>
    <n v="360"/>
    <x v="359"/>
    <n v="3"/>
    <m/>
    <n v="0"/>
    <n v="0"/>
    <n v="0"/>
    <n v="0"/>
    <m/>
    <n v="0"/>
    <n v="0"/>
    <m/>
    <n v="14.098901098901099"/>
    <n v="0"/>
    <m/>
  </r>
  <r>
    <n v="361"/>
    <x v="360"/>
    <n v="3"/>
    <m/>
    <n v="0"/>
    <n v="0"/>
    <n v="0"/>
    <n v="0"/>
    <m/>
    <n v="0"/>
    <n v="0"/>
    <m/>
    <n v="14.098901098901099"/>
    <n v="0"/>
    <m/>
  </r>
  <r>
    <n v="362"/>
    <x v="361"/>
    <n v="6"/>
    <m/>
    <n v="0"/>
    <n v="0"/>
    <n v="0"/>
    <n v="0"/>
    <m/>
    <n v="0"/>
    <n v="0"/>
    <m/>
    <n v="14.098901098901099"/>
    <n v="0"/>
    <m/>
  </r>
  <r>
    <n v="363"/>
    <x v="362"/>
    <n v="12"/>
    <m/>
    <n v="0"/>
    <n v="0"/>
    <n v="0"/>
    <n v="0"/>
    <m/>
    <n v="0"/>
    <n v="0"/>
    <m/>
    <n v="14.098901098901099"/>
    <n v="0"/>
    <m/>
  </r>
  <r>
    <n v="364"/>
    <x v="363"/>
    <n v="10"/>
    <m/>
    <n v="0"/>
    <n v="0"/>
    <n v="0"/>
    <n v="0"/>
    <m/>
    <n v="0"/>
    <n v="0"/>
    <m/>
    <n v="14.098901098901099"/>
    <n v="0"/>
    <m/>
  </r>
  <r>
    <n v="365"/>
    <x v="364"/>
    <n v="14"/>
    <m/>
    <n v="0"/>
    <n v="0"/>
    <n v="0"/>
    <n v="0"/>
    <m/>
    <n v="0"/>
    <n v="0"/>
    <m/>
    <n v="14.098901098901099"/>
    <n v="0"/>
    <m/>
  </r>
  <r>
    <n v="366"/>
    <x v="365"/>
    <n v="5"/>
    <m/>
    <n v="0"/>
    <n v="0"/>
    <n v="0"/>
    <n v="0"/>
    <m/>
    <n v="0"/>
    <n v="0"/>
    <m/>
    <n v="14.098901098901099"/>
    <n v="0"/>
    <m/>
  </r>
  <r>
    <n v="367"/>
    <x v="366"/>
    <n v="4"/>
    <m/>
    <n v="0"/>
    <n v="0"/>
    <n v="0"/>
    <n v="0"/>
    <m/>
    <n v="0"/>
    <n v="0"/>
    <m/>
    <n v="14.098901098901099"/>
    <n v="0"/>
    <m/>
  </r>
  <r>
    <n v="368"/>
    <x v="367"/>
    <n v="9"/>
    <m/>
    <n v="0"/>
    <n v="0"/>
    <n v="0"/>
    <n v="0"/>
    <m/>
    <n v="0"/>
    <n v="0"/>
    <m/>
    <n v="14.098901098901099"/>
    <n v="0"/>
    <m/>
  </r>
  <r>
    <n v="369"/>
    <x v="368"/>
    <n v="9"/>
    <m/>
    <n v="0"/>
    <n v="0"/>
    <n v="0"/>
    <n v="0"/>
    <m/>
    <n v="0"/>
    <n v="0"/>
    <m/>
    <n v="14.098901098901099"/>
    <n v="0"/>
    <m/>
  </r>
  <r>
    <n v="370"/>
    <x v="369"/>
    <n v="1"/>
    <m/>
    <n v="0"/>
    <n v="0"/>
    <n v="0"/>
    <n v="0"/>
    <m/>
    <n v="0"/>
    <n v="0"/>
    <m/>
    <n v="14.098901098901099"/>
    <n v="0"/>
    <m/>
  </r>
  <r>
    <n v="371"/>
    <x v="370"/>
    <n v="29"/>
    <m/>
    <n v="0"/>
    <n v="0"/>
    <n v="0"/>
    <n v="0"/>
    <m/>
    <n v="0"/>
    <n v="0"/>
    <m/>
    <n v="14.098901098901099"/>
    <n v="0"/>
    <m/>
  </r>
  <r>
    <n v="372"/>
    <x v="371"/>
    <n v="6"/>
    <m/>
    <n v="0"/>
    <n v="0"/>
    <n v="0"/>
    <n v="0"/>
    <m/>
    <n v="0"/>
    <n v="0"/>
    <m/>
    <n v="14.098901098901099"/>
    <n v="0"/>
    <m/>
  </r>
  <r>
    <n v="373"/>
    <x v="372"/>
    <n v="4"/>
    <m/>
    <n v="0"/>
    <n v="0"/>
    <n v="0"/>
    <n v="0"/>
    <m/>
    <n v="0"/>
    <n v="0"/>
    <m/>
    <n v="14.098901098901099"/>
    <n v="0"/>
    <m/>
  </r>
  <r>
    <n v="374"/>
    <x v="373"/>
    <n v="1"/>
    <m/>
    <n v="0"/>
    <n v="0"/>
    <n v="0"/>
    <n v="0"/>
    <m/>
    <n v="0"/>
    <n v="0"/>
    <m/>
    <n v="14.098901098901099"/>
    <n v="0"/>
    <m/>
  </r>
  <r>
    <n v="375"/>
    <x v="374"/>
    <n v="13"/>
    <m/>
    <n v="0"/>
    <n v="0"/>
    <n v="0"/>
    <n v="0"/>
    <m/>
    <n v="0"/>
    <n v="0"/>
    <m/>
    <n v="14.098901098901099"/>
    <n v="0"/>
    <m/>
  </r>
  <r>
    <n v="376"/>
    <x v="375"/>
    <n v="2"/>
    <m/>
    <n v="0"/>
    <n v="0"/>
    <n v="0"/>
    <n v="0"/>
    <m/>
    <n v="0"/>
    <n v="0"/>
    <m/>
    <n v="14.098901098901099"/>
    <n v="0"/>
    <m/>
  </r>
  <r>
    <n v="377"/>
    <x v="376"/>
    <n v="2"/>
    <m/>
    <n v="0"/>
    <n v="0"/>
    <n v="0"/>
    <n v="0"/>
    <m/>
    <n v="0"/>
    <n v="0"/>
    <m/>
    <n v="14.098901098901099"/>
    <n v="0"/>
    <m/>
  </r>
  <r>
    <n v="378"/>
    <x v="377"/>
    <n v="26"/>
    <m/>
    <n v="0"/>
    <n v="0"/>
    <n v="0"/>
    <n v="0"/>
    <m/>
    <n v="0"/>
    <n v="0"/>
    <m/>
    <n v="14.098901098901099"/>
    <n v="0"/>
    <m/>
  </r>
  <r>
    <n v="379"/>
    <x v="378"/>
    <n v="6"/>
    <m/>
    <n v="0"/>
    <n v="0"/>
    <n v="0"/>
    <n v="0"/>
    <m/>
    <n v="0"/>
    <n v="0"/>
    <m/>
    <n v="14.098901098901099"/>
    <n v="0"/>
    <m/>
  </r>
  <r>
    <n v="380"/>
    <x v="379"/>
    <n v="2"/>
    <m/>
    <n v="0"/>
    <n v="0"/>
    <n v="0"/>
    <n v="0"/>
    <m/>
    <n v="0"/>
    <n v="0"/>
    <m/>
    <n v="14.098901098901099"/>
    <n v="0"/>
    <m/>
  </r>
  <r>
    <n v="381"/>
    <x v="380"/>
    <n v="18"/>
    <m/>
    <n v="0"/>
    <n v="0"/>
    <n v="0"/>
    <n v="0"/>
    <m/>
    <n v="0"/>
    <n v="0"/>
    <m/>
    <n v="14.098901098901099"/>
    <n v="0"/>
    <m/>
  </r>
  <r>
    <n v="382"/>
    <x v="381"/>
    <n v="11"/>
    <m/>
    <n v="0"/>
    <n v="0"/>
    <n v="0"/>
    <n v="0"/>
    <m/>
    <n v="0"/>
    <n v="0"/>
    <m/>
    <n v="14.098901098901099"/>
    <n v="0"/>
    <m/>
  </r>
  <r>
    <n v="383"/>
    <x v="382"/>
    <n v="9"/>
    <m/>
    <n v="0"/>
    <n v="0"/>
    <n v="0"/>
    <n v="0"/>
    <m/>
    <n v="0"/>
    <n v="0"/>
    <m/>
    <n v="14.098901098901099"/>
    <n v="0"/>
    <m/>
  </r>
  <r>
    <n v="384"/>
    <x v="383"/>
    <n v="7"/>
    <m/>
    <n v="0"/>
    <n v="0"/>
    <n v="0"/>
    <n v="0"/>
    <m/>
    <n v="0"/>
    <n v="0"/>
    <m/>
    <n v="14.098901098901099"/>
    <n v="0"/>
    <m/>
  </r>
  <r>
    <n v="385"/>
    <x v="384"/>
    <n v="31"/>
    <m/>
    <n v="0"/>
    <n v="0"/>
    <n v="0"/>
    <n v="0"/>
    <m/>
    <n v="0"/>
    <n v="0"/>
    <m/>
    <n v="14.098901098901099"/>
    <n v="0"/>
    <m/>
  </r>
  <r>
    <n v="386"/>
    <x v="385"/>
    <n v="18"/>
    <m/>
    <n v="0"/>
    <n v="0"/>
    <n v="0"/>
    <n v="0"/>
    <m/>
    <n v="0"/>
    <n v="0"/>
    <m/>
    <n v="14.098901098901099"/>
    <n v="0"/>
    <m/>
  </r>
  <r>
    <n v="387"/>
    <x v="386"/>
    <n v="30"/>
    <m/>
    <n v="0"/>
    <n v="0"/>
    <n v="0"/>
    <n v="0"/>
    <m/>
    <n v="0"/>
    <n v="0"/>
    <m/>
    <n v="14.098901098901099"/>
    <n v="0"/>
    <m/>
  </r>
  <r>
    <n v="388"/>
    <x v="387"/>
    <n v="2"/>
    <m/>
    <n v="0"/>
    <n v="0"/>
    <n v="0"/>
    <n v="0"/>
    <m/>
    <n v="0"/>
    <n v="0"/>
    <m/>
    <n v="14.098901098901099"/>
    <n v="0"/>
    <m/>
  </r>
  <r>
    <n v="389"/>
    <x v="388"/>
    <n v="8"/>
    <m/>
    <n v="0"/>
    <n v="0"/>
    <n v="0"/>
    <n v="0"/>
    <m/>
    <n v="0"/>
    <n v="0"/>
    <m/>
    <n v="14.098901098901099"/>
    <n v="0"/>
    <m/>
  </r>
  <r>
    <n v="390"/>
    <x v="389"/>
    <n v="15"/>
    <m/>
    <n v="0"/>
    <n v="0"/>
    <n v="0"/>
    <n v="0"/>
    <m/>
    <n v="0"/>
    <n v="0"/>
    <m/>
    <n v="14.098901098901099"/>
    <n v="0"/>
    <m/>
  </r>
  <r>
    <n v="391"/>
    <x v="390"/>
    <n v="26"/>
    <m/>
    <n v="0"/>
    <n v="0"/>
    <n v="0"/>
    <n v="0"/>
    <m/>
    <n v="0"/>
    <n v="0"/>
    <m/>
    <n v="14.098901098901099"/>
    <n v="0"/>
    <m/>
  </r>
  <r>
    <n v="392"/>
    <x v="391"/>
    <n v="6"/>
    <m/>
    <n v="0"/>
    <n v="0"/>
    <n v="0"/>
    <n v="0"/>
    <m/>
    <n v="0"/>
    <n v="0"/>
    <m/>
    <n v="14.098901098901099"/>
    <n v="0"/>
    <m/>
  </r>
  <r>
    <n v="393"/>
    <x v="392"/>
    <n v="16"/>
    <m/>
    <n v="0"/>
    <n v="0"/>
    <n v="0"/>
    <n v="0"/>
    <m/>
    <n v="0"/>
    <n v="0"/>
    <m/>
    <n v="14.098901098901099"/>
    <n v="0"/>
    <m/>
  </r>
  <r>
    <n v="394"/>
    <x v="393"/>
    <n v="13"/>
    <m/>
    <n v="0"/>
    <n v="0"/>
    <n v="0"/>
    <n v="0"/>
    <m/>
    <n v="0"/>
    <n v="0"/>
    <m/>
    <n v="14.098901098901099"/>
    <n v="0"/>
    <m/>
  </r>
  <r>
    <n v="395"/>
    <x v="394"/>
    <n v="10"/>
    <m/>
    <n v="0"/>
    <n v="0"/>
    <n v="0"/>
    <n v="0"/>
    <m/>
    <n v="0"/>
    <n v="0"/>
    <m/>
    <n v="14.098901098901099"/>
    <n v="0"/>
    <m/>
  </r>
  <r>
    <n v="396"/>
    <x v="395"/>
    <n v="4"/>
    <m/>
    <n v="0"/>
    <n v="0"/>
    <n v="0"/>
    <n v="0"/>
    <m/>
    <n v="0"/>
    <n v="0"/>
    <m/>
    <n v="14.098901098901099"/>
    <n v="0"/>
    <m/>
  </r>
  <r>
    <n v="397"/>
    <x v="396"/>
    <n v="21"/>
    <m/>
    <n v="0"/>
    <n v="0"/>
    <n v="0"/>
    <n v="0"/>
    <m/>
    <n v="0"/>
    <n v="0"/>
    <m/>
    <n v="14.098901098901099"/>
    <n v="0"/>
    <m/>
  </r>
  <r>
    <n v="398"/>
    <x v="397"/>
    <n v="11"/>
    <m/>
    <n v="0"/>
    <n v="0"/>
    <n v="0"/>
    <n v="0"/>
    <m/>
    <n v="0"/>
    <n v="0"/>
    <m/>
    <n v="14.098901098901099"/>
    <n v="0"/>
    <m/>
  </r>
  <r>
    <n v="399"/>
    <x v="398"/>
    <n v="5"/>
    <m/>
    <n v="0"/>
    <n v="0"/>
    <n v="0"/>
    <n v="0"/>
    <m/>
    <n v="0"/>
    <n v="0"/>
    <m/>
    <n v="14.098901098901099"/>
    <n v="0"/>
    <m/>
  </r>
  <r>
    <n v="400"/>
    <x v="399"/>
    <n v="4"/>
    <m/>
    <n v="0"/>
    <n v="0"/>
    <n v="0"/>
    <n v="0"/>
    <m/>
    <n v="0"/>
    <n v="0"/>
    <m/>
    <n v="14.098901098901099"/>
    <n v="0"/>
    <m/>
  </r>
  <r>
    <n v="401"/>
    <x v="400"/>
    <n v="18"/>
    <m/>
    <n v="0"/>
    <n v="0"/>
    <n v="0"/>
    <n v="0"/>
    <m/>
    <n v="0"/>
    <n v="0"/>
    <m/>
    <n v="14.098901098901099"/>
    <n v="0"/>
    <m/>
  </r>
  <r>
    <n v="402"/>
    <x v="401"/>
    <n v="21"/>
    <m/>
    <n v="0"/>
    <n v="0"/>
    <n v="0"/>
    <n v="0"/>
    <m/>
    <n v="0"/>
    <n v="0"/>
    <m/>
    <n v="14.098901098901099"/>
    <n v="0"/>
    <m/>
  </r>
  <r>
    <n v="403"/>
    <x v="402"/>
    <n v="24"/>
    <m/>
    <n v="0"/>
    <n v="0"/>
    <n v="0"/>
    <n v="0"/>
    <m/>
    <n v="0"/>
    <n v="0"/>
    <m/>
    <n v="14.098901098901099"/>
    <n v="0"/>
    <m/>
  </r>
  <r>
    <n v="404"/>
    <x v="403"/>
    <n v="4"/>
    <m/>
    <n v="0"/>
    <n v="0"/>
    <n v="0"/>
    <n v="0"/>
    <m/>
    <n v="0"/>
    <n v="0"/>
    <m/>
    <n v="14.098901098901099"/>
    <n v="0"/>
    <m/>
  </r>
  <r>
    <n v="405"/>
    <x v="404"/>
    <n v="5"/>
    <m/>
    <n v="0"/>
    <n v="0"/>
    <n v="0"/>
    <n v="0"/>
    <m/>
    <n v="0"/>
    <n v="0"/>
    <m/>
    <n v="14.098901098901099"/>
    <n v="0"/>
    <m/>
  </r>
  <r>
    <n v="406"/>
    <x v="405"/>
    <n v="12"/>
    <m/>
    <n v="0"/>
    <n v="0"/>
    <n v="0"/>
    <n v="0"/>
    <m/>
    <n v="0"/>
    <n v="0"/>
    <m/>
    <n v="14.098901098901099"/>
    <n v="0"/>
    <m/>
  </r>
  <r>
    <n v="407"/>
    <x v="406"/>
    <n v="18"/>
    <m/>
    <n v="0"/>
    <n v="0"/>
    <n v="0"/>
    <n v="0"/>
    <m/>
    <n v="0"/>
    <n v="0"/>
    <m/>
    <n v="14.098901098901099"/>
    <n v="0"/>
    <m/>
  </r>
  <r>
    <n v="408"/>
    <x v="407"/>
    <n v="10"/>
    <m/>
    <n v="0"/>
    <n v="0"/>
    <n v="0"/>
    <n v="0"/>
    <m/>
    <n v="0"/>
    <n v="0"/>
    <m/>
    <n v="14.098901098901099"/>
    <n v="0"/>
    <m/>
  </r>
  <r>
    <n v="409"/>
    <x v="408"/>
    <n v="9"/>
    <m/>
    <n v="0"/>
    <n v="0"/>
    <n v="0"/>
    <n v="0"/>
    <m/>
    <n v="0"/>
    <n v="0"/>
    <m/>
    <n v="14.098901098901099"/>
    <n v="0"/>
    <m/>
  </r>
  <r>
    <n v="410"/>
    <x v="409"/>
    <n v="33"/>
    <m/>
    <n v="0"/>
    <n v="0"/>
    <n v="0"/>
    <n v="0"/>
    <m/>
    <n v="0"/>
    <n v="0"/>
    <m/>
    <n v="14.098901098901099"/>
    <n v="0"/>
    <m/>
  </r>
  <r>
    <n v="411"/>
    <x v="410"/>
    <n v="22"/>
    <m/>
    <n v="0"/>
    <n v="0"/>
    <n v="0"/>
    <n v="0"/>
    <m/>
    <n v="0"/>
    <n v="0"/>
    <m/>
    <n v="14.098901098901099"/>
    <n v="0"/>
    <m/>
  </r>
  <r>
    <n v="412"/>
    <x v="411"/>
    <n v="63"/>
    <m/>
    <n v="0"/>
    <n v="0"/>
    <n v="0"/>
    <n v="0"/>
    <m/>
    <n v="0"/>
    <n v="0"/>
    <m/>
    <n v="14.098901098901099"/>
    <n v="0"/>
    <m/>
  </r>
  <r>
    <n v="413"/>
    <x v="412"/>
    <n v="25"/>
    <m/>
    <n v="0"/>
    <n v="0"/>
    <n v="0"/>
    <n v="0"/>
    <m/>
    <n v="0"/>
    <n v="0"/>
    <m/>
    <n v="14.098901098901099"/>
    <n v="0"/>
    <m/>
  </r>
  <r>
    <n v="414"/>
    <x v="413"/>
    <n v="19"/>
    <m/>
    <n v="0"/>
    <n v="0"/>
    <n v="0"/>
    <n v="0"/>
    <m/>
    <n v="0"/>
    <n v="0"/>
    <m/>
    <n v="14.098901098901099"/>
    <n v="0"/>
    <m/>
  </r>
  <r>
    <n v="415"/>
    <x v="414"/>
    <n v="20"/>
    <m/>
    <n v="0"/>
    <n v="0"/>
    <n v="0"/>
    <n v="0"/>
    <m/>
    <n v="0"/>
    <n v="0"/>
    <m/>
    <n v="14.098901098901099"/>
    <n v="0"/>
    <m/>
  </r>
  <r>
    <n v="416"/>
    <x v="415"/>
    <n v="15"/>
    <m/>
    <n v="0"/>
    <n v="0"/>
    <n v="0"/>
    <n v="0"/>
    <m/>
    <n v="0"/>
    <n v="0"/>
    <m/>
    <n v="14.098901098901099"/>
    <n v="0"/>
    <m/>
  </r>
  <r>
    <n v="417"/>
    <x v="416"/>
    <n v="21"/>
    <m/>
    <n v="0"/>
    <n v="0"/>
    <n v="0"/>
    <n v="0"/>
    <m/>
    <n v="0"/>
    <n v="0"/>
    <m/>
    <n v="14.098901098901099"/>
    <n v="0"/>
    <m/>
  </r>
  <r>
    <n v="418"/>
    <x v="417"/>
    <n v="25"/>
    <m/>
    <n v="0"/>
    <n v="0"/>
    <n v="0"/>
    <n v="0"/>
    <m/>
    <n v="0"/>
    <n v="0"/>
    <m/>
    <n v="14.098901098901099"/>
    <n v="0"/>
    <m/>
  </r>
  <r>
    <n v="419"/>
    <x v="418"/>
    <n v="15"/>
    <m/>
    <n v="0"/>
    <n v="0"/>
    <n v="0"/>
    <n v="0"/>
    <m/>
    <n v="0"/>
    <n v="0"/>
    <m/>
    <n v="14.098901098901099"/>
    <n v="0"/>
    <m/>
  </r>
  <r>
    <n v="420"/>
    <x v="419"/>
    <n v="23"/>
    <m/>
    <n v="0"/>
    <n v="0"/>
    <n v="0"/>
    <n v="0"/>
    <m/>
    <n v="0"/>
    <n v="0"/>
    <m/>
    <n v="14.098901098901099"/>
    <n v="0"/>
    <m/>
  </r>
  <r>
    <n v="421"/>
    <x v="420"/>
    <n v="16"/>
    <m/>
    <n v="0"/>
    <n v="0"/>
    <n v="0"/>
    <n v="0"/>
    <m/>
    <n v="0"/>
    <n v="0"/>
    <m/>
    <n v="14.098901098901099"/>
    <n v="0"/>
    <m/>
  </r>
  <r>
    <n v="422"/>
    <x v="421"/>
    <n v="19"/>
    <m/>
    <n v="0"/>
    <n v="0"/>
    <n v="0"/>
    <n v="0"/>
    <m/>
    <n v="0"/>
    <n v="0"/>
    <m/>
    <n v="14.098901098901099"/>
    <n v="0"/>
    <m/>
  </r>
  <r>
    <n v="423"/>
    <x v="422"/>
    <n v="18"/>
    <m/>
    <n v="0"/>
    <n v="0"/>
    <n v="0"/>
    <n v="0"/>
    <m/>
    <n v="0"/>
    <n v="0"/>
    <m/>
    <n v="14.098901098901099"/>
    <n v="0"/>
    <m/>
  </r>
  <r>
    <n v="424"/>
    <x v="423"/>
    <n v="22"/>
    <m/>
    <n v="0"/>
    <n v="0"/>
    <n v="0"/>
    <n v="0"/>
    <m/>
    <n v="0"/>
    <n v="0"/>
    <m/>
    <n v="14.098901098901099"/>
    <n v="0"/>
    <m/>
  </r>
  <r>
    <n v="425"/>
    <x v="424"/>
    <n v="23"/>
    <m/>
    <n v="0"/>
    <n v="0"/>
    <n v="0"/>
    <n v="0"/>
    <m/>
    <n v="0"/>
    <n v="0"/>
    <m/>
    <n v="14.098901098901099"/>
    <n v="0"/>
    <m/>
  </r>
  <r>
    <n v="426"/>
    <x v="425"/>
    <n v="27"/>
    <m/>
    <n v="0"/>
    <n v="0"/>
    <n v="0"/>
    <n v="0"/>
    <m/>
    <n v="0"/>
    <n v="0"/>
    <m/>
    <n v="14.098901098901099"/>
    <n v="0"/>
    <m/>
  </r>
  <r>
    <n v="427"/>
    <x v="426"/>
    <n v="19"/>
    <m/>
    <n v="0"/>
    <n v="0"/>
    <n v="0"/>
    <n v="0"/>
    <m/>
    <n v="0"/>
    <n v="0"/>
    <m/>
    <n v="14.098901098901099"/>
    <n v="0"/>
    <m/>
  </r>
  <r>
    <n v="428"/>
    <x v="427"/>
    <n v="47"/>
    <m/>
    <n v="0"/>
    <n v="0"/>
    <n v="0"/>
    <n v="0"/>
    <m/>
    <n v="0"/>
    <n v="0"/>
    <m/>
    <n v="14.098901098901099"/>
    <n v="0"/>
    <m/>
  </r>
  <r>
    <n v="429"/>
    <x v="428"/>
    <n v="15"/>
    <m/>
    <n v="0"/>
    <n v="0"/>
    <n v="0"/>
    <n v="0"/>
    <m/>
    <n v="0"/>
    <n v="0"/>
    <m/>
    <n v="14.098901098901099"/>
    <n v="0"/>
    <m/>
  </r>
  <r>
    <n v="430"/>
    <x v="429"/>
    <n v="5"/>
    <m/>
    <n v="0"/>
    <n v="0"/>
    <n v="0"/>
    <n v="0"/>
    <m/>
    <n v="0"/>
    <n v="0"/>
    <m/>
    <n v="14.098901098901099"/>
    <n v="0"/>
    <m/>
  </r>
  <r>
    <n v="431"/>
    <x v="430"/>
    <n v="17"/>
    <m/>
    <n v="0"/>
    <n v="0"/>
    <n v="0"/>
    <n v="0"/>
    <m/>
    <n v="0"/>
    <n v="0"/>
    <m/>
    <n v="14.098901098901099"/>
    <n v="0"/>
    <m/>
  </r>
  <r>
    <n v="432"/>
    <x v="431"/>
    <n v="39"/>
    <m/>
    <n v="0"/>
    <n v="0"/>
    <n v="0"/>
    <n v="0"/>
    <m/>
    <n v="0"/>
    <n v="0"/>
    <m/>
    <n v="14.098901098901099"/>
    <n v="0"/>
    <m/>
  </r>
  <r>
    <n v="433"/>
    <x v="432"/>
    <n v="16"/>
    <m/>
    <n v="0"/>
    <n v="0"/>
    <n v="0"/>
    <n v="0"/>
    <m/>
    <n v="0"/>
    <n v="0"/>
    <m/>
    <n v="14.098901098901099"/>
    <n v="0"/>
    <m/>
  </r>
  <r>
    <n v="434"/>
    <x v="433"/>
    <n v="43"/>
    <m/>
    <n v="0"/>
    <n v="0"/>
    <n v="0"/>
    <n v="0"/>
    <m/>
    <n v="0"/>
    <n v="0"/>
    <m/>
    <n v="14.098901098901099"/>
    <n v="0"/>
    <m/>
  </r>
  <r>
    <n v="435"/>
    <x v="434"/>
    <n v="19"/>
    <m/>
    <n v="0"/>
    <n v="0"/>
    <n v="0"/>
    <n v="0"/>
    <m/>
    <n v="0"/>
    <n v="0"/>
    <m/>
    <n v="14.098901098901099"/>
    <n v="0"/>
    <m/>
  </r>
  <r>
    <n v="436"/>
    <x v="435"/>
    <n v="51"/>
    <m/>
    <n v="0"/>
    <n v="0"/>
    <n v="0"/>
    <n v="0"/>
    <m/>
    <n v="0"/>
    <n v="0"/>
    <m/>
    <n v="14.098901098901099"/>
    <n v="0"/>
    <m/>
  </r>
  <r>
    <n v="437"/>
    <x v="436"/>
    <n v="27"/>
    <m/>
    <n v="0"/>
    <n v="0"/>
    <n v="0"/>
    <n v="0"/>
    <m/>
    <n v="0"/>
    <n v="0"/>
    <m/>
    <n v="14.098901098901099"/>
    <n v="0"/>
    <m/>
  </r>
  <r>
    <n v="438"/>
    <x v="437"/>
    <n v="28"/>
    <m/>
    <n v="0"/>
    <n v="0"/>
    <n v="0"/>
    <n v="0"/>
    <m/>
    <n v="0"/>
    <n v="0"/>
    <m/>
    <n v="14.098901098901099"/>
    <n v="0"/>
    <m/>
  </r>
  <r>
    <n v="439"/>
    <x v="438"/>
    <n v="48"/>
    <m/>
    <n v="0"/>
    <n v="0"/>
    <n v="0"/>
    <n v="0"/>
    <m/>
    <n v="0"/>
    <n v="0"/>
    <m/>
    <n v="14.098901098901099"/>
    <n v="0"/>
    <m/>
  </r>
  <r>
    <n v="440"/>
    <x v="439"/>
    <n v="14"/>
    <m/>
    <n v="0"/>
    <n v="0"/>
    <n v="0"/>
    <n v="0"/>
    <m/>
    <n v="0"/>
    <n v="0"/>
    <m/>
    <n v="14.098901098901099"/>
    <n v="0"/>
    <m/>
  </r>
  <r>
    <n v="441"/>
    <x v="440"/>
    <n v="26"/>
    <m/>
    <n v="0"/>
    <n v="0"/>
    <n v="0"/>
    <n v="0"/>
    <m/>
    <n v="0"/>
    <n v="0"/>
    <m/>
    <n v="14.098901098901099"/>
    <n v="0"/>
    <m/>
  </r>
  <r>
    <n v="442"/>
    <x v="441"/>
    <n v="46"/>
    <m/>
    <n v="0"/>
    <n v="0"/>
    <n v="0"/>
    <n v="0"/>
    <m/>
    <n v="0"/>
    <n v="0"/>
    <m/>
    <n v="14.098901098901099"/>
    <n v="0"/>
    <m/>
  </r>
  <r>
    <n v="443"/>
    <x v="442"/>
    <n v="38"/>
    <m/>
    <n v="0"/>
    <n v="0"/>
    <n v="0"/>
    <n v="0"/>
    <m/>
    <n v="0"/>
    <n v="0"/>
    <m/>
    <n v="14.098901098901099"/>
    <n v="0"/>
    <m/>
  </r>
  <r>
    <n v="444"/>
    <x v="443"/>
    <n v="13"/>
    <m/>
    <n v="0"/>
    <n v="0"/>
    <n v="0"/>
    <n v="0"/>
    <m/>
    <n v="0"/>
    <n v="0"/>
    <m/>
    <n v="14.098901098901099"/>
    <n v="0"/>
    <m/>
  </r>
  <r>
    <n v="445"/>
    <x v="444"/>
    <n v="19"/>
    <m/>
    <n v="0"/>
    <n v="0"/>
    <n v="0"/>
    <n v="0"/>
    <m/>
    <n v="0"/>
    <n v="0"/>
    <m/>
    <n v="14.098901098901099"/>
    <n v="0"/>
    <m/>
  </r>
  <r>
    <n v="446"/>
    <x v="445"/>
    <n v="48"/>
    <m/>
    <n v="0"/>
    <n v="0"/>
    <n v="0"/>
    <n v="0"/>
    <m/>
    <n v="0"/>
    <n v="0"/>
    <m/>
    <n v="14.098901098901099"/>
    <n v="0"/>
    <m/>
  </r>
  <r>
    <n v="447"/>
    <x v="446"/>
    <n v="37"/>
    <m/>
    <n v="0"/>
    <n v="0"/>
    <n v="0"/>
    <n v="0"/>
    <m/>
    <n v="0"/>
    <n v="0"/>
    <m/>
    <n v="14.098901098901099"/>
    <n v="0"/>
    <m/>
  </r>
  <r>
    <n v="448"/>
    <x v="447"/>
    <n v="49"/>
    <m/>
    <n v="0"/>
    <n v="0"/>
    <n v="0"/>
    <n v="0"/>
    <m/>
    <n v="0"/>
    <n v="0"/>
    <m/>
    <n v="14.098901098901099"/>
    <n v="0"/>
    <m/>
  </r>
  <r>
    <n v="449"/>
    <x v="448"/>
    <n v="40"/>
    <m/>
    <n v="0"/>
    <n v="0"/>
    <n v="0"/>
    <n v="0"/>
    <m/>
    <n v="0"/>
    <n v="0"/>
    <m/>
    <n v="14.098901098901099"/>
    <n v="0"/>
    <m/>
  </r>
  <r>
    <n v="450"/>
    <x v="449"/>
    <n v="49"/>
    <m/>
    <n v="0"/>
    <n v="0"/>
    <n v="0"/>
    <n v="0"/>
    <m/>
    <n v="0"/>
    <n v="0"/>
    <m/>
    <n v="14.098901098901099"/>
    <n v="0"/>
    <m/>
  </r>
  <r>
    <n v="451"/>
    <x v="450"/>
    <n v="37"/>
    <m/>
    <n v="0"/>
    <n v="0"/>
    <n v="0"/>
    <n v="0"/>
    <m/>
    <n v="0"/>
    <n v="0"/>
    <m/>
    <n v="14.098901098901099"/>
    <n v="0"/>
    <m/>
  </r>
  <r>
    <n v="452"/>
    <x v="451"/>
    <n v="38"/>
    <m/>
    <n v="0"/>
    <n v="0"/>
    <n v="0"/>
    <n v="0"/>
    <m/>
    <n v="0"/>
    <n v="0"/>
    <m/>
    <n v="14.098901098901099"/>
    <n v="0"/>
    <m/>
  </r>
  <r>
    <n v="453"/>
    <x v="452"/>
    <n v="46"/>
    <m/>
    <n v="0"/>
    <n v="0"/>
    <n v="0"/>
    <n v="0"/>
    <m/>
    <n v="0"/>
    <n v="0"/>
    <m/>
    <n v="14.098901098901099"/>
    <n v="0"/>
    <m/>
  </r>
  <r>
    <n v="454"/>
    <x v="453"/>
    <n v="31"/>
    <m/>
    <n v="0"/>
    <n v="0"/>
    <n v="0"/>
    <n v="0"/>
    <m/>
    <n v="0"/>
    <n v="0"/>
    <m/>
    <n v="14.098901098901099"/>
    <n v="0"/>
    <m/>
  </r>
  <r>
    <n v="455"/>
    <x v="454"/>
    <n v="41"/>
    <m/>
    <n v="0"/>
    <n v="0"/>
    <n v="0"/>
    <n v="0"/>
    <m/>
    <n v="0"/>
    <n v="0"/>
    <m/>
    <n v="14.098901098901099"/>
    <n v="0"/>
    <m/>
  </r>
  <r>
    <n v="456"/>
    <x v="455"/>
    <n v="16"/>
    <m/>
    <n v="0"/>
    <n v="0"/>
    <n v="0"/>
    <n v="0"/>
    <m/>
    <n v="0"/>
    <n v="0"/>
    <m/>
    <n v="14.098901098901099"/>
    <n v="0"/>
    <m/>
  </r>
  <r>
    <n v="457"/>
    <x v="456"/>
    <n v="23"/>
    <m/>
    <n v="0"/>
    <n v="0"/>
    <n v="0"/>
    <n v="0"/>
    <m/>
    <n v="0"/>
    <n v="0"/>
    <m/>
    <n v="14.098901098901099"/>
    <n v="0"/>
    <m/>
  </r>
  <r>
    <n v="458"/>
    <x v="457"/>
    <n v="26"/>
    <m/>
    <n v="0"/>
    <n v="0"/>
    <n v="0"/>
    <n v="0"/>
    <m/>
    <n v="0"/>
    <n v="0"/>
    <m/>
    <n v="14.098901098901099"/>
    <n v="0"/>
    <m/>
  </r>
  <r>
    <n v="459"/>
    <x v="458"/>
    <n v="40"/>
    <m/>
    <n v="0"/>
    <n v="0"/>
    <n v="0"/>
    <n v="0"/>
    <m/>
    <n v="0"/>
    <n v="0"/>
    <m/>
    <n v="14.098901098901099"/>
    <n v="0"/>
    <m/>
  </r>
  <r>
    <n v="460"/>
    <x v="459"/>
    <n v="47"/>
    <m/>
    <n v="0"/>
    <n v="0"/>
    <n v="0"/>
    <n v="0"/>
    <m/>
    <n v="0"/>
    <n v="0"/>
    <m/>
    <n v="14.098901098901099"/>
    <n v="0"/>
    <m/>
  </r>
  <r>
    <n v="461"/>
    <x v="460"/>
    <n v="25"/>
    <m/>
    <n v="0"/>
    <n v="0"/>
    <n v="0"/>
    <n v="0"/>
    <m/>
    <n v="0"/>
    <n v="0"/>
    <m/>
    <n v="14.098901098901099"/>
    <n v="0"/>
    <m/>
  </r>
  <r>
    <n v="462"/>
    <x v="461"/>
    <n v="26"/>
    <m/>
    <n v="0"/>
    <n v="0"/>
    <n v="0"/>
    <n v="0"/>
    <m/>
    <n v="0"/>
    <n v="0"/>
    <m/>
    <n v="14.098901098901099"/>
    <n v="0"/>
    <m/>
  </r>
  <r>
    <n v="463"/>
    <x v="462"/>
    <n v="51"/>
    <m/>
    <n v="0"/>
    <n v="0"/>
    <n v="0"/>
    <n v="0"/>
    <m/>
    <n v="0"/>
    <n v="0"/>
    <m/>
    <n v="14.098901098901099"/>
    <n v="0"/>
    <m/>
  </r>
  <r>
    <n v="464"/>
    <x v="463"/>
    <n v="28"/>
    <m/>
    <n v="0"/>
    <n v="0"/>
    <n v="0"/>
    <n v="0"/>
    <m/>
    <n v="0"/>
    <n v="0"/>
    <m/>
    <n v="14.098901098901099"/>
    <n v="0"/>
    <m/>
  </r>
  <r>
    <n v="465"/>
    <x v="464"/>
    <n v="46"/>
    <m/>
    <n v="0"/>
    <n v="0"/>
    <n v="0"/>
    <n v="0"/>
    <m/>
    <n v="0"/>
    <n v="0"/>
    <m/>
    <n v="14.098901098901099"/>
    <n v="0"/>
    <m/>
  </r>
  <r>
    <n v="466"/>
    <x v="465"/>
    <n v="45"/>
    <m/>
    <n v="0"/>
    <n v="0"/>
    <n v="0"/>
    <n v="0"/>
    <m/>
    <n v="0"/>
    <n v="0"/>
    <m/>
    <n v="14.098901098901099"/>
    <n v="0"/>
    <m/>
  </r>
  <r>
    <n v="467"/>
    <x v="466"/>
    <n v="43"/>
    <m/>
    <n v="0"/>
    <n v="0"/>
    <n v="0"/>
    <n v="0"/>
    <m/>
    <n v="0"/>
    <n v="0"/>
    <m/>
    <n v="14.098901098901099"/>
    <n v="0"/>
    <m/>
  </r>
  <r>
    <n v="468"/>
    <x v="467"/>
    <n v="26"/>
    <m/>
    <n v="0"/>
    <n v="0"/>
    <n v="0"/>
    <n v="0"/>
    <m/>
    <n v="0"/>
    <n v="0"/>
    <m/>
    <n v="14.098901098901099"/>
    <n v="0"/>
    <m/>
  </r>
  <r>
    <n v="469"/>
    <x v="468"/>
    <n v="50"/>
    <m/>
    <n v="0"/>
    <n v="0"/>
    <n v="0"/>
    <n v="0"/>
    <m/>
    <n v="0"/>
    <n v="0"/>
    <m/>
    <n v="14.098901098901099"/>
    <n v="0"/>
    <m/>
  </r>
  <r>
    <n v="470"/>
    <x v="469"/>
    <n v="26"/>
    <m/>
    <n v="0"/>
    <n v="0"/>
    <n v="0"/>
    <n v="0"/>
    <m/>
    <n v="0"/>
    <n v="0"/>
    <m/>
    <n v="14.098901098901099"/>
    <n v="0"/>
    <m/>
  </r>
  <r>
    <n v="471"/>
    <x v="470"/>
    <n v="64"/>
    <m/>
    <n v="0"/>
    <n v="0"/>
    <n v="0"/>
    <n v="0"/>
    <m/>
    <n v="0"/>
    <n v="0"/>
    <m/>
    <n v="14.098901098901099"/>
    <n v="0"/>
    <m/>
  </r>
  <r>
    <n v="472"/>
    <x v="471"/>
    <n v="33"/>
    <m/>
    <n v="0"/>
    <n v="0"/>
    <n v="0"/>
    <n v="0"/>
    <m/>
    <n v="0"/>
    <n v="0"/>
    <m/>
    <n v="14.098901098901099"/>
    <n v="0"/>
    <m/>
  </r>
  <r>
    <n v="473"/>
    <x v="472"/>
    <n v="57"/>
    <m/>
    <n v="0"/>
    <n v="0"/>
    <n v="0"/>
    <n v="0"/>
    <m/>
    <n v="0"/>
    <n v="0"/>
    <m/>
    <n v="14.098901098901099"/>
    <n v="0"/>
    <m/>
  </r>
  <r>
    <n v="474"/>
    <x v="473"/>
    <n v="38"/>
    <m/>
    <n v="0"/>
    <n v="0"/>
    <n v="0"/>
    <n v="0"/>
    <m/>
    <n v="0"/>
    <n v="0"/>
    <m/>
    <n v="14.098901098901099"/>
    <n v="0"/>
    <m/>
  </r>
  <r>
    <n v="475"/>
    <x v="474"/>
    <n v="36"/>
    <m/>
    <n v="0"/>
    <n v="0"/>
    <n v="0"/>
    <n v="0"/>
    <m/>
    <n v="0"/>
    <n v="0"/>
    <m/>
    <n v="14.098901098901099"/>
    <n v="0"/>
    <m/>
  </r>
  <r>
    <n v="476"/>
    <x v="475"/>
    <n v="40"/>
    <m/>
    <n v="0"/>
    <n v="0"/>
    <n v="0"/>
    <n v="0"/>
    <m/>
    <n v="0"/>
    <n v="0"/>
    <m/>
    <n v="14.098901098901099"/>
    <n v="0"/>
    <m/>
  </r>
  <r>
    <n v="477"/>
    <x v="476"/>
    <n v="36"/>
    <m/>
    <n v="0"/>
    <n v="0"/>
    <n v="0"/>
    <n v="0"/>
    <m/>
    <n v="0"/>
    <n v="0"/>
    <m/>
    <n v="14.098901098901099"/>
    <n v="0"/>
    <m/>
  </r>
  <r>
    <n v="478"/>
    <x v="477"/>
    <n v="79"/>
    <m/>
    <n v="0"/>
    <n v="0"/>
    <n v="0"/>
    <n v="0"/>
    <m/>
    <n v="0"/>
    <n v="0"/>
    <m/>
    <n v="14.098901098901099"/>
    <n v="0"/>
    <m/>
  </r>
  <r>
    <n v="479"/>
    <x v="478"/>
    <n v="43"/>
    <m/>
    <n v="0"/>
    <n v="0"/>
    <n v="0"/>
    <n v="0"/>
    <m/>
    <n v="0"/>
    <n v="0"/>
    <m/>
    <n v="14.098901098901099"/>
    <n v="0"/>
    <m/>
  </r>
  <r>
    <n v="480"/>
    <x v="479"/>
    <n v="47"/>
    <m/>
    <n v="0"/>
    <n v="0"/>
    <n v="0"/>
    <n v="0"/>
    <m/>
    <n v="0"/>
    <n v="0"/>
    <m/>
    <n v="14.098901098901099"/>
    <n v="0"/>
    <m/>
  </r>
  <r>
    <n v="481"/>
    <x v="480"/>
    <n v="57"/>
    <m/>
    <n v="0"/>
    <n v="0"/>
    <n v="0"/>
    <n v="0"/>
    <m/>
    <n v="0"/>
    <n v="0"/>
    <m/>
    <n v="14.098901098901099"/>
    <n v="0"/>
    <m/>
  </r>
  <r>
    <n v="482"/>
    <x v="481"/>
    <n v="37"/>
    <m/>
    <n v="0"/>
    <n v="0"/>
    <n v="0"/>
    <n v="0"/>
    <m/>
    <n v="0"/>
    <n v="0"/>
    <m/>
    <n v="14.098901098901099"/>
    <n v="0"/>
    <m/>
  </r>
  <r>
    <n v="483"/>
    <x v="482"/>
    <n v="30"/>
    <m/>
    <n v="0"/>
    <n v="0"/>
    <n v="0"/>
    <n v="0"/>
    <m/>
    <n v="0"/>
    <n v="0"/>
    <m/>
    <n v="14.098901098901099"/>
    <n v="0"/>
    <m/>
  </r>
  <r>
    <n v="484"/>
    <x v="483"/>
    <n v="38"/>
    <m/>
    <n v="0"/>
    <n v="0"/>
    <n v="0"/>
    <n v="0"/>
    <m/>
    <n v="0"/>
    <n v="0"/>
    <m/>
    <n v="14.098901098901099"/>
    <n v="0"/>
    <m/>
  </r>
  <r>
    <n v="485"/>
    <x v="484"/>
    <n v="79"/>
    <m/>
    <n v="0"/>
    <n v="0"/>
    <n v="0"/>
    <n v="0"/>
    <m/>
    <n v="0"/>
    <n v="0"/>
    <m/>
    <n v="14.098901098901099"/>
    <n v="0"/>
    <m/>
  </r>
  <r>
    <n v="486"/>
    <x v="485"/>
    <n v="46"/>
    <m/>
    <n v="0"/>
    <n v="0"/>
    <n v="0"/>
    <n v="0"/>
    <m/>
    <n v="0"/>
    <n v="0"/>
    <m/>
    <n v="14.098901098901099"/>
    <n v="0"/>
    <m/>
  </r>
  <r>
    <n v="487"/>
    <x v="486"/>
    <n v="42"/>
    <m/>
    <n v="0"/>
    <n v="0"/>
    <n v="0"/>
    <n v="0"/>
    <m/>
    <n v="0"/>
    <n v="0"/>
    <m/>
    <n v="14.098901098901099"/>
    <n v="0"/>
    <m/>
  </r>
  <r>
    <n v="488"/>
    <x v="487"/>
    <n v="43"/>
    <m/>
    <n v="0"/>
    <n v="0"/>
    <n v="0"/>
    <n v="0"/>
    <m/>
    <n v="0"/>
    <n v="0"/>
    <m/>
    <n v="14.098901098901099"/>
    <n v="0"/>
    <m/>
  </r>
  <r>
    <n v="489"/>
    <x v="488"/>
    <n v="58"/>
    <m/>
    <n v="0"/>
    <n v="0"/>
    <n v="0"/>
    <n v="0"/>
    <m/>
    <n v="0"/>
    <n v="0"/>
    <m/>
    <n v="14.098901098901099"/>
    <n v="0"/>
    <m/>
  </r>
  <r>
    <n v="490"/>
    <x v="489"/>
    <n v="49"/>
    <m/>
    <n v="0"/>
    <n v="0"/>
    <n v="0"/>
    <n v="0"/>
    <m/>
    <n v="0"/>
    <n v="0"/>
    <m/>
    <n v="14.098901098901099"/>
    <n v="0"/>
    <m/>
  </r>
  <r>
    <n v="491"/>
    <x v="490"/>
    <n v="42"/>
    <m/>
    <n v="0"/>
    <n v="0"/>
    <n v="0"/>
    <n v="0"/>
    <m/>
    <n v="0"/>
    <n v="0"/>
    <m/>
    <n v="14.098901098901099"/>
    <n v="0"/>
    <m/>
  </r>
  <r>
    <n v="492"/>
    <x v="491"/>
    <n v="59"/>
    <m/>
    <n v="0"/>
    <n v="0"/>
    <n v="0"/>
    <n v="0"/>
    <m/>
    <n v="0"/>
    <n v="0"/>
    <m/>
    <n v="14.098901098901099"/>
    <n v="0"/>
    <m/>
  </r>
  <r>
    <n v="493"/>
    <x v="492"/>
    <n v="72"/>
    <m/>
    <n v="0"/>
    <n v="0"/>
    <n v="0"/>
    <n v="0"/>
    <m/>
    <n v="0"/>
    <n v="0"/>
    <m/>
    <n v="14.098901098901099"/>
    <n v="0"/>
    <m/>
  </r>
  <r>
    <n v="494"/>
    <x v="493"/>
    <n v="48"/>
    <m/>
    <n v="0"/>
    <n v="0"/>
    <n v="0"/>
    <n v="0"/>
    <m/>
    <n v="0"/>
    <n v="0"/>
    <m/>
    <n v="14.098901098901099"/>
    <n v="0"/>
    <m/>
  </r>
  <r>
    <n v="495"/>
    <x v="494"/>
    <n v="55"/>
    <m/>
    <n v="0"/>
    <n v="0"/>
    <n v="0"/>
    <n v="0"/>
    <m/>
    <n v="0"/>
    <n v="0"/>
    <m/>
    <n v="14.098901098901099"/>
    <n v="0"/>
    <m/>
  </r>
  <r>
    <n v="496"/>
    <x v="495"/>
    <n v="59"/>
    <m/>
    <n v="0"/>
    <n v="0"/>
    <n v="0"/>
    <n v="0"/>
    <m/>
    <n v="0"/>
    <n v="0"/>
    <m/>
    <n v="14.098901098901099"/>
    <n v="0"/>
    <m/>
  </r>
  <r>
    <n v="497"/>
    <x v="496"/>
    <n v="32"/>
    <m/>
    <n v="0"/>
    <n v="0"/>
    <n v="0"/>
    <n v="0"/>
    <m/>
    <n v="0"/>
    <n v="0"/>
    <m/>
    <n v="14.098901098901099"/>
    <n v="0"/>
    <m/>
  </r>
  <r>
    <n v="498"/>
    <x v="497"/>
    <n v="32"/>
    <m/>
    <n v="0"/>
    <n v="0"/>
    <n v="0"/>
    <n v="0"/>
    <m/>
    <n v="0"/>
    <n v="0"/>
    <m/>
    <n v="14.098901098901099"/>
    <n v="0"/>
    <m/>
  </r>
  <r>
    <n v="499"/>
    <x v="498"/>
    <n v="92"/>
    <m/>
    <n v="0"/>
    <n v="0"/>
    <n v="0"/>
    <n v="0"/>
    <m/>
    <n v="0"/>
    <n v="0"/>
    <m/>
    <n v="14.098901098901099"/>
    <n v="0"/>
    <m/>
  </r>
  <r>
    <n v="500"/>
    <x v="499"/>
    <n v="51"/>
    <m/>
    <n v="0"/>
    <n v="0"/>
    <n v="0"/>
    <n v="0"/>
    <m/>
    <n v="0"/>
    <n v="0"/>
    <m/>
    <n v="14.098901098901099"/>
    <n v="0"/>
    <m/>
  </r>
  <r>
    <n v="501"/>
    <x v="500"/>
    <n v="39"/>
    <m/>
    <n v="0"/>
    <n v="0"/>
    <n v="0"/>
    <n v="0"/>
    <m/>
    <n v="0"/>
    <n v="0"/>
    <m/>
    <n v="14.098901098901099"/>
    <n v="0"/>
    <m/>
  </r>
  <r>
    <n v="502"/>
    <x v="501"/>
    <n v="24"/>
    <m/>
    <n v="0"/>
    <n v="0"/>
    <n v="0"/>
    <n v="0"/>
    <m/>
    <n v="0"/>
    <n v="0"/>
    <m/>
    <n v="14.098901098901099"/>
    <n v="0"/>
    <m/>
  </r>
  <r>
    <n v="503"/>
    <x v="502"/>
    <n v="71"/>
    <m/>
    <n v="0"/>
    <n v="0"/>
    <n v="0"/>
    <n v="0"/>
    <m/>
    <n v="0"/>
    <n v="0"/>
    <m/>
    <n v="14.098901098901099"/>
    <n v="0"/>
    <m/>
  </r>
  <r>
    <n v="504"/>
    <x v="503"/>
    <n v="88"/>
    <m/>
    <n v="0"/>
    <n v="0"/>
    <n v="0"/>
    <n v="0"/>
    <m/>
    <n v="0"/>
    <n v="0"/>
    <m/>
    <n v="14.098901098901099"/>
    <n v="0"/>
    <m/>
  </r>
  <r>
    <n v="505"/>
    <x v="504"/>
    <n v="38"/>
    <m/>
    <n v="0"/>
    <n v="0"/>
    <n v="0"/>
    <n v="0"/>
    <m/>
    <n v="0"/>
    <n v="0"/>
    <m/>
    <n v="14.098901098901099"/>
    <n v="0"/>
    <m/>
  </r>
  <r>
    <n v="506"/>
    <x v="505"/>
    <n v="59"/>
    <m/>
    <n v="0"/>
    <n v="0"/>
    <n v="0"/>
    <n v="0"/>
    <m/>
    <n v="0"/>
    <n v="0"/>
    <m/>
    <n v="14.098901098901099"/>
    <n v="0"/>
    <m/>
  </r>
  <r>
    <n v="507"/>
    <x v="506"/>
    <n v="55"/>
    <m/>
    <n v="0"/>
    <n v="0"/>
    <n v="0"/>
    <n v="0"/>
    <m/>
    <n v="0"/>
    <n v="0"/>
    <m/>
    <n v="14.098901098901099"/>
    <n v="0"/>
    <m/>
  </r>
  <r>
    <n v="508"/>
    <x v="507"/>
    <n v="55"/>
    <m/>
    <n v="0"/>
    <n v="0"/>
    <n v="0"/>
    <n v="0"/>
    <m/>
    <n v="0"/>
    <n v="0"/>
    <m/>
    <n v="14.098901098901099"/>
    <n v="0"/>
    <m/>
  </r>
  <r>
    <n v="509"/>
    <x v="508"/>
    <n v="75"/>
    <m/>
    <n v="0"/>
    <n v="0"/>
    <n v="0"/>
    <n v="0"/>
    <m/>
    <n v="0"/>
    <n v="0"/>
    <m/>
    <n v="14.098901098901099"/>
    <n v="0"/>
    <m/>
  </r>
  <r>
    <n v="510"/>
    <x v="509"/>
    <n v="28"/>
    <m/>
    <n v="0"/>
    <n v="0"/>
    <n v="0"/>
    <n v="0"/>
    <m/>
    <n v="0"/>
    <n v="0"/>
    <m/>
    <n v="14.098901098901099"/>
    <n v="0"/>
    <m/>
  </r>
  <r>
    <n v="511"/>
    <x v="510"/>
    <n v="90"/>
    <m/>
    <n v="0"/>
    <n v="0"/>
    <n v="0"/>
    <n v="0"/>
    <m/>
    <n v="0"/>
    <n v="0"/>
    <m/>
    <n v="14.098901098901099"/>
    <n v="0"/>
    <m/>
  </r>
  <r>
    <n v="512"/>
    <x v="511"/>
    <n v="27"/>
    <m/>
    <n v="0"/>
    <n v="0"/>
    <n v="0"/>
    <n v="0"/>
    <m/>
    <n v="0"/>
    <n v="0"/>
    <m/>
    <n v="14.098901098901099"/>
    <n v="0"/>
    <m/>
  </r>
  <r>
    <n v="513"/>
    <x v="512"/>
    <n v="32"/>
    <m/>
    <n v="0"/>
    <n v="0"/>
    <n v="0"/>
    <n v="0"/>
    <m/>
    <n v="0"/>
    <n v="0"/>
    <m/>
    <n v="14.098901098901099"/>
    <n v="0"/>
    <m/>
  </r>
  <r>
    <n v="514"/>
    <x v="513"/>
    <n v="58"/>
    <m/>
    <n v="0"/>
    <n v="0"/>
    <n v="0"/>
    <n v="0"/>
    <m/>
    <n v="0"/>
    <n v="0"/>
    <m/>
    <n v="14.098901098901099"/>
    <n v="0"/>
    <m/>
  </r>
  <r>
    <n v="515"/>
    <x v="514"/>
    <n v="78"/>
    <m/>
    <n v="0"/>
    <n v="0"/>
    <n v="0"/>
    <n v="0"/>
    <m/>
    <n v="0"/>
    <n v="0"/>
    <m/>
    <n v="14.098901098901099"/>
    <n v="0"/>
    <m/>
  </r>
  <r>
    <n v="516"/>
    <x v="515"/>
    <n v="48"/>
    <m/>
    <n v="0"/>
    <n v="0"/>
    <n v="0"/>
    <n v="0"/>
    <m/>
    <n v="0"/>
    <n v="0"/>
    <m/>
    <n v="14.098901098901099"/>
    <n v="0"/>
    <m/>
  </r>
  <r>
    <n v="517"/>
    <x v="516"/>
    <n v="97"/>
    <m/>
    <n v="0"/>
    <n v="0"/>
    <n v="0"/>
    <n v="0"/>
    <m/>
    <n v="0"/>
    <n v="0"/>
    <m/>
    <n v="14.098901098901099"/>
    <n v="0"/>
    <m/>
  </r>
  <r>
    <n v="518"/>
    <x v="517"/>
    <n v="106"/>
    <m/>
    <n v="0"/>
    <n v="0"/>
    <n v="0"/>
    <n v="0"/>
    <m/>
    <n v="0"/>
    <n v="0"/>
    <m/>
    <n v="14.098901098901099"/>
    <n v="0"/>
    <m/>
  </r>
  <r>
    <n v="519"/>
    <x v="518"/>
    <n v="53"/>
    <m/>
    <n v="0"/>
    <n v="0"/>
    <n v="0"/>
    <n v="0"/>
    <m/>
    <n v="0"/>
    <n v="0"/>
    <m/>
    <n v="14.098901098901099"/>
    <n v="0"/>
    <m/>
  </r>
  <r>
    <n v="520"/>
    <x v="519"/>
    <n v="43"/>
    <m/>
    <n v="0"/>
    <n v="0"/>
    <n v="0"/>
    <n v="0"/>
    <m/>
    <n v="0"/>
    <n v="0"/>
    <m/>
    <n v="14.098901098901099"/>
    <n v="0"/>
    <m/>
  </r>
  <r>
    <n v="521"/>
    <x v="520"/>
    <n v="59"/>
    <m/>
    <n v="0"/>
    <n v="0"/>
    <n v="0"/>
    <n v="0"/>
    <m/>
    <n v="0"/>
    <n v="0"/>
    <m/>
    <n v="14.098901098901099"/>
    <n v="0"/>
    <m/>
  </r>
  <r>
    <n v="522"/>
    <x v="521"/>
    <n v="28"/>
    <m/>
    <n v="0"/>
    <n v="0"/>
    <n v="0"/>
    <n v="0"/>
    <m/>
    <n v="0"/>
    <n v="0"/>
    <m/>
    <n v="14.098901098901099"/>
    <n v="0"/>
    <m/>
  </r>
  <r>
    <n v="523"/>
    <x v="522"/>
    <n v="70"/>
    <m/>
    <n v="0"/>
    <n v="0"/>
    <n v="0"/>
    <n v="0"/>
    <m/>
    <n v="0"/>
    <n v="0"/>
    <m/>
    <n v="14.098901098901099"/>
    <n v="0"/>
    <m/>
  </r>
  <r>
    <n v="524"/>
    <x v="523"/>
    <n v="72"/>
    <m/>
    <n v="0"/>
    <n v="0"/>
    <n v="0"/>
    <n v="0"/>
    <m/>
    <n v="0"/>
    <n v="0"/>
    <m/>
    <n v="14.098901098901099"/>
    <n v="0"/>
    <m/>
  </r>
  <r>
    <n v="525"/>
    <x v="524"/>
    <n v="80"/>
    <m/>
    <n v="0"/>
    <n v="0"/>
    <n v="0"/>
    <n v="0"/>
    <m/>
    <n v="0"/>
    <n v="0"/>
    <m/>
    <n v="14.098901098901099"/>
    <n v="0"/>
    <m/>
  </r>
  <r>
    <n v="526"/>
    <x v="525"/>
    <n v="53"/>
    <m/>
    <n v="0"/>
    <n v="0"/>
    <n v="0"/>
    <n v="0"/>
    <m/>
    <n v="0"/>
    <n v="0"/>
    <m/>
    <n v="14.098901098901099"/>
    <n v="0"/>
    <m/>
  </r>
  <r>
    <n v="527"/>
    <x v="526"/>
    <n v="52"/>
    <m/>
    <n v="0"/>
    <n v="0"/>
    <n v="0"/>
    <n v="0"/>
    <m/>
    <n v="0"/>
    <n v="0"/>
    <m/>
    <n v="14.098901098901099"/>
    <n v="0"/>
    <m/>
  </r>
  <r>
    <n v="528"/>
    <x v="527"/>
    <n v="64"/>
    <m/>
    <n v="0"/>
    <n v="0"/>
    <n v="0"/>
    <n v="0"/>
    <m/>
    <n v="0"/>
    <n v="0"/>
    <m/>
    <n v="14.098901098901099"/>
    <n v="0"/>
    <m/>
  </r>
  <r>
    <n v="529"/>
    <x v="528"/>
    <n v="66"/>
    <m/>
    <n v="0"/>
    <n v="0"/>
    <n v="0"/>
    <n v="0"/>
    <m/>
    <n v="0"/>
    <n v="0"/>
    <m/>
    <n v="14.098901098901099"/>
    <n v="0"/>
    <m/>
  </r>
  <r>
    <n v="530"/>
    <x v="529"/>
    <n v="62"/>
    <m/>
    <n v="0"/>
    <n v="0"/>
    <n v="0"/>
    <n v="0"/>
    <m/>
    <n v="0"/>
    <n v="0"/>
    <m/>
    <n v="14.098901098901099"/>
    <n v="0"/>
    <m/>
  </r>
  <r>
    <n v="531"/>
    <x v="530"/>
    <n v="66"/>
    <m/>
    <n v="0"/>
    <n v="0"/>
    <n v="0"/>
    <n v="0"/>
    <m/>
    <n v="0"/>
    <n v="0"/>
    <m/>
    <n v="14.098901098901099"/>
    <n v="0"/>
    <m/>
  </r>
  <r>
    <n v="532"/>
    <x v="531"/>
    <n v="94"/>
    <m/>
    <n v="0"/>
    <n v="0"/>
    <n v="0"/>
    <n v="0"/>
    <m/>
    <n v="0"/>
    <n v="0"/>
    <m/>
    <n v="14.098901098901099"/>
    <n v="0"/>
    <m/>
  </r>
  <r>
    <n v="533"/>
    <x v="532"/>
    <n v="88"/>
    <m/>
    <n v="0"/>
    <n v="0"/>
    <n v="0"/>
    <n v="0"/>
    <m/>
    <n v="0"/>
    <n v="0"/>
    <m/>
    <n v="14.098901098901099"/>
    <n v="0"/>
    <m/>
  </r>
  <r>
    <n v="534"/>
    <x v="533"/>
    <n v="37"/>
    <m/>
    <n v="0"/>
    <n v="0"/>
    <n v="0"/>
    <n v="0"/>
    <m/>
    <n v="0"/>
    <n v="0"/>
    <m/>
    <n v="14.098901098901099"/>
    <n v="0"/>
    <m/>
  </r>
  <r>
    <n v="535"/>
    <x v="534"/>
    <n v="71"/>
    <m/>
    <n v="0"/>
    <n v="0"/>
    <n v="0"/>
    <n v="0"/>
    <m/>
    <n v="0"/>
    <n v="0"/>
    <m/>
    <n v="14.098901098901099"/>
    <n v="0"/>
    <m/>
  </r>
  <r>
    <n v="536"/>
    <x v="535"/>
    <n v="89"/>
    <m/>
    <n v="0"/>
    <n v="0"/>
    <n v="0"/>
    <n v="0"/>
    <m/>
    <n v="0"/>
    <n v="0"/>
    <m/>
    <n v="14.098901098901099"/>
    <n v="0"/>
    <m/>
  </r>
  <r>
    <n v="537"/>
    <x v="536"/>
    <n v="83"/>
    <m/>
    <n v="0"/>
    <n v="0"/>
    <n v="0"/>
    <n v="0"/>
    <m/>
    <n v="0"/>
    <n v="0"/>
    <m/>
    <n v="14.098901098901099"/>
    <n v="0"/>
    <m/>
  </r>
  <r>
    <n v="538"/>
    <x v="537"/>
    <n v="72"/>
    <m/>
    <n v="0"/>
    <n v="0"/>
    <n v="0"/>
    <n v="0"/>
    <m/>
    <n v="0"/>
    <n v="0"/>
    <m/>
    <n v="14.098901098901099"/>
    <n v="0"/>
    <m/>
  </r>
  <r>
    <n v="539"/>
    <x v="538"/>
    <n v="86"/>
    <m/>
    <n v="0"/>
    <n v="0"/>
    <n v="0"/>
    <n v="0"/>
    <m/>
    <n v="0"/>
    <n v="0"/>
    <m/>
    <n v="14.098901098901099"/>
    <n v="0"/>
    <m/>
  </r>
  <r>
    <n v="540"/>
    <x v="539"/>
    <n v="53"/>
    <m/>
    <n v="0"/>
    <n v="0"/>
    <n v="0"/>
    <n v="0"/>
    <m/>
    <n v="0"/>
    <n v="0"/>
    <m/>
    <n v="14.098901098901099"/>
    <n v="0"/>
    <m/>
  </r>
  <r>
    <n v="541"/>
    <x v="540"/>
    <n v="72"/>
    <m/>
    <n v="0"/>
    <n v="0"/>
    <n v="0"/>
    <n v="0"/>
    <m/>
    <n v="0"/>
    <n v="0"/>
    <m/>
    <n v="14.098901098901099"/>
    <n v="0"/>
    <m/>
  </r>
  <r>
    <n v="542"/>
    <x v="541"/>
    <n v="107"/>
    <m/>
    <n v="0"/>
    <n v="0"/>
    <n v="0"/>
    <n v="0"/>
    <m/>
    <n v="0"/>
    <n v="0"/>
    <m/>
    <n v="14.098901098901099"/>
    <n v="0"/>
    <m/>
  </r>
  <r>
    <n v="543"/>
    <x v="542"/>
    <n v="42"/>
    <m/>
    <n v="0"/>
    <n v="0"/>
    <n v="0"/>
    <n v="0"/>
    <m/>
    <n v="0"/>
    <n v="0"/>
    <m/>
    <n v="14.098901098901099"/>
    <n v="0"/>
    <m/>
  </r>
  <r>
    <n v="544"/>
    <x v="543"/>
    <n v="76"/>
    <m/>
    <n v="0"/>
    <n v="0"/>
    <n v="0"/>
    <n v="0"/>
    <m/>
    <n v="0"/>
    <n v="0"/>
    <m/>
    <n v="14.098901098901099"/>
    <n v="0"/>
    <m/>
  </r>
  <r>
    <n v="545"/>
    <x v="544"/>
    <n v="44"/>
    <m/>
    <n v="0"/>
    <n v="0"/>
    <n v="0"/>
    <n v="0"/>
    <m/>
    <n v="0"/>
    <n v="0"/>
    <m/>
    <n v="14.098901098901099"/>
    <n v="0"/>
    <m/>
  </r>
  <r>
    <n v="546"/>
    <x v="545"/>
    <n v="45"/>
    <m/>
    <n v="0"/>
    <n v="0"/>
    <n v="0"/>
    <n v="0"/>
    <m/>
    <n v="0"/>
    <n v="0"/>
    <m/>
    <n v="14.098901098901099"/>
    <n v="0"/>
    <m/>
  </r>
  <r>
    <n v="547"/>
    <x v="546"/>
    <n v="63"/>
    <m/>
    <n v="0"/>
    <n v="0"/>
    <n v="0"/>
    <n v="0"/>
    <m/>
    <n v="0"/>
    <n v="0"/>
    <m/>
    <n v="14.098901098901099"/>
    <n v="0"/>
    <m/>
  </r>
  <r>
    <n v="548"/>
    <x v="547"/>
    <n v="53"/>
    <m/>
    <n v="0"/>
    <n v="0"/>
    <n v="0"/>
    <n v="0"/>
    <m/>
    <n v="0"/>
    <n v="0"/>
    <m/>
    <n v="14.098901098901099"/>
    <n v="0"/>
    <m/>
  </r>
  <r>
    <n v="549"/>
    <x v="548"/>
    <n v="98"/>
    <m/>
    <n v="0"/>
    <n v="0"/>
    <n v="0"/>
    <n v="0"/>
    <m/>
    <n v="0"/>
    <n v="0"/>
    <m/>
    <n v="14.098901098901099"/>
    <n v="0"/>
    <m/>
  </r>
  <r>
    <n v="550"/>
    <x v="549"/>
    <n v="89"/>
    <m/>
    <n v="0"/>
    <n v="0"/>
    <n v="0"/>
    <n v="0"/>
    <m/>
    <n v="0"/>
    <n v="0"/>
    <m/>
    <n v="14.098901098901099"/>
    <n v="0"/>
    <m/>
  </r>
  <r>
    <n v="551"/>
    <x v="550"/>
    <n v="92"/>
    <m/>
    <n v="0"/>
    <n v="0"/>
    <n v="0"/>
    <n v="0"/>
    <m/>
    <n v="0"/>
    <n v="0"/>
    <m/>
    <n v="14.098901098901099"/>
    <n v="0"/>
    <m/>
  </r>
  <r>
    <n v="552"/>
    <x v="551"/>
    <n v="51"/>
    <m/>
    <n v="0"/>
    <n v="0"/>
    <n v="0"/>
    <n v="0"/>
    <m/>
    <n v="0"/>
    <n v="0"/>
    <m/>
    <n v="14.098901098901099"/>
    <n v="0"/>
    <m/>
  </r>
  <r>
    <n v="553"/>
    <x v="552"/>
    <n v="79"/>
    <m/>
    <n v="0"/>
    <n v="0"/>
    <n v="0"/>
    <n v="0"/>
    <m/>
    <n v="0"/>
    <n v="0"/>
    <m/>
    <n v="14.098901098901099"/>
    <n v="0"/>
    <m/>
  </r>
  <r>
    <n v="554"/>
    <x v="553"/>
    <n v="95"/>
    <m/>
    <n v="0"/>
    <n v="0"/>
    <n v="0"/>
    <n v="0"/>
    <m/>
    <n v="0"/>
    <n v="0"/>
    <m/>
    <n v="14.098901098901099"/>
    <n v="0"/>
    <m/>
  </r>
  <r>
    <n v="555"/>
    <x v="554"/>
    <n v="108"/>
    <m/>
    <n v="0"/>
    <n v="0"/>
    <n v="0"/>
    <n v="0"/>
    <m/>
    <n v="0"/>
    <n v="0"/>
    <m/>
    <n v="14.098901098901099"/>
    <n v="0"/>
    <m/>
  </r>
  <r>
    <n v="556"/>
    <x v="555"/>
    <n v="61"/>
    <m/>
    <n v="0"/>
    <n v="0"/>
    <n v="0"/>
    <n v="0"/>
    <m/>
    <n v="0"/>
    <n v="0"/>
    <m/>
    <n v="14.098901098901099"/>
    <n v="0"/>
    <m/>
  </r>
  <r>
    <n v="557"/>
    <x v="556"/>
    <n v="47"/>
    <m/>
    <n v="0"/>
    <n v="0"/>
    <n v="0"/>
    <n v="0"/>
    <m/>
    <n v="0"/>
    <n v="0"/>
    <m/>
    <n v="14.098901098901099"/>
    <n v="0"/>
    <m/>
  </r>
  <r>
    <n v="558"/>
    <x v="557"/>
    <n v="73"/>
    <m/>
    <n v="0"/>
    <n v="0"/>
    <n v="0"/>
    <n v="0"/>
    <m/>
    <n v="0"/>
    <n v="0"/>
    <m/>
    <n v="14.098901098901099"/>
    <n v="0"/>
    <m/>
  </r>
  <r>
    <n v="559"/>
    <x v="558"/>
    <n v="64"/>
    <m/>
    <n v="0"/>
    <n v="0"/>
    <n v="0"/>
    <n v="0"/>
    <m/>
    <n v="0"/>
    <n v="0"/>
    <m/>
    <n v="14.098901098901099"/>
    <n v="0"/>
    <m/>
  </r>
  <r>
    <n v="560"/>
    <x v="559"/>
    <n v="45"/>
    <m/>
    <n v="0"/>
    <n v="0"/>
    <n v="0"/>
    <n v="0"/>
    <m/>
    <n v="0"/>
    <n v="0"/>
    <m/>
    <n v="14.098901098901099"/>
    <n v="0"/>
    <m/>
  </r>
  <r>
    <n v="561"/>
    <x v="560"/>
    <n v="64"/>
    <m/>
    <n v="0"/>
    <n v="0"/>
    <n v="0"/>
    <n v="0"/>
    <m/>
    <n v="0"/>
    <n v="0"/>
    <m/>
    <n v="14.098901098901099"/>
    <n v="0"/>
    <m/>
  </r>
  <r>
    <n v="562"/>
    <x v="561"/>
    <n v="74"/>
    <m/>
    <n v="0"/>
    <n v="0"/>
    <n v="0"/>
    <n v="0"/>
    <m/>
    <n v="0"/>
    <n v="0"/>
    <m/>
    <n v="14.098901098901099"/>
    <n v="0"/>
    <m/>
  </r>
  <r>
    <n v="563"/>
    <x v="562"/>
    <n v="75"/>
    <m/>
    <n v="0"/>
    <n v="0"/>
    <n v="0"/>
    <n v="0"/>
    <m/>
    <n v="0"/>
    <n v="0"/>
    <m/>
    <n v="14.098901098901099"/>
    <n v="0"/>
    <m/>
  </r>
  <r>
    <n v="564"/>
    <x v="563"/>
    <n v="59"/>
    <m/>
    <n v="0"/>
    <n v="0"/>
    <n v="0"/>
    <n v="0"/>
    <m/>
    <n v="0"/>
    <n v="0"/>
    <m/>
    <n v="14.098901098901099"/>
    <n v="0"/>
    <m/>
  </r>
  <r>
    <n v="565"/>
    <x v="564"/>
    <n v="52"/>
    <m/>
    <n v="0"/>
    <n v="0"/>
    <n v="0"/>
    <n v="0"/>
    <m/>
    <n v="0"/>
    <n v="0"/>
    <m/>
    <n v="14.098901098901099"/>
    <n v="0"/>
    <m/>
  </r>
  <r>
    <n v="566"/>
    <x v="565"/>
    <n v="71"/>
    <m/>
    <n v="0"/>
    <n v="0"/>
    <n v="0"/>
    <n v="0"/>
    <m/>
    <n v="0"/>
    <n v="0"/>
    <m/>
    <n v="14.098901098901099"/>
    <n v="0"/>
    <m/>
  </r>
  <r>
    <n v="567"/>
    <x v="566"/>
    <n v="44"/>
    <m/>
    <n v="0"/>
    <n v="0"/>
    <n v="0"/>
    <n v="0"/>
    <m/>
    <n v="0"/>
    <n v="0"/>
    <m/>
    <n v="14.098901098901099"/>
    <n v="0"/>
    <m/>
  </r>
  <r>
    <n v="568"/>
    <x v="567"/>
    <n v="59"/>
    <m/>
    <n v="0"/>
    <n v="0"/>
    <n v="0"/>
    <n v="0"/>
    <m/>
    <n v="0"/>
    <n v="0"/>
    <m/>
    <n v="14.098901098901099"/>
    <n v="0"/>
    <m/>
  </r>
  <r>
    <n v="569"/>
    <x v="568"/>
    <n v="48"/>
    <m/>
    <n v="0"/>
    <n v="0"/>
    <n v="0"/>
    <n v="0"/>
    <m/>
    <n v="0"/>
    <n v="0"/>
    <m/>
    <n v="14.098901098901099"/>
    <n v="0"/>
    <m/>
  </r>
  <r>
    <n v="570"/>
    <x v="569"/>
    <n v="76"/>
    <m/>
    <n v="0"/>
    <n v="0"/>
    <n v="0"/>
    <n v="0"/>
    <m/>
    <n v="0"/>
    <n v="0"/>
    <m/>
    <n v="14.098901098901099"/>
    <n v="0"/>
    <m/>
  </r>
  <r>
    <n v="571"/>
    <x v="570"/>
    <n v="62"/>
    <m/>
    <n v="0"/>
    <n v="0"/>
    <n v="0"/>
    <n v="0"/>
    <m/>
    <n v="0"/>
    <n v="0"/>
    <m/>
    <n v="14.098901098901099"/>
    <n v="0"/>
    <m/>
  </r>
  <r>
    <n v="572"/>
    <x v="571"/>
    <n v="41"/>
    <m/>
    <n v="0"/>
    <n v="0"/>
    <n v="0"/>
    <n v="0"/>
    <m/>
    <n v="0"/>
    <n v="0"/>
    <m/>
    <n v="14.098901098901099"/>
    <n v="0"/>
    <m/>
  </r>
  <r>
    <n v="573"/>
    <x v="572"/>
    <n v="49"/>
    <m/>
    <n v="0"/>
    <n v="0"/>
    <n v="0"/>
    <n v="0"/>
    <m/>
    <n v="0"/>
    <n v="0"/>
    <m/>
    <n v="14.098901098901099"/>
    <n v="0"/>
    <m/>
  </r>
  <r>
    <n v="574"/>
    <x v="573"/>
    <n v="72"/>
    <m/>
    <n v="0"/>
    <n v="0"/>
    <n v="0"/>
    <n v="0"/>
    <m/>
    <n v="0"/>
    <n v="0"/>
    <m/>
    <n v="14.098901098901099"/>
    <n v="0"/>
    <m/>
  </r>
  <r>
    <n v="575"/>
    <x v="574"/>
    <n v="81"/>
    <m/>
    <n v="0"/>
    <n v="0"/>
    <n v="0"/>
    <n v="0"/>
    <m/>
    <n v="0"/>
    <n v="0"/>
    <m/>
    <n v="14.098901098901099"/>
    <n v="0"/>
    <m/>
  </r>
  <r>
    <n v="576"/>
    <x v="575"/>
    <n v="101"/>
    <m/>
    <n v="0"/>
    <n v="0"/>
    <n v="0"/>
    <n v="0"/>
    <m/>
    <n v="0"/>
    <n v="0"/>
    <m/>
    <n v="14.098901098901099"/>
    <n v="0"/>
    <m/>
  </r>
  <r>
    <n v="577"/>
    <x v="576"/>
    <n v="103"/>
    <m/>
    <n v="0"/>
    <n v="0"/>
    <n v="0"/>
    <n v="0"/>
    <m/>
    <n v="0"/>
    <n v="0"/>
    <m/>
    <n v="14.098901098901099"/>
    <n v="0"/>
    <m/>
  </r>
  <r>
    <n v="578"/>
    <x v="577"/>
    <n v="35"/>
    <m/>
    <n v="0"/>
    <n v="0"/>
    <n v="0"/>
    <n v="0"/>
    <m/>
    <n v="0"/>
    <n v="0"/>
    <m/>
    <n v="14.098901098901099"/>
    <n v="0"/>
    <m/>
  </r>
  <r>
    <n v="579"/>
    <x v="578"/>
    <n v="96"/>
    <m/>
    <n v="0"/>
    <n v="0"/>
    <n v="0"/>
    <n v="0"/>
    <m/>
    <n v="0"/>
    <n v="0"/>
    <m/>
    <n v="14.098901098901099"/>
    <n v="0"/>
    <m/>
  </r>
  <r>
    <n v="580"/>
    <x v="579"/>
    <n v="77"/>
    <m/>
    <n v="0"/>
    <n v="0"/>
    <n v="0"/>
    <n v="0"/>
    <m/>
    <n v="0"/>
    <n v="0"/>
    <m/>
    <n v="14.098901098901099"/>
    <n v="0"/>
    <m/>
  </r>
  <r>
    <n v="581"/>
    <x v="580"/>
    <n v="57"/>
    <m/>
    <n v="0"/>
    <n v="0"/>
    <n v="0"/>
    <n v="0"/>
    <m/>
    <n v="0"/>
    <n v="0"/>
    <m/>
    <n v="14.098901098901099"/>
    <n v="0"/>
    <m/>
  </r>
  <r>
    <n v="582"/>
    <x v="581"/>
    <n v="81"/>
    <m/>
    <n v="0"/>
    <n v="0"/>
    <n v="0"/>
    <n v="0"/>
    <m/>
    <n v="0"/>
    <n v="0"/>
    <m/>
    <n v="14.098901098901099"/>
    <n v="0"/>
    <m/>
  </r>
  <r>
    <n v="583"/>
    <x v="582"/>
    <n v="74"/>
    <m/>
    <n v="0"/>
    <n v="0"/>
    <n v="0"/>
    <n v="0"/>
    <m/>
    <n v="0"/>
    <n v="0"/>
    <m/>
    <n v="14.098901098901099"/>
    <n v="0"/>
    <m/>
  </r>
  <r>
    <n v="584"/>
    <x v="583"/>
    <n v="52"/>
    <m/>
    <n v="0"/>
    <n v="0"/>
    <n v="0"/>
    <n v="0"/>
    <m/>
    <n v="0"/>
    <n v="0"/>
    <m/>
    <n v="14.098901098901099"/>
    <n v="0"/>
    <m/>
  </r>
  <r>
    <n v="585"/>
    <x v="584"/>
    <n v="73"/>
    <m/>
    <n v="0"/>
    <n v="0"/>
    <n v="0"/>
    <n v="0"/>
    <m/>
    <n v="0"/>
    <n v="0"/>
    <m/>
    <n v="14.098901098901099"/>
    <n v="0"/>
    <m/>
  </r>
  <r>
    <n v="586"/>
    <x v="585"/>
    <n v="58"/>
    <m/>
    <n v="0"/>
    <n v="0"/>
    <n v="0"/>
    <n v="0"/>
    <m/>
    <n v="0"/>
    <n v="0"/>
    <m/>
    <n v="14.098901098901099"/>
    <n v="0"/>
    <m/>
  </r>
  <r>
    <n v="587"/>
    <x v="586"/>
    <n v="93"/>
    <m/>
    <n v="0"/>
    <n v="0"/>
    <n v="0"/>
    <n v="0"/>
    <m/>
    <n v="0"/>
    <n v="0"/>
    <m/>
    <n v="14.098901098901099"/>
    <n v="0"/>
    <m/>
  </r>
  <r>
    <n v="588"/>
    <x v="587"/>
    <n v="33"/>
    <m/>
    <n v="0"/>
    <n v="0"/>
    <n v="0"/>
    <n v="0"/>
    <m/>
    <n v="0"/>
    <n v="0"/>
    <m/>
    <n v="14.098901098901099"/>
    <n v="0"/>
    <m/>
  </r>
  <r>
    <n v="589"/>
    <x v="588"/>
    <n v="42"/>
    <m/>
    <n v="0"/>
    <n v="0"/>
    <n v="0"/>
    <n v="0"/>
    <m/>
    <n v="0"/>
    <n v="0"/>
    <m/>
    <n v="14.098901098901099"/>
    <n v="0"/>
    <m/>
  </r>
  <r>
    <n v="590"/>
    <x v="589"/>
    <n v="59"/>
    <m/>
    <n v="0"/>
    <n v="0"/>
    <n v="0"/>
    <n v="0"/>
    <m/>
    <n v="0"/>
    <n v="0"/>
    <m/>
    <n v="14.098901098901099"/>
    <n v="0"/>
    <m/>
  </r>
  <r>
    <n v="591"/>
    <x v="590"/>
    <n v="75"/>
    <m/>
    <n v="0"/>
    <n v="0"/>
    <n v="0"/>
    <n v="0"/>
    <m/>
    <n v="0"/>
    <n v="0"/>
    <m/>
    <n v="14.098901098901099"/>
    <n v="0"/>
    <m/>
  </r>
  <r>
    <n v="592"/>
    <x v="591"/>
    <n v="34"/>
    <m/>
    <n v="0"/>
    <n v="0"/>
    <n v="0"/>
    <n v="0"/>
    <m/>
    <n v="0"/>
    <n v="0"/>
    <m/>
    <n v="14.098901098901099"/>
    <n v="0"/>
    <m/>
  </r>
  <r>
    <n v="593"/>
    <x v="592"/>
    <n v="77"/>
    <m/>
    <n v="0"/>
    <n v="0"/>
    <n v="0"/>
    <n v="0"/>
    <m/>
    <n v="0"/>
    <n v="0"/>
    <m/>
    <n v="14.098901098901099"/>
    <n v="0"/>
    <m/>
  </r>
  <r>
    <n v="594"/>
    <x v="593"/>
    <n v="64"/>
    <m/>
    <n v="0"/>
    <n v="0"/>
    <n v="0"/>
    <n v="0"/>
    <m/>
    <n v="0"/>
    <n v="0"/>
    <m/>
    <n v="14.098901098901099"/>
    <n v="0"/>
    <m/>
  </r>
  <r>
    <n v="595"/>
    <x v="594"/>
    <n v="57"/>
    <m/>
    <n v="0"/>
    <n v="0"/>
    <n v="0"/>
    <n v="0"/>
    <m/>
    <n v="0"/>
    <n v="0"/>
    <m/>
    <n v="14.098901098901099"/>
    <n v="0"/>
    <m/>
  </r>
  <r>
    <n v="596"/>
    <x v="595"/>
    <n v="91"/>
    <m/>
    <n v="0"/>
    <n v="0"/>
    <n v="0"/>
    <n v="0"/>
    <m/>
    <n v="0"/>
    <n v="0"/>
    <m/>
    <n v="14.098901098901099"/>
    <n v="0"/>
    <m/>
  </r>
  <r>
    <n v="597"/>
    <x v="596"/>
    <n v="74"/>
    <m/>
    <n v="0"/>
    <n v="0"/>
    <n v="0"/>
    <n v="0"/>
    <m/>
    <n v="0"/>
    <n v="0"/>
    <m/>
    <n v="14.098901098901099"/>
    <n v="0"/>
    <m/>
  </r>
  <r>
    <n v="598"/>
    <x v="597"/>
    <n v="84"/>
    <m/>
    <n v="0"/>
    <n v="0"/>
    <n v="0"/>
    <n v="0"/>
    <m/>
    <n v="0"/>
    <n v="0"/>
    <m/>
    <n v="14.098901098901099"/>
    <n v="0"/>
    <m/>
  </r>
  <r>
    <n v="599"/>
    <x v="598"/>
    <n v="30"/>
    <m/>
    <n v="0"/>
    <n v="0"/>
    <n v="0"/>
    <n v="0"/>
    <m/>
    <n v="0"/>
    <n v="0"/>
    <m/>
    <n v="14.098901098901099"/>
    <n v="0"/>
    <m/>
  </r>
  <r>
    <n v="600"/>
    <x v="599"/>
    <n v="35"/>
    <m/>
    <n v="0"/>
    <n v="0"/>
    <n v="0"/>
    <n v="0"/>
    <m/>
    <n v="0"/>
    <n v="0"/>
    <m/>
    <n v="14.098901098901099"/>
    <n v="0"/>
    <m/>
  </r>
  <r>
    <n v="601"/>
    <x v="600"/>
    <n v="45"/>
    <m/>
    <n v="0"/>
    <n v="0"/>
    <n v="0"/>
    <n v="0"/>
    <m/>
    <n v="0"/>
    <n v="0"/>
    <m/>
    <n v="14.098901098901099"/>
    <n v="0"/>
    <m/>
  </r>
  <r>
    <n v="602"/>
    <x v="601"/>
    <n v="55"/>
    <m/>
    <n v="0"/>
    <n v="0"/>
    <n v="0"/>
    <n v="0"/>
    <m/>
    <n v="0"/>
    <n v="0"/>
    <m/>
    <n v="14.098901098901099"/>
    <n v="0"/>
    <m/>
  </r>
  <r>
    <n v="603"/>
    <x v="602"/>
    <n v="53"/>
    <m/>
    <n v="0"/>
    <n v="0"/>
    <n v="0"/>
    <n v="0"/>
    <m/>
    <n v="0"/>
    <n v="0"/>
    <m/>
    <n v="14.098901098901099"/>
    <n v="0"/>
    <m/>
  </r>
  <r>
    <n v="604"/>
    <x v="603"/>
    <n v="64"/>
    <m/>
    <n v="0"/>
    <n v="0"/>
    <n v="0"/>
    <n v="0"/>
    <m/>
    <n v="0"/>
    <n v="0"/>
    <m/>
    <n v="14.098901098901099"/>
    <n v="0"/>
    <m/>
  </r>
  <r>
    <n v="605"/>
    <x v="604"/>
    <n v="56"/>
    <m/>
    <n v="0"/>
    <n v="0"/>
    <n v="0"/>
    <n v="0"/>
    <m/>
    <n v="0"/>
    <n v="0"/>
    <m/>
    <n v="14.098901098901099"/>
    <n v="0"/>
    <m/>
  </r>
  <r>
    <n v="606"/>
    <x v="605"/>
    <n v="75"/>
    <m/>
    <n v="0"/>
    <n v="0"/>
    <n v="0"/>
    <n v="0"/>
    <m/>
    <n v="0"/>
    <n v="0"/>
    <m/>
    <n v="14.098901098901099"/>
    <n v="0"/>
    <m/>
  </r>
  <r>
    <n v="607"/>
    <x v="606"/>
    <n v="80"/>
    <m/>
    <n v="0"/>
    <n v="0"/>
    <n v="0"/>
    <n v="0"/>
    <m/>
    <n v="0"/>
    <n v="0"/>
    <m/>
    <n v="14.098901098901099"/>
    <n v="0"/>
    <m/>
  </r>
  <r>
    <n v="608"/>
    <x v="607"/>
    <n v="30"/>
    <m/>
    <n v="0"/>
    <n v="0"/>
    <n v="0"/>
    <n v="0"/>
    <m/>
    <n v="0"/>
    <n v="0"/>
    <m/>
    <n v="14.098901098901099"/>
    <n v="0"/>
    <m/>
  </r>
  <r>
    <n v="609"/>
    <x v="608"/>
    <n v="60"/>
    <m/>
    <n v="0"/>
    <n v="0"/>
    <n v="0"/>
    <n v="0"/>
    <m/>
    <n v="0"/>
    <n v="0"/>
    <m/>
    <n v="14.098901098901099"/>
    <n v="0"/>
    <m/>
  </r>
  <r>
    <n v="610"/>
    <x v="609"/>
    <n v="71"/>
    <m/>
    <n v="0"/>
    <n v="0"/>
    <n v="0"/>
    <n v="0"/>
    <m/>
    <n v="0"/>
    <n v="0"/>
    <m/>
    <n v="14.098901098901099"/>
    <n v="0"/>
    <m/>
  </r>
  <r>
    <n v="611"/>
    <x v="610"/>
    <n v="60"/>
    <m/>
    <n v="0"/>
    <n v="0"/>
    <n v="0"/>
    <n v="0"/>
    <m/>
    <n v="0"/>
    <n v="0"/>
    <m/>
    <n v="14.098901098901099"/>
    <n v="0"/>
    <m/>
  </r>
  <r>
    <n v="612"/>
    <x v="611"/>
    <n v="50"/>
    <m/>
    <n v="0"/>
    <n v="0"/>
    <n v="0"/>
    <n v="0"/>
    <m/>
    <n v="0"/>
    <n v="0"/>
    <m/>
    <n v="14.098901098901099"/>
    <n v="0"/>
    <m/>
  </r>
  <r>
    <n v="613"/>
    <x v="612"/>
    <n v="66"/>
    <m/>
    <n v="0"/>
    <n v="0"/>
    <n v="0"/>
    <n v="0"/>
    <m/>
    <n v="0"/>
    <n v="0"/>
    <m/>
    <n v="14.098901098901099"/>
    <n v="0"/>
    <m/>
  </r>
  <r>
    <n v="614"/>
    <x v="613"/>
    <n v="67"/>
    <m/>
    <n v="0"/>
    <n v="0"/>
    <n v="0"/>
    <n v="0"/>
    <m/>
    <n v="0"/>
    <n v="0"/>
    <m/>
    <n v="14.098901098901099"/>
    <n v="0"/>
    <m/>
  </r>
  <r>
    <n v="615"/>
    <x v="614"/>
    <n v="46"/>
    <m/>
    <n v="0"/>
    <n v="0"/>
    <n v="0"/>
    <n v="0"/>
    <m/>
    <n v="0"/>
    <n v="0"/>
    <m/>
    <n v="14.098901098901099"/>
    <n v="0"/>
    <m/>
  </r>
  <r>
    <n v="616"/>
    <x v="615"/>
    <n v="48"/>
    <m/>
    <n v="0"/>
    <n v="0"/>
    <n v="0"/>
    <n v="0"/>
    <m/>
    <n v="0"/>
    <n v="0"/>
    <m/>
    <n v="14.098901098901099"/>
    <n v="0"/>
    <m/>
  </r>
  <r>
    <n v="617"/>
    <x v="616"/>
    <n v="71"/>
    <m/>
    <n v="0"/>
    <n v="0"/>
    <n v="0"/>
    <n v="0"/>
    <m/>
    <n v="0"/>
    <n v="0"/>
    <m/>
    <n v="14.098901098901099"/>
    <n v="0"/>
    <m/>
  </r>
  <r>
    <n v="618"/>
    <x v="617"/>
    <n v="68"/>
    <m/>
    <n v="0"/>
    <n v="0"/>
    <n v="0"/>
    <n v="0"/>
    <m/>
    <n v="0"/>
    <n v="0"/>
    <m/>
    <n v="14.098901098901099"/>
    <n v="0"/>
    <m/>
  </r>
  <r>
    <n v="619"/>
    <x v="618"/>
    <n v="22"/>
    <m/>
    <n v="0"/>
    <n v="0"/>
    <n v="0"/>
    <n v="0"/>
    <m/>
    <n v="0"/>
    <n v="0"/>
    <m/>
    <n v="14.098901098901099"/>
    <n v="0"/>
    <m/>
  </r>
  <r>
    <n v="620"/>
    <x v="619"/>
    <n v="36"/>
    <m/>
    <n v="0"/>
    <n v="0"/>
    <n v="0"/>
    <n v="0"/>
    <m/>
    <n v="0"/>
    <n v="0"/>
    <m/>
    <n v="14.098901098901099"/>
    <n v="0"/>
    <m/>
  </r>
  <r>
    <n v="621"/>
    <x v="620"/>
    <n v="41"/>
    <m/>
    <n v="0"/>
    <n v="0"/>
    <n v="0"/>
    <n v="0"/>
    <m/>
    <n v="0"/>
    <n v="0"/>
    <m/>
    <n v="14.098901098901099"/>
    <n v="0"/>
    <m/>
  </r>
  <r>
    <n v="622"/>
    <x v="621"/>
    <n v="36"/>
    <m/>
    <n v="0"/>
    <n v="0"/>
    <n v="0"/>
    <n v="0"/>
    <m/>
    <n v="0"/>
    <n v="0"/>
    <m/>
    <n v="14.098901098901099"/>
    <n v="0"/>
    <m/>
  </r>
  <r>
    <n v="623"/>
    <x v="622"/>
    <n v="58"/>
    <m/>
    <n v="0"/>
    <n v="0"/>
    <n v="0"/>
    <n v="0"/>
    <m/>
    <n v="0"/>
    <n v="0"/>
    <m/>
    <n v="14.098901098901099"/>
    <n v="0"/>
    <m/>
  </r>
  <r>
    <n v="624"/>
    <x v="623"/>
    <n v="63"/>
    <m/>
    <n v="0"/>
    <n v="0"/>
    <n v="0"/>
    <n v="0"/>
    <m/>
    <n v="0"/>
    <n v="0"/>
    <m/>
    <n v="14.098901098901099"/>
    <n v="0"/>
    <m/>
  </r>
  <r>
    <n v="625"/>
    <x v="624"/>
    <n v="29"/>
    <m/>
    <n v="0"/>
    <n v="0"/>
    <n v="0"/>
    <n v="0"/>
    <m/>
    <n v="0"/>
    <n v="0"/>
    <m/>
    <n v="14.098901098901099"/>
    <n v="0"/>
    <m/>
  </r>
  <r>
    <n v="626"/>
    <x v="625"/>
    <n v="29"/>
    <m/>
    <n v="0"/>
    <n v="0"/>
    <n v="0"/>
    <n v="0"/>
    <m/>
    <n v="0"/>
    <n v="0"/>
    <m/>
    <n v="14.098901098901099"/>
    <n v="0"/>
    <m/>
  </r>
  <r>
    <n v="627"/>
    <x v="626"/>
    <n v="42"/>
    <m/>
    <n v="0"/>
    <n v="0"/>
    <n v="0"/>
    <n v="0"/>
    <m/>
    <n v="0"/>
    <n v="0"/>
    <m/>
    <n v="14.098901098901099"/>
    <n v="0"/>
    <m/>
  </r>
  <r>
    <n v="628"/>
    <x v="627"/>
    <n v="75"/>
    <m/>
    <n v="0"/>
    <n v="0"/>
    <n v="0"/>
    <n v="0"/>
    <m/>
    <n v="0"/>
    <n v="0"/>
    <m/>
    <n v="14.098901098901099"/>
    <n v="0"/>
    <m/>
  </r>
  <r>
    <n v="629"/>
    <x v="628"/>
    <n v="85"/>
    <m/>
    <n v="0"/>
    <n v="0"/>
    <n v="0"/>
    <n v="0"/>
    <m/>
    <n v="0"/>
    <n v="0"/>
    <m/>
    <n v="14.098901098901099"/>
    <n v="0"/>
    <m/>
  </r>
  <r>
    <n v="630"/>
    <x v="629"/>
    <n v="61"/>
    <m/>
    <n v="0"/>
    <n v="0"/>
    <n v="0"/>
    <n v="0"/>
    <m/>
    <n v="0"/>
    <n v="0"/>
    <m/>
    <n v="14.098901098901099"/>
    <n v="0"/>
    <m/>
  </r>
  <r>
    <n v="631"/>
    <x v="630"/>
    <n v="47"/>
    <m/>
    <n v="0"/>
    <n v="0"/>
    <n v="0"/>
    <n v="0"/>
    <m/>
    <n v="0"/>
    <n v="0"/>
    <m/>
    <n v="14.098901098901099"/>
    <n v="0"/>
    <m/>
  </r>
  <r>
    <n v="632"/>
    <x v="631"/>
    <n v="39"/>
    <m/>
    <n v="0"/>
    <n v="0"/>
    <n v="0"/>
    <n v="0"/>
    <m/>
    <n v="0"/>
    <n v="0"/>
    <m/>
    <n v="14.098901098901099"/>
    <n v="0"/>
    <m/>
  </r>
  <r>
    <n v="633"/>
    <x v="632"/>
    <n v="49"/>
    <m/>
    <n v="0"/>
    <n v="0"/>
    <n v="0"/>
    <n v="0"/>
    <m/>
    <n v="0"/>
    <n v="0"/>
    <m/>
    <n v="14.098901098901099"/>
    <n v="0"/>
    <m/>
  </r>
  <r>
    <n v="634"/>
    <x v="633"/>
    <n v="54"/>
    <m/>
    <n v="0"/>
    <n v="0"/>
    <n v="0"/>
    <n v="0"/>
    <m/>
    <n v="0"/>
    <n v="0"/>
    <m/>
    <n v="14.098901098901099"/>
    <n v="0"/>
    <m/>
  </r>
  <r>
    <n v="635"/>
    <x v="634"/>
    <n v="25"/>
    <m/>
    <n v="0"/>
    <n v="0"/>
    <n v="0"/>
    <n v="0"/>
    <m/>
    <n v="0"/>
    <n v="0"/>
    <m/>
    <n v="14.098901098901099"/>
    <n v="0"/>
    <m/>
  </r>
  <r>
    <n v="636"/>
    <x v="635"/>
    <n v="32"/>
    <m/>
    <n v="0"/>
    <n v="0"/>
    <n v="0"/>
    <n v="0"/>
    <m/>
    <n v="0"/>
    <n v="0"/>
    <m/>
    <n v="14.098901098901099"/>
    <n v="0"/>
    <m/>
  </r>
  <r>
    <n v="637"/>
    <x v="636"/>
    <n v="31"/>
    <m/>
    <n v="0"/>
    <n v="0"/>
    <n v="0"/>
    <n v="0"/>
    <m/>
    <n v="0"/>
    <n v="0"/>
    <m/>
    <n v="14.098901098901099"/>
    <n v="0"/>
    <m/>
  </r>
  <r>
    <n v="638"/>
    <x v="637"/>
    <n v="36"/>
    <m/>
    <n v="0"/>
    <n v="0"/>
    <n v="0"/>
    <n v="0"/>
    <m/>
    <n v="0"/>
    <n v="0"/>
    <m/>
    <n v="14.098901098901099"/>
    <n v="0"/>
    <m/>
  </r>
  <r>
    <n v="639"/>
    <x v="638"/>
    <n v="48"/>
    <m/>
    <n v="0"/>
    <n v="0"/>
    <n v="0"/>
    <n v="0"/>
    <m/>
    <n v="0"/>
    <n v="0"/>
    <m/>
    <n v="14.098901098901099"/>
    <n v="0"/>
    <m/>
  </r>
  <r>
    <n v="640"/>
    <x v="639"/>
    <n v="32"/>
    <m/>
    <n v="17"/>
    <n v="0"/>
    <n v="0"/>
    <n v="5"/>
    <m/>
    <n v="0"/>
    <n v="0"/>
    <m/>
    <n v="14.098901098901099"/>
    <n v="3"/>
    <m/>
  </r>
  <r>
    <n v="641"/>
    <x v="640"/>
    <n v="50"/>
    <m/>
    <n v="0"/>
    <n v="0"/>
    <n v="0"/>
    <n v="0"/>
    <m/>
    <n v="0"/>
    <n v="0"/>
    <m/>
    <n v="14.098901098901099"/>
    <n v="0"/>
    <m/>
  </r>
  <r>
    <n v="642"/>
    <x v="641"/>
    <n v="21"/>
    <m/>
    <n v="0"/>
    <n v="0"/>
    <n v="0"/>
    <n v="0"/>
    <m/>
    <n v="0"/>
    <n v="0"/>
    <m/>
    <n v="14.098901098901099"/>
    <n v="0"/>
    <m/>
  </r>
  <r>
    <n v="643"/>
    <x v="642"/>
    <n v="34"/>
    <m/>
    <n v="0"/>
    <n v="0"/>
    <n v="0"/>
    <n v="0"/>
    <m/>
    <n v="0"/>
    <n v="0"/>
    <m/>
    <n v="14.098901098901099"/>
    <n v="0"/>
    <m/>
  </r>
  <r>
    <n v="644"/>
    <x v="643"/>
    <n v="49"/>
    <m/>
    <n v="6"/>
    <n v="0"/>
    <n v="0"/>
    <n v="0"/>
    <m/>
    <n v="0"/>
    <n v="0"/>
    <m/>
    <n v="14.098901098901099"/>
    <n v="0"/>
    <m/>
  </r>
  <r>
    <n v="645"/>
    <x v="644"/>
    <n v="18"/>
    <m/>
    <n v="0"/>
    <n v="0"/>
    <n v="0"/>
    <n v="3"/>
    <m/>
    <n v="250"/>
    <n v="0"/>
    <m/>
    <n v="14.098901098901099"/>
    <n v="0"/>
    <m/>
  </r>
  <r>
    <n v="646"/>
    <x v="645"/>
    <n v="33"/>
    <m/>
    <n v="0"/>
    <n v="0"/>
    <n v="0"/>
    <n v="0"/>
    <m/>
    <n v="0"/>
    <n v="0"/>
    <m/>
    <n v="14.098901098901099"/>
    <n v="0"/>
    <m/>
  </r>
  <r>
    <n v="647"/>
    <x v="646"/>
    <n v="30"/>
    <m/>
    <n v="0"/>
    <n v="0"/>
    <n v="0"/>
    <n v="0"/>
    <m/>
    <n v="0"/>
    <n v="0"/>
    <m/>
    <n v="14.098901098901099"/>
    <n v="1"/>
    <m/>
  </r>
  <r>
    <n v="648"/>
    <x v="647"/>
    <n v="35"/>
    <m/>
    <n v="0"/>
    <n v="0"/>
    <n v="0"/>
    <n v="3"/>
    <m/>
    <n v="0"/>
    <n v="0"/>
    <m/>
    <n v="14.098901098901099"/>
    <n v="0"/>
    <m/>
  </r>
  <r>
    <n v="649"/>
    <x v="648"/>
    <n v="18"/>
    <m/>
    <n v="0"/>
    <n v="0"/>
    <n v="0"/>
    <n v="0"/>
    <m/>
    <n v="0"/>
    <n v="0"/>
    <m/>
    <n v="14.098901098901099"/>
    <n v="7"/>
    <m/>
  </r>
  <r>
    <n v="650"/>
    <x v="649"/>
    <n v="33"/>
    <m/>
    <n v="0"/>
    <n v="0"/>
    <n v="0"/>
    <n v="9"/>
    <m/>
    <n v="0"/>
    <n v="0"/>
    <m/>
    <n v="14.098901098901099"/>
    <n v="0"/>
    <m/>
  </r>
  <r>
    <n v="651"/>
    <x v="650"/>
    <n v="26"/>
    <m/>
    <n v="0"/>
    <n v="0"/>
    <n v="0"/>
    <n v="0"/>
    <m/>
    <n v="0"/>
    <n v="0"/>
    <m/>
    <n v="14.098901098901099"/>
    <n v="12"/>
    <m/>
  </r>
  <r>
    <n v="652"/>
    <x v="651"/>
    <n v="34"/>
    <m/>
    <n v="0"/>
    <n v="0"/>
    <n v="0"/>
    <n v="3"/>
    <m/>
    <n v="0"/>
    <n v="0"/>
    <m/>
    <n v="14.098901098901099"/>
    <n v="0"/>
    <m/>
  </r>
  <r>
    <n v="653"/>
    <x v="652"/>
    <n v="34"/>
    <m/>
    <n v="0"/>
    <n v="0"/>
    <n v="0"/>
    <n v="12"/>
    <m/>
    <n v="0"/>
    <n v="0"/>
    <m/>
    <n v="14.098901098901099"/>
    <n v="21"/>
    <m/>
  </r>
  <r>
    <n v="654"/>
    <x v="653"/>
    <n v="30"/>
    <m/>
    <n v="0"/>
    <n v="0"/>
    <n v="0"/>
    <n v="4"/>
    <m/>
    <n v="0"/>
    <n v="0"/>
    <m/>
    <n v="14.098901098901099"/>
    <n v="4"/>
    <m/>
  </r>
  <r>
    <n v="655"/>
    <x v="654"/>
    <n v="37"/>
    <m/>
    <n v="0"/>
    <n v="0"/>
    <n v="0"/>
    <n v="3"/>
    <m/>
    <n v="0"/>
    <n v="0"/>
    <m/>
    <n v="14.098901098901099"/>
    <n v="6"/>
    <m/>
  </r>
  <r>
    <n v="656"/>
    <x v="655"/>
    <n v="65"/>
    <m/>
    <n v="0"/>
    <n v="0"/>
    <n v="0"/>
    <n v="2"/>
    <m/>
    <n v="0"/>
    <n v="0"/>
    <m/>
    <n v="14.098901098901099"/>
    <n v="10"/>
    <m/>
  </r>
  <r>
    <n v="657"/>
    <x v="656"/>
    <n v="16"/>
    <m/>
    <n v="0"/>
    <n v="0"/>
    <n v="0"/>
    <n v="10"/>
    <m/>
    <n v="0"/>
    <n v="0"/>
    <m/>
    <n v="14.098901098901099"/>
    <n v="19"/>
    <m/>
  </r>
  <r>
    <n v="658"/>
    <x v="657"/>
    <n v="15"/>
    <m/>
    <n v="0"/>
    <n v="0"/>
    <n v="0"/>
    <n v="5"/>
    <m/>
    <n v="0"/>
    <n v="0"/>
    <m/>
    <n v="14.098901098901099"/>
    <n v="8"/>
    <m/>
  </r>
  <r>
    <n v="659"/>
    <x v="658"/>
    <n v="17"/>
    <m/>
    <n v="4"/>
    <n v="0"/>
    <n v="0"/>
    <n v="6"/>
    <m/>
    <n v="0"/>
    <n v="0"/>
    <m/>
    <n v="14.098901098901099"/>
    <n v="13"/>
    <m/>
  </r>
  <r>
    <n v="660"/>
    <x v="659"/>
    <n v="14"/>
    <m/>
    <n v="0"/>
    <n v="0"/>
    <n v="0"/>
    <n v="8"/>
    <m/>
    <n v="0"/>
    <n v="0"/>
    <m/>
    <n v="14.098901098901099"/>
    <n v="31"/>
    <m/>
  </r>
  <r>
    <n v="661"/>
    <x v="660"/>
    <n v="54"/>
    <m/>
    <n v="0"/>
    <n v="0"/>
    <n v="0"/>
    <n v="31"/>
    <m/>
    <n v="0"/>
    <n v="0"/>
    <m/>
    <n v="14.098901098901099"/>
    <n v="7"/>
    <m/>
  </r>
  <r>
    <n v="662"/>
    <x v="661"/>
    <n v="17"/>
    <m/>
    <n v="14"/>
    <n v="0"/>
    <n v="0"/>
    <n v="4"/>
    <m/>
    <n v="0"/>
    <n v="0"/>
    <m/>
    <n v="14.098901098901099"/>
    <n v="50"/>
    <m/>
  </r>
  <r>
    <n v="663"/>
    <x v="662"/>
    <n v="33"/>
    <m/>
    <n v="0"/>
    <n v="0"/>
    <n v="0"/>
    <n v="34"/>
    <m/>
    <n v="0"/>
    <n v="0"/>
    <m/>
    <n v="14.098901098901099"/>
    <n v="29"/>
    <m/>
  </r>
  <r>
    <n v="664"/>
    <x v="663"/>
    <n v="12"/>
    <m/>
    <n v="5"/>
    <n v="0"/>
    <n v="0"/>
    <n v="35"/>
    <m/>
    <n v="0"/>
    <n v="0"/>
    <m/>
    <n v="14.098901098901099"/>
    <n v="62"/>
    <m/>
  </r>
  <r>
    <n v="665"/>
    <x v="664"/>
    <n v="15"/>
    <m/>
    <n v="0"/>
    <n v="0"/>
    <n v="0"/>
    <n v="7"/>
    <m/>
    <n v="0"/>
    <n v="0"/>
    <m/>
    <n v="14.098901098901099"/>
    <n v="5"/>
    <m/>
  </r>
  <r>
    <n v="666"/>
    <x v="665"/>
    <n v="21"/>
    <m/>
    <n v="0"/>
    <n v="0"/>
    <n v="0"/>
    <n v="6"/>
    <m/>
    <n v="0"/>
    <n v="0"/>
    <m/>
    <n v="14.098901098901099"/>
    <n v="12"/>
    <m/>
  </r>
  <r>
    <n v="667"/>
    <x v="666"/>
    <n v="16"/>
    <m/>
    <n v="2"/>
    <n v="0"/>
    <n v="0"/>
    <n v="11"/>
    <m/>
    <n v="0"/>
    <n v="0"/>
    <m/>
    <n v="14.098901098901099"/>
    <n v="9"/>
    <m/>
  </r>
  <r>
    <n v="668"/>
    <x v="667"/>
    <n v="24"/>
    <m/>
    <n v="0"/>
    <n v="0"/>
    <n v="0"/>
    <n v="17"/>
    <m/>
    <n v="0"/>
    <n v="0"/>
    <m/>
    <n v="14.098901098901099"/>
    <n v="11"/>
    <m/>
  </r>
  <r>
    <n v="669"/>
    <x v="668"/>
    <n v="19"/>
    <m/>
    <n v="5"/>
    <n v="0"/>
    <n v="0"/>
    <n v="19"/>
    <m/>
    <n v="0"/>
    <n v="0"/>
    <m/>
    <n v="14.098901098901099"/>
    <n v="5"/>
    <m/>
  </r>
  <r>
    <n v="670"/>
    <x v="669"/>
    <n v="10"/>
    <m/>
    <n v="6"/>
    <n v="0"/>
    <n v="0"/>
    <n v="16"/>
    <m/>
    <n v="250"/>
    <n v="0"/>
    <m/>
    <n v="14.098901098901099"/>
    <n v="23"/>
    <m/>
  </r>
  <r>
    <n v="671"/>
    <x v="670"/>
    <n v="26"/>
    <m/>
    <n v="0"/>
    <n v="0"/>
    <n v="0"/>
    <n v="25"/>
    <m/>
    <n v="0"/>
    <n v="0"/>
    <m/>
    <n v="14.098901098901099"/>
    <n v="60"/>
    <m/>
  </r>
  <r>
    <n v="672"/>
    <x v="671"/>
    <n v="39"/>
    <m/>
    <n v="41"/>
    <n v="0"/>
    <n v="0"/>
    <n v="52"/>
    <m/>
    <n v="0"/>
    <n v="0"/>
    <m/>
    <n v="14.098901098901099"/>
    <n v="36"/>
    <m/>
  </r>
  <r>
    <n v="673"/>
    <x v="672"/>
    <n v="23"/>
    <m/>
    <n v="0"/>
    <n v="0"/>
    <n v="0"/>
    <n v="23"/>
    <m/>
    <n v="250"/>
    <n v="0"/>
    <m/>
    <n v="14.098901098901099"/>
    <n v="5"/>
    <m/>
  </r>
  <r>
    <n v="674"/>
    <x v="673"/>
    <n v="14"/>
    <m/>
    <n v="3"/>
    <n v="0"/>
    <n v="0"/>
    <n v="32"/>
    <m/>
    <n v="0"/>
    <n v="0"/>
    <m/>
    <n v="14.098901098901099"/>
    <n v="27"/>
    <m/>
  </r>
  <r>
    <n v="675"/>
    <x v="674"/>
    <n v="16"/>
    <m/>
    <n v="3"/>
    <n v="0"/>
    <n v="0"/>
    <n v="31"/>
    <m/>
    <n v="0"/>
    <n v="0"/>
    <m/>
    <n v="14.098901098901099"/>
    <n v="35"/>
    <m/>
  </r>
  <r>
    <n v="676"/>
    <x v="675"/>
    <n v="26"/>
    <m/>
    <n v="0"/>
    <n v="0"/>
    <n v="0"/>
    <n v="28"/>
    <m/>
    <n v="0"/>
    <n v="0"/>
    <m/>
    <n v="14.098901098901099"/>
    <n v="8"/>
    <m/>
  </r>
  <r>
    <n v="677"/>
    <x v="676"/>
    <n v="21"/>
    <m/>
    <n v="4"/>
    <n v="0"/>
    <n v="0"/>
    <n v="35"/>
    <m/>
    <n v="0"/>
    <n v="0"/>
    <m/>
    <n v="14.098901098901099"/>
    <n v="17"/>
    <m/>
  </r>
  <r>
    <n v="678"/>
    <x v="677"/>
    <n v="29"/>
    <m/>
    <n v="15"/>
    <n v="0"/>
    <n v="0"/>
    <n v="64"/>
    <m/>
    <n v="0"/>
    <n v="0"/>
    <m/>
    <n v="14.098901098901099"/>
    <n v="0"/>
    <m/>
  </r>
  <r>
    <n v="679"/>
    <x v="678"/>
    <n v="7"/>
    <m/>
    <n v="0"/>
    <n v="0"/>
    <n v="0"/>
    <n v="48"/>
    <m/>
    <n v="0"/>
    <n v="0"/>
    <m/>
    <n v="14.098901098901099"/>
    <n v="0"/>
    <m/>
  </r>
  <r>
    <n v="680"/>
    <x v="679"/>
    <n v="13"/>
    <m/>
    <n v="5"/>
    <n v="0"/>
    <n v="0"/>
    <n v="11"/>
    <m/>
    <n v="0"/>
    <n v="0"/>
    <m/>
    <n v="14.098901098901099"/>
    <n v="3"/>
    <m/>
  </r>
  <r>
    <n v="681"/>
    <x v="680"/>
    <n v="40"/>
    <m/>
    <n v="6"/>
    <n v="0"/>
    <n v="0"/>
    <n v="5"/>
    <m/>
    <n v="0"/>
    <n v="0"/>
    <m/>
    <n v="14.098901098901099"/>
    <n v="46"/>
    <m/>
  </r>
  <r>
    <n v="682"/>
    <x v="681"/>
    <n v="4"/>
    <m/>
    <n v="8"/>
    <n v="0"/>
    <n v="0"/>
    <n v="3"/>
    <m/>
    <n v="0"/>
    <n v="0"/>
    <m/>
    <n v="14.098901098901099"/>
    <n v="0"/>
    <m/>
  </r>
  <r>
    <n v="683"/>
    <x v="682"/>
    <n v="22"/>
    <m/>
    <n v="31"/>
    <n v="0"/>
    <n v="0"/>
    <n v="10"/>
    <m/>
    <n v="0"/>
    <n v="0"/>
    <m/>
    <n v="14.098901098901099"/>
    <n v="18"/>
    <m/>
  </r>
  <r>
    <n v="684"/>
    <x v="683"/>
    <n v="9"/>
    <m/>
    <n v="0"/>
    <n v="0"/>
    <n v="0"/>
    <n v="10"/>
    <m/>
    <n v="0"/>
    <n v="0"/>
    <m/>
    <n v="14.098901098901099"/>
    <n v="0"/>
    <m/>
  </r>
  <r>
    <n v="685"/>
    <x v="684"/>
    <n v="11"/>
    <m/>
    <n v="6"/>
    <n v="0"/>
    <n v="0"/>
    <n v="2"/>
    <m/>
    <n v="0"/>
    <n v="0"/>
    <m/>
    <n v="14.098901098901099"/>
    <n v="83"/>
    <m/>
  </r>
  <r>
    <n v="686"/>
    <x v="685"/>
    <n v="29"/>
    <m/>
    <n v="8"/>
    <n v="0"/>
    <n v="0"/>
    <n v="52"/>
    <m/>
    <n v="0"/>
    <n v="0"/>
    <m/>
    <n v="14.098901098901099"/>
    <n v="41"/>
    <m/>
  </r>
  <r>
    <n v="687"/>
    <x v="686"/>
    <n v="13"/>
    <m/>
    <n v="1"/>
    <n v="0"/>
    <n v="0"/>
    <n v="0"/>
    <m/>
    <n v="0"/>
    <n v="0"/>
    <m/>
    <n v="14.098901098901099"/>
    <n v="32"/>
    <m/>
  </r>
  <r>
    <n v="688"/>
    <x v="687"/>
    <n v="56"/>
    <m/>
    <n v="10"/>
    <n v="0"/>
    <n v="0"/>
    <n v="12"/>
    <m/>
    <n v="0"/>
    <n v="0"/>
    <m/>
    <n v="14.098901098901099"/>
    <n v="2"/>
    <m/>
  </r>
  <r>
    <n v="689"/>
    <x v="688"/>
    <n v="12"/>
    <m/>
    <n v="2"/>
    <n v="0"/>
    <n v="0"/>
    <n v="51"/>
    <m/>
    <n v="0"/>
    <n v="0"/>
    <m/>
    <n v="14.098901098901099"/>
    <n v="13"/>
    <m/>
  </r>
  <r>
    <n v="690"/>
    <x v="689"/>
    <n v="19"/>
    <m/>
    <n v="5"/>
    <n v="0"/>
    <n v="0"/>
    <n v="17"/>
    <m/>
    <n v="0"/>
    <n v="0"/>
    <m/>
    <n v="14.098901098901099"/>
    <n v="0"/>
    <m/>
  </r>
  <r>
    <n v="691"/>
    <x v="690"/>
    <n v="12"/>
    <m/>
    <n v="16"/>
    <n v="0"/>
    <n v="0"/>
    <n v="11"/>
    <m/>
    <n v="0"/>
    <n v="0"/>
    <m/>
    <n v="14.098901098901099"/>
    <n v="5"/>
    <m/>
  </r>
  <r>
    <n v="692"/>
    <x v="691"/>
    <n v="26"/>
    <m/>
    <n v="15"/>
    <n v="0"/>
    <n v="0"/>
    <n v="0"/>
    <m/>
    <n v="0"/>
    <n v="0"/>
    <m/>
    <n v="14.098901098901099"/>
    <n v="0"/>
    <m/>
  </r>
  <r>
    <n v="693"/>
    <x v="692"/>
    <n v="11"/>
    <m/>
    <n v="12"/>
    <n v="0"/>
    <n v="0"/>
    <n v="35"/>
    <m/>
    <n v="0"/>
    <n v="0"/>
    <m/>
    <n v="14.098901098901099"/>
    <n v="2"/>
    <m/>
  </r>
  <r>
    <n v="694"/>
    <x v="693"/>
    <n v="21"/>
    <m/>
    <n v="7"/>
    <n v="0"/>
    <n v="0"/>
    <n v="2"/>
    <m/>
    <n v="0"/>
    <n v="0"/>
    <m/>
    <n v="14.098901098901099"/>
    <n v="13"/>
    <m/>
  </r>
  <r>
    <n v="695"/>
    <x v="694"/>
    <n v="9"/>
    <m/>
    <n v="11"/>
    <n v="0"/>
    <n v="0"/>
    <n v="46"/>
    <m/>
    <n v="0"/>
    <n v="0"/>
    <m/>
    <n v="14.098901098901099"/>
    <n v="8"/>
    <m/>
  </r>
  <r>
    <n v="696"/>
    <x v="695"/>
    <n v="11"/>
    <m/>
    <n v="3"/>
    <n v="0"/>
    <n v="0"/>
    <n v="1"/>
    <m/>
    <n v="0"/>
    <n v="0"/>
    <m/>
    <n v="14.098901098901099"/>
    <n v="9"/>
    <m/>
  </r>
  <r>
    <n v="697"/>
    <x v="696"/>
    <n v="6"/>
    <m/>
    <n v="16"/>
    <n v="0"/>
    <n v="0"/>
    <n v="7"/>
    <m/>
    <n v="0"/>
    <n v="0"/>
    <m/>
    <n v="14.098901098901099"/>
    <n v="6"/>
    <m/>
  </r>
  <r>
    <n v="698"/>
    <x v="697"/>
    <n v="8"/>
    <m/>
    <n v="4"/>
    <n v="0"/>
    <n v="0"/>
    <n v="9"/>
    <m/>
    <n v="0"/>
    <n v="0"/>
    <m/>
    <n v="14.098901098901099"/>
    <n v="17"/>
    <m/>
  </r>
  <r>
    <n v="699"/>
    <x v="698"/>
    <n v="10"/>
    <m/>
    <n v="8"/>
    <n v="0"/>
    <n v="0"/>
    <n v="9"/>
    <m/>
    <n v="0"/>
    <n v="0"/>
    <m/>
    <n v="14.098901098901099"/>
    <n v="0"/>
    <m/>
  </r>
  <r>
    <n v="700"/>
    <x v="699"/>
    <n v="12"/>
    <m/>
    <n v="18"/>
    <n v="0"/>
    <n v="0"/>
    <n v="47"/>
    <m/>
    <n v="250"/>
    <n v="0"/>
    <m/>
    <n v="14.098901098901099"/>
    <n v="1"/>
    <m/>
  </r>
  <r>
    <n v="701"/>
    <x v="700"/>
    <n v="3"/>
    <m/>
    <n v="2"/>
    <n v="0"/>
    <n v="0"/>
    <n v="0"/>
    <m/>
    <n v="0"/>
    <n v="0"/>
    <m/>
    <n v="14.098901098901099"/>
    <n v="26"/>
    <m/>
  </r>
  <r>
    <n v="702"/>
    <x v="701"/>
    <n v="38"/>
    <m/>
    <n v="11"/>
    <n v="0"/>
    <n v="0"/>
    <n v="0"/>
    <m/>
    <n v="0"/>
    <n v="0"/>
    <m/>
    <n v="14.098901098901099"/>
    <n v="4"/>
    <m/>
  </r>
  <r>
    <n v="703"/>
    <x v="702"/>
    <n v="11"/>
    <m/>
    <n v="3"/>
    <n v="0"/>
    <n v="0"/>
    <n v="10"/>
    <m/>
    <n v="0"/>
    <n v="0"/>
    <m/>
    <n v="14.098901098901099"/>
    <n v="35"/>
    <m/>
  </r>
  <r>
    <n v="704"/>
    <x v="703"/>
    <n v="13"/>
    <m/>
    <n v="4"/>
    <n v="0"/>
    <n v="0"/>
    <n v="24"/>
    <m/>
    <n v="0"/>
    <n v="0"/>
    <m/>
    <n v="14.098901098901099"/>
    <n v="6"/>
    <m/>
  </r>
  <r>
    <n v="705"/>
    <x v="704"/>
    <n v="2"/>
    <m/>
    <n v="10"/>
    <n v="0"/>
    <n v="0"/>
    <n v="22"/>
    <m/>
    <n v="0"/>
    <n v="0"/>
    <m/>
    <n v="14.098901098901099"/>
    <n v="6"/>
    <m/>
  </r>
  <r>
    <n v="706"/>
    <x v="705"/>
    <n v="23"/>
    <m/>
    <n v="20"/>
    <n v="0"/>
    <n v="0"/>
    <n v="9"/>
    <m/>
    <n v="0"/>
    <n v="0"/>
    <m/>
    <n v="14.098901098901099"/>
    <n v="4"/>
    <m/>
  </r>
  <r>
    <n v="707"/>
    <x v="706"/>
    <n v="9"/>
    <m/>
    <n v="2"/>
    <n v="0"/>
    <n v="0"/>
    <n v="28"/>
    <m/>
    <n v="0"/>
    <n v="0"/>
    <m/>
    <n v="14.098901098901099"/>
    <n v="29"/>
    <m/>
  </r>
  <r>
    <n v="708"/>
    <x v="707"/>
    <n v="5"/>
    <m/>
    <n v="5"/>
    <n v="0"/>
    <n v="0"/>
    <n v="3"/>
    <m/>
    <n v="0"/>
    <n v="0"/>
    <m/>
    <n v="14.098901098901099"/>
    <n v="32"/>
    <m/>
  </r>
  <r>
    <n v="709"/>
    <x v="708"/>
    <n v="10"/>
    <m/>
    <n v="4"/>
    <n v="0"/>
    <n v="0"/>
    <n v="0"/>
    <m/>
    <n v="0"/>
    <n v="0"/>
    <m/>
    <n v="14.098901098901099"/>
    <n v="16"/>
    <m/>
  </r>
  <r>
    <n v="710"/>
    <x v="709"/>
    <n v="9"/>
    <m/>
    <n v="29"/>
    <n v="0"/>
    <n v="0"/>
    <n v="21"/>
    <m/>
    <n v="0"/>
    <n v="0"/>
    <m/>
    <n v="14.098901098901099"/>
    <n v="27"/>
    <m/>
  </r>
  <r>
    <n v="711"/>
    <x v="710"/>
    <n v="10"/>
    <m/>
    <n v="2"/>
    <n v="0"/>
    <n v="0"/>
    <n v="21"/>
    <m/>
    <n v="0"/>
    <n v="0"/>
    <m/>
    <n v="14.098901098901099"/>
    <n v="0"/>
    <m/>
  </r>
  <r>
    <n v="712"/>
    <x v="711"/>
    <n v="11"/>
    <m/>
    <n v="10"/>
    <n v="0"/>
    <n v="0"/>
    <n v="10"/>
    <m/>
    <n v="0"/>
    <n v="0"/>
    <m/>
    <n v="14.098901098901099"/>
    <n v="21"/>
    <m/>
  </r>
  <r>
    <n v="713"/>
    <x v="712"/>
    <n v="9"/>
    <m/>
    <n v="4"/>
    <n v="0"/>
    <n v="0"/>
    <n v="42"/>
    <m/>
    <n v="0"/>
    <n v="0"/>
    <m/>
    <n v="14.098901098901099"/>
    <n v="0"/>
    <m/>
  </r>
  <r>
    <n v="714"/>
    <x v="713"/>
    <n v="5"/>
    <m/>
    <n v="1"/>
    <n v="0"/>
    <n v="0"/>
    <n v="9"/>
    <m/>
    <n v="0"/>
    <n v="0"/>
    <m/>
    <n v="14.098901098901099"/>
    <n v="34"/>
    <m/>
  </r>
  <r>
    <n v="715"/>
    <x v="714"/>
    <n v="6"/>
    <m/>
    <n v="13"/>
    <n v="0"/>
    <n v="0"/>
    <n v="37"/>
    <m/>
    <n v="0"/>
    <n v="0"/>
    <m/>
    <n v="14.098901098901099"/>
    <n v="0"/>
    <m/>
  </r>
  <r>
    <n v="716"/>
    <x v="715"/>
    <n v="27"/>
    <m/>
    <n v="4"/>
    <n v="0"/>
    <n v="0"/>
    <n v="4"/>
    <m/>
    <n v="0"/>
    <n v="0"/>
    <m/>
    <n v="14.098901098901099"/>
    <n v="16"/>
    <m/>
  </r>
  <r>
    <n v="717"/>
    <x v="716"/>
    <n v="3"/>
    <m/>
    <n v="26"/>
    <n v="0"/>
    <n v="0"/>
    <n v="38"/>
    <m/>
    <n v="0"/>
    <n v="0"/>
    <m/>
    <n v="14.098901098901099"/>
    <n v="35"/>
    <m/>
  </r>
  <r>
    <n v="718"/>
    <x v="717"/>
    <n v="1"/>
    <m/>
    <n v="7"/>
    <n v="0"/>
    <n v="0"/>
    <n v="9"/>
    <m/>
    <n v="0"/>
    <n v="0"/>
    <m/>
    <n v="14.098901098901099"/>
    <n v="19"/>
    <m/>
  </r>
  <r>
    <n v="719"/>
    <x v="718"/>
    <n v="4"/>
    <m/>
    <n v="12"/>
    <n v="0"/>
    <n v="0"/>
    <n v="13"/>
    <m/>
    <n v="0"/>
    <n v="0"/>
    <m/>
    <n v="14.098901098901099"/>
    <n v="18"/>
    <m/>
  </r>
  <r>
    <n v="720"/>
    <x v="719"/>
    <n v="27"/>
    <m/>
    <n v="2"/>
    <n v="0"/>
    <n v="0"/>
    <n v="2"/>
    <m/>
    <n v="0"/>
    <n v="0"/>
    <m/>
    <n v="14.098901098901099"/>
    <n v="25"/>
    <m/>
  </r>
  <r>
    <n v="721"/>
    <x v="720"/>
    <n v="2"/>
    <m/>
    <n v="17"/>
    <n v="0"/>
    <n v="0"/>
    <n v="36"/>
    <m/>
    <n v="0"/>
    <n v="0"/>
    <m/>
    <n v="14.098901098901099"/>
    <n v="3"/>
    <m/>
  </r>
  <r>
    <n v="722"/>
    <x v="721"/>
    <n v="13"/>
    <m/>
    <n v="3"/>
    <n v="0"/>
    <n v="0"/>
    <n v="19"/>
    <m/>
    <n v="0"/>
    <n v="0"/>
    <m/>
    <n v="14.098901098901099"/>
    <n v="6"/>
    <m/>
  </r>
  <r>
    <n v="723"/>
    <x v="722"/>
    <n v="1"/>
    <m/>
    <n v="26"/>
    <n v="0"/>
    <n v="0"/>
    <n v="8"/>
    <m/>
    <n v="0"/>
    <n v="0"/>
    <m/>
    <n v="14.098901098901099"/>
    <n v="0"/>
    <m/>
  </r>
  <r>
    <n v="724"/>
    <x v="723"/>
    <n v="27"/>
    <m/>
    <n v="17"/>
    <n v="0"/>
    <n v="0"/>
    <n v="2"/>
    <m/>
    <n v="0"/>
    <n v="0"/>
    <m/>
    <n v="14.098901098901099"/>
    <n v="25"/>
    <m/>
  </r>
  <r>
    <n v="725"/>
    <x v="724"/>
    <n v="3"/>
    <m/>
    <n v="2"/>
    <n v="0"/>
    <n v="0"/>
    <n v="36"/>
    <m/>
    <n v="0"/>
    <n v="0"/>
    <m/>
    <n v="14.098901098901099"/>
    <n v="15"/>
    <m/>
  </r>
  <r>
    <n v="726"/>
    <x v="725"/>
    <n v="17"/>
    <m/>
    <n v="9"/>
    <n v="0"/>
    <n v="0"/>
    <n v="25"/>
    <m/>
    <n v="0"/>
    <n v="0"/>
    <m/>
    <n v="14.098901098901099"/>
    <n v="0"/>
    <m/>
  </r>
  <r>
    <n v="727"/>
    <x v="726"/>
    <n v="2"/>
    <m/>
    <n v="20"/>
    <n v="0"/>
    <n v="0"/>
    <n v="43"/>
    <m/>
    <n v="0"/>
    <n v="0"/>
    <m/>
    <n v="14.098901098901099"/>
    <n v="32"/>
    <m/>
  </r>
  <r>
    <n v="728"/>
    <x v="727"/>
    <n v="8"/>
    <m/>
    <n v="45"/>
    <n v="0"/>
    <n v="0"/>
    <n v="4"/>
    <m/>
    <n v="0"/>
    <n v="0"/>
    <m/>
    <n v="14.098901098901099"/>
    <n v="11"/>
    <m/>
  </r>
  <r>
    <n v="729"/>
    <x v="728"/>
    <n v="4"/>
    <m/>
    <n v="11"/>
    <n v="0"/>
    <n v="0"/>
    <n v="13"/>
    <m/>
    <n v="0"/>
    <n v="0"/>
    <m/>
    <n v="14.098901098901099"/>
    <n v="0"/>
    <m/>
  </r>
  <r>
    <n v="730"/>
    <x v="729"/>
    <n v="10"/>
    <m/>
    <n v="10"/>
    <n v="0"/>
    <n v="0"/>
    <n v="2"/>
    <m/>
    <n v="0"/>
    <n v="0"/>
    <m/>
    <n v="14.098901098901099"/>
    <n v="3"/>
    <m/>
  </r>
  <r>
    <n v="731"/>
    <x v="730"/>
    <n v="2"/>
    <m/>
    <n v="0"/>
    <n v="14.147300000000001"/>
    <n v="19.409836065573771"/>
    <n v="19.951657278684721"/>
    <m/>
    <n v="4.7237404080792671E-4"/>
    <n v="16.438356164383563"/>
    <n v="10.989010989010989"/>
    <n v="14.098901098901099"/>
    <n v="14.748234712455361"/>
    <m/>
  </r>
  <r>
    <n v="732"/>
    <x v="731"/>
    <n v="1"/>
    <m/>
    <n v="0"/>
    <n v="14.3"/>
    <n v="19.409836065573771"/>
    <n v="2.52101988582023"/>
    <m/>
    <n v="125.251830789778"/>
    <n v="16.438356164383563"/>
    <n v="10.989016179934515"/>
    <n v="14.098901098901099"/>
    <n v="8.5096766081513948"/>
    <m/>
  </r>
  <r>
    <n v="733"/>
    <x v="732"/>
    <n v="4"/>
    <m/>
    <n v="0"/>
    <n v="14.4527"/>
    <n v="19.409836065573771"/>
    <n v="17.00764900493558"/>
    <m/>
    <n v="125.251830789778"/>
    <n v="16.438356164383563"/>
    <n v="12.365409924877131"/>
    <n v="14.098901098901099"/>
    <n v="18.830792413631851"/>
    <m/>
  </r>
  <r>
    <n v="734"/>
    <x v="733"/>
    <n v="5"/>
    <m/>
    <n v="0"/>
    <n v="14.605400000000001"/>
    <n v="19.409836065573771"/>
    <n v="9.10050376677777"/>
    <m/>
    <n v="21.372030235181079"/>
    <n v="16.438356164383563"/>
    <n v="13.741803669819747"/>
    <n v="14.098901098901099"/>
    <n v="6.669205433094195"/>
    <m/>
  </r>
  <r>
    <n v="735"/>
    <x v="734"/>
    <n v="-3"/>
    <m/>
    <n v="0"/>
    <n v="14.758100000000001"/>
    <n v="19.409836065573771"/>
    <n v="21.09833556325874"/>
    <m/>
    <n v="1.856531650863475"/>
    <n v="16.438356164383563"/>
    <n v="13.976661144931626"/>
    <n v="14.098901098901099"/>
    <n v="10.13003466674016"/>
    <m/>
  </r>
  <r>
    <n v="736"/>
    <x v="735"/>
    <n v="22"/>
    <m/>
    <n v="0"/>
    <n v="14.9108"/>
    <n v="19.409836065573771"/>
    <n v="15.795829257594679"/>
    <m/>
    <n v="125.251830789778"/>
    <n v="16.438356164383563"/>
    <n v="13.99706259164441"/>
    <n v="14.098901098901099"/>
    <n v="10.044933214256179"/>
    <m/>
  </r>
  <r>
    <n v="737"/>
    <x v="736"/>
    <n v="5"/>
    <m/>
    <n v="0"/>
    <n v="15.063500000000001"/>
    <n v="19.409836065573771"/>
    <n v="16.548784677806221"/>
    <m/>
    <n v="125.251830789778"/>
    <n v="16.438356164383563"/>
    <n v="12.626203589334279"/>
    <n v="14.098901098901099"/>
    <n v="15.167913929007661"/>
    <m/>
  </r>
  <r>
    <n v="738"/>
    <x v="737"/>
    <n v="2"/>
    <m/>
    <n v="0"/>
    <n v="15.216200000000001"/>
    <n v="19.409836065573771"/>
    <n v="16.733136766871041"/>
    <m/>
    <n v="21.372030235181079"/>
    <n v="16.438356164383563"/>
    <n v="14.002597334276896"/>
    <n v="14.098901098901099"/>
    <n v="12.98891622448186"/>
    <m/>
  </r>
  <r>
    <n v="739"/>
    <x v="738"/>
    <n v="4"/>
    <m/>
    <n v="0"/>
    <n v="15.3689"/>
    <n v="19.409836065573771"/>
    <n v="11.76925034718133"/>
    <m/>
    <n v="1.856531650863475"/>
    <n v="16.438356164383563"/>
    <n v="14.237454809388774"/>
    <n v="14.098901098901099"/>
    <n v="31.976723970902761"/>
    <m/>
  </r>
  <r>
    <n v="740"/>
    <x v="739"/>
    <n v="8"/>
    <m/>
    <n v="0"/>
    <n v="15.521600000000001"/>
    <n v="19.409836065573771"/>
    <n v="9.9749342589537111"/>
    <m/>
    <n v="125.251830789778"/>
    <n v="16.438356164383563"/>
    <n v="14.25785625610156"/>
    <n v="14.098901098901099"/>
    <n v="11.68867846127038"/>
    <m/>
  </r>
  <r>
    <n v="741"/>
    <x v="740"/>
    <n v="-2"/>
    <m/>
    <n v="0"/>
    <n v="15.674300000000001"/>
    <n v="19.409836065573771"/>
    <n v="20.92726319598437"/>
    <m/>
    <n v="125.251830789778"/>
    <n v="16.438356164383563"/>
    <n v="15.634250001044176"/>
    <n v="14.098901098901099"/>
    <n v="18.160539726193338"/>
    <m/>
  </r>
  <r>
    <n v="742"/>
    <x v="741"/>
    <n v="2"/>
    <m/>
    <n v="0"/>
    <n v="15.827"/>
    <n v="19.409836065573771"/>
    <n v="30.855809672609691"/>
    <m/>
    <n v="21.372030235181079"/>
    <n v="16.438356164383563"/>
    <n v="17.010643745986791"/>
    <n v="14.098901098901099"/>
    <n v="10.152157349104639"/>
    <m/>
  </r>
  <r>
    <n v="743"/>
    <x v="742"/>
    <n v="18"/>
    <m/>
    <n v="0"/>
    <n v="15.979700000000001"/>
    <n v="19.409836065573771"/>
    <n v="12.679200423110689"/>
    <m/>
    <n v="1.856531650863475"/>
    <n v="16.438356164383563"/>
    <n v="17.245501221098671"/>
    <n v="14.098901098901099"/>
    <n v="16.665642488966359"/>
    <m/>
  </r>
  <r>
    <n v="744"/>
    <x v="743"/>
    <n v="3"/>
    <m/>
    <n v="0"/>
    <n v="16.132400000000001"/>
    <n v="19.409836065573771"/>
    <n v="17.103901915909479"/>
    <m/>
    <n v="125.251830789778"/>
    <n v="16.438356164383563"/>
    <n v="17.265902667811456"/>
    <n v="14.098901098901099"/>
    <n v="15.906368594197369"/>
    <m/>
  </r>
  <r>
    <n v="745"/>
    <x v="744"/>
    <n v="-1"/>
    <m/>
    <n v="0"/>
    <n v="16.2851"/>
    <n v="19.409836065573771"/>
    <n v="29.850461498826821"/>
    <m/>
    <n v="125.251830789778"/>
    <n v="16.438356164383563"/>
    <n v="18.642296412754071"/>
    <n v="14.098901098901099"/>
    <n v="27.235754623946249"/>
    <m/>
  </r>
  <r>
    <n v="746"/>
    <x v="745"/>
    <n v="12"/>
    <m/>
    <n v="0"/>
    <n v="16.437799999999999"/>
    <n v="19.409836065573771"/>
    <n v="12.730176367489531"/>
    <m/>
    <n v="21.372030235181079"/>
    <n v="16.438356164383563"/>
    <n v="20.018690157696689"/>
    <n v="14.098901098901099"/>
    <n v="18.129599306810221"/>
    <m/>
  </r>
  <r>
    <n v="747"/>
    <x v="746"/>
    <n v="9"/>
    <m/>
    <n v="0"/>
    <n v="16.590500000000002"/>
    <n v="19.409836065573771"/>
    <n v="14.485277539902819"/>
    <m/>
    <n v="1.856531650863475"/>
    <n v="16.438356164383563"/>
    <n v="20.253547632808566"/>
    <n v="14.098901098901099"/>
    <n v="25.313517521247981"/>
    <m/>
  </r>
  <r>
    <n v="748"/>
    <x v="747"/>
    <n v="9"/>
    <m/>
    <n v="0"/>
    <n v="16.743200000000002"/>
    <n v="19.409836065573771"/>
    <n v="35.53906399510133"/>
    <m/>
    <n v="125.251830789778"/>
    <n v="16.438356164383563"/>
    <n v="20.273949079521351"/>
    <n v="14.098901098901099"/>
    <n v="18.149276539417318"/>
    <m/>
  </r>
  <r>
    <n v="749"/>
    <x v="748"/>
    <n v="3"/>
    <m/>
    <n v="0"/>
    <n v="16.895900000000001"/>
    <n v="19.409836065573771"/>
    <n v="30.72745445537852"/>
    <m/>
    <n v="125.251830789778"/>
    <n v="16.438356164383563"/>
    <n v="21.650342824463969"/>
    <n v="14.098901098901099"/>
    <n v="16.4315266375113"/>
    <m/>
  </r>
  <r>
    <n v="750"/>
    <x v="749"/>
    <n v="23"/>
    <m/>
    <n v="0"/>
    <n v="17.0486"/>
    <n v="19.409836065573771"/>
    <n v="28.080540107520761"/>
    <m/>
    <n v="21.372030235181079"/>
    <n v="16.438356164383563"/>
    <n v="23.026736569406584"/>
    <n v="14.098901098901099"/>
    <n v="17.27832002747046"/>
    <m/>
  </r>
  <r>
    <n v="751"/>
    <x v="750"/>
    <n v="15"/>
    <m/>
    <n v="0"/>
    <n v="17.2013"/>
    <n v="19.409836065573771"/>
    <n v="20.654481877418899"/>
    <m/>
    <n v="1.856531650863475"/>
    <n v="16.438356164383563"/>
    <n v="23.261594044518464"/>
    <n v="14.098901098901099"/>
    <n v="25.30508299491277"/>
    <m/>
  </r>
  <r>
    <n v="752"/>
    <x v="751"/>
    <n v="27"/>
    <m/>
    <n v="0"/>
    <n v="17.353999999999999"/>
    <n v="19.409836065573771"/>
    <n v="21.55534679344078"/>
    <m/>
    <n v="125.251830789778"/>
    <n v="16.438356164383563"/>
    <n v="23.28199549123125"/>
    <n v="14.098901098901099"/>
    <n v="29.895102076893561"/>
    <m/>
  </r>
  <r>
    <n v="753"/>
    <x v="752"/>
    <n v="1"/>
    <m/>
    <n v="0"/>
    <n v="17.506700000000002"/>
    <n v="19.409836065573771"/>
    <n v="33.927103065517187"/>
    <m/>
    <n v="125.251830789778"/>
    <n v="16.438356164383563"/>
    <n v="24.658389236173868"/>
    <n v="14.098901098901099"/>
    <n v="23.596540977880942"/>
    <m/>
  </r>
  <r>
    <n v="754"/>
    <x v="753"/>
    <n v="6"/>
    <m/>
    <n v="0"/>
    <n v="17.659400000000002"/>
    <n v="19.409836065573771"/>
    <n v="15.98354041797645"/>
    <m/>
    <n v="21.372030235181079"/>
    <n v="16.438356164383563"/>
    <n v="26.034782981116482"/>
    <n v="14.098901098901099"/>
    <n v="24.778897900300979"/>
    <m/>
  </r>
  <r>
    <n v="755"/>
    <x v="754"/>
    <n v="12"/>
    <m/>
    <n v="0"/>
    <n v="17.812100000000001"/>
    <n v="19.409836065573771"/>
    <n v="37.210535446594932"/>
    <m/>
    <n v="1.856531650863475"/>
    <n v="16.438356164383563"/>
    <n v="26.269640456228363"/>
    <n v="14.098901098901099"/>
    <n v="5.2355602093242268"/>
    <m/>
  </r>
  <r>
    <n v="756"/>
    <x v="755"/>
    <n v="22"/>
    <m/>
    <n v="0"/>
    <n v="17.9648"/>
    <n v="19.409836065573771"/>
    <n v="38.431015937753479"/>
    <m/>
    <n v="125.251830789778"/>
    <n v="16.438356164383563"/>
    <n v="26.290041902941148"/>
    <n v="14.098901098901099"/>
    <n v="6.4588635594147856"/>
    <m/>
  </r>
  <r>
    <n v="757"/>
    <x v="756"/>
    <n v="6"/>
    <m/>
    <n v="0"/>
    <n v="18.1175"/>
    <n v="19.409836065573771"/>
    <n v="25.317951613883501"/>
    <m/>
    <n v="125.251830789778"/>
    <n v="16.438356164383563"/>
    <n v="27.666435647883766"/>
    <n v="14.098901098901099"/>
    <n v="17.948746360178539"/>
    <m/>
  </r>
  <r>
    <n v="758"/>
    <x v="757"/>
    <n v="13"/>
    <m/>
    <n v="0"/>
    <n v="18.270199999999999"/>
    <n v="19.409836065573771"/>
    <n v="35.499300219744462"/>
    <m/>
    <n v="21.372030235181079"/>
    <n v="16.438356164383563"/>
    <n v="29.042829392826381"/>
    <n v="14.098901098901099"/>
    <n v="13.38395689254738"/>
    <m/>
  </r>
  <r>
    <n v="759"/>
    <x v="758"/>
    <n v="9"/>
    <m/>
    <n v="0"/>
    <n v="18.422900000000002"/>
    <n v="19.409836065573771"/>
    <n v="10.604968592724379"/>
    <m/>
    <n v="1.856531650863475"/>
    <n v="16.438356164383563"/>
    <n v="29.277686867938264"/>
    <n v="14.098901098901099"/>
    <n v="36.295959461818178"/>
    <m/>
  </r>
  <r>
    <n v="760"/>
    <x v="759"/>
    <n v="7"/>
    <m/>
    <n v="0"/>
    <n v="18.575600000000001"/>
    <n v="19.409836065573771"/>
    <n v="28.87919883476896"/>
    <m/>
    <n v="125.251830789778"/>
    <n v="16.438356164383563"/>
    <n v="29.298088314651046"/>
    <n v="14.098901098901099"/>
    <n v="30.458628809401219"/>
    <m/>
  </r>
  <r>
    <n v="761"/>
    <x v="760"/>
    <n v="6"/>
    <m/>
    <n v="0"/>
    <n v="18.728300000000001"/>
    <n v="19.409836065573771"/>
    <n v="25.44111163278076"/>
    <m/>
    <n v="125.251830789778"/>
    <n v="16.438356164383563"/>
    <n v="30.674482059593664"/>
    <n v="14.098901098901099"/>
    <n v="23.267748756208469"/>
    <m/>
  </r>
  <r>
    <n v="762"/>
    <x v="761"/>
    <n v="15"/>
    <m/>
    <n v="0"/>
    <n v="18.881"/>
    <n v="19.409836065573771"/>
    <n v="11.89552328630049"/>
    <m/>
    <n v="21.372030235181079"/>
    <n v="16.438356164383563"/>
    <n v="29.303623057283527"/>
    <n v="14.098901098901099"/>
    <n v="15.53649426827528"/>
    <m/>
  </r>
  <r>
    <n v="763"/>
    <x v="762"/>
    <n v="9"/>
    <m/>
    <n v="0"/>
    <n v="19.0337"/>
    <n v="19.409836065573771"/>
    <n v="29.659107099466269"/>
    <m/>
    <n v="1.856531650863475"/>
    <n v="16.438356164383563"/>
    <n v="29.538480532395411"/>
    <n v="14.098901098901099"/>
    <n v="10.10818297240599"/>
    <m/>
  </r>
  <r>
    <n v="764"/>
    <x v="763"/>
    <n v="4"/>
    <m/>
    <n v="0"/>
    <n v="19.186399999999999"/>
    <n v="19.409836065573771"/>
    <n v="31.591332525692049"/>
    <m/>
    <n v="125.251830789778"/>
    <n v="16.438356164383563"/>
    <n v="29.558881979108193"/>
    <n v="14.098901098901099"/>
    <n v="5.2108314472249351"/>
    <m/>
  </r>
  <r>
    <n v="765"/>
    <x v="764"/>
    <n v="5"/>
    <m/>
    <n v="0"/>
    <n v="19.339100000000002"/>
    <n v="19.409836065573771"/>
    <n v="31.343140553107439"/>
    <m/>
    <n v="125.251830789778"/>
    <n v="16.438356164383563"/>
    <n v="28.188022976798063"/>
    <n v="14.098901098901099"/>
    <n v="13.29486044128169"/>
    <m/>
  </r>
  <r>
    <n v="766"/>
    <x v="765"/>
    <n v="14"/>
    <m/>
    <n v="0"/>
    <n v="19.491800000000001"/>
    <n v="19.409836065573771"/>
    <n v="25.321733595272502"/>
    <m/>
    <n v="21.372030235181079"/>
    <n v="16.438356164383563"/>
    <n v="29.564416721740681"/>
    <n v="14.098901098901099"/>
    <n v="20.785067714107669"/>
    <m/>
  </r>
  <r>
    <n v="767"/>
    <x v="766"/>
    <n v="15"/>
    <m/>
    <n v="0"/>
    <n v="19.644500000000001"/>
    <n v="19.409836065573771"/>
    <n v="37.829494961676723"/>
    <m/>
    <n v="1.856531650863475"/>
    <n v="16.438356164383563"/>
    <n v="29.799274196852561"/>
    <n v="14.098901098901099"/>
    <n v="27.57567815836488"/>
    <m/>
  </r>
  <r>
    <n v="768"/>
    <x v="767"/>
    <n v="20"/>
    <m/>
    <n v="0"/>
    <n v="19.7972"/>
    <n v="19.409836065573771"/>
    <n v="36.00782994873493"/>
    <m/>
    <n v="125.251830789778"/>
    <n v="16.438356164383563"/>
    <n v="29.819675643565347"/>
    <n v="14.098901098901099"/>
    <n v="11.95108691242687"/>
    <m/>
  </r>
  <r>
    <n v="769"/>
    <x v="768"/>
    <n v="5"/>
    <m/>
    <n v="0"/>
    <n v="19.9499"/>
    <n v="19.409836065573771"/>
    <n v="35.571059050875981"/>
    <m/>
    <n v="125.251830789778"/>
    <n v="16.438356164383563"/>
    <n v="31.196069388507961"/>
    <n v="14.098901098901099"/>
    <n v="21.570851605675401"/>
    <m/>
  </r>
  <r>
    <n v="770"/>
    <x v="769"/>
    <n v="2"/>
    <m/>
    <n v="0"/>
    <n v="20.102600000000002"/>
    <n v="19.409836065573771"/>
    <n v="34.81941812804429"/>
    <m/>
    <n v="21.372030235181079"/>
    <n v="16.438356164383563"/>
    <n v="32.572463133450576"/>
    <n v="14.098901098901099"/>
    <n v="16.41643974083301"/>
    <m/>
  </r>
  <r>
    <n v="771"/>
    <x v="770"/>
    <n v="10"/>
    <m/>
    <n v="0"/>
    <n v="20.255300000000002"/>
    <n v="19.409836065573771"/>
    <n v="30.53757823605498"/>
    <m/>
    <n v="1.856531650863475"/>
    <n v="16.438356164383563"/>
    <n v="32.807320608562456"/>
    <n v="14.098901098901099"/>
    <n v="6.6763985444050862"/>
    <m/>
  </r>
  <r>
    <n v="772"/>
    <x v="771"/>
    <n v="17"/>
    <m/>
    <n v="0"/>
    <n v="20.408000000000001"/>
    <n v="19.409836065573771"/>
    <n v="31.569472895262411"/>
    <m/>
    <n v="125.251830789778"/>
    <n v="16.438356164383563"/>
    <n v="32.827722055275245"/>
    <n v="14.098901098901099"/>
    <n v="30.325513135129469"/>
    <m/>
  </r>
  <r>
    <n v="773"/>
    <x v="772"/>
    <n v="6"/>
    <m/>
    <n v="0"/>
    <n v="20.560700000000001"/>
    <n v="19.409836065573771"/>
    <n v="20.515813665265579"/>
    <m/>
    <n v="125.251830789778"/>
    <n v="16.438356164383563"/>
    <n v="34.204115800217863"/>
    <n v="14.098901098901099"/>
    <n v="25.96930406295154"/>
    <m/>
  </r>
  <r>
    <n v="774"/>
    <x v="773"/>
    <n v="7"/>
    <m/>
    <n v="0"/>
    <n v="20.7134"/>
    <n v="19.409836065573771"/>
    <n v="20.208990711703262"/>
    <m/>
    <n v="21.372030235181079"/>
    <n v="16.438356164383563"/>
    <n v="35.580509545160474"/>
    <n v="14.098901098901099"/>
    <n v="19.919705386318999"/>
    <m/>
  </r>
  <r>
    <n v="775"/>
    <x v="774"/>
    <n v="25"/>
    <m/>
    <n v="0"/>
    <n v="20.866099999999999"/>
    <n v="19.409836065573771"/>
    <n v="29.581321473077029"/>
    <m/>
    <n v="1.856531650863475"/>
    <n v="16.438356164383563"/>
    <n v="35.815367020272362"/>
    <n v="14.098901098901099"/>
    <n v="12.795054105853779"/>
    <m/>
  </r>
  <r>
    <n v="776"/>
    <x v="775"/>
    <n v="16"/>
    <m/>
    <n v="0"/>
    <n v="21.018800000000002"/>
    <n v="19.409836065573771"/>
    <n v="15.347449943860139"/>
    <m/>
    <n v="125.251830789778"/>
    <n v="16.438356164383563"/>
    <n v="35.835768466985144"/>
    <n v="14.098901098901099"/>
    <n v="12.404159592563641"/>
    <m/>
  </r>
  <r>
    <n v="777"/>
    <x v="776"/>
    <n v="49"/>
    <m/>
    <n v="0"/>
    <n v="21.171500000000002"/>
    <n v="19.409836065573771"/>
    <n v="30.872051429479171"/>
    <m/>
    <n v="125.251830789778"/>
    <n v="16.438356164383563"/>
    <n v="37.212162211927762"/>
    <n v="14.098901098901099"/>
    <n v="12.85618682049048"/>
    <m/>
  </r>
  <r>
    <n v="778"/>
    <x v="777"/>
    <n v="25"/>
    <m/>
    <n v="0"/>
    <n v="21.324200000000001"/>
    <n v="19.409836065573771"/>
    <n v="40.473582945708657"/>
    <m/>
    <n v="21.372030235181079"/>
    <n v="16.438356164383563"/>
    <n v="38.588555956870373"/>
    <n v="14.098901098901099"/>
    <n v="20.630229616590441"/>
    <m/>
  </r>
  <r>
    <n v="779"/>
    <x v="778"/>
    <n v="17"/>
    <m/>
    <n v="0"/>
    <n v="21.476900000000001"/>
    <n v="19.409836065573771"/>
    <n v="35.0113710864455"/>
    <m/>
    <n v="1.856531650863475"/>
    <n v="16.438356164383563"/>
    <n v="38.82341343198226"/>
    <n v="14.098901098901099"/>
    <n v="30.147067205646579"/>
    <m/>
  </r>
  <r>
    <n v="780"/>
    <x v="779"/>
    <n v="22"/>
    <m/>
    <n v="0"/>
    <n v="21.6296"/>
    <n v="19.409836065573771"/>
    <n v="39.994956772727051"/>
    <m/>
    <n v="125.251830789778"/>
    <n v="16.438356164383563"/>
    <n v="38.843814878695042"/>
    <n v="14.098901098901099"/>
    <n v="25.235046591997911"/>
    <m/>
  </r>
  <r>
    <n v="781"/>
    <x v="780"/>
    <n v="16"/>
    <m/>
    <n v="0"/>
    <n v="21.782299999999999"/>
    <n v="19.409836065573771"/>
    <n v="24.039512020902951"/>
    <m/>
    <n v="125.251830789778"/>
    <n v="16.438356164383563"/>
    <n v="40.22020862363766"/>
    <n v="14.098901098901099"/>
    <n v="17.374033177708629"/>
    <m/>
  </r>
  <r>
    <n v="782"/>
    <x v="781"/>
    <n v="19"/>
    <m/>
    <n v="0"/>
    <n v="21.935000000000002"/>
    <n v="19.409836065573771"/>
    <n v="28.24856561817445"/>
    <m/>
    <n v="21.372030235181079"/>
    <n v="16.438356164383563"/>
    <n v="41.596602368580271"/>
    <n v="14.098901098901099"/>
    <n v="8.7178730039571199"/>
    <m/>
  </r>
  <r>
    <n v="783"/>
    <x v="782"/>
    <n v="19"/>
    <m/>
    <n v="0"/>
    <n v="22.087700000000002"/>
    <n v="19.409836065573771"/>
    <n v="13.312999758137041"/>
    <m/>
    <n v="1.856531650863475"/>
    <n v="16.438356164383563"/>
    <n v="41.831459843692159"/>
    <n v="14.098901098901099"/>
    <n v="8.8419223419237696"/>
    <m/>
  </r>
  <r>
    <n v="784"/>
    <x v="783"/>
    <n v="14"/>
    <m/>
    <n v="0"/>
    <n v="22.240400000000001"/>
    <n v="19.409836065573771"/>
    <n v="22.433411577893089"/>
    <m/>
    <n v="125.251830789778"/>
    <n v="16.438356164383563"/>
    <n v="41.851861290404941"/>
    <n v="14.098901098901099"/>
    <n v="23.37408106944342"/>
    <m/>
  </r>
  <r>
    <n v="785"/>
    <x v="784"/>
    <n v="18"/>
    <m/>
    <n v="0"/>
    <n v="22.3931"/>
    <n v="19.409836065573771"/>
    <n v="29.720730708824309"/>
    <m/>
    <n v="125.251830789778"/>
    <n v="16.438356164383563"/>
    <n v="43.228255035347559"/>
    <n v="14.098901098901099"/>
    <n v="19.48680285329641"/>
    <m/>
  </r>
  <r>
    <n v="786"/>
    <x v="785"/>
    <n v="13"/>
    <m/>
    <n v="0"/>
    <n v="22.5458"/>
    <n v="19.409836065573771"/>
    <n v="18.11100490430443"/>
    <m/>
    <n v="21.372030235181079"/>
    <n v="16.438356164383563"/>
    <n v="44.604648780290169"/>
    <n v="14.098901098901099"/>
    <n v="30.248858352977329"/>
    <m/>
  </r>
  <r>
    <n v="787"/>
    <x v="786"/>
    <n v="16"/>
    <m/>
    <n v="0"/>
    <n v="22.698499999999999"/>
    <n v="19.409836065573771"/>
    <n v="34.182903214954877"/>
    <m/>
    <n v="1.856531650863475"/>
    <n v="16.438356164383563"/>
    <n v="44.839506255402057"/>
    <n v="14.098901098901099"/>
    <n v="16.944315318030242"/>
    <m/>
  </r>
  <r>
    <n v="788"/>
    <x v="787"/>
    <n v="17"/>
    <m/>
    <n v="0"/>
    <n v="22.851200000000002"/>
    <n v="19.409836065573771"/>
    <n v="30.915639951934139"/>
    <m/>
    <n v="125.251830789778"/>
    <n v="16.438356164383563"/>
    <n v="44.859907702114839"/>
    <n v="14.098901098901099"/>
    <n v="18.416952623652769"/>
    <m/>
  </r>
  <r>
    <n v="789"/>
    <x v="788"/>
    <n v="23"/>
    <m/>
    <n v="0"/>
    <n v="23.003900000000002"/>
    <n v="19.409836065573771"/>
    <n v="30.89580031636719"/>
    <m/>
    <n v="125.251830789778"/>
    <n v="16.438356164383563"/>
    <n v="46.236301447057457"/>
    <n v="14.098901098901099"/>
    <n v="13.50931036187257"/>
    <m/>
  </r>
  <r>
    <n v="790"/>
    <x v="789"/>
    <n v="19"/>
    <m/>
    <n v="0"/>
    <n v="23.156600000000001"/>
    <n v="19.409836065573771"/>
    <n v="37.031366294448262"/>
    <m/>
    <n v="21.372030235181079"/>
    <n v="16.438356164383563"/>
    <n v="47.612695192000075"/>
    <n v="14.098901098901099"/>
    <n v="23.382304844517769"/>
    <m/>
  </r>
  <r>
    <n v="791"/>
    <x v="790"/>
    <n v="22"/>
    <m/>
    <n v="0"/>
    <n v="23.3093"/>
    <n v="19.409836065573771"/>
    <n v="26.196749741891299"/>
    <m/>
    <n v="1.856531650863475"/>
    <n v="16.438356164383563"/>
    <n v="47.847552667111955"/>
    <n v="14.098901098901099"/>
    <n v="32.266864883233772"/>
    <m/>
  </r>
  <r>
    <n v="792"/>
    <x v="791"/>
    <n v="21"/>
    <m/>
    <n v="0"/>
    <n v="23.462"/>
    <n v="19.409836065573771"/>
    <n v="45.218493742693333"/>
    <m/>
    <n v="125.251830789778"/>
    <n v="16.438356164383563"/>
    <n v="45.120701366571986"/>
    <n v="14.098901098901099"/>
    <n v="17.748249049773079"/>
    <m/>
  </r>
  <r>
    <n v="793"/>
    <x v="792"/>
    <n v="41"/>
    <m/>
    <n v="0"/>
    <n v="23.614699999999999"/>
    <n v="19.409836065573771"/>
    <n v="19.975656508883059"/>
    <m/>
    <n v="125.251830789778"/>
    <n v="16.438356164383563"/>
    <n v="46.497095111514604"/>
    <n v="14.098901098901099"/>
    <n v="15.849320724282959"/>
    <m/>
  </r>
  <r>
    <n v="794"/>
    <x v="793"/>
    <n v="14"/>
    <m/>
    <n v="0"/>
    <n v="23.767400000000002"/>
    <n v="19.409836065573771"/>
    <n v="27.48991447986938"/>
    <m/>
    <n v="21.372030235181079"/>
    <n v="16.438356164383563"/>
    <n v="47.873488856457215"/>
    <n v="14.098901098901099"/>
    <n v="20.99210409936515"/>
    <m/>
  </r>
  <r>
    <n v="795"/>
    <x v="794"/>
    <n v="4"/>
    <m/>
    <n v="0"/>
    <n v="23.920100000000001"/>
    <n v="19.409836065573771"/>
    <n v="30.987089721105459"/>
    <m/>
    <n v="1.856531650863475"/>
    <n v="16.438356164383563"/>
    <n v="48.108346331569102"/>
    <n v="14.098901098901099"/>
    <n v="10.335764747157819"/>
    <m/>
  </r>
  <r>
    <n v="796"/>
    <x v="795"/>
    <n v="16"/>
    <m/>
    <n v="0"/>
    <n v="24.072800000000001"/>
    <n v="19.409836065573771"/>
    <n v="11.5905206049763"/>
    <m/>
    <n v="125.251830789778"/>
    <n v="16.438356164383563"/>
    <n v="48.128747778281891"/>
    <n v="14.098901098901099"/>
    <n v="24.78164458731592"/>
    <m/>
  </r>
  <r>
    <n v="797"/>
    <x v="796"/>
    <n v="34"/>
    <m/>
    <n v="0"/>
    <n v="24.2255"/>
    <n v="19.409836065573771"/>
    <n v="36.790710380899263"/>
    <m/>
    <n v="125.251830789778"/>
    <n v="16.438356164383563"/>
    <n v="49.505141523224502"/>
    <n v="14.098901098901099"/>
    <n v="16.689799313687729"/>
    <m/>
  </r>
  <r>
    <n v="798"/>
    <x v="797"/>
    <n v="15"/>
    <m/>
    <n v="0"/>
    <n v="24.3782"/>
    <n v="19.409836065573771"/>
    <n v="33.739110782655779"/>
    <m/>
    <n v="21.372030235181079"/>
    <n v="16.438356164383563"/>
    <n v="50.88153526816712"/>
    <n v="14.098901098901099"/>
    <n v="25.95988409681101"/>
    <m/>
  </r>
  <r>
    <n v="799"/>
    <x v="798"/>
    <n v="35"/>
    <m/>
    <n v="0"/>
    <n v="24.530900000000003"/>
    <n v="19.409836065573771"/>
    <n v="37.564998700703747"/>
    <m/>
    <n v="1.856531650863475"/>
    <n v="16.438356164383563"/>
    <n v="51.116392743279"/>
    <n v="14.098901098901099"/>
    <n v="12.663153775455321"/>
    <m/>
  </r>
  <r>
    <n v="800"/>
    <x v="799"/>
    <n v="23"/>
    <m/>
    <n v="0"/>
    <n v="24.683600000000002"/>
    <n v="19.409836065573771"/>
    <n v="19.026768112133901"/>
    <m/>
    <n v="125.251830789778"/>
    <n v="16.438356164383563"/>
    <n v="51.136794189991797"/>
    <n v="14.098901098901099"/>
    <n v="19.297685326353651"/>
    <m/>
  </r>
  <r>
    <n v="801"/>
    <x v="800"/>
    <n v="41"/>
    <m/>
    <n v="0"/>
    <n v="24.836300000000001"/>
    <n v="19.409836065573771"/>
    <n v="27.409363538945531"/>
    <m/>
    <n v="125.251830789778"/>
    <n v="16.438356164383563"/>
    <n v="52.513187934934408"/>
    <n v="14.098901098901099"/>
    <n v="16.598596252215"/>
    <m/>
  </r>
  <r>
    <n v="802"/>
    <x v="801"/>
    <n v="26"/>
    <m/>
    <n v="0"/>
    <n v="24.989000000000001"/>
    <n v="19.409836065573771"/>
    <n v="18.503052699969199"/>
    <m/>
    <n v="21.372030235181079"/>
    <n v="16.438356164383563"/>
    <n v="53.889581679877026"/>
    <n v="14.098901098901099"/>
    <n v="22.6814823153865"/>
    <m/>
  </r>
  <r>
    <n v="803"/>
    <x v="802"/>
    <n v="29"/>
    <m/>
    <n v="0"/>
    <n v="25.1417"/>
    <n v="19.409836065573771"/>
    <n v="9.8539358073335492"/>
    <m/>
    <n v="1.856531650863475"/>
    <n v="16.438356164383563"/>
    <n v="54.124439154988906"/>
    <n v="14.098901098901099"/>
    <n v="26.776480919979939"/>
    <m/>
  </r>
  <r>
    <n v="804"/>
    <x v="803"/>
    <n v="43"/>
    <m/>
    <n v="0"/>
    <n v="25.2944"/>
    <n v="19.409836065573771"/>
    <n v="24.51497688710726"/>
    <m/>
    <n v="125.251830789778"/>
    <n v="16.438356164383563"/>
    <n v="54.144840601701695"/>
    <n v="14.098901098901099"/>
    <n v="23.452324234814679"/>
    <m/>
  </r>
  <r>
    <n v="805"/>
    <x v="804"/>
    <n v="18"/>
    <m/>
    <n v="0"/>
    <n v="25.447100000000002"/>
    <n v="19.409836065573771"/>
    <n v="22.147121095809041"/>
    <m/>
    <n v="125.251830789778"/>
    <n v="16.438356164383563"/>
    <n v="55.521234346644313"/>
    <n v="14.098901098901099"/>
    <n v="12.813043771193559"/>
    <m/>
  </r>
  <r>
    <n v="806"/>
    <x v="805"/>
    <n v="24"/>
    <m/>
    <n v="0"/>
    <n v="25.599800000000002"/>
    <n v="19.409836065573771"/>
    <n v="32.997082161796023"/>
    <m/>
    <n v="21.372030235181079"/>
    <n v="16.438356164383563"/>
    <n v="56.897628091586931"/>
    <n v="14.098901098901099"/>
    <n v="14.43549752805156"/>
    <m/>
  </r>
  <r>
    <n v="807"/>
    <x v="806"/>
    <n v="42"/>
    <m/>
    <n v="0"/>
    <n v="25.752500000000001"/>
    <n v="19.409836065573771"/>
    <n v="21.079926514897"/>
    <m/>
    <n v="1.856531650863475"/>
    <n v="16.438356164383563"/>
    <n v="57.132485566698811"/>
    <n v="14.098901098901099"/>
    <n v="18.30677442555394"/>
    <m/>
  </r>
  <r>
    <n v="808"/>
    <x v="807"/>
    <n v="40"/>
    <m/>
    <n v="0"/>
    <n v="25.905200000000001"/>
    <n v="19.409836065573771"/>
    <n v="38.786456291547204"/>
    <m/>
    <n v="125.251830789778"/>
    <n v="16.438356164383563"/>
    <n v="57.1528870134116"/>
    <n v="14.098901098901099"/>
    <n v="28.65414008866054"/>
    <m/>
  </r>
  <r>
    <n v="809"/>
    <x v="808"/>
    <n v="13"/>
    <m/>
    <n v="0"/>
    <n v="26.0579"/>
    <n v="19.409836065573771"/>
    <n v="28.163423404486021"/>
    <m/>
    <n v="125.251830789778"/>
    <n v="16.438356164383563"/>
    <n v="58.529280758354219"/>
    <n v="14.098901098901099"/>
    <n v="34.283885734727868"/>
    <m/>
  </r>
  <r>
    <n v="810"/>
    <x v="809"/>
    <n v="14"/>
    <m/>
    <n v="0"/>
    <n v="26.210599999999999"/>
    <n v="19.409836065573771"/>
    <n v="13.26876784673985"/>
    <m/>
    <n v="21.372030235181079"/>
    <n v="16.438356164383563"/>
    <n v="59.905674503296829"/>
    <n v="14.098901098901099"/>
    <n v="31.44362225802211"/>
    <m/>
  </r>
  <r>
    <n v="811"/>
    <x v="810"/>
    <n v="38"/>
    <m/>
    <n v="0"/>
    <n v="26.363300000000002"/>
    <n v="19.409836065573771"/>
    <n v="30.660454674589761"/>
    <m/>
    <n v="1.856531650863475"/>
    <n v="16.438356164383563"/>
    <n v="60.140531978408717"/>
    <n v="14.098901098901099"/>
    <n v="14.014461603627151"/>
    <m/>
  </r>
  <r>
    <n v="812"/>
    <x v="811"/>
    <n v="34"/>
    <m/>
    <n v="0"/>
    <n v="26.516000000000002"/>
    <n v="19.409836065573771"/>
    <n v="19.314312611437749"/>
    <m/>
    <n v="125.251830789778"/>
    <n v="16.438356164383563"/>
    <n v="60.160933425121506"/>
    <n v="14.098901098901099"/>
    <n v="3.8519789369216029"/>
    <m/>
  </r>
  <r>
    <n v="813"/>
    <x v="812"/>
    <n v="43"/>
    <m/>
    <n v="0"/>
    <n v="26.668700000000001"/>
    <n v="19.409836065573771"/>
    <n v="30.322689021790222"/>
    <m/>
    <n v="125.251830789778"/>
    <n v="16.438356164383563"/>
    <n v="61.537327170064117"/>
    <n v="14.098901098901099"/>
    <n v="15.315673901367729"/>
    <m/>
  </r>
  <r>
    <n v="814"/>
    <x v="813"/>
    <n v="34"/>
    <m/>
    <n v="0"/>
    <n v="26.821400000000001"/>
    <n v="19.409836065573771"/>
    <n v="17.778119159102062"/>
    <m/>
    <n v="21.372030235181079"/>
    <n v="16.438356164383563"/>
    <n v="62.913720915006735"/>
    <n v="14.098901098901099"/>
    <n v="21.059412787664019"/>
    <m/>
  </r>
  <r>
    <n v="815"/>
    <x v="814"/>
    <n v="41"/>
    <m/>
    <n v="0"/>
    <n v="26.9741"/>
    <n v="19.409836065573771"/>
    <n v="27.8129846576334"/>
    <m/>
    <n v="1.856531650863475"/>
    <n v="16.438356164383563"/>
    <n v="63.148578390118615"/>
    <n v="14.098901098901099"/>
    <n v="18.192934312723601"/>
    <m/>
  </r>
  <r>
    <n v="816"/>
    <x v="815"/>
    <n v="32"/>
    <m/>
    <n v="0"/>
    <n v="27.126799999999999"/>
    <n v="19.409836065573771"/>
    <n v="34.914759287469323"/>
    <m/>
    <n v="125.251830789778"/>
    <n v="16.438356164383563"/>
    <n v="63.168979836831404"/>
    <n v="14.098901098901099"/>
    <n v="15.078606158127281"/>
    <m/>
  </r>
  <r>
    <n v="817"/>
    <x v="816"/>
    <n v="36"/>
    <m/>
    <n v="0"/>
    <n v="27.279500000000002"/>
    <n v="19.409836065573771"/>
    <n v="31.450122371315409"/>
    <m/>
    <n v="125.251830789778"/>
    <n v="16.438356164383563"/>
    <n v="64.54537358177403"/>
    <n v="14.098901098901099"/>
    <n v="21.727814877917289"/>
    <m/>
  </r>
  <r>
    <n v="818"/>
    <x v="817"/>
    <n v="41"/>
    <m/>
    <n v="0"/>
    <n v="27.432200000000002"/>
    <n v="19.409836065573771"/>
    <n v="43.085918258908642"/>
    <m/>
    <n v="21.372030235181079"/>
    <n v="16.438356164383563"/>
    <n v="65.921767326716633"/>
    <n v="14.098901098901099"/>
    <n v="14.423690523961371"/>
    <m/>
  </r>
  <r>
    <n v="819"/>
    <x v="818"/>
    <n v="31"/>
    <m/>
    <n v="0"/>
    <n v="27.584900000000001"/>
    <n v="19.409836065573771"/>
    <n v="36.999527976333141"/>
    <m/>
    <n v="1.856531650863475"/>
    <n v="16.438356164383563"/>
    <n v="66.156624801828528"/>
    <n v="14.098901098901099"/>
    <n v="13.299627073139989"/>
    <m/>
  </r>
  <r>
    <n v="820"/>
    <x v="819"/>
    <n v="41"/>
    <m/>
    <n v="0"/>
    <n v="27.7376"/>
    <n v="19.409836065573771"/>
    <n v="29.715371852683369"/>
    <m/>
    <n v="125.251830789778"/>
    <n v="16.438356164383563"/>
    <n v="66.17702624854131"/>
    <n v="14.098901098901099"/>
    <n v="21.430808692408171"/>
    <m/>
  </r>
  <r>
    <n v="821"/>
    <x v="820"/>
    <n v="16"/>
    <m/>
    <n v="0"/>
    <n v="27.8903"/>
    <n v="19.409836065573771"/>
    <n v="32.272772414985873"/>
    <m/>
    <n v="125.251830789778"/>
    <n v="16.438356164383563"/>
    <n v="67.553419993483928"/>
    <n v="14.098901098901099"/>
    <n v="33.694839244789932"/>
    <m/>
  </r>
  <r>
    <n v="822"/>
    <x v="821"/>
    <n v="27"/>
    <m/>
    <n v="0"/>
    <n v="28.042999999999999"/>
    <n v="19.409836065573771"/>
    <n v="12.83928429189886"/>
    <m/>
    <n v="21.372030235181079"/>
    <n v="16.438356164383563"/>
    <n v="68.929813738426546"/>
    <n v="14.098901098901099"/>
    <n v="9.7719926065321978"/>
    <m/>
  </r>
  <r>
    <n v="823"/>
    <x v="822"/>
    <n v="26"/>
    <m/>
    <n v="0"/>
    <n v="28.195700000000002"/>
    <n v="19.409836065573771"/>
    <n v="27.790764825956529"/>
    <m/>
    <n v="1.856531650863475"/>
    <n v="16.438356164383563"/>
    <n v="69.164666022614909"/>
    <n v="14.098901098901099"/>
    <n v="27.214243628020402"/>
    <m/>
  </r>
  <r>
    <n v="824"/>
    <x v="823"/>
    <n v="35"/>
    <m/>
    <n v="0"/>
    <n v="28.348400000000002"/>
    <n v="19.409836065573771"/>
    <n v="34.827570280102691"/>
    <m/>
    <n v="125.251830789778"/>
    <n v="16.438356164383563"/>
    <n v="67.808673724385073"/>
    <n v="14.098901098901099"/>
    <n v="11.94483263640616"/>
    <m/>
  </r>
  <r>
    <n v="825"/>
    <x v="824"/>
    <n v="42"/>
    <m/>
    <n v="0"/>
    <n v="28.501100000000001"/>
    <n v="19.409836065573771"/>
    <n v="19.087982916077632"/>
    <m/>
    <n v="125.251830789778"/>
    <n v="16.438356164383563"/>
    <n v="67.808673724385073"/>
    <n v="14.098901098901099"/>
    <n v="5.6481017470872343"/>
    <m/>
  </r>
  <r>
    <n v="826"/>
    <x v="825"/>
    <n v="27"/>
    <m/>
    <n v="0"/>
    <n v="28.6538"/>
    <n v="19.409836065573771"/>
    <n v="31.671655377936929"/>
    <m/>
    <n v="21.372030235181079"/>
    <n v="16.438356164383563"/>
    <n v="68.950209994215797"/>
    <n v="14.098901098901099"/>
    <n v="20.55617863236991"/>
    <m/>
  </r>
  <r>
    <n v="827"/>
    <x v="826"/>
    <n v="24"/>
    <m/>
    <n v="0"/>
    <n v="28.8065"/>
    <n v="19.409836065573771"/>
    <n v="36.568164956619512"/>
    <m/>
    <n v="1.856531650863475"/>
    <n v="16.438356164383563"/>
    <n v="69.164666022614909"/>
    <n v="14.098901098901099"/>
    <n v="10.19378579552621"/>
    <m/>
  </r>
  <r>
    <n v="828"/>
    <x v="827"/>
    <n v="43"/>
    <m/>
    <n v="0"/>
    <n v="28.959199999999999"/>
    <n v="19.409836065573771"/>
    <n v="17.474717326040029"/>
    <m/>
    <n v="125.251830789778"/>
    <n v="16.438356164383563"/>
    <n v="67.808673724385073"/>
    <n v="14.098901098901099"/>
    <n v="19.26490854475648"/>
    <m/>
  </r>
  <r>
    <n v="829"/>
    <x v="828"/>
    <n v="26"/>
    <m/>
    <n v="0"/>
    <n v="29.111900000000002"/>
    <n v="19.409836065573771"/>
    <n v="39.790879361747521"/>
    <m/>
    <n v="125.251830789778"/>
    <n v="16.438356164383563"/>
    <n v="67.808673724385073"/>
    <n v="14.098901098901099"/>
    <n v="10.757555550539101"/>
    <m/>
  </r>
  <r>
    <n v="830"/>
    <x v="829"/>
    <n v="41"/>
    <m/>
    <n v="0"/>
    <n v="29.264600000000002"/>
    <n v="19.409836065573771"/>
    <n v="20.618431356152179"/>
    <m/>
    <n v="21.372030235181079"/>
    <n v="16.438356164383563"/>
    <n v="68.950209994215797"/>
    <n v="14.098901098901099"/>
    <n v="16.393509757451572"/>
    <m/>
  </r>
  <r>
    <n v="831"/>
    <x v="830"/>
    <n v="39"/>
    <m/>
    <n v="0"/>
    <n v="29.417300000000001"/>
    <n v="19.409836065573771"/>
    <n v="26.008525706443809"/>
    <m/>
    <n v="1.856531650863475"/>
    <n v="16.438356164383563"/>
    <n v="69.164666022614909"/>
    <n v="14.098901098901099"/>
    <n v="13.411591472017429"/>
    <m/>
  </r>
  <r>
    <n v="832"/>
    <x v="831"/>
    <n v="40"/>
    <m/>
    <n v="0"/>
    <n v="29.57"/>
    <n v="19.409836065573771"/>
    <n v="22.25345176228381"/>
    <m/>
    <n v="125.251830789778"/>
    <n v="16.438356164383563"/>
    <n v="67.808673724385073"/>
    <n v="14.098901098901099"/>
    <n v="35.598209219852627"/>
    <m/>
  </r>
  <r>
    <n v="833"/>
    <x v="832"/>
    <n v="24"/>
    <m/>
    <n v="0"/>
    <n v="29.7227"/>
    <n v="19.409836065573771"/>
    <n v="14.585824310562581"/>
    <m/>
    <n v="125.251830789778"/>
    <n v="16.438356164383563"/>
    <n v="67.808673724385073"/>
    <n v="14.098901098901099"/>
    <n v="11.760759856780719"/>
    <m/>
  </r>
  <r>
    <n v="834"/>
    <x v="833"/>
    <n v="48"/>
    <m/>
    <n v="0"/>
    <n v="29.875400000000003"/>
    <n v="19.409836065573771"/>
    <n v="37.079220515980879"/>
    <m/>
    <n v="21.372030235181079"/>
    <n v="16.438356164383563"/>
    <n v="68.950209994215797"/>
    <n v="14.098901098901099"/>
    <n v="31.97925159644193"/>
    <m/>
  </r>
  <r>
    <n v="835"/>
    <x v="834"/>
    <n v="23"/>
    <m/>
    <n v="0"/>
    <n v="30.028100000000002"/>
    <n v="19.409836065573771"/>
    <n v="26.46588992781119"/>
    <m/>
    <n v="1.856531650863475"/>
    <n v="16.438356164383563"/>
    <n v="69.164666022614909"/>
    <n v="14.098901098901099"/>
    <n v="11.07249287211509"/>
    <m/>
  </r>
  <r>
    <n v="836"/>
    <x v="835"/>
    <n v="57"/>
    <m/>
    <n v="0"/>
    <n v="30.180800000000001"/>
    <n v="19.409836065573771"/>
    <n v="33.524856625885178"/>
    <m/>
    <n v="125.251830789778"/>
    <n v="16.438356164383563"/>
    <n v="67.808673724385073"/>
    <n v="14.098901098901099"/>
    <n v="14.06209976605852"/>
    <m/>
  </r>
  <r>
    <n v="837"/>
    <x v="836"/>
    <n v="36"/>
    <m/>
    <n v="0"/>
    <n v="30.333500000000001"/>
    <n v="19.409836065573771"/>
    <n v="16.72193738857532"/>
    <m/>
    <n v="125.251830789778"/>
    <n v="16.438356164383563"/>
    <n v="67.808673724385073"/>
    <n v="14.098901098901099"/>
    <n v="9.6384962931850655"/>
    <m/>
  </r>
  <r>
    <n v="838"/>
    <x v="837"/>
    <n v="50"/>
    <m/>
    <n v="0"/>
    <n v="30.4862"/>
    <n v="19.409836065573771"/>
    <n v="26.206269671252699"/>
    <m/>
    <n v="21.372030235181079"/>
    <n v="16.438356164383563"/>
    <n v="68.950209994215797"/>
    <n v="14.098901098901099"/>
    <n v="19.863466009992059"/>
    <m/>
  </r>
  <r>
    <n v="839"/>
    <x v="838"/>
    <n v="38"/>
    <m/>
    <n v="0"/>
    <n v="30.6389"/>
    <n v="19.409836065573771"/>
    <n v="34.328259230683678"/>
    <m/>
    <n v="1.856531650863475"/>
    <n v="16.438356164383563"/>
    <n v="69.164666022614909"/>
    <n v="14.098901098901099"/>
    <n v="18.952259425250361"/>
    <m/>
  </r>
  <r>
    <n v="840"/>
    <x v="839"/>
    <n v="36"/>
    <m/>
    <n v="0"/>
    <n v="30.791600000000003"/>
    <n v="19.409836065573771"/>
    <n v="5.4886474889280423"/>
    <m/>
    <n v="125.251830789778"/>
    <n v="16.438356164383563"/>
    <n v="67.808673724385073"/>
    <n v="14.098901098901099"/>
    <n v="19.328095453137951"/>
    <m/>
  </r>
  <r>
    <n v="841"/>
    <x v="840"/>
    <n v="41"/>
    <m/>
    <n v="0"/>
    <n v="30.944300000000002"/>
    <n v="19.409836065573771"/>
    <n v="36.912599376041491"/>
    <m/>
    <n v="125.251830789778"/>
    <n v="16.438356164383563"/>
    <n v="67.808673724385073"/>
    <n v="14.098901098901099"/>
    <n v="14.91893450391966"/>
    <m/>
  </r>
  <r>
    <n v="842"/>
    <x v="841"/>
    <n v="35"/>
    <m/>
    <n v="0"/>
    <n v="31.097000000000001"/>
    <n v="19.409836065573771"/>
    <n v="28.576008840414701"/>
    <m/>
    <n v="21.372030235181079"/>
    <n v="16.438356164383563"/>
    <n v="68.950209994215797"/>
    <n v="14.098901098901099"/>
    <n v="11.022979982854579"/>
    <m/>
  </r>
  <r>
    <n v="843"/>
    <x v="842"/>
    <n v="64"/>
    <m/>
    <n v="0"/>
    <n v="31.249700000000001"/>
    <n v="19.409836065573771"/>
    <n v="24.643806278843481"/>
    <m/>
    <n v="1.856531650863475"/>
    <n v="16.438356164383563"/>
    <n v="69.164666022614909"/>
    <n v="14.098901098901099"/>
    <n v="16.958787983908341"/>
    <m/>
  </r>
  <r>
    <n v="844"/>
    <x v="843"/>
    <n v="44"/>
    <m/>
    <n v="0"/>
    <n v="31.4024"/>
    <n v="19.409836065573771"/>
    <n v="19.70080052748402"/>
    <m/>
    <n v="125.251830789778"/>
    <n v="16.438356164383563"/>
    <n v="67.808673724385073"/>
    <n v="14.098901098901099"/>
    <n v="29.949161302272611"/>
    <m/>
  </r>
  <r>
    <n v="845"/>
    <x v="844"/>
    <n v="44"/>
    <m/>
    <n v="0"/>
    <n v="31.555099999999999"/>
    <n v="19.409836065573771"/>
    <n v="15.77830965352957"/>
    <m/>
    <n v="125.251830789778"/>
    <n v="16.438356164383563"/>
    <n v="67.808673724385073"/>
    <n v="14.098901098901099"/>
    <n v="31.804483006404539"/>
    <m/>
  </r>
  <r>
    <n v="846"/>
    <x v="845"/>
    <n v="54"/>
    <m/>
    <n v="0"/>
    <n v="31.707800000000002"/>
    <n v="19.409836065573771"/>
    <n v="41.184588261643739"/>
    <m/>
    <n v="21.372030235181079"/>
    <n v="16.438356164383563"/>
    <n v="68.950209994215797"/>
    <n v="14.098901098901099"/>
    <n v="27.65126423102452"/>
    <m/>
  </r>
  <r>
    <n v="847"/>
    <x v="846"/>
    <n v="47"/>
    <m/>
    <n v="0"/>
    <n v="31.860500000000002"/>
    <n v="19.409836065573771"/>
    <n v="16.388904208997449"/>
    <m/>
    <n v="1.856531650863475"/>
    <n v="16.438356164383563"/>
    <n v="69.164666022614909"/>
    <n v="14.098901098901099"/>
    <n v="14.30903380172165"/>
    <m/>
  </r>
  <r>
    <n v="848"/>
    <x v="847"/>
    <n v="24"/>
    <m/>
    <n v="0"/>
    <n v="32.013199999999998"/>
    <n v="19.409836065573771"/>
    <n v="21.34296063292857"/>
    <m/>
    <n v="125.251830789778"/>
    <n v="16.438356164383563"/>
    <n v="67.808673724385073"/>
    <n v="14.098901098901099"/>
    <n v="5.5742796619005386"/>
    <m/>
  </r>
  <r>
    <n v="849"/>
    <x v="848"/>
    <n v="36"/>
    <m/>
    <n v="0"/>
    <n v="32.165900000000001"/>
    <n v="19.409836065573771"/>
    <n v="26.158806303167282"/>
    <m/>
    <n v="125.251830789778"/>
    <n v="16.438356164383563"/>
    <n v="67.808673724385073"/>
    <n v="14.098901098901099"/>
    <n v="11.64288394391053"/>
    <m/>
  </r>
  <r>
    <n v="850"/>
    <x v="849"/>
    <n v="72"/>
    <m/>
    <n v="0"/>
    <n v="32.318600000000004"/>
    <n v="19.409836065573771"/>
    <n v="19.147054902568961"/>
    <m/>
    <n v="21.372030235181079"/>
    <n v="16.438356164383563"/>
    <n v="68.950209994215797"/>
    <n v="14.098901098901099"/>
    <n v="11.34223144343113"/>
    <m/>
  </r>
  <r>
    <n v="851"/>
    <x v="850"/>
    <n v="44"/>
    <m/>
    <n v="0"/>
    <n v="32.471299999999999"/>
    <n v="19.409836065573771"/>
    <n v="28.50238001633916"/>
    <m/>
    <n v="1.856531650863475"/>
    <n v="16.438356164383563"/>
    <n v="69.164666022614909"/>
    <n v="14.098901098901099"/>
    <n v="22.709648850744522"/>
    <m/>
  </r>
  <r>
    <n v="852"/>
    <x v="851"/>
    <n v="41"/>
    <m/>
    <n v="0"/>
    <n v="32.624000000000002"/>
    <n v="19.409836065573771"/>
    <n v="21.362404155569418"/>
    <m/>
    <n v="125.251830789778"/>
    <n v="16.438356164383563"/>
    <n v="67.808673724385073"/>
    <n v="14.098901098901099"/>
    <n v="19.926693626191089"/>
    <m/>
  </r>
  <r>
    <n v="853"/>
    <x v="852"/>
    <n v="41"/>
    <m/>
    <n v="0"/>
    <n v="32.776699999999998"/>
    <n v="19.409836065573771"/>
    <n v="33.164849237339119"/>
    <m/>
    <n v="125.251830789778"/>
    <n v="16.438356164383563"/>
    <n v="67.808673724385073"/>
    <n v="14.098901098901099"/>
    <n v="18.260611574423411"/>
    <m/>
  </r>
  <r>
    <n v="854"/>
    <x v="853"/>
    <n v="54"/>
    <m/>
    <n v="0"/>
    <n v="32.929400000000001"/>
    <n v="19.409836065573771"/>
    <n v="27.54076655590185"/>
    <m/>
    <n v="21.372030235181079"/>
    <n v="16.438356164383563"/>
    <n v="68.950209994215797"/>
    <n v="14.098901098901099"/>
    <n v="17.698775923993949"/>
    <m/>
  </r>
  <r>
    <n v="855"/>
    <x v="854"/>
    <n v="41"/>
    <m/>
    <n v="0"/>
    <n v="33.082100000000004"/>
    <n v="19.409836065573771"/>
    <n v="28.88009021998041"/>
    <m/>
    <n v="1.856531650863475"/>
    <n v="16.438356164383563"/>
    <n v="69.164666022614909"/>
    <n v="14.098901098901099"/>
    <n v="18.947550993771411"/>
    <m/>
  </r>
  <r>
    <n v="856"/>
    <x v="855"/>
    <n v="44"/>
    <m/>
    <n v="0"/>
    <n v="33.2348"/>
    <n v="19.409836065573771"/>
    <n v="37.813941804279921"/>
    <m/>
    <n v="125.251830789778"/>
    <n v="16.438356164383563"/>
    <n v="67.808673724385073"/>
    <n v="14.098901098901099"/>
    <n v="13.989568200260599"/>
    <m/>
  </r>
  <r>
    <n v="857"/>
    <x v="856"/>
    <n v="54"/>
    <m/>
    <n v="0"/>
    <n v="33.387500000000003"/>
    <n v="19.409836065573771"/>
    <n v="24.04805488625011"/>
    <m/>
    <n v="125.251830789778"/>
    <n v="16.438356164383563"/>
    <n v="67.808673724385073"/>
    <n v="14.098901098901099"/>
    <n v="24.802158599652131"/>
    <m/>
  </r>
  <r>
    <n v="858"/>
    <x v="857"/>
    <n v="69"/>
    <m/>
    <n v="0"/>
    <n v="33.540199999999999"/>
    <n v="19.409836065573771"/>
    <n v="45.502873189937937"/>
    <m/>
    <n v="21.372030235181079"/>
    <n v="16.438356164383563"/>
    <n v="68.950209994215797"/>
    <n v="14.098901098901099"/>
    <n v="31.140346405458839"/>
    <m/>
  </r>
  <r>
    <n v="859"/>
    <x v="858"/>
    <n v="47"/>
    <m/>
    <n v="0"/>
    <n v="33.692900000000002"/>
    <n v="19.409836065573771"/>
    <n v="19.710177390210379"/>
    <m/>
    <n v="1.856531650863475"/>
    <n v="16.438356164383563"/>
    <n v="69.164666022614909"/>
    <n v="14.098901098901099"/>
    <n v="22.651249669746889"/>
    <m/>
  </r>
  <r>
    <n v="860"/>
    <x v="859"/>
    <n v="52"/>
    <m/>
    <n v="0"/>
    <n v="33.845599999999997"/>
    <n v="19.409836065573771"/>
    <n v="26.583083610959921"/>
    <m/>
    <n v="125.251830789778"/>
    <n v="16.438356164383563"/>
    <n v="67.808673724385073"/>
    <n v="14.098901098901099"/>
    <n v="17.399849300483911"/>
    <m/>
  </r>
  <r>
    <n v="861"/>
    <x v="860"/>
    <n v="58"/>
    <m/>
    <n v="0"/>
    <n v="33.9983"/>
    <n v="19.409836065573771"/>
    <n v="30.987089721105459"/>
    <m/>
    <n v="125.251830789778"/>
    <n v="16.438356164383563"/>
    <n v="67.808673724385073"/>
    <n v="14.098901098901099"/>
    <n v="10.44225437675394"/>
    <m/>
  </r>
  <r>
    <n v="862"/>
    <x v="861"/>
    <n v="29"/>
    <m/>
    <n v="0"/>
    <n v="34.151000000000003"/>
    <n v="19.409836065573771"/>
    <n v="12.721775511190099"/>
    <m/>
    <n v="21.372030235181079"/>
    <n v="16.438356164383563"/>
    <n v="68.950209994215797"/>
    <n v="14.098901098901099"/>
    <n v="8.9342635633986021"/>
    <m/>
  </r>
  <r>
    <n v="863"/>
    <x v="862"/>
    <n v="46"/>
    <m/>
    <n v="0"/>
    <n v="34.303699999999999"/>
    <n v="19.409836065573771"/>
    <n v="39.865648968539318"/>
    <m/>
    <n v="1.856531650863475"/>
    <n v="16.438356164383563"/>
    <n v="69.164666022614909"/>
    <n v="14.098901098901099"/>
    <n v="23.142398274858859"/>
    <m/>
  </r>
  <r>
    <n v="864"/>
    <x v="863"/>
    <n v="80"/>
    <m/>
    <n v="0"/>
    <n v="34.456400000000002"/>
    <n v="19.409836065573771"/>
    <n v="33.095927231551478"/>
    <m/>
    <n v="125.251830789778"/>
    <n v="16.438356164383563"/>
    <n v="67.808673724385073"/>
    <n v="14.098901098901099"/>
    <n v="20.048095535949301"/>
    <m/>
  </r>
  <r>
    <n v="865"/>
    <x v="864"/>
    <n v="51"/>
    <m/>
    <n v="0"/>
    <n v="34.609099999999998"/>
    <n v="19.409836065573771"/>
    <n v="32.071018875258318"/>
    <m/>
    <n v="125.251830789778"/>
    <n v="16.438356164383563"/>
    <n v="67.808673724385073"/>
    <n v="14.098901098901099"/>
    <n v="32.599263863566421"/>
    <m/>
  </r>
  <r>
    <n v="866"/>
    <x v="865"/>
    <n v="39"/>
    <m/>
    <n v="0"/>
    <n v="34.761800000000001"/>
    <n v="19.409836065573771"/>
    <n v="14.71544070930892"/>
    <m/>
    <n v="21.372030235181079"/>
    <n v="16.438356164383563"/>
    <n v="68.950209994215797"/>
    <n v="14.098901098901099"/>
    <n v="16.32368366145505"/>
    <m/>
  </r>
  <r>
    <n v="867"/>
    <x v="866"/>
    <n v="22"/>
    <m/>
    <n v="0"/>
    <n v="34.914500000000004"/>
    <n v="19.409836065573771"/>
    <n v="23.544175434079381"/>
    <m/>
    <n v="1.856531650863475"/>
    <n v="16.438356164383563"/>
    <n v="69.164666022614909"/>
    <n v="14.098901098901099"/>
    <n v="12.919317802128081"/>
    <m/>
  </r>
  <r>
    <n v="868"/>
    <x v="867"/>
    <n v="59"/>
    <m/>
    <n v="0"/>
    <n v="35.0672"/>
    <n v="19.409836065573771"/>
    <n v="25.567648762456471"/>
    <m/>
    <n v="125.251830789778"/>
    <n v="16.438356164383563"/>
    <n v="67.808673724385073"/>
    <n v="14.098901098901099"/>
    <n v="15.50709492536329"/>
    <m/>
  </r>
  <r>
    <n v="869"/>
    <x v="868"/>
    <n v="74"/>
    <m/>
    <n v="0"/>
    <n v="35.219900000000003"/>
    <n v="19.409836065573771"/>
    <n v="11.371604079808799"/>
    <m/>
    <n v="125.251830789778"/>
    <n v="16.438356164383563"/>
    <n v="67.808673724385073"/>
    <n v="14.098901098901099"/>
    <n v="26.314008040481578"/>
    <m/>
  </r>
  <r>
    <n v="870"/>
    <x v="869"/>
    <n v="39"/>
    <m/>
    <n v="0"/>
    <n v="35.372599999999998"/>
    <n v="19.409836065573771"/>
    <n v="21.325286470327001"/>
    <m/>
    <n v="21.372030235181079"/>
    <n v="16.438356164383563"/>
    <n v="68.950209994215797"/>
    <n v="14.098901098901099"/>
    <n v="36.72286310937946"/>
    <m/>
  </r>
  <r>
    <n v="871"/>
    <x v="870"/>
    <n v="54"/>
    <m/>
    <n v="0"/>
    <n v="35.525300000000001"/>
    <n v="19.409836065573771"/>
    <n v="30.703418436129091"/>
    <m/>
    <n v="1.856531650863475"/>
    <n v="16.438356164383563"/>
    <n v="69.164666022614909"/>
    <n v="14.098901098901099"/>
    <n v="19.75655508984574"/>
    <m/>
  </r>
  <r>
    <n v="872"/>
    <x v="871"/>
    <n v="50"/>
    <m/>
    <n v="0"/>
    <n v="35.678000000000004"/>
    <n v="19.409836065573771"/>
    <n v="30.488942722965739"/>
    <m/>
    <n v="125.251830789778"/>
    <n v="16.438356164383563"/>
    <n v="67.808673724385073"/>
    <n v="14.098901098901099"/>
    <n v="18.4013966810213"/>
    <m/>
  </r>
  <r>
    <n v="873"/>
    <x v="872"/>
    <n v="57"/>
    <m/>
    <n v="0"/>
    <n v="35.8307"/>
    <n v="19.409836065573771"/>
    <n v="22.61026962043519"/>
    <m/>
    <n v="125.251830789778"/>
    <n v="16.438356164383563"/>
    <n v="67.808673724385073"/>
    <n v="14.098901098901099"/>
    <n v="5.113252838868652"/>
    <m/>
  </r>
  <r>
    <n v="874"/>
    <x v="873"/>
    <n v="66"/>
    <m/>
    <n v="0"/>
    <n v="35.983400000000003"/>
    <n v="19.409836065573771"/>
    <n v="32.504456362573492"/>
    <m/>
    <n v="21.372030235181079"/>
    <n v="16.438356164383563"/>
    <n v="68.950209994215797"/>
    <n v="14.098901098901099"/>
    <n v="11.80618786041761"/>
    <m/>
  </r>
  <r>
    <n v="875"/>
    <x v="874"/>
    <n v="28"/>
    <m/>
    <n v="0"/>
    <n v="36.136099999999999"/>
    <n v="19.409836065573771"/>
    <n v="30.930307848059609"/>
    <m/>
    <n v="1.856531650863475"/>
    <n v="16.438356164383563"/>
    <n v="69.164666022614909"/>
    <n v="14.098901098901099"/>
    <n v="25.837565149852491"/>
    <m/>
  </r>
  <r>
    <n v="876"/>
    <x v="875"/>
    <n v="86"/>
    <m/>
    <n v="0"/>
    <n v="36.288800000000002"/>
    <n v="19.409836065573771"/>
    <n v="33.787153073894672"/>
    <m/>
    <n v="125.251830789778"/>
    <n v="16.438356164383563"/>
    <n v="67.808673724385073"/>
    <n v="14.098901098901099"/>
    <n v="18.113971055076419"/>
    <m/>
  </r>
  <r>
    <n v="877"/>
    <x v="876"/>
    <n v="30"/>
    <m/>
    <n v="0"/>
    <n v="36.441499999999998"/>
    <n v="19.409836065573771"/>
    <n v="34.697007247044681"/>
    <m/>
    <n v="125.251830789778"/>
    <n v="16.438356164383563"/>
    <n v="67.808673724385073"/>
    <n v="14.098901098901099"/>
    <n v="23.64322410029768"/>
    <m/>
  </r>
  <r>
    <n v="878"/>
    <x v="877"/>
    <n v="34"/>
    <m/>
    <n v="0"/>
    <n v="36.594200000000001"/>
    <n v="19.409836065573771"/>
    <n v="25.85608338233066"/>
    <m/>
    <n v="21.372030235181079"/>
    <n v="16.438356164383563"/>
    <n v="68.950209994215797"/>
    <n v="14.098901098901099"/>
    <n v="31.318037911299989"/>
    <m/>
  </r>
  <r>
    <n v="879"/>
    <x v="878"/>
    <n v="58"/>
    <m/>
    <n v="0"/>
    <n v="36.746900000000004"/>
    <n v="19.409836065573771"/>
    <n v="48.643759990994177"/>
    <m/>
    <n v="1.856531650863475"/>
    <n v="16.438356164383563"/>
    <n v="69.164666022614909"/>
    <n v="14.098901098901099"/>
    <n v="12.26029895428522"/>
    <m/>
  </r>
  <r>
    <n v="880"/>
    <x v="879"/>
    <n v="69"/>
    <m/>
    <n v="0"/>
    <n v="36.8996"/>
    <n v="19.409836065573771"/>
    <n v="19.03505098121126"/>
    <m/>
    <n v="125.251830789778"/>
    <n v="16.438356164383563"/>
    <n v="67.808673724385073"/>
    <n v="14.098901098901099"/>
    <n v="8.8170897179508216"/>
    <m/>
  </r>
  <r>
    <n v="881"/>
    <x v="880"/>
    <n v="45"/>
    <m/>
    <n v="0"/>
    <n v="37.052300000000002"/>
    <n v="19.409836065573771"/>
    <n v="27.087974924256301"/>
    <m/>
    <n v="125.251830789778"/>
    <n v="16.438356164383563"/>
    <n v="67.808673724385073"/>
    <n v="14.098901098901099"/>
    <n v="17.901487929653499"/>
    <m/>
  </r>
  <r>
    <n v="882"/>
    <x v="881"/>
    <n v="88"/>
    <m/>
    <n v="0"/>
    <n v="37.204999999999998"/>
    <n v="19.409836065573771"/>
    <n v="24.011428150026191"/>
    <m/>
    <n v="21.372030235181079"/>
    <n v="16.438356164383563"/>
    <n v="68.950209994215797"/>
    <n v="14.098901098901099"/>
    <n v="19.54129322189074"/>
    <m/>
  </r>
  <r>
    <n v="883"/>
    <x v="882"/>
    <n v="102"/>
    <m/>
    <n v="0"/>
    <n v="37.357700000000001"/>
    <n v="19.409836065573771"/>
    <n v="11.5905206049763"/>
    <m/>
    <n v="1.856531650863475"/>
    <n v="16.438356164383563"/>
    <n v="69.164666022614909"/>
    <n v="14.098901098901099"/>
    <n v="36.272545961289268"/>
    <m/>
  </r>
  <r>
    <n v="884"/>
    <x v="883"/>
    <n v="56"/>
    <m/>
    <n v="0"/>
    <n v="37.510400000000004"/>
    <n v="19.409836065573771"/>
    <n v="35.993286456207493"/>
    <m/>
    <n v="125.251830789778"/>
    <n v="16.438356164383563"/>
    <n v="67.808673724385073"/>
    <n v="14.098901098901099"/>
    <n v="14.83414871509248"/>
    <m/>
  </r>
  <r>
    <n v="885"/>
    <x v="884"/>
    <n v="40"/>
    <m/>
    <n v="0"/>
    <n v="37.6631"/>
    <n v="19.409836065573771"/>
    <n v="38.566479910377872"/>
    <m/>
    <n v="125.251830789778"/>
    <n v="16.438356164383563"/>
    <n v="67.808673724385073"/>
    <n v="14.098901098901099"/>
    <n v="16.709758437233869"/>
    <m/>
  </r>
  <r>
    <n v="886"/>
    <x v="885"/>
    <n v="57"/>
    <m/>
    <n v="0"/>
    <n v="37.815800000000003"/>
    <n v="19.409836065573771"/>
    <n v="36.978026321075113"/>
    <m/>
    <n v="21.372030235181079"/>
    <n v="16.438356164383563"/>
    <n v="68.950209994215797"/>
    <n v="14.098901098901099"/>
    <n v="12.78503188844499"/>
    <m/>
  </r>
  <r>
    <n v="887"/>
    <x v="886"/>
    <n v="36"/>
    <m/>
    <n v="0"/>
    <n v="37.968499999999999"/>
    <n v="19.409836065573771"/>
    <n v="27.79818745184307"/>
    <m/>
    <n v="1.856531650863475"/>
    <n v="16.438356164383563"/>
    <n v="69.164666022614909"/>
    <n v="14.098901098901099"/>
    <n v="24.850503960121159"/>
    <m/>
  </r>
  <r>
    <n v="888"/>
    <x v="887"/>
    <n v="69"/>
    <m/>
    <n v="0"/>
    <n v="38.121200000000002"/>
    <n v="19.409836065573771"/>
    <n v="21.49129163223331"/>
    <m/>
    <n v="125.251830789778"/>
    <n v="16.438356164383563"/>
    <n v="67.808673724385073"/>
    <n v="14.098901098901099"/>
    <n v="24.897588522926089"/>
    <m/>
  </r>
  <r>
    <n v="889"/>
    <x v="888"/>
    <n v="62"/>
    <m/>
    <n v="0"/>
    <n v="38.273899999999998"/>
    <n v="19.409836065573771"/>
    <n v="21.211148289111581"/>
    <m/>
    <n v="125.251830789778"/>
    <n v="16.438356164383563"/>
    <n v="67.808673724385073"/>
    <n v="14.098901098901099"/>
    <n v="17.134526998282521"/>
    <m/>
  </r>
  <r>
    <n v="890"/>
    <x v="889"/>
    <n v="75"/>
    <m/>
    <n v="0"/>
    <n v="38.426600000000001"/>
    <n v="19.409836065573771"/>
    <n v="11.10971424600713"/>
    <m/>
    <n v="21.372030235181079"/>
    <n v="16.438356164383563"/>
    <n v="68.950209994215797"/>
    <n v="14.098901098901099"/>
    <n v="11.63015698211324"/>
    <m/>
  </r>
  <r>
    <n v="891"/>
    <x v="890"/>
    <n v="53"/>
    <m/>
    <n v="0"/>
    <n v="38.579300000000003"/>
    <n v="19.409836065573771"/>
    <n v="24.021926817775739"/>
    <m/>
    <n v="1.856531650863475"/>
    <n v="16.438356164383563"/>
    <n v="69.164666022614909"/>
    <n v="14.098901098901099"/>
    <n v="15.708306255224141"/>
    <m/>
  </r>
  <r>
    <n v="892"/>
    <x v="891"/>
    <n v="48"/>
    <m/>
    <n v="0"/>
    <n v="38.731999999999999"/>
    <n v="19.409836065573771"/>
    <n v="14.71695917246068"/>
    <m/>
    <n v="125.251830789778"/>
    <n v="16.438356164383563"/>
    <n v="67.808673724385073"/>
    <n v="14.098901098901099"/>
    <n v="13.17819489345178"/>
    <m/>
  </r>
  <r>
    <n v="893"/>
    <x v="892"/>
    <n v="58"/>
    <m/>
    <n v="0"/>
    <n v="38.884700000000002"/>
    <n v="19.409836065573771"/>
    <n v="26.38765834542809"/>
    <m/>
    <n v="125.251830789778"/>
    <n v="16.438356164383563"/>
    <n v="67.808673724385073"/>
    <n v="14.098901098901099"/>
    <n v="35.567026381013633"/>
    <m/>
  </r>
  <r>
    <n v="894"/>
    <x v="893"/>
    <n v="62"/>
    <m/>
    <n v="0"/>
    <n v="39.037399999999998"/>
    <n v="19.409836065573771"/>
    <n v="31.892407010750649"/>
    <m/>
    <n v="21.372030235181079"/>
    <n v="16.438356164383563"/>
    <n v="68.950209994215797"/>
    <n v="14.098901098901099"/>
    <n v="32.225656872686798"/>
    <m/>
  </r>
  <r>
    <n v="895"/>
    <x v="894"/>
    <n v="62"/>
    <m/>
    <n v="0"/>
    <n v="39.190100000000001"/>
    <n v="19.409836065573771"/>
    <n v="28.637708219517261"/>
    <m/>
    <n v="1.856531650863475"/>
    <n v="16.438356164383563"/>
    <n v="69.164666022614909"/>
    <n v="14.098901098901099"/>
    <n v="28.265096497341801"/>
    <m/>
  </r>
  <r>
    <n v="896"/>
    <x v="895"/>
    <n v="60"/>
    <m/>
    <n v="0"/>
    <n v="39.342800000000004"/>
    <n v="19.409836065573771"/>
    <n v="18.99160310155607"/>
    <m/>
    <n v="125.251830789778"/>
    <n v="16.438356164383563"/>
    <n v="67.808673724385073"/>
    <n v="14.098901098901099"/>
    <n v="11.49400275802123"/>
    <m/>
  </r>
  <r>
    <n v="897"/>
    <x v="896"/>
    <n v="86"/>
    <m/>
    <n v="0"/>
    <n v="39.4955"/>
    <n v="19.409836065573771"/>
    <n v="26.672808438249969"/>
    <m/>
    <n v="125.251830789778"/>
    <n v="16.438356164383563"/>
    <n v="67.808673724385073"/>
    <n v="14.098901098901099"/>
    <n v="6.553356841756016"/>
    <m/>
  </r>
  <r>
    <n v="898"/>
    <x v="897"/>
    <n v="80"/>
    <m/>
    <n v="0"/>
    <n v="39.648200000000003"/>
    <n v="19.409836065573771"/>
    <n v="27.618295680263881"/>
    <m/>
    <n v="21.372030235181079"/>
    <n v="16.438356164383563"/>
    <n v="68.950209994215797"/>
    <n v="14.098901098901099"/>
    <n v="4.4573628159903933"/>
    <m/>
  </r>
  <r>
    <n v="899"/>
    <x v="898"/>
    <n v="43"/>
    <m/>
    <n v="0"/>
    <n v="39.800899999999999"/>
    <n v="19.409836065573771"/>
    <n v="22.27057299480208"/>
    <m/>
    <n v="1.856531650863475"/>
    <n v="16.438356164383563"/>
    <n v="69.164666022614909"/>
    <n v="14.098901098901099"/>
    <n v="12.61065729195731"/>
    <m/>
  </r>
  <r>
    <n v="900"/>
    <x v="899"/>
    <n v="69"/>
    <m/>
    <n v="0"/>
    <n v="39.953600000000002"/>
    <n v="19.409836065573771"/>
    <n v="33.401298857364218"/>
    <m/>
    <n v="125.251830789778"/>
    <n v="16.438356164383563"/>
    <n v="67.808673724385073"/>
    <n v="14.098901098901099"/>
    <n v="25.489224132100389"/>
    <m/>
  </r>
  <r>
    <n v="901"/>
    <x v="900"/>
    <n v="78"/>
    <m/>
    <n v="0"/>
    <n v="40.106300000000005"/>
    <n v="19.409836065573771"/>
    <n v="39.129224519105961"/>
    <m/>
    <n v="125.251830789778"/>
    <n v="16.438356164383563"/>
    <n v="67.808673724385073"/>
    <n v="14.098901098901099"/>
    <n v="16.971877496584039"/>
    <m/>
  </r>
  <r>
    <n v="902"/>
    <x v="901"/>
    <n v="81"/>
    <m/>
    <n v="0"/>
    <n v="40.259"/>
    <n v="19.409836065573771"/>
    <n v="42.688106161468923"/>
    <m/>
    <n v="21.372030235181079"/>
    <n v="16.438356164383563"/>
    <n v="68.950209994215797"/>
    <n v="14.098901098901099"/>
    <n v="8.9766834799103705"/>
    <m/>
  </r>
  <r>
    <n v="903"/>
    <x v="902"/>
    <n v="66"/>
    <m/>
    <n v="0"/>
    <n v="40.411700000000003"/>
    <n v="19.409836065573771"/>
    <n v="38.461961663735359"/>
    <m/>
    <n v="1.856531650863475"/>
    <n v="16.438356164383563"/>
    <n v="69.164666022614909"/>
    <n v="14.098901098901099"/>
    <n v="21.02975403429879"/>
    <m/>
  </r>
  <r>
    <n v="904"/>
    <x v="903"/>
    <n v="81"/>
    <m/>
    <n v="0"/>
    <n v="40.564399999999999"/>
    <n v="19.409836065573771"/>
    <n v="17.55813781710518"/>
    <m/>
    <n v="125.251830789778"/>
    <n v="16.438356164383563"/>
    <n v="67.808673724385073"/>
    <n v="14.098901098901099"/>
    <n v="12.400050727472941"/>
    <m/>
  </r>
  <r>
    <n v="905"/>
    <x v="904"/>
    <n v="62"/>
    <m/>
    <n v="0"/>
    <n v="40.717100000000002"/>
    <n v="19.409836065573771"/>
    <n v="27.419559202213179"/>
    <m/>
    <n v="125.251830789778"/>
    <n v="16.438356164383563"/>
    <n v="67.808673724385073"/>
    <n v="14.098901098901099"/>
    <n v="13.289463832697709"/>
    <m/>
  </r>
  <r>
    <n v="906"/>
    <x v="905"/>
    <n v="64"/>
    <m/>
    <n v="0"/>
    <n v="40.869799999999998"/>
    <n v="19.409836065573771"/>
    <n v="7.0954249654923114"/>
    <m/>
    <n v="21.372030235181079"/>
    <n v="16.438356164383563"/>
    <n v="68.950209994215797"/>
    <n v="14.098901098901099"/>
    <n v="19.862180902752371"/>
    <m/>
  </r>
  <r>
    <n v="907"/>
    <x v="906"/>
    <n v="100"/>
    <m/>
    <n v="0"/>
    <n v="41.022500000000001"/>
    <n v="19.409836065573771"/>
    <n v="9.9248493688764228"/>
    <m/>
    <n v="1.856531650863475"/>
    <n v="16.438356164383563"/>
    <n v="69.164666022614909"/>
    <n v="14.098901098901099"/>
    <n v="27.706135189487799"/>
    <m/>
  </r>
  <r>
    <n v="908"/>
    <x v="907"/>
    <n v="46"/>
    <m/>
    <n v="0"/>
    <n v="41.175200000000004"/>
    <n v="19.409836065573771"/>
    <n v="24.858797014922391"/>
    <m/>
    <n v="125.251830789778"/>
    <n v="16.438356164383563"/>
    <n v="67.808673724385073"/>
    <n v="14.098901098901099"/>
    <n v="14.6900653478324"/>
    <m/>
  </r>
  <r>
    <n v="909"/>
    <x v="908"/>
    <n v="73"/>
    <m/>
    <n v="0"/>
    <n v="41.3279"/>
    <n v="19.409836065573771"/>
    <n v="13.77588361191424"/>
    <m/>
    <n v="125.251830789778"/>
    <n v="16.438356164383563"/>
    <n v="67.808673724385073"/>
    <n v="14.098901098901099"/>
    <n v="28.76455732337622"/>
    <m/>
  </r>
  <r>
    <n v="910"/>
    <x v="909"/>
    <n v="59"/>
    <m/>
    <n v="0"/>
    <n v="41.480600000000003"/>
    <n v="19.409836065573771"/>
    <n v="21.12104329797323"/>
    <m/>
    <n v="21.372030235181079"/>
    <n v="16.438356164383563"/>
    <n v="68.950209994215797"/>
    <n v="14.098901098901099"/>
    <n v="17.032293364353301"/>
    <m/>
  </r>
  <r>
    <n v="911"/>
    <x v="910"/>
    <n v="42"/>
    <m/>
    <n v="0"/>
    <n v="41.633299999999998"/>
    <n v="19.409836065573771"/>
    <n v="17.878070935146109"/>
    <m/>
    <n v="1.856531650863475"/>
    <n v="16.438356164383563"/>
    <n v="69.164666022614909"/>
    <n v="14.098901098901099"/>
    <n v="11.11767402027859"/>
    <m/>
  </r>
  <r>
    <n v="912"/>
    <x v="911"/>
    <n v="54"/>
    <m/>
    <n v="0"/>
    <n v="41.786000000000001"/>
    <n v="19.409836065573771"/>
    <n v="21.139460436081801"/>
    <m/>
    <n v="125.251830789778"/>
    <n v="16.438356164383563"/>
    <n v="67.808673724385073"/>
    <n v="14.098901098901099"/>
    <n v="17.042881616179379"/>
    <m/>
  </r>
  <r>
    <n v="913"/>
    <x v="912"/>
    <n v="64"/>
    <m/>
    <n v="0"/>
    <n v="41.938700000000004"/>
    <n v="19.409836065573771"/>
    <n v="4.3937290632276902"/>
    <m/>
    <n v="125.251830789778"/>
    <n v="16.438356164383563"/>
    <n v="67.808673724385073"/>
    <n v="14.098901098901099"/>
    <n v="26.537469539949068"/>
    <m/>
  </r>
  <r>
    <n v="914"/>
    <x v="913"/>
    <n v="78"/>
    <m/>
    <n v="0"/>
    <n v="42.0914"/>
    <n v="19.409836065573771"/>
    <n v="13.23308014789203"/>
    <m/>
    <n v="21.372030235181079"/>
    <n v="16.438356164383563"/>
    <n v="68.950209994215797"/>
    <n v="14.098901098901099"/>
    <n v="25.740113868522698"/>
    <m/>
  </r>
  <r>
    <n v="915"/>
    <x v="914"/>
    <n v="70"/>
    <m/>
    <n v="0"/>
    <n v="42.244100000000003"/>
    <n v="19.409836065573771"/>
    <n v="36.375980358980009"/>
    <m/>
    <n v="1.856531650863475"/>
    <n v="16.438356164383563"/>
    <n v="69.164666022614909"/>
    <n v="14.098901098901099"/>
    <n v="28.260991346679841"/>
    <m/>
  </r>
  <r>
    <n v="916"/>
    <x v="915"/>
    <n v="81"/>
    <m/>
    <n v="0"/>
    <n v="42.396799999999999"/>
    <n v="19.409836065573771"/>
    <n v="37.063890788164301"/>
    <m/>
    <n v="125.251830789778"/>
    <n v="16.438356164383563"/>
    <n v="67.808673724385073"/>
    <n v="14.098901098901099"/>
    <n v="18.91464952884958"/>
    <m/>
  </r>
  <r>
    <n v="917"/>
    <x v="916"/>
    <n v="67"/>
    <m/>
    <n v="0"/>
    <n v="42.549500000000002"/>
    <n v="19.409836065573771"/>
    <n v="25.02344723999931"/>
    <m/>
    <n v="125.251830789778"/>
    <n v="16.438356164383563"/>
    <n v="67.808673724385073"/>
    <n v="14.098901098901099"/>
    <n v="9.2676112788857932"/>
    <m/>
  </r>
  <r>
    <n v="918"/>
    <x v="917"/>
    <n v="66"/>
    <m/>
    <n v="0"/>
    <n v="42.702199999999998"/>
    <n v="19.409836065573771"/>
    <n v="22.954542442862952"/>
    <m/>
    <n v="21.372030235181079"/>
    <n v="16.438356164383563"/>
    <n v="68.950209994215797"/>
    <n v="14.098901098901099"/>
    <n v="6.5971786954060851"/>
    <m/>
  </r>
  <r>
    <n v="919"/>
    <x v="918"/>
    <n v="93"/>
    <m/>
    <n v="0"/>
    <n v="42.854900000000001"/>
    <n v="19.409836065573771"/>
    <n v="9.669138325738043"/>
    <m/>
    <n v="1.856531650863475"/>
    <n v="16.438356164383563"/>
    <n v="69.164666022614909"/>
    <n v="14.098901098901099"/>
    <n v="20.971744328363069"/>
    <m/>
  </r>
  <r>
    <n v="920"/>
    <x v="919"/>
    <n v="88"/>
    <m/>
    <n v="0"/>
    <n v="43.007600000000004"/>
    <n v="19.409836065573771"/>
    <n v="7.8707125152970514"/>
    <m/>
    <n v="125.251830789778"/>
    <n v="16.438356164383563"/>
    <n v="67.808673724385073"/>
    <n v="14.098901098901099"/>
    <n v="30.18684588593737"/>
    <m/>
  </r>
  <r>
    <n v="921"/>
    <x v="920"/>
    <n v="49"/>
    <m/>
    <n v="0"/>
    <n v="43.160299999999999"/>
    <n v="19.409836065573771"/>
    <n v="19.495955953788741"/>
    <m/>
    <n v="125.251830789778"/>
    <n v="16.438356164383563"/>
    <n v="67.808673724385073"/>
    <n v="14.098901098901099"/>
    <n v="34.198100458991959"/>
    <m/>
  </r>
  <r>
    <n v="922"/>
    <x v="921"/>
    <n v="57"/>
    <m/>
    <n v="0"/>
    <n v="43.313000000000002"/>
    <n v="19.409836065573771"/>
    <n v="19.56363325335299"/>
    <m/>
    <n v="21.372030235181079"/>
    <n v="16.438356164383563"/>
    <n v="68.950209994215797"/>
    <n v="14.098901098901099"/>
    <n v="26.708588223905199"/>
    <m/>
  </r>
  <r>
    <n v="923"/>
    <x v="922"/>
    <n v="82"/>
    <m/>
    <n v="0"/>
    <n v="43.465699999999998"/>
    <n v="19.409836065573771"/>
    <n v="16.82122209907401"/>
    <m/>
    <n v="1.856531650863475"/>
    <n v="16.438356164383563"/>
    <n v="69.164666022614909"/>
    <n v="14.098901098901099"/>
    <n v="20.225052070774229"/>
    <m/>
  </r>
  <r>
    <n v="924"/>
    <x v="923"/>
    <n v="82"/>
    <m/>
    <n v="0"/>
    <n v="43.618400000000001"/>
    <n v="19.409836065573771"/>
    <n v="21.60716016777549"/>
    <m/>
    <n v="125.251830789778"/>
    <n v="16.438356164383563"/>
    <n v="67.808673724385073"/>
    <n v="14.098901098901099"/>
    <n v="11.819118402567049"/>
    <m/>
  </r>
  <r>
    <n v="925"/>
    <x v="924"/>
    <n v="51"/>
    <m/>
    <n v="0"/>
    <n v="43.771100000000004"/>
    <n v="19.409836065573771"/>
    <n v="10.75882476606429"/>
    <m/>
    <n v="125.251830789778"/>
    <n v="16.438356164383563"/>
    <n v="67.808673724385073"/>
    <n v="14.098901098901099"/>
    <n v="9.891546068450733"/>
    <m/>
  </r>
  <r>
    <n v="926"/>
    <x v="925"/>
    <n v="64"/>
    <m/>
    <n v="0"/>
    <n v="43.9238"/>
    <n v="19.409836065573771"/>
    <n v="10.56262666958934"/>
    <m/>
    <n v="21.372030235181079"/>
    <n v="16.438356164383563"/>
    <n v="68.950209994215797"/>
    <n v="14.098901098901099"/>
    <n v="13.019634611037709"/>
    <m/>
  </r>
  <r>
    <n v="927"/>
    <x v="926"/>
    <n v="63"/>
    <m/>
    <n v="0"/>
    <n v="44.076500000000003"/>
    <n v="19.409836065573771"/>
    <n v="28.42184325948865"/>
    <m/>
    <n v="1.856531650863475"/>
    <n v="16.438356164383563"/>
    <n v="69.164666022614909"/>
    <n v="14.098901098901099"/>
    <n v="15.050927353986831"/>
    <m/>
  </r>
  <r>
    <n v="928"/>
    <x v="927"/>
    <n v="71"/>
    <m/>
    <n v="0"/>
    <n v="44.229199999999999"/>
    <n v="19.409836065573771"/>
    <n v="19.42940060702993"/>
    <m/>
    <n v="125.251830789778"/>
    <n v="16.438356164383563"/>
    <n v="67.808673724385073"/>
    <n v="14.098901098901099"/>
    <n v="32.317430874047993"/>
    <m/>
  </r>
  <r>
    <n v="929"/>
    <x v="928"/>
    <n v="56"/>
    <m/>
    <n v="0"/>
    <n v="44.381900000000002"/>
    <n v="19.409836065573771"/>
    <n v="15.487534329912339"/>
    <m/>
    <n v="125.251830789778"/>
    <n v="16.438356164383563"/>
    <n v="67.808673724385073"/>
    <n v="14.098901098901099"/>
    <n v="25.083221590732009"/>
    <m/>
  </r>
  <r>
    <n v="930"/>
    <x v="929"/>
    <n v="41"/>
    <m/>
    <n v="0"/>
    <n v="44.534600000000005"/>
    <n v="19.409836065573771"/>
    <n v="16.386775789248059"/>
    <m/>
    <n v="21.372030235181079"/>
    <n v="16.438356164383563"/>
    <n v="68.950209994215797"/>
    <n v="14.098901098901099"/>
    <n v="20.663777229945541"/>
    <m/>
  </r>
  <r>
    <n v="931"/>
    <x v="930"/>
    <n v="68"/>
    <m/>
    <n v="0"/>
    <n v="44.6873"/>
    <n v="19.409836065573771"/>
    <n v="27.053006685233012"/>
    <m/>
    <n v="1.856531650863475"/>
    <n v="16.438356164383563"/>
    <n v="69.164666022614909"/>
    <n v="14.098901098901099"/>
    <n v="7.3359150024889628"/>
    <m/>
  </r>
  <r>
    <n v="932"/>
    <x v="931"/>
    <n v="56"/>
    <m/>
    <n v="0"/>
    <n v="44.84"/>
    <n v="19.409836065573771"/>
    <n v="10.066251562720799"/>
    <m/>
    <n v="125.251830789778"/>
    <n v="16.438356164383563"/>
    <n v="67.808673724385073"/>
    <n v="14.098901098901099"/>
    <n v="8.7428112829380922"/>
    <m/>
  </r>
  <r>
    <n v="933"/>
    <x v="932"/>
    <n v="58"/>
    <m/>
    <n v="0"/>
    <n v="44.992699999999999"/>
    <n v="19.409836065573771"/>
    <n v="12.110015976129439"/>
    <m/>
    <n v="125.251830789778"/>
    <n v="16.438356164383563"/>
    <n v="67.808673724385073"/>
    <n v="14.098901098901099"/>
    <n v="13.779641936409011"/>
    <m/>
  </r>
  <r>
    <n v="934"/>
    <x v="933"/>
    <n v="62"/>
    <m/>
    <n v="0"/>
    <n v="45.145400000000002"/>
    <n v="19.409836065573771"/>
    <n v="34.92717988979139"/>
    <m/>
    <n v="21.372030235181079"/>
    <n v="16.438356164383563"/>
    <n v="68.950209994215797"/>
    <n v="14.098901098901099"/>
    <n v="14.953861126960931"/>
    <m/>
  </r>
  <r>
    <n v="935"/>
    <x v="934"/>
    <n v="76"/>
    <m/>
    <n v="0"/>
    <n v="45.298099999999998"/>
    <n v="19.409836065573771"/>
    <n v="29.02614318653411"/>
    <m/>
    <n v="1.856531650863475"/>
    <n v="16.438356164383563"/>
    <n v="69.164666022614909"/>
    <n v="14.098901098901099"/>
    <n v="32.59312355769201"/>
    <m/>
  </r>
  <r>
    <n v="936"/>
    <x v="935"/>
    <n v="62"/>
    <m/>
    <n v="0"/>
    <n v="45.450800000000001"/>
    <n v="19.409836065573771"/>
    <n v="19.192933102501211"/>
    <m/>
    <n v="125.251830789778"/>
    <n v="16.438356164383563"/>
    <n v="67.808673724385073"/>
    <n v="14.098901098901099"/>
    <n v="24.200371299341359"/>
    <m/>
  </r>
  <r>
    <n v="937"/>
    <x v="936"/>
    <n v="62"/>
    <m/>
    <n v="0"/>
    <n v="45.603500000000004"/>
    <n v="19.409836065573771"/>
    <n v="19.31958329169619"/>
    <m/>
    <n v="125.251830789778"/>
    <n v="16.438356164383563"/>
    <n v="67.808673724385073"/>
    <n v="14.098901098901099"/>
    <n v="25.78356238254478"/>
    <m/>
  </r>
  <r>
    <n v="938"/>
    <x v="937"/>
    <n v="75"/>
    <m/>
    <n v="0"/>
    <n v="45.7562"/>
    <n v="19.409836065573771"/>
    <n v="15.169456724608169"/>
    <m/>
    <n v="21.372030235181079"/>
    <n v="16.438356164383563"/>
    <n v="68.950209994215797"/>
    <n v="14.098901098901099"/>
    <n v="16.739594618687239"/>
    <m/>
  </r>
  <r>
    <n v="939"/>
    <x v="938"/>
    <n v="56"/>
    <m/>
    <n v="0"/>
    <n v="45.908900000000003"/>
    <n v="19.409836065573771"/>
    <n v="19.79086460268238"/>
    <m/>
    <n v="1.856531650863475"/>
    <n v="16.438356164383563"/>
    <n v="69.164666022614909"/>
    <n v="14.098901098901099"/>
    <n v="8.9569714644377836"/>
    <m/>
  </r>
  <r>
    <n v="940"/>
    <x v="939"/>
    <n v="67"/>
    <m/>
    <n v="0"/>
    <n v="46.061599999999999"/>
    <n v="19.409836065573771"/>
    <n v="12.319188436906151"/>
    <m/>
    <n v="125.251830789778"/>
    <n v="16.438356164383563"/>
    <n v="67.808673724385073"/>
    <n v="14.098901098901099"/>
    <n v="12.21709981780065"/>
    <m/>
  </r>
  <r>
    <n v="941"/>
    <x v="940"/>
    <n v="75"/>
    <m/>
    <n v="0"/>
    <n v="46.214300000000001"/>
    <n v="19.409836065573771"/>
    <n v="27.186031498555749"/>
    <m/>
    <n v="125.251830789778"/>
    <n v="16.438356164383563"/>
    <n v="67.808673724385073"/>
    <n v="14.098901098901099"/>
    <n v="11.65994492948073"/>
    <m/>
  </r>
  <r>
    <n v="942"/>
    <x v="941"/>
    <n v="96"/>
    <m/>
    <n v="0"/>
    <n v="46.367000000000004"/>
    <n v="19.409836065573771"/>
    <n v="29.903665534364301"/>
    <m/>
    <n v="21.372030235181079"/>
    <n v="16.438356164383563"/>
    <n v="68.950209994215797"/>
    <n v="14.098901098901099"/>
    <n v="34.266083403913463"/>
    <m/>
  </r>
  <r>
    <n v="943"/>
    <x v="942"/>
    <n v="45"/>
    <m/>
    <n v="0"/>
    <n v="46.5197"/>
    <n v="19.409836065573771"/>
    <n v="24.364754681982191"/>
    <m/>
    <n v="1.856531650863475"/>
    <n v="16.438356164383563"/>
    <n v="69.164666022614909"/>
    <n v="14.098901098901099"/>
    <n v="27.129955701859419"/>
    <m/>
  </r>
  <r>
    <n v="944"/>
    <x v="943"/>
    <n v="89"/>
    <m/>
    <n v="0"/>
    <n v="46.672400000000003"/>
    <n v="19.409836065573771"/>
    <n v="20.84275928352967"/>
    <m/>
    <n v="125.251830789778"/>
    <n v="16.438356164383563"/>
    <n v="67.808673724385073"/>
    <n v="14.098901098901099"/>
    <n v="28.161887493175811"/>
    <m/>
  </r>
  <r>
    <n v="945"/>
    <x v="944"/>
    <n v="58"/>
    <m/>
    <n v="0"/>
    <n v="46.825099999999999"/>
    <n v="19.409836065573771"/>
    <n v="30.168071688596822"/>
    <m/>
    <n v="125.251830789778"/>
    <n v="16.438356164383563"/>
    <n v="67.808673724385073"/>
    <n v="14.098901098901099"/>
    <n v="15.66419982375885"/>
    <m/>
  </r>
  <r>
    <n v="946"/>
    <x v="945"/>
    <n v="57"/>
    <m/>
    <n v="0"/>
    <n v="46.977800000000002"/>
    <n v="19.409836065573771"/>
    <n v="23.964801359796859"/>
    <m/>
    <n v="21.372030235181079"/>
    <n v="16.438356164383563"/>
    <n v="68.950209994215797"/>
    <n v="14.098901098901099"/>
    <n v="9.7106874513022667"/>
    <m/>
  </r>
  <r>
    <n v="947"/>
    <x v="946"/>
    <n v="75"/>
    <m/>
    <n v="0"/>
    <n v="47.130499999999998"/>
    <n v="19.409836065573771"/>
    <n v="18.333048854986639"/>
    <m/>
    <n v="1.856531650863475"/>
    <n v="16.438356164383563"/>
    <n v="69.164666022614909"/>
    <n v="14.098901098901099"/>
    <n v="9.4090923159987199"/>
    <m/>
  </r>
  <r>
    <n v="948"/>
    <x v="947"/>
    <n v="70"/>
    <m/>
    <n v="0"/>
    <n v="47.283200000000001"/>
    <n v="19.409836065573771"/>
    <n v="32.049065579383679"/>
    <m/>
    <n v="125.251830789778"/>
    <n v="16.438356164383563"/>
    <n v="67.808673724385073"/>
    <n v="14.098901098901099"/>
    <n v="12.89540625999078"/>
    <m/>
  </r>
  <r>
    <n v="949"/>
    <x v="948"/>
    <n v="54"/>
    <m/>
    <n v="0"/>
    <n v="47.435900000000004"/>
    <n v="19.409836065573771"/>
    <n v="39.872576334653111"/>
    <m/>
    <n v="125.251830789778"/>
    <n v="16.438356164383563"/>
    <n v="67.808673724385073"/>
    <n v="14.098901098901099"/>
    <n v="33.195482219017848"/>
    <m/>
  </r>
  <r>
    <n v="950"/>
    <x v="949"/>
    <n v="54"/>
    <m/>
    <n v="0"/>
    <n v="47.5886"/>
    <n v="19.409836065573771"/>
    <n v="35.771595532880347"/>
    <m/>
    <n v="21.372030235181079"/>
    <n v="16.438356164383563"/>
    <n v="68.950209994215797"/>
    <n v="14.098901098901099"/>
    <n v="34.735040248317709"/>
    <m/>
  </r>
  <r>
    <n v="951"/>
    <x v="950"/>
    <n v="57"/>
    <m/>
    <n v="0"/>
    <n v="47.741300000000003"/>
    <n v="19.409836065573771"/>
    <n v="34.809300596342133"/>
    <m/>
    <n v="1.856531650863475"/>
    <n v="16.438356164383563"/>
    <n v="69.164666022614909"/>
    <n v="14.098901098901099"/>
    <n v="16.942317441545409"/>
    <m/>
  </r>
  <r>
    <n v="952"/>
    <x v="951"/>
    <n v="72"/>
    <m/>
    <n v="0"/>
    <n v="47.893999999999998"/>
    <n v="19.409836065573771"/>
    <n v="28.3902417962396"/>
    <m/>
    <n v="125.251830789778"/>
    <n v="16.438356164383563"/>
    <n v="67.808673724385073"/>
    <n v="14.098901098901099"/>
    <n v="12.56835683459351"/>
    <m/>
  </r>
  <r>
    <n v="953"/>
    <x v="952"/>
    <n v="50"/>
    <m/>
    <n v="0"/>
    <n v="48.046700000000001"/>
    <n v="19.409836065573771"/>
    <n v="34.75550305609918"/>
    <m/>
    <n v="125.251830789778"/>
    <n v="16.438356164383563"/>
    <n v="67.808673724385073"/>
    <n v="14.098901098901099"/>
    <n v="14.87782199711395"/>
    <m/>
  </r>
  <r>
    <n v="954"/>
    <x v="953"/>
    <n v="40"/>
    <m/>
    <n v="0"/>
    <n v="48.199400000000004"/>
    <n v="19.409836065573771"/>
    <n v="17.90234277901736"/>
    <m/>
    <n v="21.372030235181079"/>
    <n v="16.438356164383563"/>
    <n v="68.950209994215797"/>
    <n v="14.098901098901099"/>
    <n v="12.949073779417141"/>
    <m/>
  </r>
  <r>
    <n v="955"/>
    <x v="954"/>
    <n v="65"/>
    <m/>
    <n v="0"/>
    <n v="48.3521"/>
    <n v="19.409836065573771"/>
    <n v="22.758108125419561"/>
    <m/>
    <n v="1.856531650863475"/>
    <n v="16.438356164383563"/>
    <n v="69.164666022614909"/>
    <n v="14.098901098901099"/>
    <n v="24.260445525866078"/>
    <m/>
  </r>
  <r>
    <n v="956"/>
    <x v="955"/>
    <n v="67"/>
    <m/>
    <n v="0"/>
    <n v="48.504800000000003"/>
    <n v="19.409836065573771"/>
    <n v="28.918778322794239"/>
    <m/>
    <n v="125.251830789778"/>
    <n v="16.438356164383563"/>
    <n v="67.808673724385073"/>
    <n v="14.098901098901099"/>
    <n v="20.054477882800231"/>
    <m/>
  </r>
  <r>
    <n v="957"/>
    <x v="956"/>
    <n v="46"/>
    <m/>
    <n v="0"/>
    <n v="48.657499999999999"/>
    <n v="19.409836065573771"/>
    <n v="3.0205075937043588"/>
    <m/>
    <n v="125.251830789778"/>
    <n v="16.438356164383563"/>
    <n v="67.808673724385073"/>
    <n v="14.098901098901099"/>
    <n v="17.013337065211761"/>
    <m/>
  </r>
  <r>
    <n v="958"/>
    <x v="957"/>
    <n v="76"/>
    <m/>
    <n v="0"/>
    <n v="48.810200000000002"/>
    <n v="19.409836065573771"/>
    <n v="37.593549001687997"/>
    <m/>
    <n v="21.372030235181079"/>
    <n v="16.438356164383563"/>
    <n v="68.950209994215797"/>
    <n v="14.098901098901099"/>
    <n v="7.0079220549236716"/>
    <m/>
  </r>
  <r>
    <n v="959"/>
    <x v="958"/>
    <n v="50"/>
    <m/>
    <n v="0"/>
    <n v="48.962900000000005"/>
    <n v="19.409836065573771"/>
    <n v="37.331195173612947"/>
    <m/>
    <n v="1.856531650863475"/>
    <n v="16.438356164383563"/>
    <n v="69.164666022614909"/>
    <n v="14.098901098901099"/>
    <n v="15.766486943885591"/>
    <m/>
  </r>
  <r>
    <n v="960"/>
    <x v="959"/>
    <n v="60"/>
    <m/>
    <n v="0"/>
    <n v="49.115600000000001"/>
    <n v="19.409836065573771"/>
    <n v="38.139651744982828"/>
    <m/>
    <n v="125.251830789778"/>
    <n v="16.438356164383563"/>
    <n v="67.808673724385073"/>
    <n v="14.098901098901099"/>
    <n v="13.93498149508957"/>
    <m/>
  </r>
  <r>
    <n v="961"/>
    <x v="960"/>
    <n v="85"/>
    <m/>
    <n v="0"/>
    <n v="49.268300000000004"/>
    <n v="19.409836065573771"/>
    <n v="28.70077876485497"/>
    <m/>
    <n v="125.251830789778"/>
    <n v="16.438356164383563"/>
    <n v="67.808673724385073"/>
    <n v="14.098901098901099"/>
    <n v="36.791068967481678"/>
    <m/>
  </r>
  <r>
    <n v="962"/>
    <x v="961"/>
    <n v="50"/>
    <m/>
    <n v="0"/>
    <n v="49.420999999999999"/>
    <n v="19.409836065573771"/>
    <n v="13.497999146132861"/>
    <m/>
    <n v="21.372030235181079"/>
    <n v="16.438356164383563"/>
    <n v="68.950209994215797"/>
    <n v="14.098901098901099"/>
    <n v="27.924275563039402"/>
    <m/>
  </r>
  <r>
    <n v="963"/>
    <x v="962"/>
    <n v="66"/>
    <m/>
    <n v="0"/>
    <n v="49.573700000000002"/>
    <n v="19.409836065573771"/>
    <n v="19.145361567555732"/>
    <m/>
    <n v="1.856531650863475"/>
    <n v="16.438356164383563"/>
    <n v="69.164666022614909"/>
    <n v="14.098901098901099"/>
    <n v="29.08121542403131"/>
    <m/>
  </r>
  <r>
    <n v="964"/>
    <x v="963"/>
    <n v="46"/>
    <m/>
    <n v="0"/>
    <n v="49.726399999999998"/>
    <n v="19.409836065573771"/>
    <n v="12.61743709119056"/>
    <m/>
    <n v="125.251830789778"/>
    <n v="16.438356164383563"/>
    <n v="67.808673724385073"/>
    <n v="14.098901098901099"/>
    <n v="15.62691719599812"/>
    <m/>
  </r>
  <r>
    <n v="965"/>
    <x v="964"/>
    <n v="34"/>
    <m/>
    <n v="0"/>
    <n v="49.879100000000001"/>
    <n v="19.409836065573771"/>
    <n v="12.306670600306431"/>
    <m/>
    <n v="125.251830789778"/>
    <n v="16.438356164383563"/>
    <n v="67.808673724385073"/>
    <n v="14.098901098901099"/>
    <n v="8.4719426536357627"/>
    <m/>
  </r>
  <r>
    <n v="966"/>
    <x v="965"/>
    <n v="50"/>
    <m/>
    <n v="0"/>
    <n v="50.031800000000004"/>
    <n v="19.409836065573771"/>
    <n v="9.0464888177542839"/>
    <m/>
    <n v="21.372030235181079"/>
    <n v="16.438356164383563"/>
    <n v="68.950209994215797"/>
    <n v="14.098901098901099"/>
    <n v="8.5982007717525502"/>
    <m/>
  </r>
  <r>
    <n v="967"/>
    <x v="966"/>
    <n v="65"/>
    <m/>
    <n v="0"/>
    <n v="50.1845"/>
    <n v="19.409836065573771"/>
    <n v="26.322095530416821"/>
    <m/>
    <n v="1.856531650863475"/>
    <n v="16.438356164383563"/>
    <n v="69.164666022614909"/>
    <n v="14.098901098901099"/>
    <n v="12.44351596551313"/>
    <m/>
  </r>
  <r>
    <n v="968"/>
    <x v="967"/>
    <n v="40"/>
    <m/>
    <n v="0"/>
    <n v="50.337200000000003"/>
    <n v="19.409836065573771"/>
    <n v="18.116681772636031"/>
    <m/>
    <n v="125.251830789778"/>
    <n v="16.438356164383563"/>
    <n v="67.808673724385073"/>
    <n v="14.098901098901099"/>
    <n v="33.734153716198939"/>
    <m/>
  </r>
  <r>
    <n v="969"/>
    <x v="968"/>
    <n v="58"/>
    <m/>
    <n v="0"/>
    <n v="50.489899999999999"/>
    <n v="19.409836065573771"/>
    <n v="26.06705751046329"/>
    <m/>
    <n v="125.251830789778"/>
    <n v="16.438356164383563"/>
    <n v="67.808673724385073"/>
    <n v="14.098901098901099"/>
    <n v="27.102229092590662"/>
    <m/>
  </r>
  <r>
    <n v="970"/>
    <x v="969"/>
    <n v="47"/>
    <m/>
    <n v="0"/>
    <n v="50.642600000000002"/>
    <n v="19.409836065573771"/>
    <n v="13.86017197893848"/>
    <m/>
    <n v="21.372030235181079"/>
    <n v="16.438356164383563"/>
    <n v="68.950209994215797"/>
    <n v="14.098901098901099"/>
    <n v="18.950280590193159"/>
    <m/>
  </r>
  <r>
    <n v="971"/>
    <x v="970"/>
    <n v="52"/>
    <m/>
    <n v="0"/>
    <n v="50.795300000000005"/>
    <n v="19.409836065573771"/>
    <n v="16.92811170080105"/>
    <m/>
    <n v="1.856531650863475"/>
    <n v="16.438356164383563"/>
    <n v="69.164666022614909"/>
    <n v="14.098901098901099"/>
    <n v="16.935148709260432"/>
    <m/>
  </r>
  <r>
    <n v="972"/>
    <x v="971"/>
    <n v="84"/>
    <m/>
    <n v="0"/>
    <n v="50.948"/>
    <n v="19.409836065573771"/>
    <n v="20.202908041750948"/>
    <m/>
    <n v="125.251830789778"/>
    <n v="16.438356164383563"/>
    <n v="67.808673724385073"/>
    <n v="14.098901098901099"/>
    <n v="15.34731448496813"/>
    <m/>
  </r>
  <r>
    <n v="973"/>
    <x v="972"/>
    <n v="27"/>
    <m/>
    <n v="0"/>
    <n v="51.100700000000003"/>
    <n v="19.409836065573771"/>
    <n v="16.22086610260002"/>
    <m/>
    <n v="125.251830789778"/>
    <n v="16.438356164383563"/>
    <n v="67.808673724385073"/>
    <n v="14.098901098901099"/>
    <n v="13.23610234239664"/>
    <m/>
  </r>
  <r>
    <n v="974"/>
    <x v="973"/>
    <n v="48"/>
    <m/>
    <n v="0"/>
    <n v="51.253399999999999"/>
    <n v="19.409836065573771"/>
    <n v="19.63385681422141"/>
    <m/>
    <n v="21.372030235181079"/>
    <n v="16.438356164383563"/>
    <n v="68.950209994215797"/>
    <n v="14.098901098901099"/>
    <n v="21.216999298101818"/>
    <m/>
  </r>
  <r>
    <n v="975"/>
    <x v="974"/>
    <n v="73"/>
    <m/>
    <n v="0"/>
    <n v="51.406100000000002"/>
    <n v="19.409836065573771"/>
    <n v="20.510261806423429"/>
    <m/>
    <n v="1.856531650863475"/>
    <n v="16.438356164383563"/>
    <n v="69.164666022614909"/>
    <n v="14.098901098901099"/>
    <n v="32.855518388117979"/>
    <m/>
  </r>
  <r>
    <n v="976"/>
    <x v="975"/>
    <n v="42"/>
    <m/>
    <n v="0"/>
    <n v="51.558799999999998"/>
    <n v="19.409836065573771"/>
    <n v="24.28649700537613"/>
    <m/>
    <n v="125.251830789778"/>
    <n v="16.438356164383563"/>
    <n v="67.808673724385073"/>
    <n v="14.098901098901099"/>
    <n v="22.413194809261949"/>
    <m/>
  </r>
  <r>
    <n v="977"/>
    <x v="976"/>
    <n v="57"/>
    <m/>
    <n v="0"/>
    <n v="51.711500000000001"/>
    <n v="19.409836065573771"/>
    <n v="27.493862295407109"/>
    <m/>
    <n v="125.251830789778"/>
    <n v="16.438356164383563"/>
    <n v="67.808673724385073"/>
    <n v="14.098901098901099"/>
    <n v="24.68712688239923"/>
    <m/>
  </r>
  <r>
    <n v="978"/>
    <x v="977"/>
    <n v="63"/>
    <m/>
    <n v="0"/>
    <n v="51.864200000000004"/>
    <n v="19.409836065573771"/>
    <n v="22.954704108173718"/>
    <m/>
    <n v="21.372030235181079"/>
    <n v="16.438356164383563"/>
    <n v="68.950209994215797"/>
    <n v="14.098901098901099"/>
    <n v="6.627070715883919"/>
    <m/>
  </r>
  <r>
    <n v="979"/>
    <x v="978"/>
    <n v="52"/>
    <m/>
    <n v="0"/>
    <n v="52.0169"/>
    <n v="19.409836065573771"/>
    <n v="31.03726724777442"/>
    <m/>
    <n v="1.856531650863475"/>
    <n v="16.438356164383563"/>
    <n v="69.164666022614909"/>
    <n v="14.098901098901099"/>
    <n v="3.4138419452088442"/>
    <m/>
  </r>
  <r>
    <n v="980"/>
    <x v="979"/>
    <n v="52"/>
    <m/>
    <n v="0"/>
    <n v="52.169600000000003"/>
    <n v="19.409836065573771"/>
    <n v="29.414441534580579"/>
    <m/>
    <n v="125.251830789778"/>
    <n v="16.438356164383563"/>
    <n v="67.808673724385073"/>
    <n v="14.098901098901099"/>
    <n v="20.2612000771746"/>
    <m/>
  </r>
  <r>
    <n v="981"/>
    <x v="980"/>
    <n v="38"/>
    <m/>
    <n v="0"/>
    <n v="52.322299999999998"/>
    <n v="19.409836065573771"/>
    <n v="31.266746387088631"/>
    <m/>
    <n v="125.251830789778"/>
    <n v="16.438356164383563"/>
    <n v="67.808673724385073"/>
    <n v="14.098901098901099"/>
    <n v="14.535766272252451"/>
    <m/>
  </r>
  <r>
    <n v="982"/>
    <x v="981"/>
    <n v="52"/>
    <m/>
    <n v="0"/>
    <n v="52.475000000000001"/>
    <n v="19.409836065573771"/>
    <n v="35.815063522722461"/>
    <m/>
    <n v="21.372030235181079"/>
    <n v="16.438356164383563"/>
    <n v="68.950209994215797"/>
    <n v="14.098901098901099"/>
    <n v="11.21426943318221"/>
    <m/>
  </r>
  <r>
    <n v="983"/>
    <x v="982"/>
    <n v="53"/>
    <m/>
    <n v="0"/>
    <n v="52.627700000000004"/>
    <n v="19.409836065573771"/>
    <n v="34.600836712899728"/>
    <m/>
    <n v="1.856531650863475"/>
    <n v="16.438356164383563"/>
    <n v="69.164666022614909"/>
    <n v="14.098901098901099"/>
    <n v="25.207950401282289"/>
    <m/>
  </r>
  <r>
    <n v="984"/>
    <x v="983"/>
    <n v="35"/>
    <m/>
    <n v="0"/>
    <n v="52.7804"/>
    <n v="19.409836065573771"/>
    <n v="44.166145458082511"/>
    <m/>
    <n v="125.251830789778"/>
    <n v="16.438356164383563"/>
    <n v="67.808673724385073"/>
    <n v="14.098901098901099"/>
    <n v="22.99429837668243"/>
    <m/>
  </r>
  <r>
    <n v="985"/>
    <x v="984"/>
    <n v="40"/>
    <m/>
    <n v="0"/>
    <n v="52.933100000000003"/>
    <n v="19.409836065573771"/>
    <n v="43.752961949667537"/>
    <m/>
    <n v="125.251830789778"/>
    <n v="16.438356164383563"/>
    <n v="67.808673724385073"/>
    <n v="14.098901098901099"/>
    <n v="17.771636930206441"/>
    <m/>
  </r>
  <r>
    <n v="986"/>
    <x v="985"/>
    <n v="35"/>
    <m/>
    <n v="0"/>
    <n v="53.085799999999999"/>
    <n v="19.409836065573771"/>
    <n v="27.747337195762459"/>
    <m/>
    <n v="21.372030235181079"/>
    <n v="16.438356164383563"/>
    <n v="68.950209994215797"/>
    <n v="14.098901098901099"/>
    <n v="18.269210406248789"/>
    <m/>
  </r>
  <r>
    <n v="987"/>
    <x v="986"/>
    <n v="48"/>
    <m/>
    <n v="0"/>
    <n v="53.238500000000002"/>
    <n v="19.409836065573771"/>
    <n v="23.473603641112511"/>
    <m/>
    <n v="1.856531650863475"/>
    <n v="16.438356164383563"/>
    <n v="69.164666022614909"/>
    <n v="14.098901098901099"/>
    <n v="13.53465309701676"/>
    <m/>
  </r>
  <r>
    <n v="988"/>
    <x v="987"/>
    <n v="50"/>
    <m/>
    <n v="0"/>
    <n v="53.391199999999998"/>
    <n v="19.409836065573771"/>
    <n v="12.709699960260821"/>
    <m/>
    <n v="125.251830789778"/>
    <n v="16.438356164383563"/>
    <n v="67.808673724385073"/>
    <n v="14.098901098901099"/>
    <n v="12.677089279045299"/>
    <m/>
  </r>
  <r>
    <n v="989"/>
    <x v="988"/>
    <n v="51"/>
    <m/>
    <n v="0"/>
    <n v="53.543900000000001"/>
    <n v="19.409836065573771"/>
    <n v="17.11891579794877"/>
    <m/>
    <n v="125.251830789778"/>
    <n v="16.438356164383563"/>
    <n v="67.808673724385073"/>
    <n v="14.098901098901099"/>
    <n v="29.989442155616189"/>
    <m/>
  </r>
  <r>
    <n v="990"/>
    <x v="989"/>
    <n v="34"/>
    <m/>
    <n v="0"/>
    <n v="53.696600000000004"/>
    <n v="19.409836065573771"/>
    <n v="30.784089446272379"/>
    <m/>
    <n v="21.372030235181079"/>
    <n v="16.438356164383563"/>
    <n v="68.950209994215797"/>
    <n v="14.098901098901099"/>
    <n v="34.548702933471318"/>
    <m/>
  </r>
  <r>
    <n v="991"/>
    <x v="990"/>
    <n v="33"/>
    <m/>
    <n v="0"/>
    <n v="53.849299999999999"/>
    <n v="19.409836065573771"/>
    <n v="22.486602074663999"/>
    <m/>
    <n v="1.856531650863475"/>
    <n v="16.438356164383563"/>
    <n v="69.164666022614909"/>
    <n v="14.098901098901099"/>
    <n v="30.719368339180381"/>
    <m/>
  </r>
  <r>
    <n v="992"/>
    <x v="991"/>
    <n v="56"/>
    <m/>
    <n v="0"/>
    <n v="54.002000000000002"/>
    <n v="19.409836065573771"/>
    <n v="17.15917935599137"/>
    <m/>
    <n v="125.251830789778"/>
    <n v="16.438356164383563"/>
    <n v="67.808673724385073"/>
    <n v="14.098901098901099"/>
    <n v="16.68434136133472"/>
    <m/>
  </r>
  <r>
    <n v="993"/>
    <x v="992"/>
    <n v="72"/>
    <m/>
    <n v="0"/>
    <n v="54.154699999999998"/>
    <n v="19.409836065573771"/>
    <n v="32.166051063968133"/>
    <m/>
    <n v="125.251830789778"/>
    <n v="16.438356164383563"/>
    <n v="67.808673724385073"/>
    <n v="14.098901098901099"/>
    <n v="6.3460306484128726"/>
    <m/>
  </r>
  <r>
    <n v="994"/>
    <x v="993"/>
    <n v="62"/>
    <m/>
    <n v="0"/>
    <n v="54.307400000000001"/>
    <n v="19.409836065573771"/>
    <n v="36.099716711312468"/>
    <m/>
    <n v="21.372030235181079"/>
    <n v="16.438356164383563"/>
    <n v="68.950209994215797"/>
    <n v="14.098901098901099"/>
    <n v="4.9847475617297397"/>
    <m/>
  </r>
  <r>
    <n v="995"/>
    <x v="994"/>
    <n v="39"/>
    <m/>
    <n v="0"/>
    <n v="54.460100000000004"/>
    <n v="19.409836065573771"/>
    <n v="25.281848325109671"/>
    <m/>
    <n v="1.856531650863475"/>
    <n v="16.438356164383563"/>
    <n v="69.164666022614909"/>
    <n v="14.098901098901099"/>
    <n v="12.423695354698429"/>
    <m/>
  </r>
  <r>
    <n v="996"/>
    <x v="995"/>
    <n v="62"/>
    <m/>
    <n v="0"/>
    <n v="54.6128"/>
    <n v="19.409836065573771"/>
    <n v="29.716157196022142"/>
    <m/>
    <n v="125.251830789778"/>
    <n v="16.438356164383563"/>
    <n v="67.808673724385073"/>
    <n v="14.098901098901099"/>
    <n v="18.710458377770539"/>
    <m/>
  </r>
  <r>
    <n v="997"/>
    <x v="996"/>
    <n v="50"/>
    <m/>
    <n v="0"/>
    <n v="54.765500000000003"/>
    <n v="19.409836065573771"/>
    <n v="33.445522057597849"/>
    <m/>
    <n v="125.251830789778"/>
    <n v="16.438356164383563"/>
    <n v="67.808673724385073"/>
    <n v="14.098901098901099"/>
    <n v="20.666376536047132"/>
    <m/>
  </r>
  <r>
    <n v="998"/>
    <x v="997"/>
    <n v="44"/>
    <m/>
    <n v="0"/>
    <n v="54.918199999999999"/>
    <n v="19.409836065573771"/>
    <n v="27.83558392213304"/>
    <m/>
    <n v="21.372030235181079"/>
    <n v="16.438356164383563"/>
    <n v="68.950209994215797"/>
    <n v="14.098901098901099"/>
    <n v="15.309404353315569"/>
    <m/>
  </r>
  <r>
    <n v="999"/>
    <x v="998"/>
    <n v="48"/>
    <m/>
    <n v="0"/>
    <n v="55.070900000000002"/>
    <n v="19.409836065573771"/>
    <n v="29.37331746548605"/>
    <m/>
    <n v="1.856531650863475"/>
    <n v="16.438356164383563"/>
    <n v="69.164666022614909"/>
    <n v="14.098901098901099"/>
    <n v="22.150982701921311"/>
    <m/>
  </r>
  <r>
    <n v="1000"/>
    <x v="999"/>
    <n v="32"/>
    <m/>
    <n v="0"/>
    <n v="55.223600000000005"/>
    <n v="19.409836065573771"/>
    <n v="33.281835352726517"/>
    <m/>
    <n v="125.251830789778"/>
    <n v="16.438356164383563"/>
    <n v="67.808673724385073"/>
    <n v="14.098901098901099"/>
    <n v="16.638355670443591"/>
    <m/>
  </r>
  <r>
    <n v="1001"/>
    <x v="1000"/>
    <n v="35"/>
    <m/>
    <n v="0"/>
    <n v="55.376300000000001"/>
    <n v="19.409836065573771"/>
    <n v="27.790764825956529"/>
    <m/>
    <n v="125.251830789778"/>
    <n v="16.438356164383563"/>
    <n v="67.808673724385073"/>
    <n v="14.098901098901099"/>
    <n v="4.7312020707330111"/>
    <m/>
  </r>
  <r>
    <n v="1002"/>
    <x v="1001"/>
    <n v="39"/>
    <m/>
    <n v="0"/>
    <n v="55.529000000000003"/>
    <n v="19.409836065573771"/>
    <n v="40.815504218855708"/>
    <m/>
    <n v="21.372030235181079"/>
    <n v="16.438356164383563"/>
    <n v="68.950209994215797"/>
    <n v="14.098901098901099"/>
    <n v="20.529595003396459"/>
    <m/>
  </r>
  <r>
    <n v="1003"/>
    <x v="1002"/>
    <n v="34"/>
    <m/>
    <n v="0"/>
    <n v="55.681699999999999"/>
    <n v="19.409836065573771"/>
    <n v="33.958333675884127"/>
    <m/>
    <n v="1.856531650863475"/>
    <n v="16.438356164383563"/>
    <n v="69.164666022614909"/>
    <n v="14.098901098901099"/>
    <n v="29.869835555925569"/>
    <m/>
  </r>
  <r>
    <n v="1004"/>
    <x v="1003"/>
    <n v="43"/>
    <m/>
    <n v="0"/>
    <n v="55.834400000000002"/>
    <n v="19.409836065573771"/>
    <n v="31.77859241711726"/>
    <m/>
    <n v="125.251830789778"/>
    <n v="16.438356164383563"/>
    <n v="67.808673724385073"/>
    <n v="14.098901098901099"/>
    <n v="18.45177404913391"/>
    <m/>
  </r>
  <r>
    <n v="1005"/>
    <x v="1004"/>
    <n v="31"/>
    <m/>
    <n v="0"/>
    <n v="55.987099999999998"/>
    <n v="19.409836065573771"/>
    <n v="39.318608284158337"/>
    <m/>
    <n v="125.251830789778"/>
    <n v="16.438356164383563"/>
    <n v="67.808673724385073"/>
    <n v="14.098901098901099"/>
    <n v="26.00513249413806"/>
    <m/>
  </r>
  <r>
    <n v="1006"/>
    <x v="1005"/>
    <n v="28"/>
    <m/>
    <n v="0"/>
    <n v="56.139800000000001"/>
    <n v="19.409836065573771"/>
    <n v="19.338570686985019"/>
    <m/>
    <n v="21.372030235181079"/>
    <n v="16.438356164383563"/>
    <n v="68.950209994215797"/>
    <n v="14.098901098901099"/>
    <n v="28.672947536499251"/>
    <m/>
  </r>
  <r>
    <n v="1007"/>
    <x v="1006"/>
    <n v="26"/>
    <m/>
    <n v="0"/>
    <n v="56.292500000000004"/>
    <n v="19.409836065573771"/>
    <n v="31.77859241711726"/>
    <m/>
    <n v="1.856531650863475"/>
    <n v="16.438356164383563"/>
    <n v="69.164666022614909"/>
    <n v="14.098901098901099"/>
    <n v="8.9064889309934241"/>
    <m/>
  </r>
  <r>
    <n v="1008"/>
    <x v="1007"/>
    <n v="27"/>
    <m/>
    <n v="0"/>
    <n v="56.4452"/>
    <n v="19.409836065573771"/>
    <n v="17.071518000320062"/>
    <m/>
    <n v="125.251830789778"/>
    <n v="16.438356164383563"/>
    <n v="67.808673724385073"/>
    <n v="14.098901098901099"/>
    <n v="19.4335572186144"/>
    <m/>
  </r>
  <r>
    <n v="1009"/>
    <x v="1008"/>
    <n v="30"/>
    <m/>
    <n v="0"/>
    <n v="56.597900000000003"/>
    <n v="19.409836065573771"/>
    <n v="12.17923021083717"/>
    <m/>
    <n v="125.251830789778"/>
    <n v="16.438356164383563"/>
    <n v="67.808673724385073"/>
    <n v="14.098901098901099"/>
    <n v="6.3960322320632654"/>
    <m/>
  </r>
  <r>
    <n v="1010"/>
    <x v="1009"/>
    <n v="17"/>
    <m/>
    <n v="0"/>
    <n v="56.750599999999999"/>
    <n v="19.409836065573771"/>
    <n v="29.661096325928899"/>
    <m/>
    <n v="21.372030235181079"/>
    <n v="16.438356164383563"/>
    <n v="68.950209994215797"/>
    <n v="14.098901098901099"/>
    <n v="18.929281604243009"/>
    <m/>
  </r>
  <r>
    <n v="1011"/>
    <x v="1010"/>
    <n v="32"/>
    <m/>
    <n v="0"/>
    <n v="56.903300000000002"/>
    <n v="19.409836065573771"/>
    <n v="25.60526510724252"/>
    <m/>
    <n v="1.856531650863475"/>
    <n v="16.438356164383563"/>
    <n v="69.164666022614909"/>
    <n v="14.098901098901099"/>
    <n v="18.275435934397802"/>
    <m/>
  </r>
  <r>
    <n v="1012"/>
    <x v="1011"/>
    <n v="28"/>
    <m/>
    <n v="0"/>
    <n v="57.056000000000004"/>
    <n v="19.409836065573771"/>
    <n v="33.01614885799237"/>
    <m/>
    <n v="125.251830789778"/>
    <n v="16.438356164383563"/>
    <n v="67.808673724385073"/>
    <n v="14.098901098901099"/>
    <n v="32.042113112554652"/>
    <m/>
  </r>
  <r>
    <n v="1013"/>
    <x v="1012"/>
    <n v="33"/>
    <m/>
    <n v="0"/>
    <n v="57.2087"/>
    <n v="19.409836065573771"/>
    <n v="21.7488885605542"/>
    <m/>
    <n v="125.251830789778"/>
    <n v="16.438356164383563"/>
    <n v="67.808673724385073"/>
    <n v="14.098901098901099"/>
    <n v="18.085504800119949"/>
    <m/>
  </r>
  <r>
    <n v="1014"/>
    <x v="1013"/>
    <n v="38"/>
    <m/>
    <n v="0"/>
    <n v="57.361400000000003"/>
    <n v="19.409836065573771"/>
    <n v="38.493962011237301"/>
    <m/>
    <n v="21.372030235181079"/>
    <n v="16.438356164383563"/>
    <n v="68.950209994215797"/>
    <n v="14.098901098901099"/>
    <n v="31.120174486566199"/>
    <m/>
  </r>
  <r>
    <n v="1015"/>
    <x v="1014"/>
    <n v="26"/>
    <m/>
    <n v="0"/>
    <n v="57.514099999999999"/>
    <n v="19.409836065573771"/>
    <n v="33.930110621591012"/>
    <m/>
    <n v="1.856531650863475"/>
    <n v="16.438356164383563"/>
    <n v="69.164666022614909"/>
    <n v="14.098901098901099"/>
    <n v="16.816074880236471"/>
    <m/>
  </r>
  <r>
    <n v="1016"/>
    <x v="1015"/>
    <n v="17"/>
    <m/>
    <n v="0"/>
    <n v="57.666800000000002"/>
    <n v="19.409836065573771"/>
    <n v="21.232430631591409"/>
    <m/>
    <n v="125.251830789778"/>
    <n v="16.438356164383563"/>
    <n v="67.808673724385073"/>
    <n v="14.098901098901099"/>
    <n v="16.520501429564241"/>
    <m/>
  </r>
  <r>
    <n v="1017"/>
    <x v="1016"/>
    <n v="30"/>
    <m/>
    <n v="0"/>
    <n v="57.819499999999998"/>
    <n v="19.409836065573771"/>
    <n v="34.272094290019417"/>
    <m/>
    <n v="125.251830789778"/>
    <n v="16.438356164383563"/>
    <n v="67.808673724385073"/>
    <n v="14.098901098901099"/>
    <n v="15.79823665660906"/>
    <m/>
  </r>
  <r>
    <n v="1018"/>
    <x v="1017"/>
    <n v="30"/>
    <m/>
    <n v="0"/>
    <n v="57.972200000000001"/>
    <n v="19.409836065573771"/>
    <n v="17.194467135689472"/>
    <m/>
    <n v="21.372030235181079"/>
    <n v="16.438356164383563"/>
    <n v="68.950209994215797"/>
    <n v="14.098901098901099"/>
    <n v="18.712481540777819"/>
    <m/>
  </r>
  <r>
    <n v="1019"/>
    <x v="1018"/>
    <n v="33"/>
    <m/>
    <n v="0"/>
    <n v="58.124900000000004"/>
    <n v="19.409836065573771"/>
    <n v="26.795625715921929"/>
    <m/>
    <n v="1.856531650863475"/>
    <n v="16.438356164383563"/>
    <n v="69.164666022614909"/>
    <n v="14.098901098901099"/>
    <n v="32.771781411209339"/>
    <m/>
  </r>
  <r>
    <n v="1020"/>
    <x v="1019"/>
    <n v="29"/>
    <m/>
    <n v="0"/>
    <n v="58.2776"/>
    <n v="19.409836065573771"/>
    <n v="25.944028324833049"/>
    <m/>
    <n v="125.251830789778"/>
    <n v="16.438356164383563"/>
    <n v="67.808673724385073"/>
    <n v="14.098901098901099"/>
    <n v="16.677689317640311"/>
    <m/>
  </r>
  <r>
    <n v="1021"/>
    <x v="1020"/>
    <n v="59"/>
    <m/>
    <n v="0"/>
    <n v="58.430300000000003"/>
    <n v="19.409836065573771"/>
    <n v="12.291875970752431"/>
    <m/>
    <n v="125.251830789778"/>
    <n v="16.438356164383563"/>
    <n v="67.808673724385073"/>
    <n v="14.098901098901099"/>
    <n v="25.499743282845341"/>
    <m/>
  </r>
  <r>
    <n v="1022"/>
    <x v="1021"/>
    <n v="15"/>
    <m/>
    <n v="0"/>
    <n v="58.582999999999998"/>
    <n v="19.409836065573771"/>
    <n v="41.182443147471147"/>
    <m/>
    <n v="21.372030235181079"/>
    <n v="16.438356164383563"/>
    <n v="68.950209994215797"/>
    <n v="14.098901098901099"/>
    <n v="15.765763112992831"/>
    <m/>
  </r>
  <r>
    <n v="1023"/>
    <x v="1022"/>
    <n v="18"/>
    <m/>
    <n v="0"/>
    <n v="58.735700000000001"/>
    <n v="19.409836065573771"/>
    <n v="34.274774957638563"/>
    <m/>
    <n v="1.856531650863475"/>
    <n v="16.438356164383563"/>
    <n v="69.164666022614909"/>
    <n v="14.098901098901099"/>
    <n v="5.9843332172139911"/>
    <m/>
  </r>
  <r>
    <n v="1024"/>
    <x v="1023"/>
    <n v="15"/>
    <m/>
    <n v="0"/>
    <n v="58.888400000000004"/>
    <n v="19.409836065573771"/>
    <n v="33.184745526548603"/>
    <m/>
    <n v="125.251830789778"/>
    <n v="16.438356164383563"/>
    <n v="67.808673724385073"/>
    <n v="14.098901098901099"/>
    <n v="24.713059427947961"/>
    <m/>
  </r>
  <r>
    <n v="1025"/>
    <x v="1024"/>
    <n v="34"/>
    <m/>
    <n v="0"/>
    <n v="59.0411"/>
    <n v="19.409836065573771"/>
    <n v="21.784402765708759"/>
    <m/>
    <n v="125.251830789778"/>
    <n v="16.438356164383563"/>
    <n v="67.808673724385073"/>
    <n v="14.098901098901099"/>
    <n v="13.666369739897171"/>
    <m/>
  </r>
  <r>
    <n v="1026"/>
    <x v="1025"/>
    <n v="31"/>
    <m/>
    <n v="0"/>
    <n v="59.193800000000003"/>
    <n v="19.409836065573771"/>
    <n v="22.345010084732738"/>
    <m/>
    <n v="21.372030235181079"/>
    <n v="16.438356164383563"/>
    <n v="68.950209994215797"/>
    <n v="14.098901098901099"/>
    <n v="23.80847000123843"/>
    <m/>
  </r>
  <r>
    <n v="1027"/>
    <x v="1026"/>
    <n v="8"/>
    <m/>
    <n v="0"/>
    <n v="59.346499999999999"/>
    <n v="19.409836065573771"/>
    <n v="25.158175433496488"/>
    <m/>
    <n v="1.856531650863475"/>
    <n v="16.438356164383563"/>
    <n v="69.164666022614909"/>
    <n v="14.098901098901099"/>
    <n v="17.547186268290641"/>
    <m/>
  </r>
  <r>
    <n v="1028"/>
    <x v="1027"/>
    <n v="25"/>
    <m/>
    <n v="0"/>
    <n v="59.499200000000002"/>
    <n v="19.409836065573771"/>
    <n v="13.985165497441161"/>
    <m/>
    <n v="125.251830789778"/>
    <n v="16.438356164383563"/>
    <n v="67.808673724385073"/>
    <n v="14.098901098901099"/>
    <n v="16.660117283075621"/>
    <m/>
  </r>
  <r>
    <n v="1029"/>
    <x v="1028"/>
    <n v="9"/>
    <m/>
    <n v="0"/>
    <n v="59.651900000000005"/>
    <n v="19.409836065573771"/>
    <n v="31.116477577766631"/>
    <m/>
    <n v="125.251830789778"/>
    <n v="16.438356164383563"/>
    <n v="67.808673724385073"/>
    <n v="14.098901098901099"/>
    <n v="13.904857359131469"/>
    <m/>
  </r>
  <r>
    <n v="1030"/>
    <x v="1029"/>
    <n v="21"/>
    <m/>
    <n v="0"/>
    <n v="59.804600000000001"/>
    <n v="19.409836065573771"/>
    <n v="26.804989248595881"/>
    <m/>
    <n v="21.372030235181079"/>
    <n v="16.438356164383563"/>
    <n v="68.950209994215797"/>
    <n v="14.098901098901099"/>
    <n v="29.908416848720421"/>
    <m/>
  </r>
  <r>
    <n v="1031"/>
    <x v="1030"/>
    <n v="13"/>
    <m/>
    <n v="0"/>
    <n v="59.957300000000004"/>
    <n v="19.409836065573771"/>
    <n v="37.052403952131883"/>
    <m/>
    <n v="1.856531650863475"/>
    <n v="16.438356164383563"/>
    <n v="69.164666022614909"/>
    <n v="14.098901098901099"/>
    <n v="13.32821197019118"/>
    <m/>
  </r>
  <r>
    <n v="1032"/>
    <x v="1031"/>
    <n v="10"/>
    <m/>
    <n v="0"/>
    <n v="60.11"/>
    <n v="19.409836065573771"/>
    <n v="32.72311628321021"/>
    <m/>
    <n v="125.251830789778"/>
    <n v="16.438356164383563"/>
    <n v="67.808673724385073"/>
    <n v="14.098901098901099"/>
    <n v="30.086817384569041"/>
    <m/>
  </r>
  <r>
    <n v="1033"/>
    <x v="1032"/>
    <n v="16"/>
    <m/>
    <n v="0"/>
    <n v="60.262700000000002"/>
    <n v="19.409836065573771"/>
    <n v="35.782913993705449"/>
    <m/>
    <n v="125.251830789778"/>
    <n v="16.438356164383563"/>
    <n v="67.808673724385073"/>
    <n v="14.098901098901099"/>
    <n v="19.9473001999872"/>
    <m/>
  </r>
  <r>
    <n v="1034"/>
    <x v="1033"/>
    <n v="14"/>
    <m/>
    <n v="0"/>
    <n v="60.415399999999998"/>
    <n v="19.409836065573771"/>
    <n v="28.681673642404569"/>
    <m/>
    <n v="21.372030235181079"/>
    <n v="16.438356164383563"/>
    <n v="68.950209994215797"/>
    <n v="14.098901098901099"/>
    <n v="15.266335016531031"/>
    <m/>
  </r>
  <r>
    <n v="1035"/>
    <x v="1034"/>
    <n v="7"/>
    <m/>
    <n v="0"/>
    <n v="60.568100000000001"/>
    <n v="19.409836065573771"/>
    <n v="27.487036875067499"/>
    <m/>
    <n v="1.856531650863475"/>
    <n v="16.438356164383563"/>
    <n v="69.164666022614909"/>
    <n v="14.098901098901099"/>
    <n v="5.3080738796656144"/>
    <m/>
  </r>
  <r>
    <n v="1036"/>
    <x v="1035"/>
    <n v="19"/>
    <m/>
    <n v="0"/>
    <n v="60.720800000000004"/>
    <n v="19.409836065573771"/>
    <n v="27.031563755888111"/>
    <m/>
    <n v="125.251830789778"/>
    <n v="16.438356164383563"/>
    <n v="67.808673724385073"/>
    <n v="14.098901098901099"/>
    <n v="20.084314568954682"/>
    <m/>
  </r>
  <r>
    <n v="1037"/>
    <x v="1036"/>
    <n v="23"/>
    <m/>
    <n v="0"/>
    <n v="60.8735"/>
    <n v="19.409836065573771"/>
    <n v="19.67823453231556"/>
    <m/>
    <n v="125.251830789778"/>
    <n v="16.438356164383563"/>
    <n v="67.808673724385073"/>
    <n v="14.098901098901099"/>
    <n v="22.00652477292131"/>
    <m/>
  </r>
  <r>
    <n v="1038"/>
    <x v="1037"/>
    <n v="25"/>
    <m/>
    <n v="0"/>
    <n v="61.026200000000003"/>
    <n v="19.409836065573771"/>
    <n v="31.578137315690149"/>
    <m/>
    <n v="21.372030235181079"/>
    <n v="16.438356164383563"/>
    <n v="68.950209994215797"/>
    <n v="14.098901098901099"/>
    <n v="19.843814082436609"/>
    <m/>
  </r>
  <r>
    <n v="1039"/>
    <x v="1038"/>
    <n v="14"/>
    <m/>
    <n v="0"/>
    <n v="61.178899999999999"/>
    <n v="19.409836065573771"/>
    <n v="28.921959201570861"/>
    <m/>
    <n v="1.856531650863475"/>
    <n v="16.438356164383563"/>
    <n v="69.164666022614909"/>
    <n v="14.098901098901099"/>
    <n v="21.616997937749879"/>
    <m/>
  </r>
  <r>
    <n v="1040"/>
    <x v="1039"/>
    <n v="7"/>
    <m/>
    <n v="0"/>
    <n v="61.331600000000002"/>
    <n v="19.409836065573771"/>
    <n v="35.154470066455403"/>
    <m/>
    <n v="125.251830789778"/>
    <n v="16.438356164383563"/>
    <n v="67.808673724385073"/>
    <n v="14.098901098901099"/>
    <n v="17.714265748307159"/>
    <m/>
  </r>
  <r>
    <n v="1041"/>
    <x v="1040"/>
    <n v="16"/>
    <m/>
    <n v="0"/>
    <n v="61.484300000000005"/>
    <n v="19.409836065573771"/>
    <n v="36.744147897277301"/>
    <m/>
    <n v="125.251830789778"/>
    <n v="16.438356164383563"/>
    <n v="67.808673724385073"/>
    <n v="14.098901098901099"/>
    <n v="11.422637663580479"/>
    <m/>
  </r>
  <r>
    <n v="1042"/>
    <x v="1041"/>
    <n v="16"/>
    <m/>
    <n v="0"/>
    <n v="61.637"/>
    <n v="19.409836065573771"/>
    <n v="37.252634589060612"/>
    <m/>
    <n v="21.372030235181079"/>
    <n v="16.438356164383563"/>
    <n v="68.950209994215797"/>
    <n v="14.098901098901099"/>
    <n v="29.065452352334059"/>
    <m/>
  </r>
  <r>
    <n v="1043"/>
    <x v="1042"/>
    <n v="16"/>
    <m/>
    <n v="0"/>
    <n v="61.789700000000003"/>
    <n v="19.409836065573771"/>
    <n v="50.346347907974511"/>
    <m/>
    <n v="1.856531650863475"/>
    <n v="16.438356164383563"/>
    <n v="69.164666022614909"/>
    <n v="14.098901098901099"/>
    <n v="25.392807000139669"/>
    <m/>
  </r>
  <r>
    <n v="1044"/>
    <x v="1043"/>
    <n v="3"/>
    <m/>
    <n v="0"/>
    <n v="61.942399999999999"/>
    <n v="19.409836065573771"/>
    <n v="20.12738197969853"/>
    <m/>
    <n v="125.251830789778"/>
    <n v="16.438356164383563"/>
    <n v="67.808673724385073"/>
    <n v="14.098901098901099"/>
    <n v="29.502023792251599"/>
    <m/>
  </r>
  <r>
    <n v="1045"/>
    <x v="1044"/>
    <n v="16"/>
    <m/>
    <n v="0"/>
    <n v="62.095100000000002"/>
    <n v="19.409836065573771"/>
    <n v="20.65037063016646"/>
    <m/>
    <n v="125.251830789778"/>
    <n v="16.438356164383563"/>
    <n v="67.808673724385073"/>
    <n v="14.098901098901099"/>
    <n v="15.465168866650011"/>
    <m/>
  </r>
  <r>
    <n v="1046"/>
    <x v="1045"/>
    <n v="24"/>
    <m/>
    <n v="0"/>
    <n v="62.247799999999998"/>
    <n v="19.409836065573771"/>
    <n v="8.3150519509440688"/>
    <m/>
    <n v="21.372030235181079"/>
    <n v="16.438356164383563"/>
    <n v="68.950209994215797"/>
    <n v="14.098901098901099"/>
    <n v="19.36438992172971"/>
    <m/>
  </r>
  <r>
    <n v="1047"/>
    <x v="1046"/>
    <n v="6"/>
    <m/>
    <n v="0"/>
    <n v="62.400500000000001"/>
    <n v="19.409836065573771"/>
    <n v="9.0891552970826801"/>
    <m/>
    <n v="1.856531650863475"/>
    <n v="16.438356164383563"/>
    <n v="69.164666022614909"/>
    <n v="14.098901098901099"/>
    <n v="9.1524792737185372"/>
    <m/>
  </r>
  <r>
    <n v="1048"/>
    <x v="1047"/>
    <n v="13"/>
    <m/>
    <n v="0"/>
    <n v="62.553200000000004"/>
    <n v="19.409836065573771"/>
    <n v="16.346524840524449"/>
    <m/>
    <n v="125.251830789778"/>
    <n v="16.438356164383563"/>
    <n v="67.808673724385073"/>
    <n v="14.098901098901099"/>
    <n v="23.33536362992432"/>
    <m/>
  </r>
  <r>
    <n v="1049"/>
    <x v="1048"/>
    <n v="5"/>
    <m/>
    <n v="0"/>
    <n v="62.7059"/>
    <n v="19.409836065573771"/>
    <n v="19.05238289900289"/>
    <m/>
    <n v="125.251830789778"/>
    <n v="16.438356164383563"/>
    <n v="67.808673724385073"/>
    <n v="14.098901098901099"/>
    <n v="26.070888771064521"/>
    <m/>
  </r>
  <r>
    <n v="1050"/>
    <x v="1049"/>
    <n v="5"/>
    <m/>
    <n v="0"/>
    <n v="62.858600000000003"/>
    <n v="19.409836065573771"/>
    <n v="25.23275802095193"/>
    <m/>
    <n v="21.372030235181079"/>
    <n v="16.438356164383563"/>
    <n v="68.950209994215797"/>
    <n v="14.098901098901099"/>
    <n v="20.94392948607361"/>
    <m/>
  </r>
  <r>
    <n v="1051"/>
    <x v="1050"/>
    <n v="21"/>
    <m/>
    <n v="0"/>
    <n v="63.011299999999999"/>
    <n v="19.409836065573771"/>
    <n v="9.8662220258647917"/>
    <m/>
    <n v="1.856531650863475"/>
    <n v="16.438356164383563"/>
    <n v="69.164666022614909"/>
    <n v="14.098901098901099"/>
    <n v="6.8480288897320278"/>
    <m/>
  </r>
  <r>
    <n v="1052"/>
    <x v="1051"/>
    <n v="10"/>
    <m/>
    <n v="0"/>
    <n v="63.164000000000001"/>
    <n v="19.409836065573771"/>
    <n v="10.811331675873211"/>
    <m/>
    <n v="125.251830789778"/>
    <n v="16.438356164383563"/>
    <n v="67.808673724385073"/>
    <n v="14.098901098901099"/>
    <n v="20.435850350063639"/>
    <m/>
  </r>
  <r>
    <n v="1053"/>
    <x v="1052"/>
    <n v="29"/>
    <m/>
    <n v="0"/>
    <n v="63.316700000000004"/>
    <n v="19.409836065573771"/>
    <n v="19.81116487399138"/>
    <m/>
    <n v="125.251830789778"/>
    <n v="16.438356164383563"/>
    <n v="67.808673724385073"/>
    <n v="14.098901098901099"/>
    <n v="16.900319975805569"/>
    <m/>
  </r>
  <r>
    <n v="1054"/>
    <x v="1053"/>
    <n v="20"/>
    <m/>
    <n v="0"/>
    <n v="63.4694"/>
    <n v="19.409836065573771"/>
    <n v="20.601436535393439"/>
    <m/>
    <n v="21.372030235181079"/>
    <n v="16.438356164383563"/>
    <n v="68.950209994215797"/>
    <n v="14.098901098901099"/>
    <n v="26.454064944901809"/>
    <m/>
  </r>
  <r>
    <n v="1055"/>
    <x v="1054"/>
    <n v="15"/>
    <m/>
    <n v="0"/>
    <n v="63.622100000000003"/>
    <n v="19.409836065573771"/>
    <n v="12.59045011285049"/>
    <m/>
    <n v="1.856531650863475"/>
    <n v="16.438356164383563"/>
    <n v="69.164666022614909"/>
    <n v="14.098901098901099"/>
    <n v="27.944948952604641"/>
    <m/>
  </r>
  <r>
    <n v="1056"/>
    <x v="1055"/>
    <n v="6"/>
    <m/>
    <n v="0"/>
    <n v="63.774799999999999"/>
    <n v="19.409836065573771"/>
    <n v="9.2469859048730019"/>
    <m/>
    <n v="125.251830789778"/>
    <n v="16.438356164383563"/>
    <n v="67.808673724385073"/>
    <n v="14.098901098901099"/>
    <n v="26.75104018827183"/>
    <m/>
  </r>
  <r>
    <n v="1057"/>
    <x v="1056"/>
    <n v="13"/>
    <m/>
    <n v="0"/>
    <n v="63.927500000000002"/>
    <n v="19.409836065573771"/>
    <n v="28.067439008200651"/>
    <m/>
    <n v="125.251830789778"/>
    <n v="16.438356164383563"/>
    <n v="67.808673724385073"/>
    <n v="14.098901098901099"/>
    <n v="23.996819750146969"/>
    <m/>
  </r>
  <r>
    <n v="1058"/>
    <x v="1057"/>
    <n v="5"/>
    <m/>
    <n v="0"/>
    <n v="64.080200000000005"/>
    <n v="19.409836065573771"/>
    <n v="26.03744705557229"/>
    <m/>
    <n v="21.372030235181079"/>
    <n v="16.438356164383563"/>
    <n v="68.950209994215797"/>
    <n v="14.098901098901099"/>
    <n v="12.820618300050111"/>
    <m/>
  </r>
  <r>
    <n v="1059"/>
    <x v="1058"/>
    <n v="14"/>
    <m/>
    <n v="0"/>
    <n v="64.232900000000001"/>
    <n v="19.409836065573771"/>
    <n v="17.523751435180071"/>
    <m/>
    <n v="1.856531650863475"/>
    <n v="16.438356164383563"/>
    <n v="69.164666022614909"/>
    <n v="14.098901098901099"/>
    <n v="10.30177456282221"/>
    <m/>
  </r>
  <r>
    <n v="1060"/>
    <x v="1059"/>
    <n v="10"/>
    <m/>
    <n v="0"/>
    <n v="64.385599999999997"/>
    <n v="19.409836065573771"/>
    <n v="24.209273218985381"/>
    <m/>
    <n v="125.251830789778"/>
    <n v="16.438356164383563"/>
    <n v="67.808673724385073"/>
    <n v="14.098901098901099"/>
    <n v="20.700717523674321"/>
    <m/>
  </r>
  <r>
    <n v="1061"/>
    <x v="1060"/>
    <n v="14"/>
    <m/>
    <n v="0"/>
    <n v="64.538300000000007"/>
    <n v="19.409836065573771"/>
    <n v="22.084393558448301"/>
    <m/>
    <n v="125.251830789778"/>
    <n v="16.438356164383563"/>
    <n v="67.808673724385073"/>
    <n v="14.098901098901099"/>
    <n v="29.343644488426989"/>
    <m/>
  </r>
  <r>
    <n v="1062"/>
    <x v="1061"/>
    <n v="3"/>
    <m/>
    <n v="0"/>
    <n v="64.691000000000003"/>
    <n v="19.409836065573771"/>
    <n v="16.442438578996448"/>
    <m/>
    <n v="21.372030235181079"/>
    <n v="16.438356164383563"/>
    <n v="68.950209994215797"/>
    <n v="14.098901098901099"/>
    <n v="30.5185834025588"/>
    <m/>
  </r>
  <r>
    <n v="1063"/>
    <x v="1062"/>
    <n v="10"/>
    <m/>
    <n v="0"/>
    <n v="64.843699999999998"/>
    <n v="19.409836065573771"/>
    <n v="13.98827956581367"/>
    <m/>
    <n v="1.856531650863475"/>
    <n v="16.438356164383563"/>
    <n v="69.164666022614909"/>
    <n v="14.098901098901099"/>
    <n v="31.93514549402985"/>
    <m/>
  </r>
  <r>
    <n v="1064"/>
    <x v="1063"/>
    <n v="3"/>
    <m/>
    <n v="0"/>
    <n v="64.996400000000008"/>
    <n v="19.409836065573771"/>
    <n v="39.775163145060027"/>
    <m/>
    <n v="125.251830789778"/>
    <n v="16.438356164383563"/>
    <n v="67.808673724385073"/>
    <n v="14.098901098901099"/>
    <n v="13.374663437188911"/>
    <m/>
  </r>
  <r>
    <n v="1065"/>
    <x v="1064"/>
    <n v="8"/>
    <m/>
    <n v="0"/>
    <n v="65.149100000000004"/>
    <n v="19.409836065573771"/>
    <n v="31.542491878540631"/>
    <m/>
    <n v="125.251830789778"/>
    <n v="16.438356164383563"/>
    <n v="67.808673724385073"/>
    <n v="14.098901098901099"/>
    <n v="4.841228147427155"/>
    <m/>
  </r>
  <r>
    <n v="1066"/>
    <x v="1065"/>
    <n v="4"/>
    <m/>
    <n v="0"/>
    <n v="65.3018"/>
    <n v="19.409836065573771"/>
    <n v="29.740780349910182"/>
    <m/>
    <n v="21.372030235181079"/>
    <n v="16.438356164383563"/>
    <n v="68.950209994215797"/>
    <n v="14.098901098901099"/>
    <n v="19.224415716757491"/>
    <m/>
  </r>
  <r>
    <n v="1067"/>
    <x v="1066"/>
    <n v="22"/>
    <m/>
    <n v="0"/>
    <n v="65.454499999999996"/>
    <n v="19.409836065573771"/>
    <n v="21.412927348402249"/>
    <m/>
    <n v="1.856531650863475"/>
    <n v="16.438356164383563"/>
    <n v="69.164666022614909"/>
    <n v="14.098901098901099"/>
    <n v="21.787613064648621"/>
    <m/>
  </r>
  <r>
    <n v="1068"/>
    <x v="1067"/>
    <n v="5"/>
    <m/>
    <n v="0"/>
    <n v="65.607200000000006"/>
    <n v="19.409836065573771"/>
    <n v="22.39199854172314"/>
    <m/>
    <n v="125.251830789778"/>
    <n v="16.438356164383563"/>
    <n v="67.808673724385073"/>
    <n v="14.098901098901099"/>
    <n v="25.27552296750638"/>
    <m/>
  </r>
  <r>
    <n v="1069"/>
    <x v="1068"/>
    <n v="5"/>
    <m/>
    <n v="0"/>
    <n v="65.759900000000002"/>
    <n v="19.409836065573771"/>
    <n v="18.2317156886599"/>
    <m/>
    <n v="125.251830789778"/>
    <n v="16.438356164383563"/>
    <n v="67.808673724385073"/>
    <n v="14.098901098901099"/>
    <n v="14.239782585025869"/>
    <m/>
  </r>
  <r>
    <n v="1070"/>
    <x v="1069"/>
    <n v="10"/>
    <m/>
    <n v="0"/>
    <n v="65.912599999999998"/>
    <n v="19.409836065573771"/>
    <n v="16.186867411908651"/>
    <m/>
    <n v="21.372030235181079"/>
    <n v="16.438356164383563"/>
    <n v="68.950209994215797"/>
    <n v="14.098901098901099"/>
    <n v="19.673378863084061"/>
    <m/>
  </r>
  <r>
    <n v="1071"/>
    <x v="1070"/>
    <n v="10"/>
    <m/>
    <n v="0"/>
    <n v="66.065300000000008"/>
    <n v="19.409836065573771"/>
    <n v="28.71339691539486"/>
    <m/>
    <n v="1.856531650863475"/>
    <n v="16.438356164383563"/>
    <n v="69.164666022614909"/>
    <n v="14.098901098901099"/>
    <n v="15.54287421108808"/>
    <m/>
  </r>
  <r>
    <n v="1072"/>
    <x v="1071"/>
    <n v="8"/>
    <m/>
    <n v="0"/>
    <n v="66.218000000000004"/>
    <n v="19.409836065573771"/>
    <n v="29.753869030373028"/>
    <m/>
    <n v="125.251830789778"/>
    <n v="16.438356164383563"/>
    <n v="67.808673724385073"/>
    <n v="14.098901098901099"/>
    <n v="19.19907810041617"/>
    <m/>
  </r>
  <r>
    <n v="1073"/>
    <x v="1072"/>
    <n v="14"/>
    <m/>
    <n v="0"/>
    <n v="66.370699999999999"/>
    <n v="19.409836065573771"/>
    <n v="33.309041830717433"/>
    <m/>
    <n v="125.251830789778"/>
    <n v="16.438356164383563"/>
    <n v="67.808673724385073"/>
    <n v="14.098901098901099"/>
    <n v="25.120393899514639"/>
    <m/>
  </r>
  <r>
    <n v="1074"/>
    <x v="1073"/>
    <n v="16"/>
    <m/>
    <n v="0"/>
    <n v="66.523399999999995"/>
    <n v="19.409836065573771"/>
    <n v="38.138238711770889"/>
    <m/>
    <n v="21.372030235181079"/>
    <n v="16.438356164383563"/>
    <n v="68.950209994215797"/>
    <n v="14.098901098901099"/>
    <n v="27.8746035916861"/>
    <m/>
  </r>
  <r>
    <n v="1075"/>
    <x v="1074"/>
    <n v="4"/>
    <m/>
    <n v="0"/>
    <n v="66.676100000000005"/>
    <n v="19.409836065573771"/>
    <n v="37.376362819020578"/>
    <m/>
    <n v="1.856531650863475"/>
    <n v="16.438356164383563"/>
    <n v="69.164666022614909"/>
    <n v="14.098901098901099"/>
    <n v="14.16113721090956"/>
    <m/>
  </r>
  <r>
    <n v="1076"/>
    <x v="1075"/>
    <n v="4"/>
    <m/>
    <n v="0"/>
    <n v="66.828800000000001"/>
    <n v="19.409836065573771"/>
    <n v="37.337844408782338"/>
    <m/>
    <n v="125.251830789778"/>
    <n v="16.438356164383563"/>
    <n v="67.808673724385073"/>
    <n v="14.098901098901099"/>
    <n v="20.875603491448281"/>
    <m/>
  </r>
  <r>
    <n v="1077"/>
    <x v="1076"/>
    <n v="4"/>
    <m/>
    <n v="0"/>
    <n v="66.981499999999997"/>
    <n v="19.409836065573771"/>
    <n v="15.772284625595219"/>
    <m/>
    <n v="125.251830789778"/>
    <n v="16.438356164383563"/>
    <n v="67.808673724385073"/>
    <n v="14.098901098901099"/>
    <n v="11.860783375628721"/>
    <m/>
  </r>
  <r>
    <n v="1078"/>
    <x v="1077"/>
    <n v="3"/>
    <m/>
    <n v="0"/>
    <n v="67.134200000000007"/>
    <n v="19.409836065573771"/>
    <n v="21.52138760362708"/>
    <m/>
    <n v="21.372030235181079"/>
    <n v="16.438356164383563"/>
    <n v="68.950209994215797"/>
    <n v="14.098901098901099"/>
    <n v="16.485540097186671"/>
    <m/>
  </r>
  <r>
    <n v="1079"/>
    <x v="1078"/>
    <n v="4"/>
    <m/>
    <n v="0"/>
    <n v="67.286900000000003"/>
    <n v="19.409836065573771"/>
    <n v="9.3564400794553091"/>
    <m/>
    <n v="1.856531650863475"/>
    <n v="16.438356164383563"/>
    <n v="69.164666022614909"/>
    <n v="14.098901098901099"/>
    <n v="27.704540795491049"/>
    <m/>
  </r>
  <r>
    <n v="1080"/>
    <x v="1079"/>
    <n v="1"/>
    <m/>
    <n v="0"/>
    <n v="67.439599999999999"/>
    <n v="19.409836065573771"/>
    <n v="8.5902802260827116"/>
    <m/>
    <n v="125.251830789778"/>
    <n v="16.438356164383563"/>
    <n v="67.808673724385073"/>
    <n v="14.098901098901099"/>
    <n v="37.843377278963303"/>
    <m/>
  </r>
  <r>
    <n v="1081"/>
    <x v="1080"/>
    <n v="12"/>
    <m/>
    <n v="0"/>
    <n v="67.592299999999994"/>
    <n v="19.409836065573771"/>
    <n v="22.490158702045179"/>
    <m/>
    <n v="125.251830789778"/>
    <n v="16.438356164383563"/>
    <n v="67.808673724385073"/>
    <n v="14.098901098901099"/>
    <n v="17.576205366881059"/>
    <m/>
  </r>
  <r>
    <n v="1082"/>
    <x v="1081"/>
    <n v="-2"/>
    <m/>
    <n v="0"/>
    <n v="67.745000000000005"/>
    <n v="19.409836065573771"/>
    <n v="20.794974644481659"/>
    <m/>
    <n v="21.372030235181079"/>
    <n v="16.438356164383563"/>
    <n v="68.950209994215797"/>
    <n v="14.098901098901099"/>
    <n v="22.392140536041541"/>
    <m/>
  </r>
  <r>
    <n v="1083"/>
    <x v="1082"/>
    <n v="11"/>
    <m/>
    <n v="0"/>
    <n v="67.8977"/>
    <n v="19.409836065573771"/>
    <n v="21.901550328203381"/>
    <m/>
    <n v="1.856531650863475"/>
    <n v="16.438356164383563"/>
    <n v="69.164666022614909"/>
    <n v="14.098901098901099"/>
    <n v="14.646063712182951"/>
    <m/>
  </r>
  <r>
    <n v="1084"/>
    <x v="1083"/>
    <n v="6"/>
    <m/>
    <n v="0"/>
    <n v="68.050399999999996"/>
    <n v="19.409836065573771"/>
    <n v="19.64378424658446"/>
    <m/>
    <n v="125.251830789778"/>
    <n v="16.438356164383563"/>
    <n v="67.808673724385073"/>
    <n v="14.098901098901099"/>
    <n v="5.2718783795223452"/>
    <m/>
  </r>
  <r>
    <n v="1085"/>
    <x v="1084"/>
    <n v="13"/>
    <m/>
    <n v="0"/>
    <n v="68.203100000000006"/>
    <n v="19.409836065573771"/>
    <n v="14.31005301473267"/>
    <m/>
    <n v="125.251830789778"/>
    <n v="16.438356164383563"/>
    <n v="67.808673724385073"/>
    <n v="14.098901098901099"/>
    <n v="33.501607438634679"/>
    <m/>
  </r>
  <r>
    <n v="1086"/>
    <x v="1085"/>
    <n v="-1"/>
    <m/>
    <n v="0"/>
    <n v="68.355800000000002"/>
    <n v="19.409836065573771"/>
    <n v="8.0661473426409742"/>
    <m/>
    <n v="21.372030235181079"/>
    <n v="16.438356164383563"/>
    <n v="68.950209994215797"/>
    <n v="14.098901098901099"/>
    <n v="15.16635862450264"/>
    <m/>
  </r>
  <r>
    <n v="1087"/>
    <x v="1086"/>
    <n v="7"/>
    <m/>
    <n v="0"/>
    <n v="68.508499999999998"/>
    <n v="19.409836065573771"/>
    <n v="24.710116848878091"/>
    <m/>
    <n v="1.856531650863475"/>
    <n v="16.438356164383563"/>
    <n v="69.164666022614909"/>
    <n v="14.098901098901099"/>
    <n v="31.433048157218241"/>
    <m/>
  </r>
  <r>
    <n v="1088"/>
    <x v="1087"/>
    <n v="-3"/>
    <m/>
    <n v="0"/>
    <n v="68.661200000000008"/>
    <n v="19.409836065573771"/>
    <n v="25.635923884467442"/>
    <m/>
    <n v="125.251830789778"/>
    <n v="16.438356164383563"/>
    <n v="67.808673724385073"/>
    <n v="14.098901098901099"/>
    <n v="13.967914227652381"/>
    <m/>
  </r>
  <r>
    <n v="1089"/>
    <x v="1088"/>
    <n v="30"/>
    <m/>
    <n v="0"/>
    <n v="68.813900000000004"/>
    <n v="19.409836065573771"/>
    <n v="15.46490701363386"/>
    <m/>
    <n v="125.251830789778"/>
    <n v="16.438356164383563"/>
    <n v="67.808673724385073"/>
    <n v="14.098901098901099"/>
    <n v="18.798199341328122"/>
    <m/>
  </r>
  <r>
    <n v="1090"/>
    <x v="1089"/>
    <n v="-1"/>
    <m/>
    <n v="0"/>
    <n v="68.9666"/>
    <n v="19.409836065573771"/>
    <n v="26.09154246733808"/>
    <m/>
    <n v="21.372030235181079"/>
    <n v="16.438356164383563"/>
    <n v="68.950209994215797"/>
    <n v="14.098901098901099"/>
    <n v="9.5701650166731369"/>
    <m/>
  </r>
  <r>
    <n v="1091"/>
    <x v="1090"/>
    <n v="7"/>
    <m/>
    <n v="0"/>
    <n v="69.119299999999996"/>
    <n v="19.409836065573771"/>
    <n v="23.523960165558449"/>
    <m/>
    <n v="1.856531650863475"/>
    <n v="16.438356164383563"/>
    <n v="69.164666022614909"/>
    <n v="14.098901098901099"/>
    <n v="13.544793016613751"/>
    <m/>
  </r>
  <r>
    <n v="1092"/>
    <x v="1091"/>
    <n v="-1"/>
    <m/>
    <n v="0"/>
    <n v="69.272000000000006"/>
    <n v="19.409836065573771"/>
    <n v="17.576882497370072"/>
    <m/>
    <n v="125.251830789778"/>
    <n v="16.438356164383563"/>
    <n v="67.808673724385073"/>
    <n v="14.098901098901099"/>
    <n v="12.946985232529711"/>
    <m/>
  </r>
  <r>
    <n v="1093"/>
    <x v="1092"/>
    <n v="7"/>
    <m/>
    <n v="0"/>
    <n v="69.424700000000001"/>
    <n v="19.409836065573771"/>
    <n v="7.0133272386071912"/>
    <m/>
    <n v="125.251830789778"/>
    <n v="16.438356164383563"/>
    <n v="67.808673724385073"/>
    <n v="14.098901098901099"/>
    <n v="19.6608959298309"/>
    <m/>
  </r>
  <r>
    <n v="1094"/>
    <x v="1093"/>
    <n v="4"/>
    <m/>
    <n v="0"/>
    <n v="69.577399999999997"/>
    <n v="19.409836065573771"/>
    <n v="23.18673761129444"/>
    <m/>
    <n v="21.372030235181079"/>
    <n v="16.438356164383563"/>
    <n v="68.950209994215797"/>
    <n v="14.098901098901099"/>
    <n v="16.428350510963099"/>
    <m/>
  </r>
  <r>
    <n v="1095"/>
    <x v="1094"/>
    <n v="10"/>
    <m/>
    <n v="0"/>
    <n v="69.730100000000007"/>
    <n v="19.409836065573771"/>
    <n v="25.79363917869874"/>
    <m/>
    <n v="1.856531650863475"/>
    <n v="16.438356164383563"/>
    <n v="69.164666022614909"/>
    <n v="14.098901098901099"/>
    <n v="24.831759939468309"/>
    <m/>
  </r>
  <r>
    <n v="1096"/>
    <x v="1095"/>
    <n v="1"/>
    <m/>
    <n v="0"/>
    <n v="69.882800000000003"/>
    <n v="19.409836065573771"/>
    <n v="21.724791556494569"/>
    <m/>
    <n v="125.251830789778"/>
    <n v="16.438356164383563"/>
    <n v="67.808673724385073"/>
    <n v="14.098901098901099"/>
    <n v="16.682081697818731"/>
    <m/>
  </r>
  <r>
    <n v="1097"/>
    <x v="1096"/>
    <n v="-1"/>
    <m/>
    <n v="0"/>
    <n v="70.035499999999999"/>
    <n v="19.409836065573771"/>
    <n v="29.56511952372103"/>
    <m/>
    <n v="125.251830789778"/>
    <n v="16.438356164383563"/>
    <n v="67.808673724385073"/>
    <n v="14.098901098901099"/>
    <n v="12.04952608330909"/>
    <m/>
  </r>
  <r>
    <n v="1098"/>
    <x v="1097"/>
    <n v="3"/>
    <m/>
    <n v="0"/>
    <n v="70.188199999999995"/>
    <n v="19.409836065573771"/>
    <n v="29.746640304744108"/>
    <m/>
    <n v="21.372030235181079"/>
    <n v="16.438356164383563"/>
    <n v="68.950209994215797"/>
    <n v="14.098901098901099"/>
    <n v="15.509439764756349"/>
    <m/>
  </r>
  <r>
    <n v="1099"/>
    <x v="1098"/>
    <n v="4"/>
    <m/>
    <n v="0"/>
    <n v="70.340900000000005"/>
    <n v="19.409836065573771"/>
    <n v="24.884174104382499"/>
    <m/>
    <n v="1.856531650863475"/>
    <n v="16.438356164383563"/>
    <n v="69.164666022614909"/>
    <n v="14.098901098901099"/>
    <n v="26.323465668970389"/>
    <m/>
  </r>
  <r>
    <n v="1100"/>
    <x v="1099"/>
    <n v="-4"/>
    <m/>
    <n v="0"/>
    <n v="70.493600000000001"/>
    <n v="19.409836065573771"/>
    <n v="21.24286004886687"/>
    <m/>
    <n v="125.251830789778"/>
    <n v="16.438356164383563"/>
    <n v="67.808673724385073"/>
    <n v="14.098901098901099"/>
    <n v="24.386633718183472"/>
    <m/>
  </r>
  <r>
    <n v="1101"/>
    <x v="1100"/>
    <n v="21"/>
    <m/>
    <n v="0"/>
    <n v="70.646299999999997"/>
    <n v="19.409836065573771"/>
    <n v="26.39684872735431"/>
    <m/>
    <n v="125.251830789778"/>
    <n v="16.438356164383563"/>
    <n v="67.808673724385073"/>
    <n v="14.098901098901099"/>
    <n v="24.509101480159849"/>
    <m/>
  </r>
  <r>
    <n v="1102"/>
    <x v="1101"/>
    <n v="4"/>
    <m/>
    <n v="0"/>
    <n v="70.799000000000007"/>
    <n v="19.409836065573771"/>
    <n v="33.954460908651207"/>
    <m/>
    <n v="21.372030235181079"/>
    <n v="16.438356164383563"/>
    <n v="68.950209994215797"/>
    <n v="14.098901098901099"/>
    <n v="21.59771838320604"/>
    <m/>
  </r>
  <r>
    <n v="1103"/>
    <x v="1102"/>
    <n v="1"/>
    <m/>
    <n v="0"/>
    <n v="70.951700000000002"/>
    <n v="19.409836065573771"/>
    <n v="30.40634851115469"/>
    <m/>
    <n v="1.856531650863475"/>
    <n v="16.438356164383563"/>
    <n v="69.164666022614909"/>
    <n v="14.098901098901099"/>
    <n v="8.0589269475688798"/>
    <m/>
  </r>
  <r>
    <n v="1104"/>
    <x v="1103"/>
    <n v="3"/>
    <m/>
    <n v="0"/>
    <n v="71.104399999999998"/>
    <n v="19.409836065573771"/>
    <n v="36.471503456613362"/>
    <m/>
    <n v="125.251830789778"/>
    <n v="16.438356164383563"/>
    <n v="67.808673724385073"/>
    <n v="14.098901098901099"/>
    <n v="7.6239806691244469"/>
    <m/>
  </r>
  <r>
    <n v="1105"/>
    <x v="1104"/>
    <n v="7"/>
    <m/>
    <n v="0"/>
    <n v="71.257100000000008"/>
    <n v="19.409836065573771"/>
    <n v="41.659027642460678"/>
    <m/>
    <n v="125.251830789778"/>
    <n v="16.438356164383563"/>
    <n v="67.808673724385073"/>
    <n v="14.098901098901099"/>
    <n v="21.095043210658812"/>
    <m/>
  </r>
  <r>
    <n v="1106"/>
    <x v="1105"/>
    <n v="-2"/>
    <m/>
    <n v="0"/>
    <n v="71.409800000000004"/>
    <n v="19.409836065573771"/>
    <n v="33.381996227244692"/>
    <m/>
    <n v="21.372030235181079"/>
    <n v="16.438356164383563"/>
    <n v="68.950209994215797"/>
    <n v="14.098901098901099"/>
    <n v="30.23283278210512"/>
    <m/>
  </r>
  <r>
    <n v="1107"/>
    <x v="1106"/>
    <n v="1"/>
    <m/>
    <n v="0"/>
    <n v="71.5625"/>
    <n v="19.409836065573771"/>
    <n v="42.080680311379297"/>
    <m/>
    <n v="1.856531650863475"/>
    <n v="16.438356164383563"/>
    <n v="69.164666022614909"/>
    <n v="14.098901098901099"/>
    <n v="30.076716845198028"/>
    <m/>
  </r>
  <r>
    <n v="1108"/>
    <x v="1107"/>
    <n v="17"/>
    <m/>
    <n v="0"/>
    <n v="71.715199999999996"/>
    <n v="19.409836065573771"/>
    <n v="10.724716203976991"/>
    <m/>
    <n v="125.251830789778"/>
    <n v="16.438356164383563"/>
    <n v="67.808673724385073"/>
    <n v="14.098901098901099"/>
    <n v="29.963441054994409"/>
    <m/>
  </r>
  <r>
    <n v="1109"/>
    <x v="1108"/>
    <n v="2"/>
    <m/>
    <n v="0"/>
    <n v="71.867900000000006"/>
    <n v="19.409836065573771"/>
    <n v="31.77859241711726"/>
    <m/>
    <n v="125.251830789778"/>
    <n v="16.438356164383563"/>
    <n v="67.808673724385073"/>
    <n v="14.098901098901099"/>
    <n v="22.120307500810281"/>
    <m/>
  </r>
  <r>
    <n v="1110"/>
    <x v="1109"/>
    <n v="-2"/>
    <m/>
    <n v="0"/>
    <n v="72.020600000000002"/>
    <n v="19.409836065573771"/>
    <n v="8.5169828016819231"/>
    <m/>
    <n v="21.372030235181079"/>
    <n v="16.438356164383563"/>
    <n v="68.950209994215797"/>
    <n v="14.098901098901099"/>
    <n v="13.557847399829971"/>
    <m/>
  </r>
  <r>
    <n v="1111"/>
    <x v="1110"/>
    <n v="12"/>
    <m/>
    <n v="0"/>
    <n v="72.173299999999998"/>
    <n v="19.409836065573771"/>
    <n v="14.23930656281849"/>
    <m/>
    <n v="1.856531650863475"/>
    <n v="16.438356164383563"/>
    <n v="69.164666022614909"/>
    <n v="14.098901098901099"/>
    <n v="9.891546068450733"/>
    <m/>
  </r>
  <r>
    <n v="1112"/>
    <x v="1111"/>
    <n v="8"/>
    <m/>
    <n v="0"/>
    <n v="72.326000000000008"/>
    <n v="19.409836065573771"/>
    <n v="13.641249297485761"/>
    <m/>
    <n v="125.251830789778"/>
    <n v="16.438356164383563"/>
    <n v="67.808673724385073"/>
    <n v="14.098901098901099"/>
    <n v="17.48560713297929"/>
    <m/>
  </r>
  <r>
    <n v="1113"/>
    <x v="1112"/>
    <n v="8"/>
    <m/>
    <n v="0"/>
    <n v="72.478700000000003"/>
    <n v="19.409836065573771"/>
    <n v="17.742047412031379"/>
    <m/>
    <n v="125.251830789778"/>
    <n v="16.438356164383563"/>
    <n v="67.808673724385073"/>
    <n v="14.098901098901099"/>
    <n v="16.915545270577891"/>
    <m/>
  </r>
  <r>
    <n v="1114"/>
    <x v="1113"/>
    <n v="2"/>
    <m/>
    <n v="0"/>
    <n v="72.631399999999999"/>
    <n v="19.409836065573771"/>
    <n v="19.80807514859843"/>
    <m/>
    <n v="21.372030235181079"/>
    <n v="16.438356164383563"/>
    <n v="68.950209994215797"/>
    <n v="14.098901098901099"/>
    <n v="25.036260484983249"/>
    <m/>
  </r>
  <r>
    <n v="1115"/>
    <x v="1114"/>
    <n v="22"/>
    <m/>
    <n v="0"/>
    <n v="72.784099999999995"/>
    <n v="19.409836065573771"/>
    <n v="7.7869854915754892"/>
    <m/>
    <n v="1.856531650863475"/>
    <n v="16.438356164383563"/>
    <n v="69.164666022614909"/>
    <n v="14.098901098901099"/>
    <n v="28.333680493572"/>
    <m/>
  </r>
  <r>
    <n v="1116"/>
    <x v="1115"/>
    <n v="14"/>
    <m/>
    <n v="0"/>
    <n v="72.936800000000005"/>
    <n v="19.409836065573771"/>
    <n v="12.7085222750658"/>
    <m/>
    <n v="125.251830789778"/>
    <n v="16.438356164383563"/>
    <n v="67.808673724385073"/>
    <n v="14.098901098901099"/>
    <n v="16.349288751097021"/>
    <m/>
  </r>
  <r>
    <n v="1117"/>
    <x v="1116"/>
    <n v="26"/>
    <m/>
    <n v="0"/>
    <n v="73.089500000000001"/>
    <n v="19.409836065573771"/>
    <n v="19.320254233330111"/>
    <m/>
    <n v="125.251830789778"/>
    <n v="16.438356164383563"/>
    <n v="67.808673724385073"/>
    <n v="14.098901098901099"/>
    <n v="14.91843881657234"/>
    <m/>
  </r>
  <r>
    <n v="1118"/>
    <x v="1117"/>
    <n v="-1"/>
    <m/>
    <n v="0"/>
    <n v="73.242199999999997"/>
    <n v="19.409836065573771"/>
    <n v="27.228205875746522"/>
    <m/>
    <n v="21.372030235181079"/>
    <n v="16.438356164383563"/>
    <n v="68.950209994215797"/>
    <n v="14.098901098901099"/>
    <n v="17.293440298385079"/>
    <m/>
  </r>
  <r>
    <n v="1119"/>
    <x v="1118"/>
    <n v="5"/>
    <m/>
    <n v="0"/>
    <n v="73.394900000000007"/>
    <n v="19.409836065573771"/>
    <n v="16.01310045288518"/>
    <m/>
    <n v="1.856531650863475"/>
    <n v="16.438356164383563"/>
    <n v="69.164666022614909"/>
    <n v="14.098901098901099"/>
    <n v="21.708371651522359"/>
    <m/>
  </r>
  <r>
    <n v="1120"/>
    <x v="1119"/>
    <n v="11"/>
    <m/>
    <n v="0"/>
    <n v="73.547600000000003"/>
    <n v="19.409836065573771"/>
    <n v="12.60353608158692"/>
    <m/>
    <n v="125.251830789778"/>
    <n v="16.438356164383563"/>
    <n v="67.808673724385073"/>
    <n v="14.098901098901099"/>
    <n v="32.585242189631721"/>
    <m/>
  </r>
  <r>
    <n v="1121"/>
    <x v="1120"/>
    <n v="21"/>
    <m/>
    <n v="0"/>
    <n v="73.700299999999999"/>
    <n v="19.409836065573771"/>
    <n v="18.72648278629687"/>
    <m/>
    <n v="125.251830789778"/>
    <n v="16.438356164383563"/>
    <n v="67.808673724385073"/>
    <n v="14.098901098901099"/>
    <n v="28.947958933048142"/>
    <m/>
  </r>
  <r>
    <n v="1122"/>
    <x v="1121"/>
    <n v="5"/>
    <m/>
    <n v="0"/>
    <n v="73.853000000000009"/>
    <n v="19.409836065573771"/>
    <n v="19.254018119637209"/>
    <m/>
    <n v="21.372030235181079"/>
    <n v="16.438356164383563"/>
    <n v="68.950209994215797"/>
    <n v="14.098901098901099"/>
    <n v="22.733767958312999"/>
    <m/>
  </r>
  <r>
    <n v="1123"/>
    <x v="1122"/>
    <n v="12"/>
    <m/>
    <n v="0"/>
    <n v="74.005700000000004"/>
    <n v="19.409836065573771"/>
    <n v="14.535874144048091"/>
    <m/>
    <n v="1.856531650863475"/>
    <n v="16.438356164383563"/>
    <n v="69.164666022614909"/>
    <n v="14.098901098901099"/>
    <n v="8.4139949392883686"/>
    <m/>
  </r>
  <r>
    <n v="1124"/>
    <x v="1123"/>
    <n v="9"/>
    <m/>
    <n v="0"/>
    <n v="74.1584"/>
    <n v="19.409836065573771"/>
    <n v="9.7714390404548386"/>
    <m/>
    <n v="125.251830789778"/>
    <n v="16.438356164383563"/>
    <n v="67.808673724385073"/>
    <n v="14.098901098901099"/>
    <n v="3.3391670583357249"/>
    <m/>
  </r>
  <r>
    <n v="1125"/>
    <x v="1124"/>
    <n v="6"/>
    <m/>
    <n v="0"/>
    <n v="74.311099999999996"/>
    <n v="19.409836065573771"/>
    <n v="34.432510372181291"/>
    <m/>
    <n v="125.251830789778"/>
    <n v="16.438356164383563"/>
    <n v="67.808673724385073"/>
    <n v="14.098901098901099"/>
    <n v="16.47712301083066"/>
    <m/>
  </r>
  <r>
    <n v="1126"/>
    <x v="1125"/>
    <n v="5"/>
    <m/>
    <n v="0"/>
    <n v="74.463800000000006"/>
    <n v="19.409836065573771"/>
    <n v="24.2504804321877"/>
    <m/>
    <n v="21.372030235181079"/>
    <n v="16.438356164383563"/>
    <n v="68.950209994215797"/>
    <n v="14.098901098901099"/>
    <n v="19.433563630068729"/>
    <m/>
  </r>
  <r>
    <n v="1127"/>
    <x v="1126"/>
    <n v="14"/>
    <m/>
    <n v="0"/>
    <n v="74.616500000000002"/>
    <n v="19.409836065573771"/>
    <n v="21.85187088236172"/>
    <m/>
    <n v="1.856531650863475"/>
    <n v="16.438356164383563"/>
    <n v="69.164666022614909"/>
    <n v="14.098901098901099"/>
    <n v="21.076411653185509"/>
    <m/>
  </r>
  <r>
    <n v="1128"/>
    <x v="1127"/>
    <n v="8"/>
    <m/>
    <n v="0"/>
    <n v="74.769199999999998"/>
    <n v="19.409836065573771"/>
    <n v="19.59313364409952"/>
    <m/>
    <n v="125.251830789778"/>
    <n v="16.438356164383563"/>
    <n v="67.808673724385073"/>
    <n v="14.098901098901099"/>
    <n v="20.673245423032991"/>
    <m/>
  </r>
  <r>
    <n v="1129"/>
    <x v="1128"/>
    <n v="3"/>
    <m/>
    <n v="0"/>
    <n v="74.921900000000008"/>
    <n v="19.409836065573771"/>
    <n v="12.451136997158891"/>
    <m/>
    <n v="125.251830789778"/>
    <n v="16.438356164383563"/>
    <n v="67.808673724385073"/>
    <n v="14.098901098901099"/>
    <n v="30.42512315908143"/>
    <m/>
  </r>
  <r>
    <n v="1130"/>
    <x v="1129"/>
    <n v="4"/>
    <m/>
    <n v="0"/>
    <n v="75.074600000000004"/>
    <n v="19.409836065573771"/>
    <n v="25.735564270996271"/>
    <m/>
    <n v="21.372030235181079"/>
    <n v="16.438356164383563"/>
    <n v="68.950209994215797"/>
    <n v="14.098901098901099"/>
    <n v="18.338178034923349"/>
    <m/>
  </r>
  <r>
    <n v="1131"/>
    <x v="1130"/>
    <n v="13"/>
    <m/>
    <n v="0"/>
    <n v="75.2273"/>
    <n v="19.409836065573771"/>
    <n v="12.573892740858049"/>
    <m/>
    <n v="1.856531650863475"/>
    <n v="16.438356164383563"/>
    <n v="69.164666022614909"/>
    <n v="14.098901098901099"/>
    <n v="15.44668740084288"/>
    <m/>
  </r>
  <r>
    <n v="1132"/>
    <x v="1131"/>
    <n v="14"/>
    <m/>
    <n v="0"/>
    <n v="75.38"/>
    <n v="19.409836065573771"/>
    <n v="28.13657939608434"/>
    <m/>
    <n v="125.251830789778"/>
    <n v="16.438356164383563"/>
    <n v="67.808673724385073"/>
    <n v="14.098901098901099"/>
    <n v="15.42438176468089"/>
    <m/>
  </r>
  <r>
    <n v="1133"/>
    <x v="1132"/>
    <n v="19"/>
    <m/>
    <n v="0"/>
    <n v="75.532700000000006"/>
    <n v="19.409836065573771"/>
    <n v="34.64206936552754"/>
    <m/>
    <n v="125.251830789778"/>
    <n v="16.438356164383563"/>
    <n v="67.808673724385073"/>
    <n v="14.098901098901099"/>
    <n v="24.522298176908659"/>
    <m/>
  </r>
  <r>
    <n v="1134"/>
    <x v="1133"/>
    <n v="4"/>
    <m/>
    <n v="0"/>
    <n v="75.685400000000001"/>
    <n v="19.409836065573771"/>
    <n v="26.12727102410485"/>
    <m/>
    <n v="21.372030235181079"/>
    <n v="16.438356164383563"/>
    <n v="68.950209994215797"/>
    <n v="14.098901098901099"/>
    <n v="34.472458571722179"/>
    <m/>
  </r>
  <r>
    <n v="1135"/>
    <x v="1134"/>
    <n v="1"/>
    <m/>
    <n v="0"/>
    <n v="75.838099999999997"/>
    <n v="19.409836065573771"/>
    <n v="24.254975589814951"/>
    <m/>
    <n v="1.856531650863475"/>
    <n v="16.438356164383563"/>
    <n v="69.164666022614909"/>
    <n v="14.098901098901099"/>
    <n v="18.48962555097178"/>
    <m/>
  </r>
  <r>
    <n v="1136"/>
    <x v="1135"/>
    <n v="9"/>
    <m/>
    <n v="0"/>
    <n v="75.990800000000007"/>
    <n v="19.409836065573771"/>
    <n v="23.892050791716581"/>
    <m/>
    <n v="125.251830789778"/>
    <n v="16.438356164383563"/>
    <n v="67.808673724385073"/>
    <n v="14.098901098901099"/>
    <n v="21.67247162844124"/>
    <m/>
  </r>
  <r>
    <n v="1137"/>
    <x v="1136"/>
    <n v="17"/>
    <m/>
    <n v="0"/>
    <n v="76.143500000000003"/>
    <n v="19.409836065573771"/>
    <n v="21.258612297861902"/>
    <m/>
    <n v="125.251830789778"/>
    <n v="16.438356164383563"/>
    <n v="67.808673724385073"/>
    <n v="14.098901098901099"/>
    <n v="10.98247452636539"/>
    <m/>
  </r>
  <r>
    <n v="1138"/>
    <x v="1137"/>
    <n v="5"/>
    <m/>
    <n v="0"/>
    <n v="76.296199999999999"/>
    <n v="19.409836065573771"/>
    <n v="32.092909680603682"/>
    <m/>
    <n v="21.372030235181079"/>
    <n v="16.438356164383563"/>
    <n v="68.950209994215797"/>
    <n v="14.098901098901099"/>
    <n v="2.4202917691509098"/>
    <m/>
  </r>
  <r>
    <n v="1139"/>
    <x v="1138"/>
    <n v="6"/>
    <m/>
    <n v="0"/>
    <n v="76.448899999999995"/>
    <n v="19.409836065573771"/>
    <n v="28.298373804940368"/>
    <m/>
    <n v="1.856531650863475"/>
    <n v="16.438356164383563"/>
    <n v="69.164666022614909"/>
    <n v="14.098901098901099"/>
    <n v="23.589585193097601"/>
    <m/>
  </r>
  <r>
    <n v="1140"/>
    <x v="1139"/>
    <n v="25"/>
    <m/>
    <n v="0"/>
    <n v="76.601600000000005"/>
    <n v="19.409836065573771"/>
    <n v="33.696034836521008"/>
    <m/>
    <n v="125.251830789778"/>
    <n v="16.438356164383563"/>
    <n v="67.808673724385073"/>
    <n v="14.098901098901099"/>
    <n v="17.119196227827342"/>
    <m/>
  </r>
  <r>
    <n v="1141"/>
    <x v="1140"/>
    <n v="15"/>
    <m/>
    <n v="0"/>
    <n v="76.754300000000001"/>
    <n v="19.409836065573771"/>
    <n v="43.063701464336063"/>
    <m/>
    <n v="125.251830789778"/>
    <n v="16.438356164383563"/>
    <n v="67.808673724385073"/>
    <n v="14.098901098901099"/>
    <n v="11.75598203553262"/>
    <m/>
  </r>
  <r>
    <n v="1142"/>
    <x v="1141"/>
    <n v="49"/>
    <m/>
    <n v="0"/>
    <n v="76.906999999999996"/>
    <n v="19.409836065573771"/>
    <n v="38.840606237914599"/>
    <m/>
    <n v="21.372030235181079"/>
    <n v="16.438356164383563"/>
    <n v="68.950209994215797"/>
    <n v="14.098901098901099"/>
    <n v="19.024911477747018"/>
    <m/>
  </r>
  <r>
    <n v="1143"/>
    <x v="1142"/>
    <n v="24"/>
    <m/>
    <n v="0"/>
    <n v="77.059700000000007"/>
    <n v="19.409836065573771"/>
    <n v="42.414057207177628"/>
    <m/>
    <n v="1.856531650863475"/>
    <n v="16.438356164383563"/>
    <n v="69.164666022614909"/>
    <n v="14.098901098901099"/>
    <n v="23.219016510194798"/>
    <m/>
  </r>
  <r>
    <n v="1144"/>
    <x v="1143"/>
    <n v="17"/>
    <m/>
    <n v="0"/>
    <n v="77.212400000000002"/>
    <n v="19.409836065573771"/>
    <n v="15.52617484662815"/>
    <m/>
    <n v="125.251830789778"/>
    <n v="16.438356164383563"/>
    <n v="67.808673724385073"/>
    <n v="14.098901098901099"/>
    <n v="19.248693468500221"/>
    <m/>
  </r>
  <r>
    <n v="1145"/>
    <x v="1144"/>
    <n v="22"/>
    <m/>
    <n v="0"/>
    <n v="77.365099999999998"/>
    <n v="19.409836065573771"/>
    <n v="20.242414832256969"/>
    <m/>
    <n v="125.251830789778"/>
    <n v="16.438356164383563"/>
    <n v="67.808673724385073"/>
    <n v="14.098901098901099"/>
    <n v="29.506546325099372"/>
    <m/>
  </r>
  <r>
    <n v="1146"/>
    <x v="1145"/>
    <n v="15"/>
    <m/>
    <n v="0"/>
    <n v="77.517800000000008"/>
    <n v="19.409836065573771"/>
    <n v="8.6475779314428749"/>
    <m/>
    <n v="21.372030235181079"/>
    <n v="16.438356164383563"/>
    <n v="68.950209994215797"/>
    <n v="14.098901098901099"/>
    <n v="16.654483384780089"/>
    <m/>
  </r>
  <r>
    <n v="1147"/>
    <x v="1146"/>
    <n v="18"/>
    <m/>
    <n v="0"/>
    <n v="77.670500000000004"/>
    <n v="19.409836065573771"/>
    <n v="10.357400467574619"/>
    <m/>
    <n v="1.856531650863475"/>
    <n v="16.438356164383563"/>
    <n v="69.164666022614909"/>
    <n v="14.098901098901099"/>
    <n v="10.59230260920563"/>
    <m/>
  </r>
  <r>
    <n v="1148"/>
    <x v="1147"/>
    <n v="18"/>
    <m/>
    <n v="0"/>
    <n v="77.8232"/>
    <n v="19.409836065573771"/>
    <n v="13.46349462567407"/>
    <m/>
    <n v="125.251830789778"/>
    <n v="16.438356164383563"/>
    <n v="67.808673724385073"/>
    <n v="14.098901098901099"/>
    <n v="17.35686106254321"/>
    <m/>
  </r>
  <r>
    <n v="1149"/>
    <x v="1148"/>
    <n v="13"/>
    <m/>
    <n v="0"/>
    <n v="77.975899999999996"/>
    <n v="19.409836065573771"/>
    <n v="15.365255524656909"/>
    <m/>
    <n v="125.251830789778"/>
    <n v="16.438356164383563"/>
    <n v="67.808673724385073"/>
    <n v="14.098901098901099"/>
    <n v="23.467932694857382"/>
    <m/>
  </r>
  <r>
    <n v="1150"/>
    <x v="1149"/>
    <n v="17"/>
    <m/>
    <n v="0"/>
    <n v="78.128600000000006"/>
    <n v="19.409836065573771"/>
    <n v="25.21540689504528"/>
    <m/>
    <n v="21.372030235181079"/>
    <n v="16.438356164383563"/>
    <n v="68.950209994215797"/>
    <n v="14.098901098901099"/>
    <n v="37.563893188696817"/>
    <m/>
  </r>
  <r>
    <n v="1151"/>
    <x v="1150"/>
    <n v="12"/>
    <m/>
    <n v="0"/>
    <n v="78.281300000000002"/>
    <n v="19.409836065573771"/>
    <n v="14.13328916492557"/>
    <m/>
    <n v="1.856531650863475"/>
    <n v="16.438356164383563"/>
    <n v="69.164666022614909"/>
    <n v="14.098901098901099"/>
    <n v="17.769764257191639"/>
    <m/>
  </r>
  <r>
    <n v="1152"/>
    <x v="1151"/>
    <n v="15"/>
    <m/>
    <n v="0"/>
    <n v="78.433999999999997"/>
    <n v="19.409836065573771"/>
    <n v="3.4744275224760748"/>
    <m/>
    <n v="125.251830789778"/>
    <n v="16.438356164383563"/>
    <n v="67.808673724385073"/>
    <n v="14.098901098901099"/>
    <n v="22.35502165467209"/>
    <m/>
  </r>
  <r>
    <n v="1153"/>
    <x v="1152"/>
    <n v="16"/>
    <m/>
    <n v="0"/>
    <n v="78.586700000000008"/>
    <n v="19.409836065573771"/>
    <n v="9.7238289497517254"/>
    <m/>
    <n v="125.251830789778"/>
    <n v="16.438356164383563"/>
    <n v="67.808673724385073"/>
    <n v="14.098901098901099"/>
    <n v="12.9948586077413"/>
    <m/>
  </r>
  <r>
    <n v="1154"/>
    <x v="1153"/>
    <n v="22"/>
    <m/>
    <n v="0"/>
    <n v="78.739400000000003"/>
    <n v="19.409836065573771"/>
    <n v="34.157573005668439"/>
    <m/>
    <n v="21.372030235181079"/>
    <n v="16.438356164383563"/>
    <n v="68.950209994215797"/>
    <n v="14.098901098901099"/>
    <n v="11.24915780894173"/>
    <m/>
  </r>
  <r>
    <n v="1155"/>
    <x v="1154"/>
    <n v="18"/>
    <m/>
    <n v="0"/>
    <n v="78.892099999999999"/>
    <n v="19.409836065573771"/>
    <n v="12.08149369735211"/>
    <m/>
    <n v="1.856531650863475"/>
    <n v="16.438356164383563"/>
    <n v="69.164666022614909"/>
    <n v="14.098901098901099"/>
    <n v="28.647449183292771"/>
    <m/>
  </r>
  <r>
    <n v="1156"/>
    <x v="1155"/>
    <n v="21"/>
    <m/>
    <n v="0"/>
    <n v="79.044799999999995"/>
    <n v="19.409836065573771"/>
    <n v="20.394423285599409"/>
    <m/>
    <n v="125.251830789778"/>
    <n v="16.438356164383563"/>
    <n v="67.808673724385073"/>
    <n v="14.098901098901099"/>
    <n v="14.848837556400889"/>
    <m/>
  </r>
  <r>
    <n v="1157"/>
    <x v="1156"/>
    <n v="20"/>
    <m/>
    <n v="0"/>
    <n v="79.197500000000005"/>
    <n v="19.409836065573771"/>
    <n v="29.399255030871831"/>
    <m/>
    <n v="125.251830789778"/>
    <n v="16.438356164383563"/>
    <n v="67.808673724385073"/>
    <n v="14.098901098901099"/>
    <n v="33.342540874105772"/>
    <m/>
  </r>
  <r>
    <n v="1158"/>
    <x v="1157"/>
    <n v="40"/>
    <m/>
    <n v="0"/>
    <n v="79.350200000000001"/>
    <n v="19.409836065573771"/>
    <n v="13.80058628039969"/>
    <m/>
    <n v="21.372030235181079"/>
    <n v="16.438356164383563"/>
    <n v="68.950209994215797"/>
    <n v="14.098901098901099"/>
    <n v="17.565057539404791"/>
    <m/>
  </r>
  <r>
    <n v="1159"/>
    <x v="1158"/>
    <n v="13"/>
    <m/>
    <n v="0"/>
    <n v="79.502899999999997"/>
    <n v="19.409836065573771"/>
    <n v="5.0873589388202127"/>
    <m/>
    <n v="1.856531650863475"/>
    <n v="16.438356164383563"/>
    <n v="69.164666022614909"/>
    <n v="14.098901098901099"/>
    <n v="14.01319780404712"/>
    <m/>
  </r>
  <r>
    <n v="1160"/>
    <x v="1159"/>
    <n v="4"/>
    <m/>
    <n v="0"/>
    <n v="79.655600000000007"/>
    <n v="19.409836065573771"/>
    <n v="25.133979017858518"/>
    <m/>
    <n v="125.251830789778"/>
    <n v="16.438356164383563"/>
    <n v="67.808673724385073"/>
    <n v="14.098901098901099"/>
    <n v="9.3887216703554319"/>
    <m/>
  </r>
  <r>
    <n v="1161"/>
    <x v="1160"/>
    <n v="15"/>
    <m/>
    <n v="0"/>
    <n v="79.808300000000003"/>
    <n v="19.409836065573771"/>
    <n v="32.408593058703403"/>
    <m/>
    <n v="125.251830789778"/>
    <n v="16.438356164383563"/>
    <n v="67.808673724385073"/>
    <n v="14.098901098901099"/>
    <n v="28.415423495525161"/>
    <m/>
  </r>
  <r>
    <n v="1162"/>
    <x v="1161"/>
    <n v="34"/>
    <m/>
    <n v="0"/>
    <n v="79.960999999999999"/>
    <n v="19.409836065573771"/>
    <n v="28.19256475689437"/>
    <m/>
    <n v="21.372030235181079"/>
    <n v="16.438356164383563"/>
    <n v="68.950209994215797"/>
    <n v="14.098901098901099"/>
    <n v="17.407555696242792"/>
    <m/>
  </r>
  <r>
    <n v="1163"/>
    <x v="1162"/>
    <n v="14"/>
    <m/>
    <n v="0"/>
    <n v="80.113700000000009"/>
    <n v="19.409836065573771"/>
    <n v="21.31792897218963"/>
    <m/>
    <n v="1.856531650863475"/>
    <n v="16.438356164383563"/>
    <n v="69.164666022614909"/>
    <n v="14.098901098901099"/>
    <n v="18.99918843061203"/>
    <m/>
  </r>
  <r>
    <n v="1164"/>
    <x v="1163"/>
    <n v="34"/>
    <m/>
    <n v="0"/>
    <n v="80.266400000000004"/>
    <n v="19.409836065573771"/>
    <n v="29.58575982891184"/>
    <m/>
    <n v="125.251830789778"/>
    <n v="16.438356164383563"/>
    <n v="67.808673724385073"/>
    <n v="14.098901098901099"/>
    <n v="16.721030687987771"/>
    <m/>
  </r>
  <r>
    <n v="1165"/>
    <x v="1164"/>
    <n v="22"/>
    <m/>
    <n v="0"/>
    <n v="80.4191"/>
    <n v="19.409836065573771"/>
    <n v="28.716974740392381"/>
    <m/>
    <n v="125.251830789778"/>
    <n v="16.438356164383563"/>
    <n v="67.808673724385073"/>
    <n v="14.098901098901099"/>
    <n v="4.7871708624876144"/>
    <m/>
  </r>
  <r>
    <n v="1166"/>
    <x v="1165"/>
    <n v="40"/>
    <m/>
    <n v="0"/>
    <n v="80.571799999999996"/>
    <n v="19.409836065573771"/>
    <n v="15.430884674209381"/>
    <m/>
    <n v="21.372030235181079"/>
    <n v="16.438356164383563"/>
    <n v="68.950209994215797"/>
    <n v="14.098901098901099"/>
    <n v="17.606169271402671"/>
    <m/>
  </r>
  <r>
    <n v="1167"/>
    <x v="1166"/>
    <n v="25"/>
    <m/>
    <n v="0"/>
    <n v="80.724500000000006"/>
    <n v="19.409836065573771"/>
    <n v="25.147157785868679"/>
    <m/>
    <n v="1.856531650863475"/>
    <n v="16.438356164383563"/>
    <n v="69.164666022614909"/>
    <n v="14.098901098901099"/>
    <n v="30.377460258646838"/>
    <m/>
  </r>
  <r>
    <n v="1168"/>
    <x v="1167"/>
    <n v="29"/>
    <m/>
    <n v="0"/>
    <n v="80.877200000000002"/>
    <n v="19.409836065573771"/>
    <n v="41.897295080177557"/>
    <m/>
    <n v="125.251830789778"/>
    <n v="16.438356164383563"/>
    <n v="67.808673724385073"/>
    <n v="14.098901098901099"/>
    <n v="30.094861914620761"/>
    <m/>
  </r>
  <r>
    <n v="1169"/>
    <x v="1168"/>
    <n v="42"/>
    <m/>
    <n v="0"/>
    <n v="81.029899999999998"/>
    <n v="19.409836065573771"/>
    <n v="34.26514825750769"/>
    <m/>
    <n v="125.251830789778"/>
    <n v="16.438356164383563"/>
    <n v="67.808673724385073"/>
    <n v="14.098901098901099"/>
    <n v="24.56843318062737"/>
    <m/>
  </r>
  <r>
    <n v="1170"/>
    <x v="1169"/>
    <n v="17"/>
    <m/>
    <n v="0"/>
    <n v="81.182600000000008"/>
    <n v="19.409836065573771"/>
    <n v="33.311062710504913"/>
    <m/>
    <n v="21.372030235181079"/>
    <n v="16.438356164383563"/>
    <n v="68.950209994215797"/>
    <n v="14.098901098901099"/>
    <n v="22.148718793489579"/>
    <m/>
  </r>
  <r>
    <n v="1171"/>
    <x v="1170"/>
    <n v="23"/>
    <m/>
    <n v="0"/>
    <n v="81.335300000000004"/>
    <n v="19.409836065573771"/>
    <n v="31.92016135481396"/>
    <m/>
    <n v="1.856531650863475"/>
    <n v="16.438356164383563"/>
    <n v="69.164666022614909"/>
    <n v="14.098901098901099"/>
    <n v="8.5521578977738741"/>
    <m/>
  </r>
  <r>
    <n v="1172"/>
    <x v="1171"/>
    <n v="41"/>
    <m/>
    <n v="0"/>
    <n v="81.488"/>
    <n v="19.409836065573771"/>
    <n v="26.94217404601838"/>
    <m/>
    <n v="125.251830789778"/>
    <n v="16.438356164383563"/>
    <n v="67.808673724385073"/>
    <n v="14.098901098901099"/>
    <n v="9.3876893385362834"/>
    <m/>
  </r>
  <r>
    <n v="1173"/>
    <x v="1172"/>
    <n v="39"/>
    <m/>
    <n v="0"/>
    <n v="81.640699999999995"/>
    <n v="19.409836065573771"/>
    <n v="25.715830555286999"/>
    <m/>
    <n v="125.251830789778"/>
    <n v="16.438356164383563"/>
    <n v="67.808673724385073"/>
    <n v="14.098901098901099"/>
    <n v="8.1661655652064553"/>
    <m/>
  </r>
  <r>
    <n v="1174"/>
    <x v="1173"/>
    <n v="12"/>
    <m/>
    <n v="0"/>
    <n v="81.793400000000005"/>
    <n v="19.409836065573771"/>
    <n v="23.638971046323149"/>
    <m/>
    <n v="21.372030235181079"/>
    <n v="16.438356164383563"/>
    <n v="68.950209994215797"/>
    <n v="14.098901098901099"/>
    <n v="16.70150195672214"/>
    <m/>
  </r>
  <r>
    <n v="1175"/>
    <x v="1174"/>
    <n v="14"/>
    <m/>
    <n v="0"/>
    <n v="81.946100000000001"/>
    <n v="19.409836065573771"/>
    <n v="25.47510156885064"/>
    <m/>
    <n v="1.856531650863475"/>
    <n v="16.438356164383563"/>
    <n v="69.164666022614909"/>
    <n v="14.098901098901099"/>
    <n v="22.68276491907017"/>
    <m/>
  </r>
  <r>
    <n v="1176"/>
    <x v="1175"/>
    <n v="37"/>
    <m/>
    <n v="0"/>
    <n v="82.098799999999997"/>
    <n v="19.409836065573771"/>
    <n v="25.274574645063701"/>
    <m/>
    <n v="125.251830789778"/>
    <n v="16.438356164383563"/>
    <n v="67.808673724385073"/>
    <n v="14.098901098901099"/>
    <n v="32.858451927935249"/>
    <m/>
  </r>
  <r>
    <n v="1177"/>
    <x v="1176"/>
    <n v="33"/>
    <m/>
    <n v="0"/>
    <n v="82.251500000000007"/>
    <n v="19.409836065573771"/>
    <n v="41.693898582144662"/>
    <m/>
    <n v="125.251830789778"/>
    <n v="16.438356164383563"/>
    <n v="67.808673724385073"/>
    <n v="14.098901098901099"/>
    <n v="15.04962886382717"/>
    <m/>
  </r>
  <r>
    <n v="1178"/>
    <x v="1177"/>
    <n v="43"/>
    <m/>
    <n v="0"/>
    <n v="82.404200000000003"/>
    <n v="19.409836065573771"/>
    <n v="41.119022590853383"/>
    <m/>
    <n v="21.372030235181079"/>
    <n v="16.438356164383563"/>
    <n v="68.950209994215797"/>
    <n v="14.098901098901099"/>
    <n v="25.189225309339001"/>
    <m/>
  </r>
  <r>
    <n v="1179"/>
    <x v="1178"/>
    <n v="33"/>
    <m/>
    <n v="0"/>
    <n v="82.556899999999999"/>
    <n v="19.409836065573771"/>
    <n v="43.381922564071402"/>
    <m/>
    <n v="1.856531650863475"/>
    <n v="16.438356164383563"/>
    <n v="69.164666022614909"/>
    <n v="14.098901098901099"/>
    <n v="18.437345076377529"/>
    <m/>
  </r>
  <r>
    <n v="1180"/>
    <x v="1179"/>
    <n v="40"/>
    <m/>
    <n v="0"/>
    <n v="82.709599999999995"/>
    <n v="19.409836065573771"/>
    <n v="37.932848063678144"/>
    <m/>
    <n v="125.251830789778"/>
    <n v="16.438356164383563"/>
    <n v="67.808673724385073"/>
    <n v="14.098901098901099"/>
    <n v="14.630149464027999"/>
    <m/>
  </r>
  <r>
    <n v="1181"/>
    <x v="1180"/>
    <n v="32"/>
    <m/>
    <n v="0"/>
    <n v="82.862300000000005"/>
    <n v="19.409836065573771"/>
    <n v="20.544269931742601"/>
    <m/>
    <n v="125.251830789778"/>
    <n v="16.438356164383563"/>
    <n v="67.808673724385073"/>
    <n v="14.098901098901099"/>
    <n v="21.226121556712791"/>
    <m/>
  </r>
  <r>
    <n v="1182"/>
    <x v="1181"/>
    <n v="35"/>
    <m/>
    <n v="0"/>
    <n v="83.015000000000001"/>
    <n v="19.409836065573771"/>
    <n v="19.469582005536541"/>
    <m/>
    <n v="21.372030235181079"/>
    <n v="16.438356164383563"/>
    <n v="68.950209994215797"/>
    <n v="14.098901098901099"/>
    <n v="21.22663615629126"/>
    <m/>
  </r>
  <r>
    <n v="1183"/>
    <x v="1182"/>
    <n v="40"/>
    <m/>
    <n v="0"/>
    <n v="83.167699999999996"/>
    <n v="19.409836065573771"/>
    <n v="11.38712991823162"/>
    <m/>
    <n v="1.856531650863475"/>
    <n v="16.438356164383563"/>
    <n v="69.164666022614909"/>
    <n v="14.098901098901099"/>
    <n v="12.244451577052629"/>
    <m/>
  </r>
  <r>
    <n v="1184"/>
    <x v="1183"/>
    <n v="30"/>
    <m/>
    <n v="0"/>
    <n v="83.320400000000006"/>
    <n v="19.409836065573771"/>
    <n v="9.7038852672101346"/>
    <m/>
    <n v="125.251830789778"/>
    <n v="16.438356164383563"/>
    <n v="67.808673724385073"/>
    <n v="14.098901098901099"/>
    <n v="19.935099197677239"/>
    <m/>
  </r>
  <r>
    <n v="1185"/>
    <x v="1184"/>
    <n v="40"/>
    <m/>
    <n v="0"/>
    <n v="83.473100000000002"/>
    <n v="19.409836065573771"/>
    <n v="11.00720716448928"/>
    <m/>
    <n v="125.251830789778"/>
    <n v="16.438356164383563"/>
    <n v="67.808673724385073"/>
    <n v="14.098901098901099"/>
    <n v="29.038569768630129"/>
    <m/>
  </r>
  <r>
    <n v="1186"/>
    <x v="1185"/>
    <n v="15"/>
    <m/>
    <n v="0"/>
    <n v="83.625799999999998"/>
    <n v="19.409836065573771"/>
    <n v="11.459628659630001"/>
    <m/>
    <n v="21.372030235181079"/>
    <n v="16.438356164383563"/>
    <n v="68.950209994215797"/>
    <n v="14.098901098901099"/>
    <n v="10.685836851555219"/>
    <m/>
  </r>
  <r>
    <n v="1187"/>
    <x v="1186"/>
    <n v="26"/>
    <m/>
    <n v="0"/>
    <n v="83.778500000000008"/>
    <n v="19.409836065573771"/>
    <n v="18.67720800749942"/>
    <m/>
    <n v="1.856531650863475"/>
    <n v="16.438356164383563"/>
    <n v="69.164666022614909"/>
    <n v="14.098901098901099"/>
    <n v="27.280676710651061"/>
    <m/>
  </r>
  <r>
    <n v="1188"/>
    <x v="1187"/>
    <n v="25"/>
    <m/>
    <n v="0"/>
    <n v="83.931200000000004"/>
    <n v="19.409836065573771"/>
    <n v="22.9267985971684"/>
    <m/>
    <n v="125.251830789778"/>
    <n v="16.438356164383563"/>
    <n v="67.808673724385073"/>
    <n v="14.098901098901099"/>
    <n v="23.28997621741895"/>
    <m/>
  </r>
  <r>
    <n v="1189"/>
    <x v="1188"/>
    <n v="35"/>
    <m/>
    <n v="0"/>
    <n v="84.0839"/>
    <n v="19.409836065573771"/>
    <n v="1.9231994867129001"/>
    <m/>
    <n v="125.251830789778"/>
    <n v="16.438356164383563"/>
    <n v="67.808673724385073"/>
    <n v="14.098901098901099"/>
    <n v="11.26832065871749"/>
    <m/>
  </r>
  <r>
    <n v="1190"/>
    <x v="1189"/>
    <n v="41"/>
    <m/>
    <n v="0"/>
    <n v="84.236599999999996"/>
    <n v="19.409836065573771"/>
    <n v="2.3708479826840039"/>
    <m/>
    <n v="21.372030235181079"/>
    <n v="16.438356164383563"/>
    <n v="68.950209994215797"/>
    <n v="14.098901098901099"/>
    <n v="13.583877907749979"/>
    <m/>
  </r>
  <r>
    <n v="1191"/>
    <x v="1190"/>
    <n v="27"/>
    <m/>
    <n v="0"/>
    <n v="84.389300000000006"/>
    <n v="19.409836065573771"/>
    <n v="35.568711464222893"/>
    <m/>
    <n v="1.856531650863475"/>
    <n v="16.438356164383563"/>
    <n v="69.164666022614909"/>
    <n v="14.098901098901099"/>
    <n v="22.428368653951878"/>
    <m/>
  </r>
  <r>
    <n v="1192"/>
    <x v="1191"/>
    <n v="23"/>
    <m/>
    <n v="0"/>
    <n v="84.542000000000002"/>
    <n v="19.409836065573771"/>
    <n v="31.33024791614563"/>
    <m/>
    <n v="125.251830789778"/>
    <n v="16.438356164383563"/>
    <n v="67.808673724385073"/>
    <n v="14.098901098901099"/>
    <n v="20.576175238959529"/>
    <m/>
  </r>
  <r>
    <n v="1193"/>
    <x v="1192"/>
    <n v="42"/>
    <m/>
    <n v="0"/>
    <n v="84.694699999999997"/>
    <n v="19.409836065573771"/>
    <n v="24.045441531220298"/>
    <m/>
    <n v="125.251830789778"/>
    <n v="16.438356164383563"/>
    <n v="67.808673724385073"/>
    <n v="14.098901098901099"/>
    <n v="25.65674888324104"/>
    <m/>
  </r>
  <r>
    <n v="1194"/>
    <x v="1193"/>
    <n v="25"/>
    <m/>
    <n v="0"/>
    <n v="84.847400000000007"/>
    <n v="19.409836065573771"/>
    <n v="21.102733062017538"/>
    <m/>
    <n v="21.372030235181079"/>
    <n v="16.438356164383563"/>
    <n v="68.950209994215797"/>
    <n v="14.098901098901099"/>
    <n v="28.920241827442219"/>
    <m/>
  </r>
  <r>
    <n v="1195"/>
    <x v="1194"/>
    <n v="40"/>
    <m/>
    <n v="0"/>
    <n v="85.000100000000003"/>
    <n v="19.409836065573771"/>
    <n v="12.23454999510977"/>
    <m/>
    <n v="1.856531650863475"/>
    <n v="16.438356164383563"/>
    <n v="69.164666022614909"/>
    <n v="14.098901098901099"/>
    <n v="14.78976846406267"/>
    <m/>
  </r>
  <r>
    <n v="1196"/>
    <x v="1195"/>
    <n v="38"/>
    <m/>
    <n v="0"/>
    <n v="85.152799999999999"/>
    <n v="19.409836065573771"/>
    <n v="20.578044873593569"/>
    <m/>
    <n v="125.251830789778"/>
    <n v="16.438356164383563"/>
    <n v="67.808673724385073"/>
    <n v="14.098901098901099"/>
    <n v="9.8695915736025466"/>
    <m/>
  </r>
  <r>
    <n v="1197"/>
    <x v="1196"/>
    <n v="39"/>
    <m/>
    <n v="0"/>
    <n v="85.305499999999995"/>
    <n v="19.409836065573771"/>
    <n v="13.125013840771629"/>
    <m/>
    <n v="125.251830789778"/>
    <n v="16.438356164383563"/>
    <n v="67.808673724385073"/>
    <n v="14.098901098901099"/>
    <n v="18.962965920461791"/>
    <m/>
  </r>
  <r>
    <n v="1198"/>
    <x v="1197"/>
    <n v="23"/>
    <m/>
    <n v="0"/>
    <n v="85.458200000000005"/>
    <n v="19.409836065573771"/>
    <n v="12.48399746872602"/>
    <m/>
    <n v="21.372030235181079"/>
    <n v="16.438356164383563"/>
    <n v="68.950209994215797"/>
    <n v="14.098901098901099"/>
    <n v="28.989646010908871"/>
    <m/>
  </r>
  <r>
    <n v="1199"/>
    <x v="1198"/>
    <n v="47"/>
    <m/>
    <n v="0"/>
    <n v="85.610900000000001"/>
    <n v="19.409836065573771"/>
    <n v="24.94687731064791"/>
    <m/>
    <n v="1.856531650863475"/>
    <n v="16.438356164383563"/>
    <n v="69.164666022614909"/>
    <n v="14.098901098901099"/>
    <n v="31.982462676171291"/>
    <m/>
  </r>
  <r>
    <n v="1200"/>
    <x v="1199"/>
    <n v="22"/>
    <m/>
    <n v="0"/>
    <n v="85.763599999999997"/>
    <n v="19.409836065573771"/>
    <n v="33.223091240899024"/>
    <m/>
    <n v="125.251830789778"/>
    <n v="16.438356164383563"/>
    <n v="67.808673724385073"/>
    <n v="14.098901098901099"/>
    <n v="34.235275225792009"/>
    <m/>
  </r>
  <r>
    <n v="1201"/>
    <x v="1200"/>
    <n v="56"/>
    <m/>
    <n v="0"/>
    <n v="85.916300000000007"/>
    <n v="19.409836065573771"/>
    <n v="15.8376869289488"/>
    <m/>
    <n v="125.251830789778"/>
    <n v="16.438356164383563"/>
    <n v="67.808673724385073"/>
    <n v="14.098901098901099"/>
    <n v="12.62547960208591"/>
    <m/>
  </r>
  <r>
    <n v="1202"/>
    <x v="1201"/>
    <n v="35"/>
    <m/>
    <n v="0"/>
    <n v="86.069000000000003"/>
    <n v="19.409836065573771"/>
    <n v="16.659319706561639"/>
    <m/>
    <n v="21.372030235181079"/>
    <n v="16.438356164383563"/>
    <n v="68.950209994215797"/>
    <n v="14.098901098901099"/>
    <n v="5.466371152271968"/>
    <m/>
  </r>
  <r>
    <n v="1203"/>
    <x v="1202"/>
    <n v="49"/>
    <m/>
    <n v="0"/>
    <n v="86.221699999999998"/>
    <n v="19.409836065573771"/>
    <n v="31.172696606008671"/>
    <m/>
    <n v="1.856531650863475"/>
    <n v="16.438356164383563"/>
    <n v="69.164666022614909"/>
    <n v="14.098901098901099"/>
    <n v="17.052343149690991"/>
    <m/>
  </r>
  <r>
    <n v="1204"/>
    <x v="1203"/>
    <n v="37"/>
    <m/>
    <n v="0"/>
    <n v="86.374400000000009"/>
    <n v="19.409836065573771"/>
    <n v="4.5536872924595659"/>
    <m/>
    <n v="125.251830789778"/>
    <n v="16.438356164383563"/>
    <n v="67.808673724385073"/>
    <n v="14.098901098901099"/>
    <n v="21.368742231755039"/>
    <m/>
  </r>
  <r>
    <n v="1205"/>
    <x v="1204"/>
    <n v="35"/>
    <m/>
    <n v="0"/>
    <n v="86.527100000000004"/>
    <n v="19.409836065573771"/>
    <n v="16.014111070779911"/>
    <m/>
    <n v="125.251830789778"/>
    <n v="16.438356164383563"/>
    <n v="67.808673724385073"/>
    <n v="14.098901098901099"/>
    <n v="30.842375276566891"/>
    <m/>
  </r>
  <r>
    <n v="1206"/>
    <x v="1205"/>
    <n v="40"/>
    <m/>
    <n v="0"/>
    <n v="86.6798"/>
    <n v="19.409836065573771"/>
    <n v="29.93794682917677"/>
    <m/>
    <n v="21.372030235181079"/>
    <n v="16.438356164383563"/>
    <n v="68.950209994215797"/>
    <n v="14.098901098901099"/>
    <n v="10.258316058822359"/>
    <m/>
  </r>
  <r>
    <n v="1207"/>
    <x v="1206"/>
    <n v="34"/>
    <m/>
    <n v="0"/>
    <n v="86.832499999999996"/>
    <n v="19.409836065573771"/>
    <n v="33.315760904966773"/>
    <m/>
    <n v="1.856531650863475"/>
    <n v="16.438356164383563"/>
    <n v="69.164666022614909"/>
    <n v="14.098901098901099"/>
    <n v="26.311092400071821"/>
    <m/>
  </r>
  <r>
    <n v="1208"/>
    <x v="1207"/>
    <n v="63"/>
    <m/>
    <n v="0"/>
    <n v="86.985200000000006"/>
    <n v="19.409836065573771"/>
    <n v="23.13796056225879"/>
    <m/>
    <n v="125.251830789778"/>
    <n v="16.438356164383563"/>
    <n v="67.808673724385073"/>
    <n v="14.098901098901099"/>
    <n v="13.985263880777721"/>
    <m/>
  </r>
  <r>
    <n v="1209"/>
    <x v="1208"/>
    <n v="43"/>
    <m/>
    <n v="0"/>
    <n v="87.137900000000002"/>
    <n v="19.409836065573771"/>
    <n v="20.240429981397831"/>
    <m/>
    <n v="125.251830789778"/>
    <n v="16.438356164383563"/>
    <n v="67.808673724385073"/>
    <n v="14.098901098901099"/>
    <n v="12.31583815386715"/>
    <m/>
  </r>
  <r>
    <n v="1210"/>
    <x v="1209"/>
    <n v="43"/>
    <m/>
    <n v="0"/>
    <n v="87.290599999999998"/>
    <n v="19.409836065573771"/>
    <n v="35.935369803433623"/>
    <m/>
    <n v="21.372030235181079"/>
    <n v="16.438356164383563"/>
    <n v="68.950209994215797"/>
    <n v="14.098901098901099"/>
    <n v="20.171788541927921"/>
    <m/>
  </r>
  <r>
    <n v="1211"/>
    <x v="1210"/>
    <n v="53"/>
    <m/>
    <n v="0"/>
    <n v="87.443300000000008"/>
    <n v="19.409836065573771"/>
    <n v="19.20569791163744"/>
    <m/>
    <n v="1.856531650863475"/>
    <n v="16.438356164383563"/>
    <n v="69.164666022614909"/>
    <n v="14.098901098901099"/>
    <n v="17.624354604421441"/>
    <m/>
  </r>
  <r>
    <n v="1212"/>
    <x v="1211"/>
    <n v="46"/>
    <m/>
    <n v="0"/>
    <n v="87.596000000000004"/>
    <n v="19.409836065573771"/>
    <n v="20.523364124274391"/>
    <m/>
    <n v="125.251830789778"/>
    <n v="16.438356164383563"/>
    <n v="67.808673724385073"/>
    <n v="14.098901098901099"/>
    <n v="12.95504995919573"/>
    <m/>
  </r>
  <r>
    <n v="1213"/>
    <x v="1212"/>
    <n v="23"/>
    <m/>
    <n v="0"/>
    <n v="87.748699999999999"/>
    <n v="19.409836065573771"/>
    <n v="26.572034916379199"/>
    <m/>
    <n v="125.251830789778"/>
    <n v="16.438356164383563"/>
    <n v="67.808673724385073"/>
    <n v="14.098901098901099"/>
    <n v="30.195504965875621"/>
    <m/>
  </r>
  <r>
    <n v="1214"/>
    <x v="1213"/>
    <n v="35"/>
    <m/>
    <n v="0"/>
    <n v="87.901399999999995"/>
    <n v="19.409836065573771"/>
    <n v="19.28114347030024"/>
    <m/>
    <n v="21.372030235181079"/>
    <n v="16.438356164383563"/>
    <n v="68.950209994215797"/>
    <n v="14.098901098901099"/>
    <n v="19.346111677289642"/>
    <m/>
  </r>
  <r>
    <n v="1215"/>
    <x v="1214"/>
    <n v="71"/>
    <m/>
    <n v="0"/>
    <n v="88.054100000000005"/>
    <n v="19.409836065573771"/>
    <n v="36.909727221102592"/>
    <m/>
    <n v="1.856531650863475"/>
    <n v="16.438356164383563"/>
    <n v="69.164666022614909"/>
    <n v="14.098901098901099"/>
    <n v="14.230911265298269"/>
    <m/>
  </r>
  <r>
    <n v="1216"/>
    <x v="1215"/>
    <n v="43"/>
    <m/>
    <n v="0"/>
    <n v="88.206800000000001"/>
    <n v="19.409836065573771"/>
    <n v="21.64674596515092"/>
    <m/>
    <n v="125.251830789778"/>
    <n v="16.438356164383563"/>
    <n v="67.808673724385073"/>
    <n v="14.098901098901099"/>
    <n v="14.1270149986155"/>
    <m/>
  </r>
  <r>
    <n v="1217"/>
    <x v="1216"/>
    <n v="41"/>
    <m/>
    <n v="0"/>
    <n v="88.359499999999997"/>
    <n v="19.409836065573771"/>
    <n v="37.556702747610132"/>
    <m/>
    <n v="125.251830789778"/>
    <n v="16.438356164383563"/>
    <n v="67.808673724385073"/>
    <n v="14.098901098901099"/>
    <n v="24.796845742550449"/>
    <m/>
  </r>
  <r>
    <n v="1218"/>
    <x v="1217"/>
    <n v="40"/>
    <m/>
    <n v="0"/>
    <n v="88.512200000000007"/>
    <n v="19.409836065573771"/>
    <n v="23.405455819193939"/>
    <m/>
    <n v="21.372030235181079"/>
    <n v="16.438356164383563"/>
    <n v="68.950209994215797"/>
    <n v="14.098901098901099"/>
    <n v="13.61594132578249"/>
    <m/>
  </r>
  <r>
    <n v="1219"/>
    <x v="1218"/>
    <n v="53"/>
    <m/>
    <n v="0"/>
    <n v="88.664900000000003"/>
    <n v="19.409836065573771"/>
    <n v="24.705918812002281"/>
    <m/>
    <n v="1.856531650863475"/>
    <n v="16.438356164383563"/>
    <n v="69.164666022614909"/>
    <n v="14.098901098901099"/>
    <n v="17.655171311722199"/>
    <m/>
  </r>
  <r>
    <n v="1220"/>
    <x v="1219"/>
    <n v="40"/>
    <m/>
    <n v="0"/>
    <n v="88.817599999999999"/>
    <n v="19.409836065573771"/>
    <n v="27.09102910740037"/>
    <m/>
    <n v="125.251830789778"/>
    <n v="16.438356164383563"/>
    <n v="67.808673724385073"/>
    <n v="14.098901098901099"/>
    <n v="23.136203571005431"/>
    <m/>
  </r>
  <r>
    <n v="1221"/>
    <x v="1220"/>
    <n v="43"/>
    <m/>
    <n v="0"/>
    <n v="88.970300000000009"/>
    <n v="19.409836065573771"/>
    <n v="15.41376076756158"/>
    <m/>
    <n v="125.251830789778"/>
    <n v="16.438356164383563"/>
    <n v="67.808673724385073"/>
    <n v="14.098901098901099"/>
    <n v="15.86892962363499"/>
    <m/>
  </r>
  <r>
    <n v="1222"/>
    <x v="1221"/>
    <n v="53"/>
    <m/>
    <n v="0"/>
    <n v="89.123000000000005"/>
    <n v="19.409836065573771"/>
    <n v="37.707003767649432"/>
    <m/>
    <n v="21.372030235181079"/>
    <n v="16.438356164383563"/>
    <n v="68.950209994215797"/>
    <n v="14.098901098901099"/>
    <n v="8.6538660923961945"/>
    <m/>
  </r>
  <r>
    <n v="1223"/>
    <x v="1222"/>
    <n v="69"/>
    <m/>
    <n v="0"/>
    <n v="89.275700000000001"/>
    <n v="19.409836065573771"/>
    <n v="27.56461931441806"/>
    <m/>
    <n v="1.856531650863475"/>
    <n v="16.438356164383563"/>
    <n v="69.164666022614909"/>
    <n v="14.098901098901099"/>
    <n v="29.36063003853587"/>
    <m/>
  </r>
  <r>
    <n v="1224"/>
    <x v="1223"/>
    <n v="46"/>
    <m/>
    <n v="0"/>
    <n v="89.428399999999996"/>
    <n v="19.409836065573771"/>
    <n v="32.448326939071258"/>
    <m/>
    <n v="125.251830789778"/>
    <n v="16.438356164383563"/>
    <n v="67.808673724385073"/>
    <n v="14.098901098901099"/>
    <n v="16.159298948766072"/>
    <m/>
  </r>
  <r>
    <n v="1225"/>
    <x v="1224"/>
    <n v="51"/>
    <m/>
    <n v="0"/>
    <n v="89.581100000000006"/>
    <n v="19.409836065573771"/>
    <n v="22.088847825132628"/>
    <m/>
    <n v="125.251830789778"/>
    <n v="16.438356164383563"/>
    <n v="67.808673724385073"/>
    <n v="14.098901098901099"/>
    <n v="31.864674984138521"/>
    <m/>
  </r>
  <r>
    <n v="1226"/>
    <x v="1225"/>
    <n v="57"/>
    <m/>
    <n v="0"/>
    <n v="89.733800000000002"/>
    <n v="19.409836065573771"/>
    <n v="21.943070529119652"/>
    <m/>
    <n v="21.372030235181079"/>
    <n v="16.438356164383563"/>
    <n v="68.950209994215797"/>
    <n v="14.098901098901099"/>
    <n v="18.64502801676884"/>
    <m/>
  </r>
  <r>
    <n v="1227"/>
    <x v="1226"/>
    <n v="28"/>
    <m/>
    <n v="0"/>
    <n v="89.886499999999998"/>
    <n v="19.409836065573771"/>
    <n v="38.286047303548678"/>
    <m/>
    <n v="1.856531650863475"/>
    <n v="16.438356164383563"/>
    <n v="69.164666022614909"/>
    <n v="14.098901098901099"/>
    <n v="16.25146787875256"/>
    <m/>
  </r>
  <r>
    <n v="1228"/>
    <x v="1227"/>
    <n v="45"/>
    <m/>
    <n v="0"/>
    <n v="90.039200000000008"/>
    <n v="19.409836065573771"/>
    <n v="18.250311036483961"/>
    <m/>
    <n v="125.251830789778"/>
    <n v="16.438356164383563"/>
    <n v="67.808673724385073"/>
    <n v="14.098901098901099"/>
    <n v="14.658660616246911"/>
    <m/>
  </r>
  <r>
    <n v="1229"/>
    <x v="1228"/>
    <n v="79"/>
    <m/>
    <n v="0"/>
    <n v="90.191900000000004"/>
    <n v="19.409836065573771"/>
    <n v="40.205073791258023"/>
    <m/>
    <n v="125.251830789778"/>
    <n v="16.438356164383563"/>
    <n v="67.808673724385073"/>
    <n v="14.098901098901099"/>
    <n v="28.845980754664659"/>
    <m/>
  </r>
  <r>
    <n v="1230"/>
    <x v="1229"/>
    <n v="50"/>
    <m/>
    <n v="0"/>
    <n v="90.3446"/>
    <n v="19.409836065573771"/>
    <n v="28.640937233378899"/>
    <m/>
    <n v="21.372030235181079"/>
    <n v="16.438356164383563"/>
    <n v="68.950209994215797"/>
    <n v="14.098901098901099"/>
    <n v="19.799928263602538"/>
    <m/>
  </r>
  <r>
    <n v="1231"/>
    <x v="1230"/>
    <n v="38"/>
    <m/>
    <n v="0"/>
    <n v="90.497299999999996"/>
    <n v="19.409836065573771"/>
    <n v="24.446934640422889"/>
    <m/>
    <n v="1.856531650863475"/>
    <n v="16.438356164383563"/>
    <n v="69.164666022614909"/>
    <n v="14.098901098901099"/>
    <n v="20.86910304034069"/>
    <m/>
  </r>
  <r>
    <n v="1232"/>
    <x v="1231"/>
    <n v="21"/>
    <m/>
    <n v="0"/>
    <n v="90.65"/>
    <n v="19.409836065573771"/>
    <n v="31.175968371029089"/>
    <m/>
    <n v="125.251830789778"/>
    <n v="16.438356164383563"/>
    <n v="67.808673724385073"/>
    <n v="14.098901098901099"/>
    <n v="13.63477886552684"/>
    <m/>
  </r>
  <r>
    <n v="1233"/>
    <x v="1232"/>
    <n v="59"/>
    <m/>
    <n v="0"/>
    <n v="90.802700000000002"/>
    <n v="19.409836065573771"/>
    <n v="15.299243271589029"/>
    <m/>
    <n v="125.251830789778"/>
    <n v="16.438356164383563"/>
    <n v="67.808673724385073"/>
    <n v="14.098901098901099"/>
    <n v="11.058315732226211"/>
    <m/>
  </r>
  <r>
    <n v="1234"/>
    <x v="1233"/>
    <n v="73"/>
    <m/>
    <n v="0"/>
    <n v="90.955399999999997"/>
    <n v="19.409836065573771"/>
    <n v="37.5194603498379"/>
    <m/>
    <n v="21.372030235181079"/>
    <n v="16.438356164383563"/>
    <n v="68.950209994215797"/>
    <n v="14.098901098901099"/>
    <n v="15.533084719190921"/>
    <m/>
  </r>
  <r>
    <n v="1235"/>
    <x v="1234"/>
    <n v="38"/>
    <m/>
    <n v="0"/>
    <n v="91.108100000000007"/>
    <n v="19.409836065573771"/>
    <n v="23.613606536477469"/>
    <m/>
    <n v="1.856531650863475"/>
    <n v="16.438356164383563"/>
    <n v="69.164666022614909"/>
    <n v="14.098901098901099"/>
    <n v="28.473861853801779"/>
    <m/>
  </r>
  <r>
    <n v="1236"/>
    <x v="1235"/>
    <n v="53"/>
    <m/>
    <n v="0"/>
    <n v="91.260800000000003"/>
    <n v="19.409836065573771"/>
    <n v="32.295378276400911"/>
    <m/>
    <n v="125.251830789778"/>
    <n v="16.438356164383563"/>
    <n v="67.808673724385073"/>
    <n v="14.098901098901099"/>
    <n v="33.001162022397118"/>
    <m/>
  </r>
  <r>
    <n v="1237"/>
    <x v="1236"/>
    <n v="49"/>
    <m/>
    <n v="0"/>
    <n v="91.413499999999999"/>
    <n v="19.409836065573771"/>
    <n v="20.375375624711889"/>
    <m/>
    <n v="125.251830789778"/>
    <n v="16.438356164383563"/>
    <n v="67.808673724385073"/>
    <n v="14.098901098901099"/>
    <n v="29.56652570459633"/>
    <m/>
  </r>
  <r>
    <n v="1238"/>
    <x v="1237"/>
    <n v="56"/>
    <m/>
    <n v="0"/>
    <n v="91.566199999999995"/>
    <n v="19.409836065573771"/>
    <n v="25.59360963256005"/>
    <m/>
    <n v="21.372030235181079"/>
    <n v="16.438356164383563"/>
    <n v="68.950209994215797"/>
    <n v="14.098901098901099"/>
    <n v="16.204289231757699"/>
    <m/>
  </r>
  <r>
    <n v="1239"/>
    <x v="1238"/>
    <n v="65"/>
    <m/>
    <n v="0"/>
    <n v="91.718900000000005"/>
    <n v="19.409836065573771"/>
    <n v="33.402556992528552"/>
    <m/>
    <n v="1.856531650863475"/>
    <n v="16.438356164383563"/>
    <n v="69.164666022614909"/>
    <n v="14.098901098901099"/>
    <n v="7.0604472817648283"/>
    <m/>
  </r>
  <r>
    <n v="1240"/>
    <x v="1239"/>
    <n v="27"/>
    <m/>
    <n v="0"/>
    <n v="91.871600000000001"/>
    <n v="19.409836065573771"/>
    <n v="15.720801431767139"/>
    <m/>
    <n v="125.251830789778"/>
    <n v="16.438356164383563"/>
    <n v="67.808673724385073"/>
    <n v="14.098901098901099"/>
    <n v="10.73026688119015"/>
    <m/>
  </r>
  <r>
    <n v="1241"/>
    <x v="1240"/>
    <n v="85"/>
    <m/>
    <n v="0"/>
    <n v="92.024299999999997"/>
    <n v="19.409836065573771"/>
    <n v="35.617122263745628"/>
    <m/>
    <n v="125.251830789778"/>
    <n v="16.438356164383563"/>
    <n v="67.808673724385073"/>
    <n v="14.098901098901099"/>
    <n v="19.907603407958941"/>
    <m/>
  </r>
  <r>
    <n v="1242"/>
    <x v="1241"/>
    <n v="29"/>
    <m/>
    <n v="0"/>
    <n v="92.177000000000007"/>
    <n v="19.409836065573771"/>
    <n v="38.915289844744422"/>
    <m/>
    <n v="21.372030235181079"/>
    <n v="16.438356164383563"/>
    <n v="68.950209994215797"/>
    <n v="14.098901098901099"/>
    <n v="17.37903782065808"/>
    <m/>
  </r>
  <r>
    <n v="1243"/>
    <x v="1242"/>
    <n v="33"/>
    <m/>
    <n v="0"/>
    <n v="92.329700000000003"/>
    <n v="19.409836065573771"/>
    <n v="19.782204374310211"/>
    <m/>
    <n v="1.856531650863475"/>
    <n v="16.438356164383563"/>
    <n v="69.164666022614909"/>
    <n v="14.098901098901099"/>
    <n v="22.99448423882107"/>
    <m/>
  </r>
  <r>
    <n v="1244"/>
    <x v="1243"/>
    <n v="57"/>
    <m/>
    <n v="0"/>
    <n v="92.482399999999998"/>
    <n v="19.409836065573771"/>
    <n v="37.549331659464237"/>
    <m/>
    <n v="125.251830789778"/>
    <n v="16.438356164383563"/>
    <n v="67.808673724385073"/>
    <n v="14.098901098901099"/>
    <n v="16.54845167718317"/>
    <m/>
  </r>
  <r>
    <n v="1245"/>
    <x v="1244"/>
    <n v="69"/>
    <m/>
    <n v="0"/>
    <n v="92.635100000000008"/>
    <n v="19.409836065573771"/>
    <n v="11.231752730536829"/>
    <m/>
    <n v="125.251830789778"/>
    <n v="16.438356164383563"/>
    <n v="67.808673724385073"/>
    <n v="14.098901098901099"/>
    <n v="14.11547338408355"/>
    <m/>
  </r>
  <r>
    <n v="1246"/>
    <x v="1245"/>
    <n v="44"/>
    <m/>
    <n v="0"/>
    <n v="92.787800000000004"/>
    <n v="19.409836065573771"/>
    <n v="26.879542679904429"/>
    <m/>
    <n v="21.372030235181079"/>
    <n v="16.438356164383563"/>
    <n v="68.950209994215797"/>
    <n v="14.098901098901099"/>
    <n v="15.435568559523549"/>
    <m/>
  </r>
  <r>
    <n v="1247"/>
    <x v="1246"/>
    <n v="87"/>
    <m/>
    <n v="0"/>
    <n v="92.9405"/>
    <n v="19.409836065573771"/>
    <n v="13.962645842790289"/>
    <m/>
    <n v="1.856531650863475"/>
    <n v="16.438356164383563"/>
    <n v="69.164666022614909"/>
    <n v="14.098901098901099"/>
    <n v="28.84981785912262"/>
    <m/>
  </r>
  <r>
    <n v="1248"/>
    <x v="1247"/>
    <n v="101"/>
    <m/>
    <n v="0"/>
    <n v="93.093199999999996"/>
    <n v="19.409836065573771"/>
    <n v="14.390982733604099"/>
    <m/>
    <n v="125.251830789778"/>
    <n v="16.438356164383563"/>
    <n v="67.808673724385073"/>
    <n v="14.098901098901099"/>
    <n v="27.392253061303091"/>
    <m/>
  </r>
  <r>
    <n v="1249"/>
    <x v="1248"/>
    <n v="55"/>
    <m/>
    <n v="0"/>
    <n v="93.245900000000006"/>
    <n v="19.409836065573771"/>
    <n v="29.42551615383649"/>
    <m/>
    <n v="125.251830789778"/>
    <n v="16.438356164383563"/>
    <n v="67.808673724385073"/>
    <n v="14.098901098901099"/>
    <n v="29.08246374678669"/>
    <m/>
  </r>
  <r>
    <n v="1250"/>
    <x v="1249"/>
    <n v="39"/>
    <m/>
    <n v="0"/>
    <n v="93.398600000000002"/>
    <n v="19.409836065573771"/>
    <n v="19.73623686153049"/>
    <m/>
    <n v="21.372030235181079"/>
    <n v="16.438356164383563"/>
    <n v="68.950209994215797"/>
    <n v="14.098901098901099"/>
    <n v="13.03163234938024"/>
    <m/>
  </r>
  <r>
    <n v="1251"/>
    <x v="1250"/>
    <n v="56"/>
    <m/>
    <n v="0"/>
    <n v="93.551299999999998"/>
    <n v="19.409836065573771"/>
    <n v="14.25623544458008"/>
    <m/>
    <n v="1.856531650863475"/>
    <n v="16.438356164383563"/>
    <n v="69.164666022614909"/>
    <n v="14.098901098901099"/>
    <n v="5.6998362593904552"/>
    <m/>
  </r>
  <r>
    <n v="1252"/>
    <x v="1251"/>
    <n v="35"/>
    <m/>
    <n v="0"/>
    <n v="93.704000000000008"/>
    <n v="19.409836065573771"/>
    <n v="18.877678701702411"/>
    <m/>
    <n v="125.251830789778"/>
    <n v="16.438356164383563"/>
    <n v="67.808673724385073"/>
    <n v="14.098901098901099"/>
    <n v="9.6611890020517173"/>
    <m/>
  </r>
  <r>
    <n v="1253"/>
    <x v="1252"/>
    <n v="68"/>
    <m/>
    <n v="0"/>
    <n v="93.856700000000004"/>
    <n v="19.409836065573771"/>
    <n v="29.936677355487461"/>
    <m/>
    <n v="125.251830789778"/>
    <n v="16.438356164383563"/>
    <n v="67.808673724385073"/>
    <n v="14.098901098901099"/>
    <n v="23.466753625585671"/>
    <m/>
  </r>
  <r>
    <n v="1254"/>
    <x v="1253"/>
    <n v="61"/>
    <m/>
    <n v="0"/>
    <n v="94.009399999999999"/>
    <n v="19.409836065573771"/>
    <n v="22.073981784560061"/>
    <m/>
    <n v="21.372030235181079"/>
    <n v="16.438356164383563"/>
    <n v="68.950209994215797"/>
    <n v="14.098901098901099"/>
    <n v="33.802910882509792"/>
    <m/>
  </r>
  <r>
    <n v="1255"/>
    <x v="1254"/>
    <n v="74"/>
    <m/>
    <n v="0"/>
    <n v="94.162099999999995"/>
    <n v="19.409836065573771"/>
    <n v="15.8641580398705"/>
    <m/>
    <n v="1.856531650863475"/>
    <n v="16.438356164383563"/>
    <n v="69.164666022614909"/>
    <n v="14.098901098901099"/>
    <n v="34.071229782842529"/>
    <m/>
  </r>
  <r>
    <n v="1256"/>
    <x v="1255"/>
    <n v="52"/>
    <m/>
    <n v="0"/>
    <n v="94.314800000000005"/>
    <n v="19.409836065573771"/>
    <n v="33.747990516565423"/>
    <m/>
    <n v="125.251830789778"/>
    <n v="16.438356164383563"/>
    <n v="67.808673724385073"/>
    <n v="14.098901098901099"/>
    <n v="19.136506320044269"/>
    <m/>
  </r>
  <r>
    <n v="1257"/>
    <x v="1256"/>
    <n v="47"/>
    <m/>
    <n v="0"/>
    <n v="94.467500000000001"/>
    <n v="19.409836065573771"/>
    <n v="34.635751429527879"/>
    <m/>
    <n v="125.251830789778"/>
    <n v="16.438356164383563"/>
    <n v="67.808673724385073"/>
    <n v="14.098901098901099"/>
    <n v="17.458217581561531"/>
    <m/>
  </r>
  <r>
    <n v="1258"/>
    <x v="1257"/>
    <n v="57"/>
    <m/>
    <n v="0"/>
    <n v="94.620199999999997"/>
    <n v="19.409836065573771"/>
    <n v="28.35784711110858"/>
    <m/>
    <n v="21.372030235181079"/>
    <n v="16.438356164383563"/>
    <n v="68.950209994215797"/>
    <n v="14.098901098901099"/>
    <n v="4.7679334797674198"/>
    <m/>
  </r>
  <r>
    <n v="1259"/>
    <x v="1258"/>
    <n v="62"/>
    <m/>
    <n v="0"/>
    <n v="94.772900000000007"/>
    <n v="19.409836065573771"/>
    <n v="28.969290805563691"/>
    <m/>
    <n v="1.856531650863475"/>
    <n v="16.438356164383563"/>
    <n v="69.164666022614909"/>
    <n v="14.098901098901099"/>
    <n v="17.56071335411702"/>
    <m/>
  </r>
  <r>
    <n v="1260"/>
    <x v="1259"/>
    <n v="61"/>
    <m/>
    <n v="0"/>
    <n v="94.925600000000003"/>
    <n v="19.409836065573771"/>
    <n v="27.766537160605811"/>
    <m/>
    <n v="125.251830789778"/>
    <n v="16.438356164383563"/>
    <n v="67.808673724385073"/>
    <n v="14.098901098901099"/>
    <n v="14.44277396271637"/>
    <m/>
  </r>
  <r>
    <n v="1261"/>
    <x v="1260"/>
    <n v="59"/>
    <m/>
    <n v="0"/>
    <n v="95.078299999999999"/>
    <n v="19.409836065573771"/>
    <n v="29.095393826650209"/>
    <m/>
    <n v="125.251830789778"/>
    <n v="16.438356164383563"/>
    <n v="67.808673724385073"/>
    <n v="14.098901098901099"/>
    <n v="25.729093011144059"/>
    <m/>
  </r>
  <r>
    <n v="1262"/>
    <x v="1261"/>
    <n v="85"/>
    <m/>
    <n v="0"/>
    <n v="95.231000000000009"/>
    <n v="19.409836065573771"/>
    <n v="26.00303088261348"/>
    <m/>
    <n v="21.372030235181079"/>
    <n v="16.438356164383563"/>
    <n v="68.950209994215797"/>
    <n v="14.098901098901099"/>
    <n v="19.969553154549899"/>
    <m/>
  </r>
  <r>
    <n v="1263"/>
    <x v="1262"/>
    <n v="79"/>
    <m/>
    <n v="0"/>
    <n v="95.383700000000005"/>
    <n v="19.409836065573771"/>
    <n v="33.281835352726517"/>
    <m/>
    <n v="1.856531650863475"/>
    <n v="16.438356164383563"/>
    <n v="69.164666022614909"/>
    <n v="14.098901098901099"/>
    <n v="21.735354803107509"/>
    <m/>
  </r>
  <r>
    <n v="1264"/>
    <x v="1263"/>
    <n v="42"/>
    <m/>
    <n v="0"/>
    <n v="95.5364"/>
    <n v="19.409836065573771"/>
    <n v="42.910089351123958"/>
    <m/>
    <n v="125.251830789778"/>
    <n v="16.438356164383563"/>
    <n v="67.808673724385073"/>
    <n v="14.098901098901099"/>
    <n v="11.645964293464001"/>
    <m/>
  </r>
  <r>
    <n v="1265"/>
    <x v="1264"/>
    <n v="68"/>
    <m/>
    <n v="0"/>
    <n v="95.689099999999996"/>
    <n v="19.409836065573771"/>
    <n v="41.911063234287262"/>
    <m/>
    <n v="125.251830789778"/>
    <n v="16.438356164383563"/>
    <n v="67.808673724385073"/>
    <n v="14.098901098901099"/>
    <n v="17.60260144642146"/>
    <m/>
  </r>
  <r>
    <n v="1266"/>
    <x v="1265"/>
    <n v="77"/>
    <m/>
    <n v="0"/>
    <n v="95.841800000000006"/>
    <n v="19.409836065573771"/>
    <n v="45.777940925208988"/>
    <m/>
    <n v="21.372030235181079"/>
    <n v="16.438356164383563"/>
    <n v="68.950209994215797"/>
    <n v="14.098901098901099"/>
    <n v="11.84243421331122"/>
    <m/>
  </r>
  <r>
    <n v="1267"/>
    <x v="1266"/>
    <n v="80"/>
    <m/>
    <n v="0"/>
    <n v="95.994500000000002"/>
    <n v="19.409836065573771"/>
    <n v="22.054781193451511"/>
    <m/>
    <n v="1.856531650863475"/>
    <n v="16.438356164383563"/>
    <n v="69.164666022614909"/>
    <n v="14.098901098901099"/>
    <n v="31.140511466442131"/>
    <m/>
  </r>
  <r>
    <n v="1268"/>
    <x v="1267"/>
    <n v="65"/>
    <m/>
    <n v="0"/>
    <n v="96.147199999999998"/>
    <n v="19.409836065573771"/>
    <n v="24.069699218895721"/>
    <m/>
    <n v="125.251830789778"/>
    <n v="16.438356164383563"/>
    <n v="67.808673724385073"/>
    <n v="14.098901098901099"/>
    <n v="29.042679017424501"/>
    <m/>
  </r>
  <r>
    <n v="1269"/>
    <x v="1268"/>
    <n v="81"/>
    <m/>
    <n v="0"/>
    <n v="96.299900000000008"/>
    <n v="19.409836065573771"/>
    <n v="8.3150519509440688"/>
    <m/>
    <n v="125.251830789778"/>
    <n v="16.438356164383563"/>
    <n v="67.808673724385073"/>
    <n v="14.098901098901099"/>
    <n v="28.928668252538639"/>
    <m/>
  </r>
  <r>
    <n v="1270"/>
    <x v="1269"/>
    <n v="61"/>
    <m/>
    <n v="0"/>
    <n v="96.452600000000004"/>
    <n v="19.409836065573771"/>
    <n v="18.08637829742856"/>
    <m/>
    <n v="21.372030235181079"/>
    <n v="16.438356164383563"/>
    <n v="68.950209994215797"/>
    <n v="14.098901098901099"/>
    <n v="12.84908910035838"/>
    <m/>
  </r>
  <r>
    <n v="1271"/>
    <x v="1270"/>
    <n v="63"/>
    <m/>
    <n v="0"/>
    <n v="96.6053"/>
    <n v="19.409836065573771"/>
    <n v="26.61155848058409"/>
    <m/>
    <n v="1.856531650863475"/>
    <n v="16.438356164383563"/>
    <n v="69.164666022614909"/>
    <n v="14.098901098901099"/>
    <n v="11.29535397925668"/>
    <m/>
  </r>
  <r>
    <n v="1272"/>
    <x v="1271"/>
    <n v="100"/>
    <m/>
    <n v="0"/>
    <n v="96.757999999999996"/>
    <n v="19.409836065573771"/>
    <n v="16.686143018157608"/>
    <m/>
    <n v="125.251830789778"/>
    <n v="16.438356164383563"/>
    <n v="67.808673724385073"/>
    <n v="14.098901098901099"/>
    <n v="8.7890142384021974"/>
    <m/>
  </r>
  <r>
    <n v="1273"/>
    <x v="1272"/>
    <n v="45"/>
    <m/>
    <n v="0"/>
    <n v="96.910700000000006"/>
    <n v="19.409836065573771"/>
    <n v="17.654706551934101"/>
    <m/>
    <n v="125.251830789778"/>
    <n v="16.438356164383563"/>
    <n v="67.808673724385073"/>
    <n v="14.098901098901099"/>
    <n v="16.462222807047091"/>
    <m/>
  </r>
  <r>
    <n v="1274"/>
    <x v="1273"/>
    <n v="72"/>
    <m/>
    <n v="0"/>
    <n v="97.063400000000001"/>
    <n v="19.409836065573771"/>
    <n v="19.50960936351721"/>
    <m/>
    <n v="21.372030235181079"/>
    <n v="16.438356164383563"/>
    <n v="68.950209994215797"/>
    <n v="14.098901098901099"/>
    <n v="34.792559281900132"/>
    <m/>
  </r>
  <r>
    <n v="1275"/>
    <x v="1274"/>
    <n v="58"/>
    <m/>
    <n v="0"/>
    <n v="97.216099999999997"/>
    <n v="19.409836065573771"/>
    <n v="22.878444823567879"/>
    <m/>
    <n v="1.856531650863475"/>
    <n v="16.438356164383563"/>
    <n v="69.164666022614909"/>
    <n v="14.098901098901099"/>
    <n v="36.519892289791883"/>
    <m/>
  </r>
  <r>
    <n v="1276"/>
    <x v="1275"/>
    <n v="41"/>
    <m/>
    <n v="0"/>
    <n v="97.368800000000007"/>
    <n v="19.409836065573771"/>
    <n v="8.6057176226811425"/>
    <m/>
    <n v="125.251830789778"/>
    <n v="16.438356164383563"/>
    <n v="67.808673724385073"/>
    <n v="14.098901098901099"/>
    <n v="13.20965786466976"/>
    <m/>
  </r>
  <r>
    <n v="1277"/>
    <x v="1276"/>
    <n v="53"/>
    <m/>
    <n v="0"/>
    <n v="97.521500000000003"/>
    <n v="19.409836065573771"/>
    <n v="12.700898009065069"/>
    <m/>
    <n v="125.251830789778"/>
    <n v="16.438356164383563"/>
    <n v="67.808673724385073"/>
    <n v="14.098901098901099"/>
    <n v="16.599685415616289"/>
    <m/>
  </r>
  <r>
    <n v="1278"/>
    <x v="1277"/>
    <n v="63"/>
    <m/>
    <n v="0"/>
    <n v="97.674199999999999"/>
    <n v="19.409836065573771"/>
    <n v="37.220350650100272"/>
    <m/>
    <n v="21.372030235181079"/>
    <n v="16.438356164383563"/>
    <n v="68.950209994215797"/>
    <n v="14.098901098901099"/>
    <n v="14.71590246658495"/>
    <m/>
  </r>
  <r>
    <n v="1279"/>
    <x v="1278"/>
    <n v="77"/>
    <m/>
    <n v="0"/>
    <n v="97.826900000000009"/>
    <n v="19.409836065573771"/>
    <n v="33.947521910763989"/>
    <m/>
    <n v="1.856531650863475"/>
    <n v="16.438356164383563"/>
    <n v="69.164666022614909"/>
    <n v="14.098901098901099"/>
    <n v="13.4837941113742"/>
    <m/>
  </r>
  <r>
    <n v="1280"/>
    <x v="1279"/>
    <n v="69"/>
    <m/>
    <n v="0"/>
    <n v="97.979600000000005"/>
    <n v="19.409836065573771"/>
    <n v="19.546719328914389"/>
    <m/>
    <n v="125.251830789778"/>
    <n v="16.438356164383563"/>
    <n v="67.808673724385073"/>
    <n v="14.098901098901099"/>
    <n v="19.699798355864338"/>
    <m/>
  </r>
  <r>
    <n v="1281"/>
    <x v="1280"/>
    <n v="80"/>
    <m/>
    <n v="0"/>
    <n v="98.132300000000001"/>
    <n v="19.409836065573771"/>
    <n v="14.69424900222937"/>
    <m/>
    <n v="125.251830789778"/>
    <n v="16.438356164383563"/>
    <n v="67.808673724385073"/>
    <n v="14.098901098901099"/>
    <n v="20.93924709145335"/>
    <m/>
  </r>
  <r>
    <n v="1282"/>
    <x v="1281"/>
    <n v="66"/>
    <m/>
    <n v="0"/>
    <n v="98.284999999999997"/>
    <n v="19.409836065573771"/>
    <n v="13.596315250952239"/>
    <m/>
    <n v="21.372030235181079"/>
    <n v="16.438356164383563"/>
    <n v="68.950209994215797"/>
    <n v="14.098901098901099"/>
    <n v="10.570286525839821"/>
    <m/>
  </r>
  <r>
    <n v="1283"/>
    <x v="1282"/>
    <n v="66"/>
    <m/>
    <n v="0"/>
    <n v="98.437700000000007"/>
    <n v="19.409836065573771"/>
    <n v="1.6437875657457679"/>
    <m/>
    <n v="1.856531650863475"/>
    <n v="16.438356164383563"/>
    <n v="69.164666022614909"/>
    <n v="14.098901098901099"/>
    <n v="15.03436664332701"/>
    <m/>
  </r>
  <r>
    <n v="1284"/>
    <x v="1283"/>
    <n v="92"/>
    <m/>
    <n v="0"/>
    <n v="98.590400000000002"/>
    <n v="19.409836065573771"/>
    <n v="13.257010188092959"/>
    <m/>
    <n v="125.251830789778"/>
    <n v="16.438356164383563"/>
    <n v="67.808673724385073"/>
    <n v="14.098901098901099"/>
    <n v="14.76248967908244"/>
    <m/>
  </r>
  <r>
    <n v="1285"/>
    <x v="1284"/>
    <n v="87"/>
    <m/>
    <n v="0"/>
    <n v="98.743099999999998"/>
    <n v="19.409836065573771"/>
    <n v="19.52902828893523"/>
    <m/>
    <n v="125.251830789778"/>
    <n v="16.438356164383563"/>
    <n v="67.808673724385073"/>
    <n v="14.098901098901099"/>
    <n v="16.82381658923476"/>
    <m/>
  </r>
  <r>
    <n v="1286"/>
    <x v="1285"/>
    <n v="48"/>
    <m/>
    <n v="0"/>
    <n v="98.895800000000008"/>
    <n v="19.409836065573771"/>
    <n v="22.626352252758821"/>
    <m/>
    <n v="21.372030235181079"/>
    <n v="16.438356164383563"/>
    <n v="68.950209994215797"/>
    <n v="14.098901098901099"/>
    <n v="28.610808776824161"/>
    <m/>
  </r>
  <r>
    <n v="1287"/>
    <x v="1286"/>
    <n v="56"/>
    <m/>
    <n v="0"/>
    <n v="99.048500000000004"/>
    <n v="19.409836065573771"/>
    <n v="15.02430755240081"/>
    <m/>
    <n v="1.856531650863475"/>
    <n v="16.438356164383563"/>
    <n v="69.164666022614909"/>
    <n v="14.098901098901099"/>
    <n v="32.245976262536821"/>
    <m/>
  </r>
  <r>
    <n v="1288"/>
    <x v="1287"/>
    <n v="81"/>
    <m/>
    <n v="0"/>
    <n v="99.2012"/>
    <n v="19.409836065573771"/>
    <n v="10.723711264745839"/>
    <m/>
    <n v="125.251830789778"/>
    <n v="16.438356164383563"/>
    <n v="67.808673724385073"/>
    <n v="14.098901098901099"/>
    <n v="19.794620306920539"/>
    <m/>
  </r>
  <r>
    <n v="1289"/>
    <x v="1288"/>
    <n v="81"/>
    <m/>
    <n v="0"/>
    <n v="99.353899999999996"/>
    <n v="19.409836065573771"/>
    <n v="27.511086743153061"/>
    <m/>
    <n v="125.251830789778"/>
    <n v="16.438356164383563"/>
    <n v="67.808673724385073"/>
    <n v="14.098901098901099"/>
    <n v="13.830646064255159"/>
    <m/>
  </r>
  <r>
    <n v="1290"/>
    <x v="1289"/>
    <n v="50"/>
    <m/>
    <n v="0"/>
    <n v="99.506600000000006"/>
    <n v="19.409836065573771"/>
    <n v="24.046546058211192"/>
    <m/>
    <n v="21.372030235181079"/>
    <n v="16.438356164383563"/>
    <n v="68.950209994215797"/>
    <n v="14.098901098901099"/>
    <n v="5.4515688959439537"/>
    <m/>
  </r>
  <r>
    <n v="1291"/>
    <x v="1290"/>
    <n v="63"/>
    <m/>
    <n v="0"/>
    <n v="99.659300000000002"/>
    <n v="19.409836065573771"/>
    <n v="18.37508097834391"/>
    <m/>
    <n v="1.856531650863475"/>
    <n v="16.438356164383563"/>
    <n v="69.164666022614909"/>
    <n v="14.098901098901099"/>
    <n v="15.887163092169679"/>
    <m/>
  </r>
  <r>
    <n v="1292"/>
    <x v="1291"/>
    <n v="62"/>
    <m/>
    <n v="0"/>
    <n v="99.811999999999998"/>
    <n v="19.409836065573771"/>
    <n v="16.268024923607712"/>
    <m/>
    <n v="125.251830789778"/>
    <n v="16.438356164383563"/>
    <n v="67.808673724385073"/>
    <n v="14.098901098901099"/>
    <n v="27.480439950179761"/>
    <m/>
  </r>
  <r>
    <n v="1293"/>
    <x v="1292"/>
    <n v="70"/>
    <m/>
    <n v="0"/>
    <n v="99.964700000000008"/>
    <n v="19.409836065573771"/>
    <n v="29.453445587905431"/>
    <m/>
    <n v="125.251830789778"/>
    <n v="16.438356164383563"/>
    <n v="67.808673724385073"/>
    <n v="14.098901098901099"/>
    <n v="26.75925751149666"/>
    <m/>
  </r>
  <r>
    <n v="1294"/>
    <x v="1293"/>
    <n v="55"/>
    <m/>
    <n v="0"/>
    <n v="100.1174"/>
    <n v="19.409836065573771"/>
    <n v="18.47381780881841"/>
    <m/>
    <n v="21.372030235181079"/>
    <n v="16.438356164383563"/>
    <n v="68.950209994215797"/>
    <n v="14.098901098901099"/>
    <n v="19.12596125761381"/>
    <m/>
  </r>
  <r>
    <n v="1295"/>
    <x v="1294"/>
    <n v="40"/>
    <m/>
    <n v="0"/>
    <n v="100.2701"/>
    <n v="19.409836065573771"/>
    <n v="14.433435398030831"/>
    <m/>
    <n v="1.856531650863475"/>
    <n v="16.438356164383563"/>
    <n v="69.164666022614909"/>
    <n v="14.098901098901099"/>
    <n v="21.54087439709679"/>
    <m/>
  </r>
  <r>
    <n v="1296"/>
    <x v="1295"/>
    <n v="67"/>
    <m/>
    <n v="0"/>
    <n v="100.4228"/>
    <n v="19.409836065573771"/>
    <n v="32.998161055222717"/>
    <m/>
    <n v="125.251830789778"/>
    <n v="16.438356164383563"/>
    <n v="67.808673724385073"/>
    <n v="14.098901098901099"/>
    <n v="11.73648012490632"/>
    <m/>
  </r>
  <r>
    <n v="1297"/>
    <x v="1296"/>
    <n v="56"/>
    <m/>
    <n v="0"/>
    <n v="100.57550000000001"/>
    <n v="19.409836065573771"/>
    <n v="36.808529108854223"/>
    <m/>
    <n v="125.251830789778"/>
    <n v="16.438356164383563"/>
    <n v="67.808673724385073"/>
    <n v="14.098901098901099"/>
    <n v="9.4159928315546431"/>
    <m/>
  </r>
  <r>
    <n v="1298"/>
    <x v="1297"/>
    <n v="57"/>
    <m/>
    <n v="0"/>
    <n v="100.7282"/>
    <n v="19.409836065573771"/>
    <n v="22.61925040491144"/>
    <m/>
    <n v="21.372030235181079"/>
    <n v="16.438356164383563"/>
    <n v="68.950209994215797"/>
    <n v="14.098901098901099"/>
    <n v="24.086013941636828"/>
    <m/>
  </r>
  <r>
    <n v="1299"/>
    <x v="1298"/>
    <n v="61"/>
    <m/>
    <n v="0"/>
    <n v="100.8809"/>
    <n v="19.409836065573771"/>
    <n v="26.246953157764501"/>
    <m/>
    <n v="1.856531650863475"/>
    <n v="16.438356164383563"/>
    <n v="69.164666022614909"/>
    <n v="14.098901098901099"/>
    <n v="27.65628877190186"/>
    <m/>
  </r>
  <r>
    <n v="1300"/>
    <x v="1299"/>
    <n v="75"/>
    <m/>
    <n v="0"/>
    <n v="101.03360000000001"/>
    <n v="19.409836065573771"/>
    <n v="14.72189991015021"/>
    <m/>
    <n v="125.251830789778"/>
    <n v="16.438356164383563"/>
    <n v="67.808673724385073"/>
    <n v="14.098901098901099"/>
    <n v="30.752091159006891"/>
    <m/>
  </r>
  <r>
    <n v="1301"/>
    <x v="1300"/>
    <n v="61"/>
    <m/>
    <n v="0"/>
    <n v="101.1863"/>
    <n v="19.409836065573771"/>
    <n v="22.33665808656594"/>
    <m/>
    <n v="125.251830789778"/>
    <n v="16.438356164383563"/>
    <n v="67.808673724385073"/>
    <n v="14.098901098901099"/>
    <n v="22.196636869365179"/>
    <m/>
  </r>
  <r>
    <n v="1302"/>
    <x v="1301"/>
    <n v="61"/>
    <m/>
    <n v="0"/>
    <n v="101.339"/>
    <n v="19.409836065573771"/>
    <n v="22.711746680271681"/>
    <m/>
    <n v="21.372030235181079"/>
    <n v="16.438356164383563"/>
    <n v="68.950209994215797"/>
    <n v="14.098901098901099"/>
    <n v="13.089557752594089"/>
    <m/>
  </r>
  <r>
    <n v="1303"/>
    <x v="1302"/>
    <n v="74"/>
    <m/>
    <n v="0"/>
    <n v="101.49170000000001"/>
    <n v="19.409836065573771"/>
    <n v="22.343932630036189"/>
    <m/>
    <n v="1.856531650863475"/>
    <n v="16.438356164383563"/>
    <n v="69.164666022614909"/>
    <n v="14.098901098901099"/>
    <n v="8.8863647712600375"/>
    <m/>
  </r>
  <r>
    <n v="1304"/>
    <x v="1303"/>
    <n v="55"/>
    <m/>
    <n v="0"/>
    <n v="101.6444"/>
    <n v="19.409836065573771"/>
    <n v="29.98784068702642"/>
    <m/>
    <n v="125.251830789778"/>
    <n v="16.438356164383563"/>
    <n v="67.808673724385073"/>
    <n v="14.098901098901099"/>
    <n v="24.46036591386417"/>
    <m/>
  </r>
  <r>
    <n v="1305"/>
    <x v="1304"/>
    <n v="66"/>
    <m/>
    <n v="0"/>
    <n v="101.7971"/>
    <n v="19.409836065573771"/>
    <n v="32.974708191068757"/>
    <m/>
    <n v="125.251830789778"/>
    <n v="16.438356164383563"/>
    <n v="67.808673724385073"/>
    <n v="14.098901098901099"/>
    <n v="26.934174839671549"/>
    <m/>
  </r>
  <r>
    <n v="1306"/>
    <x v="1305"/>
    <n v="74"/>
    <m/>
    <n v="0"/>
    <n v="101.9498"/>
    <n v="19.409836065573771"/>
    <n v="34.588390539582129"/>
    <m/>
    <n v="21.372030235181079"/>
    <n v="16.438356164383563"/>
    <n v="68.950209994215797"/>
    <n v="14.098901098901099"/>
    <n v="23.208678374865499"/>
    <m/>
  </r>
  <r>
    <n v="1307"/>
    <x v="1306"/>
    <n v="95"/>
    <m/>
    <n v="0"/>
    <n v="102.10250000000001"/>
    <n v="19.409836065573771"/>
    <n v="38.129134104811222"/>
    <m/>
    <n v="1.856531650863475"/>
    <n v="16.438356164383563"/>
    <n v="69.164666022614909"/>
    <n v="14.098901098901099"/>
    <n v="19.31292013219165"/>
    <m/>
  </r>
  <r>
    <n v="1308"/>
    <x v="1307"/>
    <n v="44"/>
    <m/>
    <n v="0"/>
    <n v="102.2552"/>
    <n v="19.409836065573771"/>
    <n v="38.634746012879823"/>
    <m/>
    <n v="125.251830789778"/>
    <n v="16.438356164383563"/>
    <n v="67.808673724385073"/>
    <n v="14.098901098901099"/>
    <n v="13.522537466433169"/>
    <m/>
  </r>
  <r>
    <n v="1309"/>
    <x v="1308"/>
    <n v="88"/>
    <m/>
    <n v="0"/>
    <n v="102.4079"/>
    <n v="19.409836065573771"/>
    <n v="29.10972687415066"/>
    <m/>
    <n v="125.251830789778"/>
    <n v="16.438356164383563"/>
    <n v="67.808673724385073"/>
    <n v="14.098901098901099"/>
    <n v="10.16345659410687"/>
    <m/>
  </r>
  <r>
    <n v="1310"/>
    <x v="1309"/>
    <n v="57"/>
    <m/>
    <n v="0"/>
    <n v="102.56060000000001"/>
    <n v="19.409836065573771"/>
    <n v="17.751079949084819"/>
    <m/>
    <n v="21.372030235181079"/>
    <n v="16.438356164383563"/>
    <n v="68.950209994215797"/>
    <n v="14.098901098901099"/>
    <n v="30.79010191948813"/>
    <m/>
  </r>
  <r>
    <n v="1311"/>
    <x v="1310"/>
    <n v="56"/>
    <m/>
    <n v="0"/>
    <n v="102.7133"/>
    <n v="19.409836065573771"/>
    <n v="11.43357835198942"/>
    <m/>
    <n v="1.856531650863475"/>
    <n v="16.438356164383563"/>
    <n v="69.164666022614909"/>
    <n v="14.098901098901099"/>
    <n v="29.757632305969629"/>
    <m/>
  </r>
  <r>
    <n v="1312"/>
    <x v="1311"/>
    <n v="74"/>
    <m/>
    <n v="0"/>
    <n v="102.866"/>
    <n v="19.409836065573771"/>
    <n v="16.620040726948812"/>
    <m/>
    <n v="125.251830789778"/>
    <n v="16.438356164383563"/>
    <n v="67.808673724385073"/>
    <n v="14.098901098901099"/>
    <n v="34.303866521631647"/>
    <m/>
  </r>
  <r>
    <n v="1313"/>
    <x v="1312"/>
    <n v="69"/>
    <m/>
    <n v="0"/>
    <n v="103.0187"/>
    <n v="19.409836065573771"/>
    <n v="20.601025543053559"/>
    <m/>
    <n v="125.251830789778"/>
    <n v="16.438356164383563"/>
    <n v="67.808673724385073"/>
    <n v="14.098901098901099"/>
    <n v="20.91372843746181"/>
    <m/>
  </r>
  <r>
    <n v="1314"/>
    <x v="1313"/>
    <n v="53"/>
    <m/>
    <n v="0"/>
    <n v="103.17140000000001"/>
    <n v="19.409836065573771"/>
    <n v="19.963534650976761"/>
    <m/>
    <n v="21.372030235181079"/>
    <n v="16.438356164383563"/>
    <n v="68.950209994215797"/>
    <n v="14.098901098901099"/>
    <n v="7.6535444798972234"/>
    <m/>
  </r>
  <r>
    <n v="1315"/>
    <x v="1314"/>
    <n v="54"/>
    <m/>
    <n v="0"/>
    <n v="103.3241"/>
    <n v="19.409836065573771"/>
    <n v="19.486912038333749"/>
    <m/>
    <n v="1.856531650863475"/>
    <n v="16.438356164383563"/>
    <n v="69.164666022614909"/>
    <n v="14.098901098901099"/>
    <n v="1.8831136082170501"/>
    <m/>
  </r>
  <r>
    <n v="1316"/>
    <x v="1315"/>
    <n v="56"/>
    <m/>
    <n v="0"/>
    <n v="103.4768"/>
    <n v="19.409836065573771"/>
    <n v="30.51097823185134"/>
    <m/>
    <n v="125.251830789778"/>
    <n v="16.438356164383563"/>
    <n v="67.808673724385073"/>
    <n v="14.098901098901099"/>
    <n v="11.62780460922165"/>
    <m/>
  </r>
  <r>
    <n v="1317"/>
    <x v="1316"/>
    <n v="71"/>
    <m/>
    <n v="0"/>
    <n v="103.62950000000001"/>
    <n v="19.409836065573771"/>
    <n v="21.393550659603779"/>
    <m/>
    <n v="125.251830789778"/>
    <n v="16.438356164383563"/>
    <n v="67.808673724385073"/>
    <n v="14.098901098901099"/>
    <n v="17.46543888331211"/>
    <m/>
  </r>
  <r>
    <n v="1318"/>
    <x v="1317"/>
    <n v="49"/>
    <m/>
    <n v="0"/>
    <n v="103.7822"/>
    <n v="19.409836065573771"/>
    <n v="19.746975578525682"/>
    <m/>
    <n v="21.372030235181079"/>
    <n v="16.438356164383563"/>
    <n v="68.950209994215797"/>
    <n v="14.098901098901099"/>
    <n v="7.6917901350567588"/>
    <m/>
  </r>
  <r>
    <n v="1319"/>
    <x v="1318"/>
    <n v="39"/>
    <m/>
    <n v="0"/>
    <n v="103.9349"/>
    <n v="19.409836065573771"/>
    <n v="28.77269590775089"/>
    <m/>
    <n v="1.856531650863475"/>
    <n v="16.438356164383563"/>
    <n v="69.164666022614909"/>
    <n v="14.098901098901099"/>
    <n v="29.381875069588471"/>
    <m/>
  </r>
  <r>
    <n v="1320"/>
    <x v="1319"/>
    <n v="64"/>
    <m/>
    <n v="0"/>
    <n v="104.08760000000001"/>
    <n v="19.409836065573771"/>
    <n v="28.618569683873591"/>
    <m/>
    <n v="125.251830789778"/>
    <n v="16.438356164383563"/>
    <n v="67.808673724385073"/>
    <n v="14.098901098901099"/>
    <n v="12.95877350001884"/>
    <m/>
  </r>
  <r>
    <n v="1321"/>
    <x v="1320"/>
    <n v="66"/>
    <m/>
    <n v="0"/>
    <n v="104.2403"/>
    <n v="19.409836065573771"/>
    <n v="22.812186474633879"/>
    <m/>
    <n v="125.251830789778"/>
    <n v="16.438356164383563"/>
    <n v="67.808673724385073"/>
    <n v="14.098901098901099"/>
    <n v="25.32738041123843"/>
    <m/>
  </r>
  <r>
    <n v="1322"/>
    <x v="1321"/>
    <n v="45"/>
    <m/>
    <n v="0"/>
    <n v="104.393"/>
    <n v="19.409836065573771"/>
    <n v="29.541146495895081"/>
    <m/>
    <n v="21.372030235181079"/>
    <n v="16.438356164383563"/>
    <n v="68.950209994215797"/>
    <n v="14.098901098901099"/>
    <n v="8.9936308964573204"/>
    <m/>
  </r>
  <r>
    <n v="1323"/>
    <x v="1322"/>
    <n v="75"/>
    <m/>
    <n v="0"/>
    <n v="104.5457"/>
    <n v="19.409836065573771"/>
    <n v="37.824385503791397"/>
    <m/>
    <n v="1.856531650863475"/>
    <n v="16.438356164383563"/>
    <n v="69.164666022614909"/>
    <n v="14.098901098901099"/>
    <n v="10.22614193616929"/>
    <m/>
  </r>
  <r>
    <n v="1324"/>
    <x v="1323"/>
    <n v="49"/>
    <m/>
    <n v="0"/>
    <n v="104.69840000000001"/>
    <n v="19.409836065573771"/>
    <n v="41.50603991532423"/>
    <m/>
    <n v="125.251830789778"/>
    <n v="16.438356164383563"/>
    <n v="67.808673724385073"/>
    <n v="14.098901098901099"/>
    <n v="14.611802005386419"/>
    <m/>
  </r>
  <r>
    <n v="1325"/>
    <x v="1324"/>
    <n v="59"/>
    <m/>
    <n v="0"/>
    <n v="104.8511"/>
    <n v="19.409836065573771"/>
    <n v="34.232162030107453"/>
    <m/>
    <n v="125.251830789778"/>
    <n v="16.438356164383563"/>
    <n v="67.808673724385073"/>
    <n v="14.098901098901099"/>
    <n v="25.41112949636749"/>
    <m/>
  </r>
  <r>
    <n v="1326"/>
    <x v="1325"/>
    <n v="84"/>
    <m/>
    <n v="0"/>
    <n v="105.0038"/>
    <n v="19.409836065573771"/>
    <n v="33.47247615997761"/>
    <m/>
    <n v="21.372030235181079"/>
    <n v="16.438356164383563"/>
    <n v="68.950209994215797"/>
    <n v="14.098901098901099"/>
    <n v="17.772269328245791"/>
    <m/>
  </r>
  <r>
    <n v="1327"/>
    <x v="1326"/>
    <n v="49"/>
    <m/>
    <n v="0"/>
    <n v="105.15650000000001"/>
    <n v="19.409836065573771"/>
    <n v="26.436643213680949"/>
    <m/>
    <n v="1.856531650863475"/>
    <n v="16.438356164383563"/>
    <n v="69.164666022614909"/>
    <n v="14.098901098901099"/>
    <n v="27.28749712145288"/>
    <m/>
  </r>
  <r>
    <n v="1328"/>
    <x v="1327"/>
    <n v="65"/>
    <m/>
    <n v="0"/>
    <n v="105.3092"/>
    <n v="19.409836065573771"/>
    <n v="27.27940497748839"/>
    <m/>
    <n v="125.251830789778"/>
    <n v="16.438356164383563"/>
    <n v="67.808673724385073"/>
    <n v="14.098901098901099"/>
    <n v="21.99790640731246"/>
    <m/>
  </r>
  <r>
    <n v="1329"/>
    <x v="1328"/>
    <n v="45"/>
    <m/>
    <n v="0"/>
    <n v="105.4619"/>
    <n v="19.409836065573771"/>
    <n v="18.599796653544839"/>
    <m/>
    <n v="125.251830789778"/>
    <n v="16.438356164383563"/>
    <n v="67.808673724385073"/>
    <n v="14.098901098901099"/>
    <n v="11.32660067220082"/>
    <m/>
  </r>
  <r>
    <n v="1330"/>
    <x v="1329"/>
    <n v="33"/>
    <m/>
    <n v="0"/>
    <n v="105.6146"/>
    <n v="19.409836065573771"/>
    <n v="20.47916954873898"/>
    <m/>
    <n v="21.372030235181079"/>
    <n v="16.438356164383563"/>
    <n v="68.950209994215797"/>
    <n v="14.098901098901099"/>
    <n v="10.08841417232059"/>
    <m/>
  </r>
  <r>
    <n v="1331"/>
    <x v="1330"/>
    <n v="50"/>
    <m/>
    <n v="0"/>
    <n v="105.76730000000001"/>
    <n v="19.409836065573771"/>
    <n v="26.641970566721621"/>
    <m/>
    <n v="1.856531650863475"/>
    <n v="16.438356164383563"/>
    <n v="69.164666022614909"/>
    <n v="14.098901098901099"/>
    <n v="21.992525804377511"/>
    <m/>
  </r>
  <r>
    <n v="1332"/>
    <x v="1331"/>
    <n v="64"/>
    <m/>
    <n v="0"/>
    <n v="105.92"/>
    <n v="19.409836065573771"/>
    <n v="17.11103494136616"/>
    <m/>
    <n v="125.251830789778"/>
    <n v="16.438356164383563"/>
    <n v="67.808673724385073"/>
    <n v="14.098901098901099"/>
    <n v="30.725637180959762"/>
    <m/>
  </r>
  <r>
    <n v="1333"/>
    <x v="1332"/>
    <n v="39"/>
    <m/>
    <n v="0"/>
    <n v="106.0727"/>
    <n v="19.409836065573771"/>
    <n v="31.602767665095602"/>
    <m/>
    <n v="125.251830789778"/>
    <n v="16.438356164383563"/>
    <n v="67.808673724385073"/>
    <n v="14.098901098901099"/>
    <n v="27.950705272972229"/>
    <m/>
  </r>
  <r>
    <n v="1334"/>
    <x v="1333"/>
    <n v="57"/>
    <m/>
    <n v="0"/>
    <n v="106.22540000000001"/>
    <n v="19.409836065573771"/>
    <n v="34.360474974058548"/>
    <m/>
    <n v="21.372030235181079"/>
    <n v="16.438356164383563"/>
    <n v="68.950209994215797"/>
    <n v="14.098901098901099"/>
    <n v="32.459902932222377"/>
    <m/>
  </r>
  <r>
    <n v="1335"/>
    <x v="1334"/>
    <n v="46"/>
    <m/>
    <n v="0"/>
    <n v="106.3781"/>
    <n v="19.409836065573771"/>
    <n v="36.422528651309293"/>
    <m/>
    <n v="1.856531650863475"/>
    <n v="16.438356164383563"/>
    <n v="69.164666022614909"/>
    <n v="14.098901098901099"/>
    <n v="13.91148985476713"/>
    <m/>
  </r>
  <r>
    <n v="1336"/>
    <x v="1335"/>
    <n v="52"/>
    <m/>
    <n v="0"/>
    <n v="106.5308"/>
    <n v="19.409836065573771"/>
    <n v="39.271693270462301"/>
    <m/>
    <n v="125.251830789778"/>
    <n v="16.438356164383563"/>
    <n v="67.808673724385073"/>
    <n v="14.098901098901099"/>
    <n v="6.0727535955114478"/>
    <m/>
  </r>
  <r>
    <n v="1337"/>
    <x v="1336"/>
    <n v="83"/>
    <m/>
    <n v="0"/>
    <n v="106.6835"/>
    <n v="19.409836065573771"/>
    <n v="27.469853158350041"/>
    <m/>
    <n v="125.251830789778"/>
    <n v="16.438356164383563"/>
    <n v="67.808673724385073"/>
    <n v="14.098901098901099"/>
    <n v="18.84833209703261"/>
    <m/>
  </r>
  <r>
    <n v="1338"/>
    <x v="1337"/>
    <n v="26"/>
    <m/>
    <n v="0"/>
    <n v="106.83620000000001"/>
    <n v="19.409836065573771"/>
    <n v="30.411175742368648"/>
    <m/>
    <n v="21.372030235181079"/>
    <n v="16.438356164383563"/>
    <n v="68.950209994215797"/>
    <n v="14.098901098901099"/>
    <n v="13.99012697030372"/>
    <m/>
  </r>
  <r>
    <n v="1339"/>
    <x v="1338"/>
    <n v="47"/>
    <m/>
    <n v="0"/>
    <n v="106.9889"/>
    <n v="19.409836065573771"/>
    <n v="13.722096134114739"/>
    <m/>
    <n v="1.856531650863475"/>
    <n v="16.438356164383563"/>
    <n v="69.164666022614909"/>
    <n v="14.098901098901099"/>
    <n v="34.213376123575387"/>
    <m/>
  </r>
  <r>
    <n v="1340"/>
    <x v="1339"/>
    <n v="72"/>
    <m/>
    <n v="0"/>
    <n v="107.1416"/>
    <n v="19.409836065573771"/>
    <n v="19.17995307060179"/>
    <m/>
    <n v="125.251830789778"/>
    <n v="16.438356164383563"/>
    <n v="67.808673724385073"/>
    <n v="14.098901098901099"/>
    <n v="13.83221959730902"/>
    <m/>
  </r>
  <r>
    <n v="1341"/>
    <x v="1340"/>
    <n v="41"/>
    <m/>
    <n v="0"/>
    <n v="107.29430000000001"/>
    <n v="19.409836065573771"/>
    <n v="31.160814162035269"/>
    <m/>
    <n v="125.251830789778"/>
    <n v="16.438356164383563"/>
    <n v="67.808673724385073"/>
    <n v="14.098901098901099"/>
    <n v="20.762600721617389"/>
    <m/>
  </r>
  <r>
    <n v="1342"/>
    <x v="1341"/>
    <n v="56"/>
    <m/>
    <n v="0"/>
    <n v="107.447"/>
    <n v="19.409836065573771"/>
    <n v="23.604004790295249"/>
    <m/>
    <n v="21.372030235181079"/>
    <n v="16.438356164383563"/>
    <n v="68.950209994215797"/>
    <n v="14.098901098901099"/>
    <n v="8.6085705572084237"/>
    <m/>
  </r>
  <r>
    <n v="1343"/>
    <x v="1342"/>
    <n v="63"/>
    <m/>
    <n v="0"/>
    <n v="107.5997"/>
    <n v="19.409836065573771"/>
    <n v="22.64890903510825"/>
    <m/>
    <n v="1.856531650863475"/>
    <n v="16.438356164383563"/>
    <n v="69.164666022614909"/>
    <n v="14.098901098901099"/>
    <n v="19.451760765448999"/>
    <m/>
  </r>
  <r>
    <n v="1344"/>
    <x v="1343"/>
    <n v="51"/>
    <m/>
    <n v="0"/>
    <n v="107.75240000000001"/>
    <n v="19.409836065573771"/>
    <n v="29.591775997790791"/>
    <m/>
    <n v="125.251830789778"/>
    <n v="16.438356164383563"/>
    <n v="67.808673724385073"/>
    <n v="14.098901098901099"/>
    <n v="10.01860738381998"/>
    <m/>
  </r>
  <r>
    <n v="1345"/>
    <x v="1344"/>
    <n v="51"/>
    <m/>
    <n v="0"/>
    <n v="107.9051"/>
    <n v="19.409836065573771"/>
    <n v="37.148714070466298"/>
    <m/>
    <n v="125.251830789778"/>
    <n v="16.438356164383563"/>
    <n v="67.808673724385073"/>
    <n v="14.098901098901099"/>
    <n v="16.524803092277949"/>
    <m/>
  </r>
  <r>
    <n v="1346"/>
    <x v="1345"/>
    <n v="37"/>
    <m/>
    <n v="0"/>
    <n v="108.0578"/>
    <n v="19.409836065573771"/>
    <n v="40.360521675144021"/>
    <m/>
    <n v="21.372030235181079"/>
    <n v="16.438356164383563"/>
    <n v="68.950209994215797"/>
    <n v="14.098901098901099"/>
    <n v="9.1794988643169741"/>
    <m/>
  </r>
  <r>
    <n v="1347"/>
    <x v="1346"/>
    <n v="51"/>
    <m/>
    <n v="0"/>
    <n v="108.2105"/>
    <n v="19.409836065573771"/>
    <n v="33.410607130190463"/>
    <m/>
    <n v="1.856531650863475"/>
    <n v="16.438356164383563"/>
    <n v="69.164666022614909"/>
    <n v="14.098901098901099"/>
    <n v="30.469759526173849"/>
    <m/>
  </r>
  <r>
    <n v="1348"/>
    <x v="1347"/>
    <n v="52"/>
    <m/>
    <n v="0"/>
    <n v="108.36320000000001"/>
    <n v="19.409836065573771"/>
    <n v="35.593362817901152"/>
    <m/>
    <n v="125.251830789778"/>
    <n v="16.438356164383563"/>
    <n v="67.808673724385073"/>
    <n v="14.098901098901099"/>
    <n v="16.500532476974769"/>
    <m/>
  </r>
  <r>
    <n v="1349"/>
    <x v="1348"/>
    <n v="34"/>
    <m/>
    <n v="0"/>
    <n v="108.5159"/>
    <n v="19.409836065573771"/>
    <n v="22.146575295906931"/>
    <m/>
    <n v="125.251830789778"/>
    <n v="16.438356164383563"/>
    <n v="67.808673724385073"/>
    <n v="14.098901098901099"/>
    <n v="34.470345481595217"/>
    <m/>
  </r>
  <r>
    <n v="1350"/>
    <x v="1349"/>
    <n v="39"/>
    <m/>
    <n v="0"/>
    <n v="108.6686"/>
    <n v="19.409836065573771"/>
    <n v="26.19659905419466"/>
    <m/>
    <n v="21.372030235181079"/>
    <n v="16.438356164383563"/>
    <n v="68.950209994215797"/>
    <n v="14.098901098901099"/>
    <n v="8.8543629957320444"/>
    <m/>
  </r>
  <r>
    <n v="1351"/>
    <x v="1350"/>
    <n v="34"/>
    <m/>
    <n v="0"/>
    <n v="108.82130000000001"/>
    <n v="19.409836065573771"/>
    <n v="15.541602848178099"/>
    <m/>
    <n v="1.856531650863475"/>
    <n v="16.438356164383563"/>
    <n v="69.164666022614909"/>
    <n v="14.098901098901099"/>
    <n v="17.729703123520469"/>
    <m/>
  </r>
  <r>
    <n v="1352"/>
    <x v="1351"/>
    <n v="48"/>
    <m/>
    <n v="0"/>
    <n v="108.974"/>
    <n v="19.409836065573771"/>
    <n v="18.712049307247081"/>
    <m/>
    <n v="125.251830789778"/>
    <n v="16.438356164383563"/>
    <n v="67.808673724385073"/>
    <n v="14.098901098901099"/>
    <n v="15.868675358307661"/>
    <m/>
  </r>
  <r>
    <n v="1353"/>
    <x v="1352"/>
    <n v="49"/>
    <m/>
    <n v="0"/>
    <n v="109.1267"/>
    <n v="19.409836065573771"/>
    <n v="27.315205703123748"/>
    <m/>
    <n v="125.251830789778"/>
    <n v="16.438356164383563"/>
    <n v="67.808673724385073"/>
    <n v="14.098901098901099"/>
    <n v="22.7938194006401"/>
    <m/>
  </r>
  <r>
    <n v="1354"/>
    <x v="1353"/>
    <n v="50"/>
    <m/>
    <n v="0"/>
    <n v="109.2794"/>
    <n v="19.409836065573771"/>
    <n v="18.242289847579968"/>
    <m/>
    <n v="21.372030235181079"/>
    <n v="16.438356164383563"/>
    <n v="68.950209994215797"/>
    <n v="14.098901098901099"/>
    <n v="24.445488568154261"/>
    <m/>
  </r>
  <r>
    <n v="1355"/>
    <x v="1354"/>
    <n v="33"/>
    <m/>
    <n v="0"/>
    <n v="109.43210000000001"/>
    <n v="19.409836065573771"/>
    <n v="33.2389395952491"/>
    <m/>
    <n v="1.856531650863475"/>
    <n v="16.438356164383563"/>
    <n v="69.164666022614909"/>
    <n v="14.098901098901099"/>
    <n v="13.00044542728666"/>
    <m/>
  </r>
  <r>
    <n v="1356"/>
    <x v="1355"/>
    <n v="33"/>
    <m/>
    <n v="0"/>
    <n v="109.5848"/>
    <n v="19.409836065573771"/>
    <n v="28.72373592270479"/>
    <m/>
    <n v="125.251830789778"/>
    <n v="16.438356164383563"/>
    <n v="67.808673724385073"/>
    <n v="14.098901098901099"/>
    <n v="19.904534692540022"/>
    <m/>
  </r>
  <r>
    <n v="1357"/>
    <x v="1356"/>
    <n v="55"/>
    <m/>
    <n v="0"/>
    <n v="109.7375"/>
    <n v="19.409836065573771"/>
    <n v="31.873514240196162"/>
    <m/>
    <n v="125.251830789778"/>
    <n v="16.438356164383563"/>
    <n v="67.808673724385073"/>
    <n v="14.098901098901099"/>
    <n v="22.17403023585176"/>
    <m/>
  </r>
  <r>
    <n v="1358"/>
    <x v="1357"/>
    <n v="71"/>
    <m/>
    <n v="0"/>
    <n v="109.89020000000001"/>
    <n v="19.409836065573771"/>
    <n v="36.008931837311557"/>
    <m/>
    <n v="21.372030235181079"/>
    <n v="16.438356164383563"/>
    <n v="68.950209994215797"/>
    <n v="14.098901098901099"/>
    <n v="10.650091887133559"/>
    <m/>
  </r>
  <r>
    <n v="1359"/>
    <x v="1358"/>
    <n v="61"/>
    <m/>
    <n v="0"/>
    <n v="110.0429"/>
    <n v="19.409836065573771"/>
    <n v="19.01825658940875"/>
    <m/>
    <n v="1.856531650863475"/>
    <n v="16.438356164383563"/>
    <n v="69.164666022614909"/>
    <n v="14.098901098901099"/>
    <n v="22.767672633539661"/>
    <m/>
  </r>
  <r>
    <n v="1360"/>
    <x v="1359"/>
    <n v="38"/>
    <m/>
    <n v="0"/>
    <n v="110.1956"/>
    <n v="19.409836065573771"/>
    <n v="45.190536435360457"/>
    <m/>
    <n v="125.251830789778"/>
    <n v="16.438356164383563"/>
    <n v="67.808673724385073"/>
    <n v="14.098901098901099"/>
    <n v="29.235693286004189"/>
    <m/>
  </r>
  <r>
    <n v="1361"/>
    <x v="1360"/>
    <n v="61"/>
    <m/>
    <n v="0"/>
    <n v="110.34830000000001"/>
    <n v="19.409836065573771"/>
    <n v="17.26247686147628"/>
    <m/>
    <n v="125.251830789778"/>
    <n v="16.438356164383563"/>
    <n v="67.808673724385073"/>
    <n v="14.098901098901099"/>
    <n v="14.72599852762726"/>
    <m/>
  </r>
  <r>
    <n v="1362"/>
    <x v="1361"/>
    <n v="50"/>
    <m/>
    <n v="0"/>
    <n v="110.501"/>
    <n v="19.409836065573771"/>
    <n v="20.69119058736559"/>
    <m/>
    <n v="21.372030235181079"/>
    <n v="16.438356164383563"/>
    <n v="68.950209994215797"/>
    <n v="14.098901098901099"/>
    <n v="19.300363969962401"/>
    <m/>
  </r>
  <r>
    <n v="1363"/>
    <x v="1362"/>
    <n v="43"/>
    <m/>
    <n v="0"/>
    <n v="110.6537"/>
    <n v="19.409836065573771"/>
    <n v="27.302334775896419"/>
    <m/>
    <n v="1.856531650863475"/>
    <n v="16.438356164383563"/>
    <n v="69.164666022614909"/>
    <n v="14.098901098901099"/>
    <n v="25.40293807519032"/>
    <m/>
  </r>
  <r>
    <n v="1364"/>
    <x v="1363"/>
    <n v="47"/>
    <m/>
    <n v="0"/>
    <n v="110.8064"/>
    <n v="19.409836065573771"/>
    <n v="11.97836401023357"/>
    <m/>
    <n v="125.251830789778"/>
    <n v="16.438356164383563"/>
    <n v="67.808673724385073"/>
    <n v="14.098901098901099"/>
    <n v="10.369559957203281"/>
    <m/>
  </r>
  <r>
    <n v="1365"/>
    <x v="1364"/>
    <n v="31"/>
    <m/>
    <n v="0"/>
    <n v="110.95910000000001"/>
    <n v="19.409836065573771"/>
    <n v="35.652128963939553"/>
    <m/>
    <n v="125.251830789778"/>
    <n v="16.438356164383563"/>
    <n v="67.808673724385073"/>
    <n v="14.098901098901099"/>
    <n v="23.860727863300191"/>
    <m/>
  </r>
  <r>
    <n v="1366"/>
    <x v="1365"/>
    <n v="34"/>
    <m/>
    <n v="0"/>
    <n v="111.1118"/>
    <n v="19.409836065573771"/>
    <n v="23.68670924068504"/>
    <m/>
    <n v="21.372030235181079"/>
    <n v="16.438356164383563"/>
    <n v="68.950209994215797"/>
    <n v="14.098901098901099"/>
    <n v="21.237531014275032"/>
    <m/>
  </r>
  <r>
    <n v="1367"/>
    <x v="1366"/>
    <n v="38"/>
    <m/>
    <n v="0"/>
    <n v="111.2645"/>
    <n v="19.409836065573771"/>
    <n v="35.287805037751241"/>
    <m/>
    <n v="1.856531650863475"/>
    <n v="16.438356164383563"/>
    <n v="69.164666022614909"/>
    <n v="14.098901098901099"/>
    <n v="10.29387098777285"/>
    <m/>
  </r>
  <r>
    <n v="1368"/>
    <x v="1367"/>
    <n v="33"/>
    <m/>
    <n v="0"/>
    <n v="111.41720000000001"/>
    <n v="19.409836065573771"/>
    <n v="21.130988463292329"/>
    <m/>
    <n v="125.251830789778"/>
    <n v="16.438356164383563"/>
    <n v="67.808673724385073"/>
    <n v="14.098901098901099"/>
    <n v="16.911310556912159"/>
    <m/>
  </r>
  <r>
    <n v="1369"/>
    <x v="1368"/>
    <n v="42"/>
    <m/>
    <n v="0"/>
    <n v="111.5699"/>
    <n v="19.409836065573771"/>
    <n v="22.6453373153314"/>
    <m/>
    <n v="125.251830789778"/>
    <n v="16.438356164383563"/>
    <n v="67.808673724385073"/>
    <n v="14.098901098901099"/>
    <n v="23.60233475798622"/>
    <m/>
  </r>
  <r>
    <n v="1370"/>
    <x v="1369"/>
    <n v="30"/>
    <m/>
    <n v="0"/>
    <n v="111.7226"/>
    <n v="19.409836065573771"/>
    <n v="34.612925704953462"/>
    <m/>
    <n v="21.372030235181079"/>
    <n v="16.438356164383563"/>
    <n v="68.950209994215797"/>
    <n v="14.098901098901099"/>
    <n v="18.750286414492429"/>
    <m/>
  </r>
  <r>
    <n v="1371"/>
    <x v="1370"/>
    <n v="27"/>
    <m/>
    <n v="0"/>
    <n v="111.8753"/>
    <n v="19.409836065573771"/>
    <n v="7.3701684107074552"/>
    <m/>
    <n v="1.856531650863475"/>
    <n v="16.438356164383563"/>
    <n v="69.164666022614909"/>
    <n v="14.098901098901099"/>
    <n v="23.60239876776695"/>
    <m/>
  </r>
  <r>
    <n v="1372"/>
    <x v="1371"/>
    <n v="25"/>
    <m/>
    <n v="0"/>
    <n v="112.02800000000001"/>
    <n v="19.409836065573771"/>
    <n v="41.65562236499926"/>
    <m/>
    <n v="125.251830789778"/>
    <n v="16.438356164383563"/>
    <n v="67.808673724385073"/>
    <n v="14.098901098901099"/>
    <n v="29.55701907538705"/>
    <m/>
  </r>
  <r>
    <n v="1373"/>
    <x v="1372"/>
    <n v="26"/>
    <m/>
    <n v="0"/>
    <n v="112.1807"/>
    <n v="19.409836065573771"/>
    <n v="27.932825289310401"/>
    <m/>
    <n v="125.251830789778"/>
    <n v="16.438356164383563"/>
    <n v="67.808673724385073"/>
    <n v="14.098901098901099"/>
    <n v="13.414280887781141"/>
    <m/>
  </r>
  <r>
    <n v="1374"/>
    <x v="1373"/>
    <n v="29"/>
    <m/>
    <n v="0"/>
    <n v="112.3334"/>
    <n v="19.409836065573771"/>
    <n v="18.32832018591154"/>
    <m/>
    <n v="21.372030235181079"/>
    <n v="16.438356164383563"/>
    <n v="68.950209994215797"/>
    <n v="14.098901098901099"/>
    <n v="15.747833248316679"/>
    <m/>
  </r>
  <r>
    <n v="1375"/>
    <x v="1374"/>
    <n v="16"/>
    <m/>
    <n v="0"/>
    <n v="112.48610000000001"/>
    <n v="19.409836065573771"/>
    <n v="27.009635925817559"/>
    <m/>
    <n v="1.856531650863475"/>
    <n v="16.438356164383563"/>
    <n v="69.164666022614909"/>
    <n v="14.098901098901099"/>
    <n v="21.688985893888031"/>
    <m/>
  </r>
  <r>
    <n v="1376"/>
    <x v="1375"/>
    <n v="31"/>
    <m/>
    <n v="0"/>
    <n v="112.6388"/>
    <n v="19.409836065573771"/>
    <n v="12.66221806248196"/>
    <m/>
    <n v="125.251830789778"/>
    <n v="16.438356164383563"/>
    <n v="67.808673724385073"/>
    <n v="14.098901098901099"/>
    <n v="25.10316004043834"/>
    <m/>
  </r>
  <r>
    <n v="1377"/>
    <x v="1376"/>
    <n v="27"/>
    <m/>
    <n v="0"/>
    <n v="112.7915"/>
    <n v="19.409836065573771"/>
    <n v="29.291602860558399"/>
    <m/>
    <n v="125.251830789778"/>
    <n v="16.438356164383563"/>
    <n v="67.808673724385073"/>
    <n v="14.098901098901099"/>
    <n v="26.78241671969953"/>
    <m/>
  </r>
  <r>
    <n v="1378"/>
    <x v="1377"/>
    <n v="32"/>
    <m/>
    <n v="0"/>
    <n v="112.94420000000001"/>
    <n v="19.409836065573771"/>
    <n v="21.371215447569451"/>
    <m/>
    <n v="21.372030235181079"/>
    <n v="16.438356164383563"/>
    <n v="68.950209994215797"/>
    <n v="14.098901098901099"/>
    <n v="19.90167964356613"/>
    <m/>
  </r>
  <r>
    <n v="1379"/>
    <x v="1378"/>
    <n v="37"/>
    <m/>
    <n v="0"/>
    <n v="113.09690000000001"/>
    <n v="19.409836065573771"/>
    <n v="20.299662288328001"/>
    <m/>
    <n v="1.856531650863475"/>
    <n v="16.438356164383563"/>
    <n v="69.164666022614909"/>
    <n v="14.098901098901099"/>
    <n v="9.7471093116453567"/>
    <m/>
  </r>
  <r>
    <n v="1380"/>
    <x v="1379"/>
    <n v="25"/>
    <m/>
    <n v="0"/>
    <n v="113.2496"/>
    <n v="19.409836065573771"/>
    <n v="28.078977023726761"/>
    <m/>
    <n v="125.251830789778"/>
    <n v="16.438356164383563"/>
    <n v="67.808673724385073"/>
    <n v="14.098901098901099"/>
    <n v="3.7357182497114758"/>
    <m/>
  </r>
  <r>
    <n v="1381"/>
    <x v="1380"/>
    <n v="16"/>
    <m/>
    <n v="0"/>
    <n v="113.4023"/>
    <n v="19.409836065573771"/>
    <n v="23.635089126793812"/>
    <m/>
    <n v="125.251830789778"/>
    <n v="16.438356164383563"/>
    <n v="67.808673724385073"/>
    <n v="14.098901098901099"/>
    <n v="23.26186201383485"/>
    <m/>
  </r>
  <r>
    <n v="1382"/>
    <x v="1381"/>
    <n v="29"/>
    <m/>
    <n v="0"/>
    <n v="113.55500000000001"/>
    <n v="19.409836065573771"/>
    <n v="29.103650664083389"/>
    <m/>
    <n v="21.372030235181079"/>
    <n v="16.438356164383563"/>
    <n v="68.950209994215797"/>
    <n v="14.098901098901099"/>
    <n v="33.594230625746818"/>
    <m/>
  </r>
  <r>
    <n v="1383"/>
    <x v="1382"/>
    <n v="29"/>
    <m/>
    <n v="0"/>
    <n v="113.7077"/>
    <n v="19.409836065573771"/>
    <n v="30.782644726359031"/>
    <m/>
    <n v="1.856531650863475"/>
    <n v="16.438356164383563"/>
    <n v="69.164666022614909"/>
    <n v="14.098901098901099"/>
    <n v="19.130850616035929"/>
    <m/>
  </r>
  <r>
    <n v="1384"/>
    <x v="1383"/>
    <n v="32"/>
    <m/>
    <n v="0"/>
    <n v="113.8604"/>
    <n v="19.409836065573771"/>
    <n v="40.93872451826347"/>
    <m/>
    <n v="125.251830789778"/>
    <n v="16.438356164383563"/>
    <n v="67.808673724385073"/>
    <n v="14.098901098901099"/>
    <n v="21.89626436034818"/>
    <m/>
  </r>
  <r>
    <n v="1385"/>
    <x v="1384"/>
    <n v="28"/>
    <m/>
    <n v="0"/>
    <n v="114.01310000000001"/>
    <n v="19.409836065573771"/>
    <n v="41.634145331076986"/>
    <m/>
    <n v="125.251830789778"/>
    <n v="16.438356164383563"/>
    <n v="67.808673724385073"/>
    <n v="14.098901098901099"/>
    <n v="16.13590329377654"/>
    <m/>
  </r>
  <r>
    <n v="1386"/>
    <x v="1385"/>
    <n v="58"/>
    <m/>
    <n v="0"/>
    <n v="114.1658"/>
    <n v="19.409836065573771"/>
    <n v="31.821557779279761"/>
    <m/>
    <n v="21.372030235181079"/>
    <n v="16.438356164383563"/>
    <n v="68.950209994215797"/>
    <n v="14.098901098901099"/>
    <n v="10.98540318149753"/>
    <m/>
  </r>
  <r>
    <n v="1387"/>
    <x v="1386"/>
    <n v="14"/>
    <m/>
    <n v="0"/>
    <n v="114.3185"/>
    <n v="19.409836065573771"/>
    <n v="36.424087947255778"/>
    <m/>
    <n v="1.856531650863475"/>
    <n v="16.438356164383563"/>
    <n v="69.164666022614909"/>
    <n v="14.098901098901099"/>
    <n v="29.705700182692159"/>
    <m/>
  </r>
  <r>
    <n v="1388"/>
    <x v="1387"/>
    <n v="17"/>
    <m/>
    <n v="0"/>
    <n v="114.4712"/>
    <n v="19.409836065573771"/>
    <n v="18.096029617948929"/>
    <m/>
    <n v="125.251830789778"/>
    <n v="16.438356164383563"/>
    <n v="67.808673724385073"/>
    <n v="14.098901098901099"/>
    <n v="12.138861371705829"/>
    <m/>
  </r>
  <r>
    <n v="1389"/>
    <x v="1388"/>
    <n v="14"/>
    <m/>
    <n v="0"/>
    <n v="114.62390000000001"/>
    <n v="19.409836065573771"/>
    <n v="27.683565992980739"/>
    <m/>
    <n v="125.251830789778"/>
    <n v="16.438356164383563"/>
    <n v="67.808673724385073"/>
    <n v="14.098901098901099"/>
    <n v="31.46592369660155"/>
    <m/>
  </r>
  <r>
    <n v="1390"/>
    <x v="1389"/>
    <n v="33"/>
    <m/>
    <n v="0"/>
    <n v="114.7766"/>
    <n v="19.409836065573771"/>
    <n v="23.136604756890879"/>
    <m/>
    <n v="21.372030235181079"/>
    <n v="16.438356164383563"/>
    <n v="68.950209994215797"/>
    <n v="14.098901098901099"/>
    <n v="17.651893786689971"/>
    <m/>
  </r>
  <r>
    <n v="1391"/>
    <x v="1390"/>
    <n v="30"/>
    <m/>
    <n v="0"/>
    <n v="114.9293"/>
    <n v="19.409836065573771"/>
    <n v="13.946350452329069"/>
    <m/>
    <n v="1.856531650863475"/>
    <n v="16.438356164383563"/>
    <n v="69.164666022614909"/>
    <n v="14.098901098901099"/>
    <n v="13.61403552548825"/>
    <m/>
  </r>
  <r>
    <n v="1392"/>
    <x v="1391"/>
    <n v="7"/>
    <m/>
    <n v="0"/>
    <n v="115.08200000000001"/>
    <n v="19.409836065573771"/>
    <n v="28.566728337398079"/>
    <m/>
    <n v="125.251830789778"/>
    <n v="16.438356164383563"/>
    <n v="67.808673724385073"/>
    <n v="14.098901098901099"/>
    <n v="11.578851458853491"/>
    <m/>
  </r>
  <r>
    <n v="1393"/>
    <x v="1392"/>
    <n v="24"/>
    <m/>
    <n v="0"/>
    <n v="115.2347"/>
    <n v="19.409836065573771"/>
    <n v="27.73360876901576"/>
    <m/>
    <n v="125.251830789778"/>
    <n v="16.438356164383563"/>
    <n v="67.808673724385073"/>
    <n v="14.098901098901099"/>
    <n v="19.803911926991891"/>
    <m/>
  </r>
  <r>
    <n v="1394"/>
    <x v="1393"/>
    <n v="9"/>
    <m/>
    <n v="0"/>
    <n v="115.3874"/>
    <n v="19.409836065573771"/>
    <n v="34.052926427939553"/>
    <m/>
    <n v="21.372030235181079"/>
    <n v="16.438356164383563"/>
    <n v="68.950209994215797"/>
    <n v="14.098901098901099"/>
    <n v="19.828592181340511"/>
    <m/>
  </r>
  <r>
    <n v="1395"/>
    <x v="1394"/>
    <n v="20"/>
    <m/>
    <n v="0"/>
    <n v="115.5401"/>
    <n v="19.409836065573771"/>
    <n v="24.651243457985078"/>
    <m/>
    <n v="1.856531650863475"/>
    <n v="16.438356164383563"/>
    <n v="69.164666022614909"/>
    <n v="14.098901098901099"/>
    <n v="18.682247168465281"/>
    <m/>
  </r>
  <r>
    <n v="1396"/>
    <x v="1395"/>
    <n v="12"/>
    <m/>
    <n v="0"/>
    <n v="115.69280000000001"/>
    <n v="19.409836065573771"/>
    <n v="42.615594707441844"/>
    <m/>
    <n v="125.251830789778"/>
    <n v="16.438356164383563"/>
    <n v="67.808673724385073"/>
    <n v="14.098901098901099"/>
    <n v="26.01735423647758"/>
    <m/>
  </r>
  <r>
    <n v="1397"/>
    <x v="1396"/>
    <n v="9"/>
    <m/>
    <n v="0"/>
    <n v="115.8455"/>
    <n v="19.409836065573771"/>
    <n v="39.827671244840538"/>
    <m/>
    <n v="125.251830789778"/>
    <n v="16.438356164383563"/>
    <n v="67.808673724385073"/>
    <n v="14.098901098901099"/>
    <n v="9.0105781920694188"/>
    <m/>
  </r>
  <r>
    <n v="1398"/>
    <x v="1397"/>
    <n v="15"/>
    <m/>
    <n v="0"/>
    <n v="115.9982"/>
    <n v="19.409836065573771"/>
    <n v="20.866304971427169"/>
    <m/>
    <n v="21.372030235181079"/>
    <n v="16.438356164383563"/>
    <n v="68.950209994215797"/>
    <n v="14.098901098901099"/>
    <n v="9.0850474560540437"/>
    <m/>
  </r>
  <r>
    <n v="1399"/>
    <x v="1398"/>
    <n v="13"/>
    <m/>
    <n v="0"/>
    <n v="116.15090000000001"/>
    <n v="19.409836065573771"/>
    <n v="33.292493692916601"/>
    <m/>
    <n v="1.856531650863475"/>
    <n v="16.438356164383563"/>
    <n v="69.164666022614909"/>
    <n v="14.098901098901099"/>
    <n v="18.979793407503259"/>
    <m/>
  </r>
  <r>
    <n v="1400"/>
    <x v="1399"/>
    <n v="6"/>
    <m/>
    <n v="0"/>
    <n v="116.3036"/>
    <n v="19.409836065573771"/>
    <n v="8.3543190312541409"/>
    <m/>
    <n v="125.251830789778"/>
    <n v="16.438356164383563"/>
    <n v="67.808673724385073"/>
    <n v="14.098901098901099"/>
    <n v="22.76068973180034"/>
    <m/>
  </r>
  <r>
    <n v="1401"/>
    <x v="1400"/>
    <n v="18"/>
    <m/>
    <n v="0"/>
    <n v="116.4563"/>
    <n v="19.409836065573771"/>
    <n v="19.801683588470041"/>
    <m/>
    <n v="125.251830789778"/>
    <n v="16.438356164383563"/>
    <n v="67.808673724385073"/>
    <n v="14.098901098901099"/>
    <n v="26.001614565343999"/>
    <m/>
  </r>
  <r>
    <n v="1402"/>
    <x v="1401"/>
    <n v="22"/>
    <m/>
    <n v="0"/>
    <n v="116.60900000000001"/>
    <n v="19.409836065573771"/>
    <n v="27.58953900764514"/>
    <m/>
    <n v="21.372030235181079"/>
    <n v="16.438356164383563"/>
    <n v="68.950209994215797"/>
    <n v="14.098901098901099"/>
    <n v="22.56209569971713"/>
    <m/>
  </r>
  <r>
    <n v="1403"/>
    <x v="1402"/>
    <n v="24"/>
    <m/>
    <n v="0"/>
    <n v="116.7617"/>
    <n v="19.409836065573771"/>
    <n v="11.35927211428738"/>
    <m/>
    <n v="1.856531650863475"/>
    <n v="16.438356164383563"/>
    <n v="69.164666022614909"/>
    <n v="14.098901098901099"/>
    <n v="21.751384599367292"/>
    <m/>
  </r>
  <r>
    <n v="1404"/>
    <x v="1403"/>
    <n v="13"/>
    <m/>
    <n v="0"/>
    <n v="116.9144"/>
    <n v="19.409836065573771"/>
    <n v="22.963174204577729"/>
    <m/>
    <n v="125.251830789778"/>
    <n v="16.438356164383563"/>
    <n v="67.808673724385073"/>
    <n v="14.098901098901099"/>
    <n v="15.25394396785193"/>
    <m/>
  </r>
  <r>
    <n v="1405"/>
    <x v="1404"/>
    <n v="6"/>
    <m/>
    <n v="0"/>
    <n v="117.0671"/>
    <n v="19.409836065573771"/>
    <n v="17.58346222312478"/>
    <m/>
    <n v="125.251830789778"/>
    <n v="16.438356164383563"/>
    <n v="67.808673724385073"/>
    <n v="14.098901098901099"/>
    <n v="14.57235457544067"/>
    <m/>
  </r>
  <r>
    <n v="1406"/>
    <x v="1405"/>
    <n v="15"/>
    <m/>
    <n v="0"/>
    <n v="117.21980000000001"/>
    <n v="19.409836065573771"/>
    <n v="24.171472586350131"/>
    <m/>
    <n v="21.372030235181079"/>
    <n v="16.438356164383563"/>
    <n v="68.950209994215797"/>
    <n v="14.098901098901099"/>
    <n v="30.41641157314541"/>
    <m/>
  </r>
  <r>
    <n v="1407"/>
    <x v="1406"/>
    <n v="15"/>
    <m/>
    <n v="0"/>
    <n v="117.3725"/>
    <n v="19.409836065573771"/>
    <n v="19.989127656170641"/>
    <m/>
    <n v="1.856531650863475"/>
    <n v="16.438356164383563"/>
    <n v="69.164666022614909"/>
    <n v="14.098901098901099"/>
    <n v="34.024750765127713"/>
    <m/>
  </r>
  <r>
    <n v="1408"/>
    <x v="1407"/>
    <n v="15"/>
    <m/>
    <n v="0"/>
    <n v="117.5252"/>
    <n v="19.409836065573771"/>
    <n v="14.5769736352678"/>
    <m/>
    <n v="125.251830789778"/>
    <n v="16.438356164383563"/>
    <n v="67.808673724385073"/>
    <n v="14.098901098901099"/>
    <n v="30.410369545239011"/>
    <m/>
  </r>
  <r>
    <n v="1409"/>
    <x v="1408"/>
    <n v="2"/>
    <m/>
    <n v="0"/>
    <n v="117.67790000000001"/>
    <n v="19.409836065573771"/>
    <n v="27.830288375569179"/>
    <m/>
    <n v="125.251830789778"/>
    <n v="16.438356164383563"/>
    <n v="67.808673724385073"/>
    <n v="14.098901098901099"/>
    <n v="20.675411343935611"/>
    <m/>
  </r>
  <r>
    <n v="1410"/>
    <x v="1409"/>
    <n v="15"/>
    <m/>
    <n v="0"/>
    <n v="117.8306"/>
    <n v="19.409836065573771"/>
    <n v="31.752560670159699"/>
    <m/>
    <n v="21.372030235181079"/>
    <n v="16.438356164383563"/>
    <n v="68.950209994215797"/>
    <n v="14.098901098901099"/>
    <n v="8.2800666565301384"/>
    <m/>
  </r>
  <r>
    <n v="1411"/>
    <x v="1410"/>
    <n v="23"/>
    <m/>
    <n v="0"/>
    <n v="117.9833"/>
    <n v="19.409836065573771"/>
    <n v="28.090838908044091"/>
    <m/>
    <n v="1.856531650863475"/>
    <n v="16.438356164383563"/>
    <n v="69.164666022614909"/>
    <n v="14.098901098901099"/>
    <n v="0.337017477144535"/>
    <m/>
  </r>
  <r>
    <n v="1412"/>
    <x v="1411"/>
    <n v="5"/>
    <m/>
    <n v="0"/>
    <n v="118.136"/>
    <n v="19.409836065573771"/>
    <n v="23.15396618178627"/>
    <m/>
    <n v="125.251830789778"/>
    <n v="16.438356164383563"/>
    <n v="67.808673724385073"/>
    <n v="14.098901098901099"/>
    <n v="10.331646444436821"/>
    <m/>
  </r>
  <r>
    <n v="1413"/>
    <x v="1412"/>
    <n v="12"/>
    <m/>
    <n v="0"/>
    <n v="118.28870000000001"/>
    <n v="19.409836065573771"/>
    <n v="38.345795250670527"/>
    <m/>
    <n v="125.251830789778"/>
    <n v="16.438356164383563"/>
    <n v="67.808673724385073"/>
    <n v="14.098901098901099"/>
    <n v="15.205304690744031"/>
    <m/>
  </r>
  <r>
    <n v="1414"/>
    <x v="1413"/>
    <n v="4"/>
    <m/>
    <n v="0"/>
    <n v="118.4414"/>
    <n v="19.409836065573771"/>
    <n v="17.496838665639348"/>
    <m/>
    <n v="21.372030235181079"/>
    <n v="16.438356164383563"/>
    <n v="68.950209994215797"/>
    <n v="14.098901098901099"/>
    <n v="4.9165351140019924"/>
    <m/>
  </r>
  <r>
    <n v="1415"/>
    <x v="1414"/>
    <n v="4"/>
    <m/>
    <n v="0"/>
    <n v="118.5941"/>
    <n v="19.409836065573771"/>
    <n v="34.385539609637092"/>
    <m/>
    <n v="1.856531650863475"/>
    <n v="16.438356164383563"/>
    <n v="69.164666022614909"/>
    <n v="14.098901098901099"/>
    <n v="27.542644537853011"/>
    <m/>
  </r>
  <r>
    <n v="1416"/>
    <x v="1415"/>
    <n v="20"/>
    <m/>
    <n v="0"/>
    <n v="118.74680000000001"/>
    <n v="19.409836065573771"/>
    <n v="25.09833027211463"/>
    <m/>
    <n v="125.251830789778"/>
    <n v="16.438356164383563"/>
    <n v="67.808673724385073"/>
    <n v="14.098901098901099"/>
    <n v="33.959229687418272"/>
    <m/>
  </r>
  <r>
    <n v="1417"/>
    <x v="1416"/>
    <n v="9"/>
    <m/>
    <n v="0"/>
    <n v="118.8995"/>
    <n v="19.409836065573771"/>
    <n v="22.000125117029238"/>
    <m/>
    <n v="125.251830789778"/>
    <n v="16.438356164383563"/>
    <n v="67.808673724385073"/>
    <n v="14.098901098901099"/>
    <n v="24.66215505431451"/>
    <m/>
  </r>
  <r>
    <n v="1418"/>
    <x v="1417"/>
    <n v="28"/>
    <m/>
    <n v="0"/>
    <n v="119.0522"/>
    <n v="19.409836065573771"/>
    <n v="41.267811030812346"/>
    <m/>
    <n v="21.372030235181079"/>
    <n v="16.438356164383563"/>
    <n v="68.950209994215797"/>
    <n v="14.098901098901099"/>
    <n v="9.0285504819631743"/>
    <m/>
  </r>
  <r>
    <n v="1419"/>
    <x v="1418"/>
    <n v="19"/>
    <m/>
    <n v="0"/>
    <n v="119.20490000000001"/>
    <n v="19.409836065573771"/>
    <n v="16.85166861732452"/>
    <m/>
    <n v="1.856531650863475"/>
    <n v="16.438356164383563"/>
    <n v="69.164666022614909"/>
    <n v="14.098901098901099"/>
    <n v="11.82337924610416"/>
    <m/>
  </r>
  <r>
    <n v="1420"/>
    <x v="1419"/>
    <n v="14"/>
    <m/>
    <n v="0"/>
    <n v="119.35760000000001"/>
    <n v="19.409836065573771"/>
    <n v="42.007126405727817"/>
    <m/>
    <n v="125.251830789778"/>
    <n v="16.438356164383563"/>
    <n v="67.808673724385073"/>
    <n v="14.098901098901099"/>
    <n v="10.907961894855321"/>
    <m/>
  </r>
  <r>
    <n v="1421"/>
    <x v="1420"/>
    <n v="5"/>
    <m/>
    <n v="0"/>
    <n v="119.5103"/>
    <n v="19.409836065573771"/>
    <n v="13.6221381977583"/>
    <m/>
    <n v="125.251830789778"/>
    <n v="16.438356164383563"/>
    <n v="67.808673724385073"/>
    <n v="14.098901098901099"/>
    <n v="28.587887698660609"/>
    <m/>
  </r>
  <r>
    <n v="1422"/>
    <x v="1421"/>
    <n v="12"/>
    <m/>
    <n v="0"/>
    <n v="119.663"/>
    <n v="19.409836065573771"/>
    <n v="19.151603309998521"/>
    <m/>
    <n v="21.372030235181079"/>
    <n v="16.438356164383563"/>
    <n v="68.950209994215797"/>
    <n v="14.098901098901099"/>
    <n v="8.2624996042543071"/>
    <m/>
  </r>
  <r>
    <n v="1423"/>
    <x v="1422"/>
    <n v="4"/>
    <m/>
    <n v="0"/>
    <n v="119.81570000000001"/>
    <n v="19.409836065573771"/>
    <n v="31.500455751604608"/>
    <m/>
    <n v="1.856531650863475"/>
    <n v="16.438356164383563"/>
    <n v="69.164666022614909"/>
    <n v="14.098901098901099"/>
    <n v="34.816051671622908"/>
    <m/>
  </r>
  <r>
    <n v="1424"/>
    <x v="1423"/>
    <n v="13"/>
    <m/>
    <n v="0"/>
    <n v="119.9684"/>
    <n v="19.409836065573771"/>
    <n v="8.5630918256753557"/>
    <m/>
    <n v="125.251830789778"/>
    <n v="16.438356164383563"/>
    <n v="67.808673724385073"/>
    <n v="14.098901098901099"/>
    <n v="9.2561469674322101"/>
    <m/>
  </r>
  <r>
    <n v="1425"/>
    <x v="1424"/>
    <n v="9"/>
    <m/>
    <n v="0"/>
    <n v="120.1211"/>
    <n v="19.409836065573771"/>
    <n v="21.436777885750232"/>
    <m/>
    <n v="125.251830789778"/>
    <n v="16.438356164383563"/>
    <n v="67.808673724385073"/>
    <n v="14.098901098901099"/>
    <n v="13.880117600835209"/>
    <m/>
  </r>
  <r>
    <n v="1426"/>
    <x v="1425"/>
    <n v="13"/>
    <m/>
    <n v="0"/>
    <n v="120.27380000000001"/>
    <n v="19.409836065573771"/>
    <n v="16.995829494547571"/>
    <m/>
    <n v="21.372030235181079"/>
    <n v="16.438356164383563"/>
    <n v="68.950209994215797"/>
    <n v="14.098901098901099"/>
    <n v="4.6670747675077742"/>
    <m/>
  </r>
  <r>
    <n v="1427"/>
    <x v="1426"/>
    <n v="2"/>
    <m/>
    <n v="0"/>
    <n v="120.4265"/>
    <n v="19.409836065573771"/>
    <n v="18.548397769228639"/>
    <m/>
    <n v="1.856531650863475"/>
    <n v="16.438356164383563"/>
    <n v="69.164666022614909"/>
    <n v="14.098901098901099"/>
    <n v="30.3586098560484"/>
    <m/>
  </r>
  <r>
    <n v="1428"/>
    <x v="1427"/>
    <n v="9"/>
    <m/>
    <n v="0"/>
    <n v="120.5792"/>
    <n v="19.409836065573771"/>
    <n v="17.68171194058527"/>
    <m/>
    <n v="125.251830789778"/>
    <n v="16.438356164383563"/>
    <n v="67.808673724385073"/>
    <n v="14.098901098901099"/>
    <n v="25.334129584215521"/>
    <m/>
  </r>
  <r>
    <n v="1429"/>
    <x v="1428"/>
    <n v="2"/>
    <m/>
    <n v="0"/>
    <n v="120.7319"/>
    <n v="19.409836065573771"/>
    <n v="15.31381168784401"/>
    <m/>
    <n v="125.251830789778"/>
    <n v="16.438356164383563"/>
    <n v="67.808673724385073"/>
    <n v="14.098901098901099"/>
    <n v="21.72788301159903"/>
    <m/>
  </r>
  <r>
    <n v="1430"/>
    <x v="1429"/>
    <n v="7"/>
    <m/>
    <n v="0"/>
    <n v="120.88460000000001"/>
    <n v="19.409836065573771"/>
    <n v="22.74369330977872"/>
    <m/>
    <n v="21.372030235181079"/>
    <n v="16.438356164383563"/>
    <n v="68.950209994215797"/>
    <n v="14.098901098901099"/>
    <n v="15.116626698121189"/>
    <m/>
  </r>
  <r>
    <n v="1431"/>
    <x v="1430"/>
    <n v="3"/>
    <m/>
    <n v="0"/>
    <n v="121.0373"/>
    <n v="19.409836065573771"/>
    <n v="25.475156840019871"/>
    <m/>
    <n v="1.856531650863475"/>
    <n v="16.438356164383563"/>
    <n v="69.164666022614909"/>
    <n v="14.098901098901099"/>
    <n v="9.866581426468974"/>
    <m/>
  </r>
  <r>
    <n v="1432"/>
    <x v="1431"/>
    <n v="21"/>
    <m/>
    <n v="0"/>
    <n v="121.19"/>
    <n v="19.409836065573771"/>
    <n v="26.80817989677703"/>
    <m/>
    <n v="125.251830789778"/>
    <n v="16.438356164383563"/>
    <n v="67.808673724385073"/>
    <n v="14.098901098901099"/>
    <n v="13.694642991506591"/>
    <m/>
  </r>
  <r>
    <n v="1433"/>
    <x v="1432"/>
    <n v="4"/>
    <m/>
    <n v="0"/>
    <n v="121.34270000000001"/>
    <n v="19.409836065573771"/>
    <n v="22.933554732383339"/>
    <m/>
    <n v="125.251830789778"/>
    <n v="16.438356164383563"/>
    <n v="67.808673724385073"/>
    <n v="14.098901098901099"/>
    <n v="18.776421531674391"/>
    <m/>
  </r>
  <r>
    <n v="1434"/>
    <x v="1433"/>
    <n v="4"/>
    <m/>
    <n v="0"/>
    <n v="121.4954"/>
    <n v="19.409836065573771"/>
    <n v="30.183616332978911"/>
    <m/>
    <n v="21.372030235181079"/>
    <n v="16.438356164383563"/>
    <n v="68.950209994215797"/>
    <n v="14.098901098901099"/>
    <n v="26.664564844144969"/>
    <m/>
  </r>
  <r>
    <n v="1435"/>
    <x v="1434"/>
    <n v="9"/>
    <m/>
    <n v="0"/>
    <n v="121.6481"/>
    <n v="19.409836065573771"/>
    <n v="24.087294135938048"/>
    <m/>
    <n v="1.856531650863475"/>
    <n v="16.438356164383563"/>
    <n v="69.164666022614909"/>
    <n v="14.098901098901099"/>
    <n v="26.769553601538469"/>
    <m/>
  </r>
  <r>
    <n v="1436"/>
    <x v="1435"/>
    <n v="9"/>
    <m/>
    <n v="0"/>
    <n v="121.8008"/>
    <n v="19.409836065573771"/>
    <n v="30.86345650606345"/>
    <m/>
    <n v="125.251830789778"/>
    <n v="16.438356164383563"/>
    <n v="67.808673724385073"/>
    <n v="14.098901098901099"/>
    <n v="16.291285631382291"/>
    <m/>
  </r>
  <r>
    <n v="1437"/>
    <x v="1436"/>
    <n v="7"/>
    <m/>
    <n v="0"/>
    <n v="121.95350000000001"/>
    <n v="19.409836065573771"/>
    <n v="30.46702840738115"/>
    <m/>
    <n v="125.251830789778"/>
    <n v="16.438356164383563"/>
    <n v="67.808673724385073"/>
    <n v="14.098901098901099"/>
    <n v="9.0446424508119208"/>
    <m/>
  </r>
  <r>
    <n v="1438"/>
    <x v="1437"/>
    <n v="13"/>
    <m/>
    <n v="0"/>
    <n v="122.1062"/>
    <n v="19.409836065573771"/>
    <n v="35.089549305794243"/>
    <m/>
    <n v="21.372030235181079"/>
    <n v="16.438356164383563"/>
    <n v="68.950209994215797"/>
    <n v="14.098901098901099"/>
    <n v="12.13877087219959"/>
    <m/>
  </r>
  <r>
    <n v="1439"/>
    <x v="1438"/>
    <n v="15"/>
    <m/>
    <n v="0"/>
    <n v="122.2589"/>
    <n v="19.409836065573771"/>
    <n v="43.692376019106"/>
    <m/>
    <n v="1.856531650863475"/>
    <n v="16.438356164383563"/>
    <n v="69.164666022614909"/>
    <n v="14.098901098901099"/>
    <n v="22.408853061525761"/>
    <m/>
  </r>
  <r>
    <n v="1440"/>
    <x v="1439"/>
    <n v="3"/>
    <m/>
    <n v="0"/>
    <n v="122.41160000000001"/>
    <n v="19.409836065573771"/>
    <n v="42.575718971386983"/>
    <m/>
    <n v="125.251830789778"/>
    <n v="16.438356164383563"/>
    <n v="67.808673724385073"/>
    <n v="14.098901098901099"/>
    <n v="35.951578695515202"/>
    <m/>
  </r>
  <r>
    <n v="1441"/>
    <x v="1440"/>
    <n v="3"/>
    <m/>
    <n v="0"/>
    <n v="122.5643"/>
    <n v="19.409836065573771"/>
    <n v="44.229916660864227"/>
    <m/>
    <n v="125.251830789778"/>
    <n v="16.438356164383563"/>
    <n v="67.808673724385073"/>
    <n v="14.098901098901099"/>
    <n v="27.371484109364971"/>
    <m/>
  </r>
  <r>
    <n v="1442"/>
    <x v="1441"/>
    <n v="4"/>
    <m/>
    <n v="0"/>
    <n v="122.717"/>
    <n v="19.409836065573771"/>
    <n v="22.962243792644369"/>
    <m/>
    <n v="21.372030235181079"/>
    <n v="16.438356164383563"/>
    <n v="68.950209994215797"/>
    <n v="14.098901098901099"/>
    <n v="23.916615244237921"/>
    <m/>
  </r>
  <r>
    <n v="1443"/>
    <x v="1442"/>
    <n v="2"/>
    <m/>
    <n v="0"/>
    <n v="122.86970000000001"/>
    <n v="19.409836065573771"/>
    <n v="19.941223490757679"/>
    <m/>
    <n v="1.856531650863475"/>
    <n v="16.438356164383563"/>
    <n v="69.164666022614909"/>
    <n v="14.098901098901099"/>
    <n v="15.485607633590419"/>
    <m/>
  </r>
  <r>
    <n v="1444"/>
    <x v="1443"/>
    <n v="3"/>
    <m/>
    <n v="0"/>
    <n v="123.0224"/>
    <n v="19.409836065573771"/>
    <n v="8.8139270219440391"/>
    <m/>
    <n v="125.251830789778"/>
    <n v="16.438356164383563"/>
    <n v="67.808673724385073"/>
    <n v="14.098901098901099"/>
    <n v="4.7070490110666476"/>
    <m/>
  </r>
  <r>
    <n v="1445"/>
    <x v="1444"/>
    <n v="-1"/>
    <m/>
    <n v="0"/>
    <n v="123.1751"/>
    <n v="19.409836065573771"/>
    <n v="18.08637829742856"/>
    <m/>
    <n v="125.251830789778"/>
    <n v="16.438356164383563"/>
    <n v="67.808673724385073"/>
    <n v="14.098901098901099"/>
    <n v="21.621980775176581"/>
    <m/>
  </r>
  <r>
    <n v="1446"/>
    <x v="1445"/>
    <n v="11"/>
    <m/>
    <n v="0"/>
    <n v="123.3278"/>
    <n v="19.409836065573771"/>
    <n v="19.261875298881339"/>
    <m/>
    <n v="21.372030235181079"/>
    <n v="16.438356164383563"/>
    <n v="68.950209994215797"/>
    <n v="14.098901098901099"/>
    <n v="15.677233127707661"/>
    <m/>
  </r>
  <r>
    <n v="1447"/>
    <x v="1446"/>
    <n v="-3"/>
    <m/>
    <n v="0"/>
    <n v="123.48050000000001"/>
    <n v="19.409836065573771"/>
    <n v="13.20725023380513"/>
    <m/>
    <n v="1.856531650863475"/>
    <n v="16.438356164383563"/>
    <n v="69.164666022614909"/>
    <n v="14.098901098901099"/>
    <n v="27.973202748492291"/>
    <m/>
  </r>
  <r>
    <n v="1448"/>
    <x v="1447"/>
    <n v="10"/>
    <m/>
    <n v="0"/>
    <n v="123.6332"/>
    <n v="19.409836065573771"/>
    <n v="15.4608942518172"/>
    <m/>
    <n v="125.251830789778"/>
    <n v="16.438356164383563"/>
    <n v="67.808673724385073"/>
    <n v="14.098901098901099"/>
    <n v="22.423245068207791"/>
    <m/>
  </r>
  <r>
    <n v="1449"/>
    <x v="1448"/>
    <n v="5"/>
    <m/>
    <n v="0"/>
    <n v="123.7859"/>
    <n v="19.409836065573771"/>
    <n v="19.356849033657721"/>
    <m/>
    <n v="125.251830789778"/>
    <n v="16.438356164383563"/>
    <n v="67.808673724385073"/>
    <n v="14.098901098901099"/>
    <n v="23.10044839461327"/>
    <m/>
  </r>
  <r>
    <n v="1450"/>
    <x v="1449"/>
    <n v="12"/>
    <m/>
    <n v="0"/>
    <n v="123.93860000000001"/>
    <n v="19.409836065573771"/>
    <n v="21.337378234822701"/>
    <m/>
    <n v="21.372030235181079"/>
    <n v="16.438356164383563"/>
    <n v="68.950209994215797"/>
    <n v="14.098901098901099"/>
    <n v="14.406663118460051"/>
    <m/>
  </r>
  <r>
    <n v="1451"/>
    <x v="1450"/>
    <n v="-2"/>
    <m/>
    <n v="0"/>
    <n v="124.0913"/>
    <n v="19.409836065573771"/>
    <n v="4.9415214566031942"/>
    <m/>
    <n v="1.856531650863475"/>
    <n v="16.438356164383563"/>
    <n v="69.164666022614909"/>
    <n v="14.098901098901099"/>
    <n v="19.628423384917959"/>
    <m/>
  </r>
  <r>
    <n v="1452"/>
    <x v="1451"/>
    <n v="6"/>
    <m/>
    <n v="0"/>
    <n v="124.244"/>
    <n v="19.409836065573771"/>
    <n v="16.426518503957791"/>
    <m/>
    <n v="125.251830789778"/>
    <n v="16.438356164383563"/>
    <n v="67.808673724385073"/>
    <n v="14.098901098901099"/>
    <n v="15.98755098883032"/>
    <m/>
  </r>
  <r>
    <n v="1453"/>
    <x v="1452"/>
    <n v="-4"/>
    <m/>
    <n v="0"/>
    <n v="124.3967"/>
    <n v="19.409836065573771"/>
    <n v="23.119039095645132"/>
    <m/>
    <n v="125.251830789778"/>
    <n v="16.438356164383563"/>
    <n v="67.808673724385073"/>
    <n v="14.098901098901099"/>
    <n v="26.293268851444761"/>
    <m/>
  </r>
  <r>
    <n v="1454"/>
    <x v="1453"/>
    <n v="29"/>
    <m/>
    <n v="0"/>
    <n v="124.54940000000001"/>
    <n v="19.409836065573771"/>
    <n v="25.297923648486972"/>
    <m/>
    <n v="21.372030235181079"/>
    <n v="16.438356164383563"/>
    <n v="68.950209994215797"/>
    <n v="14.098901098901099"/>
    <n v="30.4951166213378"/>
    <m/>
  </r>
  <r>
    <n v="1455"/>
    <x v="1454"/>
    <n v="-2"/>
    <m/>
    <n v="0"/>
    <n v="124.7021"/>
    <n v="19.409836065573771"/>
    <n v="14.344277885449779"/>
    <m/>
    <n v="1.856531650863475"/>
    <n v="16.438356164383563"/>
    <n v="69.164666022614909"/>
    <n v="14.098901098901099"/>
    <n v="28.365446656301721"/>
    <m/>
  </r>
  <r>
    <n v="1456"/>
    <x v="1455"/>
    <n v="6"/>
    <m/>
    <n v="0"/>
    <n v="124.8548"/>
    <n v="19.409836065573771"/>
    <n v="22.467842265442179"/>
    <m/>
    <n v="125.251830789778"/>
    <n v="16.438356164383563"/>
    <n v="67.808673724385073"/>
    <n v="14.098901098901099"/>
    <n v="14.3887117710231"/>
    <m/>
  </r>
  <r>
    <n v="1457"/>
    <x v="1456"/>
    <n v="-1"/>
    <m/>
    <n v="0"/>
    <n v="125.00750000000001"/>
    <n v="19.409836065573771"/>
    <n v="39.333473786522859"/>
    <m/>
    <n v="125.251830789778"/>
    <n v="16.438356164383563"/>
    <n v="67.808673724385073"/>
    <n v="14.098901098901099"/>
    <n v="10.43460132223305"/>
    <m/>
  </r>
  <r>
    <n v="1458"/>
    <x v="1457"/>
    <n v="6"/>
    <m/>
    <n v="0"/>
    <n v="125.1602"/>
    <n v="19.409836065573771"/>
    <n v="10.210979180688961"/>
    <m/>
    <n v="21.372030235181079"/>
    <n v="16.438356164383563"/>
    <n v="68.950209994215797"/>
    <n v="14.098901098901099"/>
    <n v="10.598717345874681"/>
    <m/>
  </r>
  <r>
    <n v="1459"/>
    <x v="1458"/>
    <n v="3"/>
    <m/>
    <n v="0"/>
    <n v="125.3129"/>
    <n v="19.409836065573771"/>
    <n v="25.212963137155342"/>
    <m/>
    <n v="1.856531650863475"/>
    <n v="16.438356164383563"/>
    <n v="69.164666022614909"/>
    <n v="14.098901098901099"/>
    <n v="21.77395088178368"/>
    <m/>
  </r>
  <r>
    <n v="1460"/>
    <x v="1459"/>
    <n v="9"/>
    <m/>
    <n v="0"/>
    <n v="125.46560000000001"/>
    <n v="19.409836065573771"/>
    <n v="26.39612303252715"/>
    <m/>
    <n v="125.251830789778"/>
    <n v="16.438356164383563"/>
    <n v="67.808673724385073"/>
    <n v="14.098901098901099"/>
    <n v="22.05976713070602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n v="1"/>
    <n v="11"/>
    <n v="0"/>
    <n v="0"/>
    <n v="0"/>
    <n v="0"/>
    <x v="0"/>
  </r>
  <r>
    <n v="2"/>
    <n v="7"/>
    <n v="0"/>
    <n v="0"/>
    <n v="0"/>
    <n v="0"/>
    <x v="1"/>
  </r>
  <r>
    <n v="3"/>
    <n v="4"/>
    <n v="0"/>
    <n v="0"/>
    <n v="0"/>
    <n v="0"/>
    <x v="2"/>
  </r>
  <r>
    <n v="4"/>
    <n v="8"/>
    <n v="0"/>
    <n v="0"/>
    <n v="0"/>
    <n v="0"/>
    <x v="3"/>
  </r>
  <r>
    <n v="5"/>
    <n v="5"/>
    <n v="0"/>
    <n v="0"/>
    <n v="0"/>
    <n v="0"/>
    <x v="4"/>
  </r>
  <r>
    <n v="6"/>
    <n v="8"/>
    <n v="0"/>
    <n v="0"/>
    <n v="0"/>
    <n v="0"/>
    <x v="5"/>
  </r>
  <r>
    <n v="7"/>
    <n v="14"/>
    <n v="0"/>
    <n v="0"/>
    <n v="0"/>
    <n v="0"/>
    <x v="6"/>
  </r>
  <r>
    <n v="8"/>
    <n v="6"/>
    <n v="0"/>
    <n v="0"/>
    <n v="0"/>
    <n v="0"/>
    <x v="7"/>
  </r>
  <r>
    <n v="9"/>
    <n v="31"/>
    <n v="0"/>
    <n v="0"/>
    <n v="0"/>
    <n v="0"/>
    <x v="8"/>
  </r>
  <r>
    <n v="10"/>
    <n v="7"/>
    <n v="0"/>
    <n v="0"/>
    <n v="0"/>
    <n v="0"/>
    <x v="9"/>
  </r>
  <r>
    <n v="11"/>
    <n v="7"/>
    <n v="0"/>
    <n v="0"/>
    <n v="0"/>
    <n v="0"/>
    <x v="10"/>
  </r>
  <r>
    <n v="12"/>
    <n v="19"/>
    <n v="0"/>
    <n v="0"/>
    <n v="0"/>
    <n v="0"/>
    <x v="11"/>
  </r>
  <r>
    <n v="13"/>
    <n v="5"/>
    <n v="0"/>
    <n v="0"/>
    <n v="0"/>
    <n v="0"/>
    <x v="12"/>
  </r>
  <r>
    <n v="14"/>
    <n v="6"/>
    <n v="0"/>
    <n v="0"/>
    <n v="0"/>
    <n v="0"/>
    <x v="13"/>
  </r>
  <r>
    <n v="15"/>
    <n v="7"/>
    <n v="0"/>
    <n v="0"/>
    <n v="0"/>
    <n v="0"/>
    <x v="14"/>
  </r>
  <r>
    <n v="16"/>
    <n v="5"/>
    <n v="0"/>
    <n v="0"/>
    <n v="0"/>
    <n v="0"/>
    <x v="15"/>
  </r>
  <r>
    <n v="17"/>
    <n v="14"/>
    <n v="0"/>
    <n v="0"/>
    <n v="0"/>
    <n v="0"/>
    <x v="16"/>
  </r>
  <r>
    <n v="18"/>
    <n v="25"/>
    <n v="0"/>
    <n v="0"/>
    <n v="0"/>
    <n v="0"/>
    <x v="17"/>
  </r>
  <r>
    <n v="19"/>
    <n v="2"/>
    <n v="0"/>
    <n v="0"/>
    <n v="0"/>
    <n v="0"/>
    <x v="18"/>
  </r>
  <r>
    <n v="20"/>
    <n v="4"/>
    <n v="0"/>
    <n v="0"/>
    <n v="0"/>
    <n v="0"/>
    <x v="19"/>
  </r>
  <r>
    <n v="21"/>
    <n v="11"/>
    <n v="0"/>
    <n v="0"/>
    <n v="0"/>
    <n v="0"/>
    <x v="20"/>
  </r>
  <r>
    <n v="22"/>
    <n v="22"/>
    <n v="0"/>
    <n v="0"/>
    <n v="0"/>
    <n v="0"/>
    <x v="21"/>
  </r>
  <r>
    <n v="23"/>
    <n v="8"/>
    <n v="0"/>
    <n v="0"/>
    <n v="0"/>
    <n v="0"/>
    <x v="22"/>
  </r>
  <r>
    <n v="24"/>
    <n v="10"/>
    <n v="0"/>
    <n v="0"/>
    <n v="0"/>
    <n v="0"/>
    <x v="23"/>
  </r>
  <r>
    <n v="25"/>
    <n v="11"/>
    <n v="0"/>
    <n v="0"/>
    <n v="0"/>
    <n v="0"/>
    <x v="24"/>
  </r>
  <r>
    <n v="26"/>
    <n v="16"/>
    <n v="0"/>
    <n v="0"/>
    <n v="0"/>
    <n v="0"/>
    <x v="25"/>
  </r>
  <r>
    <n v="27"/>
    <n v="17"/>
    <n v="0"/>
    <n v="0"/>
    <n v="0"/>
    <n v="0"/>
    <x v="26"/>
  </r>
  <r>
    <n v="28"/>
    <n v="12"/>
    <n v="0"/>
    <n v="0"/>
    <n v="0"/>
    <n v="0"/>
    <x v="27"/>
  </r>
  <r>
    <n v="29"/>
    <n v="7"/>
    <n v="0"/>
    <n v="0"/>
    <n v="0"/>
    <n v="0"/>
    <x v="28"/>
  </r>
  <r>
    <n v="30"/>
    <n v="4"/>
    <n v="0"/>
    <n v="0"/>
    <n v="0"/>
    <n v="0"/>
    <x v="29"/>
  </r>
  <r>
    <n v="31"/>
    <n v="25"/>
    <n v="0"/>
    <n v="0"/>
    <n v="0"/>
    <n v="0"/>
    <x v="30"/>
  </r>
  <r>
    <n v="32"/>
    <n v="2"/>
    <n v="0"/>
    <n v="0"/>
    <n v="0"/>
    <n v="0"/>
    <x v="31"/>
  </r>
  <r>
    <n v="33"/>
    <n v="14"/>
    <n v="0"/>
    <n v="0"/>
    <n v="0"/>
    <n v="0"/>
    <x v="32"/>
  </r>
  <r>
    <n v="34"/>
    <n v="13"/>
    <n v="0"/>
    <n v="0"/>
    <n v="0"/>
    <n v="0"/>
    <x v="33"/>
  </r>
  <r>
    <n v="35"/>
    <n v="25"/>
    <n v="0"/>
    <n v="0"/>
    <n v="0"/>
    <n v="0"/>
    <x v="34"/>
  </r>
  <r>
    <n v="36"/>
    <n v="13"/>
    <n v="0"/>
    <n v="0"/>
    <n v="0"/>
    <n v="0"/>
    <x v="35"/>
  </r>
  <r>
    <n v="37"/>
    <n v="8"/>
    <n v="0"/>
    <n v="0"/>
    <n v="0"/>
    <n v="0"/>
    <x v="36"/>
  </r>
  <r>
    <n v="38"/>
    <n v="17"/>
    <n v="0"/>
    <n v="0"/>
    <n v="0"/>
    <n v="0"/>
    <x v="37"/>
  </r>
  <r>
    <n v="39"/>
    <n v="24"/>
    <n v="0"/>
    <n v="0"/>
    <n v="0"/>
    <n v="0"/>
    <x v="38"/>
  </r>
  <r>
    <n v="40"/>
    <n v="6"/>
    <n v="0"/>
    <n v="0"/>
    <n v="0"/>
    <n v="0"/>
    <x v="39"/>
  </r>
  <r>
    <n v="41"/>
    <n v="19"/>
    <n v="0"/>
    <n v="0"/>
    <n v="0"/>
    <n v="0"/>
    <x v="40"/>
  </r>
  <r>
    <n v="42"/>
    <n v="33"/>
    <n v="0"/>
    <n v="0"/>
    <n v="0"/>
    <n v="0"/>
    <x v="41"/>
  </r>
  <r>
    <n v="43"/>
    <n v="7"/>
    <n v="0"/>
    <n v="0"/>
    <n v="0"/>
    <n v="0"/>
    <x v="42"/>
  </r>
  <r>
    <n v="44"/>
    <n v="18"/>
    <n v="0"/>
    <n v="0"/>
    <n v="0"/>
    <n v="0"/>
    <x v="43"/>
  </r>
  <r>
    <n v="45"/>
    <n v="12"/>
    <n v="0"/>
    <n v="0"/>
    <n v="0"/>
    <n v="0"/>
    <x v="44"/>
  </r>
  <r>
    <n v="46"/>
    <n v="7"/>
    <n v="0"/>
    <n v="0"/>
    <n v="0"/>
    <n v="0"/>
    <x v="45"/>
  </r>
  <r>
    <n v="47"/>
    <n v="3"/>
    <n v="0"/>
    <n v="0"/>
    <n v="0"/>
    <n v="0"/>
    <x v="46"/>
  </r>
  <r>
    <n v="48"/>
    <n v="25"/>
    <n v="0"/>
    <n v="0"/>
    <n v="0"/>
    <n v="0"/>
    <x v="47"/>
  </r>
  <r>
    <n v="49"/>
    <n v="15"/>
    <n v="0"/>
    <n v="0"/>
    <n v="0"/>
    <n v="0"/>
    <x v="48"/>
  </r>
  <r>
    <n v="50"/>
    <n v="38"/>
    <n v="0"/>
    <n v="0"/>
    <n v="0"/>
    <n v="0"/>
    <x v="49"/>
  </r>
  <r>
    <n v="51"/>
    <n v="28"/>
    <n v="0"/>
    <n v="0"/>
    <n v="0"/>
    <n v="0"/>
    <x v="50"/>
  </r>
  <r>
    <n v="52"/>
    <n v="22"/>
    <n v="0"/>
    <n v="0"/>
    <n v="0"/>
    <n v="0"/>
    <x v="51"/>
  </r>
  <r>
    <n v="53"/>
    <n v="5"/>
    <n v="0"/>
    <n v="0"/>
    <n v="0"/>
    <n v="0"/>
    <x v="52"/>
  </r>
  <r>
    <n v="54"/>
    <n v="22"/>
    <n v="0"/>
    <n v="0"/>
    <n v="0"/>
    <n v="0"/>
    <x v="53"/>
  </r>
  <r>
    <n v="55"/>
    <n v="6"/>
    <n v="0"/>
    <n v="0"/>
    <n v="0"/>
    <n v="0"/>
    <x v="54"/>
  </r>
  <r>
    <n v="56"/>
    <n v="10"/>
    <n v="0"/>
    <n v="0"/>
    <n v="0"/>
    <n v="0"/>
    <x v="55"/>
  </r>
  <r>
    <n v="57"/>
    <n v="14"/>
    <n v="0"/>
    <n v="0"/>
    <n v="0"/>
    <n v="0"/>
    <x v="56"/>
  </r>
  <r>
    <n v="58"/>
    <n v="23"/>
    <n v="0"/>
    <n v="0"/>
    <n v="0"/>
    <n v="0"/>
    <x v="57"/>
  </r>
  <r>
    <n v="59"/>
    <n v="40"/>
    <n v="0"/>
    <n v="0"/>
    <n v="0"/>
    <n v="0"/>
    <x v="58"/>
  </r>
  <r>
    <n v="60"/>
    <n v="18"/>
    <n v="0"/>
    <n v="0"/>
    <n v="0"/>
    <n v="0"/>
    <x v="59"/>
  </r>
  <r>
    <n v="61"/>
    <n v="15"/>
    <n v="0"/>
    <n v="0"/>
    <n v="0"/>
    <n v="0"/>
    <x v="60"/>
  </r>
  <r>
    <n v="62"/>
    <n v="41"/>
    <n v="0"/>
    <n v="0"/>
    <n v="0"/>
    <n v="0"/>
    <x v="61"/>
  </r>
  <r>
    <n v="63"/>
    <n v="30"/>
    <n v="0"/>
    <n v="0"/>
    <n v="0"/>
    <n v="0"/>
    <x v="62"/>
  </r>
  <r>
    <n v="64"/>
    <n v="23"/>
    <n v="0"/>
    <n v="0"/>
    <n v="0"/>
    <n v="0"/>
    <x v="63"/>
  </r>
  <r>
    <n v="65"/>
    <n v="17"/>
    <n v="0"/>
    <n v="0"/>
    <n v="0"/>
    <n v="0"/>
    <x v="64"/>
  </r>
  <r>
    <n v="66"/>
    <n v="28"/>
    <n v="0"/>
    <n v="0"/>
    <n v="0"/>
    <n v="0"/>
    <x v="65"/>
  </r>
  <r>
    <n v="67"/>
    <n v="33"/>
    <n v="0"/>
    <n v="0"/>
    <n v="0"/>
    <n v="0"/>
    <x v="66"/>
  </r>
  <r>
    <n v="68"/>
    <n v="28"/>
    <n v="0"/>
    <n v="0"/>
    <n v="0"/>
    <n v="0"/>
    <x v="67"/>
  </r>
  <r>
    <n v="69"/>
    <n v="17"/>
    <n v="0"/>
    <n v="0"/>
    <n v="0"/>
    <n v="0"/>
    <x v="68"/>
  </r>
  <r>
    <n v="70"/>
    <n v="55"/>
    <n v="0"/>
    <n v="0"/>
    <n v="0"/>
    <n v="0"/>
    <x v="69"/>
  </r>
  <r>
    <n v="71"/>
    <n v="15"/>
    <n v="0"/>
    <n v="0"/>
    <n v="0"/>
    <n v="0"/>
    <x v="70"/>
  </r>
  <r>
    <n v="72"/>
    <n v="35"/>
    <n v="0"/>
    <n v="0"/>
    <n v="0"/>
    <n v="0"/>
    <x v="71"/>
  </r>
  <r>
    <n v="73"/>
    <n v="50"/>
    <n v="0"/>
    <n v="0"/>
    <n v="0"/>
    <n v="0"/>
    <x v="72"/>
  </r>
  <r>
    <n v="74"/>
    <n v="39"/>
    <n v="0"/>
    <n v="0"/>
    <n v="0"/>
    <n v="0"/>
    <x v="73"/>
  </r>
  <r>
    <n v="75"/>
    <n v="50"/>
    <n v="0"/>
    <n v="0"/>
    <n v="0"/>
    <n v="0"/>
    <x v="74"/>
  </r>
  <r>
    <n v="76"/>
    <n v="35"/>
    <n v="0"/>
    <n v="0"/>
    <n v="0"/>
    <n v="0"/>
    <x v="75"/>
  </r>
  <r>
    <n v="77"/>
    <n v="45"/>
    <n v="0"/>
    <n v="0"/>
    <n v="0"/>
    <n v="0"/>
    <x v="76"/>
  </r>
  <r>
    <n v="78"/>
    <n v="69"/>
    <n v="0"/>
    <n v="0"/>
    <n v="0"/>
    <n v="0"/>
    <x v="77"/>
  </r>
  <r>
    <n v="79"/>
    <n v="38"/>
    <n v="0"/>
    <n v="0"/>
    <n v="0"/>
    <n v="0"/>
    <x v="78"/>
  </r>
  <r>
    <n v="80"/>
    <n v="23"/>
    <n v="0"/>
    <n v="0"/>
    <n v="0"/>
    <n v="0"/>
    <x v="79"/>
  </r>
  <r>
    <n v="81"/>
    <n v="19"/>
    <n v="0"/>
    <n v="0"/>
    <n v="0"/>
    <n v="0"/>
    <x v="80"/>
  </r>
  <r>
    <n v="82"/>
    <n v="42"/>
    <n v="0"/>
    <n v="0"/>
    <n v="0"/>
    <n v="0"/>
    <x v="81"/>
  </r>
  <r>
    <n v="83"/>
    <n v="39"/>
    <n v="0"/>
    <n v="0"/>
    <n v="0"/>
    <n v="0"/>
    <x v="82"/>
  </r>
  <r>
    <n v="84"/>
    <n v="27"/>
    <n v="0"/>
    <n v="0"/>
    <n v="0"/>
    <n v="0"/>
    <x v="83"/>
  </r>
  <r>
    <n v="85"/>
    <n v="19"/>
    <n v="0"/>
    <n v="0"/>
    <n v="0"/>
    <n v="0"/>
    <x v="84"/>
  </r>
  <r>
    <n v="86"/>
    <n v="22"/>
    <n v="0"/>
    <n v="0"/>
    <n v="0"/>
    <n v="0"/>
    <x v="85"/>
  </r>
  <r>
    <n v="87"/>
    <n v="32"/>
    <n v="0"/>
    <n v="0"/>
    <n v="0"/>
    <n v="0"/>
    <x v="86"/>
  </r>
  <r>
    <n v="88"/>
    <n v="27"/>
    <n v="0"/>
    <n v="0"/>
    <n v="0"/>
    <n v="0"/>
    <x v="87"/>
  </r>
  <r>
    <n v="89"/>
    <n v="36"/>
    <n v="0"/>
    <n v="0"/>
    <n v="0"/>
    <n v="0"/>
    <x v="88"/>
  </r>
  <r>
    <n v="90"/>
    <n v="50"/>
    <n v="0"/>
    <n v="0"/>
    <n v="0"/>
    <n v="0"/>
    <x v="89"/>
  </r>
  <r>
    <n v="91"/>
    <n v="27"/>
    <n v="0"/>
    <n v="0"/>
    <n v="0"/>
    <n v="0"/>
    <x v="90"/>
  </r>
  <r>
    <n v="92"/>
    <n v="56"/>
    <n v="0"/>
    <n v="0"/>
    <n v="0"/>
    <n v="0"/>
    <x v="91"/>
  </r>
  <r>
    <n v="93"/>
    <n v="43"/>
    <n v="0"/>
    <n v="0"/>
    <n v="0"/>
    <n v="0"/>
    <x v="92"/>
  </r>
  <r>
    <n v="94"/>
    <n v="37"/>
    <n v="0"/>
    <n v="0"/>
    <n v="0"/>
    <n v="0"/>
    <x v="93"/>
  </r>
  <r>
    <n v="95"/>
    <n v="39"/>
    <n v="0"/>
    <n v="0"/>
    <n v="0"/>
    <n v="0"/>
    <x v="94"/>
  </r>
  <r>
    <n v="96"/>
    <n v="56"/>
    <n v="0"/>
    <n v="0"/>
    <n v="0"/>
    <n v="0"/>
    <x v="95"/>
  </r>
  <r>
    <n v="97"/>
    <n v="38"/>
    <n v="0"/>
    <n v="0"/>
    <n v="0"/>
    <n v="0"/>
    <x v="96"/>
  </r>
  <r>
    <n v="98"/>
    <n v="32"/>
    <n v="0"/>
    <n v="0"/>
    <n v="0"/>
    <n v="0"/>
    <x v="97"/>
  </r>
  <r>
    <n v="99"/>
    <n v="34"/>
    <n v="0"/>
    <n v="0"/>
    <n v="0"/>
    <n v="0"/>
    <x v="98"/>
  </r>
  <r>
    <n v="100"/>
    <n v="40"/>
    <n v="0"/>
    <n v="0"/>
    <n v="0"/>
    <n v="0"/>
    <x v="99"/>
  </r>
  <r>
    <n v="101"/>
    <n v="30"/>
    <n v="0"/>
    <n v="0"/>
    <n v="0"/>
    <n v="0"/>
    <x v="100"/>
  </r>
  <r>
    <n v="102"/>
    <n v="42"/>
    <n v="0"/>
    <n v="0"/>
    <n v="0"/>
    <n v="0"/>
    <x v="101"/>
  </r>
  <r>
    <n v="103"/>
    <n v="31"/>
    <n v="0"/>
    <n v="0"/>
    <n v="0"/>
    <n v="0"/>
    <x v="102"/>
  </r>
  <r>
    <n v="104"/>
    <n v="56"/>
    <n v="0"/>
    <n v="0"/>
    <n v="0"/>
    <n v="0"/>
    <x v="103"/>
  </r>
  <r>
    <n v="105"/>
    <n v="26"/>
    <n v="0"/>
    <n v="0"/>
    <n v="0"/>
    <n v="0"/>
    <x v="104"/>
  </r>
  <r>
    <n v="106"/>
    <n v="42"/>
    <n v="0"/>
    <n v="0"/>
    <n v="0"/>
    <n v="0"/>
    <x v="105"/>
  </r>
  <r>
    <n v="107"/>
    <n v="59"/>
    <n v="0"/>
    <n v="0"/>
    <n v="0"/>
    <n v="0"/>
    <x v="106"/>
  </r>
  <r>
    <n v="108"/>
    <n v="37"/>
    <n v="0"/>
    <n v="0"/>
    <n v="0"/>
    <n v="0"/>
    <x v="107"/>
  </r>
  <r>
    <n v="109"/>
    <n v="50"/>
    <n v="0"/>
    <n v="0"/>
    <n v="0"/>
    <n v="0"/>
    <x v="108"/>
  </r>
  <r>
    <n v="110"/>
    <n v="51"/>
    <n v="0"/>
    <n v="0"/>
    <n v="0"/>
    <n v="0"/>
    <x v="109"/>
  </r>
  <r>
    <n v="111"/>
    <n v="63"/>
    <n v="0"/>
    <n v="0"/>
    <n v="0"/>
    <n v="0"/>
    <x v="110"/>
  </r>
  <r>
    <n v="112"/>
    <n v="53"/>
    <n v="0"/>
    <n v="0"/>
    <n v="0"/>
    <n v="0"/>
    <x v="111"/>
  </r>
  <r>
    <n v="113"/>
    <n v="24"/>
    <n v="0"/>
    <n v="0"/>
    <n v="0"/>
    <n v="0"/>
    <x v="112"/>
  </r>
  <r>
    <n v="114"/>
    <n v="61"/>
    <n v="0"/>
    <n v="0"/>
    <n v="0"/>
    <n v="0"/>
    <x v="113"/>
  </r>
  <r>
    <n v="115"/>
    <n v="44"/>
    <n v="0"/>
    <n v="0"/>
    <n v="0"/>
    <n v="0"/>
    <x v="114"/>
  </r>
  <r>
    <n v="116"/>
    <n v="58"/>
    <n v="0"/>
    <n v="0"/>
    <n v="0"/>
    <n v="0"/>
    <x v="115"/>
  </r>
  <r>
    <n v="117"/>
    <n v="103"/>
    <n v="0"/>
    <n v="0"/>
    <n v="0"/>
    <n v="0"/>
    <x v="116"/>
  </r>
  <r>
    <n v="118"/>
    <n v="22"/>
    <n v="0"/>
    <n v="0"/>
    <n v="0"/>
    <n v="0"/>
    <x v="117"/>
  </r>
  <r>
    <n v="119"/>
    <n v="52"/>
    <n v="0"/>
    <n v="0"/>
    <n v="0"/>
    <n v="0"/>
    <x v="118"/>
  </r>
  <r>
    <n v="120"/>
    <n v="64"/>
    <n v="0"/>
    <n v="0"/>
    <n v="0"/>
    <n v="0"/>
    <x v="119"/>
  </r>
  <r>
    <n v="121"/>
    <n v="55"/>
    <n v="0"/>
    <n v="0"/>
    <n v="0"/>
    <n v="0"/>
    <x v="120"/>
  </r>
  <r>
    <n v="122"/>
    <n v="60"/>
    <n v="0"/>
    <n v="0"/>
    <n v="0"/>
    <n v="0"/>
    <x v="121"/>
  </r>
  <r>
    <n v="123"/>
    <n v="53"/>
    <n v="0"/>
    <n v="0"/>
    <n v="0"/>
    <n v="0"/>
    <x v="122"/>
  </r>
  <r>
    <n v="124"/>
    <n v="58"/>
    <n v="0"/>
    <n v="0"/>
    <n v="0"/>
    <n v="0"/>
    <x v="123"/>
  </r>
  <r>
    <n v="125"/>
    <n v="30"/>
    <n v="0"/>
    <n v="0"/>
    <n v="0"/>
    <n v="0"/>
    <x v="124"/>
  </r>
  <r>
    <n v="126"/>
    <n v="72"/>
    <n v="0"/>
    <n v="0"/>
    <n v="0"/>
    <n v="0"/>
    <x v="125"/>
  </r>
  <r>
    <n v="127"/>
    <n v="53"/>
    <n v="0"/>
    <n v="0"/>
    <n v="0"/>
    <n v="0"/>
    <x v="126"/>
  </r>
  <r>
    <n v="128"/>
    <n v="78"/>
    <n v="0"/>
    <n v="0"/>
    <n v="0"/>
    <n v="0"/>
    <x v="127"/>
  </r>
  <r>
    <n v="129"/>
    <n v="64"/>
    <n v="0"/>
    <n v="0"/>
    <n v="0"/>
    <n v="0"/>
    <x v="128"/>
  </r>
  <r>
    <n v="130"/>
    <n v="62"/>
    <n v="0"/>
    <n v="0"/>
    <n v="0"/>
    <n v="0"/>
    <x v="129"/>
  </r>
  <r>
    <n v="131"/>
    <n v="75"/>
    <n v="0"/>
    <n v="0"/>
    <n v="0"/>
    <n v="0"/>
    <x v="130"/>
  </r>
  <r>
    <n v="132"/>
    <n v="40"/>
    <n v="0"/>
    <n v="0"/>
    <n v="0"/>
    <n v="0"/>
    <x v="131"/>
  </r>
  <r>
    <n v="133"/>
    <n v="129"/>
    <n v="0"/>
    <n v="0"/>
    <n v="0"/>
    <n v="0"/>
    <x v="132"/>
  </r>
  <r>
    <n v="134"/>
    <n v="64"/>
    <n v="0"/>
    <n v="0"/>
    <n v="0"/>
    <n v="0"/>
    <x v="133"/>
  </r>
  <r>
    <n v="135"/>
    <n v="79"/>
    <n v="0"/>
    <n v="0"/>
    <n v="0"/>
    <n v="0"/>
    <x v="134"/>
  </r>
  <r>
    <n v="136"/>
    <n v="69"/>
    <n v="0"/>
    <n v="0"/>
    <n v="0"/>
    <n v="0"/>
    <x v="135"/>
  </r>
  <r>
    <n v="137"/>
    <n v="49"/>
    <n v="0"/>
    <n v="0"/>
    <n v="0"/>
    <n v="0"/>
    <x v="136"/>
  </r>
  <r>
    <n v="138"/>
    <n v="45"/>
    <n v="0"/>
    <n v="0"/>
    <n v="0"/>
    <n v="0"/>
    <x v="137"/>
  </r>
  <r>
    <n v="139"/>
    <n v="43"/>
    <n v="0"/>
    <n v="0"/>
    <n v="0"/>
    <n v="0"/>
    <x v="138"/>
  </r>
  <r>
    <n v="140"/>
    <n v="62"/>
    <n v="0"/>
    <n v="0"/>
    <n v="0"/>
    <n v="0"/>
    <x v="139"/>
  </r>
  <r>
    <n v="141"/>
    <n v="52"/>
    <n v="0"/>
    <n v="0"/>
    <n v="0"/>
    <n v="0"/>
    <x v="140"/>
  </r>
  <r>
    <n v="142"/>
    <n v="48"/>
    <n v="0"/>
    <n v="0"/>
    <n v="0"/>
    <n v="0"/>
    <x v="141"/>
  </r>
  <r>
    <n v="143"/>
    <n v="83"/>
    <n v="0"/>
    <n v="0"/>
    <n v="0"/>
    <n v="0"/>
    <x v="142"/>
  </r>
  <r>
    <n v="144"/>
    <n v="45"/>
    <n v="0"/>
    <n v="0"/>
    <n v="0"/>
    <n v="0"/>
    <x v="143"/>
  </r>
  <r>
    <n v="145"/>
    <n v="42"/>
    <n v="0"/>
    <n v="0"/>
    <n v="0"/>
    <n v="0"/>
    <x v="144"/>
  </r>
  <r>
    <n v="146"/>
    <n v="83"/>
    <n v="0"/>
    <n v="0"/>
    <n v="0"/>
    <n v="0"/>
    <x v="145"/>
  </r>
  <r>
    <n v="147"/>
    <n v="57"/>
    <n v="0"/>
    <n v="0"/>
    <n v="0"/>
    <n v="0"/>
    <x v="146"/>
  </r>
  <r>
    <n v="148"/>
    <n v="61"/>
    <n v="0"/>
    <n v="0"/>
    <n v="0"/>
    <n v="0"/>
    <x v="147"/>
  </r>
  <r>
    <n v="149"/>
    <n v="81"/>
    <n v="0"/>
    <n v="0"/>
    <n v="0"/>
    <n v="0"/>
    <x v="148"/>
  </r>
  <r>
    <n v="150"/>
    <n v="59"/>
    <n v="0"/>
    <n v="0"/>
    <n v="0"/>
    <n v="0"/>
    <x v="149"/>
  </r>
  <r>
    <n v="151"/>
    <n v="51"/>
    <n v="0"/>
    <n v="0"/>
    <n v="0"/>
    <n v="0"/>
    <x v="150"/>
  </r>
  <r>
    <n v="152"/>
    <n v="68"/>
    <n v="0"/>
    <n v="0"/>
    <n v="0"/>
    <n v="0"/>
    <x v="151"/>
  </r>
  <r>
    <n v="153"/>
    <n v="101"/>
    <n v="0"/>
    <n v="0"/>
    <n v="0"/>
    <n v="0"/>
    <x v="152"/>
  </r>
  <r>
    <n v="154"/>
    <n v="80"/>
    <n v="0"/>
    <n v="0"/>
    <n v="0"/>
    <n v="0"/>
    <x v="153"/>
  </r>
  <r>
    <n v="155"/>
    <n v="43"/>
    <n v="0"/>
    <n v="0"/>
    <n v="0"/>
    <n v="0"/>
    <x v="154"/>
  </r>
  <r>
    <n v="156"/>
    <n v="64"/>
    <n v="0"/>
    <n v="0"/>
    <n v="0"/>
    <n v="0"/>
    <x v="155"/>
  </r>
  <r>
    <n v="157"/>
    <n v="89"/>
    <n v="0"/>
    <n v="0"/>
    <n v="0"/>
    <n v="0"/>
    <x v="156"/>
  </r>
  <r>
    <n v="158"/>
    <n v="94"/>
    <n v="0"/>
    <n v="0"/>
    <n v="0"/>
    <n v="0"/>
    <x v="157"/>
  </r>
  <r>
    <n v="159"/>
    <n v="49"/>
    <n v="0"/>
    <n v="0"/>
    <n v="0"/>
    <n v="0"/>
    <x v="158"/>
  </r>
  <r>
    <n v="160"/>
    <n v="77"/>
    <n v="0"/>
    <n v="0"/>
    <n v="0"/>
    <n v="0"/>
    <x v="159"/>
  </r>
  <r>
    <n v="161"/>
    <n v="74"/>
    <n v="0"/>
    <n v="0"/>
    <n v="0"/>
    <n v="0"/>
    <x v="160"/>
  </r>
  <r>
    <n v="162"/>
    <n v="56"/>
    <n v="0"/>
    <n v="0"/>
    <n v="0"/>
    <n v="0"/>
    <x v="161"/>
  </r>
  <r>
    <n v="163"/>
    <n v="54"/>
    <n v="0"/>
    <n v="0"/>
    <n v="0"/>
    <n v="0"/>
    <x v="162"/>
  </r>
  <r>
    <n v="164"/>
    <n v="67"/>
    <n v="0"/>
    <n v="0"/>
    <n v="0"/>
    <n v="0"/>
    <x v="163"/>
  </r>
  <r>
    <n v="165"/>
    <n v="83"/>
    <n v="0"/>
    <n v="0"/>
    <n v="0"/>
    <n v="0"/>
    <x v="164"/>
  </r>
  <r>
    <n v="166"/>
    <n v="56"/>
    <n v="0"/>
    <n v="0"/>
    <n v="0"/>
    <n v="0"/>
    <x v="165"/>
  </r>
  <r>
    <n v="167"/>
    <n v="70"/>
    <n v="0"/>
    <n v="0"/>
    <n v="0"/>
    <n v="0"/>
    <x v="166"/>
  </r>
  <r>
    <n v="168"/>
    <n v="58"/>
    <n v="0"/>
    <n v="0"/>
    <n v="0"/>
    <n v="0"/>
    <x v="167"/>
  </r>
  <r>
    <n v="169"/>
    <n v="76"/>
    <n v="0"/>
    <n v="0"/>
    <n v="0"/>
    <n v="0"/>
    <x v="168"/>
  </r>
  <r>
    <n v="170"/>
    <n v="74"/>
    <n v="0"/>
    <n v="0"/>
    <n v="0"/>
    <n v="0"/>
    <x v="169"/>
  </r>
  <r>
    <n v="171"/>
    <n v="46"/>
    <n v="0"/>
    <n v="0"/>
    <n v="0"/>
    <n v="0"/>
    <x v="170"/>
  </r>
  <r>
    <n v="172"/>
    <n v="80"/>
    <n v="0"/>
    <n v="0"/>
    <n v="0"/>
    <n v="0"/>
    <x v="171"/>
  </r>
  <r>
    <n v="173"/>
    <n v="48"/>
    <n v="0"/>
    <n v="0"/>
    <n v="0"/>
    <n v="0"/>
    <x v="172"/>
  </r>
  <r>
    <n v="174"/>
    <n v="67"/>
    <n v="0"/>
    <n v="0"/>
    <n v="0"/>
    <n v="0"/>
    <x v="173"/>
  </r>
  <r>
    <n v="175"/>
    <n v="104"/>
    <n v="0"/>
    <n v="0"/>
    <n v="0"/>
    <n v="0"/>
    <x v="174"/>
  </r>
  <r>
    <n v="176"/>
    <n v="41"/>
    <n v="0"/>
    <n v="0"/>
    <n v="0"/>
    <n v="0"/>
    <x v="175"/>
  </r>
  <r>
    <n v="177"/>
    <n v="81"/>
    <n v="0"/>
    <n v="0"/>
    <n v="0"/>
    <n v="0"/>
    <x v="176"/>
  </r>
  <r>
    <n v="178"/>
    <n v="70"/>
    <n v="0"/>
    <n v="0"/>
    <n v="0"/>
    <n v="0"/>
    <x v="177"/>
  </r>
  <r>
    <n v="179"/>
    <n v="69"/>
    <n v="0"/>
    <n v="0"/>
    <n v="0"/>
    <n v="0"/>
    <x v="178"/>
  </r>
  <r>
    <n v="180"/>
    <n v="133"/>
    <n v="0"/>
    <n v="0"/>
    <n v="0"/>
    <n v="0"/>
    <x v="179"/>
  </r>
  <r>
    <n v="181"/>
    <n v="56"/>
    <n v="0"/>
    <n v="0"/>
    <n v="0"/>
    <n v="0"/>
    <x v="180"/>
  </r>
  <r>
    <n v="182"/>
    <n v="56"/>
    <n v="0"/>
    <n v="0"/>
    <n v="0"/>
    <n v="0"/>
    <x v="181"/>
  </r>
  <r>
    <n v="183"/>
    <n v="88"/>
    <n v="0"/>
    <n v="0"/>
    <n v="0"/>
    <n v="0"/>
    <x v="182"/>
  </r>
  <r>
    <n v="184"/>
    <n v="64"/>
    <n v="0"/>
    <n v="0"/>
    <n v="0"/>
    <n v="0"/>
    <x v="183"/>
  </r>
  <r>
    <n v="185"/>
    <n v="58"/>
    <n v="0"/>
    <n v="0"/>
    <n v="0"/>
    <n v="0"/>
    <x v="184"/>
  </r>
  <r>
    <n v="186"/>
    <n v="80"/>
    <n v="0"/>
    <n v="0"/>
    <n v="0"/>
    <n v="0"/>
    <x v="185"/>
  </r>
  <r>
    <n v="187"/>
    <n v="96"/>
    <n v="0"/>
    <n v="0"/>
    <n v="0"/>
    <n v="0"/>
    <x v="186"/>
  </r>
  <r>
    <n v="188"/>
    <n v="60"/>
    <n v="0"/>
    <n v="0"/>
    <n v="0"/>
    <n v="0"/>
    <x v="187"/>
  </r>
  <r>
    <n v="189"/>
    <n v="100"/>
    <n v="0"/>
    <n v="0"/>
    <n v="0"/>
    <n v="0"/>
    <x v="188"/>
  </r>
  <r>
    <n v="190"/>
    <n v="74"/>
    <n v="0"/>
    <n v="0"/>
    <n v="0"/>
    <n v="0"/>
    <x v="189"/>
  </r>
  <r>
    <n v="191"/>
    <n v="44"/>
    <n v="0"/>
    <n v="0"/>
    <n v="0"/>
    <n v="0"/>
    <x v="190"/>
  </r>
  <r>
    <n v="192"/>
    <n v="77"/>
    <n v="0"/>
    <n v="0"/>
    <n v="0"/>
    <n v="0"/>
    <x v="191"/>
  </r>
  <r>
    <n v="193"/>
    <n v="99"/>
    <n v="0"/>
    <n v="0"/>
    <n v="0"/>
    <n v="0"/>
    <x v="192"/>
  </r>
  <r>
    <n v="194"/>
    <n v="109"/>
    <n v="0"/>
    <n v="0"/>
    <n v="0"/>
    <n v="0"/>
    <x v="193"/>
  </r>
  <r>
    <n v="195"/>
    <n v="62"/>
    <n v="0"/>
    <n v="0"/>
    <n v="0"/>
    <n v="0"/>
    <x v="194"/>
  </r>
  <r>
    <n v="196"/>
    <n v="70"/>
    <n v="0"/>
    <n v="0"/>
    <n v="0"/>
    <n v="0"/>
    <x v="195"/>
  </r>
  <r>
    <n v="197"/>
    <n v="56"/>
    <n v="0"/>
    <n v="0"/>
    <n v="0"/>
    <n v="0"/>
    <x v="196"/>
  </r>
  <r>
    <n v="198"/>
    <n v="74"/>
    <n v="0"/>
    <n v="0"/>
    <n v="0"/>
    <n v="0"/>
    <x v="197"/>
  </r>
  <r>
    <n v="199"/>
    <n v="60"/>
    <n v="0"/>
    <n v="0"/>
    <n v="0"/>
    <n v="0"/>
    <x v="198"/>
  </r>
  <r>
    <n v="200"/>
    <n v="36"/>
    <n v="0"/>
    <n v="0"/>
    <n v="0"/>
    <n v="0"/>
    <x v="199"/>
  </r>
  <r>
    <n v="201"/>
    <n v="72"/>
    <n v="0"/>
    <n v="0"/>
    <n v="0"/>
    <n v="0"/>
    <x v="200"/>
  </r>
  <r>
    <n v="202"/>
    <n v="78"/>
    <n v="0"/>
    <n v="0"/>
    <n v="0"/>
    <n v="0"/>
    <x v="201"/>
  </r>
  <r>
    <n v="203"/>
    <n v="62"/>
    <n v="0"/>
    <n v="0"/>
    <n v="0"/>
    <n v="0"/>
    <x v="202"/>
  </r>
  <r>
    <n v="204"/>
    <n v="84"/>
    <n v="0"/>
    <n v="0"/>
    <n v="0"/>
    <n v="0"/>
    <x v="203"/>
  </r>
  <r>
    <n v="205"/>
    <n v="81"/>
    <n v="0"/>
    <n v="0"/>
    <n v="0"/>
    <n v="0"/>
    <x v="204"/>
  </r>
  <r>
    <n v="206"/>
    <n v="67"/>
    <n v="0"/>
    <n v="0"/>
    <n v="0"/>
    <n v="0"/>
    <x v="205"/>
  </r>
  <r>
    <n v="207"/>
    <n v="92"/>
    <n v="0"/>
    <n v="0"/>
    <n v="0"/>
    <n v="0"/>
    <x v="206"/>
  </r>
  <r>
    <n v="208"/>
    <n v="110"/>
    <n v="0"/>
    <n v="0"/>
    <n v="0"/>
    <n v="0"/>
    <x v="207"/>
  </r>
  <r>
    <n v="209"/>
    <n v="41"/>
    <n v="0"/>
    <n v="0"/>
    <n v="0"/>
    <n v="0"/>
    <x v="208"/>
  </r>
  <r>
    <n v="210"/>
    <n v="57"/>
    <n v="0"/>
    <n v="0"/>
    <n v="0"/>
    <n v="0"/>
    <x v="209"/>
  </r>
  <r>
    <n v="211"/>
    <n v="52"/>
    <n v="0"/>
    <n v="0"/>
    <n v="0"/>
    <n v="0"/>
    <x v="210"/>
  </r>
  <r>
    <n v="212"/>
    <n v="96"/>
    <n v="0"/>
    <n v="0"/>
    <n v="0"/>
    <n v="0"/>
    <x v="211"/>
  </r>
  <r>
    <n v="213"/>
    <n v="65"/>
    <n v="0"/>
    <n v="0"/>
    <n v="0"/>
    <n v="0"/>
    <x v="212"/>
  </r>
  <r>
    <n v="214"/>
    <n v="88"/>
    <n v="0"/>
    <n v="0"/>
    <n v="0"/>
    <n v="0"/>
    <x v="213"/>
  </r>
  <r>
    <n v="215"/>
    <n v="44"/>
    <n v="0"/>
    <n v="0"/>
    <n v="0"/>
    <n v="0"/>
    <x v="214"/>
  </r>
  <r>
    <n v="216"/>
    <n v="65"/>
    <n v="0"/>
    <n v="0"/>
    <n v="0"/>
    <n v="0"/>
    <x v="215"/>
  </r>
  <r>
    <n v="217"/>
    <n v="76"/>
    <n v="0"/>
    <n v="0"/>
    <n v="0"/>
    <n v="0"/>
    <x v="216"/>
  </r>
  <r>
    <n v="218"/>
    <n v="73"/>
    <n v="0"/>
    <n v="0"/>
    <n v="0"/>
    <n v="0"/>
    <x v="217"/>
  </r>
  <r>
    <n v="219"/>
    <n v="64"/>
    <n v="0"/>
    <n v="0"/>
    <n v="0"/>
    <n v="0"/>
    <x v="218"/>
  </r>
  <r>
    <n v="220"/>
    <n v="40"/>
    <n v="0"/>
    <n v="0"/>
    <n v="0"/>
    <n v="0"/>
    <x v="219"/>
  </r>
  <r>
    <n v="221"/>
    <n v="64"/>
    <n v="0"/>
    <n v="0"/>
    <n v="0"/>
    <n v="0"/>
    <x v="220"/>
  </r>
  <r>
    <n v="222"/>
    <n v="56"/>
    <n v="0"/>
    <n v="0"/>
    <n v="0"/>
    <n v="0"/>
    <x v="221"/>
  </r>
  <r>
    <n v="223"/>
    <n v="78"/>
    <n v="0"/>
    <n v="0"/>
    <n v="0"/>
    <n v="0"/>
    <x v="222"/>
  </r>
  <r>
    <n v="224"/>
    <n v="43"/>
    <n v="0"/>
    <n v="0"/>
    <n v="0"/>
    <n v="0"/>
    <x v="223"/>
  </r>
  <r>
    <n v="225"/>
    <n v="78"/>
    <n v="0"/>
    <n v="0"/>
    <n v="0"/>
    <n v="0"/>
    <x v="224"/>
  </r>
  <r>
    <n v="226"/>
    <n v="64"/>
    <n v="0"/>
    <n v="0"/>
    <n v="0"/>
    <n v="0"/>
    <x v="225"/>
  </r>
  <r>
    <n v="227"/>
    <n v="67"/>
    <n v="0"/>
    <n v="0"/>
    <n v="0"/>
    <n v="0"/>
    <x v="226"/>
  </r>
  <r>
    <n v="228"/>
    <n v="80"/>
    <n v="0"/>
    <n v="0"/>
    <n v="0"/>
    <n v="0"/>
    <x v="227"/>
  </r>
  <r>
    <n v="229"/>
    <n v="40"/>
    <n v="0"/>
    <n v="0"/>
    <n v="0"/>
    <n v="0"/>
    <x v="228"/>
  </r>
  <r>
    <n v="230"/>
    <n v="71"/>
    <n v="0"/>
    <n v="0"/>
    <n v="0"/>
    <n v="0"/>
    <x v="229"/>
  </r>
  <r>
    <n v="231"/>
    <n v="84"/>
    <n v="0"/>
    <n v="0"/>
    <n v="0"/>
    <n v="0"/>
    <x v="230"/>
  </r>
  <r>
    <n v="232"/>
    <n v="29"/>
    <n v="0"/>
    <n v="0"/>
    <n v="0"/>
    <n v="0"/>
    <x v="231"/>
  </r>
  <r>
    <n v="233"/>
    <n v="53"/>
    <n v="0"/>
    <n v="0"/>
    <n v="0"/>
    <n v="0"/>
    <x v="232"/>
  </r>
  <r>
    <n v="234"/>
    <n v="72"/>
    <n v="0"/>
    <n v="0"/>
    <n v="0"/>
    <n v="0"/>
    <x v="233"/>
  </r>
  <r>
    <n v="235"/>
    <n v="39"/>
    <n v="0"/>
    <n v="0"/>
    <n v="0"/>
    <n v="0"/>
    <x v="234"/>
  </r>
  <r>
    <n v="236"/>
    <n v="63"/>
    <n v="0"/>
    <n v="0"/>
    <n v="0"/>
    <n v="0"/>
    <x v="235"/>
  </r>
  <r>
    <n v="237"/>
    <n v="83"/>
    <n v="0"/>
    <n v="0"/>
    <n v="0"/>
    <n v="0"/>
    <x v="236"/>
  </r>
  <r>
    <n v="238"/>
    <n v="31"/>
    <n v="0"/>
    <n v="0"/>
    <n v="0"/>
    <n v="0"/>
    <x v="237"/>
  </r>
  <r>
    <n v="239"/>
    <n v="57"/>
    <n v="0"/>
    <n v="0"/>
    <n v="0"/>
    <n v="0"/>
    <x v="238"/>
  </r>
  <r>
    <n v="240"/>
    <n v="44"/>
    <n v="0"/>
    <n v="0"/>
    <n v="0"/>
    <n v="0"/>
    <x v="239"/>
  </r>
  <r>
    <n v="241"/>
    <n v="34"/>
    <n v="0"/>
    <n v="0"/>
    <n v="0"/>
    <n v="0"/>
    <x v="240"/>
  </r>
  <r>
    <n v="242"/>
    <n v="97"/>
    <n v="0"/>
    <n v="0"/>
    <n v="0"/>
    <n v="0"/>
    <x v="241"/>
  </r>
  <r>
    <n v="243"/>
    <n v="30"/>
    <n v="0"/>
    <n v="0"/>
    <n v="0"/>
    <n v="0"/>
    <x v="242"/>
  </r>
  <r>
    <n v="244"/>
    <n v="42"/>
    <n v="0"/>
    <n v="0"/>
    <n v="0"/>
    <n v="0"/>
    <x v="243"/>
  </r>
  <r>
    <n v="245"/>
    <n v="83"/>
    <n v="0"/>
    <n v="0"/>
    <n v="0"/>
    <n v="0"/>
    <x v="244"/>
  </r>
  <r>
    <n v="246"/>
    <n v="29"/>
    <n v="0"/>
    <n v="0"/>
    <n v="0"/>
    <n v="0"/>
    <x v="245"/>
  </r>
  <r>
    <n v="247"/>
    <n v="73"/>
    <n v="0"/>
    <n v="0"/>
    <n v="0"/>
    <n v="0"/>
    <x v="246"/>
  </r>
  <r>
    <n v="248"/>
    <n v="67"/>
    <n v="0"/>
    <n v="0"/>
    <n v="0"/>
    <n v="0"/>
    <x v="247"/>
  </r>
  <r>
    <n v="249"/>
    <n v="42"/>
    <n v="0"/>
    <n v="0"/>
    <n v="0"/>
    <n v="0"/>
    <x v="248"/>
  </r>
  <r>
    <n v="250"/>
    <n v="67"/>
    <n v="0"/>
    <n v="0"/>
    <n v="0"/>
    <n v="0"/>
    <x v="249"/>
  </r>
  <r>
    <n v="251"/>
    <n v="32"/>
    <n v="0"/>
    <n v="0"/>
    <n v="0"/>
    <n v="0"/>
    <x v="250"/>
  </r>
  <r>
    <n v="252"/>
    <n v="37"/>
    <n v="0"/>
    <n v="0"/>
    <n v="0"/>
    <n v="0"/>
    <x v="251"/>
  </r>
  <r>
    <n v="253"/>
    <n v="44"/>
    <n v="0"/>
    <n v="0"/>
    <n v="0"/>
    <n v="0"/>
    <x v="252"/>
  </r>
  <r>
    <n v="254"/>
    <n v="58"/>
    <n v="0"/>
    <n v="0"/>
    <n v="0"/>
    <n v="0"/>
    <x v="253"/>
  </r>
  <r>
    <n v="255"/>
    <n v="50"/>
    <n v="0"/>
    <n v="0"/>
    <n v="0"/>
    <n v="0"/>
    <x v="254"/>
  </r>
  <r>
    <n v="256"/>
    <n v="34"/>
    <n v="0"/>
    <n v="0"/>
    <n v="0"/>
    <n v="0"/>
    <x v="255"/>
  </r>
  <r>
    <n v="257"/>
    <n v="69"/>
    <n v="0"/>
    <n v="0"/>
    <n v="0"/>
    <n v="0"/>
    <x v="256"/>
  </r>
  <r>
    <n v="258"/>
    <n v="47"/>
    <n v="0"/>
    <n v="0"/>
    <n v="0"/>
    <n v="0"/>
    <x v="257"/>
  </r>
  <r>
    <n v="259"/>
    <n v="44"/>
    <n v="0"/>
    <n v="0"/>
    <n v="0"/>
    <n v="0"/>
    <x v="258"/>
  </r>
  <r>
    <n v="260"/>
    <n v="46"/>
    <n v="0"/>
    <n v="0"/>
    <n v="0"/>
    <n v="0"/>
    <x v="259"/>
  </r>
  <r>
    <n v="261"/>
    <n v="45"/>
    <n v="0"/>
    <n v="0"/>
    <n v="0"/>
    <n v="0"/>
    <x v="260"/>
  </r>
  <r>
    <n v="262"/>
    <n v="77"/>
    <n v="0"/>
    <n v="0"/>
    <n v="0"/>
    <n v="0"/>
    <x v="261"/>
  </r>
  <r>
    <n v="263"/>
    <n v="74"/>
    <n v="0"/>
    <n v="0"/>
    <n v="0"/>
    <n v="0"/>
    <x v="262"/>
  </r>
  <r>
    <n v="264"/>
    <n v="42"/>
    <n v="0"/>
    <n v="0"/>
    <n v="0"/>
    <n v="0"/>
    <x v="263"/>
  </r>
  <r>
    <n v="265"/>
    <n v="22"/>
    <n v="0"/>
    <n v="0"/>
    <n v="0"/>
    <n v="0"/>
    <x v="264"/>
  </r>
  <r>
    <n v="266"/>
    <n v="88"/>
    <n v="0"/>
    <n v="0"/>
    <n v="0"/>
    <n v="0"/>
    <x v="265"/>
  </r>
  <r>
    <n v="267"/>
    <n v="70"/>
    <n v="0"/>
    <n v="0"/>
    <n v="0"/>
    <n v="0"/>
    <x v="266"/>
  </r>
  <r>
    <n v="268"/>
    <n v="43"/>
    <n v="0"/>
    <n v="0"/>
    <n v="0"/>
    <n v="0"/>
    <x v="267"/>
  </r>
  <r>
    <n v="269"/>
    <n v="47"/>
    <n v="0"/>
    <n v="0"/>
    <n v="0"/>
    <n v="0"/>
    <x v="268"/>
  </r>
  <r>
    <n v="270"/>
    <n v="46"/>
    <n v="0"/>
    <n v="0"/>
    <n v="0"/>
    <n v="0"/>
    <x v="269"/>
  </r>
  <r>
    <n v="271"/>
    <n v="44"/>
    <n v="0"/>
    <n v="0"/>
    <n v="0"/>
    <n v="0"/>
    <x v="270"/>
  </r>
  <r>
    <n v="272"/>
    <n v="53"/>
    <n v="0"/>
    <n v="0"/>
    <n v="0"/>
    <n v="0"/>
    <x v="271"/>
  </r>
  <r>
    <n v="273"/>
    <n v="38"/>
    <n v="0"/>
    <n v="0"/>
    <n v="0"/>
    <n v="0"/>
    <x v="272"/>
  </r>
  <r>
    <n v="274"/>
    <n v="44"/>
    <n v="0"/>
    <n v="0"/>
    <n v="0"/>
    <n v="0"/>
    <x v="273"/>
  </r>
  <r>
    <n v="275"/>
    <n v="37"/>
    <n v="0"/>
    <n v="0"/>
    <n v="0"/>
    <n v="0"/>
    <x v="274"/>
  </r>
  <r>
    <n v="276"/>
    <n v="10"/>
    <n v="0"/>
    <n v="0"/>
    <n v="0"/>
    <n v="0"/>
    <x v="275"/>
  </r>
  <r>
    <n v="277"/>
    <n v="40"/>
    <n v="0"/>
    <n v="0"/>
    <n v="0"/>
    <n v="0"/>
    <x v="276"/>
  </r>
  <r>
    <n v="278"/>
    <n v="26"/>
    <n v="0"/>
    <n v="0"/>
    <n v="0"/>
    <n v="0"/>
    <x v="277"/>
  </r>
  <r>
    <n v="279"/>
    <n v="16"/>
    <n v="0"/>
    <n v="0"/>
    <n v="0"/>
    <n v="0"/>
    <x v="278"/>
  </r>
  <r>
    <n v="280"/>
    <n v="24"/>
    <n v="0"/>
    <n v="0"/>
    <n v="0"/>
    <n v="0"/>
    <x v="279"/>
  </r>
  <r>
    <n v="281"/>
    <n v="38"/>
    <n v="0"/>
    <n v="0"/>
    <n v="0"/>
    <n v="0"/>
    <x v="280"/>
  </r>
  <r>
    <n v="282"/>
    <n v="33"/>
    <n v="0"/>
    <n v="0"/>
    <n v="0"/>
    <n v="0"/>
    <x v="281"/>
  </r>
  <r>
    <n v="283"/>
    <n v="38"/>
    <n v="0"/>
    <n v="0"/>
    <n v="0"/>
    <n v="0"/>
    <x v="282"/>
  </r>
  <r>
    <n v="284"/>
    <n v="67"/>
    <n v="0"/>
    <n v="0"/>
    <n v="0"/>
    <n v="0"/>
    <x v="283"/>
  </r>
  <r>
    <n v="285"/>
    <n v="22"/>
    <n v="0"/>
    <n v="0"/>
    <n v="0"/>
    <n v="0"/>
    <x v="284"/>
  </r>
  <r>
    <n v="286"/>
    <n v="12"/>
    <n v="0"/>
    <n v="0"/>
    <n v="0"/>
    <n v="0"/>
    <x v="285"/>
  </r>
  <r>
    <n v="287"/>
    <n v="33"/>
    <n v="0"/>
    <n v="0"/>
    <n v="0"/>
    <n v="0"/>
    <x v="286"/>
  </r>
  <r>
    <n v="288"/>
    <n v="33"/>
    <n v="0"/>
    <n v="0"/>
    <n v="0"/>
    <n v="0"/>
    <x v="287"/>
  </r>
  <r>
    <n v="289"/>
    <n v="44"/>
    <n v="0"/>
    <n v="0"/>
    <n v="0"/>
    <n v="0"/>
    <x v="288"/>
  </r>
  <r>
    <n v="290"/>
    <n v="27"/>
    <n v="0"/>
    <n v="0"/>
    <n v="0"/>
    <n v="0"/>
    <x v="289"/>
  </r>
  <r>
    <n v="291"/>
    <n v="58"/>
    <n v="0"/>
    <n v="0"/>
    <n v="0"/>
    <n v="0"/>
    <x v="290"/>
  </r>
  <r>
    <n v="292"/>
    <n v="20"/>
    <n v="0"/>
    <n v="0"/>
    <n v="0"/>
    <n v="0"/>
    <x v="291"/>
  </r>
  <r>
    <n v="293"/>
    <n v="29"/>
    <n v="0"/>
    <n v="0"/>
    <n v="0"/>
    <n v="0"/>
    <x v="292"/>
  </r>
  <r>
    <n v="294"/>
    <n v="18"/>
    <n v="0"/>
    <n v="0"/>
    <n v="0"/>
    <n v="0"/>
    <x v="293"/>
  </r>
  <r>
    <n v="295"/>
    <n v="62"/>
    <n v="0"/>
    <n v="0"/>
    <n v="0"/>
    <n v="0"/>
    <x v="294"/>
  </r>
  <r>
    <n v="296"/>
    <n v="10"/>
    <n v="0"/>
    <n v="0"/>
    <n v="0"/>
    <n v="0"/>
    <x v="295"/>
  </r>
  <r>
    <n v="297"/>
    <n v="4"/>
    <n v="0"/>
    <n v="0"/>
    <n v="0"/>
    <n v="0"/>
    <x v="296"/>
  </r>
  <r>
    <n v="298"/>
    <n v="23"/>
    <n v="0"/>
    <n v="0"/>
    <n v="0"/>
    <n v="0"/>
    <x v="297"/>
  </r>
  <r>
    <n v="299"/>
    <n v="14"/>
    <n v="0"/>
    <n v="0"/>
    <n v="0"/>
    <n v="0"/>
    <x v="298"/>
  </r>
  <r>
    <n v="300"/>
    <n v="34"/>
    <n v="0"/>
    <n v="0"/>
    <n v="0"/>
    <n v="0"/>
    <x v="299"/>
  </r>
  <r>
    <n v="301"/>
    <n v="10"/>
    <n v="0"/>
    <n v="0"/>
    <n v="0"/>
    <n v="0"/>
    <x v="300"/>
  </r>
  <r>
    <n v="302"/>
    <n v="10"/>
    <n v="0"/>
    <n v="0"/>
    <n v="0"/>
    <n v="0"/>
    <x v="301"/>
  </r>
  <r>
    <n v="303"/>
    <n v="14"/>
    <n v="0"/>
    <n v="0"/>
    <n v="0"/>
    <n v="0"/>
    <x v="302"/>
  </r>
  <r>
    <n v="304"/>
    <n v="16"/>
    <n v="0"/>
    <n v="0"/>
    <n v="0"/>
    <n v="0"/>
    <x v="303"/>
  </r>
  <r>
    <n v="305"/>
    <n v="10"/>
    <n v="0"/>
    <n v="0"/>
    <n v="0"/>
    <n v="0"/>
    <x v="304"/>
  </r>
  <r>
    <n v="306"/>
    <n v="18"/>
    <n v="0"/>
    <n v="0"/>
    <n v="0"/>
    <n v="0"/>
    <x v="305"/>
  </r>
  <r>
    <n v="307"/>
    <n v="12"/>
    <n v="0"/>
    <n v="0"/>
    <n v="0"/>
    <n v="0"/>
    <x v="306"/>
  </r>
  <r>
    <n v="308"/>
    <n v="36"/>
    <n v="0"/>
    <n v="0"/>
    <n v="0"/>
    <n v="0"/>
    <x v="307"/>
  </r>
  <r>
    <n v="309"/>
    <n v="20"/>
    <n v="0"/>
    <n v="0"/>
    <n v="0"/>
    <n v="0"/>
    <x v="308"/>
  </r>
  <r>
    <n v="310"/>
    <n v="3"/>
    <n v="0"/>
    <n v="0"/>
    <n v="0"/>
    <n v="0"/>
    <x v="309"/>
  </r>
  <r>
    <n v="311"/>
    <n v="12"/>
    <n v="0"/>
    <n v="0"/>
    <n v="0"/>
    <n v="0"/>
    <x v="310"/>
  </r>
  <r>
    <n v="312"/>
    <n v="18"/>
    <n v="0"/>
    <n v="0"/>
    <n v="0"/>
    <n v="0"/>
    <x v="311"/>
  </r>
  <r>
    <n v="313"/>
    <n v="9"/>
    <n v="0"/>
    <n v="0"/>
    <n v="0"/>
    <n v="0"/>
    <x v="312"/>
  </r>
  <r>
    <n v="314"/>
    <n v="6"/>
    <n v="0"/>
    <n v="0"/>
    <n v="0"/>
    <n v="0"/>
    <x v="313"/>
  </r>
  <r>
    <n v="315"/>
    <n v="26"/>
    <n v="0"/>
    <n v="0"/>
    <n v="0"/>
    <n v="0"/>
    <x v="314"/>
  </r>
  <r>
    <n v="316"/>
    <n v="13"/>
    <n v="0"/>
    <n v="0"/>
    <n v="0"/>
    <n v="0"/>
    <x v="315"/>
  </r>
  <r>
    <n v="317"/>
    <n v="16"/>
    <n v="0"/>
    <n v="0"/>
    <n v="0"/>
    <n v="0"/>
    <x v="316"/>
  </r>
  <r>
    <n v="318"/>
    <n v="10"/>
    <n v="0"/>
    <n v="0"/>
    <n v="0"/>
    <n v="0"/>
    <x v="317"/>
  </r>
  <r>
    <n v="319"/>
    <n v="7"/>
    <n v="0"/>
    <n v="0"/>
    <n v="0"/>
    <n v="0"/>
    <x v="318"/>
  </r>
  <r>
    <n v="320"/>
    <n v="6"/>
    <n v="0"/>
    <n v="0"/>
    <n v="0"/>
    <n v="0"/>
    <x v="319"/>
  </r>
  <r>
    <n v="321"/>
    <n v="20"/>
    <n v="0"/>
    <n v="0"/>
    <n v="0"/>
    <n v="0"/>
    <x v="320"/>
  </r>
  <r>
    <n v="322"/>
    <n v="13"/>
    <n v="0"/>
    <n v="0"/>
    <n v="0"/>
    <n v="0"/>
    <x v="321"/>
  </r>
  <r>
    <n v="323"/>
    <n v="6"/>
    <n v="0"/>
    <n v="0"/>
    <n v="0"/>
    <n v="0"/>
    <x v="322"/>
  </r>
  <r>
    <n v="324"/>
    <n v="38"/>
    <n v="0"/>
    <n v="0"/>
    <n v="0"/>
    <n v="0"/>
    <x v="323"/>
  </r>
  <r>
    <n v="325"/>
    <n v="18"/>
    <n v="0"/>
    <n v="0"/>
    <n v="0"/>
    <n v="0"/>
    <x v="324"/>
  </r>
  <r>
    <n v="326"/>
    <n v="7"/>
    <n v="0"/>
    <n v="0"/>
    <n v="0"/>
    <n v="0"/>
    <x v="325"/>
  </r>
  <r>
    <n v="327"/>
    <n v="6"/>
    <n v="0"/>
    <n v="0"/>
    <n v="0"/>
    <n v="0"/>
    <x v="326"/>
  </r>
  <r>
    <n v="328"/>
    <n v="5"/>
    <n v="0"/>
    <n v="0"/>
    <n v="0"/>
    <n v="0"/>
    <x v="327"/>
  </r>
  <r>
    <n v="329"/>
    <n v="13"/>
    <n v="0"/>
    <n v="0"/>
    <n v="0"/>
    <n v="0"/>
    <x v="328"/>
  </r>
  <r>
    <n v="330"/>
    <n v="19"/>
    <n v="0"/>
    <n v="0"/>
    <n v="0"/>
    <n v="0"/>
    <x v="329"/>
  </r>
  <r>
    <n v="331"/>
    <n v="24"/>
    <n v="0"/>
    <n v="0"/>
    <n v="0"/>
    <n v="0"/>
    <x v="330"/>
  </r>
  <r>
    <n v="332"/>
    <n v="6"/>
    <n v="0"/>
    <n v="0"/>
    <n v="0"/>
    <n v="0"/>
    <x v="331"/>
  </r>
  <r>
    <n v="333"/>
    <n v="18"/>
    <n v="0"/>
    <n v="0"/>
    <n v="0"/>
    <n v="0"/>
    <x v="332"/>
  </r>
  <r>
    <n v="334"/>
    <n v="2"/>
    <n v="0"/>
    <n v="0"/>
    <n v="0"/>
    <n v="0"/>
    <x v="333"/>
  </r>
  <r>
    <n v="335"/>
    <n v="10"/>
    <n v="0"/>
    <n v="0"/>
    <n v="0"/>
    <n v="0"/>
    <x v="334"/>
  </r>
  <r>
    <n v="336"/>
    <n v="12"/>
    <n v="0"/>
    <n v="0"/>
    <n v="0"/>
    <n v="0"/>
    <x v="335"/>
  </r>
  <r>
    <n v="337"/>
    <n v="11"/>
    <n v="0"/>
    <n v="0"/>
    <n v="0"/>
    <n v="0"/>
    <x v="336"/>
  </r>
  <r>
    <n v="338"/>
    <n v="5"/>
    <n v="0"/>
    <n v="0"/>
    <n v="0"/>
    <n v="0"/>
    <x v="337"/>
  </r>
  <r>
    <n v="339"/>
    <n v="4"/>
    <n v="0"/>
    <n v="0"/>
    <n v="0"/>
    <n v="0"/>
    <x v="338"/>
  </r>
  <r>
    <n v="340"/>
    <n v="26"/>
    <n v="0"/>
    <n v="0"/>
    <n v="0"/>
    <n v="0"/>
    <x v="339"/>
  </r>
  <r>
    <n v="341"/>
    <n v="2"/>
    <n v="0"/>
    <n v="0"/>
    <n v="0"/>
    <n v="0"/>
    <x v="340"/>
  </r>
  <r>
    <n v="342"/>
    <n v="14"/>
    <n v="0"/>
    <n v="0"/>
    <n v="0"/>
    <n v="0"/>
    <x v="341"/>
  </r>
  <r>
    <n v="343"/>
    <n v="31"/>
    <n v="0"/>
    <n v="0"/>
    <n v="0"/>
    <n v="0"/>
    <x v="342"/>
  </r>
  <r>
    <n v="344"/>
    <n v="28"/>
    <n v="0"/>
    <n v="0"/>
    <n v="0"/>
    <n v="0"/>
    <x v="343"/>
  </r>
  <r>
    <n v="345"/>
    <n v="5"/>
    <n v="0"/>
    <n v="0"/>
    <n v="0"/>
    <n v="0"/>
    <x v="344"/>
  </r>
  <r>
    <n v="346"/>
    <n v="3"/>
    <n v="0"/>
    <n v="0"/>
    <n v="0"/>
    <n v="0"/>
    <x v="345"/>
  </r>
  <r>
    <n v="347"/>
    <n v="4"/>
    <n v="0"/>
    <n v="0"/>
    <n v="0"/>
    <n v="0"/>
    <x v="346"/>
  </r>
  <r>
    <n v="348"/>
    <n v="4"/>
    <n v="0"/>
    <n v="0"/>
    <n v="0"/>
    <n v="0"/>
    <x v="347"/>
  </r>
  <r>
    <n v="349"/>
    <n v="10"/>
    <n v="0"/>
    <n v="0"/>
    <n v="0"/>
    <n v="0"/>
    <x v="348"/>
  </r>
  <r>
    <n v="350"/>
    <n v="3"/>
    <n v="0"/>
    <n v="0"/>
    <n v="0"/>
    <n v="0"/>
    <x v="349"/>
  </r>
  <r>
    <n v="351"/>
    <n v="2"/>
    <n v="0"/>
    <n v="0"/>
    <n v="0"/>
    <n v="0"/>
    <x v="350"/>
  </r>
  <r>
    <n v="352"/>
    <n v="3"/>
    <n v="0"/>
    <n v="0"/>
    <n v="0"/>
    <n v="0"/>
    <x v="351"/>
  </r>
  <r>
    <n v="353"/>
    <n v="29"/>
    <n v="0"/>
    <n v="0"/>
    <n v="0"/>
    <n v="0"/>
    <x v="352"/>
  </r>
  <r>
    <n v="354"/>
    <n v="15"/>
    <n v="0"/>
    <n v="0"/>
    <n v="0"/>
    <n v="0"/>
    <x v="353"/>
  </r>
  <r>
    <n v="355"/>
    <n v="4"/>
    <n v="0"/>
    <n v="0"/>
    <n v="0"/>
    <n v="0"/>
    <x v="354"/>
  </r>
  <r>
    <n v="356"/>
    <n v="5"/>
    <n v="0"/>
    <n v="0"/>
    <n v="0"/>
    <n v="0"/>
    <x v="355"/>
  </r>
  <r>
    <n v="357"/>
    <n v="7"/>
    <n v="0"/>
    <n v="0"/>
    <n v="0"/>
    <n v="0"/>
    <x v="356"/>
  </r>
  <r>
    <n v="358"/>
    <n v="1"/>
    <n v="0"/>
    <n v="0"/>
    <n v="0"/>
    <n v="0"/>
    <x v="357"/>
  </r>
  <r>
    <n v="359"/>
    <n v="41"/>
    <n v="0"/>
    <n v="0"/>
    <n v="0"/>
    <n v="0"/>
    <x v="358"/>
  </r>
  <r>
    <n v="360"/>
    <n v="3"/>
    <n v="0"/>
    <n v="0"/>
    <n v="0"/>
    <n v="0"/>
    <x v="359"/>
  </r>
  <r>
    <n v="361"/>
    <n v="3"/>
    <n v="0"/>
    <n v="0"/>
    <n v="0"/>
    <n v="0"/>
    <x v="360"/>
  </r>
  <r>
    <n v="362"/>
    <n v="6"/>
    <n v="0"/>
    <n v="0"/>
    <n v="0"/>
    <n v="0"/>
    <x v="361"/>
  </r>
  <r>
    <n v="363"/>
    <n v="12"/>
    <n v="0"/>
    <n v="0"/>
    <n v="0"/>
    <n v="0"/>
    <x v="362"/>
  </r>
  <r>
    <n v="364"/>
    <n v="10"/>
    <n v="0"/>
    <n v="0"/>
    <n v="0"/>
    <n v="0"/>
    <x v="363"/>
  </r>
  <r>
    <n v="365"/>
    <n v="14"/>
    <n v="0"/>
    <n v="0"/>
    <n v="0"/>
    <n v="0"/>
    <x v="364"/>
  </r>
  <r>
    <n v="366"/>
    <n v="5"/>
    <n v="0"/>
    <n v="0"/>
    <n v="0"/>
    <n v="0"/>
    <x v="365"/>
  </r>
  <r>
    <n v="367"/>
    <n v="4"/>
    <n v="0"/>
    <n v="0"/>
    <n v="0"/>
    <n v="0"/>
    <x v="366"/>
  </r>
  <r>
    <n v="368"/>
    <n v="9"/>
    <n v="0"/>
    <n v="0"/>
    <n v="0"/>
    <n v="0"/>
    <x v="367"/>
  </r>
  <r>
    <n v="369"/>
    <n v="9"/>
    <n v="0"/>
    <n v="0"/>
    <n v="0"/>
    <n v="0"/>
    <x v="368"/>
  </r>
  <r>
    <n v="370"/>
    <n v="1"/>
    <n v="0"/>
    <n v="0"/>
    <n v="0"/>
    <n v="0"/>
    <x v="369"/>
  </r>
  <r>
    <n v="371"/>
    <n v="29"/>
    <n v="0"/>
    <n v="0"/>
    <n v="0"/>
    <n v="0"/>
    <x v="370"/>
  </r>
  <r>
    <n v="372"/>
    <n v="6"/>
    <n v="0"/>
    <n v="0"/>
    <n v="0"/>
    <n v="0"/>
    <x v="371"/>
  </r>
  <r>
    <n v="373"/>
    <n v="4"/>
    <n v="0"/>
    <n v="0"/>
    <n v="0"/>
    <n v="0"/>
    <x v="372"/>
  </r>
  <r>
    <n v="374"/>
    <n v="1"/>
    <n v="0"/>
    <n v="0"/>
    <n v="0"/>
    <n v="0"/>
    <x v="373"/>
  </r>
  <r>
    <n v="375"/>
    <n v="13"/>
    <n v="0"/>
    <n v="0"/>
    <n v="0"/>
    <n v="0"/>
    <x v="374"/>
  </r>
  <r>
    <n v="376"/>
    <n v="2"/>
    <n v="0"/>
    <n v="0"/>
    <n v="0"/>
    <n v="0"/>
    <x v="375"/>
  </r>
  <r>
    <n v="377"/>
    <n v="2"/>
    <n v="0"/>
    <n v="0"/>
    <n v="0"/>
    <n v="0"/>
    <x v="376"/>
  </r>
  <r>
    <n v="378"/>
    <n v="26"/>
    <n v="0"/>
    <n v="0"/>
    <n v="0"/>
    <n v="0"/>
    <x v="377"/>
  </r>
  <r>
    <n v="379"/>
    <n v="6"/>
    <n v="0"/>
    <n v="0"/>
    <n v="0"/>
    <n v="0"/>
    <x v="378"/>
  </r>
  <r>
    <n v="380"/>
    <n v="2"/>
    <n v="0"/>
    <n v="0"/>
    <n v="0"/>
    <n v="0"/>
    <x v="379"/>
  </r>
  <r>
    <n v="381"/>
    <n v="18"/>
    <n v="0"/>
    <n v="0"/>
    <n v="0"/>
    <n v="0"/>
    <x v="380"/>
  </r>
  <r>
    <n v="382"/>
    <n v="11"/>
    <n v="0"/>
    <n v="0"/>
    <n v="0"/>
    <n v="0"/>
    <x v="381"/>
  </r>
  <r>
    <n v="383"/>
    <n v="9"/>
    <n v="0"/>
    <n v="0"/>
    <n v="0"/>
    <n v="0"/>
    <x v="382"/>
  </r>
  <r>
    <n v="384"/>
    <n v="7"/>
    <n v="0"/>
    <n v="0"/>
    <n v="0"/>
    <n v="0"/>
    <x v="383"/>
  </r>
  <r>
    <n v="385"/>
    <n v="31"/>
    <n v="0"/>
    <n v="0"/>
    <n v="0"/>
    <n v="0"/>
    <x v="384"/>
  </r>
  <r>
    <n v="386"/>
    <n v="18"/>
    <n v="0"/>
    <n v="0"/>
    <n v="0"/>
    <n v="0"/>
    <x v="385"/>
  </r>
  <r>
    <n v="387"/>
    <n v="30"/>
    <n v="0"/>
    <n v="0"/>
    <n v="0"/>
    <n v="0"/>
    <x v="386"/>
  </r>
  <r>
    <n v="388"/>
    <n v="2"/>
    <n v="0"/>
    <n v="0"/>
    <n v="0"/>
    <n v="0"/>
    <x v="387"/>
  </r>
  <r>
    <n v="389"/>
    <n v="8"/>
    <n v="0"/>
    <n v="0"/>
    <n v="0"/>
    <n v="0"/>
    <x v="388"/>
  </r>
  <r>
    <n v="390"/>
    <n v="15"/>
    <n v="0"/>
    <n v="0"/>
    <n v="0"/>
    <n v="0"/>
    <x v="389"/>
  </r>
  <r>
    <n v="391"/>
    <n v="26"/>
    <n v="0"/>
    <n v="0"/>
    <n v="0"/>
    <n v="0"/>
    <x v="390"/>
  </r>
  <r>
    <n v="392"/>
    <n v="6"/>
    <n v="0"/>
    <n v="0"/>
    <n v="0"/>
    <n v="0"/>
    <x v="391"/>
  </r>
  <r>
    <n v="393"/>
    <n v="16"/>
    <n v="0"/>
    <n v="0"/>
    <n v="0"/>
    <n v="0"/>
    <x v="392"/>
  </r>
  <r>
    <n v="394"/>
    <n v="13"/>
    <n v="0"/>
    <n v="0"/>
    <n v="0"/>
    <n v="0"/>
    <x v="393"/>
  </r>
  <r>
    <n v="395"/>
    <n v="10"/>
    <n v="0"/>
    <n v="0"/>
    <n v="0"/>
    <n v="0"/>
    <x v="394"/>
  </r>
  <r>
    <n v="396"/>
    <n v="4"/>
    <n v="0"/>
    <n v="0"/>
    <n v="0"/>
    <n v="0"/>
    <x v="395"/>
  </r>
  <r>
    <n v="397"/>
    <n v="21"/>
    <n v="0"/>
    <n v="0"/>
    <n v="0"/>
    <n v="0"/>
    <x v="396"/>
  </r>
  <r>
    <n v="398"/>
    <n v="11"/>
    <n v="0"/>
    <n v="0"/>
    <n v="0"/>
    <n v="0"/>
    <x v="397"/>
  </r>
  <r>
    <n v="399"/>
    <n v="5"/>
    <n v="0"/>
    <n v="0"/>
    <n v="0"/>
    <n v="0"/>
    <x v="398"/>
  </r>
  <r>
    <n v="400"/>
    <n v="4"/>
    <n v="0"/>
    <n v="0"/>
    <n v="0"/>
    <n v="0"/>
    <x v="399"/>
  </r>
  <r>
    <n v="401"/>
    <n v="18"/>
    <n v="0"/>
    <n v="0"/>
    <n v="0"/>
    <n v="0"/>
    <x v="400"/>
  </r>
  <r>
    <n v="402"/>
    <n v="21"/>
    <n v="0"/>
    <n v="0"/>
    <n v="0"/>
    <n v="0"/>
    <x v="401"/>
  </r>
  <r>
    <n v="403"/>
    <n v="24"/>
    <n v="0"/>
    <n v="0"/>
    <n v="0"/>
    <n v="0"/>
    <x v="402"/>
  </r>
  <r>
    <n v="404"/>
    <n v="4"/>
    <n v="0"/>
    <n v="0"/>
    <n v="0"/>
    <n v="0"/>
    <x v="403"/>
  </r>
  <r>
    <n v="405"/>
    <n v="5"/>
    <n v="0"/>
    <n v="0"/>
    <n v="0"/>
    <n v="0"/>
    <x v="404"/>
  </r>
  <r>
    <n v="406"/>
    <n v="12"/>
    <n v="0"/>
    <n v="0"/>
    <n v="0"/>
    <n v="0"/>
    <x v="405"/>
  </r>
  <r>
    <n v="407"/>
    <n v="18"/>
    <n v="0"/>
    <n v="0"/>
    <n v="0"/>
    <n v="0"/>
    <x v="406"/>
  </r>
  <r>
    <n v="408"/>
    <n v="10"/>
    <n v="0"/>
    <n v="0"/>
    <n v="0"/>
    <n v="0"/>
    <x v="407"/>
  </r>
  <r>
    <n v="409"/>
    <n v="9"/>
    <n v="0"/>
    <n v="0"/>
    <n v="0"/>
    <n v="0"/>
    <x v="408"/>
  </r>
  <r>
    <n v="410"/>
    <n v="33"/>
    <n v="0"/>
    <n v="0"/>
    <n v="0"/>
    <n v="0"/>
    <x v="409"/>
  </r>
  <r>
    <n v="411"/>
    <n v="22"/>
    <n v="0"/>
    <n v="0"/>
    <n v="0"/>
    <n v="0"/>
    <x v="410"/>
  </r>
  <r>
    <n v="412"/>
    <n v="63"/>
    <n v="0"/>
    <n v="0"/>
    <n v="0"/>
    <n v="0"/>
    <x v="411"/>
  </r>
  <r>
    <n v="413"/>
    <n v="25"/>
    <n v="0"/>
    <n v="0"/>
    <n v="0"/>
    <n v="0"/>
    <x v="412"/>
  </r>
  <r>
    <n v="414"/>
    <n v="19"/>
    <n v="0"/>
    <n v="0"/>
    <n v="0"/>
    <n v="0"/>
    <x v="413"/>
  </r>
  <r>
    <n v="415"/>
    <n v="20"/>
    <n v="0"/>
    <n v="0"/>
    <n v="0"/>
    <n v="0"/>
    <x v="414"/>
  </r>
  <r>
    <n v="416"/>
    <n v="15"/>
    <n v="0"/>
    <n v="0"/>
    <n v="0"/>
    <n v="0"/>
    <x v="415"/>
  </r>
  <r>
    <n v="417"/>
    <n v="21"/>
    <n v="0"/>
    <n v="0"/>
    <n v="0"/>
    <n v="0"/>
    <x v="416"/>
  </r>
  <r>
    <n v="418"/>
    <n v="25"/>
    <n v="0"/>
    <n v="0"/>
    <n v="0"/>
    <n v="0"/>
    <x v="417"/>
  </r>
  <r>
    <n v="419"/>
    <n v="15"/>
    <n v="0"/>
    <n v="0"/>
    <n v="0"/>
    <n v="0"/>
    <x v="418"/>
  </r>
  <r>
    <n v="420"/>
    <n v="23"/>
    <n v="0"/>
    <n v="0"/>
    <n v="0"/>
    <n v="0"/>
    <x v="419"/>
  </r>
  <r>
    <n v="421"/>
    <n v="16"/>
    <n v="0"/>
    <n v="0"/>
    <n v="0"/>
    <n v="0"/>
    <x v="420"/>
  </r>
  <r>
    <n v="422"/>
    <n v="19"/>
    <n v="0"/>
    <n v="0"/>
    <n v="0"/>
    <n v="0"/>
    <x v="421"/>
  </r>
  <r>
    <n v="423"/>
    <n v="18"/>
    <n v="0"/>
    <n v="0"/>
    <n v="0"/>
    <n v="0"/>
    <x v="422"/>
  </r>
  <r>
    <n v="424"/>
    <n v="22"/>
    <n v="0"/>
    <n v="0"/>
    <n v="0"/>
    <n v="0"/>
    <x v="423"/>
  </r>
  <r>
    <n v="425"/>
    <n v="23"/>
    <n v="0"/>
    <n v="0"/>
    <n v="0"/>
    <n v="0"/>
    <x v="424"/>
  </r>
  <r>
    <n v="426"/>
    <n v="27"/>
    <n v="0"/>
    <n v="0"/>
    <n v="0"/>
    <n v="0"/>
    <x v="425"/>
  </r>
  <r>
    <n v="427"/>
    <n v="19"/>
    <n v="0"/>
    <n v="0"/>
    <n v="0"/>
    <n v="0"/>
    <x v="426"/>
  </r>
  <r>
    <n v="428"/>
    <n v="47"/>
    <n v="0"/>
    <n v="0"/>
    <n v="0"/>
    <n v="0"/>
    <x v="427"/>
  </r>
  <r>
    <n v="429"/>
    <n v="15"/>
    <n v="0"/>
    <n v="0"/>
    <n v="0"/>
    <n v="0"/>
    <x v="428"/>
  </r>
  <r>
    <n v="430"/>
    <n v="5"/>
    <n v="0"/>
    <n v="0"/>
    <n v="0"/>
    <n v="0"/>
    <x v="429"/>
  </r>
  <r>
    <n v="431"/>
    <n v="17"/>
    <n v="0"/>
    <n v="0"/>
    <n v="0"/>
    <n v="0"/>
    <x v="430"/>
  </r>
  <r>
    <n v="432"/>
    <n v="39"/>
    <n v="0"/>
    <n v="0"/>
    <n v="0"/>
    <n v="0"/>
    <x v="431"/>
  </r>
  <r>
    <n v="433"/>
    <n v="16"/>
    <n v="0"/>
    <n v="0"/>
    <n v="0"/>
    <n v="0"/>
    <x v="432"/>
  </r>
  <r>
    <n v="434"/>
    <n v="43"/>
    <n v="0"/>
    <n v="0"/>
    <n v="0"/>
    <n v="0"/>
    <x v="433"/>
  </r>
  <r>
    <n v="435"/>
    <n v="19"/>
    <n v="0"/>
    <n v="0"/>
    <n v="0"/>
    <n v="0"/>
    <x v="434"/>
  </r>
  <r>
    <n v="436"/>
    <n v="51"/>
    <n v="0"/>
    <n v="0"/>
    <n v="0"/>
    <n v="0"/>
    <x v="435"/>
  </r>
  <r>
    <n v="437"/>
    <n v="27"/>
    <n v="0"/>
    <n v="0"/>
    <n v="0"/>
    <n v="0"/>
    <x v="436"/>
  </r>
  <r>
    <n v="438"/>
    <n v="28"/>
    <n v="0"/>
    <n v="0"/>
    <n v="0"/>
    <n v="0"/>
    <x v="437"/>
  </r>
  <r>
    <n v="439"/>
    <n v="48"/>
    <n v="0"/>
    <n v="0"/>
    <n v="0"/>
    <n v="0"/>
    <x v="438"/>
  </r>
  <r>
    <n v="440"/>
    <n v="14"/>
    <n v="0"/>
    <n v="0"/>
    <n v="0"/>
    <n v="0"/>
    <x v="439"/>
  </r>
  <r>
    <n v="441"/>
    <n v="26"/>
    <n v="0"/>
    <n v="0"/>
    <n v="0"/>
    <n v="0"/>
    <x v="440"/>
  </r>
  <r>
    <n v="442"/>
    <n v="46"/>
    <n v="0"/>
    <n v="0"/>
    <n v="0"/>
    <n v="0"/>
    <x v="441"/>
  </r>
  <r>
    <n v="443"/>
    <n v="38"/>
    <n v="0"/>
    <n v="0"/>
    <n v="0"/>
    <n v="0"/>
    <x v="442"/>
  </r>
  <r>
    <n v="444"/>
    <n v="13"/>
    <n v="0"/>
    <n v="0"/>
    <n v="0"/>
    <n v="0"/>
    <x v="443"/>
  </r>
  <r>
    <n v="445"/>
    <n v="19"/>
    <n v="0"/>
    <n v="0"/>
    <n v="0"/>
    <n v="0"/>
    <x v="444"/>
  </r>
  <r>
    <n v="446"/>
    <n v="48"/>
    <n v="0"/>
    <n v="0"/>
    <n v="0"/>
    <n v="0"/>
    <x v="445"/>
  </r>
  <r>
    <n v="447"/>
    <n v="37"/>
    <n v="0"/>
    <n v="0"/>
    <n v="0"/>
    <n v="0"/>
    <x v="446"/>
  </r>
  <r>
    <n v="448"/>
    <n v="49"/>
    <n v="0"/>
    <n v="0"/>
    <n v="0"/>
    <n v="0"/>
    <x v="447"/>
  </r>
  <r>
    <n v="449"/>
    <n v="40"/>
    <n v="0"/>
    <n v="0"/>
    <n v="0"/>
    <n v="0"/>
    <x v="448"/>
  </r>
  <r>
    <n v="450"/>
    <n v="49"/>
    <n v="0"/>
    <n v="0"/>
    <n v="0"/>
    <n v="0"/>
    <x v="449"/>
  </r>
  <r>
    <n v="451"/>
    <n v="37"/>
    <n v="0"/>
    <n v="0"/>
    <n v="0"/>
    <n v="0"/>
    <x v="450"/>
  </r>
  <r>
    <n v="452"/>
    <n v="38"/>
    <n v="0"/>
    <n v="0"/>
    <n v="0"/>
    <n v="0"/>
    <x v="451"/>
  </r>
  <r>
    <n v="453"/>
    <n v="46"/>
    <n v="0"/>
    <n v="0"/>
    <n v="0"/>
    <n v="0"/>
    <x v="452"/>
  </r>
  <r>
    <n v="454"/>
    <n v="31"/>
    <n v="0"/>
    <n v="0"/>
    <n v="0"/>
    <n v="0"/>
    <x v="453"/>
  </r>
  <r>
    <n v="455"/>
    <n v="41"/>
    <n v="0"/>
    <n v="0"/>
    <n v="0"/>
    <n v="0"/>
    <x v="454"/>
  </r>
  <r>
    <n v="456"/>
    <n v="16"/>
    <n v="0"/>
    <n v="0"/>
    <n v="0"/>
    <n v="0"/>
    <x v="455"/>
  </r>
  <r>
    <n v="457"/>
    <n v="23"/>
    <n v="0"/>
    <n v="0"/>
    <n v="0"/>
    <n v="0"/>
    <x v="456"/>
  </r>
  <r>
    <n v="458"/>
    <n v="26"/>
    <n v="0"/>
    <n v="0"/>
    <n v="0"/>
    <n v="0"/>
    <x v="457"/>
  </r>
  <r>
    <n v="459"/>
    <n v="40"/>
    <n v="0"/>
    <n v="0"/>
    <n v="0"/>
    <n v="0"/>
    <x v="458"/>
  </r>
  <r>
    <n v="460"/>
    <n v="47"/>
    <n v="0"/>
    <n v="0"/>
    <n v="0"/>
    <n v="0"/>
    <x v="459"/>
  </r>
  <r>
    <n v="461"/>
    <n v="25"/>
    <n v="0"/>
    <n v="0"/>
    <n v="0"/>
    <n v="0"/>
    <x v="460"/>
  </r>
  <r>
    <n v="462"/>
    <n v="26"/>
    <n v="0"/>
    <n v="0"/>
    <n v="0"/>
    <n v="0"/>
    <x v="461"/>
  </r>
  <r>
    <n v="463"/>
    <n v="51"/>
    <n v="0"/>
    <n v="0"/>
    <n v="0"/>
    <n v="0"/>
    <x v="462"/>
  </r>
  <r>
    <n v="464"/>
    <n v="28"/>
    <n v="0"/>
    <n v="0"/>
    <n v="0"/>
    <n v="0"/>
    <x v="463"/>
  </r>
  <r>
    <n v="465"/>
    <n v="46"/>
    <n v="0"/>
    <n v="0"/>
    <n v="0"/>
    <n v="0"/>
    <x v="464"/>
  </r>
  <r>
    <n v="466"/>
    <n v="45"/>
    <n v="0"/>
    <n v="0"/>
    <n v="0"/>
    <n v="0"/>
    <x v="465"/>
  </r>
  <r>
    <n v="467"/>
    <n v="43"/>
    <n v="0"/>
    <n v="0"/>
    <n v="0"/>
    <n v="0"/>
    <x v="466"/>
  </r>
  <r>
    <n v="468"/>
    <n v="26"/>
    <n v="0"/>
    <n v="0"/>
    <n v="0"/>
    <n v="0"/>
    <x v="467"/>
  </r>
  <r>
    <n v="469"/>
    <n v="50"/>
    <n v="0"/>
    <n v="0"/>
    <n v="0"/>
    <n v="0"/>
    <x v="468"/>
  </r>
  <r>
    <n v="470"/>
    <n v="26"/>
    <n v="0"/>
    <n v="0"/>
    <n v="0"/>
    <n v="0"/>
    <x v="469"/>
  </r>
  <r>
    <n v="471"/>
    <n v="64"/>
    <n v="0"/>
    <n v="0"/>
    <n v="0"/>
    <n v="0"/>
    <x v="470"/>
  </r>
  <r>
    <n v="472"/>
    <n v="33"/>
    <n v="0"/>
    <n v="0"/>
    <n v="0"/>
    <n v="0"/>
    <x v="471"/>
  </r>
  <r>
    <n v="473"/>
    <n v="57"/>
    <n v="0"/>
    <n v="0"/>
    <n v="0"/>
    <n v="0"/>
    <x v="472"/>
  </r>
  <r>
    <n v="474"/>
    <n v="38"/>
    <n v="0"/>
    <n v="0"/>
    <n v="0"/>
    <n v="0"/>
    <x v="473"/>
  </r>
  <r>
    <n v="475"/>
    <n v="36"/>
    <n v="0"/>
    <n v="0"/>
    <n v="0"/>
    <n v="0"/>
    <x v="474"/>
  </r>
  <r>
    <n v="476"/>
    <n v="40"/>
    <n v="0"/>
    <n v="0"/>
    <n v="0"/>
    <n v="0"/>
    <x v="475"/>
  </r>
  <r>
    <n v="477"/>
    <n v="36"/>
    <n v="0"/>
    <n v="0"/>
    <n v="0"/>
    <n v="0"/>
    <x v="476"/>
  </r>
  <r>
    <n v="478"/>
    <n v="79"/>
    <n v="0"/>
    <n v="0"/>
    <n v="0"/>
    <n v="0"/>
    <x v="477"/>
  </r>
  <r>
    <n v="479"/>
    <n v="43"/>
    <n v="0"/>
    <n v="0"/>
    <n v="0"/>
    <n v="0"/>
    <x v="478"/>
  </r>
  <r>
    <n v="480"/>
    <n v="47"/>
    <n v="0"/>
    <n v="0"/>
    <n v="0"/>
    <n v="0"/>
    <x v="479"/>
  </r>
  <r>
    <n v="481"/>
    <n v="57"/>
    <n v="0"/>
    <n v="0"/>
    <n v="0"/>
    <n v="0"/>
    <x v="480"/>
  </r>
  <r>
    <n v="482"/>
    <n v="37"/>
    <n v="0"/>
    <n v="0"/>
    <n v="0"/>
    <n v="0"/>
    <x v="481"/>
  </r>
  <r>
    <n v="483"/>
    <n v="30"/>
    <n v="0"/>
    <n v="0"/>
    <n v="0"/>
    <n v="0"/>
    <x v="482"/>
  </r>
  <r>
    <n v="484"/>
    <n v="38"/>
    <n v="0"/>
    <n v="0"/>
    <n v="0"/>
    <n v="0"/>
    <x v="483"/>
  </r>
  <r>
    <n v="485"/>
    <n v="79"/>
    <n v="0"/>
    <n v="0"/>
    <n v="0"/>
    <n v="0"/>
    <x v="484"/>
  </r>
  <r>
    <n v="486"/>
    <n v="46"/>
    <n v="0"/>
    <n v="0"/>
    <n v="0"/>
    <n v="0"/>
    <x v="485"/>
  </r>
  <r>
    <n v="487"/>
    <n v="42"/>
    <n v="0"/>
    <n v="0"/>
    <n v="0"/>
    <n v="0"/>
    <x v="486"/>
  </r>
  <r>
    <n v="488"/>
    <n v="43"/>
    <n v="0"/>
    <n v="0"/>
    <n v="0"/>
    <n v="0"/>
    <x v="487"/>
  </r>
  <r>
    <n v="489"/>
    <n v="58"/>
    <n v="0"/>
    <n v="0"/>
    <n v="0"/>
    <n v="0"/>
    <x v="488"/>
  </r>
  <r>
    <n v="490"/>
    <n v="49"/>
    <n v="0"/>
    <n v="0"/>
    <n v="0"/>
    <n v="0"/>
    <x v="489"/>
  </r>
  <r>
    <n v="491"/>
    <n v="42"/>
    <n v="0"/>
    <n v="0"/>
    <n v="0"/>
    <n v="0"/>
    <x v="490"/>
  </r>
  <r>
    <n v="492"/>
    <n v="59"/>
    <n v="0"/>
    <n v="0"/>
    <n v="0"/>
    <n v="0"/>
    <x v="491"/>
  </r>
  <r>
    <n v="493"/>
    <n v="72"/>
    <n v="0"/>
    <n v="0"/>
    <n v="0"/>
    <n v="0"/>
    <x v="492"/>
  </r>
  <r>
    <n v="494"/>
    <n v="48"/>
    <n v="0"/>
    <n v="0"/>
    <n v="0"/>
    <n v="0"/>
    <x v="493"/>
  </r>
  <r>
    <n v="495"/>
    <n v="55"/>
    <n v="0"/>
    <n v="0"/>
    <n v="0"/>
    <n v="0"/>
    <x v="494"/>
  </r>
  <r>
    <n v="496"/>
    <n v="59"/>
    <n v="0"/>
    <n v="0"/>
    <n v="0"/>
    <n v="0"/>
    <x v="495"/>
  </r>
  <r>
    <n v="497"/>
    <n v="32"/>
    <n v="0"/>
    <n v="0"/>
    <n v="0"/>
    <n v="0"/>
    <x v="496"/>
  </r>
  <r>
    <n v="498"/>
    <n v="32"/>
    <n v="0"/>
    <n v="0"/>
    <n v="0"/>
    <n v="0"/>
    <x v="497"/>
  </r>
  <r>
    <n v="499"/>
    <n v="92"/>
    <n v="0"/>
    <n v="0"/>
    <n v="0"/>
    <n v="0"/>
    <x v="498"/>
  </r>
  <r>
    <n v="500"/>
    <n v="51"/>
    <n v="0"/>
    <n v="0"/>
    <n v="0"/>
    <n v="0"/>
    <x v="499"/>
  </r>
  <r>
    <n v="501"/>
    <n v="39"/>
    <n v="0"/>
    <n v="0"/>
    <n v="0"/>
    <n v="0"/>
    <x v="500"/>
  </r>
  <r>
    <n v="502"/>
    <n v="24"/>
    <n v="0"/>
    <n v="0"/>
    <n v="0"/>
    <n v="0"/>
    <x v="501"/>
  </r>
  <r>
    <n v="503"/>
    <n v="71"/>
    <n v="0"/>
    <n v="0"/>
    <n v="0"/>
    <n v="0"/>
    <x v="502"/>
  </r>
  <r>
    <n v="504"/>
    <n v="88"/>
    <n v="0"/>
    <n v="0"/>
    <n v="0"/>
    <n v="0"/>
    <x v="503"/>
  </r>
  <r>
    <n v="505"/>
    <n v="38"/>
    <n v="0"/>
    <n v="0"/>
    <n v="0"/>
    <n v="0"/>
    <x v="504"/>
  </r>
  <r>
    <n v="506"/>
    <n v="59"/>
    <n v="0"/>
    <n v="0"/>
    <n v="0"/>
    <n v="0"/>
    <x v="505"/>
  </r>
  <r>
    <n v="507"/>
    <n v="55"/>
    <n v="0"/>
    <n v="0"/>
    <n v="0"/>
    <n v="0"/>
    <x v="506"/>
  </r>
  <r>
    <n v="508"/>
    <n v="55"/>
    <n v="0"/>
    <n v="0"/>
    <n v="0"/>
    <n v="0"/>
    <x v="507"/>
  </r>
  <r>
    <n v="509"/>
    <n v="75"/>
    <n v="0"/>
    <n v="0"/>
    <n v="0"/>
    <n v="0"/>
    <x v="508"/>
  </r>
  <r>
    <n v="510"/>
    <n v="28"/>
    <n v="0"/>
    <n v="0"/>
    <n v="0"/>
    <n v="0"/>
    <x v="509"/>
  </r>
  <r>
    <n v="511"/>
    <n v="90"/>
    <n v="0"/>
    <n v="0"/>
    <n v="0"/>
    <n v="0"/>
    <x v="510"/>
  </r>
  <r>
    <n v="512"/>
    <n v="27"/>
    <n v="0"/>
    <n v="0"/>
    <n v="0"/>
    <n v="0"/>
    <x v="511"/>
  </r>
  <r>
    <n v="513"/>
    <n v="32"/>
    <n v="0"/>
    <n v="0"/>
    <n v="0"/>
    <n v="0"/>
    <x v="512"/>
  </r>
  <r>
    <n v="514"/>
    <n v="58"/>
    <n v="0"/>
    <n v="0"/>
    <n v="0"/>
    <n v="0"/>
    <x v="513"/>
  </r>
  <r>
    <n v="515"/>
    <n v="78"/>
    <n v="0"/>
    <n v="0"/>
    <n v="0"/>
    <n v="0"/>
    <x v="514"/>
  </r>
  <r>
    <n v="516"/>
    <n v="48"/>
    <n v="0"/>
    <n v="0"/>
    <n v="0"/>
    <n v="0"/>
    <x v="515"/>
  </r>
  <r>
    <n v="517"/>
    <n v="97"/>
    <n v="0"/>
    <n v="0"/>
    <n v="0"/>
    <n v="0"/>
    <x v="516"/>
  </r>
  <r>
    <n v="518"/>
    <n v="106"/>
    <n v="0"/>
    <n v="0"/>
    <n v="0"/>
    <n v="0"/>
    <x v="517"/>
  </r>
  <r>
    <n v="519"/>
    <n v="53"/>
    <n v="0"/>
    <n v="0"/>
    <n v="0"/>
    <n v="0"/>
    <x v="518"/>
  </r>
  <r>
    <n v="520"/>
    <n v="43"/>
    <n v="0"/>
    <n v="0"/>
    <n v="0"/>
    <n v="0"/>
    <x v="519"/>
  </r>
  <r>
    <n v="521"/>
    <n v="59"/>
    <n v="0"/>
    <n v="0"/>
    <n v="0"/>
    <n v="0"/>
    <x v="520"/>
  </r>
  <r>
    <n v="522"/>
    <n v="28"/>
    <n v="0"/>
    <n v="0"/>
    <n v="0"/>
    <n v="0"/>
    <x v="521"/>
  </r>
  <r>
    <n v="523"/>
    <n v="70"/>
    <n v="0"/>
    <n v="0"/>
    <n v="0"/>
    <n v="0"/>
    <x v="522"/>
  </r>
  <r>
    <n v="524"/>
    <n v="72"/>
    <n v="0"/>
    <n v="0"/>
    <n v="0"/>
    <n v="0"/>
    <x v="523"/>
  </r>
  <r>
    <n v="525"/>
    <n v="80"/>
    <n v="0"/>
    <n v="0"/>
    <n v="0"/>
    <n v="0"/>
    <x v="524"/>
  </r>
  <r>
    <n v="526"/>
    <n v="53"/>
    <n v="0"/>
    <n v="0"/>
    <n v="0"/>
    <n v="0"/>
    <x v="525"/>
  </r>
  <r>
    <n v="527"/>
    <n v="52"/>
    <n v="0"/>
    <n v="0"/>
    <n v="0"/>
    <n v="0"/>
    <x v="526"/>
  </r>
  <r>
    <n v="528"/>
    <n v="64"/>
    <n v="0"/>
    <n v="0"/>
    <n v="0"/>
    <n v="0"/>
    <x v="527"/>
  </r>
  <r>
    <n v="529"/>
    <n v="66"/>
    <n v="0"/>
    <n v="0"/>
    <n v="0"/>
    <n v="0"/>
    <x v="528"/>
  </r>
  <r>
    <n v="530"/>
    <n v="62"/>
    <n v="0"/>
    <n v="0"/>
    <n v="0"/>
    <n v="0"/>
    <x v="529"/>
  </r>
  <r>
    <n v="531"/>
    <n v="66"/>
    <n v="0"/>
    <n v="0"/>
    <n v="0"/>
    <n v="0"/>
    <x v="530"/>
  </r>
  <r>
    <n v="532"/>
    <n v="94"/>
    <n v="0"/>
    <n v="0"/>
    <n v="0"/>
    <n v="0"/>
    <x v="531"/>
  </r>
  <r>
    <n v="533"/>
    <n v="88"/>
    <n v="0"/>
    <n v="0"/>
    <n v="0"/>
    <n v="0"/>
    <x v="532"/>
  </r>
  <r>
    <n v="534"/>
    <n v="37"/>
    <n v="0"/>
    <n v="0"/>
    <n v="0"/>
    <n v="0"/>
    <x v="533"/>
  </r>
  <r>
    <n v="535"/>
    <n v="71"/>
    <n v="0"/>
    <n v="0"/>
    <n v="0"/>
    <n v="0"/>
    <x v="534"/>
  </r>
  <r>
    <n v="536"/>
    <n v="89"/>
    <n v="0"/>
    <n v="0"/>
    <n v="0"/>
    <n v="0"/>
    <x v="535"/>
  </r>
  <r>
    <n v="537"/>
    <n v="83"/>
    <n v="0"/>
    <n v="0"/>
    <n v="0"/>
    <n v="0"/>
    <x v="536"/>
  </r>
  <r>
    <n v="538"/>
    <n v="72"/>
    <n v="0"/>
    <n v="0"/>
    <n v="0"/>
    <n v="0"/>
    <x v="537"/>
  </r>
  <r>
    <n v="539"/>
    <n v="86"/>
    <n v="0"/>
    <n v="0"/>
    <n v="0"/>
    <n v="0"/>
    <x v="538"/>
  </r>
  <r>
    <n v="540"/>
    <n v="53"/>
    <n v="0"/>
    <n v="0"/>
    <n v="0"/>
    <n v="0"/>
    <x v="539"/>
  </r>
  <r>
    <n v="541"/>
    <n v="72"/>
    <n v="0"/>
    <n v="0"/>
    <n v="0"/>
    <n v="0"/>
    <x v="540"/>
  </r>
  <r>
    <n v="542"/>
    <n v="107"/>
    <n v="0"/>
    <n v="0"/>
    <n v="0"/>
    <n v="0"/>
    <x v="541"/>
  </r>
  <r>
    <n v="543"/>
    <n v="42"/>
    <n v="0"/>
    <n v="0"/>
    <n v="0"/>
    <n v="0"/>
    <x v="542"/>
  </r>
  <r>
    <n v="544"/>
    <n v="76"/>
    <n v="0"/>
    <n v="0"/>
    <n v="0"/>
    <n v="0"/>
    <x v="543"/>
  </r>
  <r>
    <n v="545"/>
    <n v="44"/>
    <n v="0"/>
    <n v="0"/>
    <n v="0"/>
    <n v="0"/>
    <x v="544"/>
  </r>
  <r>
    <n v="546"/>
    <n v="45"/>
    <n v="0"/>
    <n v="0"/>
    <n v="0"/>
    <n v="0"/>
    <x v="545"/>
  </r>
  <r>
    <n v="547"/>
    <n v="63"/>
    <n v="0"/>
    <n v="0"/>
    <n v="0"/>
    <n v="0"/>
    <x v="546"/>
  </r>
  <r>
    <n v="548"/>
    <n v="53"/>
    <n v="0"/>
    <n v="0"/>
    <n v="0"/>
    <n v="0"/>
    <x v="547"/>
  </r>
  <r>
    <n v="549"/>
    <n v="98"/>
    <n v="0"/>
    <n v="0"/>
    <n v="0"/>
    <n v="0"/>
    <x v="548"/>
  </r>
  <r>
    <n v="550"/>
    <n v="89"/>
    <n v="0"/>
    <n v="0"/>
    <n v="0"/>
    <n v="0"/>
    <x v="549"/>
  </r>
  <r>
    <n v="551"/>
    <n v="92"/>
    <n v="0"/>
    <n v="0"/>
    <n v="0"/>
    <n v="0"/>
    <x v="550"/>
  </r>
  <r>
    <n v="552"/>
    <n v="51"/>
    <n v="0"/>
    <n v="0"/>
    <n v="0"/>
    <n v="0"/>
    <x v="551"/>
  </r>
  <r>
    <n v="553"/>
    <n v="79"/>
    <n v="0"/>
    <n v="0"/>
    <n v="0"/>
    <n v="0"/>
    <x v="552"/>
  </r>
  <r>
    <n v="554"/>
    <n v="95"/>
    <n v="0"/>
    <n v="0"/>
    <n v="0"/>
    <n v="0"/>
    <x v="553"/>
  </r>
  <r>
    <n v="555"/>
    <n v="108"/>
    <n v="0"/>
    <n v="0"/>
    <n v="0"/>
    <n v="0"/>
    <x v="554"/>
  </r>
  <r>
    <n v="556"/>
    <n v="61"/>
    <n v="0"/>
    <n v="0"/>
    <n v="0"/>
    <n v="0"/>
    <x v="555"/>
  </r>
  <r>
    <n v="557"/>
    <n v="47"/>
    <n v="0"/>
    <n v="0"/>
    <n v="0"/>
    <n v="0"/>
    <x v="556"/>
  </r>
  <r>
    <n v="558"/>
    <n v="73"/>
    <n v="0"/>
    <n v="0"/>
    <n v="0"/>
    <n v="0"/>
    <x v="557"/>
  </r>
  <r>
    <n v="559"/>
    <n v="64"/>
    <n v="0"/>
    <n v="0"/>
    <n v="0"/>
    <n v="0"/>
    <x v="558"/>
  </r>
  <r>
    <n v="560"/>
    <n v="45"/>
    <n v="0"/>
    <n v="0"/>
    <n v="0"/>
    <n v="0"/>
    <x v="559"/>
  </r>
  <r>
    <n v="561"/>
    <n v="64"/>
    <n v="0"/>
    <n v="0"/>
    <n v="0"/>
    <n v="0"/>
    <x v="560"/>
  </r>
  <r>
    <n v="562"/>
    <n v="74"/>
    <n v="0"/>
    <n v="0"/>
    <n v="0"/>
    <n v="0"/>
    <x v="561"/>
  </r>
  <r>
    <n v="563"/>
    <n v="75"/>
    <n v="0"/>
    <n v="0"/>
    <n v="0"/>
    <n v="0"/>
    <x v="562"/>
  </r>
  <r>
    <n v="564"/>
    <n v="59"/>
    <n v="0"/>
    <n v="0"/>
    <n v="0"/>
    <n v="0"/>
    <x v="563"/>
  </r>
  <r>
    <n v="565"/>
    <n v="52"/>
    <n v="0"/>
    <n v="0"/>
    <n v="0"/>
    <n v="0"/>
    <x v="564"/>
  </r>
  <r>
    <n v="566"/>
    <n v="71"/>
    <n v="0"/>
    <n v="0"/>
    <n v="0"/>
    <n v="0"/>
    <x v="565"/>
  </r>
  <r>
    <n v="567"/>
    <n v="44"/>
    <n v="0"/>
    <n v="0"/>
    <n v="0"/>
    <n v="0"/>
    <x v="566"/>
  </r>
  <r>
    <n v="568"/>
    <n v="59"/>
    <n v="0"/>
    <n v="0"/>
    <n v="0"/>
    <n v="0"/>
    <x v="567"/>
  </r>
  <r>
    <n v="569"/>
    <n v="48"/>
    <n v="0"/>
    <n v="0"/>
    <n v="0"/>
    <n v="0"/>
    <x v="568"/>
  </r>
  <r>
    <n v="570"/>
    <n v="76"/>
    <n v="0"/>
    <n v="0"/>
    <n v="0"/>
    <n v="0"/>
    <x v="569"/>
  </r>
  <r>
    <n v="571"/>
    <n v="62"/>
    <n v="0"/>
    <n v="0"/>
    <n v="0"/>
    <n v="0"/>
    <x v="570"/>
  </r>
  <r>
    <n v="572"/>
    <n v="41"/>
    <n v="0"/>
    <n v="0"/>
    <n v="0"/>
    <n v="0"/>
    <x v="571"/>
  </r>
  <r>
    <n v="573"/>
    <n v="49"/>
    <n v="0"/>
    <n v="0"/>
    <n v="0"/>
    <n v="0"/>
    <x v="572"/>
  </r>
  <r>
    <n v="574"/>
    <n v="72"/>
    <n v="0"/>
    <n v="0"/>
    <n v="0"/>
    <n v="0"/>
    <x v="573"/>
  </r>
  <r>
    <n v="575"/>
    <n v="81"/>
    <n v="0"/>
    <n v="0"/>
    <n v="0"/>
    <n v="0"/>
    <x v="574"/>
  </r>
  <r>
    <n v="576"/>
    <n v="101"/>
    <n v="0"/>
    <n v="0"/>
    <n v="0"/>
    <n v="0"/>
    <x v="575"/>
  </r>
  <r>
    <n v="577"/>
    <n v="103"/>
    <n v="0"/>
    <n v="0"/>
    <n v="0"/>
    <n v="0"/>
    <x v="576"/>
  </r>
  <r>
    <n v="578"/>
    <n v="35"/>
    <n v="0"/>
    <n v="0"/>
    <n v="0"/>
    <n v="0"/>
    <x v="577"/>
  </r>
  <r>
    <n v="579"/>
    <n v="96"/>
    <n v="0"/>
    <n v="0"/>
    <n v="0"/>
    <n v="0"/>
    <x v="578"/>
  </r>
  <r>
    <n v="580"/>
    <n v="77"/>
    <n v="0"/>
    <n v="0"/>
    <n v="0"/>
    <n v="0"/>
    <x v="579"/>
  </r>
  <r>
    <n v="581"/>
    <n v="57"/>
    <n v="0"/>
    <n v="0"/>
    <n v="0"/>
    <n v="0"/>
    <x v="580"/>
  </r>
  <r>
    <n v="582"/>
    <n v="81"/>
    <n v="0"/>
    <n v="0"/>
    <n v="0"/>
    <n v="0"/>
    <x v="581"/>
  </r>
  <r>
    <n v="583"/>
    <n v="74"/>
    <n v="0"/>
    <n v="0"/>
    <n v="0"/>
    <n v="0"/>
    <x v="582"/>
  </r>
  <r>
    <n v="584"/>
    <n v="52"/>
    <n v="0"/>
    <n v="0"/>
    <n v="0"/>
    <n v="0"/>
    <x v="583"/>
  </r>
  <r>
    <n v="585"/>
    <n v="73"/>
    <n v="0"/>
    <n v="0"/>
    <n v="0"/>
    <n v="0"/>
    <x v="584"/>
  </r>
  <r>
    <n v="586"/>
    <n v="58"/>
    <n v="0"/>
    <n v="0"/>
    <n v="0"/>
    <n v="0"/>
    <x v="585"/>
  </r>
  <r>
    <n v="587"/>
    <n v="93"/>
    <n v="0"/>
    <n v="0"/>
    <n v="0"/>
    <n v="0"/>
    <x v="586"/>
  </r>
  <r>
    <n v="588"/>
    <n v="33"/>
    <n v="0"/>
    <n v="0"/>
    <n v="0"/>
    <n v="0"/>
    <x v="587"/>
  </r>
  <r>
    <n v="589"/>
    <n v="42"/>
    <n v="0"/>
    <n v="0"/>
    <n v="0"/>
    <n v="0"/>
    <x v="588"/>
  </r>
  <r>
    <n v="590"/>
    <n v="59"/>
    <n v="0"/>
    <n v="0"/>
    <n v="0"/>
    <n v="0"/>
    <x v="589"/>
  </r>
  <r>
    <n v="591"/>
    <n v="75"/>
    <n v="0"/>
    <n v="0"/>
    <n v="0"/>
    <n v="0"/>
    <x v="590"/>
  </r>
  <r>
    <n v="592"/>
    <n v="34"/>
    <n v="0"/>
    <n v="0"/>
    <n v="0"/>
    <n v="0"/>
    <x v="591"/>
  </r>
  <r>
    <n v="593"/>
    <n v="77"/>
    <n v="0"/>
    <n v="0"/>
    <n v="0"/>
    <n v="0"/>
    <x v="592"/>
  </r>
  <r>
    <n v="594"/>
    <n v="64"/>
    <n v="0"/>
    <n v="0"/>
    <n v="0"/>
    <n v="0"/>
    <x v="593"/>
  </r>
  <r>
    <n v="595"/>
    <n v="57"/>
    <n v="0"/>
    <n v="0"/>
    <n v="0"/>
    <n v="0"/>
    <x v="594"/>
  </r>
  <r>
    <n v="596"/>
    <n v="91"/>
    <n v="0"/>
    <n v="0"/>
    <n v="0"/>
    <n v="0"/>
    <x v="595"/>
  </r>
  <r>
    <n v="597"/>
    <n v="74"/>
    <n v="0"/>
    <n v="0"/>
    <n v="0"/>
    <n v="0"/>
    <x v="596"/>
  </r>
  <r>
    <n v="598"/>
    <n v="84"/>
    <n v="0"/>
    <n v="0"/>
    <n v="0"/>
    <n v="0"/>
    <x v="597"/>
  </r>
  <r>
    <n v="599"/>
    <n v="30"/>
    <n v="0"/>
    <n v="0"/>
    <n v="0"/>
    <n v="0"/>
    <x v="598"/>
  </r>
  <r>
    <n v="600"/>
    <n v="35"/>
    <n v="0"/>
    <n v="0"/>
    <n v="0"/>
    <n v="0"/>
    <x v="599"/>
  </r>
  <r>
    <n v="601"/>
    <n v="45"/>
    <n v="0"/>
    <n v="0"/>
    <n v="0"/>
    <n v="0"/>
    <x v="600"/>
  </r>
  <r>
    <n v="602"/>
    <n v="55"/>
    <n v="0"/>
    <n v="0"/>
    <n v="0"/>
    <n v="0"/>
    <x v="601"/>
  </r>
  <r>
    <n v="603"/>
    <n v="53"/>
    <n v="0"/>
    <n v="0"/>
    <n v="0"/>
    <n v="0"/>
    <x v="602"/>
  </r>
  <r>
    <n v="604"/>
    <n v="64"/>
    <n v="0"/>
    <n v="0"/>
    <n v="0"/>
    <n v="0"/>
    <x v="603"/>
  </r>
  <r>
    <n v="605"/>
    <n v="56"/>
    <n v="0"/>
    <n v="0"/>
    <n v="0"/>
    <n v="0"/>
    <x v="604"/>
  </r>
  <r>
    <n v="606"/>
    <n v="75"/>
    <n v="0"/>
    <n v="0"/>
    <n v="0"/>
    <n v="0"/>
    <x v="605"/>
  </r>
  <r>
    <n v="607"/>
    <n v="80"/>
    <n v="0"/>
    <n v="0"/>
    <n v="0"/>
    <n v="0"/>
    <x v="606"/>
  </r>
  <r>
    <n v="608"/>
    <n v="30"/>
    <n v="0"/>
    <n v="0"/>
    <n v="0"/>
    <n v="0"/>
    <x v="607"/>
  </r>
  <r>
    <n v="609"/>
    <n v="60"/>
    <n v="0"/>
    <n v="0"/>
    <n v="0"/>
    <n v="0"/>
    <x v="608"/>
  </r>
  <r>
    <n v="610"/>
    <n v="71"/>
    <n v="0"/>
    <n v="0"/>
    <n v="0"/>
    <n v="0"/>
    <x v="609"/>
  </r>
  <r>
    <n v="611"/>
    <n v="60"/>
    <n v="0"/>
    <n v="0"/>
    <n v="0"/>
    <n v="0"/>
    <x v="610"/>
  </r>
  <r>
    <n v="612"/>
    <n v="50"/>
    <n v="0"/>
    <n v="0"/>
    <n v="0"/>
    <n v="0"/>
    <x v="611"/>
  </r>
  <r>
    <n v="613"/>
    <n v="66"/>
    <n v="0"/>
    <n v="0"/>
    <n v="0"/>
    <n v="0"/>
    <x v="612"/>
  </r>
  <r>
    <n v="614"/>
    <n v="67"/>
    <n v="0"/>
    <n v="0"/>
    <n v="0"/>
    <n v="0"/>
    <x v="613"/>
  </r>
  <r>
    <n v="615"/>
    <n v="46"/>
    <n v="0"/>
    <n v="0"/>
    <n v="0"/>
    <n v="0"/>
    <x v="614"/>
  </r>
  <r>
    <n v="616"/>
    <n v="48"/>
    <n v="0"/>
    <n v="0"/>
    <n v="0"/>
    <n v="0"/>
    <x v="615"/>
  </r>
  <r>
    <n v="617"/>
    <n v="71"/>
    <n v="0"/>
    <n v="0"/>
    <n v="0"/>
    <n v="0"/>
    <x v="616"/>
  </r>
  <r>
    <n v="618"/>
    <n v="68"/>
    <n v="0"/>
    <n v="0"/>
    <n v="0"/>
    <n v="0"/>
    <x v="617"/>
  </r>
  <r>
    <n v="619"/>
    <n v="22"/>
    <n v="0"/>
    <n v="0"/>
    <n v="0"/>
    <n v="0"/>
    <x v="618"/>
  </r>
  <r>
    <n v="620"/>
    <n v="36"/>
    <n v="0"/>
    <n v="0"/>
    <n v="0"/>
    <n v="0"/>
    <x v="619"/>
  </r>
  <r>
    <n v="621"/>
    <n v="41"/>
    <n v="0"/>
    <n v="0"/>
    <n v="0"/>
    <n v="0"/>
    <x v="620"/>
  </r>
  <r>
    <n v="622"/>
    <n v="36"/>
    <n v="0"/>
    <n v="0"/>
    <n v="0"/>
    <n v="0"/>
    <x v="621"/>
  </r>
  <r>
    <n v="623"/>
    <n v="58"/>
    <n v="0"/>
    <n v="0"/>
    <n v="0"/>
    <n v="0"/>
    <x v="622"/>
  </r>
  <r>
    <n v="624"/>
    <n v="63"/>
    <n v="0"/>
    <n v="0"/>
    <n v="0"/>
    <n v="0"/>
    <x v="623"/>
  </r>
  <r>
    <n v="625"/>
    <n v="29"/>
    <n v="0"/>
    <n v="0"/>
    <n v="0"/>
    <n v="0"/>
    <x v="624"/>
  </r>
  <r>
    <n v="626"/>
    <n v="29"/>
    <n v="0"/>
    <n v="0"/>
    <n v="0"/>
    <n v="0"/>
    <x v="625"/>
  </r>
  <r>
    <n v="627"/>
    <n v="42"/>
    <n v="0"/>
    <n v="0"/>
    <n v="0"/>
    <n v="0"/>
    <x v="626"/>
  </r>
  <r>
    <n v="628"/>
    <n v="75"/>
    <n v="0"/>
    <n v="0"/>
    <n v="0"/>
    <n v="0"/>
    <x v="627"/>
  </r>
  <r>
    <n v="629"/>
    <n v="85"/>
    <n v="0"/>
    <n v="0"/>
    <n v="0"/>
    <n v="0"/>
    <x v="628"/>
  </r>
  <r>
    <n v="630"/>
    <n v="61"/>
    <n v="0"/>
    <n v="0"/>
    <n v="0"/>
    <n v="0"/>
    <x v="629"/>
  </r>
  <r>
    <n v="631"/>
    <n v="47"/>
    <n v="0"/>
    <n v="0"/>
    <n v="0"/>
    <n v="0"/>
    <x v="630"/>
  </r>
  <r>
    <n v="632"/>
    <n v="39"/>
    <n v="0"/>
    <n v="0"/>
    <n v="0"/>
    <n v="0"/>
    <x v="631"/>
  </r>
  <r>
    <n v="633"/>
    <n v="49"/>
    <n v="0"/>
    <n v="0"/>
    <n v="0"/>
    <n v="0"/>
    <x v="632"/>
  </r>
  <r>
    <n v="634"/>
    <n v="54"/>
    <n v="0"/>
    <n v="0"/>
    <n v="0"/>
    <n v="0"/>
    <x v="633"/>
  </r>
  <r>
    <n v="635"/>
    <n v="25"/>
    <n v="0"/>
    <n v="0"/>
    <n v="0"/>
    <n v="0"/>
    <x v="634"/>
  </r>
  <r>
    <n v="636"/>
    <n v="32"/>
    <n v="0"/>
    <n v="0"/>
    <n v="0"/>
    <n v="0"/>
    <x v="635"/>
  </r>
  <r>
    <n v="637"/>
    <n v="31"/>
    <n v="0"/>
    <n v="0"/>
    <n v="0"/>
    <n v="0"/>
    <x v="636"/>
  </r>
  <r>
    <n v="638"/>
    <n v="36"/>
    <n v="0"/>
    <n v="0"/>
    <n v="0"/>
    <n v="0"/>
    <x v="637"/>
  </r>
  <r>
    <n v="639"/>
    <n v="48"/>
    <n v="0"/>
    <n v="0"/>
    <n v="0"/>
    <n v="0"/>
    <x v="638"/>
  </r>
  <r>
    <n v="640"/>
    <n v="32"/>
    <n v="17"/>
    <n v="5"/>
    <n v="0"/>
    <n v="3"/>
    <x v="639"/>
  </r>
  <r>
    <n v="641"/>
    <n v="50"/>
    <n v="0"/>
    <n v="0"/>
    <n v="0"/>
    <n v="0"/>
    <x v="640"/>
  </r>
  <r>
    <n v="642"/>
    <n v="21"/>
    <n v="0"/>
    <n v="0"/>
    <n v="0"/>
    <n v="0"/>
    <x v="641"/>
  </r>
  <r>
    <n v="643"/>
    <n v="34"/>
    <n v="0"/>
    <n v="0"/>
    <n v="0"/>
    <n v="0"/>
    <x v="642"/>
  </r>
  <r>
    <n v="644"/>
    <n v="49"/>
    <n v="6"/>
    <n v="0"/>
    <n v="0"/>
    <n v="0"/>
    <x v="643"/>
  </r>
  <r>
    <n v="645"/>
    <n v="18"/>
    <n v="0"/>
    <n v="3"/>
    <n v="250"/>
    <n v="0"/>
    <x v="644"/>
  </r>
  <r>
    <n v="646"/>
    <n v="33"/>
    <n v="0"/>
    <n v="0"/>
    <n v="0"/>
    <n v="0"/>
    <x v="645"/>
  </r>
  <r>
    <n v="647"/>
    <n v="30"/>
    <n v="0"/>
    <n v="0"/>
    <n v="0"/>
    <n v="1"/>
    <x v="646"/>
  </r>
  <r>
    <n v="648"/>
    <n v="35"/>
    <n v="0"/>
    <n v="3"/>
    <n v="0"/>
    <n v="0"/>
    <x v="647"/>
  </r>
  <r>
    <n v="649"/>
    <n v="18"/>
    <n v="0"/>
    <n v="0"/>
    <n v="0"/>
    <n v="7"/>
    <x v="648"/>
  </r>
  <r>
    <n v="650"/>
    <n v="33"/>
    <n v="0"/>
    <n v="9"/>
    <n v="0"/>
    <n v="0"/>
    <x v="649"/>
  </r>
  <r>
    <n v="651"/>
    <n v="26"/>
    <n v="0"/>
    <n v="0"/>
    <n v="0"/>
    <n v="12"/>
    <x v="650"/>
  </r>
  <r>
    <n v="652"/>
    <n v="34"/>
    <n v="0"/>
    <n v="3"/>
    <n v="0"/>
    <n v="0"/>
    <x v="651"/>
  </r>
  <r>
    <n v="653"/>
    <n v="34"/>
    <n v="0"/>
    <n v="12"/>
    <n v="0"/>
    <n v="21"/>
    <x v="652"/>
  </r>
  <r>
    <n v="654"/>
    <n v="30"/>
    <n v="0"/>
    <n v="4"/>
    <n v="0"/>
    <n v="4"/>
    <x v="653"/>
  </r>
  <r>
    <n v="655"/>
    <n v="37"/>
    <n v="0"/>
    <n v="3"/>
    <n v="0"/>
    <n v="6"/>
    <x v="654"/>
  </r>
  <r>
    <n v="656"/>
    <n v="65"/>
    <n v="0"/>
    <n v="2"/>
    <n v="0"/>
    <n v="10"/>
    <x v="655"/>
  </r>
  <r>
    <n v="657"/>
    <n v="16"/>
    <n v="0"/>
    <n v="10"/>
    <n v="0"/>
    <n v="19"/>
    <x v="656"/>
  </r>
  <r>
    <n v="658"/>
    <n v="15"/>
    <n v="0"/>
    <n v="5"/>
    <n v="0"/>
    <n v="8"/>
    <x v="657"/>
  </r>
  <r>
    <n v="659"/>
    <n v="17"/>
    <n v="4"/>
    <n v="6"/>
    <n v="0"/>
    <n v="13"/>
    <x v="658"/>
  </r>
  <r>
    <n v="660"/>
    <n v="14"/>
    <n v="0"/>
    <n v="8"/>
    <n v="0"/>
    <n v="31"/>
    <x v="659"/>
  </r>
  <r>
    <n v="661"/>
    <n v="54"/>
    <n v="0"/>
    <n v="31"/>
    <n v="0"/>
    <n v="7"/>
    <x v="660"/>
  </r>
  <r>
    <n v="662"/>
    <n v="17"/>
    <n v="14"/>
    <n v="4"/>
    <n v="0"/>
    <n v="50"/>
    <x v="661"/>
  </r>
  <r>
    <n v="663"/>
    <n v="33"/>
    <n v="0"/>
    <n v="34"/>
    <n v="0"/>
    <n v="29"/>
    <x v="662"/>
  </r>
  <r>
    <n v="664"/>
    <n v="12"/>
    <n v="5"/>
    <n v="35"/>
    <n v="0"/>
    <n v="62"/>
    <x v="663"/>
  </r>
  <r>
    <n v="665"/>
    <n v="15"/>
    <n v="0"/>
    <n v="7"/>
    <n v="0"/>
    <n v="5"/>
    <x v="664"/>
  </r>
  <r>
    <n v="666"/>
    <n v="21"/>
    <n v="0"/>
    <n v="6"/>
    <n v="0"/>
    <n v="12"/>
    <x v="665"/>
  </r>
  <r>
    <n v="667"/>
    <n v="16"/>
    <n v="2"/>
    <n v="11"/>
    <n v="0"/>
    <n v="9"/>
    <x v="666"/>
  </r>
  <r>
    <n v="668"/>
    <n v="24"/>
    <n v="0"/>
    <n v="17"/>
    <n v="0"/>
    <n v="11"/>
    <x v="667"/>
  </r>
  <r>
    <n v="669"/>
    <n v="19"/>
    <n v="5"/>
    <n v="19"/>
    <n v="0"/>
    <n v="5"/>
    <x v="668"/>
  </r>
  <r>
    <n v="670"/>
    <n v="10"/>
    <n v="6"/>
    <n v="16"/>
    <n v="250"/>
    <n v="23"/>
    <x v="669"/>
  </r>
  <r>
    <n v="671"/>
    <n v="26"/>
    <n v="0"/>
    <n v="25"/>
    <n v="0"/>
    <n v="60"/>
    <x v="670"/>
  </r>
  <r>
    <n v="672"/>
    <n v="39"/>
    <n v="41"/>
    <n v="52"/>
    <n v="0"/>
    <n v="36"/>
    <x v="671"/>
  </r>
  <r>
    <n v="673"/>
    <n v="23"/>
    <n v="0"/>
    <n v="23"/>
    <n v="250"/>
    <n v="5"/>
    <x v="672"/>
  </r>
  <r>
    <n v="674"/>
    <n v="14"/>
    <n v="3"/>
    <n v="32"/>
    <n v="0"/>
    <n v="27"/>
    <x v="673"/>
  </r>
  <r>
    <n v="675"/>
    <n v="16"/>
    <n v="3"/>
    <n v="31"/>
    <n v="0"/>
    <n v="35"/>
    <x v="674"/>
  </r>
  <r>
    <n v="676"/>
    <n v="26"/>
    <n v="0"/>
    <n v="28"/>
    <n v="0"/>
    <n v="8"/>
    <x v="675"/>
  </r>
  <r>
    <n v="677"/>
    <n v="21"/>
    <n v="4"/>
    <n v="35"/>
    <n v="0"/>
    <n v="17"/>
    <x v="676"/>
  </r>
  <r>
    <n v="678"/>
    <n v="29"/>
    <n v="15"/>
    <n v="64"/>
    <n v="0"/>
    <n v="0"/>
    <x v="677"/>
  </r>
  <r>
    <n v="679"/>
    <n v="7"/>
    <n v="0"/>
    <n v="48"/>
    <n v="0"/>
    <n v="0"/>
    <x v="678"/>
  </r>
  <r>
    <n v="680"/>
    <n v="13"/>
    <n v="5"/>
    <n v="11"/>
    <n v="0"/>
    <n v="3"/>
    <x v="679"/>
  </r>
  <r>
    <n v="681"/>
    <n v="40"/>
    <n v="6"/>
    <n v="5"/>
    <n v="0"/>
    <n v="46"/>
    <x v="680"/>
  </r>
  <r>
    <n v="682"/>
    <n v="4"/>
    <n v="8"/>
    <n v="3"/>
    <n v="0"/>
    <n v="0"/>
    <x v="681"/>
  </r>
  <r>
    <n v="683"/>
    <n v="22"/>
    <n v="31"/>
    <n v="10"/>
    <n v="0"/>
    <n v="18"/>
    <x v="682"/>
  </r>
  <r>
    <n v="684"/>
    <n v="9"/>
    <n v="0"/>
    <n v="10"/>
    <n v="0"/>
    <n v="0"/>
    <x v="683"/>
  </r>
  <r>
    <n v="685"/>
    <n v="11"/>
    <n v="6"/>
    <n v="2"/>
    <n v="0"/>
    <n v="83"/>
    <x v="684"/>
  </r>
  <r>
    <n v="686"/>
    <n v="29"/>
    <n v="8"/>
    <n v="52"/>
    <n v="0"/>
    <n v="41"/>
    <x v="685"/>
  </r>
  <r>
    <n v="687"/>
    <n v="13"/>
    <n v="1"/>
    <n v="0"/>
    <n v="0"/>
    <n v="32"/>
    <x v="686"/>
  </r>
  <r>
    <n v="688"/>
    <n v="56"/>
    <n v="10"/>
    <n v="12"/>
    <n v="0"/>
    <n v="2"/>
    <x v="687"/>
  </r>
  <r>
    <n v="689"/>
    <n v="12"/>
    <n v="2"/>
    <n v="51"/>
    <n v="0"/>
    <n v="13"/>
    <x v="688"/>
  </r>
  <r>
    <n v="690"/>
    <n v="19"/>
    <n v="5"/>
    <n v="17"/>
    <n v="0"/>
    <n v="0"/>
    <x v="689"/>
  </r>
  <r>
    <n v="691"/>
    <n v="12"/>
    <n v="16"/>
    <n v="11"/>
    <n v="0"/>
    <n v="5"/>
    <x v="690"/>
  </r>
  <r>
    <n v="692"/>
    <n v="26"/>
    <n v="15"/>
    <n v="0"/>
    <n v="0"/>
    <n v="0"/>
    <x v="691"/>
  </r>
  <r>
    <n v="693"/>
    <n v="11"/>
    <n v="12"/>
    <n v="35"/>
    <n v="0"/>
    <n v="2"/>
    <x v="692"/>
  </r>
  <r>
    <n v="694"/>
    <n v="21"/>
    <n v="7"/>
    <n v="2"/>
    <n v="0"/>
    <n v="13"/>
    <x v="693"/>
  </r>
  <r>
    <n v="695"/>
    <n v="9"/>
    <n v="11"/>
    <n v="46"/>
    <n v="0"/>
    <n v="8"/>
    <x v="694"/>
  </r>
  <r>
    <n v="696"/>
    <n v="11"/>
    <n v="3"/>
    <n v="1"/>
    <n v="0"/>
    <n v="9"/>
    <x v="695"/>
  </r>
  <r>
    <n v="697"/>
    <n v="6"/>
    <n v="16"/>
    <n v="7"/>
    <n v="0"/>
    <n v="6"/>
    <x v="696"/>
  </r>
  <r>
    <n v="698"/>
    <n v="8"/>
    <n v="4"/>
    <n v="9"/>
    <n v="0"/>
    <n v="17"/>
    <x v="697"/>
  </r>
  <r>
    <n v="699"/>
    <n v="10"/>
    <n v="8"/>
    <n v="9"/>
    <n v="0"/>
    <n v="0"/>
    <x v="698"/>
  </r>
  <r>
    <n v="700"/>
    <n v="12"/>
    <n v="18"/>
    <n v="47"/>
    <n v="250"/>
    <n v="1"/>
    <x v="699"/>
  </r>
  <r>
    <n v="701"/>
    <n v="3"/>
    <n v="2"/>
    <n v="0"/>
    <n v="0"/>
    <n v="26"/>
    <x v="700"/>
  </r>
  <r>
    <n v="702"/>
    <n v="38"/>
    <n v="11"/>
    <n v="0"/>
    <n v="0"/>
    <n v="4"/>
    <x v="701"/>
  </r>
  <r>
    <n v="703"/>
    <n v="11"/>
    <n v="3"/>
    <n v="10"/>
    <n v="0"/>
    <n v="35"/>
    <x v="702"/>
  </r>
  <r>
    <n v="704"/>
    <n v="13"/>
    <n v="4"/>
    <n v="24"/>
    <n v="0"/>
    <n v="6"/>
    <x v="703"/>
  </r>
  <r>
    <n v="705"/>
    <n v="2"/>
    <n v="10"/>
    <n v="22"/>
    <n v="0"/>
    <n v="6"/>
    <x v="704"/>
  </r>
  <r>
    <n v="706"/>
    <n v="23"/>
    <n v="20"/>
    <n v="9"/>
    <n v="0"/>
    <n v="4"/>
    <x v="705"/>
  </r>
  <r>
    <n v="707"/>
    <n v="9"/>
    <n v="2"/>
    <n v="28"/>
    <n v="0"/>
    <n v="29"/>
    <x v="706"/>
  </r>
  <r>
    <n v="708"/>
    <n v="5"/>
    <n v="5"/>
    <n v="3"/>
    <n v="0"/>
    <n v="32"/>
    <x v="707"/>
  </r>
  <r>
    <n v="709"/>
    <n v="10"/>
    <n v="4"/>
    <n v="0"/>
    <n v="0"/>
    <n v="16"/>
    <x v="708"/>
  </r>
  <r>
    <n v="710"/>
    <n v="9"/>
    <n v="29"/>
    <n v="21"/>
    <n v="0"/>
    <n v="27"/>
    <x v="709"/>
  </r>
  <r>
    <n v="711"/>
    <n v="10"/>
    <n v="2"/>
    <n v="21"/>
    <n v="0"/>
    <n v="0"/>
    <x v="710"/>
  </r>
  <r>
    <n v="712"/>
    <n v="11"/>
    <n v="10"/>
    <n v="10"/>
    <n v="0"/>
    <n v="21"/>
    <x v="711"/>
  </r>
  <r>
    <n v="713"/>
    <n v="9"/>
    <n v="4"/>
    <n v="42"/>
    <n v="0"/>
    <n v="0"/>
    <x v="712"/>
  </r>
  <r>
    <n v="714"/>
    <n v="5"/>
    <n v="1"/>
    <n v="9"/>
    <n v="0"/>
    <n v="34"/>
    <x v="713"/>
  </r>
  <r>
    <n v="715"/>
    <n v="6"/>
    <n v="13"/>
    <n v="37"/>
    <n v="0"/>
    <n v="0"/>
    <x v="714"/>
  </r>
  <r>
    <n v="716"/>
    <n v="27"/>
    <n v="4"/>
    <n v="4"/>
    <n v="0"/>
    <n v="16"/>
    <x v="715"/>
  </r>
  <r>
    <n v="717"/>
    <n v="3"/>
    <n v="26"/>
    <n v="38"/>
    <n v="0"/>
    <n v="35"/>
    <x v="716"/>
  </r>
  <r>
    <n v="718"/>
    <n v="1"/>
    <n v="7"/>
    <n v="9"/>
    <n v="0"/>
    <n v="19"/>
    <x v="717"/>
  </r>
  <r>
    <n v="719"/>
    <n v="4"/>
    <n v="12"/>
    <n v="13"/>
    <n v="0"/>
    <n v="18"/>
    <x v="718"/>
  </r>
  <r>
    <n v="720"/>
    <n v="27"/>
    <n v="2"/>
    <n v="2"/>
    <n v="0"/>
    <n v="25"/>
    <x v="719"/>
  </r>
  <r>
    <n v="721"/>
    <n v="2"/>
    <n v="17"/>
    <n v="36"/>
    <n v="0"/>
    <n v="3"/>
    <x v="720"/>
  </r>
  <r>
    <n v="722"/>
    <n v="13"/>
    <n v="3"/>
    <n v="19"/>
    <n v="0"/>
    <n v="6"/>
    <x v="721"/>
  </r>
  <r>
    <n v="723"/>
    <n v="1"/>
    <n v="26"/>
    <n v="8"/>
    <n v="0"/>
    <n v="0"/>
    <x v="722"/>
  </r>
  <r>
    <n v="724"/>
    <n v="27"/>
    <n v="17"/>
    <n v="2"/>
    <n v="0"/>
    <n v="25"/>
    <x v="723"/>
  </r>
  <r>
    <n v="725"/>
    <n v="3"/>
    <n v="2"/>
    <n v="36"/>
    <n v="0"/>
    <n v="15"/>
    <x v="724"/>
  </r>
  <r>
    <n v="726"/>
    <n v="17"/>
    <n v="9"/>
    <n v="25"/>
    <n v="0"/>
    <n v="0"/>
    <x v="725"/>
  </r>
  <r>
    <n v="727"/>
    <n v="2"/>
    <n v="20"/>
    <n v="43"/>
    <n v="0"/>
    <n v="32"/>
    <x v="726"/>
  </r>
  <r>
    <n v="728"/>
    <n v="8"/>
    <n v="45"/>
    <n v="4"/>
    <n v="0"/>
    <n v="11"/>
    <x v="727"/>
  </r>
  <r>
    <n v="729"/>
    <n v="4"/>
    <n v="11"/>
    <n v="13"/>
    <n v="0"/>
    <n v="0"/>
    <x v="728"/>
  </r>
  <r>
    <n v="730"/>
    <n v="10"/>
    <n v="10"/>
    <n v="2"/>
    <n v="0"/>
    <n v="3"/>
    <x v="729"/>
  </r>
  <r>
    <n v="731"/>
    <n v="13"/>
    <n v="4"/>
    <n v="2"/>
    <n v="0"/>
    <n v="10"/>
    <x v="730"/>
  </r>
  <r>
    <n v="732"/>
    <n v="12"/>
    <n v="11"/>
    <n v="0"/>
    <n v="0"/>
    <n v="12"/>
    <x v="731"/>
  </r>
  <r>
    <n v="733"/>
    <n v="2"/>
    <n v="26"/>
    <n v="10"/>
    <n v="0"/>
    <n v="9"/>
    <x v="732"/>
  </r>
  <r>
    <n v="734"/>
    <n v="11"/>
    <n v="7"/>
    <n v="19"/>
    <n v="0"/>
    <n v="3"/>
    <x v="733"/>
  </r>
  <r>
    <n v="735"/>
    <n v="7"/>
    <n v="15"/>
    <n v="11"/>
    <n v="0"/>
    <n v="18"/>
    <x v="734"/>
  </r>
  <r>
    <n v="736"/>
    <n v="1"/>
    <n v="6"/>
    <n v="10"/>
    <n v="250"/>
    <n v="0"/>
    <x v="735"/>
  </r>
  <r>
    <n v="737"/>
    <n v="11"/>
    <n v="18"/>
    <n v="6"/>
    <n v="0"/>
    <n v="23"/>
    <x v="736"/>
  </r>
  <r>
    <n v="738"/>
    <n v="5"/>
    <n v="27"/>
    <n v="17"/>
    <n v="0"/>
    <n v="14"/>
    <x v="737"/>
  </r>
  <r>
    <n v="739"/>
    <n v="3"/>
    <n v="20"/>
    <n v="3"/>
    <n v="0"/>
    <n v="10"/>
    <x v="738"/>
  </r>
  <r>
    <n v="740"/>
    <n v="6"/>
    <n v="6"/>
    <n v="32"/>
    <n v="250"/>
    <n v="34"/>
    <x v="739"/>
  </r>
  <r>
    <n v="741"/>
    <n v="2"/>
    <n v="7"/>
    <n v="3"/>
    <n v="0"/>
    <n v="13"/>
    <x v="740"/>
  </r>
  <r>
    <n v="742"/>
    <n v="11"/>
    <n v="6"/>
    <n v="42"/>
    <n v="0"/>
    <n v="35"/>
    <x v="741"/>
  </r>
  <r>
    <n v="743"/>
    <n v="2"/>
    <n v="24"/>
    <n v="16"/>
    <n v="0"/>
    <n v="4"/>
    <x v="742"/>
  </r>
  <r>
    <n v="744"/>
    <n v="11"/>
    <n v="7"/>
    <n v="11"/>
    <n v="0"/>
    <n v="3"/>
    <x v="743"/>
  </r>
  <r>
    <n v="745"/>
    <n v="16"/>
    <n v="4"/>
    <n v="26"/>
    <n v="0"/>
    <n v="5"/>
    <x v="744"/>
  </r>
  <r>
    <n v="746"/>
    <n v="27"/>
    <n v="31"/>
    <n v="15"/>
    <n v="0"/>
    <n v="11"/>
    <x v="745"/>
  </r>
  <r>
    <n v="747"/>
    <n v="4"/>
    <n v="24"/>
    <n v="12"/>
    <n v="0"/>
    <n v="0"/>
    <x v="746"/>
  </r>
  <r>
    <n v="748"/>
    <n v="18"/>
    <n v="9"/>
    <n v="13"/>
    <n v="0"/>
    <n v="28"/>
    <x v="747"/>
  </r>
  <r>
    <n v="749"/>
    <n v="9"/>
    <n v="16"/>
    <n v="4"/>
    <n v="0"/>
    <n v="3"/>
    <x v="748"/>
  </r>
  <r>
    <n v="750"/>
    <n v="23"/>
    <n v="13"/>
    <n v="9"/>
    <n v="250"/>
    <n v="4"/>
    <x v="749"/>
  </r>
  <r>
    <n v="751"/>
    <n v="9"/>
    <n v="54"/>
    <n v="4"/>
    <n v="0"/>
    <n v="15"/>
    <x v="750"/>
  </r>
  <r>
    <n v="752"/>
    <n v="18"/>
    <n v="13"/>
    <n v="48"/>
    <n v="0"/>
    <n v="18"/>
    <x v="751"/>
  </r>
  <r>
    <n v="753"/>
    <n v="15"/>
    <n v="40"/>
    <n v="20"/>
    <n v="250"/>
    <n v="62"/>
    <x v="752"/>
  </r>
  <r>
    <n v="754"/>
    <n v="4"/>
    <n v="5"/>
    <n v="3"/>
    <n v="0"/>
    <n v="15"/>
    <x v="753"/>
  </r>
  <r>
    <n v="755"/>
    <n v="7"/>
    <n v="4"/>
    <n v="14"/>
    <n v="0"/>
    <n v="3"/>
    <x v="754"/>
  </r>
  <r>
    <n v="756"/>
    <n v="7"/>
    <n v="10"/>
    <n v="0"/>
    <n v="0"/>
    <n v="14"/>
    <x v="755"/>
  </r>
  <r>
    <n v="757"/>
    <n v="16"/>
    <n v="34"/>
    <n v="20"/>
    <n v="0"/>
    <n v="1"/>
    <x v="756"/>
  </r>
  <r>
    <n v="758"/>
    <n v="5"/>
    <n v="9"/>
    <n v="21"/>
    <n v="0"/>
    <n v="0"/>
    <x v="757"/>
  </r>
  <r>
    <n v="759"/>
    <n v="7"/>
    <n v="10"/>
    <n v="0"/>
    <n v="0"/>
    <n v="1"/>
    <x v="758"/>
  </r>
  <r>
    <n v="760"/>
    <n v="6"/>
    <n v="23"/>
    <n v="21"/>
    <n v="0"/>
    <n v="9"/>
    <x v="759"/>
  </r>
  <r>
    <n v="761"/>
    <n v="8"/>
    <n v="41"/>
    <n v="24"/>
    <n v="0"/>
    <n v="3"/>
    <x v="760"/>
  </r>
  <r>
    <n v="762"/>
    <n v="6"/>
    <n v="11"/>
    <n v="10"/>
    <n v="0"/>
    <n v="28"/>
    <x v="761"/>
  </r>
  <r>
    <n v="763"/>
    <n v="7"/>
    <n v="4"/>
    <n v="7"/>
    <n v="250"/>
    <n v="30"/>
    <x v="762"/>
  </r>
  <r>
    <n v="764"/>
    <n v="6"/>
    <n v="14"/>
    <n v="42"/>
    <n v="0"/>
    <n v="37"/>
    <x v="763"/>
  </r>
  <r>
    <n v="765"/>
    <n v="8"/>
    <n v="11"/>
    <n v="16"/>
    <n v="250"/>
    <n v="14"/>
    <x v="764"/>
  </r>
  <r>
    <n v="766"/>
    <n v="21"/>
    <n v="39"/>
    <n v="8"/>
    <n v="250"/>
    <n v="29"/>
    <x v="765"/>
  </r>
  <r>
    <n v="767"/>
    <n v="15"/>
    <n v="5"/>
    <n v="0"/>
    <n v="250"/>
    <n v="27"/>
    <x v="766"/>
  </r>
  <r>
    <n v="768"/>
    <n v="9"/>
    <n v="18"/>
    <n v="15"/>
    <n v="0"/>
    <n v="2"/>
    <x v="767"/>
  </r>
  <r>
    <n v="769"/>
    <n v="31"/>
    <n v="37"/>
    <n v="45"/>
    <n v="0"/>
    <n v="5"/>
    <x v="768"/>
  </r>
  <r>
    <n v="770"/>
    <n v="16"/>
    <n v="18"/>
    <n v="6"/>
    <n v="0"/>
    <n v="16"/>
    <x v="769"/>
  </r>
  <r>
    <n v="771"/>
    <n v="12"/>
    <n v="16"/>
    <n v="0"/>
    <n v="0"/>
    <n v="87"/>
    <x v="770"/>
  </r>
  <r>
    <n v="772"/>
    <n v="2"/>
    <n v="19"/>
    <n v="3"/>
    <n v="0"/>
    <n v="35"/>
    <x v="771"/>
  </r>
  <r>
    <n v="773"/>
    <n v="12"/>
    <n v="19"/>
    <n v="13"/>
    <n v="0"/>
    <n v="55"/>
    <x v="772"/>
  </r>
  <r>
    <n v="774"/>
    <n v="30"/>
    <n v="38"/>
    <n v="50"/>
    <n v="0"/>
    <n v="19"/>
    <x v="773"/>
  </r>
  <r>
    <n v="775"/>
    <n v="31"/>
    <n v="39"/>
    <n v="33"/>
    <n v="0"/>
    <n v="0"/>
    <x v="774"/>
  </r>
  <r>
    <n v="776"/>
    <n v="13"/>
    <n v="10"/>
    <n v="0"/>
    <n v="0"/>
    <n v="16"/>
    <x v="775"/>
  </r>
  <r>
    <n v="777"/>
    <n v="15"/>
    <n v="17"/>
    <n v="24"/>
    <n v="0"/>
    <n v="11"/>
    <x v="776"/>
  </r>
  <r>
    <n v="778"/>
    <n v="9"/>
    <n v="10"/>
    <n v="0"/>
    <n v="0"/>
    <n v="11"/>
    <x v="777"/>
  </r>
  <r>
    <n v="779"/>
    <n v="15"/>
    <n v="11"/>
    <n v="45"/>
    <n v="0"/>
    <n v="41"/>
    <x v="778"/>
  </r>
  <r>
    <n v="780"/>
    <n v="27"/>
    <n v="49"/>
    <n v="16"/>
    <n v="0"/>
    <n v="35"/>
    <x v="779"/>
  </r>
  <r>
    <n v="781"/>
    <n v="61"/>
    <n v="40"/>
    <n v="55"/>
    <n v="0"/>
    <n v="2"/>
    <x v="780"/>
  </r>
  <r>
    <n v="782"/>
    <n v="15"/>
    <n v="25"/>
    <n v="32"/>
    <n v="250"/>
    <n v="27"/>
    <x v="781"/>
  </r>
  <r>
    <n v="783"/>
    <n v="13"/>
    <n v="10"/>
    <n v="16"/>
    <n v="0"/>
    <n v="3"/>
    <x v="782"/>
  </r>
  <r>
    <n v="784"/>
    <n v="8"/>
    <n v="19"/>
    <n v="18"/>
    <n v="0"/>
    <n v="2"/>
    <x v="783"/>
  </r>
  <r>
    <n v="785"/>
    <n v="18"/>
    <n v="21"/>
    <n v="2"/>
    <n v="0"/>
    <n v="7"/>
    <x v="784"/>
  </r>
  <r>
    <n v="786"/>
    <n v="8"/>
    <n v="29"/>
    <n v="13"/>
    <n v="0"/>
    <n v="4"/>
    <x v="785"/>
  </r>
  <r>
    <n v="787"/>
    <n v="18"/>
    <n v="17"/>
    <n v="41"/>
    <n v="0"/>
    <n v="15"/>
    <x v="786"/>
  </r>
  <r>
    <n v="788"/>
    <n v="31"/>
    <n v="29"/>
    <n v="37"/>
    <n v="0"/>
    <n v="7"/>
    <x v="787"/>
  </r>
  <r>
    <n v="789"/>
    <n v="40"/>
    <n v="32"/>
    <n v="21"/>
    <n v="0"/>
    <n v="5"/>
    <x v="788"/>
  </r>
  <r>
    <n v="790"/>
    <n v="23"/>
    <n v="8"/>
    <n v="5"/>
    <n v="0"/>
    <n v="35"/>
    <x v="789"/>
  </r>
  <r>
    <n v="791"/>
    <n v="4"/>
    <n v="24"/>
    <n v="0"/>
    <n v="0"/>
    <n v="18"/>
    <x v="790"/>
  </r>
  <r>
    <n v="792"/>
    <n v="19"/>
    <n v="31"/>
    <n v="0"/>
    <n v="0"/>
    <n v="15"/>
    <x v="791"/>
  </r>
  <r>
    <n v="793"/>
    <n v="25"/>
    <n v="26"/>
    <n v="16"/>
    <n v="0"/>
    <n v="7"/>
    <x v="792"/>
  </r>
  <r>
    <n v="794"/>
    <n v="26"/>
    <n v="33"/>
    <n v="7"/>
    <n v="0"/>
    <n v="30"/>
    <x v="793"/>
  </r>
  <r>
    <n v="795"/>
    <n v="39"/>
    <n v="33"/>
    <n v="22"/>
    <n v="0"/>
    <n v="9"/>
    <x v="794"/>
  </r>
  <r>
    <n v="796"/>
    <n v="28"/>
    <n v="39"/>
    <n v="8"/>
    <n v="250"/>
    <n v="0"/>
    <x v="795"/>
  </r>
  <r>
    <n v="797"/>
    <n v="29"/>
    <n v="29"/>
    <n v="42"/>
    <n v="0"/>
    <n v="0"/>
    <x v="796"/>
  </r>
  <r>
    <n v="798"/>
    <n v="45"/>
    <n v="27"/>
    <n v="36"/>
    <n v="0"/>
    <n v="19"/>
    <x v="797"/>
  </r>
  <r>
    <n v="799"/>
    <n v="23"/>
    <n v="52"/>
    <n v="1"/>
    <n v="0"/>
    <n v="2"/>
    <x v="798"/>
  </r>
  <r>
    <n v="800"/>
    <n v="25"/>
    <n v="19"/>
    <n v="18"/>
    <n v="0"/>
    <n v="57"/>
    <x v="799"/>
  </r>
  <r>
    <n v="801"/>
    <n v="18"/>
    <n v="27"/>
    <n v="2"/>
    <n v="0"/>
    <n v="38"/>
    <x v="800"/>
  </r>
  <r>
    <n v="802"/>
    <n v="42"/>
    <n v="19"/>
    <n v="0"/>
    <n v="0"/>
    <n v="11"/>
    <x v="801"/>
  </r>
  <r>
    <n v="803"/>
    <n v="30"/>
    <n v="12"/>
    <n v="13"/>
    <n v="0"/>
    <n v="11"/>
    <x v="802"/>
  </r>
  <r>
    <n v="804"/>
    <n v="43"/>
    <n v="39"/>
    <n v="29"/>
    <n v="0"/>
    <n v="0"/>
    <x v="803"/>
  </r>
  <r>
    <n v="805"/>
    <n v="33"/>
    <n v="5"/>
    <n v="11"/>
    <n v="0"/>
    <n v="43"/>
    <x v="804"/>
  </r>
  <r>
    <n v="806"/>
    <n v="49"/>
    <n v="37"/>
    <n v="4"/>
    <n v="0"/>
    <n v="42"/>
    <x v="805"/>
  </r>
  <r>
    <n v="807"/>
    <n v="24"/>
    <n v="62"/>
    <n v="57"/>
    <n v="0"/>
    <n v="0"/>
    <x v="806"/>
  </r>
  <r>
    <n v="808"/>
    <n v="23"/>
    <n v="7"/>
    <n v="46"/>
    <n v="0"/>
    <n v="22"/>
    <x v="807"/>
  </r>
  <r>
    <n v="809"/>
    <n v="42"/>
    <n v="24"/>
    <n v="28"/>
    <n v="0"/>
    <n v="13"/>
    <x v="808"/>
  </r>
  <r>
    <n v="810"/>
    <n v="25"/>
    <n v="46"/>
    <n v="2"/>
    <n v="0"/>
    <n v="24"/>
    <x v="809"/>
  </r>
  <r>
    <n v="811"/>
    <n v="26"/>
    <n v="39"/>
    <n v="64"/>
    <n v="0"/>
    <n v="12"/>
    <x v="810"/>
  </r>
  <r>
    <n v="812"/>
    <n v="49"/>
    <n v="62"/>
    <n v="34"/>
    <n v="0"/>
    <n v="17"/>
    <x v="811"/>
  </r>
  <r>
    <n v="813"/>
    <n v="41"/>
    <n v="23"/>
    <n v="1"/>
    <n v="0"/>
    <n v="26"/>
    <x v="812"/>
  </r>
  <r>
    <n v="814"/>
    <n v="15"/>
    <n v="19"/>
    <n v="0"/>
    <n v="0"/>
    <n v="18"/>
    <x v="813"/>
  </r>
  <r>
    <n v="815"/>
    <n v="21"/>
    <n v="30"/>
    <n v="12"/>
    <n v="0"/>
    <n v="35"/>
    <x v="814"/>
  </r>
  <r>
    <n v="816"/>
    <n v="36"/>
    <n v="16"/>
    <n v="22"/>
    <n v="0"/>
    <n v="17"/>
    <x v="815"/>
  </r>
  <r>
    <n v="817"/>
    <n v="39"/>
    <n v="36"/>
    <n v="20"/>
    <n v="0"/>
    <n v="8"/>
    <x v="816"/>
  </r>
  <r>
    <n v="818"/>
    <n v="11"/>
    <n v="16"/>
    <n v="13"/>
    <n v="0"/>
    <n v="15"/>
    <x v="817"/>
  </r>
  <r>
    <n v="819"/>
    <n v="42"/>
    <n v="43"/>
    <n v="57"/>
    <n v="0"/>
    <n v="50"/>
    <x v="818"/>
  </r>
  <r>
    <n v="820"/>
    <n v="40"/>
    <n v="19"/>
    <n v="31"/>
    <n v="0"/>
    <n v="12"/>
    <x v="819"/>
  </r>
  <r>
    <n v="821"/>
    <n v="13"/>
    <n v="29"/>
    <n v="10"/>
    <n v="0"/>
    <n v="8"/>
    <x v="820"/>
  </r>
  <r>
    <n v="822"/>
    <n v="39"/>
    <n v="37"/>
    <n v="38"/>
    <n v="0"/>
    <n v="15"/>
    <x v="821"/>
  </r>
  <r>
    <n v="823"/>
    <n v="30"/>
    <n v="32"/>
    <n v="16"/>
    <n v="0"/>
    <n v="17"/>
    <x v="822"/>
  </r>
  <r>
    <n v="824"/>
    <n v="21"/>
    <n v="16"/>
    <n v="0"/>
    <n v="0"/>
    <n v="6"/>
    <x v="823"/>
  </r>
  <r>
    <n v="825"/>
    <n v="48"/>
    <n v="47"/>
    <n v="66"/>
    <n v="0"/>
    <n v="9"/>
    <x v="824"/>
  </r>
  <r>
    <n v="826"/>
    <n v="45"/>
    <n v="14"/>
    <n v="59"/>
    <n v="0"/>
    <n v="5"/>
    <x v="825"/>
  </r>
  <r>
    <n v="827"/>
    <n v="17"/>
    <n v="26"/>
    <n v="4"/>
    <n v="250"/>
    <n v="42"/>
    <x v="826"/>
  </r>
  <r>
    <n v="828"/>
    <n v="67"/>
    <n v="27"/>
    <n v="38"/>
    <n v="0"/>
    <n v="32"/>
    <x v="827"/>
  </r>
  <r>
    <n v="829"/>
    <n v="36"/>
    <n v="25"/>
    <n v="41"/>
    <n v="0"/>
    <n v="24"/>
    <x v="828"/>
  </r>
  <r>
    <n v="830"/>
    <n v="36"/>
    <n v="34"/>
    <n v="15"/>
    <n v="0"/>
    <n v="24"/>
    <x v="829"/>
  </r>
  <r>
    <n v="831"/>
    <n v="81"/>
    <n v="29"/>
    <n v="2"/>
    <n v="0"/>
    <n v="5"/>
    <x v="830"/>
  </r>
  <r>
    <n v="832"/>
    <n v="32"/>
    <n v="35"/>
    <n v="10"/>
    <n v="0"/>
    <n v="13"/>
    <x v="831"/>
  </r>
  <r>
    <n v="833"/>
    <n v="63"/>
    <n v="27"/>
    <n v="0"/>
    <n v="0"/>
    <n v="22"/>
    <x v="832"/>
  </r>
  <r>
    <n v="834"/>
    <n v="55"/>
    <n v="97"/>
    <n v="0"/>
    <n v="0"/>
    <n v="0"/>
    <x v="833"/>
  </r>
  <r>
    <n v="835"/>
    <n v="58"/>
    <n v="45"/>
    <n v="40"/>
    <n v="0"/>
    <n v="40"/>
    <x v="834"/>
  </r>
  <r>
    <n v="836"/>
    <n v="49"/>
    <n v="15"/>
    <n v="61"/>
    <n v="250"/>
    <n v="13"/>
    <x v="835"/>
  </r>
  <r>
    <n v="837"/>
    <n v="62"/>
    <n v="9"/>
    <n v="0"/>
    <n v="0"/>
    <n v="0"/>
    <x v="836"/>
  </r>
  <r>
    <n v="838"/>
    <n v="86"/>
    <n v="33"/>
    <n v="23"/>
    <n v="0"/>
    <n v="49"/>
    <x v="837"/>
  </r>
  <r>
    <n v="839"/>
    <n v="64"/>
    <n v="29"/>
    <n v="7"/>
    <n v="0"/>
    <n v="40"/>
    <x v="838"/>
  </r>
  <r>
    <n v="840"/>
    <n v="86"/>
    <n v="45"/>
    <n v="0"/>
    <n v="0"/>
    <n v="1"/>
    <x v="839"/>
  </r>
  <r>
    <n v="841"/>
    <n v="53"/>
    <n v="25"/>
    <n v="5"/>
    <n v="0"/>
    <n v="21"/>
    <x v="840"/>
  </r>
  <r>
    <n v="842"/>
    <n v="65"/>
    <n v="22"/>
    <n v="0"/>
    <n v="0"/>
    <n v="0"/>
    <x v="841"/>
  </r>
  <r>
    <n v="843"/>
    <n v="51"/>
    <n v="40"/>
    <n v="50"/>
    <n v="0"/>
    <n v="0"/>
    <x v="842"/>
  </r>
  <r>
    <n v="844"/>
    <n v="18"/>
    <n v="16"/>
    <n v="0"/>
    <n v="0"/>
    <n v="50"/>
    <x v="843"/>
  </r>
  <r>
    <n v="845"/>
    <n v="60"/>
    <n v="21"/>
    <n v="27"/>
    <n v="0"/>
    <n v="0"/>
    <x v="844"/>
  </r>
  <r>
    <n v="846"/>
    <n v="52"/>
    <n v="26"/>
    <n v="7"/>
    <n v="0"/>
    <n v="12"/>
    <x v="845"/>
  </r>
  <r>
    <n v="847"/>
    <n v="31"/>
    <n v="46"/>
    <n v="17"/>
    <n v="0"/>
    <n v="49"/>
    <x v="846"/>
  </r>
  <r>
    <n v="848"/>
    <n v="40"/>
    <n v="26"/>
    <n v="12"/>
    <n v="0"/>
    <n v="23"/>
    <x v="847"/>
  </r>
  <r>
    <n v="849"/>
    <n v="54"/>
    <n v="40"/>
    <n v="5"/>
    <n v="0"/>
    <n v="0"/>
    <x v="848"/>
  </r>
  <r>
    <n v="850"/>
    <n v="57"/>
    <n v="32"/>
    <n v="44"/>
    <n v="0"/>
    <n v="4"/>
    <x v="849"/>
  </r>
  <r>
    <n v="851"/>
    <n v="67"/>
    <n v="15"/>
    <n v="30"/>
    <n v="0"/>
    <n v="0"/>
    <x v="850"/>
  </r>
  <r>
    <n v="852"/>
    <n v="69"/>
    <n v="42"/>
    <n v="8"/>
    <n v="0"/>
    <n v="10"/>
    <x v="851"/>
  </r>
  <r>
    <n v="853"/>
    <n v="58"/>
    <n v="25"/>
    <n v="52"/>
    <n v="0"/>
    <n v="8"/>
    <x v="852"/>
  </r>
  <r>
    <n v="854"/>
    <n v="47"/>
    <n v="17"/>
    <n v="0"/>
    <n v="0"/>
    <n v="59"/>
    <x v="853"/>
  </r>
  <r>
    <n v="855"/>
    <n v="53"/>
    <n v="40"/>
    <n v="27"/>
    <n v="0"/>
    <n v="8"/>
    <x v="854"/>
  </r>
  <r>
    <n v="856"/>
    <n v="43"/>
    <n v="89"/>
    <n v="43"/>
    <n v="0"/>
    <n v="13"/>
    <x v="855"/>
  </r>
  <r>
    <n v="857"/>
    <n v="54"/>
    <n v="35"/>
    <n v="0"/>
    <n v="0"/>
    <n v="8"/>
    <x v="856"/>
  </r>
  <r>
    <n v="858"/>
    <n v="78"/>
    <n v="18"/>
    <n v="0"/>
    <n v="0"/>
    <n v="16"/>
    <x v="857"/>
  </r>
  <r>
    <n v="859"/>
    <n v="48"/>
    <n v="31"/>
    <n v="8"/>
    <n v="0"/>
    <n v="16"/>
    <x v="858"/>
  </r>
  <r>
    <n v="860"/>
    <n v="29"/>
    <n v="17"/>
    <n v="16"/>
    <n v="0"/>
    <n v="50"/>
    <x v="859"/>
  </r>
  <r>
    <n v="861"/>
    <n v="59"/>
    <n v="31"/>
    <n v="15"/>
    <n v="0"/>
    <n v="12"/>
    <x v="860"/>
  </r>
  <r>
    <n v="862"/>
    <n v="90"/>
    <n v="12"/>
    <n v="15"/>
    <n v="0"/>
    <n v="4"/>
    <x v="861"/>
  </r>
  <r>
    <n v="863"/>
    <n v="40"/>
    <n v="19"/>
    <n v="32"/>
    <n v="0"/>
    <n v="8"/>
    <x v="862"/>
  </r>
  <r>
    <n v="864"/>
    <n v="47"/>
    <n v="29"/>
    <n v="0"/>
    <n v="0"/>
    <n v="32"/>
    <x v="863"/>
  </r>
  <r>
    <n v="865"/>
    <n v="87"/>
    <n v="26"/>
    <n v="24"/>
    <n v="250"/>
    <n v="11"/>
    <x v="864"/>
  </r>
  <r>
    <n v="866"/>
    <n v="54"/>
    <n v="78"/>
    <n v="30"/>
    <n v="250"/>
    <n v="48"/>
    <x v="865"/>
  </r>
  <r>
    <n v="867"/>
    <n v="66"/>
    <n v="24"/>
    <n v="26"/>
    <n v="0"/>
    <n v="38"/>
    <x v="866"/>
  </r>
  <r>
    <n v="868"/>
    <n v="52"/>
    <n v="42"/>
    <n v="6"/>
    <n v="0"/>
    <n v="24"/>
    <x v="867"/>
  </r>
  <r>
    <n v="869"/>
    <n v="35"/>
    <n v="23"/>
    <n v="11"/>
    <n v="0"/>
    <n v="13"/>
    <x v="868"/>
  </r>
  <r>
    <n v="870"/>
    <n v="39"/>
    <n v="12"/>
    <n v="2"/>
    <n v="0"/>
    <n v="9"/>
    <x v="869"/>
  </r>
  <r>
    <n v="871"/>
    <n v="37"/>
    <n v="75"/>
    <n v="1"/>
    <n v="0"/>
    <n v="21"/>
    <x v="870"/>
  </r>
  <r>
    <n v="872"/>
    <n v="41"/>
    <n v="33"/>
    <n v="6"/>
    <n v="0"/>
    <n v="0"/>
    <x v="871"/>
  </r>
  <r>
    <n v="873"/>
    <n v="43"/>
    <n v="45"/>
    <n v="0"/>
    <n v="0"/>
    <n v="21"/>
    <x v="872"/>
  </r>
  <r>
    <n v="874"/>
    <n v="57"/>
    <n v="22"/>
    <n v="0"/>
    <n v="0"/>
    <n v="22"/>
    <x v="873"/>
  </r>
  <r>
    <n v="875"/>
    <n v="48"/>
    <n v="44"/>
    <n v="9"/>
    <n v="0"/>
    <n v="0"/>
    <x v="874"/>
  </r>
  <r>
    <n v="876"/>
    <n v="31"/>
    <n v="28"/>
    <n v="5"/>
    <n v="0"/>
    <n v="2"/>
    <x v="875"/>
  </r>
  <r>
    <n v="877"/>
    <n v="87"/>
    <n v="53"/>
    <n v="24"/>
    <n v="0"/>
    <n v="11"/>
    <x v="876"/>
  </r>
  <r>
    <n v="878"/>
    <n v="63"/>
    <n v="57"/>
    <n v="10"/>
    <n v="0"/>
    <n v="48"/>
    <x v="877"/>
  </r>
  <r>
    <n v="879"/>
    <n v="72"/>
    <n v="15"/>
    <n v="33"/>
    <n v="0"/>
    <n v="19"/>
    <x v="878"/>
  </r>
  <r>
    <n v="880"/>
    <n v="86"/>
    <n v="43"/>
    <n v="0"/>
    <n v="0"/>
    <n v="1"/>
    <x v="879"/>
  </r>
  <r>
    <n v="881"/>
    <n v="55"/>
    <n v="41"/>
    <n v="13"/>
    <n v="0"/>
    <n v="16"/>
    <x v="880"/>
  </r>
  <r>
    <n v="882"/>
    <n v="38"/>
    <n v="56"/>
    <n v="47"/>
    <n v="0"/>
    <n v="52"/>
    <x v="881"/>
  </r>
  <r>
    <n v="883"/>
    <n v="73"/>
    <n v="25"/>
    <n v="9"/>
    <n v="0"/>
    <n v="3"/>
    <x v="882"/>
  </r>
  <r>
    <n v="884"/>
    <n v="58"/>
    <n v="18"/>
    <n v="1"/>
    <n v="0"/>
    <n v="61"/>
    <x v="883"/>
  </r>
  <r>
    <n v="885"/>
    <n v="76"/>
    <n v="29"/>
    <n v="7"/>
    <n v="0"/>
    <n v="6"/>
    <x v="884"/>
  </r>
  <r>
    <n v="886"/>
    <n v="98"/>
    <n v="34"/>
    <n v="2"/>
    <n v="0"/>
    <n v="17"/>
    <x v="885"/>
  </r>
  <r>
    <n v="887"/>
    <n v="55"/>
    <n v="36"/>
    <n v="9"/>
    <n v="0"/>
    <n v="28"/>
    <x v="886"/>
  </r>
  <r>
    <n v="888"/>
    <n v="59"/>
    <n v="38"/>
    <n v="62"/>
    <n v="0"/>
    <n v="0"/>
    <x v="887"/>
  </r>
  <r>
    <n v="889"/>
    <n v="117"/>
    <n v="46"/>
    <n v="30"/>
    <n v="0"/>
    <n v="35"/>
    <x v="888"/>
  </r>
  <r>
    <n v="890"/>
    <n v="37"/>
    <n v="20"/>
    <n v="36"/>
    <n v="0"/>
    <n v="21"/>
    <x v="889"/>
  </r>
  <r>
    <n v="891"/>
    <n v="49"/>
    <n v="42"/>
    <n v="47"/>
    <n v="0"/>
    <n v="0"/>
    <x v="890"/>
  </r>
  <r>
    <n v="892"/>
    <n v="49"/>
    <n v="35"/>
    <n v="24"/>
    <n v="0"/>
    <n v="55"/>
    <x v="891"/>
  </r>
  <r>
    <n v="893"/>
    <n v="68"/>
    <n v="19"/>
    <n v="30"/>
    <n v="0"/>
    <n v="39"/>
    <x v="892"/>
  </r>
  <r>
    <n v="894"/>
    <n v="74"/>
    <n v="47"/>
    <n v="23"/>
    <n v="0"/>
    <n v="29"/>
    <x v="893"/>
  </r>
  <r>
    <n v="895"/>
    <n v="48"/>
    <n v="22"/>
    <n v="11"/>
    <n v="0"/>
    <n v="53"/>
    <x v="894"/>
  </r>
  <r>
    <n v="896"/>
    <n v="48"/>
    <n v="63"/>
    <n v="34"/>
    <n v="0"/>
    <n v="20"/>
    <x v="895"/>
  </r>
  <r>
    <n v="897"/>
    <n v="83"/>
    <n v="44"/>
    <n v="19"/>
    <n v="0"/>
    <n v="11"/>
    <x v="896"/>
  </r>
  <r>
    <n v="898"/>
    <n v="72"/>
    <n v="22"/>
    <n v="41"/>
    <n v="0"/>
    <n v="40"/>
    <x v="897"/>
  </r>
  <r>
    <n v="899"/>
    <n v="56"/>
    <n v="31"/>
    <n v="18"/>
    <n v="0"/>
    <n v="31"/>
    <x v="898"/>
  </r>
  <r>
    <n v="900"/>
    <n v="75"/>
    <n v="46"/>
    <n v="9"/>
    <n v="0"/>
    <n v="7"/>
    <x v="899"/>
  </r>
  <r>
    <n v="901"/>
    <n v="36"/>
    <n v="31"/>
    <n v="23"/>
    <n v="0"/>
    <n v="0"/>
    <x v="900"/>
  </r>
  <r>
    <n v="902"/>
    <n v="54"/>
    <n v="40"/>
    <n v="22"/>
    <n v="0"/>
    <n v="16"/>
    <x v="901"/>
  </r>
  <r>
    <n v="903"/>
    <n v="73"/>
    <n v="67"/>
    <n v="51"/>
    <n v="0"/>
    <n v="2"/>
    <x v="902"/>
  </r>
  <r>
    <n v="904"/>
    <n v="53"/>
    <n v="12"/>
    <n v="13"/>
    <n v="0"/>
    <n v="4"/>
    <x v="903"/>
  </r>
  <r>
    <n v="905"/>
    <n v="50"/>
    <n v="97"/>
    <n v="33"/>
    <n v="0"/>
    <n v="13"/>
    <x v="904"/>
  </r>
  <r>
    <n v="906"/>
    <n v="83"/>
    <n v="30"/>
    <n v="2"/>
    <n v="0"/>
    <n v="7"/>
    <x v="905"/>
  </r>
  <r>
    <n v="907"/>
    <n v="42"/>
    <n v="38"/>
    <n v="12"/>
    <n v="0"/>
    <n v="13"/>
    <x v="906"/>
  </r>
  <r>
    <n v="908"/>
    <n v="57"/>
    <n v="75"/>
    <n v="7"/>
    <n v="0"/>
    <n v="60"/>
    <x v="907"/>
  </r>
  <r>
    <n v="909"/>
    <n v="73"/>
    <n v="29"/>
    <n v="0"/>
    <n v="0"/>
    <n v="41"/>
    <x v="908"/>
  </r>
  <r>
    <n v="910"/>
    <n v="54"/>
    <n v="54"/>
    <n v="28"/>
    <n v="0"/>
    <n v="22"/>
    <x v="909"/>
  </r>
  <r>
    <n v="911"/>
    <n v="94"/>
    <n v="84"/>
    <n v="0"/>
    <n v="0"/>
    <n v="11"/>
    <x v="910"/>
  </r>
  <r>
    <n v="912"/>
    <n v="78"/>
    <n v="51"/>
    <n v="36"/>
    <n v="0"/>
    <n v="3"/>
    <x v="911"/>
  </r>
  <r>
    <n v="913"/>
    <n v="78"/>
    <n v="51"/>
    <n v="29"/>
    <n v="0"/>
    <n v="15"/>
    <x v="912"/>
  </r>
  <r>
    <n v="914"/>
    <n v="81"/>
    <n v="40"/>
    <n v="10"/>
    <n v="0"/>
    <n v="1"/>
    <x v="913"/>
  </r>
  <r>
    <n v="915"/>
    <n v="63"/>
    <n v="50"/>
    <n v="9"/>
    <n v="0"/>
    <n v="8"/>
    <x v="914"/>
  </r>
  <r>
    <n v="916"/>
    <n v="37"/>
    <n v="46"/>
    <n v="4"/>
    <n v="0"/>
    <n v="11"/>
    <x v="915"/>
  </r>
  <r>
    <n v="917"/>
    <n v="75"/>
    <n v="60"/>
    <n v="10"/>
    <n v="0"/>
    <n v="20"/>
    <x v="916"/>
  </r>
  <r>
    <n v="918"/>
    <n v="49"/>
    <n v="65"/>
    <n v="7"/>
    <n v="0"/>
    <n v="0"/>
    <x v="917"/>
  </r>
  <r>
    <n v="919"/>
    <n v="62"/>
    <n v="68"/>
    <n v="8"/>
    <n v="0"/>
    <n v="12"/>
    <x v="918"/>
  </r>
  <r>
    <n v="920"/>
    <n v="43"/>
    <n v="52"/>
    <n v="6"/>
    <n v="250"/>
    <n v="0"/>
    <x v="919"/>
  </r>
  <r>
    <n v="921"/>
    <n v="60"/>
    <n v="29"/>
    <n v="16"/>
    <n v="0"/>
    <n v="7"/>
    <x v="920"/>
  </r>
  <r>
    <n v="922"/>
    <n v="85"/>
    <n v="68"/>
    <n v="8"/>
    <n v="0"/>
    <n v="38"/>
    <x v="921"/>
  </r>
  <r>
    <n v="923"/>
    <n v="49"/>
    <n v="30"/>
    <n v="12"/>
    <n v="250"/>
    <n v="41"/>
    <x v="922"/>
  </r>
  <r>
    <n v="924"/>
    <n v="86"/>
    <n v="39"/>
    <n v="17"/>
    <n v="0"/>
    <n v="3"/>
    <x v="923"/>
  </r>
  <r>
    <n v="925"/>
    <n v="86"/>
    <n v="17"/>
    <n v="3"/>
    <n v="0"/>
    <n v="9"/>
    <x v="924"/>
  </r>
  <r>
    <n v="926"/>
    <n v="85"/>
    <n v="57"/>
    <n v="11"/>
    <n v="0"/>
    <n v="32"/>
    <x v="925"/>
  </r>
  <r>
    <n v="927"/>
    <n v="71"/>
    <n v="37"/>
    <n v="14"/>
    <n v="0"/>
    <n v="17"/>
    <x v="926"/>
  </r>
  <r>
    <n v="928"/>
    <n v="88"/>
    <n v="61"/>
    <n v="13"/>
    <n v="0"/>
    <n v="17"/>
    <x v="927"/>
  </r>
  <r>
    <n v="929"/>
    <n v="42"/>
    <n v="37"/>
    <n v="4"/>
    <n v="0"/>
    <n v="4"/>
    <x v="928"/>
  </r>
  <r>
    <n v="930"/>
    <n v="112"/>
    <n v="46"/>
    <n v="6"/>
    <n v="0"/>
    <n v="55"/>
    <x v="929"/>
  </r>
  <r>
    <n v="931"/>
    <n v="73"/>
    <n v="58"/>
    <n v="9"/>
    <n v="0"/>
    <n v="17"/>
    <x v="930"/>
  </r>
  <r>
    <n v="932"/>
    <n v="109"/>
    <n v="31"/>
    <n v="20"/>
    <n v="0"/>
    <n v="27"/>
    <x v="931"/>
  </r>
  <r>
    <n v="933"/>
    <n v="53"/>
    <n v="35"/>
    <n v="1"/>
    <n v="0"/>
    <n v="15"/>
    <x v="932"/>
  </r>
  <r>
    <n v="934"/>
    <n v="87"/>
    <n v="38"/>
    <n v="12"/>
    <n v="0"/>
    <n v="12"/>
    <x v="933"/>
  </r>
  <r>
    <n v="935"/>
    <n v="45"/>
    <n v="82"/>
    <n v="33"/>
    <n v="0"/>
    <n v="23"/>
    <x v="934"/>
  </r>
  <r>
    <n v="936"/>
    <n v="109"/>
    <n v="58"/>
    <n v="38"/>
    <n v="0"/>
    <n v="2"/>
    <x v="935"/>
  </r>
  <r>
    <n v="937"/>
    <n v="89"/>
    <n v="23"/>
    <n v="7"/>
    <n v="0"/>
    <n v="59"/>
    <x v="936"/>
  </r>
  <r>
    <n v="938"/>
    <n v="57"/>
    <n v="38"/>
    <n v="28"/>
    <n v="0"/>
    <n v="3"/>
    <x v="937"/>
  </r>
  <r>
    <n v="939"/>
    <n v="77"/>
    <n v="60"/>
    <n v="31"/>
    <n v="0"/>
    <n v="0"/>
    <x v="938"/>
  </r>
  <r>
    <n v="940"/>
    <n v="112"/>
    <n v="51"/>
    <n v="5"/>
    <n v="0"/>
    <n v="18"/>
    <x v="939"/>
  </r>
  <r>
    <n v="941"/>
    <n v="75"/>
    <n v="43"/>
    <n v="22"/>
    <n v="0"/>
    <n v="8"/>
    <x v="940"/>
  </r>
  <r>
    <n v="942"/>
    <n v="50"/>
    <n v="56"/>
    <n v="7"/>
    <n v="0"/>
    <n v="0"/>
    <x v="941"/>
  </r>
  <r>
    <n v="943"/>
    <n v="72"/>
    <n v="52"/>
    <n v="13"/>
    <n v="0"/>
    <n v="19"/>
    <x v="942"/>
  </r>
  <r>
    <n v="944"/>
    <n v="60"/>
    <n v="46"/>
    <n v="9"/>
    <n v="0"/>
    <n v="3"/>
    <x v="943"/>
  </r>
  <r>
    <n v="945"/>
    <n v="49"/>
    <n v="70"/>
    <n v="25"/>
    <n v="0"/>
    <n v="1"/>
    <x v="944"/>
  </r>
  <r>
    <n v="946"/>
    <n v="71"/>
    <n v="50"/>
    <n v="0"/>
    <n v="0"/>
    <n v="3"/>
    <x v="945"/>
  </r>
  <r>
    <n v="947"/>
    <n v="85"/>
    <n v="59"/>
    <n v="20"/>
    <n v="0"/>
    <n v="14"/>
    <x v="946"/>
  </r>
  <r>
    <n v="948"/>
    <n v="49"/>
    <n v="87"/>
    <n v="12"/>
    <n v="0"/>
    <n v="45"/>
    <x v="947"/>
  </r>
  <r>
    <n v="949"/>
    <n v="60"/>
    <n v="42"/>
    <n v="9"/>
    <n v="0"/>
    <n v="4"/>
    <x v="948"/>
  </r>
  <r>
    <n v="950"/>
    <n v="102"/>
    <n v="52"/>
    <n v="44"/>
    <n v="0"/>
    <n v="0"/>
    <x v="949"/>
  </r>
  <r>
    <n v="951"/>
    <n v="65"/>
    <n v="39"/>
    <n v="11"/>
    <n v="0"/>
    <n v="21"/>
    <x v="950"/>
  </r>
  <r>
    <n v="952"/>
    <n v="50"/>
    <n v="37"/>
    <n v="10"/>
    <n v="250"/>
    <n v="25"/>
    <x v="951"/>
  </r>
  <r>
    <n v="953"/>
    <n v="47"/>
    <n v="70"/>
    <n v="0"/>
    <n v="0"/>
    <n v="0"/>
    <x v="952"/>
  </r>
  <r>
    <n v="954"/>
    <n v="60"/>
    <n v="30"/>
    <n v="14"/>
    <n v="0"/>
    <n v="17"/>
    <x v="953"/>
  </r>
  <r>
    <n v="955"/>
    <n v="64"/>
    <n v="46"/>
    <n v="10"/>
    <n v="0"/>
    <n v="12"/>
    <x v="954"/>
  </r>
  <r>
    <n v="956"/>
    <n v="47"/>
    <n v="52"/>
    <n v="6"/>
    <n v="0"/>
    <n v="20"/>
    <x v="955"/>
  </r>
  <r>
    <n v="957"/>
    <n v="77"/>
    <n v="43"/>
    <n v="6"/>
    <n v="0"/>
    <n v="10"/>
    <x v="956"/>
  </r>
  <r>
    <n v="958"/>
    <n v="86"/>
    <n v="51"/>
    <n v="38"/>
    <n v="0"/>
    <n v="6"/>
    <x v="957"/>
  </r>
  <r>
    <n v="959"/>
    <n v="54"/>
    <n v="37"/>
    <n v="12"/>
    <n v="0"/>
    <n v="22"/>
    <x v="958"/>
  </r>
  <r>
    <n v="960"/>
    <n v="65"/>
    <n v="69"/>
    <n v="3"/>
    <n v="0"/>
    <n v="0"/>
    <x v="959"/>
  </r>
  <r>
    <n v="961"/>
    <n v="28"/>
    <n v="32"/>
    <n v="32"/>
    <n v="0"/>
    <n v="31"/>
    <x v="960"/>
  </r>
  <r>
    <n v="962"/>
    <n v="56"/>
    <n v="55"/>
    <n v="20"/>
    <n v="0"/>
    <n v="80"/>
    <x v="961"/>
  </r>
  <r>
    <n v="963"/>
    <n v="54"/>
    <n v="48"/>
    <n v="48"/>
    <n v="0"/>
    <n v="3"/>
    <x v="962"/>
  </r>
  <r>
    <n v="964"/>
    <n v="41"/>
    <n v="50"/>
    <n v="12"/>
    <n v="0"/>
    <n v="10"/>
    <x v="963"/>
  </r>
  <r>
    <n v="965"/>
    <n v="79"/>
    <n v="78"/>
    <n v="10"/>
    <n v="0"/>
    <n v="19"/>
    <x v="964"/>
  </r>
  <r>
    <n v="966"/>
    <n v="77"/>
    <n v="26"/>
    <n v="9"/>
    <n v="0"/>
    <n v="43"/>
    <x v="965"/>
  </r>
  <r>
    <n v="967"/>
    <n v="55"/>
    <n v="54"/>
    <n v="0"/>
    <n v="0"/>
    <n v="11"/>
    <x v="966"/>
  </r>
  <r>
    <n v="968"/>
    <n v="61"/>
    <n v="83"/>
    <n v="27"/>
    <n v="0"/>
    <n v="17"/>
    <x v="967"/>
  </r>
  <r>
    <n v="969"/>
    <n v="54"/>
    <n v="82"/>
    <n v="13"/>
    <n v="0"/>
    <n v="0"/>
    <x v="968"/>
  </r>
  <r>
    <n v="970"/>
    <n v="54"/>
    <n v="44"/>
    <n v="28"/>
    <n v="0"/>
    <n v="13"/>
    <x v="969"/>
  </r>
  <r>
    <n v="971"/>
    <n v="58"/>
    <n v="32"/>
    <n v="21"/>
    <n v="0"/>
    <n v="0"/>
    <x v="970"/>
  </r>
  <r>
    <n v="972"/>
    <n v="56"/>
    <n v="85"/>
    <n v="0"/>
    <n v="0"/>
    <n v="8"/>
    <x v="971"/>
  </r>
  <r>
    <n v="973"/>
    <n v="95"/>
    <n v="44"/>
    <n v="3"/>
    <n v="0"/>
    <n v="11"/>
    <x v="972"/>
  </r>
  <r>
    <n v="974"/>
    <n v="25"/>
    <n v="27"/>
    <n v="2"/>
    <n v="0"/>
    <n v="0"/>
    <x v="973"/>
  </r>
  <r>
    <n v="975"/>
    <n v="58"/>
    <n v="69"/>
    <n v="0"/>
    <n v="0"/>
    <n v="15"/>
    <x v="974"/>
  </r>
  <r>
    <n v="976"/>
    <n v="55"/>
    <n v="65"/>
    <n v="16"/>
    <n v="0"/>
    <n v="19"/>
    <x v="975"/>
  </r>
  <r>
    <n v="977"/>
    <n v="65"/>
    <n v="70"/>
    <n v="12"/>
    <n v="0"/>
    <n v="7"/>
    <x v="976"/>
  </r>
  <r>
    <n v="978"/>
    <n v="82"/>
    <n v="50"/>
    <n v="75"/>
    <n v="0"/>
    <n v="8"/>
    <x v="977"/>
  </r>
  <r>
    <n v="979"/>
    <n v="34"/>
    <n v="46"/>
    <n v="7"/>
    <n v="0"/>
    <n v="5"/>
    <x v="978"/>
  </r>
  <r>
    <n v="980"/>
    <n v="43"/>
    <n v="43"/>
    <n v="4"/>
    <n v="0"/>
    <n v="12"/>
    <x v="979"/>
  </r>
  <r>
    <n v="981"/>
    <n v="51"/>
    <n v="51"/>
    <n v="0"/>
    <n v="0"/>
    <n v="11"/>
    <x v="980"/>
  </r>
  <r>
    <n v="982"/>
    <n v="53"/>
    <n v="60"/>
    <n v="8"/>
    <n v="0"/>
    <n v="22"/>
    <x v="981"/>
  </r>
  <r>
    <n v="983"/>
    <n v="53"/>
    <n v="43"/>
    <n v="23"/>
    <n v="0"/>
    <n v="2"/>
    <x v="982"/>
  </r>
  <r>
    <n v="984"/>
    <n v="81"/>
    <n v="41"/>
    <n v="46"/>
    <n v="0"/>
    <n v="6"/>
    <x v="983"/>
  </r>
  <r>
    <n v="985"/>
    <n v="28"/>
    <n v="71"/>
    <n v="10"/>
    <n v="0"/>
    <n v="27"/>
    <x v="984"/>
  </r>
  <r>
    <n v="986"/>
    <n v="83"/>
    <n v="45"/>
    <n v="35"/>
    <n v="0"/>
    <n v="7"/>
    <x v="985"/>
  </r>
  <r>
    <n v="987"/>
    <n v="82"/>
    <n v="62"/>
    <n v="10"/>
    <n v="0"/>
    <n v="21"/>
    <x v="986"/>
  </r>
  <r>
    <n v="988"/>
    <n v="42"/>
    <n v="51"/>
    <n v="15"/>
    <n v="250"/>
    <n v="15"/>
    <x v="987"/>
  </r>
  <r>
    <n v="989"/>
    <n v="43"/>
    <n v="47"/>
    <n v="16"/>
    <n v="0"/>
    <n v="23"/>
    <x v="988"/>
  </r>
  <r>
    <n v="990"/>
    <n v="50"/>
    <n v="90"/>
    <n v="0"/>
    <n v="0"/>
    <n v="30"/>
    <x v="989"/>
  </r>
  <r>
    <n v="991"/>
    <n v="40"/>
    <n v="40"/>
    <n v="32"/>
    <n v="0"/>
    <n v="0"/>
    <x v="990"/>
  </r>
  <r>
    <n v="992"/>
    <n v="42"/>
    <n v="37"/>
    <n v="10"/>
    <n v="0"/>
    <n v="17"/>
    <x v="991"/>
  </r>
  <r>
    <n v="993"/>
    <n v="24"/>
    <n v="34"/>
    <n v="0"/>
    <n v="250"/>
    <n v="0"/>
    <x v="992"/>
  </r>
  <r>
    <n v="994"/>
    <n v="52"/>
    <n v="23"/>
    <n v="11"/>
    <n v="0"/>
    <n v="23"/>
    <x v="993"/>
  </r>
  <r>
    <n v="995"/>
    <n v="37"/>
    <n v="43"/>
    <n v="7"/>
    <n v="0"/>
    <n v="49"/>
    <x v="994"/>
  </r>
  <r>
    <n v="996"/>
    <n v="28"/>
    <n v="97"/>
    <n v="3"/>
    <n v="0"/>
    <n v="28"/>
    <x v="995"/>
  </r>
  <r>
    <n v="997"/>
    <n v="41"/>
    <n v="46"/>
    <n v="29"/>
    <n v="0"/>
    <n v="58"/>
    <x v="996"/>
  </r>
  <r>
    <n v="998"/>
    <n v="37"/>
    <n v="23"/>
    <n v="13"/>
    <n v="0"/>
    <n v="27"/>
    <x v="997"/>
  </r>
  <r>
    <n v="999"/>
    <n v="25"/>
    <n v="47"/>
    <n v="38"/>
    <n v="0"/>
    <n v="0"/>
    <x v="998"/>
  </r>
  <r>
    <n v="1000"/>
    <n v="40"/>
    <n v="69"/>
    <n v="15"/>
    <n v="0"/>
    <n v="9"/>
    <x v="999"/>
  </r>
  <r>
    <n v="1001"/>
    <n v="48"/>
    <n v="47"/>
    <n v="25"/>
    <n v="0"/>
    <n v="10"/>
    <x v="1000"/>
  </r>
  <r>
    <n v="1002"/>
    <n v="72"/>
    <n v="68"/>
    <n v="11"/>
    <n v="0"/>
    <n v="9"/>
    <x v="1001"/>
  </r>
  <r>
    <n v="1003"/>
    <n v="54"/>
    <n v="48"/>
    <n v="23"/>
    <n v="0"/>
    <n v="11"/>
    <x v="1002"/>
  </r>
  <r>
    <n v="1004"/>
    <n v="25"/>
    <n v="47"/>
    <n v="25"/>
    <n v="0"/>
    <n v="6"/>
    <x v="1003"/>
  </r>
  <r>
    <n v="1005"/>
    <n v="27"/>
    <n v="73"/>
    <n v="1"/>
    <n v="0"/>
    <n v="15"/>
    <x v="1004"/>
  </r>
  <r>
    <n v="1006"/>
    <n v="47"/>
    <n v="53"/>
    <n v="7"/>
    <n v="0"/>
    <n v="33"/>
    <x v="1005"/>
  </r>
  <r>
    <n v="1007"/>
    <n v="24"/>
    <n v="56"/>
    <n v="8"/>
    <n v="0"/>
    <n v="32"/>
    <x v="1006"/>
  </r>
  <r>
    <n v="1008"/>
    <n v="50"/>
    <n v="62"/>
    <n v="21"/>
    <n v="0"/>
    <n v="57"/>
    <x v="1007"/>
  </r>
  <r>
    <n v="1009"/>
    <n v="48"/>
    <n v="45"/>
    <n v="3"/>
    <n v="0"/>
    <n v="50"/>
    <x v="1008"/>
  </r>
  <r>
    <n v="1010"/>
    <n v="53"/>
    <n v="56"/>
    <n v="9"/>
    <n v="0"/>
    <n v="2"/>
    <x v="1009"/>
  </r>
  <r>
    <n v="1011"/>
    <n v="23"/>
    <n v="55"/>
    <n v="16"/>
    <n v="0"/>
    <n v="4"/>
    <x v="1010"/>
  </r>
  <r>
    <n v="1012"/>
    <n v="19"/>
    <n v="54"/>
    <n v="2"/>
    <n v="0"/>
    <n v="5"/>
    <x v="1011"/>
  </r>
  <r>
    <n v="1013"/>
    <n v="28"/>
    <n v="67"/>
    <n v="0"/>
    <n v="0"/>
    <n v="5"/>
    <x v="1012"/>
  </r>
  <r>
    <n v="1014"/>
    <n v="29"/>
    <n v="63"/>
    <n v="2"/>
    <n v="0"/>
    <n v="13"/>
    <x v="1013"/>
  </r>
  <r>
    <n v="1015"/>
    <n v="17"/>
    <n v="42"/>
    <n v="8"/>
    <n v="250"/>
    <n v="0"/>
    <x v="1014"/>
  </r>
  <r>
    <n v="1016"/>
    <n v="21"/>
    <n v="122"/>
    <n v="0"/>
    <n v="0"/>
    <n v="32"/>
    <x v="1015"/>
  </r>
  <r>
    <n v="1017"/>
    <n v="61"/>
    <n v="66"/>
    <n v="29"/>
    <n v="0"/>
    <n v="9"/>
    <x v="1016"/>
  </r>
  <r>
    <n v="1018"/>
    <n v="26"/>
    <n v="34"/>
    <n v="28"/>
    <n v="0"/>
    <n v="7"/>
    <x v="1017"/>
  </r>
  <r>
    <n v="1019"/>
    <n v="40"/>
    <n v="42"/>
    <n v="30"/>
    <n v="0"/>
    <n v="6"/>
    <x v="1018"/>
  </r>
  <r>
    <n v="1020"/>
    <n v="18"/>
    <n v="62"/>
    <n v="8"/>
    <n v="0"/>
    <n v="4"/>
    <x v="1019"/>
  </r>
  <r>
    <n v="1021"/>
    <n v="17"/>
    <n v="72"/>
    <n v="2"/>
    <n v="0"/>
    <n v="0"/>
    <x v="1020"/>
  </r>
  <r>
    <n v="1022"/>
    <n v="10"/>
    <n v="51"/>
    <n v="28"/>
    <n v="0"/>
    <n v="39"/>
    <x v="1021"/>
  </r>
  <r>
    <n v="1023"/>
    <n v="30"/>
    <n v="30"/>
    <n v="14"/>
    <n v="0"/>
    <n v="5"/>
    <x v="1022"/>
  </r>
  <r>
    <n v="1024"/>
    <n v="9"/>
    <n v="112"/>
    <n v="5"/>
    <n v="0"/>
    <n v="15"/>
    <x v="1023"/>
  </r>
  <r>
    <n v="1025"/>
    <n v="48"/>
    <n v="77"/>
    <n v="12"/>
    <n v="0"/>
    <n v="49"/>
    <x v="1024"/>
  </r>
  <r>
    <n v="1026"/>
    <n v="15"/>
    <n v="65"/>
    <n v="16"/>
    <n v="0"/>
    <n v="5"/>
    <x v="1025"/>
  </r>
  <r>
    <n v="1027"/>
    <n v="23"/>
    <n v="70"/>
    <n v="22"/>
    <n v="0"/>
    <n v="16"/>
    <x v="1026"/>
  </r>
  <r>
    <n v="1028"/>
    <n v="29"/>
    <n v="68"/>
    <n v="2"/>
    <n v="0"/>
    <n v="0"/>
    <x v="1027"/>
  </r>
  <r>
    <n v="1029"/>
    <n v="28"/>
    <n v="72"/>
    <n v="4"/>
    <n v="0"/>
    <n v="9"/>
    <x v="1028"/>
  </r>
  <r>
    <n v="1030"/>
    <n v="36"/>
    <n v="76"/>
    <n v="6"/>
    <n v="0"/>
    <n v="0"/>
    <x v="1029"/>
  </r>
  <r>
    <n v="1031"/>
    <n v="22"/>
    <n v="55"/>
    <n v="7"/>
    <n v="0"/>
    <n v="35"/>
    <x v="1030"/>
  </r>
  <r>
    <n v="1032"/>
    <n v="47"/>
    <n v="50"/>
    <n v="83"/>
    <n v="0"/>
    <n v="5"/>
    <x v="1031"/>
  </r>
  <r>
    <n v="1033"/>
    <n v="15"/>
    <n v="82"/>
    <n v="18"/>
    <n v="0"/>
    <n v="0"/>
    <x v="1032"/>
  </r>
  <r>
    <n v="1034"/>
    <n v="16"/>
    <n v="63"/>
    <n v="44"/>
    <n v="0"/>
    <n v="0"/>
    <x v="1033"/>
  </r>
  <r>
    <n v="1035"/>
    <n v="19"/>
    <n v="43"/>
    <n v="38"/>
    <n v="0"/>
    <n v="17"/>
    <x v="1034"/>
  </r>
  <r>
    <n v="1036"/>
    <n v="12"/>
    <n v="99"/>
    <n v="39"/>
    <n v="0"/>
    <n v="16"/>
    <x v="1035"/>
  </r>
  <r>
    <n v="1037"/>
    <n v="28"/>
    <n v="33"/>
    <n v="6"/>
    <n v="0"/>
    <n v="8"/>
    <x v="1036"/>
  </r>
  <r>
    <n v="1038"/>
    <n v="33"/>
    <n v="39"/>
    <n v="13"/>
    <n v="0"/>
    <n v="12"/>
    <x v="1037"/>
  </r>
  <r>
    <n v="1039"/>
    <n v="22"/>
    <n v="75"/>
    <n v="0"/>
    <n v="0"/>
    <n v="0"/>
    <x v="1038"/>
  </r>
  <r>
    <n v="1040"/>
    <n v="16"/>
    <n v="76"/>
    <n v="12"/>
    <n v="0"/>
    <n v="15"/>
    <x v="1039"/>
  </r>
  <r>
    <n v="1041"/>
    <n v="12"/>
    <n v="39"/>
    <n v="5"/>
    <n v="0"/>
    <n v="18"/>
    <x v="1040"/>
  </r>
  <r>
    <n v="1042"/>
    <n v="21"/>
    <n v="65"/>
    <n v="24"/>
    <n v="0"/>
    <n v="23"/>
    <x v="1041"/>
  </r>
  <r>
    <n v="1043"/>
    <n v="59"/>
    <n v="64"/>
    <n v="0"/>
    <n v="0"/>
    <n v="14"/>
    <x v="1042"/>
  </r>
  <r>
    <n v="1044"/>
    <n v="26"/>
    <n v="53"/>
    <n v="15"/>
    <n v="0"/>
    <n v="4"/>
    <x v="1043"/>
  </r>
  <r>
    <n v="1045"/>
    <n v="4"/>
    <n v="96"/>
    <n v="11"/>
    <n v="0"/>
    <n v="34"/>
    <x v="1044"/>
  </r>
  <r>
    <n v="1046"/>
    <n v="11"/>
    <n v="68"/>
    <n v="25"/>
    <n v="0"/>
    <n v="14"/>
    <x v="1045"/>
  </r>
  <r>
    <n v="1047"/>
    <n v="9"/>
    <n v="60"/>
    <n v="2"/>
    <n v="0"/>
    <n v="0"/>
    <x v="1046"/>
  </r>
  <r>
    <n v="1048"/>
    <n v="13"/>
    <n v="48"/>
    <n v="7"/>
    <n v="0"/>
    <n v="9"/>
    <x v="1047"/>
  </r>
  <r>
    <n v="1049"/>
    <n v="7"/>
    <n v="77"/>
    <n v="31"/>
    <n v="0"/>
    <n v="9"/>
    <x v="1048"/>
  </r>
  <r>
    <n v="1050"/>
    <n v="12"/>
    <n v="84"/>
    <n v="0"/>
    <n v="0"/>
    <n v="14"/>
    <x v="1049"/>
  </r>
  <r>
    <n v="1051"/>
    <n v="10"/>
    <n v="89"/>
    <n v="2"/>
    <n v="0"/>
    <n v="57"/>
    <x v="1050"/>
  </r>
  <r>
    <n v="1052"/>
    <n v="8"/>
    <n v="79"/>
    <n v="14"/>
    <n v="250"/>
    <n v="21"/>
    <x v="1051"/>
  </r>
  <r>
    <n v="1053"/>
    <n v="50"/>
    <n v="33"/>
    <n v="0"/>
    <n v="0"/>
    <n v="7"/>
    <x v="1052"/>
  </r>
  <r>
    <n v="1054"/>
    <n v="12"/>
    <n v="50"/>
    <n v="58"/>
    <n v="0"/>
    <n v="20"/>
    <x v="1053"/>
  </r>
  <r>
    <n v="1055"/>
    <n v="10"/>
    <n v="45"/>
    <n v="6"/>
    <n v="0"/>
    <n v="5"/>
    <x v="1054"/>
  </r>
  <r>
    <n v="1056"/>
    <n v="20"/>
    <n v="85"/>
    <n v="0"/>
    <n v="0"/>
    <n v="25"/>
    <x v="1055"/>
  </r>
  <r>
    <n v="1057"/>
    <n v="48"/>
    <n v="55"/>
    <n v="30"/>
    <n v="250"/>
    <n v="44"/>
    <x v="1056"/>
  </r>
  <r>
    <n v="1058"/>
    <n v="5"/>
    <n v="53"/>
    <n v="27"/>
    <n v="0"/>
    <n v="7"/>
    <x v="1057"/>
  </r>
  <r>
    <n v="1059"/>
    <n v="8"/>
    <n v="55"/>
    <n v="5"/>
    <n v="0"/>
    <n v="0"/>
    <x v="1058"/>
  </r>
  <r>
    <n v="1060"/>
    <n v="4"/>
    <n v="70"/>
    <n v="16"/>
    <n v="0"/>
    <n v="23"/>
    <x v="1059"/>
  </r>
  <r>
    <n v="1061"/>
    <n v="13"/>
    <n v="45"/>
    <n v="3"/>
    <n v="0"/>
    <n v="0"/>
    <x v="1060"/>
  </r>
  <r>
    <n v="1062"/>
    <n v="26"/>
    <n v="77"/>
    <n v="1"/>
    <n v="0"/>
    <n v="24"/>
    <x v="1061"/>
  </r>
  <r>
    <n v="1063"/>
    <n v="8"/>
    <n v="90"/>
    <n v="0"/>
    <n v="0"/>
    <n v="41"/>
    <x v="1062"/>
  </r>
  <r>
    <n v="1064"/>
    <n v="44"/>
    <n v="53"/>
    <n v="17"/>
    <n v="0"/>
    <n v="27"/>
    <x v="1063"/>
  </r>
  <r>
    <n v="1065"/>
    <n v="13"/>
    <n v="41"/>
    <n v="14"/>
    <n v="0"/>
    <n v="10"/>
    <x v="1064"/>
  </r>
  <r>
    <n v="1066"/>
    <n v="13"/>
    <n v="34"/>
    <n v="8"/>
    <n v="0"/>
    <n v="6"/>
    <x v="1065"/>
  </r>
  <r>
    <n v="1067"/>
    <n v="6"/>
    <n v="61"/>
    <n v="34"/>
    <n v="0"/>
    <n v="30"/>
    <x v="1066"/>
  </r>
  <r>
    <n v="1068"/>
    <n v="16"/>
    <n v="64"/>
    <n v="0"/>
    <n v="0"/>
    <n v="31"/>
    <x v="1067"/>
  </r>
  <r>
    <n v="1069"/>
    <n v="16"/>
    <n v="69"/>
    <n v="46"/>
    <n v="0"/>
    <n v="51"/>
    <x v="1068"/>
  </r>
  <r>
    <n v="1070"/>
    <n v="2"/>
    <n v="90"/>
    <n v="4"/>
    <n v="0"/>
    <n v="0"/>
    <x v="1069"/>
  </r>
  <r>
    <n v="1071"/>
    <n v="12"/>
    <n v="80"/>
    <n v="0"/>
    <n v="0"/>
    <n v="0"/>
    <x v="1070"/>
  </r>
  <r>
    <n v="1072"/>
    <n v="16"/>
    <n v="50"/>
    <n v="5"/>
    <n v="0"/>
    <n v="7"/>
    <x v="1071"/>
  </r>
  <r>
    <n v="1073"/>
    <n v="2"/>
    <n v="40"/>
    <n v="20"/>
    <n v="0"/>
    <n v="21"/>
    <x v="1072"/>
  </r>
  <r>
    <n v="1074"/>
    <n v="26"/>
    <n v="62"/>
    <n v="17"/>
    <n v="0"/>
    <n v="21"/>
    <x v="1073"/>
  </r>
  <r>
    <n v="1075"/>
    <n v="18"/>
    <n v="109"/>
    <n v="24"/>
    <n v="0"/>
    <n v="13"/>
    <x v="1074"/>
  </r>
  <r>
    <n v="1076"/>
    <n v="25"/>
    <n v="74"/>
    <n v="0"/>
    <n v="0"/>
    <n v="5"/>
    <x v="1075"/>
  </r>
  <r>
    <n v="1077"/>
    <n v="32"/>
    <n v="52"/>
    <n v="16"/>
    <n v="0"/>
    <n v="4"/>
    <x v="1076"/>
  </r>
  <r>
    <n v="1078"/>
    <n v="7"/>
    <n v="71"/>
    <n v="36"/>
    <n v="0"/>
    <n v="20"/>
    <x v="1077"/>
  </r>
  <r>
    <n v="1079"/>
    <n v="9"/>
    <n v="72"/>
    <n v="12"/>
    <n v="0"/>
    <n v="39"/>
    <x v="1078"/>
  </r>
  <r>
    <n v="1080"/>
    <n v="5"/>
    <n v="38"/>
    <n v="0"/>
    <n v="0"/>
    <n v="0"/>
    <x v="1079"/>
  </r>
  <r>
    <n v="1081"/>
    <n v="4"/>
    <n v="47"/>
    <n v="47"/>
    <n v="0"/>
    <n v="26"/>
    <x v="1080"/>
  </r>
  <r>
    <n v="1082"/>
    <n v="32"/>
    <n v="74"/>
    <n v="7"/>
    <n v="0"/>
    <n v="3"/>
    <x v="1081"/>
  </r>
  <r>
    <n v="1083"/>
    <n v="1"/>
    <n v="97"/>
    <n v="34"/>
    <n v="0"/>
    <n v="10"/>
    <x v="1082"/>
  </r>
  <r>
    <n v="1084"/>
    <n v="9"/>
    <n v="126"/>
    <n v="31"/>
    <n v="0"/>
    <n v="11"/>
    <x v="1083"/>
  </r>
  <r>
    <n v="1085"/>
    <n v="8"/>
    <n v="70"/>
    <n v="7"/>
    <n v="0"/>
    <n v="11"/>
    <x v="1084"/>
  </r>
  <r>
    <n v="1086"/>
    <n v="8"/>
    <n v="110"/>
    <n v="33"/>
    <n v="0"/>
    <n v="35"/>
    <x v="1085"/>
  </r>
  <r>
    <n v="1087"/>
    <n v="1"/>
    <n v="73"/>
    <n v="30"/>
    <n v="0"/>
    <n v="28"/>
    <x v="1086"/>
  </r>
  <r>
    <n v="1088"/>
    <n v="8"/>
    <n v="78"/>
    <n v="25"/>
    <n v="0"/>
    <n v="12"/>
    <x v="1087"/>
  </r>
  <r>
    <n v="1089"/>
    <n v="13"/>
    <n v="73"/>
    <n v="33"/>
    <n v="0"/>
    <n v="0"/>
    <x v="1088"/>
  </r>
  <r>
    <n v="1090"/>
    <n v="7"/>
    <n v="129"/>
    <n v="19"/>
    <n v="0"/>
    <n v="4"/>
    <x v="1089"/>
  </r>
  <r>
    <n v="1091"/>
    <n v="25"/>
    <n v="86"/>
    <n v="13"/>
    <n v="0"/>
    <n v="57"/>
    <x v="1090"/>
  </r>
  <r>
    <n v="1092"/>
    <n v="3"/>
    <n v="75"/>
    <n v="5"/>
    <n v="0"/>
    <n v="47"/>
    <x v="1091"/>
  </r>
  <r>
    <n v="1093"/>
    <n v="7"/>
    <n v="73"/>
    <n v="27"/>
    <n v="0"/>
    <n v="12"/>
    <x v="1092"/>
  </r>
  <r>
    <n v="1094"/>
    <n v="7"/>
    <n v="90"/>
    <n v="11"/>
    <n v="0"/>
    <n v="4"/>
    <x v="1093"/>
  </r>
  <r>
    <n v="1095"/>
    <n v="9"/>
    <n v="61"/>
    <n v="25"/>
    <n v="0"/>
    <n v="0"/>
    <x v="1094"/>
  </r>
  <r>
    <n v="1096"/>
    <n v="10"/>
    <n v="67"/>
    <n v="44"/>
    <n v="0"/>
    <n v="37"/>
    <x v="1095"/>
  </r>
  <r>
    <n v="1097"/>
    <n v="6"/>
    <n v="50"/>
    <n v="6"/>
    <n v="0"/>
    <n v="0"/>
    <x v="1096"/>
  </r>
  <r>
    <n v="1098"/>
    <n v="2"/>
    <n v="50"/>
    <n v="17"/>
    <n v="0"/>
    <n v="1"/>
    <x v="1097"/>
  </r>
  <r>
    <n v="1099"/>
    <n v="4"/>
    <n v="63"/>
    <n v="33"/>
    <n v="0"/>
    <n v="2"/>
    <x v="1098"/>
  </r>
  <r>
    <n v="1100"/>
    <n v="8"/>
    <n v="40"/>
    <n v="67"/>
    <n v="0"/>
    <n v="23"/>
    <x v="1099"/>
  </r>
  <r>
    <n v="1101"/>
    <n v="1"/>
    <n v="58"/>
    <n v="8"/>
    <n v="0"/>
    <n v="0"/>
    <x v="1100"/>
  </r>
  <r>
    <n v="1102"/>
    <n v="7"/>
    <n v="106"/>
    <n v="8"/>
    <n v="0"/>
    <n v="7"/>
    <x v="1101"/>
  </r>
  <r>
    <n v="1103"/>
    <n v="3"/>
    <n v="92"/>
    <n v="29"/>
    <n v="0"/>
    <n v="0"/>
    <x v="1102"/>
  </r>
  <r>
    <n v="1104"/>
    <n v="34"/>
    <n v="86"/>
    <n v="2"/>
    <n v="0"/>
    <n v="25"/>
    <x v="1103"/>
  </r>
  <r>
    <n v="1105"/>
    <n v="34"/>
    <n v="101"/>
    <n v="0"/>
    <n v="0"/>
    <n v="54"/>
    <x v="1104"/>
  </r>
  <r>
    <n v="1106"/>
    <n v="10"/>
    <n v="73"/>
    <n v="6"/>
    <n v="0"/>
    <n v="22"/>
    <x v="1105"/>
  </r>
  <r>
    <n v="1107"/>
    <n v="14"/>
    <n v="104"/>
    <n v="18"/>
    <n v="0"/>
    <n v="20"/>
    <x v="1106"/>
  </r>
  <r>
    <n v="1108"/>
    <n v="2"/>
    <n v="104"/>
    <n v="0"/>
    <n v="250"/>
    <n v="19"/>
    <x v="1107"/>
  </r>
  <r>
    <n v="1109"/>
    <n v="5"/>
    <n v="109"/>
    <n v="10"/>
    <n v="0"/>
    <n v="24"/>
    <x v="1108"/>
  </r>
  <r>
    <n v="1110"/>
    <n v="20"/>
    <n v="45"/>
    <n v="18"/>
    <n v="0"/>
    <n v="25"/>
    <x v="1109"/>
  </r>
  <r>
    <n v="1111"/>
    <n v="19"/>
    <n v="96"/>
    <n v="11"/>
    <n v="0"/>
    <n v="8"/>
    <x v="1110"/>
  </r>
  <r>
    <n v="1112"/>
    <n v="13"/>
    <n v="53"/>
    <n v="16"/>
    <n v="0"/>
    <n v="19"/>
    <x v="1111"/>
  </r>
  <r>
    <n v="1113"/>
    <n v="7"/>
    <n v="75"/>
    <n v="7"/>
    <n v="0"/>
    <n v="50"/>
    <x v="1112"/>
  </r>
  <r>
    <n v="1114"/>
    <n v="16"/>
    <n v="69"/>
    <n v="0"/>
    <n v="0"/>
    <n v="30"/>
    <x v="1113"/>
  </r>
  <r>
    <n v="1115"/>
    <n v="19"/>
    <n v="110"/>
    <n v="22"/>
    <n v="0"/>
    <n v="3"/>
    <x v="1114"/>
  </r>
  <r>
    <n v="1116"/>
    <n v="20"/>
    <n v="106"/>
    <n v="19"/>
    <n v="0"/>
    <n v="9"/>
    <x v="1115"/>
  </r>
  <r>
    <n v="1117"/>
    <n v="4"/>
    <n v="71"/>
    <n v="40"/>
    <n v="0"/>
    <n v="3"/>
    <x v="1116"/>
  </r>
  <r>
    <n v="1118"/>
    <n v="3"/>
    <n v="71"/>
    <n v="10"/>
    <n v="0"/>
    <n v="42"/>
    <x v="1117"/>
  </r>
  <r>
    <n v="1119"/>
    <n v="8"/>
    <n v="95"/>
    <n v="4"/>
    <n v="0"/>
    <n v="24"/>
    <x v="1118"/>
  </r>
  <r>
    <n v="1120"/>
    <n v="8"/>
    <n v="82"/>
    <n v="0"/>
    <n v="0"/>
    <n v="21"/>
    <x v="1119"/>
  </r>
  <r>
    <n v="1121"/>
    <n v="8"/>
    <n v="99"/>
    <n v="31"/>
    <n v="0"/>
    <n v="27"/>
    <x v="1120"/>
  </r>
  <r>
    <n v="1122"/>
    <n v="3"/>
    <n v="102"/>
    <n v="10"/>
    <n v="0"/>
    <n v="45"/>
    <x v="1121"/>
  </r>
  <r>
    <n v="1123"/>
    <n v="12"/>
    <n v="61"/>
    <n v="0"/>
    <n v="0"/>
    <n v="25"/>
    <x v="1122"/>
  </r>
  <r>
    <n v="1124"/>
    <n v="13"/>
    <n v="62"/>
    <n v="0"/>
    <n v="0"/>
    <n v="7"/>
    <x v="1123"/>
  </r>
  <r>
    <n v="1125"/>
    <n v="36"/>
    <n v="76"/>
    <n v="18"/>
    <n v="0"/>
    <n v="20"/>
    <x v="1124"/>
  </r>
  <r>
    <n v="1126"/>
    <n v="21"/>
    <n v="63"/>
    <n v="16"/>
    <n v="0"/>
    <n v="0"/>
    <x v="1125"/>
  </r>
  <r>
    <n v="1127"/>
    <n v="3"/>
    <n v="71"/>
    <n v="7"/>
    <n v="0"/>
    <n v="5"/>
    <x v="1126"/>
  </r>
  <r>
    <n v="1128"/>
    <n v="11"/>
    <n v="56"/>
    <n v="27"/>
    <n v="0"/>
    <n v="41"/>
    <x v="1127"/>
  </r>
  <r>
    <n v="1129"/>
    <n v="33"/>
    <n v="163"/>
    <n v="52"/>
    <n v="0"/>
    <n v="20"/>
    <x v="1128"/>
  </r>
  <r>
    <n v="1130"/>
    <n v="30"/>
    <n v="60"/>
    <n v="26"/>
    <n v="0"/>
    <n v="10"/>
    <x v="1129"/>
  </r>
  <r>
    <n v="1131"/>
    <n v="2"/>
    <n v="67"/>
    <n v="80"/>
    <n v="0"/>
    <n v="18"/>
    <x v="1130"/>
  </r>
  <r>
    <n v="1132"/>
    <n v="6"/>
    <n v="57"/>
    <n v="40"/>
    <n v="0"/>
    <n v="6"/>
    <x v="1131"/>
  </r>
  <r>
    <n v="1133"/>
    <n v="20"/>
    <n v="135"/>
    <n v="57"/>
    <n v="0"/>
    <n v="21"/>
    <x v="1132"/>
  </r>
  <r>
    <n v="1134"/>
    <n v="17"/>
    <n v="49"/>
    <n v="5"/>
    <n v="0"/>
    <n v="27"/>
    <x v="1133"/>
  </r>
  <r>
    <n v="1135"/>
    <n v="16"/>
    <n v="100"/>
    <n v="2"/>
    <n v="0"/>
    <n v="33"/>
    <x v="1134"/>
  </r>
  <r>
    <n v="1136"/>
    <n v="23"/>
    <n v="106"/>
    <n v="6"/>
    <n v="0"/>
    <n v="19"/>
    <x v="1135"/>
  </r>
  <r>
    <n v="1137"/>
    <n v="26"/>
    <n v="77"/>
    <n v="32"/>
    <n v="0"/>
    <n v="0"/>
    <x v="1136"/>
  </r>
  <r>
    <n v="1138"/>
    <n v="12"/>
    <n v="69"/>
    <n v="0"/>
    <n v="0"/>
    <n v="19"/>
    <x v="1137"/>
  </r>
  <r>
    <n v="1139"/>
    <n v="19"/>
    <n v="144"/>
    <n v="5"/>
    <n v="0"/>
    <n v="76"/>
    <x v="1138"/>
  </r>
  <r>
    <n v="1140"/>
    <n v="8"/>
    <n v="75"/>
    <n v="44"/>
    <n v="0"/>
    <n v="5"/>
    <x v="1139"/>
  </r>
  <r>
    <n v="1141"/>
    <n v="23"/>
    <n v="68"/>
    <n v="3"/>
    <n v="0"/>
    <n v="6"/>
    <x v="1140"/>
  </r>
  <r>
    <n v="1142"/>
    <n v="21"/>
    <n v="99"/>
    <n v="0"/>
    <n v="0"/>
    <n v="2"/>
    <x v="1141"/>
  </r>
  <r>
    <n v="1143"/>
    <n v="10"/>
    <n v="64"/>
    <n v="17"/>
    <n v="0"/>
    <n v="0"/>
    <x v="1142"/>
  </r>
  <r>
    <n v="1144"/>
    <n v="6"/>
    <n v="45"/>
    <n v="27"/>
    <n v="0"/>
    <n v="10"/>
    <x v="1143"/>
  </r>
  <r>
    <n v="1145"/>
    <n v="23"/>
    <n v="75"/>
    <n v="12"/>
    <n v="0"/>
    <n v="29"/>
    <x v="1144"/>
  </r>
  <r>
    <n v="1146"/>
    <n v="4"/>
    <n v="77"/>
    <n v="46"/>
    <n v="0"/>
    <n v="27"/>
    <x v="1145"/>
  </r>
  <r>
    <n v="1147"/>
    <n v="29"/>
    <n v="111"/>
    <n v="27"/>
    <n v="0"/>
    <n v="12"/>
    <x v="1146"/>
  </r>
  <r>
    <n v="1148"/>
    <n v="48"/>
    <n v="64"/>
    <n v="14"/>
    <n v="0"/>
    <n v="2"/>
    <x v="1147"/>
  </r>
  <r>
    <n v="1149"/>
    <n v="13"/>
    <n v="110"/>
    <n v="10"/>
    <n v="0"/>
    <n v="0"/>
    <x v="1148"/>
  </r>
  <r>
    <n v="1150"/>
    <n v="10"/>
    <n v="71"/>
    <n v="0"/>
    <n v="0"/>
    <n v="12"/>
    <x v="1149"/>
  </r>
  <r>
    <n v="1151"/>
    <n v="13"/>
    <n v="61"/>
    <n v="3"/>
    <n v="0"/>
    <n v="32"/>
    <x v="1150"/>
  </r>
  <r>
    <n v="1152"/>
    <n v="30"/>
    <n v="63"/>
    <n v="9"/>
    <n v="0"/>
    <n v="36"/>
    <x v="1151"/>
  </r>
  <r>
    <n v="1153"/>
    <n v="15"/>
    <n v="62"/>
    <n v="3"/>
    <n v="0"/>
    <n v="10"/>
    <x v="1152"/>
  </r>
  <r>
    <n v="1154"/>
    <n v="36"/>
    <n v="73"/>
    <n v="17"/>
    <n v="0"/>
    <n v="15"/>
    <x v="1153"/>
  </r>
  <r>
    <n v="1155"/>
    <n v="19"/>
    <n v="88"/>
    <n v="7"/>
    <n v="0"/>
    <n v="15"/>
    <x v="1154"/>
  </r>
  <r>
    <n v="1156"/>
    <n v="9"/>
    <n v="85"/>
    <n v="42"/>
    <n v="0"/>
    <n v="23"/>
    <x v="1155"/>
  </r>
  <r>
    <n v="1157"/>
    <n v="25"/>
    <n v="67"/>
    <n v="1"/>
    <n v="0"/>
    <n v="26"/>
    <x v="1156"/>
  </r>
  <r>
    <n v="1158"/>
    <n v="17"/>
    <n v="74"/>
    <n v="11"/>
    <n v="0"/>
    <n v="5"/>
    <x v="1157"/>
  </r>
  <r>
    <n v="1159"/>
    <n v="10"/>
    <n v="92"/>
    <n v="6"/>
    <n v="0"/>
    <n v="9"/>
    <x v="1158"/>
  </r>
  <r>
    <n v="1160"/>
    <n v="15"/>
    <n v="154"/>
    <n v="0"/>
    <n v="0"/>
    <n v="5"/>
    <x v="1159"/>
  </r>
  <r>
    <n v="1161"/>
    <n v="24"/>
    <n v="47"/>
    <n v="11"/>
    <n v="0"/>
    <n v="27"/>
    <x v="1160"/>
  </r>
  <r>
    <n v="1162"/>
    <n v="26"/>
    <n v="77"/>
    <n v="45"/>
    <n v="0"/>
    <n v="27"/>
    <x v="1161"/>
  </r>
  <r>
    <n v="1163"/>
    <n v="36"/>
    <n v="92"/>
    <n v="10"/>
    <n v="0"/>
    <n v="0"/>
    <x v="1162"/>
  </r>
  <r>
    <n v="1164"/>
    <n v="24"/>
    <n v="94"/>
    <n v="0"/>
    <n v="0"/>
    <n v="56"/>
    <x v="1163"/>
  </r>
  <r>
    <n v="1165"/>
    <n v="20"/>
    <n v="141"/>
    <n v="19"/>
    <n v="0"/>
    <n v="8"/>
    <x v="1164"/>
  </r>
  <r>
    <n v="1166"/>
    <n v="21"/>
    <n v="51"/>
    <n v="18"/>
    <n v="0"/>
    <n v="0"/>
    <x v="1165"/>
  </r>
  <r>
    <n v="1167"/>
    <n v="48"/>
    <n v="98"/>
    <n v="0"/>
    <n v="250"/>
    <n v="12"/>
    <x v="1166"/>
  </r>
  <r>
    <n v="1168"/>
    <n v="16"/>
    <n v="109"/>
    <n v="7"/>
    <n v="0"/>
    <n v="42"/>
    <x v="1167"/>
  </r>
  <r>
    <n v="1169"/>
    <n v="20"/>
    <n v="84"/>
    <n v="39"/>
    <n v="0"/>
    <n v="28"/>
    <x v="1168"/>
  </r>
  <r>
    <n v="1170"/>
    <n v="61"/>
    <n v="73"/>
    <n v="6"/>
    <n v="0"/>
    <n v="14"/>
    <x v="1169"/>
  </r>
  <r>
    <n v="1171"/>
    <n v="15"/>
    <n v="50"/>
    <n v="18"/>
    <n v="0"/>
    <n v="0"/>
    <x v="1170"/>
  </r>
  <r>
    <n v="1172"/>
    <n v="25"/>
    <n v="78"/>
    <n v="0"/>
    <n v="0"/>
    <n v="14"/>
    <x v="1171"/>
  </r>
  <r>
    <n v="1173"/>
    <n v="12"/>
    <n v="80"/>
    <n v="33"/>
    <n v="250"/>
    <n v="0"/>
    <x v="1172"/>
  </r>
  <r>
    <n v="1174"/>
    <n v="13"/>
    <n v="59"/>
    <n v="52"/>
    <n v="0"/>
    <n v="68"/>
    <x v="1173"/>
  </r>
  <r>
    <n v="1175"/>
    <n v="14"/>
    <n v="76"/>
    <n v="14"/>
    <n v="0"/>
    <n v="0"/>
    <x v="1174"/>
  </r>
  <r>
    <n v="1176"/>
    <n v="61"/>
    <n v="131"/>
    <n v="15"/>
    <n v="0"/>
    <n v="3"/>
    <x v="1175"/>
  </r>
  <r>
    <n v="1177"/>
    <n v="29"/>
    <n v="87"/>
    <n v="27"/>
    <n v="0"/>
    <n v="2"/>
    <x v="1176"/>
  </r>
  <r>
    <n v="1178"/>
    <n v="25"/>
    <n v="89"/>
    <n v="25"/>
    <n v="0"/>
    <n v="60"/>
    <x v="1177"/>
  </r>
  <r>
    <n v="1179"/>
    <n v="94"/>
    <n v="125"/>
    <n v="10"/>
    <n v="0"/>
    <n v="0"/>
    <x v="1178"/>
  </r>
  <r>
    <n v="1180"/>
    <n v="35"/>
    <n v="101"/>
    <n v="20"/>
    <n v="0"/>
    <n v="7"/>
    <x v="1179"/>
  </r>
  <r>
    <n v="1181"/>
    <n v="38"/>
    <n v="143"/>
    <n v="18"/>
    <n v="0"/>
    <n v="14"/>
    <x v="1180"/>
  </r>
  <r>
    <n v="1182"/>
    <n v="35"/>
    <n v="66"/>
    <n v="19"/>
    <n v="0"/>
    <n v="16"/>
    <x v="1181"/>
  </r>
  <r>
    <n v="1183"/>
    <n v="11"/>
    <n v="87"/>
    <n v="57"/>
    <n v="0"/>
    <n v="16"/>
    <x v="1182"/>
  </r>
  <r>
    <n v="1184"/>
    <n v="36"/>
    <n v="116"/>
    <n v="10"/>
    <n v="0"/>
    <n v="17"/>
    <x v="1183"/>
  </r>
  <r>
    <n v="1185"/>
    <n v="23"/>
    <n v="64"/>
    <n v="3"/>
    <n v="0"/>
    <n v="4"/>
    <x v="1184"/>
  </r>
  <r>
    <n v="1186"/>
    <n v="30"/>
    <n v="112"/>
    <n v="12"/>
    <n v="0"/>
    <n v="0"/>
    <x v="1185"/>
  </r>
  <r>
    <n v="1187"/>
    <n v="34"/>
    <n v="140"/>
    <n v="25"/>
    <n v="0"/>
    <n v="14"/>
    <x v="1186"/>
  </r>
  <r>
    <n v="1188"/>
    <n v="36"/>
    <n v="86"/>
    <n v="60"/>
    <n v="0"/>
    <n v="24"/>
    <x v="1187"/>
  </r>
  <r>
    <n v="1189"/>
    <n v="22"/>
    <n v="74"/>
    <n v="5"/>
    <n v="0"/>
    <n v="0"/>
    <x v="1188"/>
  </r>
  <r>
    <n v="1190"/>
    <n v="60"/>
    <n v="98"/>
    <n v="28"/>
    <n v="0"/>
    <n v="38"/>
    <x v="1189"/>
  </r>
  <r>
    <n v="1191"/>
    <n v="33"/>
    <n v="84"/>
    <n v="11"/>
    <n v="0"/>
    <n v="22"/>
    <x v="1190"/>
  </r>
  <r>
    <n v="1192"/>
    <n v="22"/>
    <n v="153"/>
    <n v="8"/>
    <n v="250"/>
    <n v="35"/>
    <x v="1191"/>
  </r>
  <r>
    <n v="1193"/>
    <n v="20"/>
    <n v="101"/>
    <n v="36"/>
    <n v="0"/>
    <n v="24"/>
    <x v="1192"/>
  </r>
  <r>
    <n v="1194"/>
    <n v="34"/>
    <n v="96"/>
    <n v="7"/>
    <n v="0"/>
    <n v="2"/>
    <x v="1193"/>
  </r>
  <r>
    <n v="1195"/>
    <n v="44"/>
    <n v="48"/>
    <n v="54"/>
    <n v="0"/>
    <n v="2"/>
    <x v="1194"/>
  </r>
  <r>
    <n v="1196"/>
    <n v="36"/>
    <n v="99"/>
    <n v="0"/>
    <n v="0"/>
    <n v="2"/>
    <x v="1195"/>
  </r>
  <r>
    <n v="1197"/>
    <n v="42"/>
    <n v="66"/>
    <n v="0"/>
    <n v="0"/>
    <n v="12"/>
    <x v="1196"/>
  </r>
  <r>
    <n v="1198"/>
    <n v="66"/>
    <n v="108"/>
    <n v="0"/>
    <n v="0"/>
    <n v="46"/>
    <x v="1197"/>
  </r>
  <r>
    <n v="1199"/>
    <n v="72"/>
    <n v="100"/>
    <n v="6"/>
    <n v="0"/>
    <n v="6"/>
    <x v="1198"/>
  </r>
  <r>
    <n v="1200"/>
    <n v="42"/>
    <n v="58"/>
    <n v="31"/>
    <n v="0"/>
    <n v="4"/>
    <x v="1199"/>
  </r>
  <r>
    <n v="1201"/>
    <n v="42"/>
    <n v="81"/>
    <n v="9"/>
    <n v="0"/>
    <n v="12"/>
    <x v="1200"/>
  </r>
  <r>
    <n v="1202"/>
    <n v="56"/>
    <n v="81"/>
    <n v="20"/>
    <n v="0"/>
    <n v="20"/>
    <x v="1201"/>
  </r>
  <r>
    <n v="1203"/>
    <n v="44"/>
    <n v="91"/>
    <n v="32"/>
    <n v="0"/>
    <n v="17"/>
    <x v="1202"/>
  </r>
  <r>
    <n v="1204"/>
    <n v="34"/>
    <n v="56"/>
    <n v="17"/>
    <n v="0"/>
    <n v="37"/>
    <x v="1203"/>
  </r>
  <r>
    <n v="1205"/>
    <n v="57"/>
    <n v="98"/>
    <n v="5"/>
    <n v="0"/>
    <n v="20"/>
    <x v="1204"/>
  </r>
  <r>
    <n v="1206"/>
    <n v="56"/>
    <n v="86"/>
    <n v="13"/>
    <n v="0"/>
    <n v="24"/>
    <x v="1205"/>
  </r>
  <r>
    <n v="1207"/>
    <n v="41"/>
    <n v="129"/>
    <n v="22"/>
    <n v="0"/>
    <n v="10"/>
    <x v="1206"/>
  </r>
  <r>
    <n v="1208"/>
    <n v="80"/>
    <n v="84"/>
    <n v="32"/>
    <n v="0"/>
    <n v="0"/>
    <x v="1207"/>
  </r>
  <r>
    <n v="1209"/>
    <n v="58"/>
    <n v="71"/>
    <n v="7"/>
    <n v="0"/>
    <n v="11"/>
    <x v="1208"/>
  </r>
  <r>
    <n v="1210"/>
    <n v="57"/>
    <n v="113"/>
    <n v="40"/>
    <n v="0"/>
    <n v="8"/>
    <x v="1209"/>
  </r>
  <r>
    <n v="1211"/>
    <n v="74"/>
    <n v="79"/>
    <n v="15"/>
    <n v="250"/>
    <n v="20"/>
    <x v="1210"/>
  </r>
  <r>
    <n v="1212"/>
    <n v="21"/>
    <n v="77"/>
    <n v="42"/>
    <n v="250"/>
    <n v="19"/>
    <x v="1211"/>
  </r>
  <r>
    <n v="1213"/>
    <n v="52"/>
    <n v="118"/>
    <n v="4"/>
    <n v="0"/>
    <n v="0"/>
    <x v="1212"/>
  </r>
  <r>
    <n v="1214"/>
    <n v="60"/>
    <n v="97"/>
    <n v="3"/>
    <n v="0"/>
    <n v="54"/>
    <x v="1213"/>
  </r>
  <r>
    <n v="1215"/>
    <n v="74"/>
    <n v="86"/>
    <n v="33"/>
    <n v="250"/>
    <n v="9"/>
    <x v="1214"/>
  </r>
  <r>
    <n v="1216"/>
    <n v="50"/>
    <n v="88"/>
    <n v="10"/>
    <n v="0"/>
    <n v="19"/>
    <x v="1215"/>
  </r>
  <r>
    <n v="1217"/>
    <n v="127"/>
    <n v="110"/>
    <n v="2"/>
    <n v="250"/>
    <n v="10"/>
    <x v="1216"/>
  </r>
  <r>
    <n v="1218"/>
    <n v="84"/>
    <n v="103"/>
    <n v="52"/>
    <n v="0"/>
    <n v="28"/>
    <x v="1217"/>
  </r>
  <r>
    <n v="1219"/>
    <n v="32"/>
    <n v="73"/>
    <n v="0"/>
    <n v="0"/>
    <n v="17"/>
    <x v="1218"/>
  </r>
  <r>
    <n v="1220"/>
    <n v="29"/>
    <n v="89"/>
    <n v="0"/>
    <n v="0"/>
    <n v="7"/>
    <x v="1219"/>
  </r>
  <r>
    <n v="1221"/>
    <n v="58"/>
    <n v="77"/>
    <n v="25"/>
    <n v="0"/>
    <n v="17"/>
    <x v="1220"/>
  </r>
  <r>
    <n v="1222"/>
    <n v="62"/>
    <n v="156"/>
    <n v="28"/>
    <n v="0"/>
    <n v="3"/>
    <x v="1221"/>
  </r>
  <r>
    <n v="1223"/>
    <n v="106"/>
    <n v="70"/>
    <n v="2"/>
    <n v="0"/>
    <n v="0"/>
    <x v="1222"/>
  </r>
  <r>
    <n v="1224"/>
    <n v="97"/>
    <n v="108"/>
    <n v="20"/>
    <n v="0"/>
    <n v="10"/>
    <x v="1223"/>
  </r>
  <r>
    <n v="1225"/>
    <n v="41"/>
    <n v="98"/>
    <n v="10"/>
    <n v="0"/>
    <n v="12"/>
    <x v="1224"/>
  </r>
  <r>
    <n v="1226"/>
    <n v="67"/>
    <n v="121"/>
    <n v="7"/>
    <n v="0"/>
    <n v="77"/>
    <x v="1225"/>
  </r>
  <r>
    <n v="1227"/>
    <n v="28"/>
    <n v="107"/>
    <n v="23"/>
    <n v="0"/>
    <n v="33"/>
    <x v="1226"/>
  </r>
  <r>
    <n v="1228"/>
    <n v="61"/>
    <n v="79"/>
    <n v="22"/>
    <n v="0"/>
    <n v="10"/>
    <x v="1227"/>
  </r>
  <r>
    <n v="1229"/>
    <n v="30"/>
    <n v="100"/>
    <n v="0"/>
    <n v="0"/>
    <n v="19"/>
    <x v="1228"/>
  </r>
  <r>
    <n v="1230"/>
    <n v="80"/>
    <n v="80"/>
    <n v="3"/>
    <n v="250"/>
    <n v="40"/>
    <x v="1229"/>
  </r>
  <r>
    <n v="1231"/>
    <n v="44"/>
    <n v="109"/>
    <n v="7"/>
    <n v="0"/>
    <n v="5"/>
    <x v="1230"/>
  </r>
  <r>
    <n v="1232"/>
    <n v="80"/>
    <n v="82"/>
    <n v="0"/>
    <n v="0"/>
    <n v="10"/>
    <x v="1231"/>
  </r>
  <r>
    <n v="1233"/>
    <n v="56"/>
    <n v="119"/>
    <n v="48"/>
    <n v="0"/>
    <n v="23"/>
    <x v="1232"/>
  </r>
  <r>
    <n v="1234"/>
    <n v="61"/>
    <n v="93"/>
    <n v="60"/>
    <n v="0"/>
    <n v="15"/>
    <x v="1233"/>
  </r>
  <r>
    <n v="1235"/>
    <n v="30"/>
    <n v="112"/>
    <n v="0"/>
    <n v="0"/>
    <n v="11"/>
    <x v="1234"/>
  </r>
  <r>
    <n v="1236"/>
    <n v="55"/>
    <n v="93"/>
    <n v="67"/>
    <n v="0"/>
    <n v="4"/>
    <x v="1235"/>
  </r>
  <r>
    <n v="1237"/>
    <n v="42"/>
    <n v="160"/>
    <n v="29"/>
    <n v="0"/>
    <n v="17"/>
    <x v="1236"/>
  </r>
  <r>
    <n v="1238"/>
    <n v="64"/>
    <n v="97"/>
    <n v="0"/>
    <n v="0"/>
    <n v="22"/>
    <x v="1237"/>
  </r>
  <r>
    <n v="1239"/>
    <n v="70"/>
    <n v="105"/>
    <n v="2"/>
    <n v="250"/>
    <n v="13"/>
    <x v="1238"/>
  </r>
  <r>
    <n v="1240"/>
    <n v="44"/>
    <n v="98"/>
    <n v="3"/>
    <n v="0"/>
    <n v="35"/>
    <x v="1239"/>
  </r>
  <r>
    <n v="1241"/>
    <n v="78"/>
    <n v="46"/>
    <n v="6"/>
    <n v="0"/>
    <n v="9"/>
    <x v="1240"/>
  </r>
  <r>
    <n v="1242"/>
    <n v="70"/>
    <n v="92"/>
    <n v="3"/>
    <n v="0"/>
    <n v="25"/>
    <x v="1241"/>
  </r>
  <r>
    <n v="1243"/>
    <n v="28"/>
    <n v="80"/>
    <n v="2"/>
    <n v="0"/>
    <n v="8"/>
    <x v="1242"/>
  </r>
  <r>
    <n v="1244"/>
    <n v="65"/>
    <n v="112"/>
    <n v="52"/>
    <n v="0"/>
    <n v="3"/>
    <x v="1243"/>
  </r>
  <r>
    <n v="1245"/>
    <n v="79"/>
    <n v="81"/>
    <n v="25"/>
    <n v="0"/>
    <n v="4"/>
    <x v="1244"/>
  </r>
  <r>
    <n v="1246"/>
    <n v="74"/>
    <n v="53"/>
    <n v="24"/>
    <n v="0"/>
    <n v="31"/>
    <x v="1245"/>
  </r>
  <r>
    <n v="1247"/>
    <n v="50"/>
    <n v="82"/>
    <n v="5"/>
    <n v="0"/>
    <n v="66"/>
    <x v="1246"/>
  </r>
  <r>
    <n v="1248"/>
    <n v="81"/>
    <n v="131"/>
    <n v="21"/>
    <n v="0"/>
    <n v="33"/>
    <x v="1247"/>
  </r>
  <r>
    <n v="1249"/>
    <n v="51"/>
    <n v="94"/>
    <n v="43"/>
    <n v="250"/>
    <n v="6"/>
    <x v="1248"/>
  </r>
  <r>
    <n v="1250"/>
    <n v="69"/>
    <n v="113"/>
    <n v="30"/>
    <n v="0"/>
    <n v="24"/>
    <x v="1249"/>
  </r>
  <r>
    <n v="1251"/>
    <n v="47"/>
    <n v="109"/>
    <n v="3"/>
    <n v="0"/>
    <n v="0"/>
    <x v="1250"/>
  </r>
  <r>
    <n v="1252"/>
    <n v="54"/>
    <n v="123"/>
    <n v="3"/>
    <n v="0"/>
    <n v="9"/>
    <x v="1251"/>
  </r>
  <r>
    <n v="1253"/>
    <n v="76"/>
    <n v="54"/>
    <n v="7"/>
    <n v="0"/>
    <n v="17"/>
    <x v="1252"/>
  </r>
  <r>
    <n v="1254"/>
    <n v="75"/>
    <n v="83"/>
    <n v="0"/>
    <n v="0"/>
    <n v="22"/>
    <x v="1253"/>
  </r>
  <r>
    <n v="1255"/>
    <n v="36"/>
    <n v="109"/>
    <n v="41"/>
    <n v="0"/>
    <n v="4"/>
    <x v="1254"/>
  </r>
  <r>
    <n v="1256"/>
    <n v="64"/>
    <n v="122"/>
    <n v="17"/>
    <n v="0"/>
    <n v="10"/>
    <x v="1255"/>
  </r>
  <r>
    <n v="1257"/>
    <n v="59"/>
    <n v="129"/>
    <n v="2"/>
    <n v="0"/>
    <n v="5"/>
    <x v="1256"/>
  </r>
  <r>
    <n v="1258"/>
    <n v="36"/>
    <n v="81"/>
    <n v="16"/>
    <n v="0"/>
    <n v="9"/>
    <x v="1257"/>
  </r>
  <r>
    <n v="1259"/>
    <n v="41"/>
    <n v="114"/>
    <n v="30"/>
    <n v="0"/>
    <n v="18"/>
    <x v="1258"/>
  </r>
  <r>
    <n v="1260"/>
    <n v="68"/>
    <n v="92"/>
    <n v="23"/>
    <n v="0"/>
    <n v="5"/>
    <x v="1259"/>
  </r>
  <r>
    <n v="1261"/>
    <n v="51"/>
    <n v="99"/>
    <n v="3"/>
    <n v="0"/>
    <n v="22"/>
    <x v="1260"/>
  </r>
  <r>
    <n v="1262"/>
    <n v="102"/>
    <n v="73"/>
    <n v="20"/>
    <n v="0"/>
    <n v="0"/>
    <x v="1261"/>
  </r>
  <r>
    <n v="1263"/>
    <n v="86"/>
    <n v="92"/>
    <n v="11"/>
    <n v="0"/>
    <n v="26"/>
    <x v="1262"/>
  </r>
  <r>
    <n v="1264"/>
    <n v="41"/>
    <n v="90"/>
    <n v="34"/>
    <n v="0"/>
    <n v="0"/>
    <x v="1263"/>
  </r>
  <r>
    <n v="1265"/>
    <n v="74"/>
    <n v="140"/>
    <n v="12"/>
    <n v="0"/>
    <n v="0"/>
    <x v="1264"/>
  </r>
  <r>
    <n v="1266"/>
    <n v="109"/>
    <n v="113"/>
    <n v="0"/>
    <n v="0"/>
    <n v="26"/>
    <x v="1265"/>
  </r>
  <r>
    <n v="1267"/>
    <n v="61"/>
    <n v="104"/>
    <n v="2"/>
    <n v="0"/>
    <n v="19"/>
    <x v="1266"/>
  </r>
  <r>
    <n v="1268"/>
    <n v="28"/>
    <n v="115"/>
    <n v="8"/>
    <n v="0"/>
    <n v="0"/>
    <x v="1267"/>
  </r>
  <r>
    <n v="1269"/>
    <n v="63"/>
    <n v="98"/>
    <n v="41"/>
    <n v="0"/>
    <n v="14"/>
    <x v="1268"/>
  </r>
  <r>
    <n v="1270"/>
    <n v="76"/>
    <n v="82"/>
    <n v="0"/>
    <n v="0"/>
    <n v="0"/>
    <x v="1269"/>
  </r>
  <r>
    <n v="1271"/>
    <n v="106"/>
    <n v="56"/>
    <n v="56"/>
    <n v="0"/>
    <n v="23"/>
    <x v="1270"/>
  </r>
  <r>
    <n v="1272"/>
    <n v="42"/>
    <n v="91"/>
    <n v="40"/>
    <n v="0"/>
    <n v="5"/>
    <x v="1271"/>
  </r>
  <r>
    <n v="1273"/>
    <n v="80"/>
    <n v="77"/>
    <n v="40"/>
    <n v="0"/>
    <n v="8"/>
    <x v="1272"/>
  </r>
  <r>
    <n v="1274"/>
    <n v="44"/>
    <n v="64"/>
    <n v="29"/>
    <n v="0"/>
    <n v="23"/>
    <x v="1273"/>
  </r>
  <r>
    <n v="1275"/>
    <n v="75"/>
    <n v="84"/>
    <n v="9"/>
    <n v="0"/>
    <n v="4"/>
    <x v="1274"/>
  </r>
  <r>
    <n v="1276"/>
    <n v="72"/>
    <n v="175"/>
    <n v="27"/>
    <n v="0"/>
    <n v="19"/>
    <x v="1275"/>
  </r>
  <r>
    <n v="1277"/>
    <n v="124"/>
    <n v="131"/>
    <n v="4"/>
    <n v="250"/>
    <n v="27"/>
    <x v="1276"/>
  </r>
  <r>
    <n v="1278"/>
    <n v="56"/>
    <n v="104"/>
    <n v="0"/>
    <n v="0"/>
    <n v="20"/>
    <x v="1277"/>
  </r>
  <r>
    <n v="1279"/>
    <n v="83"/>
    <n v="134"/>
    <n v="14"/>
    <n v="0"/>
    <n v="24"/>
    <x v="1278"/>
  </r>
  <r>
    <n v="1280"/>
    <n v="68"/>
    <n v="77"/>
    <n v="10"/>
    <n v="0"/>
    <n v="27"/>
    <x v="1279"/>
  </r>
  <r>
    <n v="1281"/>
    <n v="69"/>
    <n v="91"/>
    <n v="2"/>
    <n v="0"/>
    <n v="2"/>
    <x v="1280"/>
  </r>
  <r>
    <n v="1282"/>
    <n v="51"/>
    <n v="95"/>
    <n v="0"/>
    <n v="0"/>
    <n v="21"/>
    <x v="1281"/>
  </r>
  <r>
    <n v="1283"/>
    <n v="87"/>
    <n v="91"/>
    <n v="15"/>
    <n v="0"/>
    <n v="52"/>
    <x v="1282"/>
  </r>
  <r>
    <n v="1284"/>
    <n v="109"/>
    <n v="139"/>
    <n v="0"/>
    <n v="0"/>
    <n v="19"/>
    <x v="1283"/>
  </r>
  <r>
    <n v="1285"/>
    <n v="57"/>
    <n v="129"/>
    <n v="24"/>
    <n v="0"/>
    <n v="8"/>
    <x v="1284"/>
  </r>
  <r>
    <n v="1286"/>
    <n v="62"/>
    <n v="113"/>
    <n v="5"/>
    <n v="0"/>
    <n v="13"/>
    <x v="1285"/>
  </r>
  <r>
    <n v="1287"/>
    <n v="47"/>
    <n v="141"/>
    <n v="17"/>
    <n v="0"/>
    <n v="32"/>
    <x v="1286"/>
  </r>
  <r>
    <n v="1288"/>
    <n v="52"/>
    <n v="119"/>
    <n v="20"/>
    <n v="0"/>
    <n v="19"/>
    <x v="1287"/>
  </r>
  <r>
    <n v="1289"/>
    <n v="122"/>
    <n v="111"/>
    <n v="0"/>
    <n v="0"/>
    <n v="34"/>
    <x v="1288"/>
  </r>
  <r>
    <n v="1290"/>
    <n v="58"/>
    <n v="78"/>
    <n v="21"/>
    <n v="0"/>
    <n v="11"/>
    <x v="1289"/>
  </r>
  <r>
    <n v="1291"/>
    <n v="38"/>
    <n v="82"/>
    <n v="8"/>
    <n v="0"/>
    <n v="6"/>
    <x v="1290"/>
  </r>
  <r>
    <n v="1292"/>
    <n v="76"/>
    <n v="136"/>
    <n v="27"/>
    <n v="0"/>
    <n v="41"/>
    <x v="1291"/>
  </r>
  <r>
    <n v="1293"/>
    <n v="57"/>
    <n v="110"/>
    <n v="13"/>
    <n v="0"/>
    <n v="7"/>
    <x v="1292"/>
  </r>
  <r>
    <n v="1294"/>
    <n v="91"/>
    <n v="120"/>
    <n v="0"/>
    <n v="0"/>
    <n v="16"/>
    <x v="1293"/>
  </r>
  <r>
    <n v="1295"/>
    <n v="67"/>
    <n v="80"/>
    <n v="0"/>
    <n v="0"/>
    <n v="11"/>
    <x v="1294"/>
  </r>
  <r>
    <n v="1296"/>
    <n v="49"/>
    <n v="186"/>
    <n v="24"/>
    <n v="0"/>
    <n v="17"/>
    <x v="1295"/>
  </r>
  <r>
    <n v="1297"/>
    <n v="67"/>
    <n v="112"/>
    <n v="4"/>
    <n v="0"/>
    <n v="28"/>
    <x v="1296"/>
  </r>
  <r>
    <n v="1298"/>
    <n v="88"/>
    <n v="88"/>
    <n v="3"/>
    <n v="0"/>
    <n v="24"/>
    <x v="1297"/>
  </r>
  <r>
    <n v="1299"/>
    <n v="55"/>
    <n v="127"/>
    <n v="28"/>
    <n v="0"/>
    <n v="15"/>
    <x v="1298"/>
  </r>
  <r>
    <n v="1300"/>
    <n v="53"/>
    <n v="90"/>
    <n v="21"/>
    <n v="0"/>
    <n v="65"/>
    <x v="1299"/>
  </r>
  <r>
    <n v="1301"/>
    <n v="47"/>
    <n v="98"/>
    <n v="26"/>
    <n v="0"/>
    <n v="41"/>
    <x v="1300"/>
  </r>
  <r>
    <n v="1302"/>
    <n v="30"/>
    <n v="205"/>
    <n v="12"/>
    <n v="0"/>
    <n v="1"/>
    <x v="1301"/>
  </r>
  <r>
    <n v="1303"/>
    <n v="69"/>
    <n v="88"/>
    <n v="0"/>
    <n v="0"/>
    <n v="5"/>
    <x v="1302"/>
  </r>
  <r>
    <n v="1304"/>
    <n v="44"/>
    <n v="101"/>
    <n v="0"/>
    <n v="0"/>
    <n v="3"/>
    <x v="1303"/>
  </r>
  <r>
    <n v="1305"/>
    <n v="69"/>
    <n v="124"/>
    <n v="0"/>
    <n v="0"/>
    <n v="0"/>
    <x v="1304"/>
  </r>
  <r>
    <n v="1306"/>
    <n v="98"/>
    <n v="60"/>
    <n v="0"/>
    <n v="0"/>
    <n v="5"/>
    <x v="1305"/>
  </r>
  <r>
    <n v="1307"/>
    <n v="46"/>
    <n v="102"/>
    <n v="7"/>
    <n v="0"/>
    <n v="5"/>
    <x v="1306"/>
  </r>
  <r>
    <n v="1308"/>
    <n v="75"/>
    <n v="126"/>
    <n v="32"/>
    <n v="0"/>
    <n v="12"/>
    <x v="1307"/>
  </r>
  <r>
    <n v="1309"/>
    <n v="69"/>
    <n v="79"/>
    <n v="26"/>
    <n v="0"/>
    <n v="3"/>
    <x v="1308"/>
  </r>
  <r>
    <n v="1310"/>
    <n v="115"/>
    <n v="134"/>
    <n v="5"/>
    <n v="0"/>
    <n v="20"/>
    <x v="1309"/>
  </r>
  <r>
    <n v="1311"/>
    <n v="60"/>
    <n v="103"/>
    <n v="0"/>
    <n v="0"/>
    <n v="19"/>
    <x v="1310"/>
  </r>
  <r>
    <n v="1312"/>
    <n v="59"/>
    <n v="115"/>
    <n v="0"/>
    <n v="0"/>
    <n v="14"/>
    <x v="1311"/>
  </r>
  <r>
    <n v="1313"/>
    <n v="75"/>
    <n v="130"/>
    <n v="3"/>
    <n v="0"/>
    <n v="23"/>
    <x v="1312"/>
  </r>
  <r>
    <n v="1314"/>
    <n v="93"/>
    <n v="90"/>
    <n v="21"/>
    <n v="0"/>
    <n v="9"/>
    <x v="1313"/>
  </r>
  <r>
    <n v="1315"/>
    <n v="113"/>
    <n v="106"/>
    <n v="9"/>
    <n v="0"/>
    <n v="3"/>
    <x v="1314"/>
  </r>
  <r>
    <n v="1316"/>
    <n v="105"/>
    <n v="108"/>
    <n v="32"/>
    <n v="0"/>
    <n v="22"/>
    <x v="1315"/>
  </r>
  <r>
    <n v="1317"/>
    <n v="60"/>
    <n v="145"/>
    <n v="8"/>
    <n v="0"/>
    <n v="10"/>
    <x v="1316"/>
  </r>
  <r>
    <n v="1318"/>
    <n v="34"/>
    <n v="107"/>
    <n v="5"/>
    <n v="0"/>
    <n v="0"/>
    <x v="1317"/>
  </r>
  <r>
    <n v="1319"/>
    <n v="52"/>
    <n v="103"/>
    <n v="0"/>
    <n v="0"/>
    <n v="24"/>
    <x v="1318"/>
  </r>
  <r>
    <n v="1320"/>
    <n v="65"/>
    <n v="123"/>
    <n v="20"/>
    <n v="250"/>
    <n v="34"/>
    <x v="1319"/>
  </r>
  <r>
    <n v="1321"/>
    <n v="105"/>
    <n v="206"/>
    <n v="3"/>
    <n v="250"/>
    <n v="2"/>
    <x v="1320"/>
  </r>
  <r>
    <n v="1322"/>
    <n v="65"/>
    <n v="134"/>
    <n v="11"/>
    <n v="0"/>
    <n v="0"/>
    <x v="1321"/>
  </r>
  <r>
    <n v="1323"/>
    <n v="54"/>
    <n v="108"/>
    <n v="32"/>
    <n v="0"/>
    <n v="9"/>
    <x v="1322"/>
  </r>
  <r>
    <n v="1324"/>
    <n v="80"/>
    <n v="135"/>
    <n v="3"/>
    <n v="0"/>
    <n v="11"/>
    <x v="1323"/>
  </r>
  <r>
    <n v="1325"/>
    <n v="42"/>
    <n v="122"/>
    <n v="31"/>
    <n v="0"/>
    <n v="13"/>
    <x v="1324"/>
  </r>
  <r>
    <n v="1326"/>
    <n v="53"/>
    <n v="134"/>
    <n v="74"/>
    <n v="0"/>
    <n v="22"/>
    <x v="1325"/>
  </r>
  <r>
    <n v="1327"/>
    <n v="75"/>
    <n v="126"/>
    <n v="27"/>
    <n v="0"/>
    <n v="28"/>
    <x v="1326"/>
  </r>
  <r>
    <n v="1328"/>
    <n v="79"/>
    <n v="117"/>
    <n v="41"/>
    <n v="0"/>
    <n v="20"/>
    <x v="1327"/>
  </r>
  <r>
    <n v="1329"/>
    <n v="36"/>
    <n v="165"/>
    <n v="12"/>
    <n v="0"/>
    <n v="18"/>
    <x v="1328"/>
  </r>
  <r>
    <n v="1330"/>
    <n v="58"/>
    <n v="99"/>
    <n v="19"/>
    <n v="250"/>
    <n v="36"/>
    <x v="1329"/>
  </r>
  <r>
    <n v="1331"/>
    <n v="80"/>
    <n v="153"/>
    <n v="4"/>
    <n v="0"/>
    <n v="51"/>
    <x v="1330"/>
  </r>
  <r>
    <n v="1332"/>
    <n v="35"/>
    <n v="117"/>
    <n v="30"/>
    <n v="0"/>
    <n v="9"/>
    <x v="1331"/>
  </r>
  <r>
    <n v="1333"/>
    <n v="62"/>
    <n v="99"/>
    <n v="6"/>
    <n v="0"/>
    <n v="29"/>
    <x v="1332"/>
  </r>
  <r>
    <n v="1334"/>
    <n v="93"/>
    <n v="135"/>
    <n v="38"/>
    <n v="0"/>
    <n v="54"/>
    <x v="1333"/>
  </r>
  <r>
    <n v="1335"/>
    <n v="95"/>
    <n v="108"/>
    <n v="18"/>
    <n v="0"/>
    <n v="12"/>
    <x v="1334"/>
  </r>
  <r>
    <n v="1336"/>
    <n v="62"/>
    <n v="75"/>
    <n v="0"/>
    <n v="0"/>
    <n v="8"/>
    <x v="1335"/>
  </r>
  <r>
    <n v="1337"/>
    <n v="69"/>
    <n v="151"/>
    <n v="5"/>
    <n v="0"/>
    <n v="16"/>
    <x v="1336"/>
  </r>
  <r>
    <n v="1338"/>
    <n v="28"/>
    <n v="80"/>
    <n v="26"/>
    <n v="250"/>
    <n v="12"/>
    <x v="1337"/>
  </r>
  <r>
    <n v="1339"/>
    <n v="53"/>
    <n v="89"/>
    <n v="19"/>
    <n v="0"/>
    <n v="19"/>
    <x v="1338"/>
  </r>
  <r>
    <n v="1340"/>
    <n v="54"/>
    <n v="124"/>
    <n v="19"/>
    <n v="0"/>
    <n v="11"/>
    <x v="1339"/>
  </r>
  <r>
    <n v="1341"/>
    <n v="52"/>
    <n v="146"/>
    <n v="65"/>
    <n v="0"/>
    <n v="7"/>
    <x v="1340"/>
  </r>
  <r>
    <n v="1342"/>
    <n v="43"/>
    <n v="98"/>
    <n v="6"/>
    <n v="0"/>
    <n v="4"/>
    <x v="1341"/>
  </r>
  <r>
    <n v="1343"/>
    <n v="46"/>
    <n v="121"/>
    <n v="3"/>
    <n v="0"/>
    <n v="3"/>
    <x v="1342"/>
  </r>
  <r>
    <n v="1344"/>
    <n v="41"/>
    <n v="161"/>
    <n v="0"/>
    <n v="0"/>
    <n v="9"/>
    <x v="1343"/>
  </r>
  <r>
    <n v="1345"/>
    <n v="35"/>
    <n v="106"/>
    <n v="9"/>
    <n v="0"/>
    <n v="50"/>
    <x v="1344"/>
  </r>
  <r>
    <n v="1346"/>
    <n v="60"/>
    <n v="91"/>
    <n v="17"/>
    <n v="250"/>
    <n v="12"/>
    <x v="1345"/>
  </r>
  <r>
    <n v="1347"/>
    <n v="41"/>
    <n v="106"/>
    <n v="0"/>
    <n v="0"/>
    <n v="7"/>
    <x v="1346"/>
  </r>
  <r>
    <n v="1348"/>
    <n v="44"/>
    <n v="124"/>
    <n v="34"/>
    <n v="0"/>
    <n v="32"/>
    <x v="1347"/>
  </r>
  <r>
    <n v="1349"/>
    <n v="41"/>
    <n v="122"/>
    <n v="29"/>
    <n v="0"/>
    <n v="18"/>
    <x v="1348"/>
  </r>
  <r>
    <n v="1350"/>
    <n v="36"/>
    <n v="86"/>
    <n v="5"/>
    <n v="0"/>
    <n v="8"/>
    <x v="1349"/>
  </r>
  <r>
    <n v="1351"/>
    <n v="65"/>
    <n v="105"/>
    <n v="0"/>
    <n v="0"/>
    <n v="20"/>
    <x v="1350"/>
  </r>
  <r>
    <n v="1352"/>
    <n v="52"/>
    <n v="138"/>
    <n v="7"/>
    <n v="0"/>
    <n v="11"/>
    <x v="1351"/>
  </r>
  <r>
    <n v="1353"/>
    <n v="48"/>
    <n v="108"/>
    <n v="0"/>
    <n v="0"/>
    <n v="14"/>
    <x v="1352"/>
  </r>
  <r>
    <n v="1354"/>
    <n v="65"/>
    <n v="90"/>
    <n v="14"/>
    <n v="0"/>
    <n v="7"/>
    <x v="1353"/>
  </r>
  <r>
    <n v="1355"/>
    <n v="34"/>
    <n v="182"/>
    <n v="0"/>
    <n v="0"/>
    <n v="2"/>
    <x v="1354"/>
  </r>
  <r>
    <n v="1356"/>
    <n v="31"/>
    <n v="121"/>
    <n v="3"/>
    <n v="0"/>
    <n v="33"/>
    <x v="1355"/>
  </r>
  <r>
    <n v="1357"/>
    <n v="21"/>
    <n v="101"/>
    <n v="19"/>
    <n v="0"/>
    <n v="26"/>
    <x v="1356"/>
  </r>
  <r>
    <n v="1358"/>
    <n v="42"/>
    <n v="110"/>
    <n v="31"/>
    <n v="0"/>
    <n v="0"/>
    <x v="1357"/>
  </r>
  <r>
    <n v="1359"/>
    <n v="60"/>
    <n v="140"/>
    <n v="2"/>
    <n v="0"/>
    <n v="7"/>
    <x v="1358"/>
  </r>
  <r>
    <n v="1360"/>
    <n v="70"/>
    <n v="151"/>
    <n v="26"/>
    <n v="0"/>
    <n v="50"/>
    <x v="1359"/>
  </r>
  <r>
    <n v="1361"/>
    <n v="44"/>
    <n v="102"/>
    <n v="7"/>
    <n v="0"/>
    <n v="28"/>
    <x v="1360"/>
  </r>
  <r>
    <n v="1362"/>
    <n v="27"/>
    <n v="174"/>
    <n v="29"/>
    <n v="0"/>
    <n v="33"/>
    <x v="1361"/>
  </r>
  <r>
    <n v="1363"/>
    <n v="61"/>
    <n v="184"/>
    <n v="3"/>
    <n v="0"/>
    <n v="30"/>
    <x v="1362"/>
  </r>
  <r>
    <n v="1364"/>
    <n v="51"/>
    <n v="140"/>
    <n v="52"/>
    <n v="250"/>
    <n v="11"/>
    <x v="1363"/>
  </r>
  <r>
    <n v="1365"/>
    <n v="43"/>
    <n v="122"/>
    <n v="31"/>
    <n v="0"/>
    <n v="11"/>
    <x v="1364"/>
  </r>
  <r>
    <n v="1366"/>
    <n v="26"/>
    <n v="94"/>
    <n v="15"/>
    <n v="0"/>
    <n v="3"/>
    <x v="1365"/>
  </r>
  <r>
    <n v="1367"/>
    <n v="66"/>
    <n v="163"/>
    <n v="11"/>
    <n v="0"/>
    <n v="0"/>
    <x v="1366"/>
  </r>
  <r>
    <n v="1368"/>
    <n v="35"/>
    <n v="145"/>
    <n v="23"/>
    <n v="0"/>
    <n v="57"/>
    <x v="1367"/>
  </r>
  <r>
    <n v="1369"/>
    <n v="45"/>
    <n v="157"/>
    <n v="7"/>
    <n v="0"/>
    <n v="19"/>
    <x v="1368"/>
  </r>
  <r>
    <n v="1370"/>
    <n v="44"/>
    <n v="116"/>
    <n v="44"/>
    <n v="0"/>
    <n v="2"/>
    <x v="1369"/>
  </r>
  <r>
    <n v="1371"/>
    <n v="28"/>
    <n v="82"/>
    <n v="2"/>
    <n v="0"/>
    <n v="13"/>
    <x v="1370"/>
  </r>
  <r>
    <n v="1372"/>
    <n v="19"/>
    <n v="97"/>
    <n v="22"/>
    <n v="0"/>
    <n v="70"/>
    <x v="1371"/>
  </r>
  <r>
    <n v="1373"/>
    <n v="35"/>
    <n v="124"/>
    <n v="8"/>
    <n v="0"/>
    <n v="15"/>
    <x v="1372"/>
  </r>
  <r>
    <n v="1374"/>
    <n v="38"/>
    <n v="123"/>
    <n v="15"/>
    <n v="0"/>
    <n v="8"/>
    <x v="1373"/>
  </r>
  <r>
    <n v="1375"/>
    <n v="16"/>
    <n v="131"/>
    <n v="0"/>
    <n v="0"/>
    <n v="14"/>
    <x v="1374"/>
  </r>
  <r>
    <n v="1376"/>
    <n v="41"/>
    <n v="92"/>
    <n v="6"/>
    <n v="0"/>
    <n v="10"/>
    <x v="1375"/>
  </r>
  <r>
    <n v="1377"/>
    <n v="30"/>
    <n v="90"/>
    <n v="0"/>
    <n v="0"/>
    <n v="43"/>
    <x v="1376"/>
  </r>
  <r>
    <n v="1378"/>
    <n v="58"/>
    <n v="137"/>
    <n v="39"/>
    <n v="0"/>
    <n v="12"/>
    <x v="1377"/>
  </r>
  <r>
    <n v="1379"/>
    <n v="37"/>
    <n v="95"/>
    <n v="15"/>
    <n v="0"/>
    <n v="28"/>
    <x v="1378"/>
  </r>
  <r>
    <n v="1380"/>
    <n v="27"/>
    <n v="131"/>
    <n v="24"/>
    <n v="0"/>
    <n v="0"/>
    <x v="1379"/>
  </r>
  <r>
    <n v="1381"/>
    <n v="29"/>
    <n v="121"/>
    <n v="9"/>
    <n v="0"/>
    <n v="0"/>
    <x v="1380"/>
  </r>
  <r>
    <n v="1382"/>
    <n v="63"/>
    <n v="136"/>
    <n v="38"/>
    <n v="250"/>
    <n v="9"/>
    <x v="1381"/>
  </r>
  <r>
    <n v="1383"/>
    <n v="37"/>
    <n v="95"/>
    <n v="35"/>
    <n v="0"/>
    <n v="37"/>
    <x v="1382"/>
  </r>
  <r>
    <n v="1384"/>
    <n v="46"/>
    <n v="118"/>
    <n v="0"/>
    <n v="250"/>
    <n v="5"/>
    <x v="1383"/>
  </r>
  <r>
    <n v="1385"/>
    <n v="50"/>
    <n v="153"/>
    <n v="10"/>
    <n v="0"/>
    <n v="34"/>
    <x v="1384"/>
  </r>
  <r>
    <n v="1386"/>
    <n v="18"/>
    <n v="159"/>
    <n v="0"/>
    <n v="0"/>
    <n v="25"/>
    <x v="1385"/>
  </r>
  <r>
    <n v="1387"/>
    <n v="26"/>
    <n v="107"/>
    <n v="51"/>
    <n v="0"/>
    <n v="19"/>
    <x v="1386"/>
  </r>
  <r>
    <n v="1388"/>
    <n v="59"/>
    <n v="104"/>
    <n v="0"/>
    <n v="0"/>
    <n v="0"/>
    <x v="1387"/>
  </r>
  <r>
    <n v="1389"/>
    <n v="23"/>
    <n v="89"/>
    <n v="8"/>
    <n v="0"/>
    <n v="0"/>
    <x v="1388"/>
  </r>
  <r>
    <n v="1390"/>
    <n v="28"/>
    <n v="92"/>
    <n v="9"/>
    <n v="0"/>
    <n v="37"/>
    <x v="1389"/>
  </r>
  <r>
    <n v="1391"/>
    <n v="23"/>
    <n v="117"/>
    <n v="18"/>
    <n v="250"/>
    <n v="19"/>
    <x v="1390"/>
  </r>
  <r>
    <n v="1392"/>
    <n v="21"/>
    <n v="110"/>
    <n v="6"/>
    <n v="0"/>
    <n v="6"/>
    <x v="1391"/>
  </r>
  <r>
    <n v="1393"/>
    <n v="56"/>
    <n v="134"/>
    <n v="0"/>
    <n v="0"/>
    <n v="11"/>
    <x v="1392"/>
  </r>
  <r>
    <n v="1394"/>
    <n v="14"/>
    <n v="183"/>
    <n v="11"/>
    <n v="0"/>
    <n v="4"/>
    <x v="1393"/>
  </r>
  <r>
    <n v="1395"/>
    <n v="37"/>
    <n v="117"/>
    <n v="30"/>
    <n v="0"/>
    <n v="6"/>
    <x v="1394"/>
  </r>
  <r>
    <n v="1396"/>
    <n v="11"/>
    <n v="102"/>
    <n v="78"/>
    <n v="0"/>
    <n v="14"/>
    <x v="1395"/>
  </r>
  <r>
    <n v="1397"/>
    <n v="15"/>
    <n v="135"/>
    <n v="0"/>
    <n v="250"/>
    <n v="19"/>
    <x v="1396"/>
  </r>
  <r>
    <n v="1398"/>
    <n v="35"/>
    <n v="118"/>
    <n v="89"/>
    <n v="0"/>
    <n v="0"/>
    <x v="1397"/>
  </r>
  <r>
    <n v="1399"/>
    <n v="41"/>
    <n v="148"/>
    <n v="36"/>
    <n v="250"/>
    <n v="15"/>
    <x v="1398"/>
  </r>
  <r>
    <n v="1400"/>
    <n v="27"/>
    <n v="90"/>
    <n v="0"/>
    <n v="0"/>
    <n v="41"/>
    <x v="1399"/>
  </r>
  <r>
    <n v="1401"/>
    <n v="20"/>
    <n v="108"/>
    <n v="0"/>
    <n v="0"/>
    <n v="0"/>
    <x v="1400"/>
  </r>
  <r>
    <n v="1402"/>
    <n v="8"/>
    <n v="118"/>
    <n v="25"/>
    <n v="0"/>
    <n v="11"/>
    <x v="1401"/>
  </r>
  <r>
    <n v="1403"/>
    <n v="13"/>
    <n v="109"/>
    <n v="26"/>
    <n v="0"/>
    <n v="53"/>
    <x v="1402"/>
  </r>
  <r>
    <n v="1404"/>
    <n v="16"/>
    <n v="69"/>
    <n v="3"/>
    <n v="0"/>
    <n v="10"/>
    <x v="1403"/>
  </r>
  <r>
    <n v="1405"/>
    <n v="30"/>
    <n v="115"/>
    <n v="2"/>
    <n v="0"/>
    <n v="19"/>
    <x v="1404"/>
  </r>
  <r>
    <n v="1406"/>
    <n v="10"/>
    <n v="143"/>
    <n v="6"/>
    <n v="0"/>
    <n v="28"/>
    <x v="1405"/>
  </r>
  <r>
    <n v="1407"/>
    <n v="20"/>
    <n v="110"/>
    <n v="11"/>
    <n v="0"/>
    <n v="0"/>
    <x v="1406"/>
  </r>
  <r>
    <n v="1408"/>
    <n v="24"/>
    <n v="125"/>
    <n v="11"/>
    <n v="0"/>
    <n v="0"/>
    <x v="1407"/>
  </r>
  <r>
    <n v="1409"/>
    <n v="4"/>
    <n v="142"/>
    <n v="9"/>
    <n v="0"/>
    <n v="4"/>
    <x v="1408"/>
  </r>
  <r>
    <n v="1410"/>
    <n v="18"/>
    <n v="135"/>
    <n v="23"/>
    <n v="0"/>
    <n v="11"/>
    <x v="1409"/>
  </r>
  <r>
    <n v="1411"/>
    <n v="18"/>
    <n v="98"/>
    <n v="25"/>
    <n v="0"/>
    <n v="9"/>
    <x v="1410"/>
  </r>
  <r>
    <n v="1412"/>
    <n v="16"/>
    <n v="96"/>
    <n v="0"/>
    <n v="0"/>
    <n v="0"/>
    <x v="1411"/>
  </r>
  <r>
    <n v="1413"/>
    <n v="20"/>
    <n v="87"/>
    <n v="25"/>
    <n v="0"/>
    <n v="0"/>
    <x v="1412"/>
  </r>
  <r>
    <n v="1414"/>
    <n v="11"/>
    <n v="107"/>
    <n v="10"/>
    <n v="0"/>
    <n v="18"/>
    <x v="1413"/>
  </r>
  <r>
    <n v="1415"/>
    <n v="4"/>
    <n v="99"/>
    <n v="10"/>
    <n v="0"/>
    <n v="29"/>
    <x v="1414"/>
  </r>
  <r>
    <n v="1416"/>
    <n v="15"/>
    <n v="97"/>
    <n v="2"/>
    <n v="0"/>
    <n v="0"/>
    <x v="1415"/>
  </r>
  <r>
    <n v="1417"/>
    <n v="30"/>
    <n v="139"/>
    <n v="26"/>
    <n v="0"/>
    <n v="13"/>
    <x v="1416"/>
  </r>
  <r>
    <n v="1418"/>
    <n v="51"/>
    <n v="115"/>
    <n v="10"/>
    <n v="0"/>
    <n v="0"/>
    <x v="1417"/>
  </r>
  <r>
    <n v="1419"/>
    <n v="23"/>
    <n v="112"/>
    <n v="6"/>
    <n v="0"/>
    <n v="9"/>
    <x v="1418"/>
  </r>
  <r>
    <n v="1420"/>
    <n v="8"/>
    <n v="109"/>
    <n v="7"/>
    <n v="0"/>
    <n v="5"/>
    <x v="1419"/>
  </r>
  <r>
    <n v="1421"/>
    <n v="26"/>
    <n v="173"/>
    <n v="3"/>
    <n v="0"/>
    <n v="7"/>
    <x v="1420"/>
  </r>
  <r>
    <n v="1422"/>
    <n v="15"/>
    <n v="145"/>
    <n v="12"/>
    <n v="0"/>
    <n v="7"/>
    <x v="1421"/>
  </r>
  <r>
    <n v="1423"/>
    <n v="41"/>
    <n v="160"/>
    <n v="6"/>
    <n v="0"/>
    <n v="17"/>
    <x v="1422"/>
  </r>
  <r>
    <n v="1424"/>
    <n v="5"/>
    <n v="125"/>
    <n v="18"/>
    <n v="0"/>
    <n v="17"/>
    <x v="1423"/>
  </r>
  <r>
    <n v="1425"/>
    <n v="19"/>
    <n v="214"/>
    <n v="4"/>
    <n v="0"/>
    <n v="11"/>
    <x v="1424"/>
  </r>
  <r>
    <n v="1426"/>
    <n v="7"/>
    <n v="141"/>
    <n v="26"/>
    <n v="0"/>
    <n v="5"/>
    <x v="1425"/>
  </r>
  <r>
    <n v="1427"/>
    <n v="11"/>
    <n v="132"/>
    <n v="38"/>
    <n v="250"/>
    <n v="3"/>
    <x v="1426"/>
  </r>
  <r>
    <n v="1428"/>
    <n v="11"/>
    <n v="118"/>
    <n v="5"/>
    <n v="0"/>
    <n v="54"/>
    <x v="1427"/>
  </r>
  <r>
    <n v="1429"/>
    <n v="20"/>
    <n v="137"/>
    <n v="0"/>
    <n v="0"/>
    <n v="10"/>
    <x v="1428"/>
  </r>
  <r>
    <n v="1430"/>
    <n v="11"/>
    <n v="152"/>
    <n v="57"/>
    <n v="0"/>
    <n v="15"/>
    <x v="1429"/>
  </r>
  <r>
    <n v="1431"/>
    <n v="10"/>
    <n v="136"/>
    <n v="29"/>
    <n v="0"/>
    <n v="21"/>
    <x v="1430"/>
  </r>
  <r>
    <n v="1432"/>
    <n v="27"/>
    <n v="134"/>
    <n v="6"/>
    <n v="0"/>
    <n v="20"/>
    <x v="1431"/>
  </r>
  <r>
    <n v="1433"/>
    <n v="3"/>
    <n v="106"/>
    <n v="13"/>
    <n v="0"/>
    <n v="5"/>
    <x v="1432"/>
  </r>
  <r>
    <n v="1434"/>
    <n v="16"/>
    <n v="105"/>
    <n v="6"/>
    <n v="0"/>
    <n v="19"/>
    <x v="1433"/>
  </r>
  <r>
    <n v="1435"/>
    <n v="5"/>
    <n v="95"/>
    <n v="11"/>
    <n v="0"/>
    <n v="5"/>
    <x v="1434"/>
  </r>
  <r>
    <n v="1436"/>
    <n v="3"/>
    <n v="121"/>
    <n v="3"/>
    <n v="0"/>
    <n v="14"/>
    <x v="1435"/>
  </r>
  <r>
    <n v="1437"/>
    <n v="18"/>
    <n v="99"/>
    <n v="7"/>
    <n v="0"/>
    <n v="23"/>
    <x v="1436"/>
  </r>
  <r>
    <n v="1438"/>
    <n v="6"/>
    <n v="81"/>
    <n v="1"/>
    <n v="0"/>
    <n v="1"/>
    <x v="1437"/>
  </r>
  <r>
    <n v="1439"/>
    <n v="12"/>
    <n v="85"/>
    <n v="18"/>
    <n v="0"/>
    <n v="12"/>
    <x v="1438"/>
  </r>
  <r>
    <n v="1440"/>
    <n v="12"/>
    <n v="126"/>
    <n v="3"/>
    <n v="0"/>
    <n v="5"/>
    <x v="1439"/>
  </r>
  <r>
    <n v="1441"/>
    <n v="2"/>
    <n v="81"/>
    <n v="12"/>
    <n v="0"/>
    <n v="14"/>
    <x v="1440"/>
  </r>
  <r>
    <n v="1442"/>
    <n v="18"/>
    <n v="72"/>
    <n v="7"/>
    <n v="0"/>
    <n v="4"/>
    <x v="1441"/>
  </r>
  <r>
    <n v="1443"/>
    <n v="16"/>
    <n v="112"/>
    <n v="8"/>
    <n v="0"/>
    <n v="5"/>
    <x v="1442"/>
  </r>
  <r>
    <n v="1444"/>
    <n v="13"/>
    <n v="78"/>
    <n v="6"/>
    <n v="0"/>
    <n v="13"/>
    <x v="1443"/>
  </r>
  <r>
    <n v="1445"/>
    <n v="1"/>
    <n v="52"/>
    <n v="19"/>
    <n v="0"/>
    <n v="7"/>
    <x v="1444"/>
  </r>
  <r>
    <n v="1446"/>
    <n v="20"/>
    <n v="38"/>
    <n v="7"/>
    <n v="0"/>
    <n v="9"/>
    <x v="1445"/>
  </r>
  <r>
    <n v="1447"/>
    <n v="1"/>
    <n v="46"/>
    <n v="1"/>
    <n v="0"/>
    <n v="4"/>
    <x v="1446"/>
  </r>
  <r>
    <n v="1448"/>
    <n v="14"/>
    <n v="31"/>
    <n v="12"/>
    <n v="0"/>
    <n v="8"/>
    <x v="1447"/>
  </r>
  <r>
    <n v="1449"/>
    <n v="0"/>
    <n v="36"/>
    <n v="2"/>
    <n v="0"/>
    <n v="23"/>
    <x v="1448"/>
  </r>
  <r>
    <n v="1450"/>
    <n v="19"/>
    <n v="43"/>
    <n v="15"/>
    <n v="250"/>
    <n v="3"/>
    <x v="1449"/>
  </r>
  <r>
    <n v="1451"/>
    <n v="0"/>
    <n v="72"/>
    <n v="0"/>
    <n v="0"/>
    <n v="0"/>
    <x v="1450"/>
  </r>
  <r>
    <n v="1452"/>
    <n v="11"/>
    <n v="62"/>
    <n v="8"/>
    <n v="0"/>
    <n v="8"/>
    <x v="1451"/>
  </r>
  <r>
    <n v="1453"/>
    <n v="0"/>
    <n v="14"/>
    <n v="0"/>
    <n v="0"/>
    <n v="0"/>
    <x v="1452"/>
  </r>
  <r>
    <n v="1454"/>
    <n v="3"/>
    <n v="18"/>
    <n v="5"/>
    <n v="0"/>
    <n v="6"/>
    <x v="1453"/>
  </r>
  <r>
    <n v="1455"/>
    <n v="0"/>
    <n v="27"/>
    <n v="0"/>
    <n v="0"/>
    <n v="0"/>
    <x v="1454"/>
  </r>
  <r>
    <n v="1456"/>
    <n v="0"/>
    <n v="36"/>
    <n v="9"/>
    <n v="0"/>
    <n v="24"/>
    <x v="1455"/>
  </r>
  <r>
    <n v="1457"/>
    <n v="7"/>
    <n v="3"/>
    <n v="0"/>
    <n v="0"/>
    <n v="0"/>
    <x v="1456"/>
  </r>
  <r>
    <n v="1458"/>
    <n v="0"/>
    <n v="15"/>
    <n v="0"/>
    <n v="0"/>
    <n v="0"/>
    <x v="1457"/>
  </r>
  <r>
    <n v="1459"/>
    <n v="0"/>
    <n v="13"/>
    <n v="9"/>
    <n v="0"/>
    <n v="10"/>
    <x v="1458"/>
  </r>
  <r>
    <n v="1460"/>
    <n v="0"/>
    <n v="5"/>
    <n v="0"/>
    <n v="0"/>
    <n v="0"/>
    <x v="14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92807-B58B-4056-A62D-9B070C59B7E7}" name="TablaDinámica5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J64:O67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16" type="button" dataOnly="0" labelOnly="1" outline="0"/>
    </format>
    <format dxfId="110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1B4BE-427A-40A7-BD8F-2EEEED0C6012}" name="TablaDinámica4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83:R86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102">
      <pivotArea type="all" dataOnly="0" outline="0" fieldPosition="0"/>
    </format>
    <format dxfId="103">
      <pivotArea outline="0" collapsedLevelsAreSubtotals="1" fieldPosition="0"/>
    </format>
    <format dxfId="104">
      <pivotArea field="16" type="button" dataOnly="0" labelOnly="1" outline="0"/>
    </format>
    <format dxfId="105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C66FE-D3EB-4748-9119-60E9775E0331}" name="TablaDinámica6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6:R9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97">
      <pivotArea type="all" dataOnly="0" outline="0" fieldPosition="0"/>
    </format>
    <format dxfId="98">
      <pivotArea outline="0" collapsedLevelsAreSubtotals="1" fieldPosition="0"/>
    </format>
    <format dxfId="99">
      <pivotArea field="16" type="button" dataOnly="0" labelOnly="1" outline="0"/>
    </format>
    <format dxfId="100">
      <pivotArea dataOnly="0" labelOnly="1" grandRow="1" outline="0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CF701-7478-4A2C-8BCB-C1F8E6C06FE7}" name="TablaDinámica7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6:R9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92">
      <pivotArea type="all" dataOnly="0" outline="0" fieldPosition="0"/>
    </format>
    <format dxfId="93">
      <pivotArea outline="0" collapsedLevelsAreSubtotals="1" fieldPosition="0"/>
    </format>
    <format dxfId="94">
      <pivotArea field="16" type="button" dataOnly="0" labelOnly="1" outline="0"/>
    </format>
    <format dxfId="95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7FD98-06CF-45E7-AA2C-94D0EE8014CB}" name="TablaDinámica3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83:R86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87">
      <pivotArea type="all" dataOnly="0" outline="0" fieldPosition="0"/>
    </format>
    <format dxfId="88">
      <pivotArea outline="0" collapsedLevelsAreSubtotals="1" fieldPosition="0"/>
    </format>
    <format dxfId="89">
      <pivotArea field="16" type="button" dataOnly="0" labelOnly="1" outline="0"/>
    </format>
    <format dxfId="90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1E7AD-96BD-4826-927A-44D1044546FF}" name="TablaDinámica2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J64:O67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82">
      <pivotArea type="all" dataOnly="0" outline="0" fieldPosition="0"/>
    </format>
    <format dxfId="83">
      <pivotArea outline="0" collapsedLevelsAreSubtotals="1" fieldPosition="0"/>
    </format>
    <format dxfId="84">
      <pivotArea field="16" type="button" dataOnly="0" labelOnly="1" outline="0"/>
    </format>
    <format dxfId="85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0A2D2-750D-4DC9-A608-A60468EEF879}" name="TablaDinámica1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6:R9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16" type="button" dataOnly="0" labelOnly="1" outline="0"/>
    </format>
    <format dxfId="80">
      <pivotArea dataOnly="0" labelOnly="1" grandRow="1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86E41-1AA7-444B-A8DC-CDEC33F5CE68}" name="TablaDinámica16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6:R9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72">
      <pivotArea type="all" dataOnly="0" outline="0" fieldPosition="0"/>
    </format>
    <format dxfId="73">
      <pivotArea outline="0" collapsedLevelsAreSubtotals="1" fieldPosition="0"/>
    </format>
    <format dxfId="74">
      <pivotArea field="16" type="button" dataOnly="0" labelOnly="1" outline="0"/>
    </format>
    <format dxfId="75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98D54-89BF-4402-87F5-848A9A4FF3CB}" name="TablaDinámica15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J64:O67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16" type="button" dataOnly="0" labelOnly="1" outline="0"/>
    </format>
    <format dxfId="70">
      <pivotArea dataOnly="0" labelOnly="1" grandRow="1" outline="0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8E37F-C2C5-42D2-ABA6-31ED13C85E69}" name="TablaDinámica14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83:R86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16" type="button" dataOnly="0" labelOnly="1" outline="0"/>
    </format>
    <format dxfId="65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87DC0-05B5-47EC-9903-AF0F5D78B9F8}" name="TablaDinámica17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133:R136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57">
      <pivotArea type="all" dataOnly="0" outline="0" fieldPosition="0"/>
    </format>
    <format dxfId="58">
      <pivotArea outline="0" collapsedLevelsAreSubtotals="1" fieldPosition="0"/>
    </format>
    <format dxfId="59">
      <pivotArea field="16" type="button" dataOnly="0" labelOnly="1" outline="0"/>
    </format>
    <format dxfId="60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D0AC2-BE1D-4E46-9B04-8A873D56525E}" name="TablaDinámica11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J64:O67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16" type="button" dataOnly="0" labelOnly="1" outline="0"/>
    </format>
    <format dxfId="55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26A2C-21E4-4A89-9525-090C235F441C}" name="TablaDinámica10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83:R86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16" type="button" dataOnly="0" labelOnly="1" outline="0"/>
    </format>
    <format dxfId="50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ED31C-D59C-48DD-9BD7-5A059F10DFB0}" name="TablaDinámica13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130:R133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6" type="button" dataOnly="0" labelOnly="1" outline="0"/>
    </format>
    <format dxfId="45">
      <pivotArea dataOnly="0" labelOnly="1" grandRow="1" outline="0" fieldPosition="0"/>
    </format>
    <format dxfId="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25C2B-388E-4259-A6FC-62B079FFAF7C}" name="TablaDinámica12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M6:R9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16" type="button" dataOnly="0" labelOnly="1" outline="0"/>
    </format>
    <format dxfId="40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2E0B2F-1FA2-4E6C-8A0A-FAFC56F2FE6C}" name="TablaDinámica7" cacheId="777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AG151:AL162" firstHeaderRow="0" firstDataRow="1" firstDataCol="1"/>
  <pivotFields count="10">
    <pivotField showAll="0"/>
    <pivotField dataField="1" showAll="0"/>
    <pivotField dataField="1" showAll="0"/>
    <pivotField dataField="1" showAll="0"/>
    <pivotField dataField="1" showAll="0"/>
    <pivotField dataField="1" showAll="0"/>
    <pivotField axis="axisRow"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4">
    <field x="9"/>
    <field x="8"/>
    <field x="7"/>
    <field x="6"/>
  </rowFields>
  <rowItems count="11"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Calopeia" fld="1" baseField="0" baseItem="0"/>
    <dataField name="Suma de Sorange" fld="2" baseField="0" baseItem="0"/>
    <dataField name="Suma de Tyran" fld="3" baseField="0" baseItem="0"/>
    <dataField name="Suma de Entworpe" fld="4" baseField="0" baseItem="0"/>
    <dataField name="Suma de Fardo" fld="5" baseField="0" baseItem="0"/>
  </dataFields>
  <formats count="12">
    <format dxfId="25">
      <pivotArea collapsedLevelsAreSubtotals="1" fieldPosition="0">
        <references count="1">
          <reference field="9" count="1">
            <x v="3"/>
          </reference>
        </references>
      </pivotArea>
    </format>
    <format dxfId="26">
      <pivotArea collapsedLevelsAreSubtotals="1" fieldPosition="0">
        <references count="1">
          <reference field="9" count="1">
            <x v="4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1">
      <pivotArea dataOnly="0" outline="0" fieldPosition="0">
        <references count="1">
          <reference field="4294967294" count="2">
            <x v="2"/>
            <x v="3"/>
          </reference>
        </references>
      </pivotArea>
    </format>
    <format dxfId="32">
      <pivotArea outline="0" collapsedLevelsAreSubtotals="1" fieldPosition="0"/>
    </format>
    <format dxfId="33">
      <pivotArea dataOnly="0" labelOnly="1" fieldPosition="0">
        <references count="1">
          <reference field="9" count="2">
            <x v="3"/>
            <x v="4"/>
          </reference>
        </references>
      </pivotArea>
    </format>
    <format dxfId="34">
      <pivotArea dataOnly="0" labelOnly="1" grandRow="1" outline="0" fieldPosition="0"/>
    </format>
    <format dxfId="35">
      <pivotArea dataOnly="0" labelOnly="1" fieldPosition="0">
        <references count="2">
          <reference field="8" count="4">
            <x v="1"/>
            <x v="2"/>
            <x v="3"/>
            <x v="4"/>
          </reference>
          <reference field="9" count="1" selected="0">
            <x v="3"/>
          </reference>
        </references>
      </pivotArea>
    </format>
    <format dxfId="36">
      <pivotArea dataOnly="0" labelOnly="1" fieldPosition="0">
        <references count="2">
          <reference field="8" count="4">
            <x v="1"/>
            <x v="2"/>
            <x v="3"/>
            <x v="4"/>
          </reference>
          <reference field="9" count="1" selected="0">
            <x v="4"/>
          </reference>
        </references>
      </pivotArea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20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D93C0-5ECC-4CA0-A88B-8EE36C3D4444}" name="TablaDinámica6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W148:AB151" firstHeaderRow="0" firstDataRow="1" firstDataCol="1"/>
  <pivotFields count="18">
    <pivotField showAll="0"/>
    <pivotField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3"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EMANDA CALOPEIA" fld="2" baseField="17" baseItem="3"/>
    <dataField name="DEMANDA SORANGE" fld="5" baseField="17" baseItem="3"/>
    <dataField name="DEMANDA TYRANT" fld="6" baseField="17" baseItem="3"/>
    <dataField name="DEMANDA ENTWORPE" fld="10" baseField="17" baseItem="3"/>
    <dataField name="DEMANDA Fardo" fld="13" baseField="17" baseItem="3"/>
  </dataFields>
  <formats count="5"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6" type="button" dataOnly="0" labelOnly="1" outline="0"/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46" name="FECHA">
      <autoFilter ref="A1">
        <filterColumn colId="0">
          <customFilters and="1">
            <customFilter operator="greaterThanOrEqual" val="46388"/>
            <customFilter operator="lessThanOrEqual" val="4711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98D10-1E59-416B-B3DC-A1BB0ABDA3EA}" name="TablaDinámica5" cacheId="777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W197:AB210" firstHeaderRow="0" firstDataRow="1" firstDataCol="1"/>
  <pivotFields count="18">
    <pivotField showAll="0"/>
    <pivotField axis="axisRow" numFmtId="14" showAll="0">
      <items count="14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15"/>
    <field x="1"/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CALOPEIA" fld="2" baseField="0" baseItem="0"/>
    <dataField name="Suma de PRE.SORANGE" fld="5" baseField="0" baseItem="0"/>
    <dataField name="Suma de TYRAN" fld="7" baseField="0" baseItem="0"/>
    <dataField name="Suma de Entworpe" fld="9" baseField="0" baseItem="0"/>
    <dataField name="Suma de Fardo" fld="13" baseField="0" baseItem="0"/>
  </dataFields>
  <pivotTableStyleInfo name="PivotStyleLight16" showRowHeaders="1" showColHeaders="1" showRowStripes="0" showColStripes="0" showLastColumn="1"/>
  <filters count="1">
    <filter fld="1" type="dateBetween" evalOrder="-1" id="32" name="FECHA">
      <autoFilter ref="A1">
        <filterColumn colId="0">
          <customFilters and="1">
            <customFilter operator="greaterThanOrEqual" val="46388"/>
            <customFilter operator="lessThanOrEqual" val="467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F2432-BF85-463B-92ED-C424AA59ACC2}" name="Tabla3" displayName="Tabla3" ref="B4:P1464" totalsRowShown="0" headerRowDxfId="19" dataDxfId="18" headerRowBorderDxfId="16" tableBorderDxfId="17" totalsRowBorderDxfId="15">
  <autoFilter ref="B4:P1464" xr:uid="{AE5F2432-BF85-463B-92ED-C424AA59ACC2}"/>
  <tableColumns count="15">
    <tableColumn id="1" xr3:uid="{3855BA03-0CF8-46C9-A50D-7C5DC9F6B953}" name="DÍA" dataDxfId="14"/>
    <tableColumn id="2" xr3:uid="{C8F48F3C-A7C9-4A7B-BAE8-D248714337AB}" name="FECHA" dataDxfId="13"/>
    <tableColumn id="3" xr3:uid="{ACBA1A43-0766-4BB1-9943-10E7E1792056}" name="CALOPEIA" dataDxfId="12"/>
    <tableColumn id="4" xr3:uid="{AE0769FA-D280-4300-BF2F-79CEB6947487}" name="PRE.CALOPEIA" dataDxfId="11">
      <calculatedColumnFormula>ROUNDUP(_xlfn.FORECAST.ETS(B5,$D$5:$D$734,$B$5:$B$734,365,0,1),0)</calculatedColumnFormula>
    </tableColumn>
    <tableColumn id="5" xr3:uid="{DE1D765F-C043-48BC-BD32-EFF2D0929E58}" name="SORANGE" dataDxfId="10"/>
    <tableColumn id="6" xr3:uid="{98C80BED-E125-417E-9F58-5C356C34C65A}" name="PRE.SORANGE" dataDxfId="9">
      <calculatedColumnFormula>0.1016*Tabla3[[#This Row],[DÍA]]-33.975</calculatedColumnFormula>
    </tableColumn>
    <tableColumn id="13" xr3:uid="{2EF789C7-DD21-4B41-9EDE-0D3B45D704F0}" name="TYRANT VERDADERO" dataDxfId="8">
      <calculatedColumnFormula>AVERAGE($I$674:$I$734)</calculatedColumnFormula>
    </tableColumn>
    <tableColumn id="7" xr3:uid="{B657284B-AF29-478A-93E0-8404896C65FA}" name="TYRAN" dataDxfId="7"/>
    <tableColumn id="8" xr3:uid="{0BAB1D5A-327E-420B-ABF6-9A2EDDC677A8}" name="PRE.TYRAN" dataDxfId="6"/>
    <tableColumn id="9" xr3:uid="{57362F89-A7CE-409D-B3F9-C16D310F954B}" name="Entworpe" dataDxfId="5"/>
    <tableColumn id="14" xr3:uid="{2B53A0C4-4C45-49C3-B78D-E67ACC3309F2}" name="ENTWORPE VERDADERO" dataDxfId="4">
      <calculatedColumnFormula>12000/730</calculatedColumnFormula>
    </tableColumn>
    <tableColumn id="10" xr3:uid="{55BE0AE1-D398-4180-A7BD-5E4671ECE742}" name="PRE.Entworpe" dataDxfId="3"/>
    <tableColumn id="15" xr3:uid="{6153E43D-C218-43CF-AD48-1DB28E133998}" name="FARDO VERDADERO" dataDxfId="2">
      <calculatedColumnFormula>AVERAGE($O$644:$O$734)</calculatedColumnFormula>
    </tableColumn>
    <tableColumn id="11" xr3:uid="{9039B263-A5CD-4AFE-9A09-B94091B7C48C}" name="Fardo" dataDxfId="1"/>
    <tableColumn id="12" xr3:uid="{B5C531DC-17C7-4142-A8C8-C40AD8C95B08}" name="PRE.Fard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6E942DC0-DEA2-45F5-8E94-92BA43A6FED3}" sourceName="FECHA">
  <pivotTables>
    <pivotTable tabId="2" name="TablaDinámica6"/>
    <pivotTable tabId="4" name="TablaDinámica1"/>
    <pivotTable tabId="4" name="TablaDinámica2"/>
    <pivotTable tabId="4" name="TablaDinámica3"/>
    <pivotTable tabId="5" name="TablaDinámica4"/>
    <pivotTable tabId="5" name="TablaDinámica5"/>
    <pivotTable tabId="5" name="TablaDinámica6"/>
    <pivotTable tabId="6" name="TablaDinámica7"/>
    <pivotTable tabId="7" name="TablaDinámica10"/>
    <pivotTable tabId="7" name="TablaDinámica11"/>
    <pivotTable tabId="7" name="TablaDinámica12"/>
    <pivotTable tabId="7" name="TablaDinámica13"/>
    <pivotTable tabId="8" name="TablaDinámica14"/>
    <pivotTable tabId="8" name="TablaDinámica15"/>
    <pivotTable tabId="8" name="TablaDinámica16"/>
    <pivotTable tabId="8" name="TablaDinámica17"/>
  </pivotTables>
  <state minimalRefreshVersion="6" lastRefreshVersion="6" pivotCacheId="1336931758" filterType="dateBetween">
    <selection startDate="2027-01-01T00:00:00" endDate="2028-12-31T00:00:00"/>
    <bounds startDate="2025-01-01T00:00:00" endDate="2029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1" xr10:uid="{639DC462-D304-4F94-AD0A-B8FE78FCA004}" sourceName="FECHA">
  <pivotTables>
    <pivotTable tabId="2" name="TablaDinámica5"/>
  </pivotTables>
  <state minimalRefreshVersion="6" lastRefreshVersion="6" pivotCacheId="1336931758" filterType="dateBetween">
    <selection startDate="2027-01-01T00:00:00" endDate="2027-12-31T00:00:00"/>
    <bounds startDate="2025-01-01T00:00:00" endDate="202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78D44BC-D316-4484-B475-39B46816A0A2}" cache="NativeTimeline_FECHA" caption="FECHA" level="0" selectionLevel="0" scrollPosition="2025-01-01T00:00:00"/>
  <timeline name="FECHA 1" xr10:uid="{DDAF9064-136F-4C4A-93BF-9DBA04D09612}" cache="NativeTimeline_FECHA1" caption="FECHA" level="0" selectionLevel="0" scrollPosition="2025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1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pivotTable" Target="../pivotTables/pivotTable18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FABAA-9BCF-498F-A10E-C535BFEFFF3A}">
  <dimension ref="A2:T125"/>
  <sheetViews>
    <sheetView tabSelected="1" zoomScale="85" zoomScaleNormal="85" workbookViewId="0">
      <selection activeCell="F10" sqref="F10"/>
    </sheetView>
  </sheetViews>
  <sheetFormatPr defaultColWidth="16.7109375" defaultRowHeight="15"/>
  <cols>
    <col min="1" max="1" width="28.85546875" customWidth="1"/>
    <col min="2" max="2" width="25.140625" customWidth="1"/>
    <col min="3" max="3" width="40.5703125" customWidth="1"/>
    <col min="4" max="4" width="38.140625" customWidth="1"/>
    <col min="5" max="5" width="27.140625" customWidth="1"/>
    <col min="6" max="6" width="23.7109375" bestFit="1" customWidth="1"/>
    <col min="7" max="7" width="16.85546875" bestFit="1" customWidth="1"/>
    <col min="8" max="8" width="17.140625" bestFit="1" customWidth="1"/>
    <col min="9" max="9" width="16.85546875" bestFit="1" customWidth="1"/>
    <col min="10" max="10" width="23.42578125" customWidth="1"/>
    <col min="11" max="11" width="22.85546875" customWidth="1"/>
    <col min="12" max="12" width="17.140625" bestFit="1" customWidth="1"/>
    <col min="13" max="13" width="18.5703125" bestFit="1" customWidth="1"/>
    <col min="14" max="14" width="19.85546875" bestFit="1" customWidth="1"/>
    <col min="15" max="16" width="16.85546875" bestFit="1" customWidth="1"/>
  </cols>
  <sheetData>
    <row r="2" spans="1:18">
      <c r="A2" s="93" t="s">
        <v>0</v>
      </c>
      <c r="B2" s="94" t="s">
        <v>1</v>
      </c>
      <c r="C2" s="94"/>
      <c r="D2" s="94"/>
      <c r="E2" s="45" t="s">
        <v>2</v>
      </c>
    </row>
    <row r="3" spans="1:18">
      <c r="A3" s="93"/>
      <c r="B3" s="94" t="s">
        <v>3</v>
      </c>
      <c r="C3" s="94"/>
      <c r="D3" s="94"/>
      <c r="E3" t="s">
        <v>4</v>
      </c>
    </row>
    <row r="5" spans="1:18">
      <c r="M5" s="45" t="s">
        <v>5</v>
      </c>
    </row>
    <row r="6" spans="1:18" ht="30">
      <c r="M6" s="34" t="s">
        <v>6</v>
      </c>
      <c r="N6" s="34" t="s">
        <v>7</v>
      </c>
      <c r="O6" s="21" t="s">
        <v>8</v>
      </c>
      <c r="P6" s="21" t="s">
        <v>9</v>
      </c>
      <c r="Q6" s="21" t="s">
        <v>10</v>
      </c>
      <c r="R6" s="21" t="s">
        <v>11</v>
      </c>
    </row>
    <row r="7" spans="1:18">
      <c r="M7" s="22" t="s">
        <v>12</v>
      </c>
      <c r="N7" s="21">
        <v>12974</v>
      </c>
      <c r="O7" s="21">
        <v>15307.6255</v>
      </c>
      <c r="P7" s="21">
        <v>7084.5901639343938</v>
      </c>
      <c r="Q7" s="21">
        <v>5999.9999999999964</v>
      </c>
      <c r="R7" s="21">
        <v>6912.6988347453353</v>
      </c>
    </row>
    <row r="8" spans="1:18">
      <c r="B8" s="45" t="s">
        <v>13</v>
      </c>
      <c r="C8" s="45" t="s">
        <v>14</v>
      </c>
      <c r="M8" s="22" t="s">
        <v>15</v>
      </c>
      <c r="N8" s="21">
        <v>12641</v>
      </c>
      <c r="O8" s="21">
        <v>35651.082999999999</v>
      </c>
      <c r="P8" s="21">
        <v>7084.5901639343938</v>
      </c>
      <c r="Q8" s="21">
        <v>5999.9999999999964</v>
      </c>
      <c r="R8" s="21">
        <v>7034.226266481377</v>
      </c>
    </row>
    <row r="9" spans="1:18" ht="15.75" thickBot="1">
      <c r="A9" s="49" t="s">
        <v>16</v>
      </c>
      <c r="B9" s="51"/>
      <c r="C9" s="51"/>
      <c r="E9" s="48" t="s">
        <v>17</v>
      </c>
      <c r="M9" s="22" t="s">
        <v>18</v>
      </c>
      <c r="N9" s="21">
        <v>25615</v>
      </c>
      <c r="O9" s="21">
        <v>50958.708500000001</v>
      </c>
      <c r="P9" s="21">
        <v>14169.180327868788</v>
      </c>
      <c r="Q9" s="21">
        <v>11999.999999999993</v>
      </c>
      <c r="R9" s="21">
        <v>13946.925101226712</v>
      </c>
    </row>
    <row r="10" spans="1:18">
      <c r="A10" s="49" t="s">
        <v>19</v>
      </c>
      <c r="B10" s="51"/>
      <c r="C10" s="68">
        <f>6797*1000</f>
        <v>6797000</v>
      </c>
      <c r="E10" s="40" t="s">
        <v>20</v>
      </c>
      <c r="F10" s="57">
        <f>AVERAGE(O7:O8)+AVERAGE(Q7:Q8)</f>
        <v>31479.354249999997</v>
      </c>
      <c r="G10" s="58" t="s">
        <v>21</v>
      </c>
    </row>
    <row r="11" spans="1:18">
      <c r="A11" s="72" t="s">
        <v>22</v>
      </c>
      <c r="B11" s="51"/>
      <c r="C11" s="69">
        <v>500000</v>
      </c>
      <c r="E11" s="41" t="s">
        <v>23</v>
      </c>
      <c r="F11">
        <f>SQRT((2*F10*1500)/100)</f>
        <v>971.79248170584231</v>
      </c>
      <c r="G11" s="59" t="s">
        <v>24</v>
      </c>
      <c r="H11">
        <f>F11/12</f>
        <v>80.982706808820197</v>
      </c>
      <c r="I11" t="s">
        <v>25</v>
      </c>
    </row>
    <row r="12" spans="1:18">
      <c r="A12" s="49" t="s">
        <v>26</v>
      </c>
      <c r="B12" s="70">
        <v>70</v>
      </c>
      <c r="C12" s="69">
        <f>50000*B12</f>
        <v>3500000</v>
      </c>
      <c r="E12" s="41" t="s">
        <v>27</v>
      </c>
      <c r="F12">
        <f>F10/F11</f>
        <v>32.393082723528082</v>
      </c>
      <c r="G12" s="59" t="s">
        <v>28</v>
      </c>
      <c r="H12">
        <f>F12/12</f>
        <v>2.6994235602940067</v>
      </c>
      <c r="I12" t="s">
        <v>25</v>
      </c>
    </row>
    <row r="13" spans="1:18">
      <c r="A13" s="49" t="s">
        <v>29</v>
      </c>
      <c r="B13" s="51"/>
      <c r="C13" s="70"/>
      <c r="E13" s="41" t="s">
        <v>30</v>
      </c>
      <c r="F13">
        <f>F12*F11</f>
        <v>31479.35425</v>
      </c>
      <c r="G13" s="59"/>
    </row>
    <row r="14" spans="1:18">
      <c r="A14" s="49" t="s">
        <v>26</v>
      </c>
      <c r="B14" s="70">
        <v>0</v>
      </c>
      <c r="C14" s="70"/>
      <c r="E14" s="41"/>
      <c r="F14" s="3">
        <f>1500+F13*1000</f>
        <v>31480854.25</v>
      </c>
      <c r="G14" s="59" t="s">
        <v>31</v>
      </c>
    </row>
    <row r="15" spans="1:18">
      <c r="A15" s="49" t="s">
        <v>32</v>
      </c>
      <c r="B15" s="51"/>
      <c r="C15" s="69"/>
      <c r="E15" s="45" t="s">
        <v>33</v>
      </c>
      <c r="F15">
        <f>100/12</f>
        <v>8.3333333333333339</v>
      </c>
      <c r="G15" s="59" t="s">
        <v>34</v>
      </c>
      <c r="M15" s="45" t="s">
        <v>35</v>
      </c>
    </row>
    <row r="16" spans="1:18">
      <c r="A16" s="72" t="s">
        <v>36</v>
      </c>
      <c r="B16" s="51"/>
      <c r="C16" s="69">
        <v>100000</v>
      </c>
      <c r="E16" s="41"/>
      <c r="F16" s="41"/>
      <c r="G16" s="42"/>
      <c r="M16" s="61"/>
      <c r="N16" s="65" t="s">
        <v>37</v>
      </c>
      <c r="O16" s="65" t="s">
        <v>38</v>
      </c>
      <c r="P16" s="65" t="s">
        <v>39</v>
      </c>
      <c r="Q16" s="65" t="s">
        <v>40</v>
      </c>
      <c r="R16" s="65" t="s">
        <v>41</v>
      </c>
    </row>
    <row r="17" spans="1:20" ht="15.75" thickBot="1">
      <c r="A17" s="51"/>
      <c r="B17" s="51"/>
      <c r="C17" s="70"/>
      <c r="E17" s="41"/>
      <c r="F17" s="41"/>
      <c r="G17" s="43"/>
      <c r="M17" s="61" t="s">
        <v>42</v>
      </c>
      <c r="N17" s="63">
        <v>75</v>
      </c>
      <c r="O17" s="63">
        <v>100</v>
      </c>
      <c r="P17" s="63">
        <v>100</v>
      </c>
      <c r="Q17" s="63">
        <v>100</v>
      </c>
      <c r="R17" s="63">
        <v>225</v>
      </c>
      <c r="S17">
        <f>15000/200</f>
        <v>75</v>
      </c>
    </row>
    <row r="18" spans="1:20">
      <c r="A18" s="49" t="s">
        <v>43</v>
      </c>
      <c r="B18" s="51"/>
      <c r="C18" s="69"/>
      <c r="M18" s="61" t="s">
        <v>44</v>
      </c>
      <c r="N18" s="63">
        <v>100</v>
      </c>
      <c r="O18" s="63">
        <v>75</v>
      </c>
      <c r="P18" s="63">
        <v>100</v>
      </c>
      <c r="Q18" s="63">
        <v>100</v>
      </c>
      <c r="R18" s="63">
        <v>225</v>
      </c>
    </row>
    <row r="19" spans="1:20">
      <c r="A19" s="51" t="s">
        <v>45</v>
      </c>
      <c r="B19" s="70">
        <v>1000</v>
      </c>
      <c r="C19" s="69">
        <f>1500+B19*1000</f>
        <v>1001500</v>
      </c>
      <c r="M19" s="61" t="s">
        <v>46</v>
      </c>
      <c r="N19" s="63">
        <v>100</v>
      </c>
      <c r="O19" s="63">
        <v>100</v>
      </c>
      <c r="P19" s="63">
        <v>75</v>
      </c>
      <c r="Q19" s="63">
        <v>100</v>
      </c>
      <c r="R19" s="63">
        <v>225</v>
      </c>
    </row>
    <row r="20" spans="1:20">
      <c r="M20" s="61" t="s">
        <v>47</v>
      </c>
      <c r="N20" s="63">
        <v>100</v>
      </c>
      <c r="O20" s="63">
        <v>100</v>
      </c>
      <c r="P20" s="63">
        <v>100</v>
      </c>
      <c r="Q20" s="63">
        <v>75</v>
      </c>
      <c r="R20" s="63">
        <v>225</v>
      </c>
    </row>
    <row r="21" spans="1:20">
      <c r="B21" s="38" t="s">
        <v>48</v>
      </c>
      <c r="C21" s="44">
        <f>C10-SUM(C11:C19)</f>
        <v>1695500</v>
      </c>
      <c r="E21" s="50"/>
      <c r="F21" s="49" t="s">
        <v>49</v>
      </c>
      <c r="G21" s="51"/>
      <c r="J21" t="s">
        <v>50</v>
      </c>
      <c r="M21" s="61" t="s">
        <v>51</v>
      </c>
      <c r="N21" s="63">
        <v>100</v>
      </c>
      <c r="O21" s="63">
        <v>100</v>
      </c>
      <c r="P21" s="63">
        <v>100</v>
      </c>
      <c r="Q21" s="63">
        <v>100</v>
      </c>
      <c r="R21" s="63">
        <v>75</v>
      </c>
    </row>
    <row r="22" spans="1:20">
      <c r="E22" s="49" t="s">
        <v>52</v>
      </c>
      <c r="F22" s="50">
        <f>1500+F13*1000</f>
        <v>31480854.25</v>
      </c>
      <c r="G22" s="51" t="s">
        <v>24</v>
      </c>
      <c r="I22" s="51" t="s">
        <v>53</v>
      </c>
      <c r="J22" s="50">
        <f>F13*1450</f>
        <v>45645063.662500001</v>
      </c>
      <c r="K22" s="51" t="s">
        <v>24</v>
      </c>
      <c r="M22" s="64"/>
      <c r="N22" s="64"/>
      <c r="O22" s="64"/>
      <c r="P22" s="64"/>
      <c r="Q22" s="64"/>
      <c r="R22" s="64"/>
      <c r="T22" s="62"/>
    </row>
    <row r="23" spans="1:20">
      <c r="E23" s="49" t="s">
        <v>52</v>
      </c>
      <c r="F23" s="50">
        <f>F22/12</f>
        <v>2623404.5208333335</v>
      </c>
      <c r="G23" s="51" t="s">
        <v>54</v>
      </c>
      <c r="I23" s="51" t="s">
        <v>53</v>
      </c>
      <c r="J23" s="50">
        <f>J22/12</f>
        <v>3803755.3052083333</v>
      </c>
      <c r="K23" s="51" t="s">
        <v>54</v>
      </c>
      <c r="M23" s="61"/>
      <c r="N23" s="61" t="s">
        <v>55</v>
      </c>
      <c r="O23" s="61" t="s">
        <v>56</v>
      </c>
      <c r="P23" s="61" t="s">
        <v>57</v>
      </c>
      <c r="Q23" s="61" t="s">
        <v>58</v>
      </c>
      <c r="R23" s="61" t="s">
        <v>59</v>
      </c>
      <c r="T23" s="64"/>
    </row>
    <row r="24" spans="1:20">
      <c r="E24" s="49" t="s">
        <v>52</v>
      </c>
      <c r="F24" s="50">
        <f>F23/365</f>
        <v>7187.4096461187219</v>
      </c>
      <c r="G24" s="51" t="s">
        <v>60</v>
      </c>
      <c r="I24" s="51" t="s">
        <v>53</v>
      </c>
      <c r="J24" s="50">
        <f>J22/365</f>
        <v>125054.96893835616</v>
      </c>
      <c r="K24" s="51" t="s">
        <v>61</v>
      </c>
      <c r="M24" s="65" t="s">
        <v>37</v>
      </c>
      <c r="N24" s="63">
        <v>150</v>
      </c>
      <c r="O24" s="63">
        <v>200</v>
      </c>
      <c r="P24" s="63">
        <v>200</v>
      </c>
      <c r="Q24" s="63">
        <v>200</v>
      </c>
      <c r="R24" s="63">
        <v>400</v>
      </c>
      <c r="T24" s="64"/>
    </row>
    <row r="25" spans="1:20">
      <c r="A25" s="45" t="s">
        <v>62</v>
      </c>
      <c r="B25" s="71">
        <v>0.209418110154548</v>
      </c>
      <c r="C25" t="s">
        <v>63</v>
      </c>
      <c r="D25" s="3"/>
      <c r="I25" s="3"/>
      <c r="M25" s="65" t="s">
        <v>38</v>
      </c>
      <c r="N25" s="63">
        <v>200</v>
      </c>
      <c r="O25" s="63">
        <v>150</v>
      </c>
      <c r="P25" s="63">
        <v>200</v>
      </c>
      <c r="Q25" s="63">
        <v>200</v>
      </c>
      <c r="R25" s="63">
        <v>400</v>
      </c>
      <c r="T25" s="64"/>
    </row>
    <row r="26" spans="1:20">
      <c r="M26" s="65" t="s">
        <v>39</v>
      </c>
      <c r="N26" s="63">
        <v>200</v>
      </c>
      <c r="O26" s="63">
        <v>200</v>
      </c>
      <c r="P26" s="63">
        <v>150</v>
      </c>
      <c r="Q26" s="63">
        <v>200</v>
      </c>
      <c r="R26" s="63">
        <v>400</v>
      </c>
      <c r="T26" s="64"/>
    </row>
    <row r="27" spans="1:20">
      <c r="D27" s="3"/>
      <c r="M27" s="65" t="s">
        <v>40</v>
      </c>
      <c r="N27" s="63">
        <v>200</v>
      </c>
      <c r="O27" s="63">
        <v>200</v>
      </c>
      <c r="P27" s="63">
        <v>200</v>
      </c>
      <c r="Q27" s="63">
        <v>150</v>
      </c>
      <c r="R27" s="63">
        <v>400</v>
      </c>
      <c r="T27" s="64"/>
    </row>
    <row r="28" spans="1:20">
      <c r="M28" s="65" t="s">
        <v>41</v>
      </c>
      <c r="N28" s="63">
        <v>200</v>
      </c>
      <c r="O28" s="63">
        <v>200</v>
      </c>
      <c r="P28" s="63">
        <v>200</v>
      </c>
      <c r="Q28" s="63">
        <v>200</v>
      </c>
      <c r="R28" s="63">
        <v>150</v>
      </c>
      <c r="T28" s="64"/>
    </row>
    <row r="29" spans="1:20">
      <c r="C29" s="45" t="s">
        <v>64</v>
      </c>
      <c r="D29" s="3"/>
      <c r="I29" s="3"/>
    </row>
    <row r="30" spans="1:20">
      <c r="M30" s="66" t="s">
        <v>65</v>
      </c>
    </row>
    <row r="31" spans="1:20">
      <c r="M31" s="66" t="s">
        <v>66</v>
      </c>
    </row>
    <row r="32" spans="1:20">
      <c r="C32" s="45"/>
      <c r="D32" s="45"/>
      <c r="E32" s="45"/>
      <c r="F32" s="45"/>
      <c r="G32" s="45"/>
      <c r="H32" s="45"/>
      <c r="I32" s="45"/>
    </row>
    <row r="33" spans="2:16">
      <c r="C33" s="54" t="s">
        <v>67</v>
      </c>
      <c r="D33" s="53" t="s">
        <v>68</v>
      </c>
      <c r="E33" s="53" t="s">
        <v>69</v>
      </c>
      <c r="F33" s="53" t="s">
        <v>70</v>
      </c>
      <c r="G33" s="53" t="s">
        <v>71</v>
      </c>
      <c r="H33" s="53" t="s">
        <v>72</v>
      </c>
      <c r="I33" s="53" t="s">
        <v>73</v>
      </c>
      <c r="M33" t="s">
        <v>74</v>
      </c>
    </row>
    <row r="34" spans="2:16">
      <c r="B34" s="52" t="s">
        <v>75</v>
      </c>
      <c r="C34" s="49" t="s">
        <v>76</v>
      </c>
      <c r="D34" s="50"/>
      <c r="E34" s="51"/>
      <c r="F34" s="51"/>
      <c r="G34" s="51"/>
      <c r="H34" s="50">
        <f>C21</f>
        <v>1695500</v>
      </c>
      <c r="I34" s="51"/>
      <c r="M34" t="s">
        <v>77</v>
      </c>
      <c r="N34" s="46">
        <f>AVERAGE(O7:O8)/F10</f>
        <v>0.80939888562040641</v>
      </c>
    </row>
    <row r="35" spans="2:16">
      <c r="B35" s="91" t="s">
        <v>78</v>
      </c>
      <c r="C35" s="49" t="s">
        <v>79</v>
      </c>
      <c r="D35" s="50">
        <f t="shared" ref="D35:D58" si="0">$J$23</f>
        <v>3803755.3052083333</v>
      </c>
      <c r="E35" s="50">
        <f t="shared" ref="E35:E58" si="1">$F$23</f>
        <v>2623404.5208333335</v>
      </c>
      <c r="F35" s="50">
        <f t="shared" ref="F35:F58" si="2">$F$11/2*$F$15</f>
        <v>4049.1353404410097</v>
      </c>
      <c r="G35" s="51">
        <f t="shared" ref="G35:G58" si="3">$F$12*$O$39/12</f>
        <v>883.68358024191718</v>
      </c>
      <c r="H35" s="50">
        <f>H34+D35-E35-F35-G35</f>
        <v>2870917.9654543162</v>
      </c>
      <c r="I35" s="50">
        <f>H35*0.7974%</f>
        <v>22892.699856532719</v>
      </c>
      <c r="J35">
        <v>30</v>
      </c>
      <c r="M35" t="s">
        <v>80</v>
      </c>
      <c r="N35" s="46">
        <f>AVERAGE(P7:P8)/F10</f>
        <v>0.22505513002810071</v>
      </c>
    </row>
    <row r="36" spans="2:16">
      <c r="B36" s="91"/>
      <c r="C36" s="49" t="s">
        <v>81</v>
      </c>
      <c r="D36" s="50">
        <f t="shared" si="0"/>
        <v>3803755.3052083333</v>
      </c>
      <c r="E36" s="50">
        <f t="shared" si="1"/>
        <v>2623404.5208333335</v>
      </c>
      <c r="F36" s="50">
        <f t="shared" si="2"/>
        <v>4049.1353404410097</v>
      </c>
      <c r="G36" s="51">
        <f t="shared" si="3"/>
        <v>883.68358024191718</v>
      </c>
      <c r="H36" s="50">
        <f t="shared" ref="H36:H58" si="4">H35+D36-E36-F36-G36+I35</f>
        <v>4069228.6307651657</v>
      </c>
      <c r="I36" s="50">
        <f>H36*0.7974%</f>
        <v>32448.029101721433</v>
      </c>
      <c r="J36">
        <v>60</v>
      </c>
      <c r="M36" t="s">
        <v>82</v>
      </c>
      <c r="N36" s="46">
        <f>AVERAGE(Q7:Q8)/F10</f>
        <v>0.19060111437959362</v>
      </c>
    </row>
    <row r="37" spans="2:16">
      <c r="B37" s="91"/>
      <c r="C37" s="49" t="s">
        <v>83</v>
      </c>
      <c r="D37" s="50">
        <f t="shared" si="0"/>
        <v>3803755.3052083333</v>
      </c>
      <c r="E37" s="50">
        <f t="shared" si="1"/>
        <v>2623404.5208333335</v>
      </c>
      <c r="F37" s="50">
        <f t="shared" si="2"/>
        <v>4049.1353404410097</v>
      </c>
      <c r="G37" s="51">
        <f t="shared" si="3"/>
        <v>883.68358024191718</v>
      </c>
      <c r="H37" s="50">
        <f t="shared" si="4"/>
        <v>5277094.6253212029</v>
      </c>
      <c r="I37" s="50">
        <f t="shared" ref="I37:I57" si="5">H37*0.7974%</f>
        <v>42079.55254231127</v>
      </c>
      <c r="J37">
        <v>90</v>
      </c>
    </row>
    <row r="38" spans="2:16">
      <c r="B38" s="91"/>
      <c r="C38" s="49" t="s">
        <v>84</v>
      </c>
      <c r="D38" s="50">
        <f t="shared" si="0"/>
        <v>3803755.3052083333</v>
      </c>
      <c r="E38" s="50">
        <f t="shared" si="1"/>
        <v>2623404.5208333335</v>
      </c>
      <c r="F38" s="50">
        <f t="shared" si="2"/>
        <v>4049.1353404410097</v>
      </c>
      <c r="G38" s="51">
        <f t="shared" si="3"/>
        <v>883.68358024191718</v>
      </c>
      <c r="H38" s="50">
        <f t="shared" si="4"/>
        <v>6494592.1433178307</v>
      </c>
      <c r="I38" s="50">
        <f t="shared" si="5"/>
        <v>51787.877750816384</v>
      </c>
    </row>
    <row r="39" spans="2:16">
      <c r="B39" s="91"/>
      <c r="C39" s="49" t="s">
        <v>85</v>
      </c>
      <c r="D39" s="50">
        <f t="shared" si="0"/>
        <v>3803755.3052083333</v>
      </c>
      <c r="E39" s="50">
        <f t="shared" si="1"/>
        <v>2623404.5208333335</v>
      </c>
      <c r="F39" s="50">
        <f t="shared" si="2"/>
        <v>4049.1353404410097</v>
      </c>
      <c r="G39" s="51">
        <f t="shared" si="3"/>
        <v>883.68358024191718</v>
      </c>
      <c r="H39" s="50">
        <f t="shared" si="4"/>
        <v>7721797.9865229642</v>
      </c>
      <c r="I39" s="50">
        <f t="shared" si="5"/>
        <v>61573.617144534117</v>
      </c>
      <c r="M39" t="s">
        <v>86</v>
      </c>
      <c r="N39">
        <f>Q20+O27</f>
        <v>275</v>
      </c>
      <c r="O39" s="67">
        <f>N39*N34+N40*N35+N41*N36</f>
        <v>327.36010503874797</v>
      </c>
      <c r="P39" t="s">
        <v>87</v>
      </c>
    </row>
    <row r="40" spans="2:16">
      <c r="B40" s="91"/>
      <c r="C40" s="49" t="s">
        <v>88</v>
      </c>
      <c r="D40" s="50">
        <f t="shared" si="0"/>
        <v>3803755.3052083333</v>
      </c>
      <c r="E40" s="50">
        <f t="shared" si="1"/>
        <v>2623404.5208333335</v>
      </c>
      <c r="F40" s="50">
        <f t="shared" si="2"/>
        <v>4049.1353404410097</v>
      </c>
      <c r="G40" s="51">
        <f t="shared" si="3"/>
        <v>883.68358024191718</v>
      </c>
      <c r="H40" s="50">
        <f t="shared" si="4"/>
        <v>8958789.5691218153</v>
      </c>
      <c r="I40" s="50">
        <f t="shared" si="5"/>
        <v>71437.388024177359</v>
      </c>
      <c r="M40" t="s">
        <v>89</v>
      </c>
      <c r="N40">
        <f>O18+P27</f>
        <v>275</v>
      </c>
      <c r="O40" s="67"/>
    </row>
    <row r="41" spans="2:16">
      <c r="B41" s="91"/>
      <c r="C41" s="49" t="s">
        <v>90</v>
      </c>
      <c r="D41" s="50">
        <f t="shared" si="0"/>
        <v>3803755.3052083333</v>
      </c>
      <c r="E41" s="50">
        <f t="shared" si="1"/>
        <v>2623404.5208333335</v>
      </c>
      <c r="F41" s="50">
        <f t="shared" si="2"/>
        <v>4049.1353404410097</v>
      </c>
      <c r="G41" s="51">
        <f t="shared" si="3"/>
        <v>883.68358024191718</v>
      </c>
      <c r="H41" s="50">
        <f t="shared" si="4"/>
        <v>10205644.922600308</v>
      </c>
      <c r="I41" s="50">
        <f t="shared" si="5"/>
        <v>81379.812612814858</v>
      </c>
      <c r="M41" t="s">
        <v>91</v>
      </c>
      <c r="N41">
        <f>Q20+Q27</f>
        <v>225</v>
      </c>
      <c r="O41" s="67"/>
    </row>
    <row r="42" spans="2:16">
      <c r="B42" s="91"/>
      <c r="C42" s="49" t="s">
        <v>92</v>
      </c>
      <c r="D42" s="50">
        <f t="shared" si="0"/>
        <v>3803755.3052083333</v>
      </c>
      <c r="E42" s="50">
        <f t="shared" si="1"/>
        <v>2623404.5208333335</v>
      </c>
      <c r="F42" s="50">
        <f t="shared" si="2"/>
        <v>4049.1353404410097</v>
      </c>
      <c r="G42" s="51">
        <f t="shared" si="3"/>
        <v>883.68358024191718</v>
      </c>
      <c r="H42" s="50">
        <f t="shared" si="4"/>
        <v>11462442.700667439</v>
      </c>
      <c r="I42" s="50">
        <f t="shared" si="5"/>
        <v>91401.518095122156</v>
      </c>
      <c r="J42" s="3"/>
    </row>
    <row r="43" spans="2:16">
      <c r="B43" s="91"/>
      <c r="C43" s="49" t="s">
        <v>93</v>
      </c>
      <c r="D43" s="50">
        <f t="shared" si="0"/>
        <v>3803755.3052083333</v>
      </c>
      <c r="E43" s="50">
        <f t="shared" si="1"/>
        <v>2623404.5208333335</v>
      </c>
      <c r="F43" s="50">
        <f t="shared" si="2"/>
        <v>4049.1353404410097</v>
      </c>
      <c r="G43" s="51">
        <f t="shared" si="3"/>
        <v>883.68358024191718</v>
      </c>
      <c r="H43" s="50">
        <f t="shared" si="4"/>
        <v>12729262.184216877</v>
      </c>
      <c r="I43" s="50">
        <f t="shared" si="5"/>
        <v>101503.13665694538</v>
      </c>
    </row>
    <row r="44" spans="2:16">
      <c r="B44" s="91"/>
      <c r="C44" s="49" t="s">
        <v>94</v>
      </c>
      <c r="D44" s="50">
        <f t="shared" si="0"/>
        <v>3803755.3052083333</v>
      </c>
      <c r="E44" s="50">
        <f t="shared" si="1"/>
        <v>2623404.5208333335</v>
      </c>
      <c r="F44" s="50">
        <f t="shared" si="2"/>
        <v>4049.1353404410097</v>
      </c>
      <c r="G44" s="51">
        <f t="shared" si="3"/>
        <v>883.68358024191718</v>
      </c>
      <c r="H44" s="50">
        <f t="shared" si="4"/>
        <v>14006183.286328139</v>
      </c>
      <c r="I44" s="50">
        <f t="shared" si="5"/>
        <v>111685.30552518058</v>
      </c>
    </row>
    <row r="45" spans="2:16">
      <c r="B45" s="91"/>
      <c r="C45" s="49" t="s">
        <v>95</v>
      </c>
      <c r="D45" s="50">
        <f t="shared" si="0"/>
        <v>3803755.3052083333</v>
      </c>
      <c r="E45" s="50">
        <f t="shared" si="1"/>
        <v>2623404.5208333335</v>
      </c>
      <c r="F45" s="50">
        <f t="shared" si="2"/>
        <v>4049.1353404410097</v>
      </c>
      <c r="G45" s="51">
        <f t="shared" si="3"/>
        <v>883.68358024191718</v>
      </c>
      <c r="H45" s="50">
        <f t="shared" si="4"/>
        <v>15293286.557307636</v>
      </c>
      <c r="I45" s="50">
        <f t="shared" si="5"/>
        <v>121948.66700797109</v>
      </c>
    </row>
    <row r="46" spans="2:16">
      <c r="B46" s="91"/>
      <c r="C46" s="49" t="s">
        <v>96</v>
      </c>
      <c r="D46" s="50">
        <f t="shared" si="0"/>
        <v>3803755.3052083333</v>
      </c>
      <c r="E46" s="50">
        <f t="shared" si="1"/>
        <v>2623404.5208333335</v>
      </c>
      <c r="F46" s="50">
        <f t="shared" si="2"/>
        <v>4049.1353404410097</v>
      </c>
      <c r="G46" s="51">
        <f t="shared" si="3"/>
        <v>883.68358024191718</v>
      </c>
      <c r="H46" s="50">
        <f t="shared" si="4"/>
        <v>16590653.189769926</v>
      </c>
      <c r="I46" s="50">
        <f t="shared" si="5"/>
        <v>132293.8685352254</v>
      </c>
    </row>
    <row r="47" spans="2:16">
      <c r="B47" s="91" t="s">
        <v>97</v>
      </c>
      <c r="C47" s="55" t="s">
        <v>79</v>
      </c>
      <c r="D47" s="56">
        <f t="shared" si="0"/>
        <v>3803755.3052083333</v>
      </c>
      <c r="E47" s="56">
        <f t="shared" si="1"/>
        <v>2623404.5208333335</v>
      </c>
      <c r="F47" s="56">
        <f t="shared" si="2"/>
        <v>4049.1353404410097</v>
      </c>
      <c r="G47" s="51">
        <f t="shared" si="3"/>
        <v>883.68358024191718</v>
      </c>
      <c r="H47" s="56">
        <f t="shared" si="4"/>
        <v>17898365.023759469</v>
      </c>
      <c r="I47" s="56">
        <f t="shared" si="5"/>
        <v>142721.56269945801</v>
      </c>
    </row>
    <row r="48" spans="2:16">
      <c r="B48" s="91"/>
      <c r="C48" s="55" t="s">
        <v>81</v>
      </c>
      <c r="D48" s="56">
        <f t="shared" si="0"/>
        <v>3803755.3052083333</v>
      </c>
      <c r="E48" s="56">
        <f t="shared" si="1"/>
        <v>2623404.5208333335</v>
      </c>
      <c r="F48" s="56">
        <f t="shared" si="2"/>
        <v>4049.1353404410097</v>
      </c>
      <c r="G48" s="51">
        <f t="shared" si="3"/>
        <v>883.68358024191718</v>
      </c>
      <c r="H48" s="56">
        <f t="shared" si="4"/>
        <v>19216504.551913247</v>
      </c>
      <c r="I48" s="56">
        <f t="shared" si="5"/>
        <v>153232.40729695623</v>
      </c>
    </row>
    <row r="49" spans="2:15">
      <c r="B49" s="91"/>
      <c r="C49" s="55" t="s">
        <v>83</v>
      </c>
      <c r="D49" s="56">
        <f t="shared" si="0"/>
        <v>3803755.3052083333</v>
      </c>
      <c r="E49" s="56">
        <f t="shared" si="1"/>
        <v>2623404.5208333335</v>
      </c>
      <c r="F49" s="56">
        <f t="shared" si="2"/>
        <v>4049.1353404410097</v>
      </c>
      <c r="G49" s="51">
        <f t="shared" si="3"/>
        <v>883.68358024191718</v>
      </c>
      <c r="H49" s="56">
        <f t="shared" si="4"/>
        <v>20545154.92466452</v>
      </c>
      <c r="I49" s="56">
        <f t="shared" si="5"/>
        <v>163827.06536927487</v>
      </c>
    </row>
    <row r="50" spans="2:15">
      <c r="B50" s="91"/>
      <c r="C50" s="55" t="s">
        <v>84</v>
      </c>
      <c r="D50" s="56">
        <f t="shared" si="0"/>
        <v>3803755.3052083333</v>
      </c>
      <c r="E50" s="56">
        <f t="shared" si="1"/>
        <v>2623404.5208333335</v>
      </c>
      <c r="F50" s="56">
        <f t="shared" si="2"/>
        <v>4049.1353404410097</v>
      </c>
      <c r="G50" s="51">
        <f t="shared" si="3"/>
        <v>883.68358024191718</v>
      </c>
      <c r="H50" s="56">
        <f t="shared" si="4"/>
        <v>21884399.955488112</v>
      </c>
      <c r="I50" s="56">
        <f t="shared" si="5"/>
        <v>174506.20524506221</v>
      </c>
    </row>
    <row r="51" spans="2:15">
      <c r="B51" s="91"/>
      <c r="C51" s="55" t="s">
        <v>85</v>
      </c>
      <c r="D51" s="56">
        <f t="shared" si="0"/>
        <v>3803755.3052083333</v>
      </c>
      <c r="E51" s="56">
        <f t="shared" si="1"/>
        <v>2623404.5208333335</v>
      </c>
      <c r="F51" s="56">
        <f t="shared" si="2"/>
        <v>4049.1353404410097</v>
      </c>
      <c r="G51" s="51">
        <f t="shared" si="3"/>
        <v>883.68358024191718</v>
      </c>
      <c r="H51" s="56">
        <f t="shared" si="4"/>
        <v>23234324.126187492</v>
      </c>
      <c r="I51" s="56">
        <f t="shared" si="5"/>
        <v>185270.50058221907</v>
      </c>
    </row>
    <row r="52" spans="2:15">
      <c r="B52" s="91"/>
      <c r="C52" s="55" t="s">
        <v>88</v>
      </c>
      <c r="D52" s="56">
        <f t="shared" si="0"/>
        <v>3803755.3052083333</v>
      </c>
      <c r="E52" s="56">
        <f t="shared" si="1"/>
        <v>2623404.5208333335</v>
      </c>
      <c r="F52" s="56">
        <f t="shared" si="2"/>
        <v>4049.1353404410097</v>
      </c>
      <c r="G52" s="51">
        <f t="shared" si="3"/>
        <v>883.68358024191718</v>
      </c>
      <c r="H52" s="56">
        <f t="shared" si="4"/>
        <v>24595012.592224028</v>
      </c>
      <c r="I52" s="56">
        <f t="shared" si="5"/>
        <v>196120.6304103944</v>
      </c>
    </row>
    <row r="53" spans="2:15">
      <c r="B53" s="91"/>
      <c r="C53" s="55" t="s">
        <v>90</v>
      </c>
      <c r="D53" s="56">
        <f t="shared" si="0"/>
        <v>3803755.3052083333</v>
      </c>
      <c r="E53" s="56">
        <f t="shared" si="1"/>
        <v>2623404.5208333335</v>
      </c>
      <c r="F53" s="56">
        <f t="shared" si="2"/>
        <v>4049.1353404410097</v>
      </c>
      <c r="G53" s="51">
        <f t="shared" si="3"/>
        <v>883.68358024191718</v>
      </c>
      <c r="H53" s="56">
        <f t="shared" si="4"/>
        <v>25966551.188088741</v>
      </c>
      <c r="I53" s="56">
        <f t="shared" si="5"/>
        <v>207057.27917381964</v>
      </c>
      <c r="K53" s="45" t="s">
        <v>98</v>
      </c>
      <c r="L53" s="3">
        <f>H58</f>
        <v>32990048.539972585</v>
      </c>
    </row>
    <row r="54" spans="2:15">
      <c r="B54" s="91"/>
      <c r="C54" s="55" t="s">
        <v>92</v>
      </c>
      <c r="D54" s="56">
        <f t="shared" si="0"/>
        <v>3803755.3052083333</v>
      </c>
      <c r="E54" s="56">
        <f t="shared" si="1"/>
        <v>2623404.5208333335</v>
      </c>
      <c r="F54" s="56">
        <f t="shared" si="2"/>
        <v>4049.1353404410097</v>
      </c>
      <c r="G54" s="51">
        <f t="shared" si="3"/>
        <v>883.68358024191718</v>
      </c>
      <c r="H54" s="56">
        <f t="shared" si="4"/>
        <v>27349026.43271688</v>
      </c>
      <c r="I54" s="56">
        <f t="shared" si="5"/>
        <v>218081.13677448442</v>
      </c>
      <c r="K54" s="45" t="s">
        <v>99</v>
      </c>
      <c r="L54" s="3">
        <f>B25*SUM(D35:D58)</f>
        <v>19117805.940169573</v>
      </c>
      <c r="N54" t="s">
        <v>100</v>
      </c>
    </row>
    <row r="55" spans="2:15">
      <c r="B55" s="91"/>
      <c r="C55" s="55" t="s">
        <v>93</v>
      </c>
      <c r="D55" s="56">
        <f t="shared" si="0"/>
        <v>3803755.3052083333</v>
      </c>
      <c r="E55" s="56">
        <f t="shared" si="1"/>
        <v>2623404.5208333335</v>
      </c>
      <c r="F55" s="56">
        <f t="shared" si="2"/>
        <v>4049.1353404410097</v>
      </c>
      <c r="G55" s="51">
        <f t="shared" si="3"/>
        <v>883.68358024191718</v>
      </c>
      <c r="H55" s="56">
        <f t="shared" si="4"/>
        <v>28742525.534945682</v>
      </c>
      <c r="I55" s="56">
        <f t="shared" si="5"/>
        <v>229192.89861565686</v>
      </c>
      <c r="K55" s="45" t="s">
        <v>101</v>
      </c>
      <c r="L55" s="3">
        <f>L53-L54</f>
        <v>13872242.599803012</v>
      </c>
      <c r="M55" s="3">
        <f>L54/L53</f>
        <v>0.57950220706724243</v>
      </c>
    </row>
    <row r="56" spans="2:15">
      <c r="B56" s="91"/>
      <c r="C56" s="55" t="s">
        <v>94</v>
      </c>
      <c r="D56" s="56">
        <f t="shared" si="0"/>
        <v>3803755.3052083333</v>
      </c>
      <c r="E56" s="56">
        <f t="shared" si="1"/>
        <v>2623404.5208333335</v>
      </c>
      <c r="F56" s="56">
        <f t="shared" si="2"/>
        <v>4049.1353404410097</v>
      </c>
      <c r="G56" s="51">
        <f t="shared" si="3"/>
        <v>883.68358024191718</v>
      </c>
      <c r="H56" s="56">
        <f t="shared" si="4"/>
        <v>30147136.399015658</v>
      </c>
      <c r="I56" s="56">
        <f t="shared" si="5"/>
        <v>240393.26564575086</v>
      </c>
    </row>
    <row r="57" spans="2:15">
      <c r="B57" s="91"/>
      <c r="C57" s="55" t="s">
        <v>95</v>
      </c>
      <c r="D57" s="56">
        <f t="shared" si="0"/>
        <v>3803755.3052083333</v>
      </c>
      <c r="E57" s="56">
        <f t="shared" si="1"/>
        <v>2623404.5208333335</v>
      </c>
      <c r="F57" s="56">
        <f t="shared" si="2"/>
        <v>4049.1353404410097</v>
      </c>
      <c r="G57" s="51">
        <f t="shared" si="3"/>
        <v>883.68358024191718</v>
      </c>
      <c r="H57" s="56">
        <f t="shared" si="4"/>
        <v>31562947.630115725</v>
      </c>
      <c r="I57" s="56">
        <f t="shared" si="5"/>
        <v>251682.94440254281</v>
      </c>
    </row>
    <row r="58" spans="2:15">
      <c r="B58" s="91"/>
      <c r="C58" s="55" t="s">
        <v>96</v>
      </c>
      <c r="D58" s="56">
        <f t="shared" si="0"/>
        <v>3803755.3052083333</v>
      </c>
      <c r="E58" s="56">
        <f t="shared" si="1"/>
        <v>2623404.5208333335</v>
      </c>
      <c r="F58" s="56">
        <f t="shared" si="2"/>
        <v>4049.1353404410097</v>
      </c>
      <c r="G58" s="51">
        <f t="shared" si="3"/>
        <v>883.68358024191718</v>
      </c>
      <c r="H58" s="56">
        <f t="shared" si="4"/>
        <v>32990048.539972585</v>
      </c>
      <c r="I58" s="56"/>
    </row>
    <row r="60" spans="2:15">
      <c r="E60" s="3"/>
    </row>
    <row r="64" spans="2:15" ht="30">
      <c r="C64" s="45" t="s">
        <v>102</v>
      </c>
      <c r="F64" t="s">
        <v>103</v>
      </c>
      <c r="J64" s="34" t="s">
        <v>6</v>
      </c>
      <c r="K64" s="34" t="s">
        <v>7</v>
      </c>
      <c r="L64" s="21" t="s">
        <v>8</v>
      </c>
      <c r="M64" s="21" t="s">
        <v>9</v>
      </c>
      <c r="N64" s="21" t="s">
        <v>10</v>
      </c>
      <c r="O64" s="21" t="s">
        <v>11</v>
      </c>
    </row>
    <row r="65" spans="3:15">
      <c r="J65" s="22" t="s">
        <v>12</v>
      </c>
      <c r="K65" s="21">
        <v>12974</v>
      </c>
      <c r="L65" s="21">
        <v>15307.6255</v>
      </c>
      <c r="M65" s="21">
        <v>7084.5901639343938</v>
      </c>
      <c r="N65" s="21">
        <v>5999.9999999999964</v>
      </c>
      <c r="O65" s="21">
        <v>6912.6988347453353</v>
      </c>
    </row>
    <row r="66" spans="3:15">
      <c r="C66" s="51" t="s">
        <v>104</v>
      </c>
      <c r="D66" s="60">
        <f>70*365</f>
        <v>25550</v>
      </c>
      <c r="E66" s="51" t="s">
        <v>24</v>
      </c>
      <c r="J66" s="22" t="s">
        <v>15</v>
      </c>
      <c r="K66" s="21">
        <v>12641</v>
      </c>
      <c r="L66" s="21">
        <v>35651.082999999999</v>
      </c>
      <c r="M66" s="21">
        <v>7084.5901639343938</v>
      </c>
      <c r="N66" s="21">
        <v>5999.9999999999964</v>
      </c>
      <c r="O66" s="21">
        <v>7034.226266481377</v>
      </c>
    </row>
    <row r="67" spans="3:15">
      <c r="J67" s="22" t="s">
        <v>18</v>
      </c>
      <c r="K67" s="21">
        <v>25615</v>
      </c>
      <c r="L67" s="21">
        <v>50958.708500000001</v>
      </c>
      <c r="M67" s="21">
        <v>14169.180327868788</v>
      </c>
      <c r="N67" s="21">
        <v>11999.999999999993</v>
      </c>
      <c r="O67" s="21">
        <v>13946.925101226712</v>
      </c>
    </row>
    <row r="70" spans="3:15">
      <c r="C70" s="49" t="s">
        <v>105</v>
      </c>
      <c r="D70" s="51">
        <f>D66</f>
        <v>25550</v>
      </c>
      <c r="E70" s="35" t="s">
        <v>106</v>
      </c>
    </row>
    <row r="71" spans="3:15">
      <c r="C71" s="49" t="s">
        <v>23</v>
      </c>
      <c r="D71" s="51">
        <f>SQRT((2*D70*1500)/100)</f>
        <v>875.49985722443148</v>
      </c>
      <c r="G71" s="49" t="s">
        <v>107</v>
      </c>
      <c r="H71" s="50">
        <f>D73*1450</f>
        <v>37047500</v>
      </c>
      <c r="O71" s="3"/>
    </row>
    <row r="72" spans="3:15">
      <c r="C72" s="49" t="s">
        <v>108</v>
      </c>
      <c r="D72" s="51">
        <f>D70/D71</f>
        <v>29.183328574147719</v>
      </c>
      <c r="G72" s="49" t="s">
        <v>109</v>
      </c>
      <c r="H72" s="50">
        <f>H71/12</f>
        <v>3087291.6666666665</v>
      </c>
    </row>
    <row r="73" spans="3:15">
      <c r="C73" s="49" t="s">
        <v>110</v>
      </c>
      <c r="D73" s="51">
        <f>D72*D71</f>
        <v>25550</v>
      </c>
      <c r="G73" s="49" t="s">
        <v>111</v>
      </c>
      <c r="H73" s="50">
        <f>H71/365</f>
        <v>101500</v>
      </c>
      <c r="O73" s="3"/>
    </row>
    <row r="74" spans="3:15">
      <c r="C74" s="49" t="s">
        <v>112</v>
      </c>
      <c r="D74" s="51">
        <f>100/12</f>
        <v>8.3333333333333339</v>
      </c>
    </row>
    <row r="80" spans="3:15">
      <c r="C80" s="49" t="s">
        <v>113</v>
      </c>
      <c r="D80" s="50">
        <f>1500+D73*1000</f>
        <v>25551500</v>
      </c>
      <c r="E80" s="51" t="s">
        <v>24</v>
      </c>
      <c r="G80" s="51" t="s">
        <v>114</v>
      </c>
      <c r="H80" s="50">
        <f>H72-D81</f>
        <v>958000</v>
      </c>
      <c r="I80" s="51" t="s">
        <v>115</v>
      </c>
    </row>
    <row r="81" spans="2:19">
      <c r="C81" s="49" t="s">
        <v>113</v>
      </c>
      <c r="D81" s="50">
        <f>D80/12</f>
        <v>2129291.6666666665</v>
      </c>
      <c r="E81" s="51" t="s">
        <v>54</v>
      </c>
      <c r="G81" s="51" t="s">
        <v>114</v>
      </c>
      <c r="H81" s="50">
        <f>H73-D82</f>
        <v>31495.890410958906</v>
      </c>
      <c r="I81" s="51" t="s">
        <v>60</v>
      </c>
      <c r="J81" t="s">
        <v>116</v>
      </c>
    </row>
    <row r="82" spans="2:19">
      <c r="C82" s="49" t="s">
        <v>113</v>
      </c>
      <c r="D82" s="50">
        <f>D80/365</f>
        <v>70004.109589041094</v>
      </c>
      <c r="E82" s="51" t="s">
        <v>60</v>
      </c>
      <c r="M82" s="45" t="s">
        <v>5</v>
      </c>
    </row>
    <row r="83" spans="2:19" ht="30">
      <c r="M83" s="34" t="s">
        <v>6</v>
      </c>
      <c r="N83" s="34" t="s">
        <v>7</v>
      </c>
      <c r="O83" s="21" t="s">
        <v>8</v>
      </c>
      <c r="P83" s="21" t="s">
        <v>9</v>
      </c>
      <c r="Q83" s="21" t="s">
        <v>10</v>
      </c>
      <c r="R83" s="21" t="s">
        <v>11</v>
      </c>
    </row>
    <row r="84" spans="2:19">
      <c r="M84" s="22" t="s">
        <v>12</v>
      </c>
      <c r="N84" s="21">
        <v>12974</v>
      </c>
      <c r="O84" s="21">
        <v>15307.6255</v>
      </c>
      <c r="P84" s="21">
        <v>7084.5901639343938</v>
      </c>
      <c r="Q84" s="21">
        <v>5999.9999999999964</v>
      </c>
      <c r="R84" s="21">
        <v>6912.6988347453353</v>
      </c>
    </row>
    <row r="85" spans="2:19">
      <c r="C85" s="45" t="s">
        <v>117</v>
      </c>
      <c r="D85" s="45"/>
      <c r="E85" s="45"/>
      <c r="F85" s="45"/>
      <c r="G85" s="45"/>
      <c r="H85" s="45"/>
      <c r="I85" s="45"/>
      <c r="M85" s="22" t="s">
        <v>15</v>
      </c>
      <c r="N85" s="21">
        <v>12641</v>
      </c>
      <c r="O85" s="21">
        <v>35651.082999999999</v>
      </c>
      <c r="P85" s="21">
        <v>7084.5901639343938</v>
      </c>
      <c r="Q85" s="21">
        <v>5999.9999999999964</v>
      </c>
      <c r="R85" s="21">
        <v>7034.226266481377</v>
      </c>
    </row>
    <row r="86" spans="2:19">
      <c r="B86" s="52"/>
      <c r="C86" s="53" t="s">
        <v>67</v>
      </c>
      <c r="D86" s="53" t="s">
        <v>68</v>
      </c>
      <c r="E86" s="53" t="s">
        <v>69</v>
      </c>
      <c r="F86" s="53" t="s">
        <v>70</v>
      </c>
      <c r="G86" s="53" t="s">
        <v>71</v>
      </c>
      <c r="H86" s="53" t="s">
        <v>72</v>
      </c>
      <c r="I86" s="53" t="s">
        <v>73</v>
      </c>
      <c r="M86" s="22" t="s">
        <v>18</v>
      </c>
      <c r="N86" s="21">
        <v>25615</v>
      </c>
      <c r="O86" s="21">
        <v>50958.708500000001</v>
      </c>
      <c r="P86" s="21">
        <v>14169.180327868788</v>
      </c>
      <c r="Q86" s="21">
        <v>11999.999999999993</v>
      </c>
      <c r="R86" s="21">
        <v>13946.925101226712</v>
      </c>
    </row>
    <row r="87" spans="2:19">
      <c r="B87" s="52" t="s">
        <v>75</v>
      </c>
      <c r="C87" s="49" t="s">
        <v>76</v>
      </c>
      <c r="D87" s="50"/>
      <c r="E87" s="51"/>
      <c r="F87" s="51"/>
      <c r="G87" s="51"/>
      <c r="H87" s="50">
        <v>0</v>
      </c>
      <c r="I87" s="51"/>
    </row>
    <row r="88" spans="2:19">
      <c r="B88" s="91" t="s">
        <v>78</v>
      </c>
      <c r="C88" s="49" t="s">
        <v>79</v>
      </c>
      <c r="D88" s="50">
        <f t="shared" ref="D88:D111" si="6">$H$72</f>
        <v>3087291.6666666665</v>
      </c>
      <c r="E88" s="50">
        <f>$D$81</f>
        <v>2129291.6666666665</v>
      </c>
      <c r="F88" s="50">
        <f>$D$71/2*$D$74</f>
        <v>3647.9160717684649</v>
      </c>
      <c r="G88" s="51">
        <f>$O$116*$D$73/12</f>
        <v>417255.37909835979</v>
      </c>
      <c r="H88" s="50">
        <f>(H87+D88-E88-F88-G88)</f>
        <v>537096.70482987165</v>
      </c>
      <c r="I88" s="50">
        <f>H88*0.7974%</f>
        <v>4282.8091243133968</v>
      </c>
    </row>
    <row r="89" spans="2:19">
      <c r="B89" s="91"/>
      <c r="C89" s="49" t="s">
        <v>81</v>
      </c>
      <c r="D89" s="50">
        <f t="shared" si="6"/>
        <v>3087291.6666666665</v>
      </c>
      <c r="E89" s="50">
        <f t="shared" ref="E88:E111" si="7">$D$81</f>
        <v>2129291.6666666665</v>
      </c>
      <c r="F89" s="50">
        <f t="shared" ref="F88:F111" si="8">$D$71/2*$D$74</f>
        <v>3647.9160717684649</v>
      </c>
      <c r="G89" s="51">
        <f t="shared" ref="G89:G111" si="9">$O$116*$D$73/12</f>
        <v>417255.37909835979</v>
      </c>
      <c r="H89" s="50">
        <f t="shared" ref="H89:H111" si="10">H88+D89-E89-F89-G89+I88</f>
        <v>1078476.2187840568</v>
      </c>
      <c r="I89" s="50">
        <f t="shared" ref="I89:I110" si="11">H89*0.7974%</f>
        <v>8599.7693685840695</v>
      </c>
    </row>
    <row r="90" spans="2:19">
      <c r="B90" s="91"/>
      <c r="C90" s="49" t="s">
        <v>83</v>
      </c>
      <c r="D90" s="50">
        <f t="shared" si="6"/>
        <v>3087291.6666666665</v>
      </c>
      <c r="E90" s="50">
        <f t="shared" si="7"/>
        <v>2129291.6666666665</v>
      </c>
      <c r="F90" s="50">
        <f t="shared" si="8"/>
        <v>3647.9160717684649</v>
      </c>
      <c r="G90" s="51">
        <f t="shared" si="9"/>
        <v>417255.37909835979</v>
      </c>
      <c r="H90" s="50">
        <f t="shared" si="10"/>
        <v>1624172.692982513</v>
      </c>
      <c r="I90" s="50">
        <f t="shared" si="11"/>
        <v>12951.15305384256</v>
      </c>
    </row>
    <row r="91" spans="2:19">
      <c r="B91" s="91"/>
      <c r="C91" s="49" t="s">
        <v>84</v>
      </c>
      <c r="D91" s="50">
        <f t="shared" si="6"/>
        <v>3087291.6666666665</v>
      </c>
      <c r="E91" s="50">
        <f t="shared" si="7"/>
        <v>2129291.6666666665</v>
      </c>
      <c r="F91" s="50">
        <f t="shared" si="8"/>
        <v>3647.9160717684649</v>
      </c>
      <c r="G91" s="51">
        <f t="shared" si="9"/>
        <v>417255.37909835979</v>
      </c>
      <c r="H91" s="50">
        <f t="shared" si="10"/>
        <v>2174220.5508662271</v>
      </c>
      <c r="I91" s="50">
        <f t="shared" si="11"/>
        <v>17337.234672607294</v>
      </c>
    </row>
    <row r="92" spans="2:19">
      <c r="B92" s="91"/>
      <c r="C92" s="49" t="s">
        <v>85</v>
      </c>
      <c r="D92" s="50">
        <f t="shared" si="6"/>
        <v>3087291.6666666665</v>
      </c>
      <c r="E92" s="50">
        <f t="shared" si="7"/>
        <v>2129291.6666666665</v>
      </c>
      <c r="F92" s="50">
        <f t="shared" si="8"/>
        <v>3647.9160717684649</v>
      </c>
      <c r="G92" s="51">
        <f t="shared" si="9"/>
        <v>417255.37909835979</v>
      </c>
      <c r="H92" s="50">
        <f t="shared" si="10"/>
        <v>2728654.4903687062</v>
      </c>
      <c r="I92" s="50">
        <f t="shared" si="11"/>
        <v>21758.290906200062</v>
      </c>
      <c r="M92" s="45" t="s">
        <v>35</v>
      </c>
    </row>
    <row r="93" spans="2:19">
      <c r="B93" s="91"/>
      <c r="C93" s="49" t="s">
        <v>88</v>
      </c>
      <c r="D93" s="50">
        <f t="shared" si="6"/>
        <v>3087291.6666666665</v>
      </c>
      <c r="E93" s="50">
        <f t="shared" si="7"/>
        <v>2129291.6666666665</v>
      </c>
      <c r="F93" s="50">
        <f t="shared" si="8"/>
        <v>3647.9160717684649</v>
      </c>
      <c r="G93" s="51">
        <f t="shared" si="9"/>
        <v>417255.37909835979</v>
      </c>
      <c r="H93" s="50">
        <f t="shared" si="10"/>
        <v>3287509.4861047785</v>
      </c>
      <c r="I93" s="50">
        <f t="shared" si="11"/>
        <v>26214.600642199504</v>
      </c>
      <c r="M93" s="61"/>
      <c r="N93" s="65" t="s">
        <v>37</v>
      </c>
      <c r="O93" s="65" t="s">
        <v>38</v>
      </c>
      <c r="P93" s="65" t="s">
        <v>39</v>
      </c>
      <c r="Q93" s="65" t="s">
        <v>40</v>
      </c>
      <c r="R93" s="65" t="s">
        <v>41</v>
      </c>
    </row>
    <row r="94" spans="2:19">
      <c r="B94" s="91"/>
      <c r="C94" s="49" t="s">
        <v>90</v>
      </c>
      <c r="D94" s="50">
        <f t="shared" si="6"/>
        <v>3087291.6666666665</v>
      </c>
      <c r="E94" s="50">
        <f t="shared" si="7"/>
        <v>2129291.6666666665</v>
      </c>
      <c r="F94" s="50">
        <f t="shared" si="8"/>
        <v>3647.9160717684649</v>
      </c>
      <c r="G94" s="51">
        <f t="shared" si="9"/>
        <v>417255.37909835979</v>
      </c>
      <c r="H94" s="50">
        <f t="shared" si="10"/>
        <v>3850820.7915768498</v>
      </c>
      <c r="I94" s="50">
        <f t="shared" si="11"/>
        <v>30706.444992033801</v>
      </c>
      <c r="M94" s="61" t="s">
        <v>42</v>
      </c>
      <c r="N94" s="63">
        <v>75</v>
      </c>
      <c r="O94" s="63">
        <v>100</v>
      </c>
      <c r="P94" s="63">
        <v>100</v>
      </c>
      <c r="Q94" s="63">
        <v>100</v>
      </c>
      <c r="R94" s="63">
        <v>225</v>
      </c>
      <c r="S94">
        <f>15000/200</f>
        <v>75</v>
      </c>
    </row>
    <row r="95" spans="2:19">
      <c r="B95" s="91"/>
      <c r="C95" s="49" t="s">
        <v>92</v>
      </c>
      <c r="D95" s="50">
        <f t="shared" si="6"/>
        <v>3087291.6666666665</v>
      </c>
      <c r="E95" s="50">
        <f t="shared" si="7"/>
        <v>2129291.6666666665</v>
      </c>
      <c r="F95" s="50">
        <f t="shared" si="8"/>
        <v>3647.9160717684649</v>
      </c>
      <c r="G95" s="51">
        <f t="shared" si="9"/>
        <v>417255.37909835979</v>
      </c>
      <c r="H95" s="50">
        <f t="shared" si="10"/>
        <v>4418623.9413987547</v>
      </c>
      <c r="I95" s="50">
        <f t="shared" si="11"/>
        <v>35234.107308713668</v>
      </c>
      <c r="M95" s="61" t="s">
        <v>44</v>
      </c>
      <c r="N95" s="63">
        <v>100</v>
      </c>
      <c r="O95" s="63">
        <v>75</v>
      </c>
      <c r="P95" s="63">
        <v>100</v>
      </c>
      <c r="Q95" s="63">
        <v>100</v>
      </c>
      <c r="R95" s="63">
        <v>225</v>
      </c>
    </row>
    <row r="96" spans="2:19">
      <c r="B96" s="91"/>
      <c r="C96" s="49" t="s">
        <v>93</v>
      </c>
      <c r="D96" s="50">
        <f t="shared" si="6"/>
        <v>3087291.6666666665</v>
      </c>
      <c r="E96" s="50">
        <f t="shared" si="7"/>
        <v>2129291.6666666665</v>
      </c>
      <c r="F96" s="50">
        <f t="shared" si="8"/>
        <v>3647.9160717684649</v>
      </c>
      <c r="G96" s="51">
        <f t="shared" si="9"/>
        <v>417255.37909835979</v>
      </c>
      <c r="H96" s="50">
        <f t="shared" si="10"/>
        <v>4990954.7535373401</v>
      </c>
      <c r="I96" s="50">
        <f t="shared" si="11"/>
        <v>39797.873204706753</v>
      </c>
      <c r="M96" s="61" t="s">
        <v>46</v>
      </c>
      <c r="N96" s="63">
        <v>100</v>
      </c>
      <c r="O96" s="63">
        <v>100</v>
      </c>
      <c r="P96" s="63">
        <v>75</v>
      </c>
      <c r="Q96" s="63">
        <v>100</v>
      </c>
      <c r="R96" s="63">
        <v>225</v>
      </c>
    </row>
    <row r="97" spans="2:20">
      <c r="B97" s="91"/>
      <c r="C97" s="49" t="s">
        <v>94</v>
      </c>
      <c r="D97" s="50">
        <f t="shared" si="6"/>
        <v>3087291.6666666665</v>
      </c>
      <c r="E97" s="50">
        <f t="shared" si="7"/>
        <v>2129291.6666666665</v>
      </c>
      <c r="F97" s="50">
        <f t="shared" si="8"/>
        <v>3647.9160717684649</v>
      </c>
      <c r="G97" s="51">
        <f t="shared" si="9"/>
        <v>417255.37909835979</v>
      </c>
      <c r="H97" s="50">
        <f t="shared" si="10"/>
        <v>5567849.3315719189</v>
      </c>
      <c r="I97" s="50">
        <f t="shared" si="11"/>
        <v>44398.030569954484</v>
      </c>
      <c r="M97" s="61" t="s">
        <v>47</v>
      </c>
      <c r="N97" s="63">
        <v>100</v>
      </c>
      <c r="O97" s="63">
        <v>100</v>
      </c>
      <c r="P97" s="63">
        <v>100</v>
      </c>
      <c r="Q97" s="63">
        <v>75</v>
      </c>
      <c r="R97" s="63">
        <v>225</v>
      </c>
    </row>
    <row r="98" spans="2:20">
      <c r="B98" s="91"/>
      <c r="C98" s="49" t="s">
        <v>95</v>
      </c>
      <c r="D98" s="50">
        <f t="shared" si="6"/>
        <v>3087291.6666666665</v>
      </c>
      <c r="E98" s="50">
        <f t="shared" si="7"/>
        <v>2129291.6666666665</v>
      </c>
      <c r="F98" s="50">
        <f t="shared" si="8"/>
        <v>3647.9160717684649</v>
      </c>
      <c r="G98" s="51">
        <f t="shared" si="9"/>
        <v>417255.37909835979</v>
      </c>
      <c r="H98" s="50">
        <f t="shared" si="10"/>
        <v>6149344.0669717463</v>
      </c>
      <c r="I98" s="50">
        <f t="shared" si="11"/>
        <v>49034.869590032707</v>
      </c>
      <c r="M98" s="61" t="s">
        <v>51</v>
      </c>
      <c r="N98" s="63">
        <v>100</v>
      </c>
      <c r="O98" s="63">
        <v>100</v>
      </c>
      <c r="P98" s="63">
        <v>100</v>
      </c>
      <c r="Q98" s="63">
        <v>100</v>
      </c>
      <c r="R98" s="63">
        <v>75</v>
      </c>
    </row>
    <row r="99" spans="2:20">
      <c r="B99" s="91"/>
      <c r="C99" s="49" t="s">
        <v>96</v>
      </c>
      <c r="D99" s="50">
        <f t="shared" si="6"/>
        <v>3087291.6666666665</v>
      </c>
      <c r="E99" s="50">
        <f t="shared" si="7"/>
        <v>2129291.6666666665</v>
      </c>
      <c r="F99" s="50">
        <f t="shared" si="8"/>
        <v>3647.9160717684649</v>
      </c>
      <c r="G99" s="51">
        <f t="shared" si="9"/>
        <v>417255.37909835979</v>
      </c>
      <c r="H99" s="50">
        <f t="shared" si="10"/>
        <v>6735475.6413916517</v>
      </c>
      <c r="I99" s="50">
        <f t="shared" si="11"/>
        <v>53708.682764457029</v>
      </c>
      <c r="M99" s="64"/>
      <c r="N99" s="64"/>
      <c r="O99" s="64"/>
      <c r="P99" s="64"/>
      <c r="Q99" s="64"/>
      <c r="R99" s="64"/>
      <c r="T99" s="62"/>
    </row>
    <row r="100" spans="2:20">
      <c r="B100" s="91" t="s">
        <v>97</v>
      </c>
      <c r="C100" s="55" t="s">
        <v>79</v>
      </c>
      <c r="D100" s="56">
        <f t="shared" si="6"/>
        <v>3087291.6666666665</v>
      </c>
      <c r="E100" s="56">
        <f t="shared" si="7"/>
        <v>2129291.6666666665</v>
      </c>
      <c r="F100" s="56">
        <f t="shared" si="8"/>
        <v>3647.9160717684649</v>
      </c>
      <c r="G100" s="51">
        <f t="shared" si="9"/>
        <v>417255.37909835979</v>
      </c>
      <c r="H100" s="56">
        <f t="shared" si="10"/>
        <v>7326281.02898598</v>
      </c>
      <c r="I100" s="56">
        <f t="shared" si="11"/>
        <v>58419.764925134208</v>
      </c>
      <c r="M100" s="61"/>
      <c r="N100" s="61" t="s">
        <v>55</v>
      </c>
      <c r="O100" s="61" t="s">
        <v>56</v>
      </c>
      <c r="P100" s="61" t="s">
        <v>57</v>
      </c>
      <c r="Q100" s="61" t="s">
        <v>58</v>
      </c>
      <c r="R100" s="61" t="s">
        <v>59</v>
      </c>
      <c r="T100" s="64"/>
    </row>
    <row r="101" spans="2:20">
      <c r="B101" s="91"/>
      <c r="C101" s="55" t="s">
        <v>81</v>
      </c>
      <c r="D101" s="56">
        <f t="shared" si="6"/>
        <v>3087291.6666666665</v>
      </c>
      <c r="E101" s="56">
        <f t="shared" si="7"/>
        <v>2129291.6666666665</v>
      </c>
      <c r="F101" s="56">
        <f t="shared" si="8"/>
        <v>3647.9160717684649</v>
      </c>
      <c r="G101" s="51">
        <f t="shared" si="9"/>
        <v>417255.37909835979</v>
      </c>
      <c r="H101" s="56">
        <f t="shared" si="10"/>
        <v>7921797.4987409869</v>
      </c>
      <c r="I101" s="56">
        <f t="shared" si="11"/>
        <v>63168.413254960629</v>
      </c>
      <c r="M101" s="65" t="s">
        <v>37</v>
      </c>
      <c r="N101" s="63">
        <v>150</v>
      </c>
      <c r="O101" s="63">
        <v>200</v>
      </c>
      <c r="P101" s="63">
        <v>200</v>
      </c>
      <c r="Q101" s="63">
        <v>200</v>
      </c>
      <c r="R101" s="63">
        <v>400</v>
      </c>
      <c r="T101" s="64"/>
    </row>
    <row r="102" spans="2:20">
      <c r="B102" s="91"/>
      <c r="C102" s="55" t="s">
        <v>83</v>
      </c>
      <c r="D102" s="56">
        <f t="shared" si="6"/>
        <v>3087291.6666666665</v>
      </c>
      <c r="E102" s="56">
        <f t="shared" si="7"/>
        <v>2129291.6666666665</v>
      </c>
      <c r="F102" s="56">
        <f t="shared" si="8"/>
        <v>3647.9160717684649</v>
      </c>
      <c r="G102" s="51">
        <f t="shared" si="9"/>
        <v>417255.37909835979</v>
      </c>
      <c r="H102" s="56">
        <f t="shared" si="10"/>
        <v>8522062.6168258209</v>
      </c>
      <c r="I102" s="56">
        <f t="shared" si="11"/>
        <v>67954.927306569094</v>
      </c>
      <c r="M102" s="65" t="s">
        <v>38</v>
      </c>
      <c r="N102" s="63">
        <v>200</v>
      </c>
      <c r="O102" s="63">
        <v>150</v>
      </c>
      <c r="P102" s="63">
        <v>200</v>
      </c>
      <c r="Q102" s="63">
        <v>200</v>
      </c>
      <c r="R102" s="63">
        <v>400</v>
      </c>
      <c r="T102" s="64"/>
    </row>
    <row r="103" spans="2:20">
      <c r="B103" s="91"/>
      <c r="C103" s="55" t="s">
        <v>84</v>
      </c>
      <c r="D103" s="56">
        <f t="shared" si="6"/>
        <v>3087291.6666666665</v>
      </c>
      <c r="E103" s="56">
        <f t="shared" si="7"/>
        <v>2129291.6666666665</v>
      </c>
      <c r="F103" s="56">
        <f t="shared" si="8"/>
        <v>3647.9160717684649</v>
      </c>
      <c r="G103" s="51">
        <f t="shared" si="9"/>
        <v>417255.37909835979</v>
      </c>
      <c r="H103" s="56">
        <f t="shared" si="10"/>
        <v>9127114.2489622608</v>
      </c>
      <c r="I103" s="56">
        <f t="shared" si="11"/>
        <v>72779.609021225071</v>
      </c>
      <c r="M103" s="65" t="s">
        <v>39</v>
      </c>
      <c r="N103" s="63">
        <v>200</v>
      </c>
      <c r="O103" s="63">
        <v>200</v>
      </c>
      <c r="P103" s="63">
        <v>150</v>
      </c>
      <c r="Q103" s="63">
        <v>200</v>
      </c>
      <c r="R103" s="63">
        <v>400</v>
      </c>
      <c r="T103" s="64"/>
    </row>
    <row r="104" spans="2:20">
      <c r="B104" s="91"/>
      <c r="C104" s="55" t="s">
        <v>85</v>
      </c>
      <c r="D104" s="56">
        <f t="shared" si="6"/>
        <v>3087291.6666666665</v>
      </c>
      <c r="E104" s="56">
        <f t="shared" si="7"/>
        <v>2129291.6666666665</v>
      </c>
      <c r="F104" s="56">
        <f t="shared" si="8"/>
        <v>3647.9160717684649</v>
      </c>
      <c r="G104" s="51">
        <f t="shared" si="9"/>
        <v>417255.37909835979</v>
      </c>
      <c r="H104" s="56">
        <f t="shared" si="10"/>
        <v>9736990.5628133584</v>
      </c>
      <c r="I104" s="56">
        <f t="shared" si="11"/>
        <v>77642.762747873727</v>
      </c>
      <c r="M104" s="65" t="s">
        <v>40</v>
      </c>
      <c r="N104" s="63">
        <v>200</v>
      </c>
      <c r="O104" s="63">
        <v>200</v>
      </c>
      <c r="P104" s="63">
        <v>200</v>
      </c>
      <c r="Q104" s="63">
        <v>150</v>
      </c>
      <c r="R104" s="63">
        <v>400</v>
      </c>
      <c r="T104" s="64"/>
    </row>
    <row r="105" spans="2:20">
      <c r="B105" s="91"/>
      <c r="C105" s="55" t="s">
        <v>88</v>
      </c>
      <c r="D105" s="56">
        <f t="shared" si="6"/>
        <v>3087291.6666666665</v>
      </c>
      <c r="E105" s="56">
        <f t="shared" si="7"/>
        <v>2129291.6666666665</v>
      </c>
      <c r="F105" s="56">
        <f t="shared" si="8"/>
        <v>3647.9160717684649</v>
      </c>
      <c r="G105" s="51">
        <f t="shared" si="9"/>
        <v>417255.37909835979</v>
      </c>
      <c r="H105" s="56">
        <f t="shared" si="10"/>
        <v>10351730.030391105</v>
      </c>
      <c r="I105" s="56">
        <f t="shared" si="11"/>
        <v>82544.695262338675</v>
      </c>
      <c r="M105" s="65" t="s">
        <v>41</v>
      </c>
      <c r="N105" s="63">
        <v>200</v>
      </c>
      <c r="O105" s="63">
        <v>200</v>
      </c>
      <c r="P105" s="63">
        <v>200</v>
      </c>
      <c r="Q105" s="63">
        <v>200</v>
      </c>
      <c r="R105" s="63">
        <v>150</v>
      </c>
      <c r="T105" s="64"/>
    </row>
    <row r="106" spans="2:20">
      <c r="B106" s="91"/>
      <c r="C106" s="55" t="s">
        <v>90</v>
      </c>
      <c r="D106" s="56">
        <f t="shared" si="6"/>
        <v>3087291.6666666665</v>
      </c>
      <c r="E106" s="56">
        <f t="shared" si="7"/>
        <v>2129291.6666666665</v>
      </c>
      <c r="F106" s="56">
        <f t="shared" si="8"/>
        <v>3647.9160717684649</v>
      </c>
      <c r="G106" s="51">
        <f t="shared" si="9"/>
        <v>417255.37909835979</v>
      </c>
      <c r="H106" s="56">
        <f t="shared" si="10"/>
        <v>10971371.430483315</v>
      </c>
      <c r="I106" s="56">
        <f t="shared" si="11"/>
        <v>87485.715786673958</v>
      </c>
    </row>
    <row r="107" spans="2:20">
      <c r="B107" s="91"/>
      <c r="C107" s="55" t="s">
        <v>92</v>
      </c>
      <c r="D107" s="56">
        <f t="shared" si="6"/>
        <v>3087291.6666666665</v>
      </c>
      <c r="E107" s="56">
        <f t="shared" si="7"/>
        <v>2129291.6666666665</v>
      </c>
      <c r="F107" s="56">
        <f t="shared" si="8"/>
        <v>3647.9160717684649</v>
      </c>
      <c r="G107" s="51">
        <f t="shared" si="9"/>
        <v>417255.37909835979</v>
      </c>
      <c r="H107" s="56">
        <f t="shared" si="10"/>
        <v>11595953.85109986</v>
      </c>
      <c r="I107" s="56">
        <f t="shared" si="11"/>
        <v>92466.136008670292</v>
      </c>
      <c r="M107" s="66" t="s">
        <v>65</v>
      </c>
    </row>
    <row r="108" spans="2:20">
      <c r="B108" s="91"/>
      <c r="C108" s="55" t="s">
        <v>93</v>
      </c>
      <c r="D108" s="56">
        <f t="shared" si="6"/>
        <v>3087291.6666666665</v>
      </c>
      <c r="E108" s="56">
        <f t="shared" si="7"/>
        <v>2129291.6666666665</v>
      </c>
      <c r="F108" s="56">
        <f t="shared" si="8"/>
        <v>3647.9160717684649</v>
      </c>
      <c r="G108" s="51">
        <f t="shared" si="9"/>
        <v>417255.37909835979</v>
      </c>
      <c r="H108" s="56">
        <f t="shared" si="10"/>
        <v>12225516.691938402</v>
      </c>
      <c r="I108" s="56">
        <f t="shared" si="11"/>
        <v>97486.270101516828</v>
      </c>
      <c r="M108" s="66" t="s">
        <v>66</v>
      </c>
    </row>
    <row r="109" spans="2:20">
      <c r="B109" s="91"/>
      <c r="C109" s="55" t="s">
        <v>94</v>
      </c>
      <c r="D109" s="56">
        <f t="shared" si="6"/>
        <v>3087291.6666666665</v>
      </c>
      <c r="E109" s="56">
        <f t="shared" si="7"/>
        <v>2129291.6666666665</v>
      </c>
      <c r="F109" s="56">
        <f t="shared" si="8"/>
        <v>3647.9160717684649</v>
      </c>
      <c r="G109" s="51">
        <f t="shared" si="9"/>
        <v>417255.37909835979</v>
      </c>
      <c r="H109" s="56">
        <f t="shared" si="10"/>
        <v>12860099.666869791</v>
      </c>
      <c r="I109" s="56">
        <f t="shared" si="11"/>
        <v>102546.43474361971</v>
      </c>
    </row>
    <row r="110" spans="2:20">
      <c r="B110" s="91"/>
      <c r="C110" s="55" t="s">
        <v>95</v>
      </c>
      <c r="D110" s="56">
        <f t="shared" si="6"/>
        <v>3087291.6666666665</v>
      </c>
      <c r="E110" s="56">
        <f t="shared" si="7"/>
        <v>2129291.6666666665</v>
      </c>
      <c r="F110" s="56">
        <f t="shared" si="8"/>
        <v>3647.9160717684649</v>
      </c>
      <c r="G110" s="51">
        <f t="shared" si="9"/>
        <v>417255.37909835979</v>
      </c>
      <c r="H110" s="56">
        <f t="shared" si="10"/>
        <v>13499742.806443283</v>
      </c>
      <c r="I110" s="56">
        <f t="shared" si="11"/>
        <v>107646.94913857874</v>
      </c>
      <c r="M110" t="s">
        <v>74</v>
      </c>
    </row>
    <row r="111" spans="2:20">
      <c r="B111" s="91"/>
      <c r="C111" s="55" t="s">
        <v>96</v>
      </c>
      <c r="D111" s="56">
        <f t="shared" si="6"/>
        <v>3087291.6666666665</v>
      </c>
      <c r="E111" s="56">
        <f t="shared" si="7"/>
        <v>2129291.6666666665</v>
      </c>
      <c r="F111" s="56">
        <f t="shared" si="8"/>
        <v>3647.9160717684649</v>
      </c>
      <c r="G111" s="51">
        <f t="shared" si="9"/>
        <v>417255.37909835979</v>
      </c>
      <c r="H111" s="56">
        <f t="shared" si="10"/>
        <v>14144486.460411733</v>
      </c>
      <c r="I111" s="56"/>
      <c r="M111" t="s">
        <v>118</v>
      </c>
      <c r="N111" s="46">
        <f>AVERAGE(N84:N85)/D66</f>
        <v>0.50127201565557733</v>
      </c>
    </row>
    <row r="112" spans="2:20">
      <c r="M112" t="s">
        <v>80</v>
      </c>
      <c r="N112" s="46">
        <f>AVERAGE(P84:P85)/D66</f>
        <v>0.27728337236533829</v>
      </c>
    </row>
    <row r="113" spans="3:16">
      <c r="H113" s="45" t="s">
        <v>119</v>
      </c>
      <c r="I113" s="3">
        <f>J113*SUM(D88:D111)</f>
        <v>6346144.7910535587</v>
      </c>
      <c r="J113" s="47">
        <v>8.564875890483245E-2</v>
      </c>
      <c r="N113" s="46"/>
    </row>
    <row r="114" spans="3:16">
      <c r="H114" s="45" t="s">
        <v>120</v>
      </c>
      <c r="I114" s="3">
        <f>H111-I113</f>
        <v>7798341.6693581743</v>
      </c>
    </row>
    <row r="115" spans="3:16">
      <c r="I115" s="3"/>
    </row>
    <row r="116" spans="3:16">
      <c r="C116" s="47"/>
      <c r="M116" t="s">
        <v>121</v>
      </c>
      <c r="N116">
        <f>N94+N101</f>
        <v>225</v>
      </c>
      <c r="O116" s="67">
        <f>N116*N111+N117*N112+N118*N113</f>
        <v>195.97121523210637</v>
      </c>
      <c r="P116" t="s">
        <v>87</v>
      </c>
    </row>
    <row r="117" spans="3:16">
      <c r="M117" t="s">
        <v>89</v>
      </c>
      <c r="N117">
        <f>N95+P101</f>
        <v>300</v>
      </c>
      <c r="O117" s="67"/>
    </row>
    <row r="118" spans="3:16">
      <c r="O118" s="67"/>
    </row>
    <row r="119" spans="3:16" ht="23.45" customHeight="1">
      <c r="F119" s="23" t="s">
        <v>122</v>
      </c>
    </row>
    <row r="120" spans="3:16" ht="23.45" customHeight="1">
      <c r="E120" t="s">
        <v>123</v>
      </c>
      <c r="F120" s="92">
        <f>L55+I114</f>
        <v>21670584.269161187</v>
      </c>
      <c r="G120" s="92"/>
    </row>
    <row r="122" spans="3:16">
      <c r="F122" t="s">
        <v>124</v>
      </c>
    </row>
    <row r="123" spans="3:16">
      <c r="F123" t="s">
        <v>125</v>
      </c>
    </row>
    <row r="124" spans="3:16">
      <c r="F124" t="s">
        <v>126</v>
      </c>
    </row>
    <row r="125" spans="3:16">
      <c r="F125" t="s">
        <v>127</v>
      </c>
    </row>
  </sheetData>
  <mergeCells count="8">
    <mergeCell ref="B100:B111"/>
    <mergeCell ref="F120:G120"/>
    <mergeCell ref="A2:A3"/>
    <mergeCell ref="B2:D2"/>
    <mergeCell ref="B3:D3"/>
    <mergeCell ref="B35:B46"/>
    <mergeCell ref="B47:B58"/>
    <mergeCell ref="B88:B99"/>
  </mergeCells>
  <pageMargins left="0.7" right="0.7" top="0.75" bottom="0.75" header="0.3" footer="0.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7D55-E08B-450E-A019-C97BEFA5D7E4}">
  <dimension ref="A2:T120"/>
  <sheetViews>
    <sheetView showGridLines="0" topLeftCell="A55" zoomScale="85" zoomScaleNormal="85" workbookViewId="0">
      <selection activeCell="B88" sqref="B88"/>
    </sheetView>
  </sheetViews>
  <sheetFormatPr defaultColWidth="16.7109375" defaultRowHeight="15"/>
  <cols>
    <col min="1" max="1" width="59.28515625" customWidth="1"/>
    <col min="2" max="2" width="25.140625" customWidth="1"/>
    <col min="3" max="3" width="40.5703125" customWidth="1"/>
    <col min="4" max="4" width="59.28515625" customWidth="1"/>
    <col min="5" max="5" width="27.140625" customWidth="1"/>
    <col min="6" max="6" width="23.7109375" bestFit="1" customWidth="1"/>
    <col min="7" max="7" width="16.85546875" bestFit="1" customWidth="1"/>
    <col min="8" max="8" width="17.140625" bestFit="1" customWidth="1"/>
    <col min="9" max="9" width="16.85546875" bestFit="1" customWidth="1"/>
    <col min="10" max="10" width="23.42578125" customWidth="1"/>
    <col min="11" max="11" width="34.28515625" customWidth="1"/>
    <col min="12" max="12" width="21" customWidth="1"/>
    <col min="13" max="13" width="18.5703125" bestFit="1" customWidth="1"/>
    <col min="14" max="14" width="19.85546875" bestFit="1" customWidth="1"/>
    <col min="15" max="16" width="16.85546875" bestFit="1" customWidth="1"/>
  </cols>
  <sheetData>
    <row r="2" spans="1:18">
      <c r="A2" s="93" t="s">
        <v>128</v>
      </c>
      <c r="B2" s="94" t="s">
        <v>129</v>
      </c>
      <c r="C2" s="94"/>
      <c r="D2" s="94"/>
    </row>
    <row r="3" spans="1:18">
      <c r="A3" s="93"/>
      <c r="B3" s="94"/>
      <c r="C3" s="94"/>
      <c r="D3" s="94"/>
    </row>
    <row r="5" spans="1:18">
      <c r="M5" s="45" t="s">
        <v>5</v>
      </c>
    </row>
    <row r="6" spans="1:18" ht="30">
      <c r="G6" t="s">
        <v>130</v>
      </c>
      <c r="M6" s="34" t="s">
        <v>6</v>
      </c>
      <c r="N6" s="34" t="s">
        <v>7</v>
      </c>
      <c r="O6" s="21" t="s">
        <v>8</v>
      </c>
      <c r="P6" s="21" t="s">
        <v>9</v>
      </c>
      <c r="Q6" s="21" t="s">
        <v>10</v>
      </c>
      <c r="R6" s="21" t="s">
        <v>11</v>
      </c>
    </row>
    <row r="7" spans="1:18">
      <c r="M7" s="22" t="s">
        <v>12</v>
      </c>
      <c r="N7" s="21">
        <v>12974</v>
      </c>
      <c r="O7" s="21">
        <v>15307.6255</v>
      </c>
      <c r="P7" s="21">
        <v>7084.5901639343938</v>
      </c>
      <c r="Q7" s="21">
        <v>5999.9999999999964</v>
      </c>
      <c r="R7" s="21">
        <v>6912.6988347453353</v>
      </c>
    </row>
    <row r="8" spans="1:18">
      <c r="B8" s="45" t="s">
        <v>13</v>
      </c>
      <c r="C8" s="45" t="s">
        <v>14</v>
      </c>
      <c r="M8" s="22" t="s">
        <v>15</v>
      </c>
      <c r="N8" s="21">
        <v>12641</v>
      </c>
      <c r="O8" s="21">
        <v>35651.082999999999</v>
      </c>
      <c r="P8" s="21">
        <v>7084.5901639343938</v>
      </c>
      <c r="Q8" s="21">
        <v>5999.9999999999964</v>
      </c>
      <c r="R8" s="21">
        <v>7034.226266481377</v>
      </c>
    </row>
    <row r="9" spans="1:18" ht="15.75" thickBot="1">
      <c r="A9" s="49" t="s">
        <v>16</v>
      </c>
      <c r="B9" s="51"/>
      <c r="C9" s="51"/>
      <c r="E9" s="48" t="s">
        <v>17</v>
      </c>
      <c r="M9" s="22" t="s">
        <v>18</v>
      </c>
      <c r="N9" s="21">
        <v>25615</v>
      </c>
      <c r="O9" s="21">
        <v>50958.708500000001</v>
      </c>
      <c r="P9" s="21">
        <v>14169.180327868788</v>
      </c>
      <c r="Q9" s="21">
        <v>11999.999999999993</v>
      </c>
      <c r="R9" s="21">
        <v>13946.925101226712</v>
      </c>
    </row>
    <row r="10" spans="1:18">
      <c r="A10" s="49" t="s">
        <v>19</v>
      </c>
      <c r="B10" s="51"/>
      <c r="C10" s="68">
        <f>6797*1000</f>
        <v>6797000</v>
      </c>
      <c r="E10" s="40" t="s">
        <v>20</v>
      </c>
      <c r="F10" s="57">
        <f>AVERAGE(O7:O8)+AVERAGE(P7:P8)+AVERAGE(Q7:Q8)+AVERAGE(N7:N8)</f>
        <v>51371.44441393439</v>
      </c>
      <c r="G10" s="58" t="s">
        <v>21</v>
      </c>
      <c r="I10" t="s">
        <v>131</v>
      </c>
      <c r="J10">
        <f>F10/365</f>
        <v>140.74368332584766</v>
      </c>
    </row>
    <row r="11" spans="1:18">
      <c r="A11" s="77" t="s">
        <v>132</v>
      </c>
      <c r="B11" s="51"/>
      <c r="C11" s="69"/>
      <c r="D11">
        <f>F10/365</f>
        <v>140.74368332584766</v>
      </c>
      <c r="E11" s="41" t="s">
        <v>23</v>
      </c>
      <c r="F11">
        <f>SQRT((2*F10*1500)/100)</f>
        <v>1241.4279408882464</v>
      </c>
      <c r="G11" s="59" t="s">
        <v>24</v>
      </c>
      <c r="H11">
        <f>F11/12</f>
        <v>103.45232840735387</v>
      </c>
      <c r="I11" t="s">
        <v>25</v>
      </c>
    </row>
    <row r="12" spans="1:18">
      <c r="A12" s="49" t="s">
        <v>26</v>
      </c>
      <c r="B12" s="70">
        <v>130</v>
      </c>
      <c r="C12" s="69">
        <f>B12*50000</f>
        <v>6500000</v>
      </c>
      <c r="D12" t="s">
        <v>133</v>
      </c>
      <c r="E12" s="41" t="s">
        <v>27</v>
      </c>
      <c r="F12">
        <f>F10/F11</f>
        <v>41.380931362941553</v>
      </c>
      <c r="G12" s="59" t="s">
        <v>28</v>
      </c>
      <c r="H12">
        <f>F12/12</f>
        <v>3.4484109469117961</v>
      </c>
      <c r="I12" t="s">
        <v>25</v>
      </c>
    </row>
    <row r="13" spans="1:18">
      <c r="A13" s="49" t="s">
        <v>29</v>
      </c>
      <c r="B13" s="51"/>
      <c r="C13" s="70"/>
      <c r="E13" s="41" t="s">
        <v>30</v>
      </c>
      <c r="F13">
        <f>F12*F11</f>
        <v>51371.44441393439</v>
      </c>
      <c r="G13" s="59"/>
    </row>
    <row r="14" spans="1:18">
      <c r="A14" s="49" t="s">
        <v>26</v>
      </c>
      <c r="B14" s="70">
        <v>0</v>
      </c>
      <c r="C14" s="70"/>
      <c r="E14" s="41"/>
      <c r="F14" s="3">
        <f>1500+F13*1000</f>
        <v>51372944.413934387</v>
      </c>
      <c r="G14" s="59" t="s">
        <v>31</v>
      </c>
    </row>
    <row r="15" spans="1:18">
      <c r="A15" s="49" t="s">
        <v>32</v>
      </c>
      <c r="B15" s="51"/>
      <c r="C15" s="69"/>
      <c r="E15" s="45" t="s">
        <v>33</v>
      </c>
      <c r="F15">
        <f>100/12</f>
        <v>8.3333333333333339</v>
      </c>
      <c r="G15" s="59" t="s">
        <v>34</v>
      </c>
      <c r="M15" s="45" t="s">
        <v>35</v>
      </c>
    </row>
    <row r="16" spans="1:18">
      <c r="A16" s="77" t="s">
        <v>32</v>
      </c>
      <c r="B16" s="51"/>
      <c r="C16" s="69"/>
      <c r="E16" s="41"/>
      <c r="F16" s="41"/>
      <c r="G16" s="42"/>
      <c r="M16" s="61"/>
      <c r="N16" s="65" t="s">
        <v>37</v>
      </c>
      <c r="O16" s="65" t="s">
        <v>38</v>
      </c>
      <c r="P16" s="65" t="s">
        <v>39</v>
      </c>
      <c r="Q16" s="65" t="s">
        <v>40</v>
      </c>
      <c r="R16" s="65" t="s">
        <v>41</v>
      </c>
    </row>
    <row r="17" spans="1:20" ht="15.75" thickBot="1">
      <c r="A17" s="51"/>
      <c r="B17" s="51"/>
      <c r="C17" s="70"/>
      <c r="E17" s="41"/>
      <c r="F17" s="41"/>
      <c r="G17" s="43"/>
      <c r="M17" s="61" t="s">
        <v>42</v>
      </c>
      <c r="N17" s="63">
        <v>75</v>
      </c>
      <c r="O17" s="63">
        <v>100</v>
      </c>
      <c r="P17" s="63">
        <v>100</v>
      </c>
      <c r="Q17" s="63">
        <v>100</v>
      </c>
      <c r="R17" s="63">
        <v>225</v>
      </c>
      <c r="S17">
        <f>15000/200</f>
        <v>75</v>
      </c>
    </row>
    <row r="18" spans="1:20">
      <c r="A18" s="49" t="s">
        <v>43</v>
      </c>
      <c r="B18" s="51"/>
      <c r="C18" s="69"/>
      <c r="M18" s="61" t="s">
        <v>44</v>
      </c>
      <c r="N18" s="63">
        <v>100</v>
      </c>
      <c r="O18" s="63">
        <v>75</v>
      </c>
      <c r="P18" s="63">
        <v>100</v>
      </c>
      <c r="Q18" s="63">
        <v>100</v>
      </c>
      <c r="R18" s="63">
        <v>225</v>
      </c>
    </row>
    <row r="19" spans="1:20">
      <c r="A19" s="51" t="s">
        <v>45</v>
      </c>
      <c r="B19" s="70">
        <v>1241</v>
      </c>
      <c r="C19" s="69">
        <f>1500+B19*1000</f>
        <v>1242500</v>
      </c>
      <c r="M19" s="61" t="s">
        <v>46</v>
      </c>
      <c r="N19" s="63">
        <v>100</v>
      </c>
      <c r="O19" s="63">
        <v>100</v>
      </c>
      <c r="P19" s="63">
        <v>75</v>
      </c>
      <c r="Q19" s="63">
        <v>100</v>
      </c>
      <c r="R19" s="63">
        <v>225</v>
      </c>
    </row>
    <row r="20" spans="1:20">
      <c r="M20" s="61" t="s">
        <v>47</v>
      </c>
      <c r="N20" s="63">
        <v>100</v>
      </c>
      <c r="O20" s="63">
        <v>100</v>
      </c>
      <c r="P20" s="63">
        <v>100</v>
      </c>
      <c r="Q20" s="63">
        <v>75</v>
      </c>
      <c r="R20" s="63">
        <v>225</v>
      </c>
    </row>
    <row r="21" spans="1:20">
      <c r="B21" s="38" t="s">
        <v>48</v>
      </c>
      <c r="C21" s="44">
        <f>C10-SUM(C11:C19)</f>
        <v>-945500</v>
      </c>
      <c r="E21" s="50"/>
      <c r="F21" s="49" t="s">
        <v>49</v>
      </c>
      <c r="G21" s="51"/>
      <c r="J21" t="s">
        <v>50</v>
      </c>
      <c r="M21" s="61" t="s">
        <v>51</v>
      </c>
      <c r="N21" s="63">
        <v>100</v>
      </c>
      <c r="O21" s="63">
        <v>100</v>
      </c>
      <c r="P21" s="63">
        <v>100</v>
      </c>
      <c r="Q21" s="63">
        <v>100</v>
      </c>
      <c r="R21" s="63">
        <v>75</v>
      </c>
    </row>
    <row r="22" spans="1:20">
      <c r="E22" s="49" t="s">
        <v>52</v>
      </c>
      <c r="F22" s="50">
        <f>1500+F13*1000</f>
        <v>51372944.413934387</v>
      </c>
      <c r="G22" s="51" t="s">
        <v>24</v>
      </c>
      <c r="I22" s="51" t="s">
        <v>53</v>
      </c>
      <c r="J22" s="50">
        <f>F13*1450</f>
        <v>74488594.400204867</v>
      </c>
      <c r="K22" s="51" t="s">
        <v>24</v>
      </c>
      <c r="M22" s="64"/>
      <c r="N22" s="64"/>
      <c r="O22" s="64"/>
      <c r="P22" s="64"/>
      <c r="Q22" s="64"/>
      <c r="R22" s="64"/>
      <c r="T22" s="62"/>
    </row>
    <row r="23" spans="1:20">
      <c r="E23" s="49" t="s">
        <v>52</v>
      </c>
      <c r="F23" s="50">
        <f>F22/12</f>
        <v>4281078.7011611992</v>
      </c>
      <c r="G23" s="51" t="s">
        <v>54</v>
      </c>
      <c r="I23" s="51" t="s">
        <v>53</v>
      </c>
      <c r="J23" s="50">
        <f>J22/12</f>
        <v>6207382.8666837392</v>
      </c>
      <c r="K23" s="51" t="s">
        <v>54</v>
      </c>
      <c r="M23" s="61"/>
      <c r="N23" s="61" t="s">
        <v>55</v>
      </c>
      <c r="O23" s="61" t="s">
        <v>56</v>
      </c>
      <c r="P23" s="61" t="s">
        <v>57</v>
      </c>
      <c r="Q23" s="61" t="s">
        <v>58</v>
      </c>
      <c r="R23" s="61" t="s">
        <v>59</v>
      </c>
      <c r="T23" s="64"/>
    </row>
    <row r="24" spans="1:20">
      <c r="E24" s="49" t="s">
        <v>52</v>
      </c>
      <c r="F24" s="50">
        <f>F23/365</f>
        <v>11728.982742907396</v>
      </c>
      <c r="G24" s="51" t="s">
        <v>60</v>
      </c>
      <c r="I24" s="51" t="s">
        <v>53</v>
      </c>
      <c r="J24" s="50">
        <f>J22/365</f>
        <v>204078.34082247908</v>
      </c>
      <c r="K24" s="51" t="s">
        <v>61</v>
      </c>
      <c r="M24" s="65" t="s">
        <v>37</v>
      </c>
      <c r="N24" s="63">
        <v>150</v>
      </c>
      <c r="O24" s="63">
        <v>200</v>
      </c>
      <c r="P24" s="63">
        <v>200</v>
      </c>
      <c r="Q24" s="63">
        <v>200</v>
      </c>
      <c r="R24" s="63">
        <v>400</v>
      </c>
      <c r="T24" s="64"/>
    </row>
    <row r="25" spans="1:20">
      <c r="A25" s="45" t="s">
        <v>62</v>
      </c>
      <c r="B25" s="71">
        <v>0.209418110154548</v>
      </c>
      <c r="C25" t="s">
        <v>63</v>
      </c>
      <c r="D25" s="3"/>
      <c r="I25" s="3"/>
      <c r="M25" s="65" t="s">
        <v>38</v>
      </c>
      <c r="N25" s="63">
        <v>200</v>
      </c>
      <c r="O25" s="63">
        <v>150</v>
      </c>
      <c r="P25" s="63">
        <v>200</v>
      </c>
      <c r="Q25" s="63">
        <v>200</v>
      </c>
      <c r="R25" s="63">
        <v>400</v>
      </c>
      <c r="T25" s="64"/>
    </row>
    <row r="26" spans="1:20">
      <c r="M26" s="65" t="s">
        <v>39</v>
      </c>
      <c r="N26" s="63">
        <v>200</v>
      </c>
      <c r="O26" s="63">
        <v>200</v>
      </c>
      <c r="P26" s="63">
        <v>150</v>
      </c>
      <c r="Q26" s="63">
        <v>200</v>
      </c>
      <c r="R26" s="63">
        <v>400</v>
      </c>
      <c r="T26" s="64"/>
    </row>
    <row r="27" spans="1:20">
      <c r="D27" s="3"/>
      <c r="M27" s="65" t="s">
        <v>40</v>
      </c>
      <c r="N27" s="63">
        <v>200</v>
      </c>
      <c r="O27" s="63">
        <v>200</v>
      </c>
      <c r="P27" s="63">
        <v>200</v>
      </c>
      <c r="Q27" s="63">
        <v>150</v>
      </c>
      <c r="R27" s="63">
        <v>400</v>
      </c>
      <c r="T27" s="64"/>
    </row>
    <row r="28" spans="1:20">
      <c r="M28" s="65" t="s">
        <v>41</v>
      </c>
      <c r="N28" s="63">
        <v>200</v>
      </c>
      <c r="O28" s="63">
        <v>200</v>
      </c>
      <c r="P28" s="63">
        <v>200</v>
      </c>
      <c r="Q28" s="63">
        <v>200</v>
      </c>
      <c r="R28" s="63">
        <v>150</v>
      </c>
      <c r="T28" s="64"/>
    </row>
    <row r="29" spans="1:20">
      <c r="D29" s="3"/>
      <c r="I29" s="3"/>
    </row>
    <row r="30" spans="1:20">
      <c r="M30" s="83" t="s">
        <v>65</v>
      </c>
      <c r="N30" s="84"/>
      <c r="O30" s="84"/>
      <c r="P30" s="84"/>
      <c r="Q30" s="84"/>
      <c r="R30" s="84"/>
    </row>
    <row r="31" spans="1:20">
      <c r="M31" s="83" t="s">
        <v>134</v>
      </c>
      <c r="N31" s="84"/>
      <c r="O31" s="84"/>
      <c r="P31" s="84"/>
      <c r="Q31" s="84"/>
      <c r="R31" s="84"/>
    </row>
    <row r="32" spans="1:20">
      <c r="C32" s="45"/>
      <c r="D32" s="45"/>
      <c r="E32" s="45"/>
      <c r="F32" s="45"/>
      <c r="G32" s="45"/>
      <c r="H32" s="45"/>
      <c r="I32" s="45"/>
    </row>
    <row r="33" spans="2:15">
      <c r="C33" s="54" t="s">
        <v>67</v>
      </c>
      <c r="D33" s="53" t="s">
        <v>68</v>
      </c>
      <c r="E33" s="53" t="s">
        <v>69</v>
      </c>
      <c r="F33" s="53" t="s">
        <v>70</v>
      </c>
      <c r="G33" s="53" t="s">
        <v>71</v>
      </c>
      <c r="H33" s="53" t="s">
        <v>72</v>
      </c>
      <c r="I33" s="53" t="s">
        <v>73</v>
      </c>
      <c r="M33" t="s">
        <v>74</v>
      </c>
    </row>
    <row r="34" spans="2:15">
      <c r="B34" s="52" t="s">
        <v>75</v>
      </c>
      <c r="C34" s="49" t="s">
        <v>76</v>
      </c>
      <c r="D34" s="50"/>
      <c r="E34" s="51"/>
      <c r="F34" s="51"/>
      <c r="G34" s="51"/>
      <c r="H34" s="50">
        <f>C21</f>
        <v>-945500</v>
      </c>
      <c r="I34" s="51"/>
      <c r="M34" t="s">
        <v>77</v>
      </c>
      <c r="N34" s="46">
        <f>AVERAGE(O7:O8)/F10</f>
        <v>0.49598282743805394</v>
      </c>
    </row>
    <row r="35" spans="2:15">
      <c r="B35" s="91" t="s">
        <v>78</v>
      </c>
      <c r="C35" s="49" t="s">
        <v>79</v>
      </c>
      <c r="D35" s="50">
        <f t="shared" ref="D35:D58" si="0">$J$23</f>
        <v>6207382.8666837392</v>
      </c>
      <c r="E35" s="50">
        <f t="shared" ref="E35:E58" si="1">$F$23</f>
        <v>4281078.7011611992</v>
      </c>
      <c r="F35" s="50">
        <f t="shared" ref="F35:F58" si="2">$F$11/2*$F$15</f>
        <v>5172.6164203676935</v>
      </c>
      <c r="G35" s="51">
        <f t="shared" ref="G35:G58" si="3">$F$12*$O$39/12</f>
        <v>819.80892722306328</v>
      </c>
      <c r="H35" s="50">
        <f>H34+D35-E35-F35-G35</f>
        <v>974811.74017494917</v>
      </c>
      <c r="I35" s="50">
        <f>H35*0.7974%</f>
        <v>7773.1488161550451</v>
      </c>
      <c r="M35" t="s">
        <v>80</v>
      </c>
      <c r="N35" s="46">
        <f>AVERAGE(P7:P8)/F10</f>
        <v>0.1379091097156831</v>
      </c>
    </row>
    <row r="36" spans="2:15">
      <c r="B36" s="91"/>
      <c r="C36" s="49" t="s">
        <v>81</v>
      </c>
      <c r="D36" s="50">
        <f t="shared" si="0"/>
        <v>6207382.8666837392</v>
      </c>
      <c r="E36" s="50">
        <f t="shared" si="1"/>
        <v>4281078.7011611992</v>
      </c>
      <c r="F36" s="50">
        <f t="shared" si="2"/>
        <v>5172.6164203676935</v>
      </c>
      <c r="G36" s="51">
        <f t="shared" si="3"/>
        <v>819.80892722306328</v>
      </c>
      <c r="H36" s="50">
        <f t="shared" ref="H36:H58" si="4">H35+D36-E36-F36-G36+I35</f>
        <v>2902896.6291660536</v>
      </c>
      <c r="I36" s="50">
        <f>H36*0.7974%</f>
        <v>23147.697720970111</v>
      </c>
      <c r="M36" t="s">
        <v>82</v>
      </c>
      <c r="N36" s="46">
        <f>AVERAGE(Q7:Q8)/F10</f>
        <v>0.11679640447042812</v>
      </c>
    </row>
    <row r="37" spans="2:15">
      <c r="B37" s="91"/>
      <c r="C37" s="49" t="s">
        <v>83</v>
      </c>
      <c r="D37" s="50">
        <f t="shared" si="0"/>
        <v>6207382.8666837392</v>
      </c>
      <c r="E37" s="50">
        <f t="shared" si="1"/>
        <v>4281078.7011611992</v>
      </c>
      <c r="F37" s="50">
        <f t="shared" si="2"/>
        <v>5172.6164203676935</v>
      </c>
      <c r="G37" s="51">
        <f t="shared" si="3"/>
        <v>819.80892722306328</v>
      </c>
      <c r="H37" s="50">
        <f t="shared" si="4"/>
        <v>4846356.0670619719</v>
      </c>
      <c r="I37" s="50">
        <f t="shared" ref="I37:I57" si="5">H37*0.7974%</f>
        <v>38644.843278752167</v>
      </c>
      <c r="M37" t="s">
        <v>135</v>
      </c>
      <c r="N37" s="46">
        <f>AVERAGE(N7:N8)/F10</f>
        <v>0.24931165837583485</v>
      </c>
    </row>
    <row r="38" spans="2:15">
      <c r="B38" s="91"/>
      <c r="C38" s="49" t="s">
        <v>84</v>
      </c>
      <c r="D38" s="50">
        <f t="shared" si="0"/>
        <v>6207382.8666837392</v>
      </c>
      <c r="E38" s="50">
        <f t="shared" si="1"/>
        <v>4281078.7011611992</v>
      </c>
      <c r="F38" s="50">
        <f t="shared" si="2"/>
        <v>5172.6164203676935</v>
      </c>
      <c r="G38" s="51">
        <f t="shared" si="3"/>
        <v>819.80892722306328</v>
      </c>
      <c r="H38" s="50">
        <f t="shared" si="4"/>
        <v>6805312.6505156737</v>
      </c>
      <c r="I38" s="50">
        <f t="shared" si="5"/>
        <v>54265.563075211983</v>
      </c>
      <c r="O38" s="45" t="s">
        <v>136</v>
      </c>
    </row>
    <row r="39" spans="2:15">
      <c r="B39" s="91"/>
      <c r="C39" s="49" t="s">
        <v>85</v>
      </c>
      <c r="D39" s="50">
        <f t="shared" si="0"/>
        <v>6207382.8666837392</v>
      </c>
      <c r="E39" s="50">
        <f t="shared" si="1"/>
        <v>4281078.7011611992</v>
      </c>
      <c r="F39" s="50">
        <f t="shared" si="2"/>
        <v>5172.6164203676935</v>
      </c>
      <c r="G39" s="51">
        <f t="shared" si="3"/>
        <v>819.80892722306328</v>
      </c>
      <c r="H39" s="50">
        <f t="shared" si="4"/>
        <v>8779889.9537658356</v>
      </c>
      <c r="I39" s="50">
        <f t="shared" si="5"/>
        <v>70010.842491328774</v>
      </c>
      <c r="M39" t="s">
        <v>86</v>
      </c>
      <c r="N39">
        <f>N17+N24</f>
        <v>225</v>
      </c>
      <c r="O39" s="95">
        <f>N39*N34+N40*N35+N41*N36+N37*N42</f>
        <v>237.73527570930557</v>
      </c>
    </row>
    <row r="40" spans="2:15">
      <c r="B40" s="91"/>
      <c r="C40" s="49" t="s">
        <v>88</v>
      </c>
      <c r="D40" s="50">
        <f t="shared" si="0"/>
        <v>6207382.8666837392</v>
      </c>
      <c r="E40" s="50">
        <f t="shared" si="1"/>
        <v>4281078.7011611992</v>
      </c>
      <c r="F40" s="50">
        <f t="shared" si="2"/>
        <v>5172.6164203676935</v>
      </c>
      <c r="G40" s="51">
        <f t="shared" si="3"/>
        <v>819.80892722306328</v>
      </c>
      <c r="H40" s="50">
        <f t="shared" si="4"/>
        <v>10770212.536432115</v>
      </c>
      <c r="I40" s="50">
        <f t="shared" si="5"/>
        <v>85881.674765509684</v>
      </c>
      <c r="M40" t="s">
        <v>89</v>
      </c>
      <c r="N40">
        <f>N17+P24</f>
        <v>275</v>
      </c>
      <c r="O40" s="95"/>
    </row>
    <row r="41" spans="2:15">
      <c r="B41" s="91"/>
      <c r="C41" s="49" t="s">
        <v>90</v>
      </c>
      <c r="D41" s="50">
        <f t="shared" si="0"/>
        <v>6207382.8666837392</v>
      </c>
      <c r="E41" s="50">
        <f t="shared" si="1"/>
        <v>4281078.7011611992</v>
      </c>
      <c r="F41" s="50">
        <f t="shared" si="2"/>
        <v>5172.6164203676935</v>
      </c>
      <c r="G41" s="51">
        <f t="shared" si="3"/>
        <v>819.80892722306328</v>
      </c>
      <c r="H41" s="50">
        <f t="shared" si="4"/>
        <v>12776405.951372575</v>
      </c>
      <c r="I41" s="50">
        <f t="shared" si="5"/>
        <v>101879.06105624491</v>
      </c>
      <c r="M41" t="s">
        <v>91</v>
      </c>
      <c r="N41">
        <f>N17+Q24</f>
        <v>275</v>
      </c>
      <c r="O41" s="95"/>
    </row>
    <row r="42" spans="2:15">
      <c r="B42" s="91"/>
      <c r="C42" s="49" t="s">
        <v>92</v>
      </c>
      <c r="D42" s="50">
        <f t="shared" si="0"/>
        <v>6207382.8666837392</v>
      </c>
      <c r="E42" s="50">
        <f t="shared" si="1"/>
        <v>4281078.7011611992</v>
      </c>
      <c r="F42" s="50">
        <f t="shared" si="2"/>
        <v>5172.6164203676935</v>
      </c>
      <c r="G42" s="51">
        <f t="shared" si="3"/>
        <v>819.80892722306328</v>
      </c>
      <c r="H42" s="50">
        <f t="shared" si="4"/>
        <v>14798596.752603771</v>
      </c>
      <c r="I42" s="50">
        <f t="shared" si="5"/>
        <v>118004.01050526247</v>
      </c>
      <c r="J42" s="3"/>
      <c r="M42" t="s">
        <v>121</v>
      </c>
      <c r="N42">
        <f>N17+N24</f>
        <v>225</v>
      </c>
    </row>
    <row r="43" spans="2:15">
      <c r="B43" s="91"/>
      <c r="C43" s="49" t="s">
        <v>93</v>
      </c>
      <c r="D43" s="50">
        <f t="shared" si="0"/>
        <v>6207382.8666837392</v>
      </c>
      <c r="E43" s="50">
        <f t="shared" si="1"/>
        <v>4281078.7011611992</v>
      </c>
      <c r="F43" s="50">
        <f t="shared" si="2"/>
        <v>5172.6164203676935</v>
      </c>
      <c r="G43" s="51">
        <f t="shared" si="3"/>
        <v>819.80892722306328</v>
      </c>
      <c r="H43" s="50">
        <f t="shared" si="4"/>
        <v>16836912.503283981</v>
      </c>
      <c r="I43" s="50">
        <f t="shared" si="5"/>
        <v>134257.54030118647</v>
      </c>
    </row>
    <row r="44" spans="2:15">
      <c r="B44" s="91"/>
      <c r="C44" s="49" t="s">
        <v>94</v>
      </c>
      <c r="D44" s="50">
        <f t="shared" si="0"/>
        <v>6207382.8666837392</v>
      </c>
      <c r="E44" s="50">
        <f t="shared" si="1"/>
        <v>4281078.7011611992</v>
      </c>
      <c r="F44" s="50">
        <f t="shared" si="2"/>
        <v>5172.6164203676935</v>
      </c>
      <c r="G44" s="51">
        <f t="shared" si="3"/>
        <v>819.80892722306328</v>
      </c>
      <c r="H44" s="50">
        <f t="shared" si="4"/>
        <v>18891481.783760119</v>
      </c>
      <c r="I44" s="50">
        <f t="shared" si="5"/>
        <v>150640.67574370321</v>
      </c>
    </row>
    <row r="45" spans="2:15">
      <c r="B45" s="91"/>
      <c r="C45" s="49" t="s">
        <v>95</v>
      </c>
      <c r="D45" s="50">
        <f t="shared" si="0"/>
        <v>6207382.8666837392</v>
      </c>
      <c r="E45" s="50">
        <f t="shared" si="1"/>
        <v>4281078.7011611992</v>
      </c>
      <c r="F45" s="50">
        <f t="shared" si="2"/>
        <v>5172.6164203676935</v>
      </c>
      <c r="G45" s="51">
        <f t="shared" si="3"/>
        <v>819.80892722306328</v>
      </c>
      <c r="H45" s="50">
        <f t="shared" si="4"/>
        <v>20962434.199678775</v>
      </c>
      <c r="I45" s="50">
        <f t="shared" si="5"/>
        <v>167154.45030823856</v>
      </c>
    </row>
    <row r="46" spans="2:15">
      <c r="B46" s="91"/>
      <c r="C46" s="49" t="s">
        <v>96</v>
      </c>
      <c r="D46" s="50">
        <f t="shared" si="0"/>
        <v>6207382.8666837392</v>
      </c>
      <c r="E46" s="50">
        <f t="shared" si="1"/>
        <v>4281078.7011611992</v>
      </c>
      <c r="F46" s="50">
        <f t="shared" si="2"/>
        <v>5172.6164203676935</v>
      </c>
      <c r="G46" s="51">
        <f t="shared" si="3"/>
        <v>819.80892722306328</v>
      </c>
      <c r="H46" s="50">
        <f t="shared" si="4"/>
        <v>23049900.390161965</v>
      </c>
      <c r="I46" s="50">
        <f t="shared" si="5"/>
        <v>183799.90571115151</v>
      </c>
    </row>
    <row r="47" spans="2:15">
      <c r="B47" s="91" t="s">
        <v>97</v>
      </c>
      <c r="C47" s="55" t="s">
        <v>79</v>
      </c>
      <c r="D47" s="56">
        <f t="shared" si="0"/>
        <v>6207382.8666837392</v>
      </c>
      <c r="E47" s="56">
        <f t="shared" si="1"/>
        <v>4281078.7011611992</v>
      </c>
      <c r="F47" s="56">
        <f t="shared" si="2"/>
        <v>5172.6164203676935</v>
      </c>
      <c r="G47" s="51">
        <f t="shared" si="3"/>
        <v>819.80892722306328</v>
      </c>
      <c r="H47" s="56">
        <f t="shared" si="4"/>
        <v>25154012.03604807</v>
      </c>
      <c r="I47" s="56">
        <f t="shared" si="5"/>
        <v>200578.09197544731</v>
      </c>
    </row>
    <row r="48" spans="2:15">
      <c r="B48" s="91"/>
      <c r="C48" s="55" t="s">
        <v>81</v>
      </c>
      <c r="D48" s="56">
        <f t="shared" si="0"/>
        <v>6207382.8666837392</v>
      </c>
      <c r="E48" s="56">
        <f t="shared" si="1"/>
        <v>4281078.7011611992</v>
      </c>
      <c r="F48" s="56">
        <f t="shared" si="2"/>
        <v>5172.6164203676935</v>
      </c>
      <c r="G48" s="51">
        <f t="shared" si="3"/>
        <v>819.80892722306328</v>
      </c>
      <c r="H48" s="56">
        <f t="shared" si="4"/>
        <v>27274901.868198469</v>
      </c>
      <c r="I48" s="56">
        <f t="shared" si="5"/>
        <v>217490.06749701459</v>
      </c>
    </row>
    <row r="49" spans="2:14">
      <c r="B49" s="91"/>
      <c r="C49" s="55" t="s">
        <v>83</v>
      </c>
      <c r="D49" s="56">
        <f t="shared" si="0"/>
        <v>6207382.8666837392</v>
      </c>
      <c r="E49" s="56">
        <f t="shared" si="1"/>
        <v>4281078.7011611992</v>
      </c>
      <c r="F49" s="56">
        <f t="shared" si="2"/>
        <v>5172.6164203676935</v>
      </c>
      <c r="G49" s="51">
        <f t="shared" si="3"/>
        <v>819.80892722306328</v>
      </c>
      <c r="H49" s="56">
        <f t="shared" si="4"/>
        <v>29412703.675870437</v>
      </c>
      <c r="I49" s="56">
        <f t="shared" si="5"/>
        <v>234536.89911139087</v>
      </c>
    </row>
    <row r="50" spans="2:14">
      <c r="B50" s="91"/>
      <c r="C50" s="55" t="s">
        <v>84</v>
      </c>
      <c r="D50" s="56">
        <f t="shared" si="0"/>
        <v>6207382.8666837392</v>
      </c>
      <c r="E50" s="56">
        <f t="shared" si="1"/>
        <v>4281078.7011611992</v>
      </c>
      <c r="F50" s="56">
        <f t="shared" si="2"/>
        <v>5172.6164203676935</v>
      </c>
      <c r="G50" s="51">
        <f t="shared" si="3"/>
        <v>819.80892722306328</v>
      </c>
      <c r="H50" s="56">
        <f t="shared" si="4"/>
        <v>31567552.31515678</v>
      </c>
      <c r="I50" s="56">
        <f t="shared" si="5"/>
        <v>251719.66216106017</v>
      </c>
    </row>
    <row r="51" spans="2:14">
      <c r="B51" s="91"/>
      <c r="C51" s="55" t="s">
        <v>85</v>
      </c>
      <c r="D51" s="56">
        <f t="shared" si="0"/>
        <v>6207382.8666837392</v>
      </c>
      <c r="E51" s="56">
        <f t="shared" si="1"/>
        <v>4281078.7011611992</v>
      </c>
      <c r="F51" s="56">
        <f t="shared" si="2"/>
        <v>5172.6164203676935</v>
      </c>
      <c r="G51" s="51">
        <f t="shared" si="3"/>
        <v>819.80892722306328</v>
      </c>
      <c r="H51" s="56">
        <f t="shared" si="4"/>
        <v>33739583.717492789</v>
      </c>
      <c r="I51" s="56">
        <f t="shared" si="5"/>
        <v>269039.44056328753</v>
      </c>
    </row>
    <row r="52" spans="2:14">
      <c r="B52" s="91"/>
      <c r="C52" s="55" t="s">
        <v>88</v>
      </c>
      <c r="D52" s="56">
        <f t="shared" si="0"/>
        <v>6207382.8666837392</v>
      </c>
      <c r="E52" s="56">
        <f t="shared" si="1"/>
        <v>4281078.7011611992</v>
      </c>
      <c r="F52" s="56">
        <f t="shared" si="2"/>
        <v>5172.6164203676935</v>
      </c>
      <c r="G52" s="51">
        <f t="shared" si="3"/>
        <v>819.80892722306328</v>
      </c>
      <c r="H52" s="56">
        <f t="shared" si="4"/>
        <v>35928934.898231022</v>
      </c>
      <c r="I52" s="56">
        <f t="shared" si="5"/>
        <v>286497.32687849418</v>
      </c>
    </row>
    <row r="53" spans="2:14">
      <c r="B53" s="91"/>
      <c r="C53" s="55" t="s">
        <v>90</v>
      </c>
      <c r="D53" s="56">
        <f t="shared" si="0"/>
        <v>6207382.8666837392</v>
      </c>
      <c r="E53" s="56">
        <f t="shared" si="1"/>
        <v>4281078.7011611992</v>
      </c>
      <c r="F53" s="56">
        <f t="shared" si="2"/>
        <v>5172.6164203676935</v>
      </c>
      <c r="G53" s="51">
        <f t="shared" si="3"/>
        <v>819.80892722306328</v>
      </c>
      <c r="H53" s="56">
        <f t="shared" si="4"/>
        <v>38135743.965284467</v>
      </c>
      <c r="I53" s="56">
        <f t="shared" si="5"/>
        <v>304094.42237917834</v>
      </c>
      <c r="K53" s="45" t="s">
        <v>98</v>
      </c>
      <c r="L53" s="3">
        <f>H58</f>
        <v>49436568.955040701</v>
      </c>
    </row>
    <row r="54" spans="2:14">
      <c r="B54" s="91"/>
      <c r="C54" s="55" t="s">
        <v>92</v>
      </c>
      <c r="D54" s="56">
        <f t="shared" si="0"/>
        <v>6207382.8666837392</v>
      </c>
      <c r="E54" s="56">
        <f t="shared" si="1"/>
        <v>4281078.7011611992</v>
      </c>
      <c r="F54" s="56">
        <f t="shared" si="2"/>
        <v>5172.6164203676935</v>
      </c>
      <c r="G54" s="51">
        <f t="shared" si="3"/>
        <v>819.80892722306328</v>
      </c>
      <c r="H54" s="56">
        <f t="shared" si="4"/>
        <v>40360150.127838597</v>
      </c>
      <c r="I54" s="56">
        <f t="shared" si="5"/>
        <v>321831.83711938496</v>
      </c>
      <c r="K54" s="45" t="s">
        <v>99</v>
      </c>
      <c r="L54" s="3">
        <f>B25*SUM(D35:D58)</f>
        <v>31198521.334719099</v>
      </c>
      <c r="N54" t="s">
        <v>100</v>
      </c>
    </row>
    <row r="55" spans="2:14" ht="45">
      <c r="B55" s="91"/>
      <c r="C55" s="55" t="s">
        <v>93</v>
      </c>
      <c r="D55" s="56">
        <f t="shared" si="0"/>
        <v>6207382.8666837392</v>
      </c>
      <c r="E55" s="56">
        <f t="shared" si="1"/>
        <v>4281078.7011611992</v>
      </c>
      <c r="F55" s="56">
        <f t="shared" si="2"/>
        <v>5172.6164203676935</v>
      </c>
      <c r="G55" s="51">
        <f t="shared" si="3"/>
        <v>819.80892722306328</v>
      </c>
      <c r="H55" s="56">
        <f t="shared" si="4"/>
        <v>42602293.705132931</v>
      </c>
      <c r="I55" s="56">
        <f t="shared" si="5"/>
        <v>339710.69000473002</v>
      </c>
      <c r="K55" s="82" t="s">
        <v>101</v>
      </c>
      <c r="L55" s="3">
        <f>L53-L54</f>
        <v>18238047.620321602</v>
      </c>
      <c r="M55" s="3">
        <f>L54/L53</f>
        <v>0.63108184880492202</v>
      </c>
    </row>
    <row r="56" spans="2:14">
      <c r="B56" s="91"/>
      <c r="C56" s="55" t="s">
        <v>94</v>
      </c>
      <c r="D56" s="56">
        <f t="shared" si="0"/>
        <v>6207382.8666837392</v>
      </c>
      <c r="E56" s="56">
        <f t="shared" si="1"/>
        <v>4281078.7011611992</v>
      </c>
      <c r="F56" s="56">
        <f t="shared" si="2"/>
        <v>5172.6164203676935</v>
      </c>
      <c r="G56" s="51">
        <f t="shared" si="3"/>
        <v>819.80892722306328</v>
      </c>
      <c r="H56" s="56">
        <f t="shared" si="4"/>
        <v>44862316.135312609</v>
      </c>
      <c r="I56" s="56">
        <f t="shared" si="5"/>
        <v>357732.10886298277</v>
      </c>
    </row>
    <row r="57" spans="2:14">
      <c r="B57" s="91"/>
      <c r="C57" s="55" t="s">
        <v>95</v>
      </c>
      <c r="D57" s="56">
        <f t="shared" si="0"/>
        <v>6207382.8666837392</v>
      </c>
      <c r="E57" s="56">
        <f t="shared" si="1"/>
        <v>4281078.7011611992</v>
      </c>
      <c r="F57" s="56">
        <f t="shared" si="2"/>
        <v>5172.6164203676935</v>
      </c>
      <c r="G57" s="51">
        <f t="shared" si="3"/>
        <v>819.80892722306328</v>
      </c>
      <c r="H57" s="56">
        <f t="shared" si="4"/>
        <v>47140359.98435054</v>
      </c>
      <c r="I57" s="56">
        <f t="shared" si="5"/>
        <v>375897.23051521124</v>
      </c>
    </row>
    <row r="58" spans="2:14">
      <c r="B58" s="91"/>
      <c r="C58" s="55" t="s">
        <v>96</v>
      </c>
      <c r="D58" s="56">
        <f t="shared" si="0"/>
        <v>6207382.8666837392</v>
      </c>
      <c r="E58" s="56">
        <f t="shared" si="1"/>
        <v>4281078.7011611992</v>
      </c>
      <c r="F58" s="56">
        <f t="shared" si="2"/>
        <v>5172.6164203676935</v>
      </c>
      <c r="G58" s="51">
        <f t="shared" si="3"/>
        <v>819.80892722306328</v>
      </c>
      <c r="H58" s="81">
        <f t="shared" si="4"/>
        <v>49436568.955040701</v>
      </c>
      <c r="I58" s="56"/>
    </row>
    <row r="60" spans="2:14">
      <c r="E60" s="3"/>
    </row>
    <row r="62" spans="2:14">
      <c r="C62" t="s">
        <v>123</v>
      </c>
    </row>
    <row r="64" spans="2:14">
      <c r="B64" s="45"/>
    </row>
    <row r="67" spans="2:5" ht="24">
      <c r="B67" s="45"/>
      <c r="D67" s="23" t="s">
        <v>137</v>
      </c>
    </row>
    <row r="68" spans="2:5" ht="24">
      <c r="D68" s="92">
        <f>L55</f>
        <v>18238047.620321602</v>
      </c>
      <c r="E68" s="92"/>
    </row>
    <row r="69" spans="2:5">
      <c r="D69" s="45" t="s">
        <v>138</v>
      </c>
    </row>
    <row r="70" spans="2:5">
      <c r="B70" s="45"/>
      <c r="D70" t="s">
        <v>139</v>
      </c>
    </row>
    <row r="71" spans="2:5">
      <c r="D71" t="s">
        <v>140</v>
      </c>
    </row>
    <row r="72" spans="2:5">
      <c r="D72" t="s">
        <v>126</v>
      </c>
    </row>
    <row r="73" spans="2:5">
      <c r="D73" t="s">
        <v>141</v>
      </c>
    </row>
    <row r="91" spans="3:3">
      <c r="C91" s="45"/>
    </row>
    <row r="94" spans="3:3">
      <c r="C94" s="45"/>
    </row>
    <row r="97" spans="3:3">
      <c r="C97" s="45"/>
    </row>
    <row r="100" spans="3:3">
      <c r="C100" s="45"/>
    </row>
    <row r="103" spans="3:3">
      <c r="C103" s="45"/>
    </row>
    <row r="106" spans="3:3">
      <c r="C106" s="45"/>
    </row>
    <row r="109" spans="3:3">
      <c r="C109" s="45"/>
    </row>
    <row r="119" ht="23.45" customHeight="1"/>
    <row r="120" ht="23.45" customHeight="1"/>
  </sheetData>
  <mergeCells count="7">
    <mergeCell ref="O39:O41"/>
    <mergeCell ref="D68:E68"/>
    <mergeCell ref="A2:A3"/>
    <mergeCell ref="B2:D2"/>
    <mergeCell ref="B3:D3"/>
    <mergeCell ref="B35:B46"/>
    <mergeCell ref="B47:B58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42B2-0AE4-40EA-93BB-7F542CBA0EB5}">
  <dimension ref="A2:T125"/>
  <sheetViews>
    <sheetView topLeftCell="A56" zoomScale="85" zoomScaleNormal="85" workbookViewId="0">
      <selection activeCell="D70" sqref="D70"/>
    </sheetView>
  </sheetViews>
  <sheetFormatPr defaultColWidth="16.7109375" defaultRowHeight="15"/>
  <cols>
    <col min="1" max="1" width="28.85546875" customWidth="1"/>
    <col min="2" max="2" width="25.140625" customWidth="1"/>
    <col min="3" max="3" width="40.5703125" customWidth="1"/>
    <col min="4" max="4" width="38.140625" customWidth="1"/>
    <col min="5" max="5" width="27.140625" customWidth="1"/>
    <col min="6" max="6" width="23.7109375" bestFit="1" customWidth="1"/>
    <col min="7" max="7" width="16.85546875" bestFit="1" customWidth="1"/>
    <col min="8" max="8" width="17.140625" bestFit="1" customWidth="1"/>
    <col min="9" max="9" width="16.85546875" bestFit="1" customWidth="1"/>
    <col min="10" max="10" width="23.42578125" customWidth="1"/>
    <col min="11" max="11" width="22.85546875" customWidth="1"/>
    <col min="12" max="12" width="17.140625" bestFit="1" customWidth="1"/>
    <col min="13" max="13" width="18.5703125" bestFit="1" customWidth="1"/>
    <col min="14" max="14" width="19.85546875" bestFit="1" customWidth="1"/>
    <col min="15" max="16" width="16.85546875" bestFit="1" customWidth="1"/>
  </cols>
  <sheetData>
    <row r="2" spans="1:18">
      <c r="A2" s="93" t="s">
        <v>142</v>
      </c>
      <c r="B2" s="94" t="s">
        <v>143</v>
      </c>
      <c r="C2" s="94"/>
      <c r="D2" s="94"/>
      <c r="E2" s="45" t="s">
        <v>144</v>
      </c>
    </row>
    <row r="3" spans="1:18">
      <c r="A3" s="93"/>
      <c r="B3" s="94" t="s">
        <v>145</v>
      </c>
      <c r="C3" s="94"/>
      <c r="D3" s="94"/>
      <c r="E3" t="s">
        <v>146</v>
      </c>
    </row>
    <row r="5" spans="1:18">
      <c r="M5" s="45" t="s">
        <v>5</v>
      </c>
    </row>
    <row r="6" spans="1:18" ht="31.5">
      <c r="A6" s="80" t="s">
        <v>147</v>
      </c>
      <c r="M6" s="34" t="s">
        <v>6</v>
      </c>
      <c r="N6" s="34" t="s">
        <v>7</v>
      </c>
      <c r="O6" s="21" t="s">
        <v>8</v>
      </c>
      <c r="P6" s="21" t="s">
        <v>9</v>
      </c>
      <c r="Q6" s="21" t="s">
        <v>10</v>
      </c>
      <c r="R6" s="21" t="s">
        <v>11</v>
      </c>
    </row>
    <row r="7" spans="1:18">
      <c r="M7" s="22" t="s">
        <v>12</v>
      </c>
      <c r="N7" s="21">
        <v>12974</v>
      </c>
      <c r="O7" s="21">
        <v>15307.6255</v>
      </c>
      <c r="P7" s="21">
        <v>7084.5901639343938</v>
      </c>
      <c r="Q7" s="21">
        <v>5999.9999999999964</v>
      </c>
      <c r="R7" s="21">
        <v>6912.6988347453353</v>
      </c>
    </row>
    <row r="8" spans="1:18">
      <c r="B8" s="45" t="s">
        <v>13</v>
      </c>
      <c r="C8" s="45" t="s">
        <v>14</v>
      </c>
      <c r="M8" s="22" t="s">
        <v>15</v>
      </c>
      <c r="N8" s="21">
        <v>12641</v>
      </c>
      <c r="O8" s="21">
        <v>35651.082999999999</v>
      </c>
      <c r="P8" s="21">
        <v>7084.5901639343938</v>
      </c>
      <c r="Q8" s="21">
        <v>5999.9999999999964</v>
      </c>
      <c r="R8" s="21">
        <v>7034.226266481377</v>
      </c>
    </row>
    <row r="9" spans="1:18">
      <c r="A9" s="49" t="s">
        <v>16</v>
      </c>
      <c r="B9" s="51"/>
      <c r="C9" s="51"/>
      <c r="E9" s="48" t="s">
        <v>17</v>
      </c>
      <c r="M9" s="22" t="s">
        <v>18</v>
      </c>
      <c r="N9" s="21">
        <v>25615</v>
      </c>
      <c r="O9" s="21">
        <v>50958.708500000001</v>
      </c>
      <c r="P9" s="21">
        <v>14169.180327868788</v>
      </c>
      <c r="Q9" s="21">
        <v>11999.999999999993</v>
      </c>
      <c r="R9" s="21">
        <v>13946.925101226712</v>
      </c>
    </row>
    <row r="10" spans="1:18">
      <c r="A10" s="49" t="s">
        <v>19</v>
      </c>
      <c r="B10" s="51"/>
      <c r="C10" s="68">
        <f>6797*1000</f>
        <v>6797000</v>
      </c>
      <c r="E10" s="49" t="s">
        <v>20</v>
      </c>
      <c r="F10" s="60">
        <f>AVERAGE(O7:O8)+AVERAGE(P7:P8)+AVERAGE(Q7:Q8)</f>
        <v>38563.94441393439</v>
      </c>
      <c r="G10" s="51" t="s">
        <v>21</v>
      </c>
    </row>
    <row r="11" spans="1:18">
      <c r="A11" s="49" t="s">
        <v>148</v>
      </c>
      <c r="B11" s="51"/>
      <c r="C11" s="69">
        <v>500000</v>
      </c>
      <c r="E11" s="49" t="s">
        <v>23</v>
      </c>
      <c r="F11" s="51">
        <f>SQRT((2*F10*1500)/100)</f>
        <v>1075.6013817479186</v>
      </c>
      <c r="G11" s="51" t="s">
        <v>24</v>
      </c>
      <c r="H11">
        <f>F11/12</f>
        <v>89.633448478993216</v>
      </c>
      <c r="I11" t="s">
        <v>25</v>
      </c>
    </row>
    <row r="12" spans="1:18">
      <c r="A12" s="49" t="s">
        <v>26</v>
      </c>
      <c r="B12" s="70">
        <v>70</v>
      </c>
      <c r="C12" s="69">
        <f>50000*B12</f>
        <v>3500000</v>
      </c>
      <c r="D12">
        <f>F10/365</f>
        <v>105.65464222995723</v>
      </c>
      <c r="E12" s="49" t="s">
        <v>27</v>
      </c>
      <c r="F12" s="51">
        <f>F10/F11</f>
        <v>35.853379391597286</v>
      </c>
      <c r="G12" s="51" t="s">
        <v>28</v>
      </c>
      <c r="H12">
        <f>F12/12</f>
        <v>2.9877816159664405</v>
      </c>
      <c r="I12" t="s">
        <v>25</v>
      </c>
    </row>
    <row r="13" spans="1:18">
      <c r="A13" s="49" t="s">
        <v>29</v>
      </c>
      <c r="B13" s="51"/>
      <c r="C13" s="70"/>
      <c r="E13" s="49" t="s">
        <v>30</v>
      </c>
      <c r="F13" s="51">
        <f>F12*F11</f>
        <v>38563.94441393439</v>
      </c>
      <c r="G13" s="51"/>
    </row>
    <row r="14" spans="1:18">
      <c r="A14" s="49" t="s">
        <v>26</v>
      </c>
      <c r="B14" s="70">
        <v>0</v>
      </c>
      <c r="C14" s="70"/>
      <c r="E14" s="49"/>
      <c r="F14" s="50">
        <f>1500+F13*1000</f>
        <v>38565444.413934387</v>
      </c>
      <c r="G14" s="51" t="s">
        <v>31</v>
      </c>
    </row>
    <row r="15" spans="1:18">
      <c r="A15" s="49" t="s">
        <v>32</v>
      </c>
      <c r="B15" s="51"/>
      <c r="C15" s="69"/>
      <c r="E15" s="49" t="s">
        <v>33</v>
      </c>
      <c r="F15" s="51">
        <f>100/12</f>
        <v>8.3333333333333339</v>
      </c>
      <c r="G15" s="51" t="s">
        <v>34</v>
      </c>
      <c r="M15" s="45" t="s">
        <v>35</v>
      </c>
    </row>
    <row r="16" spans="1:18">
      <c r="A16" s="49" t="s">
        <v>149</v>
      </c>
      <c r="B16" s="51"/>
      <c r="C16" s="69">
        <v>100000</v>
      </c>
      <c r="E16" s="49"/>
      <c r="F16" s="49"/>
      <c r="G16" s="51"/>
      <c r="M16" s="61"/>
      <c r="N16" s="65" t="s">
        <v>37</v>
      </c>
      <c r="O16" s="65" t="s">
        <v>38</v>
      </c>
      <c r="P16" s="65" t="s">
        <v>39</v>
      </c>
      <c r="Q16" s="65" t="s">
        <v>40</v>
      </c>
      <c r="R16" s="65" t="s">
        <v>41</v>
      </c>
    </row>
    <row r="17" spans="1:20">
      <c r="A17" s="51"/>
      <c r="B17" s="51"/>
      <c r="C17" s="70"/>
      <c r="E17" s="49"/>
      <c r="F17" s="49"/>
      <c r="G17" s="51"/>
      <c r="M17" s="61" t="s">
        <v>42</v>
      </c>
      <c r="N17" s="63">
        <v>75</v>
      </c>
      <c r="O17" s="63">
        <v>100</v>
      </c>
      <c r="P17" s="63">
        <v>100</v>
      </c>
      <c r="Q17" s="63">
        <v>100</v>
      </c>
      <c r="R17" s="63">
        <v>225</v>
      </c>
      <c r="S17">
        <f>15000/200</f>
        <v>75</v>
      </c>
    </row>
    <row r="18" spans="1:20">
      <c r="A18" s="49" t="s">
        <v>43</v>
      </c>
      <c r="B18" s="51"/>
      <c r="C18" s="69"/>
      <c r="M18" s="61" t="s">
        <v>44</v>
      </c>
      <c r="N18" s="63">
        <v>100</v>
      </c>
      <c r="O18" s="63">
        <v>75</v>
      </c>
      <c r="P18" s="63">
        <v>100</v>
      </c>
      <c r="Q18" s="63">
        <v>100</v>
      </c>
      <c r="R18" s="63">
        <v>225</v>
      </c>
    </row>
    <row r="19" spans="1:20">
      <c r="A19" s="51" t="s">
        <v>45</v>
      </c>
      <c r="B19" s="70">
        <v>1000</v>
      </c>
      <c r="C19" s="69">
        <f>1500+B19*1000</f>
        <v>1001500</v>
      </c>
      <c r="M19" s="61" t="s">
        <v>46</v>
      </c>
      <c r="N19" s="63">
        <v>100</v>
      </c>
      <c r="O19" s="63">
        <v>100</v>
      </c>
      <c r="P19" s="63">
        <v>75</v>
      </c>
      <c r="Q19" s="63">
        <v>100</v>
      </c>
      <c r="R19" s="63">
        <v>225</v>
      </c>
    </row>
    <row r="20" spans="1:20">
      <c r="M20" s="61" t="s">
        <v>47</v>
      </c>
      <c r="N20" s="63">
        <v>100</v>
      </c>
      <c r="O20" s="63">
        <v>100</v>
      </c>
      <c r="P20" s="63">
        <v>100</v>
      </c>
      <c r="Q20" s="63">
        <v>75</v>
      </c>
      <c r="R20" s="63">
        <v>225</v>
      </c>
    </row>
    <row r="21" spans="1:20">
      <c r="B21" s="38" t="s">
        <v>48</v>
      </c>
      <c r="C21" s="44">
        <f>C10-SUM(C11:C19)</f>
        <v>1695500</v>
      </c>
      <c r="E21" s="50"/>
      <c r="F21" s="49" t="s">
        <v>49</v>
      </c>
      <c r="G21" s="51"/>
      <c r="J21" t="s">
        <v>50</v>
      </c>
      <c r="M21" s="61" t="s">
        <v>51</v>
      </c>
      <c r="N21" s="63">
        <v>100</v>
      </c>
      <c r="O21" s="63">
        <v>100</v>
      </c>
      <c r="P21" s="63">
        <v>100</v>
      </c>
      <c r="Q21" s="63">
        <v>100</v>
      </c>
      <c r="R21" s="63">
        <v>75</v>
      </c>
    </row>
    <row r="22" spans="1:20">
      <c r="E22" s="49" t="s">
        <v>52</v>
      </c>
      <c r="F22" s="50">
        <f>1500+F13*1000</f>
        <v>38565444.413934387</v>
      </c>
      <c r="G22" s="51" t="s">
        <v>24</v>
      </c>
      <c r="I22" s="51" t="s">
        <v>53</v>
      </c>
      <c r="J22" s="50">
        <f>F13*1450</f>
        <v>55917719.400204867</v>
      </c>
      <c r="K22" s="51" t="s">
        <v>24</v>
      </c>
      <c r="M22" s="64"/>
      <c r="N22" s="64"/>
      <c r="O22" s="64"/>
      <c r="P22" s="64"/>
      <c r="Q22" s="64"/>
      <c r="R22" s="64"/>
      <c r="T22" s="62"/>
    </row>
    <row r="23" spans="1:20">
      <c r="E23" s="49" t="s">
        <v>52</v>
      </c>
      <c r="F23" s="50">
        <f>F22/12</f>
        <v>3213787.0344945323</v>
      </c>
      <c r="G23" s="51" t="s">
        <v>54</v>
      </c>
      <c r="I23" s="51" t="s">
        <v>53</v>
      </c>
      <c r="J23" s="50">
        <f>J22/12</f>
        <v>4659809.9500170723</v>
      </c>
      <c r="K23" s="51" t="s">
        <v>54</v>
      </c>
      <c r="M23" s="61"/>
      <c r="N23" s="61" t="s">
        <v>55</v>
      </c>
      <c r="O23" s="61" t="s">
        <v>56</v>
      </c>
      <c r="P23" s="61" t="s">
        <v>57</v>
      </c>
      <c r="Q23" s="61" t="s">
        <v>58</v>
      </c>
      <c r="R23" s="61" t="s">
        <v>59</v>
      </c>
      <c r="T23" s="64"/>
    </row>
    <row r="24" spans="1:20">
      <c r="E24" s="49" t="s">
        <v>52</v>
      </c>
      <c r="F24" s="50">
        <f>F23/365</f>
        <v>8804.8959849165276</v>
      </c>
      <c r="G24" s="51" t="s">
        <v>60</v>
      </c>
      <c r="I24" s="51" t="s">
        <v>53</v>
      </c>
      <c r="J24" s="50">
        <f>J22/365</f>
        <v>153199.23123343798</v>
      </c>
      <c r="K24" s="51" t="s">
        <v>61</v>
      </c>
      <c r="M24" s="65" t="s">
        <v>37</v>
      </c>
      <c r="N24" s="63">
        <v>150</v>
      </c>
      <c r="O24" s="63">
        <v>200</v>
      </c>
      <c r="P24" s="63">
        <v>200</v>
      </c>
      <c r="Q24" s="63">
        <v>200</v>
      </c>
      <c r="R24" s="63">
        <v>400</v>
      </c>
      <c r="T24" s="64"/>
    </row>
    <row r="25" spans="1:20">
      <c r="A25" s="45" t="s">
        <v>62</v>
      </c>
      <c r="B25" s="71">
        <v>0.209418110154548</v>
      </c>
      <c r="C25" t="s">
        <v>150</v>
      </c>
      <c r="D25" s="3"/>
      <c r="I25" s="3"/>
      <c r="M25" s="65" t="s">
        <v>38</v>
      </c>
      <c r="N25" s="63">
        <v>200</v>
      </c>
      <c r="O25" s="63">
        <v>150</v>
      </c>
      <c r="P25" s="63">
        <v>200</v>
      </c>
      <c r="Q25" s="63">
        <v>200</v>
      </c>
      <c r="R25" s="63">
        <v>400</v>
      </c>
      <c r="T25" s="64"/>
    </row>
    <row r="26" spans="1:20">
      <c r="M26" s="65" t="s">
        <v>39</v>
      </c>
      <c r="N26" s="63">
        <v>200</v>
      </c>
      <c r="O26" s="63">
        <v>200</v>
      </c>
      <c r="P26" s="63">
        <v>150</v>
      </c>
      <c r="Q26" s="63">
        <v>200</v>
      </c>
      <c r="R26" s="63">
        <v>400</v>
      </c>
      <c r="T26" s="64"/>
    </row>
    <row r="27" spans="1:20">
      <c r="D27" s="3"/>
      <c r="M27" s="65" t="s">
        <v>40</v>
      </c>
      <c r="N27" s="63">
        <v>200</v>
      </c>
      <c r="O27" s="63">
        <v>200</v>
      </c>
      <c r="P27" s="63">
        <v>200</v>
      </c>
      <c r="Q27" s="63">
        <v>150</v>
      </c>
      <c r="R27" s="63">
        <v>400</v>
      </c>
      <c r="T27" s="64"/>
    </row>
    <row r="28" spans="1:20">
      <c r="M28" s="65" t="s">
        <v>41</v>
      </c>
      <c r="N28" s="63">
        <v>200</v>
      </c>
      <c r="O28" s="63">
        <v>200</v>
      </c>
      <c r="P28" s="63">
        <v>200</v>
      </c>
      <c r="Q28" s="63">
        <v>200</v>
      </c>
      <c r="R28" s="63">
        <v>150</v>
      </c>
      <c r="T28" s="64"/>
    </row>
    <row r="29" spans="1:20">
      <c r="D29" s="3"/>
      <c r="I29" s="3"/>
    </row>
    <row r="30" spans="1:20">
      <c r="M30" s="66" t="s">
        <v>65</v>
      </c>
    </row>
    <row r="31" spans="1:20">
      <c r="M31" s="66" t="s">
        <v>66</v>
      </c>
    </row>
    <row r="32" spans="1:20">
      <c r="C32" s="45"/>
      <c r="D32" s="45"/>
      <c r="E32" s="45"/>
      <c r="F32" s="45"/>
      <c r="G32" s="45"/>
      <c r="H32" s="45"/>
      <c r="I32" s="45"/>
    </row>
    <row r="33" spans="2:16">
      <c r="C33" s="54" t="s">
        <v>67</v>
      </c>
      <c r="D33" s="53" t="s">
        <v>68</v>
      </c>
      <c r="E33" s="53" t="s">
        <v>69</v>
      </c>
      <c r="F33" s="53" t="s">
        <v>70</v>
      </c>
      <c r="G33" s="53" t="s">
        <v>71</v>
      </c>
      <c r="H33" s="53" t="s">
        <v>72</v>
      </c>
      <c r="I33" s="53" t="s">
        <v>73</v>
      </c>
      <c r="M33" t="s">
        <v>74</v>
      </c>
    </row>
    <row r="34" spans="2:16">
      <c r="B34" s="52" t="s">
        <v>75</v>
      </c>
      <c r="C34" s="49" t="s">
        <v>76</v>
      </c>
      <c r="D34" s="50"/>
      <c r="E34" s="51"/>
      <c r="F34" s="51"/>
      <c r="G34" s="51"/>
      <c r="H34" s="50">
        <f>C21</f>
        <v>1695500</v>
      </c>
      <c r="I34" s="51"/>
      <c r="M34" t="s">
        <v>77</v>
      </c>
      <c r="N34" s="46">
        <f>AVERAGE(O7:O8)/F10</f>
        <v>0.6607040497857759</v>
      </c>
    </row>
    <row r="35" spans="2:16">
      <c r="B35" s="91" t="s">
        <v>78</v>
      </c>
      <c r="C35" s="49" t="s">
        <v>79</v>
      </c>
      <c r="D35" s="50">
        <f t="shared" ref="D35:D58" si="0">$J$23</f>
        <v>4659809.9500170723</v>
      </c>
      <c r="E35" s="50">
        <f t="shared" ref="E35:E58" si="1">$F$23</f>
        <v>3213787.0344945323</v>
      </c>
      <c r="F35" s="50">
        <f t="shared" ref="F35:F58" si="2">$F$11/2*$F$15</f>
        <v>4481.6724239496607</v>
      </c>
      <c r="G35" s="51">
        <f t="shared" ref="G35:G58" si="3">$F$12*$O$39/12</f>
        <v>722.93797371354538</v>
      </c>
      <c r="H35" s="50">
        <f>H34+D35-E35-F35-G35</f>
        <v>3136318.305124877</v>
      </c>
      <c r="I35" s="50">
        <f>H35*0.7974%</f>
        <v>25009.002165065769</v>
      </c>
      <c r="M35" t="s">
        <v>80</v>
      </c>
      <c r="N35" s="46">
        <f>AVERAGE(P7:P8)/F10</f>
        <v>0.18371020577901528</v>
      </c>
    </row>
    <row r="36" spans="2:16">
      <c r="B36" s="91"/>
      <c r="C36" s="49" t="s">
        <v>81</v>
      </c>
      <c r="D36" s="50">
        <f t="shared" si="0"/>
        <v>4659809.9500170723</v>
      </c>
      <c r="E36" s="50">
        <f t="shared" si="1"/>
        <v>3213787.0344945323</v>
      </c>
      <c r="F36" s="50">
        <f t="shared" si="2"/>
        <v>4481.6724239496607</v>
      </c>
      <c r="G36" s="51">
        <f t="shared" si="3"/>
        <v>722.93797371354538</v>
      </c>
      <c r="H36" s="50">
        <f t="shared" ref="H36:H58" si="4">H35+D36-E36-F36-G36+I35</f>
        <v>4602145.6124148201</v>
      </c>
      <c r="I36" s="50">
        <f>H36*0.7974%</f>
        <v>36697.509113395776</v>
      </c>
      <c r="M36" t="s">
        <v>82</v>
      </c>
      <c r="N36" s="46">
        <f>AVERAGE(Q7:Q8)/F10</f>
        <v>0.15558574443520887</v>
      </c>
    </row>
    <row r="37" spans="2:16">
      <c r="B37" s="91"/>
      <c r="C37" s="49" t="s">
        <v>83</v>
      </c>
      <c r="D37" s="50">
        <f t="shared" si="0"/>
        <v>4659809.9500170723</v>
      </c>
      <c r="E37" s="50">
        <f t="shared" si="1"/>
        <v>3213787.0344945323</v>
      </c>
      <c r="F37" s="50">
        <f t="shared" si="2"/>
        <v>4481.6724239496607</v>
      </c>
      <c r="G37" s="51">
        <f t="shared" si="3"/>
        <v>722.93797371354538</v>
      </c>
      <c r="H37" s="50">
        <f t="shared" si="4"/>
        <v>6079661.4266530927</v>
      </c>
      <c r="I37" s="50">
        <f t="shared" ref="I37:I57" si="5">H37*0.7974%</f>
        <v>48479.220216131762</v>
      </c>
    </row>
    <row r="38" spans="2:16">
      <c r="B38" s="91"/>
      <c r="C38" s="49" t="s">
        <v>84</v>
      </c>
      <c r="D38" s="50">
        <f t="shared" si="0"/>
        <v>4659809.9500170723</v>
      </c>
      <c r="E38" s="50">
        <f t="shared" si="1"/>
        <v>3213787.0344945323</v>
      </c>
      <c r="F38" s="50">
        <f t="shared" si="2"/>
        <v>4481.6724239496607</v>
      </c>
      <c r="G38" s="51">
        <f t="shared" si="3"/>
        <v>722.93797371354538</v>
      </c>
      <c r="H38" s="50">
        <f t="shared" si="4"/>
        <v>7568958.9519941015</v>
      </c>
      <c r="I38" s="50">
        <f t="shared" si="5"/>
        <v>60354.878683200965</v>
      </c>
    </row>
    <row r="39" spans="2:16">
      <c r="B39" s="91"/>
      <c r="C39" s="49" t="s">
        <v>85</v>
      </c>
      <c r="D39" s="50">
        <f t="shared" si="0"/>
        <v>4659809.9500170723</v>
      </c>
      <c r="E39" s="50">
        <f t="shared" si="1"/>
        <v>3213787.0344945323</v>
      </c>
      <c r="F39" s="50">
        <f t="shared" si="2"/>
        <v>4481.6724239496607</v>
      </c>
      <c r="G39" s="51">
        <f t="shared" si="3"/>
        <v>722.93797371354538</v>
      </c>
      <c r="H39" s="50">
        <f t="shared" si="4"/>
        <v>9070132.1358021796</v>
      </c>
      <c r="I39" s="50">
        <f t="shared" si="5"/>
        <v>72325.233650886585</v>
      </c>
      <c r="M39" t="s">
        <v>86</v>
      </c>
      <c r="N39">
        <f>O18+O25</f>
        <v>225</v>
      </c>
      <c r="O39" s="67">
        <f>N39*N34+N40*N35+N41*N36</f>
        <v>241.96479751071121</v>
      </c>
      <c r="P39" t="s">
        <v>87</v>
      </c>
    </row>
    <row r="40" spans="2:16">
      <c r="B40" s="91"/>
      <c r="C40" s="49" t="s">
        <v>88</v>
      </c>
      <c r="D40" s="50">
        <f t="shared" si="0"/>
        <v>4659809.9500170723</v>
      </c>
      <c r="E40" s="50">
        <f t="shared" si="1"/>
        <v>3213787.0344945323</v>
      </c>
      <c r="F40" s="50">
        <f t="shared" si="2"/>
        <v>4481.6724239496607</v>
      </c>
      <c r="G40" s="51">
        <f t="shared" si="3"/>
        <v>722.93797371354538</v>
      </c>
      <c r="H40" s="50">
        <f t="shared" si="4"/>
        <v>10583275.674577944</v>
      </c>
      <c r="I40" s="50">
        <f t="shared" si="5"/>
        <v>84391.040229084523</v>
      </c>
      <c r="M40" t="s">
        <v>89</v>
      </c>
      <c r="N40">
        <f>O18+P25</f>
        <v>275</v>
      </c>
      <c r="O40" s="67"/>
    </row>
    <row r="41" spans="2:16">
      <c r="B41" s="91"/>
      <c r="C41" s="49" t="s">
        <v>90</v>
      </c>
      <c r="D41" s="50">
        <f t="shared" si="0"/>
        <v>4659809.9500170723</v>
      </c>
      <c r="E41" s="50">
        <f t="shared" si="1"/>
        <v>3213787.0344945323</v>
      </c>
      <c r="F41" s="50">
        <f t="shared" si="2"/>
        <v>4481.6724239496607</v>
      </c>
      <c r="G41" s="51">
        <f t="shared" si="3"/>
        <v>722.93797371354538</v>
      </c>
      <c r="H41" s="50">
        <f t="shared" si="4"/>
        <v>12108485.019931905</v>
      </c>
      <c r="I41" s="50">
        <f t="shared" si="5"/>
        <v>96553.059548937017</v>
      </c>
      <c r="M41" t="s">
        <v>91</v>
      </c>
      <c r="N41">
        <f>O18+Q25</f>
        <v>275</v>
      </c>
      <c r="O41" s="67"/>
    </row>
    <row r="42" spans="2:16">
      <c r="B42" s="91"/>
      <c r="C42" s="49" t="s">
        <v>92</v>
      </c>
      <c r="D42" s="50">
        <f t="shared" si="0"/>
        <v>4659809.9500170723</v>
      </c>
      <c r="E42" s="50">
        <f t="shared" si="1"/>
        <v>3213787.0344945323</v>
      </c>
      <c r="F42" s="50">
        <f t="shared" si="2"/>
        <v>4481.6724239496607</v>
      </c>
      <c r="G42" s="51">
        <f t="shared" si="3"/>
        <v>722.93797371354538</v>
      </c>
      <c r="H42" s="50">
        <f t="shared" si="4"/>
        <v>13645856.384605719</v>
      </c>
      <c r="I42" s="50">
        <f t="shared" si="5"/>
        <v>108812.05881084601</v>
      </c>
      <c r="J42" s="3"/>
    </row>
    <row r="43" spans="2:16">
      <c r="B43" s="91"/>
      <c r="C43" s="49" t="s">
        <v>93</v>
      </c>
      <c r="D43" s="50">
        <f t="shared" si="0"/>
        <v>4659809.9500170723</v>
      </c>
      <c r="E43" s="50">
        <f t="shared" si="1"/>
        <v>3213787.0344945323</v>
      </c>
      <c r="F43" s="50">
        <f t="shared" si="2"/>
        <v>4481.6724239496607</v>
      </c>
      <c r="G43" s="51">
        <f t="shared" si="3"/>
        <v>722.93797371354538</v>
      </c>
      <c r="H43" s="50">
        <f t="shared" si="4"/>
        <v>15195486.748541445</v>
      </c>
      <c r="I43" s="50">
        <f t="shared" si="5"/>
        <v>121168.81133286947</v>
      </c>
    </row>
    <row r="44" spans="2:16">
      <c r="B44" s="91"/>
      <c r="C44" s="49" t="s">
        <v>94</v>
      </c>
      <c r="D44" s="50">
        <f t="shared" si="0"/>
        <v>4659809.9500170723</v>
      </c>
      <c r="E44" s="50">
        <f t="shared" si="1"/>
        <v>3213787.0344945323</v>
      </c>
      <c r="F44" s="50">
        <f t="shared" si="2"/>
        <v>4481.6724239496607</v>
      </c>
      <c r="G44" s="51">
        <f t="shared" si="3"/>
        <v>722.93797371354538</v>
      </c>
      <c r="H44" s="50">
        <f t="shared" si="4"/>
        <v>16757473.864999192</v>
      </c>
      <c r="I44" s="50">
        <f t="shared" si="5"/>
        <v>133624.09659950357</v>
      </c>
    </row>
    <row r="45" spans="2:16">
      <c r="B45" s="91"/>
      <c r="C45" s="49" t="s">
        <v>95</v>
      </c>
      <c r="D45" s="50">
        <f t="shared" si="0"/>
        <v>4659809.9500170723</v>
      </c>
      <c r="E45" s="50">
        <f t="shared" si="1"/>
        <v>3213787.0344945323</v>
      </c>
      <c r="F45" s="50">
        <f t="shared" si="2"/>
        <v>4481.6724239496607</v>
      </c>
      <c r="G45" s="51">
        <f t="shared" si="3"/>
        <v>722.93797371354538</v>
      </c>
      <c r="H45" s="50">
        <f t="shared" si="4"/>
        <v>18331916.266723566</v>
      </c>
      <c r="I45" s="50">
        <f t="shared" si="5"/>
        <v>146178.70031085372</v>
      </c>
    </row>
    <row r="46" spans="2:16">
      <c r="B46" s="91"/>
      <c r="C46" s="49" t="s">
        <v>96</v>
      </c>
      <c r="D46" s="50">
        <f t="shared" si="0"/>
        <v>4659809.9500170723</v>
      </c>
      <c r="E46" s="50">
        <f t="shared" si="1"/>
        <v>3213787.0344945323</v>
      </c>
      <c r="F46" s="50">
        <f t="shared" si="2"/>
        <v>4481.6724239496607</v>
      </c>
      <c r="G46" s="51">
        <f t="shared" si="3"/>
        <v>722.93797371354538</v>
      </c>
      <c r="H46" s="50">
        <f t="shared" si="4"/>
        <v>19918913.27215929</v>
      </c>
      <c r="I46" s="50">
        <f t="shared" si="5"/>
        <v>158833.41443219819</v>
      </c>
    </row>
    <row r="47" spans="2:16">
      <c r="B47" s="91" t="s">
        <v>97</v>
      </c>
      <c r="C47" s="55" t="s">
        <v>79</v>
      </c>
      <c r="D47" s="56">
        <f t="shared" si="0"/>
        <v>4659809.9500170723</v>
      </c>
      <c r="E47" s="56">
        <f t="shared" si="1"/>
        <v>3213787.0344945323</v>
      </c>
      <c r="F47" s="56">
        <f t="shared" si="2"/>
        <v>4481.6724239496607</v>
      </c>
      <c r="G47" s="51">
        <f t="shared" si="3"/>
        <v>722.93797371354538</v>
      </c>
      <c r="H47" s="56">
        <f t="shared" si="4"/>
        <v>21518564.991716363</v>
      </c>
      <c r="I47" s="56">
        <f t="shared" si="5"/>
        <v>171589.03724394628</v>
      </c>
    </row>
    <row r="48" spans="2:16">
      <c r="B48" s="91"/>
      <c r="C48" s="55" t="s">
        <v>81</v>
      </c>
      <c r="D48" s="56">
        <f t="shared" si="0"/>
        <v>4659809.9500170723</v>
      </c>
      <c r="E48" s="56">
        <f t="shared" si="1"/>
        <v>3213787.0344945323</v>
      </c>
      <c r="F48" s="56">
        <f t="shared" si="2"/>
        <v>4481.6724239496607</v>
      </c>
      <c r="G48" s="51">
        <f t="shared" si="3"/>
        <v>722.93797371354538</v>
      </c>
      <c r="H48" s="56">
        <f t="shared" si="4"/>
        <v>23130972.334085181</v>
      </c>
      <c r="I48" s="56">
        <f t="shared" si="5"/>
        <v>184446.37339199524</v>
      </c>
    </row>
    <row r="49" spans="1:15">
      <c r="B49" s="91"/>
      <c r="C49" s="55" t="s">
        <v>83</v>
      </c>
      <c r="D49" s="56">
        <f t="shared" si="0"/>
        <v>4659809.9500170723</v>
      </c>
      <c r="E49" s="56">
        <f t="shared" si="1"/>
        <v>3213787.0344945323</v>
      </c>
      <c r="F49" s="56">
        <f t="shared" si="2"/>
        <v>4481.6724239496607</v>
      </c>
      <c r="G49" s="51">
        <f t="shared" si="3"/>
        <v>722.93797371354538</v>
      </c>
      <c r="H49" s="56">
        <f t="shared" si="4"/>
        <v>24756237.01260205</v>
      </c>
      <c r="I49" s="56">
        <f t="shared" si="5"/>
        <v>197406.23393848876</v>
      </c>
    </row>
    <row r="50" spans="1:15">
      <c r="B50" s="91"/>
      <c r="C50" s="55" t="s">
        <v>84</v>
      </c>
      <c r="D50" s="56">
        <f t="shared" si="0"/>
        <v>4659809.9500170723</v>
      </c>
      <c r="E50" s="56">
        <f t="shared" si="1"/>
        <v>3213787.0344945323</v>
      </c>
      <c r="F50" s="56">
        <f t="shared" si="2"/>
        <v>4481.6724239496607</v>
      </c>
      <c r="G50" s="51">
        <f t="shared" si="3"/>
        <v>722.93797371354538</v>
      </c>
      <c r="H50" s="56">
        <f t="shared" si="4"/>
        <v>26394461.551665414</v>
      </c>
      <c r="I50" s="56">
        <f t="shared" si="5"/>
        <v>210469.43641298002</v>
      </c>
    </row>
    <row r="51" spans="1:15">
      <c r="B51" s="91"/>
      <c r="C51" s="55" t="s">
        <v>85</v>
      </c>
      <c r="D51" s="56">
        <f t="shared" si="0"/>
        <v>4659809.9500170723</v>
      </c>
      <c r="E51" s="56">
        <f t="shared" si="1"/>
        <v>3213787.0344945323</v>
      </c>
      <c r="F51" s="56">
        <f t="shared" si="2"/>
        <v>4481.6724239496607</v>
      </c>
      <c r="G51" s="51">
        <f t="shared" si="3"/>
        <v>722.93797371354538</v>
      </c>
      <c r="H51" s="56">
        <f t="shared" si="4"/>
        <v>28045749.293203268</v>
      </c>
      <c r="I51" s="56">
        <f t="shared" si="5"/>
        <v>223636.80486400286</v>
      </c>
    </row>
    <row r="52" spans="1:15">
      <c r="B52" s="91"/>
      <c r="C52" s="55" t="s">
        <v>88</v>
      </c>
      <c r="D52" s="56">
        <f t="shared" si="0"/>
        <v>4659809.9500170723</v>
      </c>
      <c r="E52" s="56">
        <f t="shared" si="1"/>
        <v>3213787.0344945323</v>
      </c>
      <c r="F52" s="56">
        <f t="shared" si="2"/>
        <v>4481.6724239496607</v>
      </c>
      <c r="G52" s="51">
        <f t="shared" si="3"/>
        <v>722.93797371354538</v>
      </c>
      <c r="H52" s="56">
        <f t="shared" si="4"/>
        <v>29710204.403192148</v>
      </c>
      <c r="I52" s="56">
        <f t="shared" si="5"/>
        <v>236909.1699110542</v>
      </c>
    </row>
    <row r="53" spans="1:15">
      <c r="B53" s="91"/>
      <c r="C53" s="55" t="s">
        <v>90</v>
      </c>
      <c r="D53" s="56">
        <f t="shared" si="0"/>
        <v>4659809.9500170723</v>
      </c>
      <c r="E53" s="56">
        <f t="shared" si="1"/>
        <v>3213787.0344945323</v>
      </c>
      <c r="F53" s="56">
        <f t="shared" si="2"/>
        <v>4481.6724239496607</v>
      </c>
      <c r="G53" s="51">
        <f t="shared" si="3"/>
        <v>722.93797371354538</v>
      </c>
      <c r="H53" s="56">
        <f t="shared" si="4"/>
        <v>31387931.878228072</v>
      </c>
      <c r="I53" s="56">
        <f t="shared" si="5"/>
        <v>250287.36879699066</v>
      </c>
      <c r="K53" s="45" t="s">
        <v>98</v>
      </c>
      <c r="L53" s="3">
        <f>H58</f>
        <v>39979388.592334211</v>
      </c>
    </row>
    <row r="54" spans="1:15">
      <c r="B54" s="91"/>
      <c r="C54" s="55" t="s">
        <v>92</v>
      </c>
      <c r="D54" s="56">
        <f t="shared" si="0"/>
        <v>4659809.9500170723</v>
      </c>
      <c r="E54" s="56">
        <f t="shared" si="1"/>
        <v>3213787.0344945323</v>
      </c>
      <c r="F54" s="56">
        <f t="shared" si="2"/>
        <v>4481.6724239496607</v>
      </c>
      <c r="G54" s="51">
        <f t="shared" si="3"/>
        <v>722.93797371354538</v>
      </c>
      <c r="H54" s="56">
        <f t="shared" si="4"/>
        <v>33079037.552149937</v>
      </c>
      <c r="I54" s="56">
        <f t="shared" si="5"/>
        <v>263772.24544084357</v>
      </c>
      <c r="K54" s="45" t="s">
        <v>99</v>
      </c>
      <c r="L54" s="3">
        <f>B25*SUM(D35:D58)</f>
        <v>23420366.241886403</v>
      </c>
      <c r="N54" t="s">
        <v>100</v>
      </c>
    </row>
    <row r="55" spans="1:15">
      <c r="B55" s="91"/>
      <c r="C55" s="55" t="s">
        <v>93</v>
      </c>
      <c r="D55" s="56">
        <f t="shared" si="0"/>
        <v>4659809.9500170723</v>
      </c>
      <c r="E55" s="56">
        <f t="shared" si="1"/>
        <v>3213787.0344945323</v>
      </c>
      <c r="F55" s="56">
        <f t="shared" si="2"/>
        <v>4481.6724239496607</v>
      </c>
      <c r="G55" s="51">
        <f t="shared" si="3"/>
        <v>722.93797371354538</v>
      </c>
      <c r="H55" s="56">
        <f t="shared" si="4"/>
        <v>34783628.102715649</v>
      </c>
      <c r="I55" s="56">
        <f t="shared" si="5"/>
        <v>277364.65049105458</v>
      </c>
      <c r="K55" s="39" t="s">
        <v>101</v>
      </c>
      <c r="L55" s="44">
        <f>L53-L54</f>
        <v>16559022.350447807</v>
      </c>
      <c r="M55" s="3">
        <f>L54/L53</f>
        <v>0.58581101578869832</v>
      </c>
    </row>
    <row r="56" spans="1:15">
      <c r="B56" s="91"/>
      <c r="C56" s="55" t="s">
        <v>94</v>
      </c>
      <c r="D56" s="56">
        <f t="shared" si="0"/>
        <v>4659809.9500170723</v>
      </c>
      <c r="E56" s="56">
        <f t="shared" si="1"/>
        <v>3213787.0344945323</v>
      </c>
      <c r="F56" s="56">
        <f t="shared" si="2"/>
        <v>4481.6724239496607</v>
      </c>
      <c r="G56" s="51">
        <f t="shared" si="3"/>
        <v>722.93797371354538</v>
      </c>
      <c r="H56" s="56">
        <f t="shared" si="4"/>
        <v>36501811.058331572</v>
      </c>
      <c r="I56" s="56">
        <f t="shared" si="5"/>
        <v>291065.44137913594</v>
      </c>
    </row>
    <row r="57" spans="1:15">
      <c r="B57" s="91"/>
      <c r="C57" s="55" t="s">
        <v>95</v>
      </c>
      <c r="D57" s="56">
        <f t="shared" si="0"/>
        <v>4659809.9500170723</v>
      </c>
      <c r="E57" s="56">
        <f t="shared" si="1"/>
        <v>3213787.0344945323</v>
      </c>
      <c r="F57" s="56">
        <f t="shared" si="2"/>
        <v>4481.6724239496607</v>
      </c>
      <c r="G57" s="51">
        <f t="shared" si="3"/>
        <v>722.93797371354538</v>
      </c>
      <c r="H57" s="56">
        <f t="shared" si="4"/>
        <v>38233694.80483558</v>
      </c>
      <c r="I57" s="56">
        <f t="shared" si="5"/>
        <v>304875.48237375892</v>
      </c>
    </row>
    <row r="58" spans="1:15">
      <c r="B58" s="91"/>
      <c r="C58" s="55" t="s">
        <v>96</v>
      </c>
      <c r="D58" s="56">
        <f t="shared" si="0"/>
        <v>4659809.9500170723</v>
      </c>
      <c r="E58" s="56">
        <f t="shared" si="1"/>
        <v>3213787.0344945323</v>
      </c>
      <c r="F58" s="56">
        <f t="shared" si="2"/>
        <v>4481.6724239496607</v>
      </c>
      <c r="G58" s="51">
        <f t="shared" si="3"/>
        <v>722.93797371354538</v>
      </c>
      <c r="H58" s="56">
        <f t="shared" si="4"/>
        <v>39979388.592334211</v>
      </c>
      <c r="I58" s="56"/>
    </row>
    <row r="60" spans="1:15">
      <c r="E60" s="3"/>
    </row>
    <row r="63" spans="1:15" ht="21">
      <c r="A63" s="80" t="s">
        <v>151</v>
      </c>
    </row>
    <row r="64" spans="1:15" ht="30">
      <c r="C64" s="45" t="s">
        <v>102</v>
      </c>
      <c r="J64" s="34" t="s">
        <v>6</v>
      </c>
      <c r="K64" s="34" t="s">
        <v>7</v>
      </c>
      <c r="L64" s="21" t="s">
        <v>8</v>
      </c>
      <c r="M64" s="21" t="s">
        <v>9</v>
      </c>
      <c r="N64" s="21" t="s">
        <v>10</v>
      </c>
      <c r="O64" s="21" t="s">
        <v>11</v>
      </c>
    </row>
    <row r="65" spans="3:15">
      <c r="J65" s="22" t="s">
        <v>12</v>
      </c>
      <c r="K65" s="21">
        <v>12974</v>
      </c>
      <c r="L65" s="21">
        <v>15307.6255</v>
      </c>
      <c r="M65" s="21">
        <v>7084.5901639343938</v>
      </c>
      <c r="N65" s="21">
        <v>5999.9999999999964</v>
      </c>
      <c r="O65" s="21">
        <v>6912.6988347453353</v>
      </c>
    </row>
    <row r="66" spans="3:15">
      <c r="C66" s="51" t="s">
        <v>152</v>
      </c>
      <c r="D66" s="60">
        <f>70*365</f>
        <v>25550</v>
      </c>
      <c r="E66" s="51" t="s">
        <v>24</v>
      </c>
      <c r="J66" s="22" t="s">
        <v>15</v>
      </c>
      <c r="K66" s="21">
        <v>12641</v>
      </c>
      <c r="L66" s="21">
        <v>35651.082999999999</v>
      </c>
      <c r="M66" s="21">
        <v>7084.5901639343938</v>
      </c>
      <c r="N66" s="21">
        <v>5999.9999999999964</v>
      </c>
      <c r="O66" s="21">
        <v>7034.226266481377</v>
      </c>
    </row>
    <row r="67" spans="3:15">
      <c r="J67" s="22" t="s">
        <v>18</v>
      </c>
      <c r="K67" s="21">
        <v>25615</v>
      </c>
      <c r="L67" s="21">
        <v>50958.708500000001</v>
      </c>
      <c r="M67" s="21">
        <v>14169.180327868788</v>
      </c>
      <c r="N67" s="21">
        <v>11999.999999999993</v>
      </c>
      <c r="O67" s="21">
        <v>13946.925101226712</v>
      </c>
    </row>
    <row r="70" spans="3:15">
      <c r="C70" s="49" t="s">
        <v>105</v>
      </c>
      <c r="D70" s="51">
        <f>D66</f>
        <v>25550</v>
      </c>
    </row>
    <row r="71" spans="3:15">
      <c r="C71" s="49" t="s">
        <v>23</v>
      </c>
      <c r="D71" s="51">
        <f>SQRT((2*D70*1500)/100)</f>
        <v>875.49985722443148</v>
      </c>
      <c r="G71" s="49" t="s">
        <v>107</v>
      </c>
      <c r="H71" s="50">
        <f>D73*1450</f>
        <v>37047500</v>
      </c>
      <c r="O71" s="3"/>
    </row>
    <row r="72" spans="3:15">
      <c r="C72" s="49" t="s">
        <v>108</v>
      </c>
      <c r="D72" s="51">
        <f>D70/D71</f>
        <v>29.183328574147719</v>
      </c>
      <c r="G72" s="49" t="s">
        <v>109</v>
      </c>
      <c r="H72" s="50">
        <f>H71/12</f>
        <v>3087291.6666666665</v>
      </c>
    </row>
    <row r="73" spans="3:15">
      <c r="C73" s="49" t="s">
        <v>110</v>
      </c>
      <c r="D73" s="51">
        <f>D72*D71</f>
        <v>25550</v>
      </c>
      <c r="G73" s="49" t="s">
        <v>111</v>
      </c>
      <c r="H73" s="50">
        <f>H71/365</f>
        <v>101500</v>
      </c>
      <c r="O73" s="3"/>
    </row>
    <row r="74" spans="3:15">
      <c r="C74" s="49" t="s">
        <v>112</v>
      </c>
      <c r="D74" s="51">
        <f>100/12</f>
        <v>8.3333333333333339</v>
      </c>
    </row>
    <row r="80" spans="3:15">
      <c r="C80" s="49" t="s">
        <v>113</v>
      </c>
      <c r="D80" s="50">
        <f>1500+D73*1000</f>
        <v>25551500</v>
      </c>
      <c r="E80" s="51" t="s">
        <v>24</v>
      </c>
      <c r="G80" s="51" t="s">
        <v>114</v>
      </c>
      <c r="H80" s="50">
        <f>H72-D81</f>
        <v>958000</v>
      </c>
      <c r="I80" s="51" t="s">
        <v>115</v>
      </c>
    </row>
    <row r="81" spans="2:19">
      <c r="C81" s="49" t="s">
        <v>113</v>
      </c>
      <c r="D81" s="50">
        <f>D80/12</f>
        <v>2129291.6666666665</v>
      </c>
      <c r="E81" s="51" t="s">
        <v>54</v>
      </c>
      <c r="G81" s="51" t="s">
        <v>114</v>
      </c>
      <c r="H81" s="50">
        <f>H73-D82</f>
        <v>31495.890410958906</v>
      </c>
      <c r="I81" s="51" t="s">
        <v>60</v>
      </c>
      <c r="J81" t="s">
        <v>116</v>
      </c>
    </row>
    <row r="82" spans="2:19">
      <c r="C82" s="49" t="s">
        <v>113</v>
      </c>
      <c r="D82" s="50">
        <f>D80/365</f>
        <v>70004.109589041094</v>
      </c>
      <c r="E82" s="51" t="s">
        <v>60</v>
      </c>
      <c r="M82" s="45" t="s">
        <v>5</v>
      </c>
    </row>
    <row r="83" spans="2:19" ht="30">
      <c r="M83" s="34" t="s">
        <v>6</v>
      </c>
      <c r="N83" s="34" t="s">
        <v>7</v>
      </c>
      <c r="O83" s="21" t="s">
        <v>8</v>
      </c>
      <c r="P83" s="21" t="s">
        <v>9</v>
      </c>
      <c r="Q83" s="21" t="s">
        <v>10</v>
      </c>
      <c r="R83" s="21" t="s">
        <v>11</v>
      </c>
    </row>
    <row r="84" spans="2:19">
      <c r="M84" s="22" t="s">
        <v>12</v>
      </c>
      <c r="N84" s="21">
        <v>12974</v>
      </c>
      <c r="O84" s="21">
        <v>15307.6255</v>
      </c>
      <c r="P84" s="21">
        <v>7084.5901639343938</v>
      </c>
      <c r="Q84" s="21">
        <v>5999.9999999999964</v>
      </c>
      <c r="R84" s="21">
        <v>6912.6988347453353</v>
      </c>
    </row>
    <row r="85" spans="2:19">
      <c r="C85" s="45" t="s">
        <v>117</v>
      </c>
      <c r="D85" s="45"/>
      <c r="E85" s="45"/>
      <c r="F85" s="45"/>
      <c r="G85" s="45"/>
      <c r="H85" s="45"/>
      <c r="I85" s="45"/>
      <c r="M85" s="22" t="s">
        <v>15</v>
      </c>
      <c r="N85" s="21">
        <v>12641</v>
      </c>
      <c r="O85" s="21">
        <v>35651.082999999999</v>
      </c>
      <c r="P85" s="21">
        <v>7084.5901639343938</v>
      </c>
      <c r="Q85" s="21">
        <v>5999.9999999999964</v>
      </c>
      <c r="R85" s="21">
        <v>7034.226266481377</v>
      </c>
    </row>
    <row r="86" spans="2:19">
      <c r="B86" s="52"/>
      <c r="C86" s="53" t="s">
        <v>67</v>
      </c>
      <c r="D86" s="53" t="s">
        <v>68</v>
      </c>
      <c r="E86" s="53" t="s">
        <v>69</v>
      </c>
      <c r="F86" s="53" t="s">
        <v>70</v>
      </c>
      <c r="G86" s="53" t="s">
        <v>71</v>
      </c>
      <c r="H86" s="53" t="s">
        <v>72</v>
      </c>
      <c r="I86" s="53" t="s">
        <v>73</v>
      </c>
      <c r="M86" s="22" t="s">
        <v>18</v>
      </c>
      <c r="N86" s="21">
        <v>25615</v>
      </c>
      <c r="O86" s="21">
        <v>50958.708500000001</v>
      </c>
      <c r="P86" s="21">
        <v>14169.180327868788</v>
      </c>
      <c r="Q86" s="21">
        <v>11999.999999999993</v>
      </c>
      <c r="R86" s="21">
        <v>13946.925101226712</v>
      </c>
    </row>
    <row r="87" spans="2:19">
      <c r="B87" s="52" t="s">
        <v>75</v>
      </c>
      <c r="C87" s="49" t="s">
        <v>76</v>
      </c>
      <c r="D87" s="50"/>
      <c r="E87" s="51"/>
      <c r="F87" s="51"/>
      <c r="G87" s="51"/>
      <c r="H87" s="50">
        <v>0</v>
      </c>
      <c r="I87" s="51"/>
    </row>
    <row r="88" spans="2:19">
      <c r="B88" s="91" t="s">
        <v>78</v>
      </c>
      <c r="C88" s="49" t="s">
        <v>79</v>
      </c>
      <c r="D88" s="50">
        <f t="shared" ref="D88:D111" si="6">$H$72</f>
        <v>3087291.6666666665</v>
      </c>
      <c r="E88" s="50">
        <f t="shared" ref="E88:E111" si="7">$D$81</f>
        <v>2129291.6666666665</v>
      </c>
      <c r="F88" s="50">
        <f t="shared" ref="F88:F111" si="8">$D$71/2*$D$74</f>
        <v>3647.9160717684649</v>
      </c>
      <c r="G88" s="51">
        <f>$O$116*$D$73/12</f>
        <v>417255.37909835979</v>
      </c>
      <c r="H88" s="50">
        <f>(H87+D88-E88-F88-G88)</f>
        <v>537096.70482987165</v>
      </c>
      <c r="I88" s="50">
        <f>H88*0.7974%</f>
        <v>4282.8091243133968</v>
      </c>
    </row>
    <row r="89" spans="2:19">
      <c r="B89" s="91"/>
      <c r="C89" s="49" t="s">
        <v>81</v>
      </c>
      <c r="D89" s="50">
        <f t="shared" si="6"/>
        <v>3087291.6666666665</v>
      </c>
      <c r="E89" s="50">
        <f t="shared" si="7"/>
        <v>2129291.6666666665</v>
      </c>
      <c r="F89" s="50">
        <f t="shared" si="8"/>
        <v>3647.9160717684649</v>
      </c>
      <c r="G89" s="51">
        <f t="shared" ref="G89:G111" si="9">$O$116*$D$73/12</f>
        <v>417255.37909835979</v>
      </c>
      <c r="H89" s="50">
        <f t="shared" ref="H89:H111" si="10">H88+D89-E89-F89-G89+I88</f>
        <v>1078476.2187840568</v>
      </c>
      <c r="I89" s="50">
        <f t="shared" ref="I89:I110" si="11">H89*0.7974%</f>
        <v>8599.7693685840695</v>
      </c>
    </row>
    <row r="90" spans="2:19">
      <c r="B90" s="91"/>
      <c r="C90" s="49" t="s">
        <v>83</v>
      </c>
      <c r="D90" s="50">
        <f t="shared" si="6"/>
        <v>3087291.6666666665</v>
      </c>
      <c r="E90" s="50">
        <f t="shared" si="7"/>
        <v>2129291.6666666665</v>
      </c>
      <c r="F90" s="50">
        <f t="shared" si="8"/>
        <v>3647.9160717684649</v>
      </c>
      <c r="G90" s="51">
        <f t="shared" si="9"/>
        <v>417255.37909835979</v>
      </c>
      <c r="H90" s="50">
        <f t="shared" si="10"/>
        <v>1624172.692982513</v>
      </c>
      <c r="I90" s="50">
        <f t="shared" si="11"/>
        <v>12951.15305384256</v>
      </c>
    </row>
    <row r="91" spans="2:19">
      <c r="B91" s="91"/>
      <c r="C91" s="49" t="s">
        <v>84</v>
      </c>
      <c r="D91" s="50">
        <f t="shared" si="6"/>
        <v>3087291.6666666665</v>
      </c>
      <c r="E91" s="50">
        <f t="shared" si="7"/>
        <v>2129291.6666666665</v>
      </c>
      <c r="F91" s="50">
        <f t="shared" si="8"/>
        <v>3647.9160717684649</v>
      </c>
      <c r="G91" s="51">
        <f t="shared" si="9"/>
        <v>417255.37909835979</v>
      </c>
      <c r="H91" s="50">
        <f t="shared" si="10"/>
        <v>2174220.5508662271</v>
      </c>
      <c r="I91" s="50">
        <f t="shared" si="11"/>
        <v>17337.234672607294</v>
      </c>
    </row>
    <row r="92" spans="2:19">
      <c r="B92" s="91"/>
      <c r="C92" s="49" t="s">
        <v>85</v>
      </c>
      <c r="D92" s="50">
        <f t="shared" si="6"/>
        <v>3087291.6666666665</v>
      </c>
      <c r="E92" s="50">
        <f t="shared" si="7"/>
        <v>2129291.6666666665</v>
      </c>
      <c r="F92" s="50">
        <f t="shared" si="8"/>
        <v>3647.9160717684649</v>
      </c>
      <c r="G92" s="51">
        <f t="shared" si="9"/>
        <v>417255.37909835979</v>
      </c>
      <c r="H92" s="50">
        <f t="shared" si="10"/>
        <v>2728654.4903687062</v>
      </c>
      <c r="I92" s="50">
        <f t="shared" si="11"/>
        <v>21758.290906200062</v>
      </c>
      <c r="M92" s="45" t="s">
        <v>35</v>
      </c>
    </row>
    <row r="93" spans="2:19">
      <c r="B93" s="91"/>
      <c r="C93" s="49" t="s">
        <v>88</v>
      </c>
      <c r="D93" s="50">
        <f t="shared" si="6"/>
        <v>3087291.6666666665</v>
      </c>
      <c r="E93" s="50">
        <f t="shared" si="7"/>
        <v>2129291.6666666665</v>
      </c>
      <c r="F93" s="50">
        <f t="shared" si="8"/>
        <v>3647.9160717684649</v>
      </c>
      <c r="G93" s="51">
        <f t="shared" si="9"/>
        <v>417255.37909835979</v>
      </c>
      <c r="H93" s="50">
        <f t="shared" si="10"/>
        <v>3287509.4861047785</v>
      </c>
      <c r="I93" s="50">
        <f t="shared" si="11"/>
        <v>26214.600642199504</v>
      </c>
      <c r="M93" s="61"/>
      <c r="N93" s="65" t="s">
        <v>37</v>
      </c>
      <c r="O93" s="65" t="s">
        <v>38</v>
      </c>
      <c r="P93" s="65" t="s">
        <v>39</v>
      </c>
      <c r="Q93" s="65" t="s">
        <v>40</v>
      </c>
      <c r="R93" s="65" t="s">
        <v>41</v>
      </c>
    </row>
    <row r="94" spans="2:19">
      <c r="B94" s="91"/>
      <c r="C94" s="49" t="s">
        <v>90</v>
      </c>
      <c r="D94" s="50">
        <f t="shared" si="6"/>
        <v>3087291.6666666665</v>
      </c>
      <c r="E94" s="50">
        <f t="shared" si="7"/>
        <v>2129291.6666666665</v>
      </c>
      <c r="F94" s="50">
        <f t="shared" si="8"/>
        <v>3647.9160717684649</v>
      </c>
      <c r="G94" s="51">
        <f t="shared" si="9"/>
        <v>417255.37909835979</v>
      </c>
      <c r="H94" s="50">
        <f t="shared" si="10"/>
        <v>3850820.7915768498</v>
      </c>
      <c r="I94" s="50">
        <f t="shared" si="11"/>
        <v>30706.444992033801</v>
      </c>
      <c r="M94" s="61" t="s">
        <v>42</v>
      </c>
      <c r="N94" s="63">
        <v>75</v>
      </c>
      <c r="O94" s="63">
        <v>100</v>
      </c>
      <c r="P94" s="63">
        <v>100</v>
      </c>
      <c r="Q94" s="63">
        <v>100</v>
      </c>
      <c r="R94" s="63">
        <v>225</v>
      </c>
      <c r="S94">
        <f>15000/200</f>
        <v>75</v>
      </c>
    </row>
    <row r="95" spans="2:19">
      <c r="B95" s="91"/>
      <c r="C95" s="49" t="s">
        <v>92</v>
      </c>
      <c r="D95" s="50">
        <f t="shared" si="6"/>
        <v>3087291.6666666665</v>
      </c>
      <c r="E95" s="50">
        <f t="shared" si="7"/>
        <v>2129291.6666666665</v>
      </c>
      <c r="F95" s="50">
        <f t="shared" si="8"/>
        <v>3647.9160717684649</v>
      </c>
      <c r="G95" s="51">
        <f t="shared" si="9"/>
        <v>417255.37909835979</v>
      </c>
      <c r="H95" s="50">
        <f t="shared" si="10"/>
        <v>4418623.9413987547</v>
      </c>
      <c r="I95" s="50">
        <f t="shared" si="11"/>
        <v>35234.107308713668</v>
      </c>
      <c r="M95" s="61" t="s">
        <v>44</v>
      </c>
      <c r="N95" s="63">
        <v>100</v>
      </c>
      <c r="O95" s="63">
        <v>75</v>
      </c>
      <c r="P95" s="63">
        <v>100</v>
      </c>
      <c r="Q95" s="63">
        <v>100</v>
      </c>
      <c r="R95" s="63">
        <v>225</v>
      </c>
    </row>
    <row r="96" spans="2:19">
      <c r="B96" s="91"/>
      <c r="C96" s="49" t="s">
        <v>93</v>
      </c>
      <c r="D96" s="50">
        <f t="shared" si="6"/>
        <v>3087291.6666666665</v>
      </c>
      <c r="E96" s="50">
        <f t="shared" si="7"/>
        <v>2129291.6666666665</v>
      </c>
      <c r="F96" s="50">
        <f t="shared" si="8"/>
        <v>3647.9160717684649</v>
      </c>
      <c r="G96" s="51">
        <f t="shared" si="9"/>
        <v>417255.37909835979</v>
      </c>
      <c r="H96" s="50">
        <f t="shared" si="10"/>
        <v>4990954.7535373401</v>
      </c>
      <c r="I96" s="50">
        <f t="shared" si="11"/>
        <v>39797.873204706753</v>
      </c>
      <c r="M96" s="61" t="s">
        <v>46</v>
      </c>
      <c r="N96" s="63">
        <v>100</v>
      </c>
      <c r="O96" s="63">
        <v>100</v>
      </c>
      <c r="P96" s="63">
        <v>75</v>
      </c>
      <c r="Q96" s="63">
        <v>100</v>
      </c>
      <c r="R96" s="63">
        <v>225</v>
      </c>
    </row>
    <row r="97" spans="2:20">
      <c r="B97" s="91"/>
      <c r="C97" s="49" t="s">
        <v>94</v>
      </c>
      <c r="D97" s="50">
        <f t="shared" si="6"/>
        <v>3087291.6666666665</v>
      </c>
      <c r="E97" s="50">
        <f t="shared" si="7"/>
        <v>2129291.6666666665</v>
      </c>
      <c r="F97" s="50">
        <f t="shared" si="8"/>
        <v>3647.9160717684649</v>
      </c>
      <c r="G97" s="51">
        <f t="shared" si="9"/>
        <v>417255.37909835979</v>
      </c>
      <c r="H97" s="50">
        <f t="shared" si="10"/>
        <v>5567849.3315719189</v>
      </c>
      <c r="I97" s="50">
        <f t="shared" si="11"/>
        <v>44398.030569954484</v>
      </c>
      <c r="M97" s="61" t="s">
        <v>47</v>
      </c>
      <c r="N97" s="63">
        <v>100</v>
      </c>
      <c r="O97" s="63">
        <v>100</v>
      </c>
      <c r="P97" s="63">
        <v>100</v>
      </c>
      <c r="Q97" s="63">
        <v>75</v>
      </c>
      <c r="R97" s="63">
        <v>225</v>
      </c>
    </row>
    <row r="98" spans="2:20">
      <c r="B98" s="91"/>
      <c r="C98" s="49" t="s">
        <v>95</v>
      </c>
      <c r="D98" s="50">
        <f t="shared" si="6"/>
        <v>3087291.6666666665</v>
      </c>
      <c r="E98" s="50">
        <f t="shared" si="7"/>
        <v>2129291.6666666665</v>
      </c>
      <c r="F98" s="50">
        <f t="shared" si="8"/>
        <v>3647.9160717684649</v>
      </c>
      <c r="G98" s="51">
        <f t="shared" si="9"/>
        <v>417255.37909835979</v>
      </c>
      <c r="H98" s="50">
        <f t="shared" si="10"/>
        <v>6149344.0669717463</v>
      </c>
      <c r="I98" s="50">
        <f t="shared" si="11"/>
        <v>49034.869590032707</v>
      </c>
      <c r="M98" s="61" t="s">
        <v>51</v>
      </c>
      <c r="N98" s="63">
        <v>100</v>
      </c>
      <c r="O98" s="63">
        <v>100</v>
      </c>
      <c r="P98" s="63">
        <v>100</v>
      </c>
      <c r="Q98" s="63">
        <v>100</v>
      </c>
      <c r="R98" s="63">
        <v>75</v>
      </c>
    </row>
    <row r="99" spans="2:20">
      <c r="B99" s="91"/>
      <c r="C99" s="49" t="s">
        <v>96</v>
      </c>
      <c r="D99" s="50">
        <f t="shared" si="6"/>
        <v>3087291.6666666665</v>
      </c>
      <c r="E99" s="50">
        <f t="shared" si="7"/>
        <v>2129291.6666666665</v>
      </c>
      <c r="F99" s="50">
        <f t="shared" si="8"/>
        <v>3647.9160717684649</v>
      </c>
      <c r="G99" s="51">
        <f t="shared" si="9"/>
        <v>417255.37909835979</v>
      </c>
      <c r="H99" s="50">
        <f t="shared" si="10"/>
        <v>6735475.6413916517</v>
      </c>
      <c r="I99" s="50">
        <f t="shared" si="11"/>
        <v>53708.682764457029</v>
      </c>
      <c r="M99" s="64"/>
      <c r="N99" s="64"/>
      <c r="O99" s="64"/>
      <c r="P99" s="64"/>
      <c r="Q99" s="64"/>
      <c r="R99" s="64"/>
      <c r="T99" s="62"/>
    </row>
    <row r="100" spans="2:20">
      <c r="B100" s="91" t="s">
        <v>97</v>
      </c>
      <c r="C100" s="55" t="s">
        <v>79</v>
      </c>
      <c r="D100" s="56">
        <f t="shared" si="6"/>
        <v>3087291.6666666665</v>
      </c>
      <c r="E100" s="56">
        <f t="shared" si="7"/>
        <v>2129291.6666666665</v>
      </c>
      <c r="F100" s="56">
        <f t="shared" si="8"/>
        <v>3647.9160717684649</v>
      </c>
      <c r="G100" s="51">
        <f t="shared" si="9"/>
        <v>417255.37909835979</v>
      </c>
      <c r="H100" s="56">
        <f t="shared" si="10"/>
        <v>7326281.02898598</v>
      </c>
      <c r="I100" s="56">
        <f t="shared" si="11"/>
        <v>58419.764925134208</v>
      </c>
      <c r="M100" s="61"/>
      <c r="N100" s="61" t="s">
        <v>55</v>
      </c>
      <c r="O100" s="61" t="s">
        <v>56</v>
      </c>
      <c r="P100" s="61" t="s">
        <v>57</v>
      </c>
      <c r="Q100" s="61" t="s">
        <v>58</v>
      </c>
      <c r="R100" s="61" t="s">
        <v>59</v>
      </c>
      <c r="T100" s="64"/>
    </row>
    <row r="101" spans="2:20">
      <c r="B101" s="91"/>
      <c r="C101" s="55" t="s">
        <v>81</v>
      </c>
      <c r="D101" s="56">
        <f t="shared" si="6"/>
        <v>3087291.6666666665</v>
      </c>
      <c r="E101" s="56">
        <f t="shared" si="7"/>
        <v>2129291.6666666665</v>
      </c>
      <c r="F101" s="56">
        <f t="shared" si="8"/>
        <v>3647.9160717684649</v>
      </c>
      <c r="G101" s="51">
        <f t="shared" si="9"/>
        <v>417255.37909835979</v>
      </c>
      <c r="H101" s="56">
        <f t="shared" si="10"/>
        <v>7921797.4987409869</v>
      </c>
      <c r="I101" s="56">
        <f t="shared" si="11"/>
        <v>63168.413254960629</v>
      </c>
      <c r="M101" s="65" t="s">
        <v>37</v>
      </c>
      <c r="N101" s="63">
        <v>150</v>
      </c>
      <c r="O101" s="63">
        <v>200</v>
      </c>
      <c r="P101" s="63">
        <v>200</v>
      </c>
      <c r="Q101" s="63">
        <v>200</v>
      </c>
      <c r="R101" s="63">
        <v>400</v>
      </c>
      <c r="T101" s="64"/>
    </row>
    <row r="102" spans="2:20">
      <c r="B102" s="91"/>
      <c r="C102" s="55" t="s">
        <v>83</v>
      </c>
      <c r="D102" s="56">
        <f t="shared" si="6"/>
        <v>3087291.6666666665</v>
      </c>
      <c r="E102" s="56">
        <f t="shared" si="7"/>
        <v>2129291.6666666665</v>
      </c>
      <c r="F102" s="56">
        <f t="shared" si="8"/>
        <v>3647.9160717684649</v>
      </c>
      <c r="G102" s="51">
        <f t="shared" si="9"/>
        <v>417255.37909835979</v>
      </c>
      <c r="H102" s="56">
        <f t="shared" si="10"/>
        <v>8522062.6168258209</v>
      </c>
      <c r="I102" s="56">
        <f t="shared" si="11"/>
        <v>67954.927306569094</v>
      </c>
      <c r="M102" s="65" t="s">
        <v>38</v>
      </c>
      <c r="N102" s="63">
        <v>200</v>
      </c>
      <c r="O102" s="63">
        <v>150</v>
      </c>
      <c r="P102" s="63">
        <v>200</v>
      </c>
      <c r="Q102" s="63">
        <v>200</v>
      </c>
      <c r="R102" s="63">
        <v>400</v>
      </c>
      <c r="T102" s="64"/>
    </row>
    <row r="103" spans="2:20">
      <c r="B103" s="91"/>
      <c r="C103" s="55" t="s">
        <v>84</v>
      </c>
      <c r="D103" s="56">
        <f t="shared" si="6"/>
        <v>3087291.6666666665</v>
      </c>
      <c r="E103" s="56">
        <f t="shared" si="7"/>
        <v>2129291.6666666665</v>
      </c>
      <c r="F103" s="56">
        <f t="shared" si="8"/>
        <v>3647.9160717684649</v>
      </c>
      <c r="G103" s="51">
        <f t="shared" si="9"/>
        <v>417255.37909835979</v>
      </c>
      <c r="H103" s="56">
        <f t="shared" si="10"/>
        <v>9127114.2489622608</v>
      </c>
      <c r="I103" s="56">
        <f t="shared" si="11"/>
        <v>72779.609021225071</v>
      </c>
      <c r="M103" s="65" t="s">
        <v>39</v>
      </c>
      <c r="N103" s="63">
        <v>200</v>
      </c>
      <c r="O103" s="63">
        <v>200</v>
      </c>
      <c r="P103" s="63">
        <v>150</v>
      </c>
      <c r="Q103" s="63">
        <v>200</v>
      </c>
      <c r="R103" s="63">
        <v>400</v>
      </c>
      <c r="T103" s="64"/>
    </row>
    <row r="104" spans="2:20">
      <c r="B104" s="91"/>
      <c r="C104" s="55" t="s">
        <v>85</v>
      </c>
      <c r="D104" s="56">
        <f t="shared" si="6"/>
        <v>3087291.6666666665</v>
      </c>
      <c r="E104" s="56">
        <f t="shared" si="7"/>
        <v>2129291.6666666665</v>
      </c>
      <c r="F104" s="56">
        <f t="shared" si="8"/>
        <v>3647.9160717684649</v>
      </c>
      <c r="G104" s="51">
        <f t="shared" si="9"/>
        <v>417255.37909835979</v>
      </c>
      <c r="H104" s="56">
        <f t="shared" si="10"/>
        <v>9736990.5628133584</v>
      </c>
      <c r="I104" s="56">
        <f t="shared" si="11"/>
        <v>77642.762747873727</v>
      </c>
      <c r="M104" s="65" t="s">
        <v>40</v>
      </c>
      <c r="N104" s="63">
        <v>200</v>
      </c>
      <c r="O104" s="63">
        <v>200</v>
      </c>
      <c r="P104" s="63">
        <v>200</v>
      </c>
      <c r="Q104" s="63">
        <v>150</v>
      </c>
      <c r="R104" s="63">
        <v>400</v>
      </c>
      <c r="T104" s="64"/>
    </row>
    <row r="105" spans="2:20">
      <c r="B105" s="91"/>
      <c r="C105" s="55" t="s">
        <v>88</v>
      </c>
      <c r="D105" s="56">
        <f t="shared" si="6"/>
        <v>3087291.6666666665</v>
      </c>
      <c r="E105" s="56">
        <f t="shared" si="7"/>
        <v>2129291.6666666665</v>
      </c>
      <c r="F105" s="56">
        <f t="shared" si="8"/>
        <v>3647.9160717684649</v>
      </c>
      <c r="G105" s="51">
        <f t="shared" si="9"/>
        <v>417255.37909835979</v>
      </c>
      <c r="H105" s="56">
        <f t="shared" si="10"/>
        <v>10351730.030391105</v>
      </c>
      <c r="I105" s="56">
        <f t="shared" si="11"/>
        <v>82544.695262338675</v>
      </c>
      <c r="M105" s="65" t="s">
        <v>41</v>
      </c>
      <c r="N105" s="63">
        <v>200</v>
      </c>
      <c r="O105" s="63">
        <v>200</v>
      </c>
      <c r="P105" s="63">
        <v>200</v>
      </c>
      <c r="Q105" s="63">
        <v>200</v>
      </c>
      <c r="R105" s="63">
        <v>150</v>
      </c>
      <c r="T105" s="64"/>
    </row>
    <row r="106" spans="2:20">
      <c r="B106" s="91"/>
      <c r="C106" s="55" t="s">
        <v>90</v>
      </c>
      <c r="D106" s="56">
        <f t="shared" si="6"/>
        <v>3087291.6666666665</v>
      </c>
      <c r="E106" s="56">
        <f t="shared" si="7"/>
        <v>2129291.6666666665</v>
      </c>
      <c r="F106" s="56">
        <f t="shared" si="8"/>
        <v>3647.9160717684649</v>
      </c>
      <c r="G106" s="51">
        <f t="shared" si="9"/>
        <v>417255.37909835979</v>
      </c>
      <c r="H106" s="56">
        <f t="shared" si="10"/>
        <v>10971371.430483315</v>
      </c>
      <c r="I106" s="56">
        <f t="shared" si="11"/>
        <v>87485.715786673958</v>
      </c>
    </row>
    <row r="107" spans="2:20">
      <c r="B107" s="91"/>
      <c r="C107" s="55" t="s">
        <v>92</v>
      </c>
      <c r="D107" s="56">
        <f t="shared" si="6"/>
        <v>3087291.6666666665</v>
      </c>
      <c r="E107" s="56">
        <f t="shared" si="7"/>
        <v>2129291.6666666665</v>
      </c>
      <c r="F107" s="56">
        <f t="shared" si="8"/>
        <v>3647.9160717684649</v>
      </c>
      <c r="G107" s="51">
        <f t="shared" si="9"/>
        <v>417255.37909835979</v>
      </c>
      <c r="H107" s="56">
        <f t="shared" si="10"/>
        <v>11595953.85109986</v>
      </c>
      <c r="I107" s="56">
        <f t="shared" si="11"/>
        <v>92466.136008670292</v>
      </c>
      <c r="M107" s="66" t="s">
        <v>65</v>
      </c>
    </row>
    <row r="108" spans="2:20">
      <c r="B108" s="91"/>
      <c r="C108" s="55" t="s">
        <v>93</v>
      </c>
      <c r="D108" s="56">
        <f t="shared" si="6"/>
        <v>3087291.6666666665</v>
      </c>
      <c r="E108" s="56">
        <f t="shared" si="7"/>
        <v>2129291.6666666665</v>
      </c>
      <c r="F108" s="56">
        <f t="shared" si="8"/>
        <v>3647.9160717684649</v>
      </c>
      <c r="G108" s="51">
        <f t="shared" si="9"/>
        <v>417255.37909835979</v>
      </c>
      <c r="H108" s="56">
        <f t="shared" si="10"/>
        <v>12225516.691938402</v>
      </c>
      <c r="I108" s="56">
        <f t="shared" si="11"/>
        <v>97486.270101516828</v>
      </c>
      <c r="M108" s="66" t="s">
        <v>66</v>
      </c>
    </row>
    <row r="109" spans="2:20">
      <c r="B109" s="91"/>
      <c r="C109" s="55" t="s">
        <v>94</v>
      </c>
      <c r="D109" s="56">
        <f t="shared" si="6"/>
        <v>3087291.6666666665</v>
      </c>
      <c r="E109" s="56">
        <f t="shared" si="7"/>
        <v>2129291.6666666665</v>
      </c>
      <c r="F109" s="56">
        <f t="shared" si="8"/>
        <v>3647.9160717684649</v>
      </c>
      <c r="G109" s="51">
        <f t="shared" si="9"/>
        <v>417255.37909835979</v>
      </c>
      <c r="H109" s="56">
        <f t="shared" si="10"/>
        <v>12860099.666869791</v>
      </c>
      <c r="I109" s="56">
        <f t="shared" si="11"/>
        <v>102546.43474361971</v>
      </c>
    </row>
    <row r="110" spans="2:20">
      <c r="B110" s="91"/>
      <c r="C110" s="55" t="s">
        <v>95</v>
      </c>
      <c r="D110" s="56">
        <f t="shared" si="6"/>
        <v>3087291.6666666665</v>
      </c>
      <c r="E110" s="56">
        <f t="shared" si="7"/>
        <v>2129291.6666666665</v>
      </c>
      <c r="F110" s="56">
        <f t="shared" si="8"/>
        <v>3647.9160717684649</v>
      </c>
      <c r="G110" s="51">
        <f t="shared" si="9"/>
        <v>417255.37909835979</v>
      </c>
      <c r="H110" s="56">
        <f t="shared" si="10"/>
        <v>13499742.806443283</v>
      </c>
      <c r="I110" s="56">
        <f t="shared" si="11"/>
        <v>107646.94913857874</v>
      </c>
      <c r="M110" t="s">
        <v>74</v>
      </c>
    </row>
    <row r="111" spans="2:20">
      <c r="B111" s="91"/>
      <c r="C111" s="55" t="s">
        <v>96</v>
      </c>
      <c r="D111" s="56">
        <f t="shared" si="6"/>
        <v>3087291.6666666665</v>
      </c>
      <c r="E111" s="56">
        <f t="shared" si="7"/>
        <v>2129291.6666666665</v>
      </c>
      <c r="F111" s="56">
        <f t="shared" si="8"/>
        <v>3647.9160717684649</v>
      </c>
      <c r="G111" s="51">
        <f t="shared" si="9"/>
        <v>417255.37909835979</v>
      </c>
      <c r="H111" s="56">
        <f t="shared" si="10"/>
        <v>14144486.460411733</v>
      </c>
      <c r="I111" s="56"/>
      <c r="M111" t="s">
        <v>118</v>
      </c>
      <c r="N111" s="46">
        <f>AVERAGE(N84:N85)/D66</f>
        <v>0.50127201565557733</v>
      </c>
    </row>
    <row r="112" spans="2:20">
      <c r="M112" t="s">
        <v>80</v>
      </c>
      <c r="N112" s="46">
        <f>AVERAGE(P84:P85)/D66</f>
        <v>0.27728337236533829</v>
      </c>
    </row>
    <row r="113" spans="3:16">
      <c r="H113" s="45" t="s">
        <v>119</v>
      </c>
      <c r="I113" s="3">
        <f>J113*SUM(D88:D111)</f>
        <v>6346144.7910535587</v>
      </c>
      <c r="J113" s="47">
        <v>8.564875890483245E-2</v>
      </c>
      <c r="N113" s="46"/>
    </row>
    <row r="114" spans="3:16">
      <c r="H114" s="39" t="s">
        <v>120</v>
      </c>
      <c r="I114" s="44">
        <f>H111-I113</f>
        <v>7798341.6693581743</v>
      </c>
    </row>
    <row r="115" spans="3:16">
      <c r="I115" s="3"/>
    </row>
    <row r="116" spans="3:16">
      <c r="C116" s="47"/>
      <c r="M116" t="s">
        <v>121</v>
      </c>
      <c r="N116">
        <f>N94+N101</f>
        <v>225</v>
      </c>
      <c r="O116" s="67">
        <f>N116*N111+N117*N112+N118*N113</f>
        <v>195.97121523210637</v>
      </c>
      <c r="P116" t="s">
        <v>87</v>
      </c>
    </row>
    <row r="117" spans="3:16">
      <c r="M117" t="s">
        <v>89</v>
      </c>
      <c r="N117">
        <f>N95+P101</f>
        <v>300</v>
      </c>
      <c r="O117" s="67"/>
    </row>
    <row r="118" spans="3:16">
      <c r="O118" s="67"/>
    </row>
    <row r="119" spans="3:16" ht="23.45" customHeight="1">
      <c r="F119" s="23" t="s">
        <v>122</v>
      </c>
    </row>
    <row r="120" spans="3:16" ht="23.45" customHeight="1">
      <c r="E120" t="s">
        <v>123</v>
      </c>
      <c r="F120" s="92">
        <f>L55+I114</f>
        <v>24357364.019805983</v>
      </c>
      <c r="G120" s="92"/>
    </row>
    <row r="122" spans="3:16">
      <c r="F122" t="s">
        <v>124</v>
      </c>
    </row>
    <row r="123" spans="3:16">
      <c r="F123" t="s">
        <v>125</v>
      </c>
    </row>
    <row r="124" spans="3:16">
      <c r="F124" t="s">
        <v>126</v>
      </c>
    </row>
    <row r="125" spans="3:16">
      <c r="F125" t="s">
        <v>127</v>
      </c>
    </row>
  </sheetData>
  <mergeCells count="8">
    <mergeCell ref="F120:G120"/>
    <mergeCell ref="B2:D2"/>
    <mergeCell ref="B3:D3"/>
    <mergeCell ref="A2:A3"/>
    <mergeCell ref="B35:B46"/>
    <mergeCell ref="B47:B58"/>
    <mergeCell ref="B88:B99"/>
    <mergeCell ref="B100:B111"/>
  </mergeCells>
  <pageMargins left="0.7" right="0.7" top="0.75" bottom="0.75" header="0.3" footer="0.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2637-E1AC-4644-8F87-640C17DF33D4}">
  <dimension ref="A2:T201"/>
  <sheetViews>
    <sheetView showGridLines="0" topLeftCell="A176" zoomScale="85" zoomScaleNormal="85" workbookViewId="0">
      <selection activeCell="D210" sqref="D210"/>
    </sheetView>
  </sheetViews>
  <sheetFormatPr defaultColWidth="16.7109375" defaultRowHeight="15"/>
  <cols>
    <col min="1" max="1" width="28.85546875" customWidth="1"/>
    <col min="2" max="2" width="25.140625" customWidth="1"/>
    <col min="3" max="3" width="40.5703125" customWidth="1"/>
    <col min="4" max="4" width="38.140625" customWidth="1"/>
    <col min="5" max="5" width="27.140625" customWidth="1"/>
    <col min="6" max="6" width="23.7109375" bestFit="1" customWidth="1"/>
    <col min="7" max="7" width="16.85546875" bestFit="1" customWidth="1"/>
    <col min="8" max="8" width="17.140625" bestFit="1" customWidth="1"/>
    <col min="9" max="9" width="31.7109375" customWidth="1"/>
    <col min="10" max="10" width="23.42578125" customWidth="1"/>
    <col min="11" max="11" width="22.85546875" customWidth="1"/>
    <col min="12" max="12" width="17.140625" bestFit="1" customWidth="1"/>
    <col min="13" max="13" width="18.5703125" bestFit="1" customWidth="1"/>
    <col min="14" max="14" width="19.85546875" bestFit="1" customWidth="1"/>
    <col min="15" max="16" width="16.85546875" bestFit="1" customWidth="1"/>
  </cols>
  <sheetData>
    <row r="2" spans="1:18">
      <c r="A2" s="93" t="s">
        <v>153</v>
      </c>
      <c r="B2" s="94" t="s">
        <v>154</v>
      </c>
      <c r="C2" s="94"/>
      <c r="D2" s="94"/>
      <c r="E2" s="45" t="s">
        <v>2</v>
      </c>
    </row>
    <row r="3" spans="1:18">
      <c r="A3" s="93"/>
      <c r="B3" s="94"/>
      <c r="C3" s="94"/>
      <c r="D3" s="94"/>
    </row>
    <row r="4" spans="1:18" ht="15.75" thickBot="1"/>
    <row r="5" spans="1:18">
      <c r="I5" t="s">
        <v>155</v>
      </c>
      <c r="J5" s="57">
        <f>AVERAGE(O7:O8)+AVERAGE(P7:P8)+AVERAGE(Q7:Q8)</f>
        <v>38563.94441393439</v>
      </c>
      <c r="M5" s="45" t="s">
        <v>5</v>
      </c>
    </row>
    <row r="6" spans="1:18" ht="30">
      <c r="A6" t="s">
        <v>77</v>
      </c>
      <c r="I6" s="51" t="s">
        <v>156</v>
      </c>
      <c r="J6" s="51">
        <f>J5-D67</f>
        <v>25821.44441393439</v>
      </c>
      <c r="M6" s="34" t="s">
        <v>6</v>
      </c>
      <c r="N6" s="34" t="s">
        <v>7</v>
      </c>
      <c r="O6" s="21" t="s">
        <v>8</v>
      </c>
      <c r="P6" s="21" t="s">
        <v>9</v>
      </c>
      <c r="Q6" s="21" t="s">
        <v>10</v>
      </c>
      <c r="R6" s="21" t="s">
        <v>11</v>
      </c>
    </row>
    <row r="7" spans="1:18">
      <c r="I7" s="51" t="s">
        <v>157</v>
      </c>
      <c r="J7" s="51">
        <f>J6/2</f>
        <v>12910.722206967195</v>
      </c>
      <c r="M7" s="22" t="s">
        <v>12</v>
      </c>
      <c r="N7" s="21">
        <v>12974</v>
      </c>
      <c r="O7" s="21">
        <v>15307.6255</v>
      </c>
      <c r="P7" s="21">
        <v>7084.5901639343938</v>
      </c>
      <c r="Q7" s="21">
        <v>5999.9999999999964</v>
      </c>
      <c r="R7" s="21">
        <v>6912.6988347453353</v>
      </c>
    </row>
    <row r="8" spans="1:18">
      <c r="B8" s="45" t="s">
        <v>13</v>
      </c>
      <c r="C8" s="45" t="s">
        <v>14</v>
      </c>
      <c r="I8" s="51" t="s">
        <v>158</v>
      </c>
      <c r="J8" s="51">
        <f>J6/2</f>
        <v>12910.722206967195</v>
      </c>
      <c r="M8" s="22" t="s">
        <v>15</v>
      </c>
      <c r="N8" s="21">
        <v>12641</v>
      </c>
      <c r="O8" s="21">
        <v>35651.082999999999</v>
      </c>
      <c r="P8" s="21">
        <v>7084.5901639343938</v>
      </c>
      <c r="Q8" s="21">
        <v>5999.9999999999964</v>
      </c>
      <c r="R8" s="21">
        <v>7034.226266481377</v>
      </c>
    </row>
    <row r="9" spans="1:18">
      <c r="A9" s="49" t="s">
        <v>16</v>
      </c>
      <c r="B9" s="51"/>
      <c r="C9" s="51"/>
      <c r="E9" s="48" t="s">
        <v>17</v>
      </c>
      <c r="I9" t="s">
        <v>159</v>
      </c>
      <c r="J9">
        <f>J5-J6</f>
        <v>12742.5</v>
      </c>
      <c r="M9" s="22" t="s">
        <v>18</v>
      </c>
      <c r="N9" s="21">
        <v>25615</v>
      </c>
      <c r="O9" s="21">
        <v>50958.708500000001</v>
      </c>
      <c r="P9" s="21">
        <v>14169.180327868788</v>
      </c>
      <c r="Q9" s="21">
        <v>11999.999999999993</v>
      </c>
      <c r="R9" s="21">
        <v>13946.925101226712</v>
      </c>
    </row>
    <row r="10" spans="1:18">
      <c r="A10" s="49" t="s">
        <v>19</v>
      </c>
      <c r="B10" s="51"/>
      <c r="C10" s="68">
        <f>6797*1000</f>
        <v>6797000</v>
      </c>
      <c r="E10" s="49" t="s">
        <v>20</v>
      </c>
      <c r="F10" s="51">
        <f>J7</f>
        <v>12910.722206967195</v>
      </c>
      <c r="G10" s="49" t="s">
        <v>21</v>
      </c>
    </row>
    <row r="11" spans="1:18">
      <c r="A11" s="49" t="s">
        <v>148</v>
      </c>
      <c r="B11" s="51"/>
      <c r="C11" s="69">
        <v>500000</v>
      </c>
      <c r="E11" s="49" t="s">
        <v>23</v>
      </c>
      <c r="F11" s="51">
        <f>SQRT((2*F10*1500)/100)</f>
        <v>622.35172226725285</v>
      </c>
      <c r="G11" s="49" t="s">
        <v>24</v>
      </c>
      <c r="H11">
        <f>F11/12</f>
        <v>51.862643522271071</v>
      </c>
      <c r="I11" t="s">
        <v>25</v>
      </c>
    </row>
    <row r="12" spans="1:18">
      <c r="A12" s="49" t="s">
        <v>26</v>
      </c>
      <c r="B12" s="70">
        <v>35</v>
      </c>
      <c r="C12" s="69">
        <f>50000*B12</f>
        <v>1750000</v>
      </c>
      <c r="D12">
        <f>F10/365</f>
        <v>35.371841662923821</v>
      </c>
      <c r="E12" s="49" t="s">
        <v>27</v>
      </c>
      <c r="F12" s="51">
        <f>F10/F11</f>
        <v>20.74505740890843</v>
      </c>
      <c r="G12" s="49" t="s">
        <v>28</v>
      </c>
      <c r="H12">
        <f>F12/12</f>
        <v>1.7287547840757025</v>
      </c>
      <c r="I12" t="s">
        <v>25</v>
      </c>
    </row>
    <row r="13" spans="1:18">
      <c r="A13" s="49" t="s">
        <v>29</v>
      </c>
      <c r="B13" s="51"/>
      <c r="C13" s="70"/>
      <c r="E13" s="49" t="s">
        <v>30</v>
      </c>
      <c r="F13" s="51">
        <f>F12*F11</f>
        <v>12910.722206967195</v>
      </c>
      <c r="G13" s="49"/>
    </row>
    <row r="14" spans="1:18">
      <c r="A14" s="49" t="s">
        <v>26</v>
      </c>
      <c r="B14" s="70">
        <v>0</v>
      </c>
      <c r="C14" s="70"/>
      <c r="E14" s="49"/>
      <c r="F14" s="50">
        <f>1500+F13*1000</f>
        <v>12912222.206967195</v>
      </c>
      <c r="G14" s="49" t="s">
        <v>31</v>
      </c>
    </row>
    <row r="15" spans="1:18">
      <c r="A15" s="49" t="s">
        <v>32</v>
      </c>
      <c r="B15" s="51"/>
      <c r="C15" s="69"/>
      <c r="E15" s="49" t="s">
        <v>33</v>
      </c>
      <c r="F15" s="51">
        <f>100/12</f>
        <v>8.3333333333333339</v>
      </c>
      <c r="G15" s="49" t="s">
        <v>34</v>
      </c>
      <c r="M15" s="45" t="s">
        <v>35</v>
      </c>
    </row>
    <row r="16" spans="1:18">
      <c r="A16" s="49" t="s">
        <v>149</v>
      </c>
      <c r="B16" s="51"/>
      <c r="C16" s="69">
        <v>100000</v>
      </c>
      <c r="E16" s="41"/>
      <c r="F16" s="41"/>
      <c r="G16" s="42"/>
      <c r="M16" s="61"/>
      <c r="N16" s="65" t="s">
        <v>37</v>
      </c>
      <c r="O16" s="65" t="s">
        <v>38</v>
      </c>
      <c r="P16" s="65" t="s">
        <v>39</v>
      </c>
      <c r="Q16" s="65" t="s">
        <v>40</v>
      </c>
      <c r="R16" s="65" t="s">
        <v>41</v>
      </c>
    </row>
    <row r="17" spans="1:20" ht="15.75" thickBot="1">
      <c r="A17" s="51"/>
      <c r="B17" s="51"/>
      <c r="C17" s="70"/>
      <c r="E17" s="41"/>
      <c r="F17" s="41"/>
      <c r="G17" s="43"/>
      <c r="M17" s="61" t="s">
        <v>42</v>
      </c>
      <c r="N17" s="63">
        <v>75</v>
      </c>
      <c r="O17" s="63">
        <v>100</v>
      </c>
      <c r="P17" s="63">
        <v>100</v>
      </c>
      <c r="Q17" s="63">
        <v>100</v>
      </c>
      <c r="R17" s="63">
        <v>225</v>
      </c>
      <c r="S17">
        <f>15000/200</f>
        <v>75</v>
      </c>
    </row>
    <row r="18" spans="1:20">
      <c r="A18" s="49" t="s">
        <v>43</v>
      </c>
      <c r="B18" s="51"/>
      <c r="C18" s="69"/>
      <c r="M18" s="61" t="s">
        <v>44</v>
      </c>
      <c r="N18" s="63">
        <v>100</v>
      </c>
      <c r="O18" s="63">
        <v>75</v>
      </c>
      <c r="P18" s="63">
        <v>100</v>
      </c>
      <c r="Q18" s="63">
        <v>100</v>
      </c>
      <c r="R18" s="63">
        <v>225</v>
      </c>
    </row>
    <row r="19" spans="1:20">
      <c r="A19" s="51" t="s">
        <v>45</v>
      </c>
      <c r="B19" s="70">
        <v>622</v>
      </c>
      <c r="C19" s="69">
        <f>1500+B19*1000</f>
        <v>623500</v>
      </c>
      <c r="M19" s="61" t="s">
        <v>46</v>
      </c>
      <c r="N19" s="63">
        <v>100</v>
      </c>
      <c r="O19" s="63">
        <v>100</v>
      </c>
      <c r="P19" s="63">
        <v>75</v>
      </c>
      <c r="Q19" s="63">
        <v>100</v>
      </c>
      <c r="R19" s="63">
        <v>225</v>
      </c>
    </row>
    <row r="20" spans="1:20">
      <c r="M20" s="61" t="s">
        <v>47</v>
      </c>
      <c r="N20" s="63">
        <v>100</v>
      </c>
      <c r="O20" s="63">
        <v>100</v>
      </c>
      <c r="P20" s="63">
        <v>100</v>
      </c>
      <c r="Q20" s="63">
        <v>75</v>
      </c>
      <c r="R20" s="63">
        <v>225</v>
      </c>
    </row>
    <row r="21" spans="1:20">
      <c r="B21" s="38" t="s">
        <v>48</v>
      </c>
      <c r="C21" s="44">
        <f>C10-SUM(C11:C19)</f>
        <v>3823500</v>
      </c>
      <c r="E21" s="50"/>
      <c r="F21" s="49" t="s">
        <v>49</v>
      </c>
      <c r="G21" s="51"/>
      <c r="J21" t="s">
        <v>50</v>
      </c>
      <c r="M21" s="61" t="s">
        <v>51</v>
      </c>
      <c r="N21" s="63">
        <v>100</v>
      </c>
      <c r="O21" s="63">
        <v>100</v>
      </c>
      <c r="P21" s="63">
        <v>100</v>
      </c>
      <c r="Q21" s="63">
        <v>100</v>
      </c>
      <c r="R21" s="63">
        <v>75</v>
      </c>
    </row>
    <row r="22" spans="1:20">
      <c r="E22" s="49" t="s">
        <v>52</v>
      </c>
      <c r="F22" s="50">
        <f>1500+F13*1000</f>
        <v>12912222.206967195</v>
      </c>
      <c r="G22" s="51" t="s">
        <v>24</v>
      </c>
      <c r="I22" s="51" t="s">
        <v>53</v>
      </c>
      <c r="J22" s="50">
        <f>F13*1450</f>
        <v>18720547.200102434</v>
      </c>
      <c r="K22" s="51" t="s">
        <v>24</v>
      </c>
      <c r="M22" s="64"/>
      <c r="N22" s="64"/>
      <c r="O22" s="64"/>
      <c r="P22" s="64"/>
      <c r="Q22" s="64"/>
      <c r="R22" s="64"/>
      <c r="T22" s="62"/>
    </row>
    <row r="23" spans="1:20">
      <c r="E23" s="49" t="s">
        <v>52</v>
      </c>
      <c r="F23" s="50">
        <f>F22/12</f>
        <v>1076018.5172472664</v>
      </c>
      <c r="G23" s="51" t="s">
        <v>54</v>
      </c>
      <c r="I23" s="51" t="s">
        <v>53</v>
      </c>
      <c r="J23" s="50">
        <f>J22/12</f>
        <v>1560045.6000085361</v>
      </c>
      <c r="K23" s="51" t="s">
        <v>54</v>
      </c>
      <c r="M23" s="61"/>
      <c r="N23" s="61" t="s">
        <v>55</v>
      </c>
      <c r="O23" s="61" t="s">
        <v>56</v>
      </c>
      <c r="P23" s="61" t="s">
        <v>57</v>
      </c>
      <c r="Q23" s="61" t="s">
        <v>58</v>
      </c>
      <c r="R23" s="61" t="s">
        <v>59</v>
      </c>
      <c r="T23" s="64"/>
    </row>
    <row r="24" spans="1:20">
      <c r="E24" s="49" t="s">
        <v>52</v>
      </c>
      <c r="F24" s="50">
        <f>F23/365</f>
        <v>2947.9959376637435</v>
      </c>
      <c r="G24" s="51" t="s">
        <v>60</v>
      </c>
      <c r="I24" s="51" t="s">
        <v>53</v>
      </c>
      <c r="J24" s="50">
        <f>J22/365</f>
        <v>51289.170411239546</v>
      </c>
      <c r="K24" s="51" t="s">
        <v>61</v>
      </c>
      <c r="M24" s="65" t="s">
        <v>37</v>
      </c>
      <c r="N24" s="63">
        <v>150</v>
      </c>
      <c r="O24" s="63">
        <v>200</v>
      </c>
      <c r="P24" s="63">
        <v>200</v>
      </c>
      <c r="Q24" s="63">
        <v>200</v>
      </c>
      <c r="R24" s="63">
        <v>400</v>
      </c>
      <c r="T24" s="64"/>
    </row>
    <row r="25" spans="1:20">
      <c r="A25" s="45" t="s">
        <v>62</v>
      </c>
      <c r="B25" s="71">
        <v>0.209418110154548</v>
      </c>
      <c r="C25" t="s">
        <v>63</v>
      </c>
      <c r="D25" s="3"/>
      <c r="I25" s="3"/>
      <c r="M25" s="65" t="s">
        <v>38</v>
      </c>
      <c r="N25" s="63">
        <v>200</v>
      </c>
      <c r="O25" s="63">
        <v>150</v>
      </c>
      <c r="P25" s="63">
        <v>200</v>
      </c>
      <c r="Q25" s="63">
        <v>200</v>
      </c>
      <c r="R25" s="63">
        <v>400</v>
      </c>
      <c r="T25" s="64"/>
    </row>
    <row r="26" spans="1:20">
      <c r="M26" s="65" t="s">
        <v>39</v>
      </c>
      <c r="N26" s="63">
        <v>200</v>
      </c>
      <c r="O26" s="63">
        <v>200</v>
      </c>
      <c r="P26" s="63">
        <v>150</v>
      </c>
      <c r="Q26" s="63">
        <v>200</v>
      </c>
      <c r="R26" s="63">
        <v>400</v>
      </c>
      <c r="T26" s="64"/>
    </row>
    <row r="27" spans="1:20">
      <c r="D27" s="3"/>
      <c r="M27" s="65" t="s">
        <v>40</v>
      </c>
      <c r="N27" s="63">
        <v>200</v>
      </c>
      <c r="O27" s="63">
        <v>200</v>
      </c>
      <c r="P27" s="63">
        <v>200</v>
      </c>
      <c r="Q27" s="63">
        <v>150</v>
      </c>
      <c r="R27" s="63">
        <v>400</v>
      </c>
      <c r="T27" s="64"/>
    </row>
    <row r="28" spans="1:20">
      <c r="M28" s="65" t="s">
        <v>41</v>
      </c>
      <c r="N28" s="63">
        <v>200</v>
      </c>
      <c r="O28" s="63">
        <v>200</v>
      </c>
      <c r="P28" s="63">
        <v>200</v>
      </c>
      <c r="Q28" s="63">
        <v>200</v>
      </c>
      <c r="R28" s="63">
        <v>150</v>
      </c>
      <c r="T28" s="64"/>
    </row>
    <row r="29" spans="1:20">
      <c r="D29" s="3"/>
      <c r="I29" s="3"/>
    </row>
    <row r="30" spans="1:20">
      <c r="M30" s="66" t="s">
        <v>65</v>
      </c>
    </row>
    <row r="31" spans="1:20">
      <c r="M31" s="66" t="s">
        <v>66</v>
      </c>
    </row>
    <row r="32" spans="1:20">
      <c r="C32" s="45"/>
      <c r="D32" s="45"/>
      <c r="E32" s="45"/>
      <c r="F32" s="45"/>
      <c r="G32" s="45"/>
      <c r="H32" s="45"/>
      <c r="I32" s="45"/>
    </row>
    <row r="33" spans="2:16">
      <c r="C33" s="54" t="s">
        <v>67</v>
      </c>
      <c r="D33" s="53" t="s">
        <v>68</v>
      </c>
      <c r="E33" s="53" t="s">
        <v>69</v>
      </c>
      <c r="F33" s="53" t="s">
        <v>70</v>
      </c>
      <c r="G33" s="53" t="s">
        <v>71</v>
      </c>
      <c r="H33" s="53" t="s">
        <v>72</v>
      </c>
      <c r="I33" s="53" t="s">
        <v>73</v>
      </c>
      <c r="M33" t="s">
        <v>74</v>
      </c>
    </row>
    <row r="34" spans="2:16">
      <c r="B34" s="52" t="s">
        <v>75</v>
      </c>
      <c r="C34" s="49" t="s">
        <v>76</v>
      </c>
      <c r="D34" s="50"/>
      <c r="E34" s="51"/>
      <c r="F34" s="51"/>
      <c r="G34" s="51"/>
      <c r="H34" s="50">
        <f>C21</f>
        <v>3823500</v>
      </c>
      <c r="I34" s="51"/>
      <c r="M34" t="s">
        <v>77</v>
      </c>
      <c r="N34" s="46">
        <f>AVERAGE(O7:O8)/F10</f>
        <v>1.9735034060488279</v>
      </c>
    </row>
    <row r="35" spans="2:16">
      <c r="B35" s="91" t="s">
        <v>78</v>
      </c>
      <c r="C35" s="49" t="s">
        <v>79</v>
      </c>
      <c r="D35" s="50">
        <f t="shared" ref="D35:D58" si="0">$J$23</f>
        <v>1560045.6000085361</v>
      </c>
      <c r="E35" s="50">
        <f t="shared" ref="E35:E58" si="1">$F$23</f>
        <v>1076018.5172472664</v>
      </c>
      <c r="F35" s="50">
        <f t="shared" ref="F35:F58" si="2">$F$11/2*$F$15</f>
        <v>2593.1321761135537</v>
      </c>
      <c r="G35" s="51">
        <f t="shared" ref="G35:G58" si="3">$F$12*$O$39/12</f>
        <v>1249.443129379519</v>
      </c>
      <c r="H35" s="50">
        <f>H34+D35-E35-F35-G35</f>
        <v>4303684.5074557774</v>
      </c>
      <c r="I35" s="50">
        <f>H35*0.7974%</f>
        <v>34317.580262452371</v>
      </c>
      <c r="M35" t="s">
        <v>80</v>
      </c>
      <c r="N35" s="46">
        <f>AVERAGE(P7:P8)/F10</f>
        <v>0.54873693743571028</v>
      </c>
    </row>
    <row r="36" spans="2:16">
      <c r="B36" s="91"/>
      <c r="C36" s="49" t="s">
        <v>81</v>
      </c>
      <c r="D36" s="50">
        <f t="shared" si="0"/>
        <v>1560045.6000085361</v>
      </c>
      <c r="E36" s="50">
        <f t="shared" si="1"/>
        <v>1076018.5172472664</v>
      </c>
      <c r="F36" s="50">
        <f t="shared" si="2"/>
        <v>2593.1321761135537</v>
      </c>
      <c r="G36" s="51">
        <f t="shared" si="3"/>
        <v>1249.443129379519</v>
      </c>
      <c r="H36" s="50">
        <f t="shared" ref="H36:H58" si="4">H35+D36-E36-F36-G36+I35</f>
        <v>4818186.5951740071</v>
      </c>
      <c r="I36" s="50">
        <f>H36*0.7974%</f>
        <v>38420.219909917534</v>
      </c>
      <c r="M36" t="s">
        <v>82</v>
      </c>
      <c r="N36" s="46">
        <f>AVERAGE(Q7:Q8)/F10</f>
        <v>0.46473000532550623</v>
      </c>
    </row>
    <row r="37" spans="2:16">
      <c r="B37" s="91"/>
      <c r="C37" s="49" t="s">
        <v>83</v>
      </c>
      <c r="D37" s="50">
        <f t="shared" si="0"/>
        <v>1560045.6000085361</v>
      </c>
      <c r="E37" s="50">
        <f t="shared" si="1"/>
        <v>1076018.5172472664</v>
      </c>
      <c r="F37" s="50">
        <f t="shared" si="2"/>
        <v>2593.1321761135537</v>
      </c>
      <c r="G37" s="51">
        <f t="shared" si="3"/>
        <v>1249.443129379519</v>
      </c>
      <c r="H37" s="50">
        <f t="shared" si="4"/>
        <v>5336791.3225397021</v>
      </c>
      <c r="I37" s="50">
        <f t="shared" ref="I37:I57" si="5">H37*0.7974%</f>
        <v>42555.574005931587</v>
      </c>
    </row>
    <row r="38" spans="2:16">
      <c r="B38" s="91"/>
      <c r="C38" s="49" t="s">
        <v>84</v>
      </c>
      <c r="D38" s="50">
        <f t="shared" si="0"/>
        <v>1560045.6000085361</v>
      </c>
      <c r="E38" s="50">
        <f t="shared" si="1"/>
        <v>1076018.5172472664</v>
      </c>
      <c r="F38" s="50">
        <f t="shared" si="2"/>
        <v>2593.1321761135537</v>
      </c>
      <c r="G38" s="51">
        <f t="shared" si="3"/>
        <v>1249.443129379519</v>
      </c>
      <c r="H38" s="50">
        <f t="shared" si="4"/>
        <v>5859531.4040014111</v>
      </c>
      <c r="I38" s="50">
        <f t="shared" si="5"/>
        <v>46723.903415507251</v>
      </c>
    </row>
    <row r="39" spans="2:16">
      <c r="B39" s="91"/>
      <c r="C39" s="49" t="s">
        <v>85</v>
      </c>
      <c r="D39" s="50">
        <f t="shared" si="0"/>
        <v>1560045.6000085361</v>
      </c>
      <c r="E39" s="50">
        <f t="shared" si="1"/>
        <v>1076018.5172472664</v>
      </c>
      <c r="F39" s="50">
        <f t="shared" si="2"/>
        <v>2593.1321761135537</v>
      </c>
      <c r="G39" s="51">
        <f t="shared" si="3"/>
        <v>1249.443129379519</v>
      </c>
      <c r="H39" s="50">
        <f t="shared" si="4"/>
        <v>6386439.8148726961</v>
      </c>
      <c r="I39" s="50">
        <f t="shared" si="5"/>
        <v>50925.471083794881</v>
      </c>
      <c r="M39" t="s">
        <v>86</v>
      </c>
      <c r="N39">
        <f>O18+O25</f>
        <v>225</v>
      </c>
      <c r="O39" s="67">
        <f>N39*N34+N40*N35+N41*N36</f>
        <v>722.74167562032073</v>
      </c>
      <c r="P39" t="s">
        <v>87</v>
      </c>
    </row>
    <row r="40" spans="2:16">
      <c r="B40" s="91"/>
      <c r="C40" s="49" t="s">
        <v>88</v>
      </c>
      <c r="D40" s="50">
        <f t="shared" si="0"/>
        <v>1560045.6000085361</v>
      </c>
      <c r="E40" s="50">
        <f t="shared" si="1"/>
        <v>1076018.5172472664</v>
      </c>
      <c r="F40" s="50">
        <f t="shared" si="2"/>
        <v>2593.1321761135537</v>
      </c>
      <c r="G40" s="51">
        <f t="shared" si="3"/>
        <v>1249.443129379519</v>
      </c>
      <c r="H40" s="50">
        <f t="shared" si="4"/>
        <v>6917549.7934122682</v>
      </c>
      <c r="I40" s="50">
        <f t="shared" si="5"/>
        <v>55160.542052669429</v>
      </c>
      <c r="M40" t="s">
        <v>89</v>
      </c>
      <c r="N40">
        <f>O18+P25</f>
        <v>275</v>
      </c>
      <c r="O40" s="67"/>
    </row>
    <row r="41" spans="2:16">
      <c r="B41" s="91"/>
      <c r="C41" s="49" t="s">
        <v>90</v>
      </c>
      <c r="D41" s="50">
        <f t="shared" si="0"/>
        <v>1560045.6000085361</v>
      </c>
      <c r="E41" s="50">
        <f t="shared" si="1"/>
        <v>1076018.5172472664</v>
      </c>
      <c r="F41" s="50">
        <f t="shared" si="2"/>
        <v>2593.1321761135537</v>
      </c>
      <c r="G41" s="51">
        <f t="shared" si="3"/>
        <v>1249.443129379519</v>
      </c>
      <c r="H41" s="50">
        <f t="shared" si="4"/>
        <v>7452894.842920715</v>
      </c>
      <c r="I41" s="50">
        <f t="shared" si="5"/>
        <v>59429.383477449781</v>
      </c>
      <c r="M41" t="s">
        <v>91</v>
      </c>
      <c r="N41">
        <f>O18+Q25</f>
        <v>275</v>
      </c>
      <c r="O41" s="67"/>
    </row>
    <row r="42" spans="2:16">
      <c r="B42" s="91"/>
      <c r="C42" s="49" t="s">
        <v>92</v>
      </c>
      <c r="D42" s="50">
        <f t="shared" si="0"/>
        <v>1560045.6000085361</v>
      </c>
      <c r="E42" s="50">
        <f t="shared" si="1"/>
        <v>1076018.5172472664</v>
      </c>
      <c r="F42" s="50">
        <f t="shared" si="2"/>
        <v>2593.1321761135537</v>
      </c>
      <c r="G42" s="51">
        <f t="shared" si="3"/>
        <v>1249.443129379519</v>
      </c>
      <c r="H42" s="50">
        <f t="shared" si="4"/>
        <v>7992508.7338539418</v>
      </c>
      <c r="I42" s="50">
        <f t="shared" si="5"/>
        <v>63732.264643751332</v>
      </c>
      <c r="J42" s="3"/>
    </row>
    <row r="43" spans="2:16">
      <c r="B43" s="91"/>
      <c r="C43" s="49" t="s">
        <v>93</v>
      </c>
      <c r="D43" s="50">
        <f t="shared" si="0"/>
        <v>1560045.6000085361</v>
      </c>
      <c r="E43" s="50">
        <f t="shared" si="1"/>
        <v>1076018.5172472664</v>
      </c>
      <c r="F43" s="50">
        <f t="shared" si="2"/>
        <v>2593.1321761135537</v>
      </c>
      <c r="G43" s="51">
        <f t="shared" si="3"/>
        <v>1249.443129379519</v>
      </c>
      <c r="H43" s="50">
        <f t="shared" si="4"/>
        <v>8536425.5059534684</v>
      </c>
      <c r="I43" s="50">
        <f t="shared" si="5"/>
        <v>68069.456984472956</v>
      </c>
    </row>
    <row r="44" spans="2:16">
      <c r="B44" s="91"/>
      <c r="C44" s="49" t="s">
        <v>94</v>
      </c>
      <c r="D44" s="50">
        <f t="shared" si="0"/>
        <v>1560045.6000085361</v>
      </c>
      <c r="E44" s="50">
        <f t="shared" si="1"/>
        <v>1076018.5172472664</v>
      </c>
      <c r="F44" s="50">
        <f t="shared" si="2"/>
        <v>2593.1321761135537</v>
      </c>
      <c r="G44" s="51">
        <f t="shared" si="3"/>
        <v>1249.443129379519</v>
      </c>
      <c r="H44" s="50">
        <f t="shared" si="4"/>
        <v>9084679.4703937173</v>
      </c>
      <c r="I44" s="50">
        <f t="shared" si="5"/>
        <v>72441.234096919507</v>
      </c>
    </row>
    <row r="45" spans="2:16">
      <c r="B45" s="91"/>
      <c r="C45" s="49" t="s">
        <v>95</v>
      </c>
      <c r="D45" s="50">
        <f t="shared" si="0"/>
        <v>1560045.6000085361</v>
      </c>
      <c r="E45" s="50">
        <f t="shared" si="1"/>
        <v>1076018.5172472664</v>
      </c>
      <c r="F45" s="50">
        <f t="shared" si="2"/>
        <v>2593.1321761135537</v>
      </c>
      <c r="G45" s="51">
        <f t="shared" si="3"/>
        <v>1249.443129379519</v>
      </c>
      <c r="H45" s="50">
        <f t="shared" si="4"/>
        <v>9637305.2119464129</v>
      </c>
      <c r="I45" s="50">
        <f t="shared" si="5"/>
        <v>76847.871760060705</v>
      </c>
    </row>
    <row r="46" spans="2:16">
      <c r="B46" s="91"/>
      <c r="C46" s="49" t="s">
        <v>96</v>
      </c>
      <c r="D46" s="50">
        <f t="shared" si="0"/>
        <v>1560045.6000085361</v>
      </c>
      <c r="E46" s="50">
        <f t="shared" si="1"/>
        <v>1076018.5172472664</v>
      </c>
      <c r="F46" s="50">
        <f t="shared" si="2"/>
        <v>2593.1321761135537</v>
      </c>
      <c r="G46" s="51">
        <f t="shared" si="3"/>
        <v>1249.443129379519</v>
      </c>
      <c r="H46" s="50">
        <f t="shared" si="4"/>
        <v>10194337.591162249</v>
      </c>
      <c r="I46" s="50">
        <f t="shared" si="5"/>
        <v>81289.647951927778</v>
      </c>
    </row>
    <row r="47" spans="2:16">
      <c r="B47" s="91" t="s">
        <v>97</v>
      </c>
      <c r="C47" s="55" t="s">
        <v>79</v>
      </c>
      <c r="D47" s="56">
        <f t="shared" si="0"/>
        <v>1560045.6000085361</v>
      </c>
      <c r="E47" s="56">
        <f t="shared" si="1"/>
        <v>1076018.5172472664</v>
      </c>
      <c r="F47" s="56">
        <f t="shared" si="2"/>
        <v>2593.1321761135537</v>
      </c>
      <c r="G47" s="51">
        <f t="shared" si="3"/>
        <v>1249.443129379519</v>
      </c>
      <c r="H47" s="56">
        <f t="shared" si="4"/>
        <v>10755811.746569952</v>
      </c>
      <c r="I47" s="56">
        <f t="shared" si="5"/>
        <v>85766.842867148793</v>
      </c>
    </row>
    <row r="48" spans="2:16">
      <c r="B48" s="91"/>
      <c r="C48" s="55" t="s">
        <v>81</v>
      </c>
      <c r="D48" s="56">
        <f t="shared" si="0"/>
        <v>1560045.6000085361</v>
      </c>
      <c r="E48" s="56">
        <f t="shared" si="1"/>
        <v>1076018.5172472664</v>
      </c>
      <c r="F48" s="56">
        <f t="shared" si="2"/>
        <v>2593.1321761135537</v>
      </c>
      <c r="G48" s="51">
        <f t="shared" si="3"/>
        <v>1249.443129379519</v>
      </c>
      <c r="H48" s="56">
        <f t="shared" si="4"/>
        <v>11321763.096892877</v>
      </c>
      <c r="I48" s="56">
        <f t="shared" si="5"/>
        <v>90279.738934623805</v>
      </c>
    </row>
    <row r="49" spans="2:15">
      <c r="B49" s="91"/>
      <c r="C49" s="55" t="s">
        <v>83</v>
      </c>
      <c r="D49" s="56">
        <f t="shared" si="0"/>
        <v>1560045.6000085361</v>
      </c>
      <c r="E49" s="56">
        <f t="shared" si="1"/>
        <v>1076018.5172472664</v>
      </c>
      <c r="F49" s="56">
        <f t="shared" si="2"/>
        <v>2593.1321761135537</v>
      </c>
      <c r="G49" s="51">
        <f t="shared" si="3"/>
        <v>1249.443129379519</v>
      </c>
      <c r="H49" s="56">
        <f t="shared" si="4"/>
        <v>11892227.343283275</v>
      </c>
      <c r="I49" s="56">
        <f t="shared" si="5"/>
        <v>94828.620835340844</v>
      </c>
    </row>
    <row r="50" spans="2:15">
      <c r="B50" s="91"/>
      <c r="C50" s="55" t="s">
        <v>84</v>
      </c>
      <c r="D50" s="56">
        <f t="shared" si="0"/>
        <v>1560045.6000085361</v>
      </c>
      <c r="E50" s="56">
        <f t="shared" si="1"/>
        <v>1076018.5172472664</v>
      </c>
      <c r="F50" s="56">
        <f t="shared" si="2"/>
        <v>2593.1321761135537</v>
      </c>
      <c r="G50" s="51">
        <f t="shared" si="3"/>
        <v>1249.443129379519</v>
      </c>
      <c r="H50" s="56">
        <f t="shared" si="4"/>
        <v>12467240.471574392</v>
      </c>
      <c r="I50" s="56">
        <f t="shared" si="5"/>
        <v>99413.775520334209</v>
      </c>
    </row>
    <row r="51" spans="2:15">
      <c r="B51" s="91"/>
      <c r="C51" s="55" t="s">
        <v>85</v>
      </c>
      <c r="D51" s="56">
        <f t="shared" si="0"/>
        <v>1560045.6000085361</v>
      </c>
      <c r="E51" s="56">
        <f t="shared" si="1"/>
        <v>1076018.5172472664</v>
      </c>
      <c r="F51" s="56">
        <f t="shared" si="2"/>
        <v>2593.1321761135537</v>
      </c>
      <c r="G51" s="51">
        <f t="shared" si="3"/>
        <v>1249.443129379519</v>
      </c>
      <c r="H51" s="56">
        <f t="shared" si="4"/>
        <v>13046838.754550502</v>
      </c>
      <c r="I51" s="56">
        <f t="shared" si="5"/>
        <v>104035.4922287857</v>
      </c>
    </row>
    <row r="52" spans="2:15">
      <c r="B52" s="91"/>
      <c r="C52" s="55" t="s">
        <v>88</v>
      </c>
      <c r="D52" s="56">
        <f t="shared" si="0"/>
        <v>1560045.6000085361</v>
      </c>
      <c r="E52" s="56">
        <f t="shared" si="1"/>
        <v>1076018.5172472664</v>
      </c>
      <c r="F52" s="56">
        <f t="shared" si="2"/>
        <v>2593.1321761135537</v>
      </c>
      <c r="G52" s="51">
        <f t="shared" si="3"/>
        <v>1249.443129379519</v>
      </c>
      <c r="H52" s="56">
        <f t="shared" si="4"/>
        <v>13631058.754235063</v>
      </c>
      <c r="I52" s="56">
        <f t="shared" si="5"/>
        <v>108694.06250627039</v>
      </c>
    </row>
    <row r="53" spans="2:15">
      <c r="B53" s="91"/>
      <c r="C53" s="55" t="s">
        <v>90</v>
      </c>
      <c r="D53" s="56">
        <f t="shared" si="0"/>
        <v>1560045.6000085361</v>
      </c>
      <c r="E53" s="56">
        <f t="shared" si="1"/>
        <v>1076018.5172472664</v>
      </c>
      <c r="F53" s="56">
        <f t="shared" si="2"/>
        <v>2593.1321761135537</v>
      </c>
      <c r="G53" s="51">
        <f t="shared" si="3"/>
        <v>1249.443129379519</v>
      </c>
      <c r="H53" s="56">
        <f t="shared" si="4"/>
        <v>14219937.324197108</v>
      </c>
      <c r="I53" s="56">
        <f t="shared" si="5"/>
        <v>113389.78022314774</v>
      </c>
      <c r="K53" s="45" t="s">
        <v>98</v>
      </c>
      <c r="L53" s="3">
        <f>H58</f>
        <v>17235519.305761375</v>
      </c>
    </row>
    <row r="54" spans="2:15">
      <c r="B54" s="91"/>
      <c r="C54" s="55" t="s">
        <v>92</v>
      </c>
      <c r="D54" s="56">
        <f t="shared" si="0"/>
        <v>1560045.6000085361</v>
      </c>
      <c r="E54" s="56">
        <f t="shared" si="1"/>
        <v>1076018.5172472664</v>
      </c>
      <c r="F54" s="56">
        <f t="shared" si="2"/>
        <v>2593.1321761135537</v>
      </c>
      <c r="G54" s="51">
        <f t="shared" si="3"/>
        <v>1249.443129379519</v>
      </c>
      <c r="H54" s="56">
        <f t="shared" si="4"/>
        <v>14813511.611876031</v>
      </c>
      <c r="I54" s="56">
        <f t="shared" si="5"/>
        <v>118122.94159309947</v>
      </c>
      <c r="K54" s="45" t="s">
        <v>99</v>
      </c>
      <c r="L54" s="3">
        <f>B25*SUM(D35:D58)</f>
        <v>7840843.2314089332</v>
      </c>
      <c r="N54" t="s">
        <v>100</v>
      </c>
    </row>
    <row r="55" spans="2:15">
      <c r="B55" s="91"/>
      <c r="C55" s="55" t="s">
        <v>93</v>
      </c>
      <c r="D55" s="56">
        <f t="shared" si="0"/>
        <v>1560045.6000085361</v>
      </c>
      <c r="E55" s="56">
        <f t="shared" si="1"/>
        <v>1076018.5172472664</v>
      </c>
      <c r="F55" s="56">
        <f t="shared" si="2"/>
        <v>2593.1321761135537</v>
      </c>
      <c r="G55" s="51">
        <f t="shared" si="3"/>
        <v>1249.443129379519</v>
      </c>
      <c r="H55" s="56">
        <f t="shared" si="4"/>
        <v>15411819.060924906</v>
      </c>
      <c r="I55" s="56">
        <f t="shared" si="5"/>
        <v>122893.8451918152</v>
      </c>
      <c r="K55" s="39" t="s">
        <v>101</v>
      </c>
      <c r="L55" s="44">
        <f>L53-L54</f>
        <v>9394676.0743524414</v>
      </c>
      <c r="M55" s="3">
        <f>L54/L53</f>
        <v>0.45492352695099525</v>
      </c>
    </row>
    <row r="56" spans="2:15">
      <c r="B56" s="91"/>
      <c r="C56" s="55" t="s">
        <v>94</v>
      </c>
      <c r="D56" s="56">
        <f t="shared" si="0"/>
        <v>1560045.6000085361</v>
      </c>
      <c r="E56" s="56">
        <f t="shared" si="1"/>
        <v>1076018.5172472664</v>
      </c>
      <c r="F56" s="56">
        <f t="shared" si="2"/>
        <v>2593.1321761135537</v>
      </c>
      <c r="G56" s="51">
        <f t="shared" si="3"/>
        <v>1249.443129379519</v>
      </c>
      <c r="H56" s="56">
        <f t="shared" si="4"/>
        <v>16014897.413572498</v>
      </c>
      <c r="I56" s="56">
        <f t="shared" si="5"/>
        <v>127702.7919758271</v>
      </c>
    </row>
    <row r="57" spans="2:15">
      <c r="B57" s="91"/>
      <c r="C57" s="55" t="s">
        <v>95</v>
      </c>
      <c r="D57" s="56">
        <f t="shared" si="0"/>
        <v>1560045.6000085361</v>
      </c>
      <c r="E57" s="56">
        <f t="shared" si="1"/>
        <v>1076018.5172472664</v>
      </c>
      <c r="F57" s="56">
        <f t="shared" si="2"/>
        <v>2593.1321761135537</v>
      </c>
      <c r="G57" s="51">
        <f t="shared" si="3"/>
        <v>1249.443129379519</v>
      </c>
      <c r="H57" s="56">
        <f t="shared" si="4"/>
        <v>16622784.713004101</v>
      </c>
      <c r="I57" s="56">
        <f t="shared" si="5"/>
        <v>132550.08530149469</v>
      </c>
    </row>
    <row r="58" spans="2:15">
      <c r="B58" s="91"/>
      <c r="C58" s="55" t="s">
        <v>96</v>
      </c>
      <c r="D58" s="56">
        <f t="shared" si="0"/>
        <v>1560045.6000085361</v>
      </c>
      <c r="E58" s="56">
        <f t="shared" si="1"/>
        <v>1076018.5172472664</v>
      </c>
      <c r="F58" s="56">
        <f t="shared" si="2"/>
        <v>2593.1321761135537</v>
      </c>
      <c r="G58" s="51">
        <f t="shared" si="3"/>
        <v>1249.443129379519</v>
      </c>
      <c r="H58" s="56">
        <f t="shared" si="4"/>
        <v>17235519.305761375</v>
      </c>
      <c r="I58" s="56"/>
    </row>
    <row r="60" spans="2:15">
      <c r="E60" s="3"/>
    </row>
    <row r="64" spans="2:15" ht="30">
      <c r="C64" s="45" t="s">
        <v>102</v>
      </c>
      <c r="J64" s="34" t="s">
        <v>6</v>
      </c>
      <c r="K64" s="34" t="s">
        <v>7</v>
      </c>
      <c r="L64" s="21" t="s">
        <v>8</v>
      </c>
      <c r="M64" s="21" t="s">
        <v>9</v>
      </c>
      <c r="N64" s="21" t="s">
        <v>10</v>
      </c>
      <c r="O64" s="21" t="s">
        <v>11</v>
      </c>
    </row>
    <row r="65" spans="3:15">
      <c r="J65" s="22" t="s">
        <v>12</v>
      </c>
      <c r="K65" s="21">
        <v>12974</v>
      </c>
      <c r="L65" s="21">
        <v>15307.6255</v>
      </c>
      <c r="M65" s="21">
        <v>7084.5901639343938</v>
      </c>
      <c r="N65" s="21">
        <v>5999.9999999999964</v>
      </c>
      <c r="O65" s="21">
        <v>6912.6988347453353</v>
      </c>
    </row>
    <row r="66" spans="3:15">
      <c r="C66" s="51" t="s">
        <v>104</v>
      </c>
      <c r="D66" s="60">
        <f>70*365</f>
        <v>25550</v>
      </c>
      <c r="E66" s="51" t="s">
        <v>24</v>
      </c>
      <c r="J66" s="22" t="s">
        <v>15</v>
      </c>
      <c r="K66" s="21">
        <v>12641</v>
      </c>
      <c r="L66" s="21">
        <v>35651.082999999999</v>
      </c>
      <c r="M66" s="21">
        <v>7084.5901639343938</v>
      </c>
      <c r="N66" s="21">
        <v>5999.9999999999964</v>
      </c>
      <c r="O66" s="21">
        <v>7034.226266481377</v>
      </c>
    </row>
    <row r="67" spans="3:15">
      <c r="C67" t="s">
        <v>160</v>
      </c>
      <c r="D67">
        <f>D66-AVERAGE(K65:K66)</f>
        <v>12742.5</v>
      </c>
      <c r="E67" t="s">
        <v>24</v>
      </c>
      <c r="J67" s="22" t="s">
        <v>18</v>
      </c>
      <c r="K67" s="21">
        <v>25615</v>
      </c>
      <c r="L67" s="21">
        <v>50958.708500000001</v>
      </c>
      <c r="M67" s="21">
        <v>14169.180327868788</v>
      </c>
      <c r="N67" s="21">
        <v>11999.999999999993</v>
      </c>
      <c r="O67" s="21">
        <v>13946.925101226712</v>
      </c>
    </row>
    <row r="70" spans="3:15">
      <c r="C70" s="49" t="s">
        <v>105</v>
      </c>
      <c r="D70" s="51">
        <f>D66</f>
        <v>25550</v>
      </c>
    </row>
    <row r="71" spans="3:15">
      <c r="C71" s="49" t="s">
        <v>23</v>
      </c>
      <c r="D71" s="51">
        <f>SQRT((2*D70*1500)/100)</f>
        <v>875.49985722443148</v>
      </c>
      <c r="G71" s="49" t="s">
        <v>107</v>
      </c>
      <c r="H71" s="50">
        <f>D73*1450</f>
        <v>37047500</v>
      </c>
      <c r="O71" s="3"/>
    </row>
    <row r="72" spans="3:15">
      <c r="C72" s="49" t="s">
        <v>108</v>
      </c>
      <c r="D72" s="51">
        <f>D70/D71</f>
        <v>29.183328574147719</v>
      </c>
      <c r="G72" s="49" t="s">
        <v>109</v>
      </c>
      <c r="H72" s="50">
        <f>H71/12</f>
        <v>3087291.6666666665</v>
      </c>
    </row>
    <row r="73" spans="3:15">
      <c r="C73" s="49" t="s">
        <v>110</v>
      </c>
      <c r="D73" s="51">
        <f>D72*D71</f>
        <v>25550</v>
      </c>
      <c r="G73" s="49" t="s">
        <v>111</v>
      </c>
      <c r="H73" s="50">
        <f>H71/365</f>
        <v>101500</v>
      </c>
      <c r="O73" s="3"/>
    </row>
    <row r="74" spans="3:15">
      <c r="C74" s="49" t="s">
        <v>112</v>
      </c>
      <c r="D74" s="51">
        <f>100/12</f>
        <v>8.3333333333333339</v>
      </c>
    </row>
    <row r="80" spans="3:15">
      <c r="C80" s="49" t="s">
        <v>113</v>
      </c>
      <c r="D80" s="50">
        <f>1500+D73*1000</f>
        <v>25551500</v>
      </c>
      <c r="E80" s="51" t="s">
        <v>24</v>
      </c>
      <c r="G80" s="51" t="s">
        <v>114</v>
      </c>
      <c r="H80" s="50">
        <f>H72-D81</f>
        <v>958000</v>
      </c>
      <c r="I80" s="51" t="s">
        <v>115</v>
      </c>
    </row>
    <row r="81" spans="2:19">
      <c r="C81" s="49" t="s">
        <v>113</v>
      </c>
      <c r="D81" s="50">
        <f>D80/12</f>
        <v>2129291.6666666665</v>
      </c>
      <c r="E81" s="51" t="s">
        <v>54</v>
      </c>
      <c r="G81" s="51" t="s">
        <v>114</v>
      </c>
      <c r="H81" s="50">
        <f>H73-D82</f>
        <v>31495.890410958906</v>
      </c>
      <c r="I81" s="51" t="s">
        <v>60</v>
      </c>
      <c r="J81" t="s">
        <v>116</v>
      </c>
    </row>
    <row r="82" spans="2:19">
      <c r="C82" s="49" t="s">
        <v>113</v>
      </c>
      <c r="D82" s="50">
        <f>D80/365</f>
        <v>70004.109589041094</v>
      </c>
      <c r="E82" s="51" t="s">
        <v>60</v>
      </c>
      <c r="M82" s="45" t="s">
        <v>5</v>
      </c>
    </row>
    <row r="83" spans="2:19" ht="30">
      <c r="M83" s="34" t="s">
        <v>6</v>
      </c>
      <c r="N83" s="34" t="s">
        <v>7</v>
      </c>
      <c r="O83" s="21" t="s">
        <v>8</v>
      </c>
      <c r="P83" s="21" t="s">
        <v>9</v>
      </c>
      <c r="Q83" s="21" t="s">
        <v>10</v>
      </c>
      <c r="R83" s="21" t="s">
        <v>11</v>
      </c>
    </row>
    <row r="84" spans="2:19">
      <c r="H84" t="s">
        <v>161</v>
      </c>
      <c r="M84" s="22" t="s">
        <v>12</v>
      </c>
      <c r="N84" s="21">
        <v>12974</v>
      </c>
      <c r="O84" s="21">
        <v>15307.6255</v>
      </c>
      <c r="P84" s="21">
        <v>7084.5901639343938</v>
      </c>
      <c r="Q84" s="21">
        <v>5999.9999999999964</v>
      </c>
      <c r="R84" s="21">
        <v>6912.6988347453353</v>
      </c>
    </row>
    <row r="85" spans="2:19">
      <c r="C85" s="45" t="s">
        <v>117</v>
      </c>
      <c r="D85" s="45"/>
      <c r="E85" s="45"/>
      <c r="F85" s="45"/>
      <c r="G85" s="45"/>
      <c r="H85" s="45"/>
      <c r="I85" s="45"/>
      <c r="M85" s="22" t="s">
        <v>15</v>
      </c>
      <c r="N85" s="21">
        <v>12641</v>
      </c>
      <c r="O85" s="21">
        <v>35651.082999999999</v>
      </c>
      <c r="P85" s="21">
        <v>7084.5901639343938</v>
      </c>
      <c r="Q85" s="21">
        <v>5999.9999999999964</v>
      </c>
      <c r="R85" s="21">
        <v>7034.226266481377</v>
      </c>
    </row>
    <row r="86" spans="2:19">
      <c r="B86" s="52"/>
      <c r="C86" s="53" t="s">
        <v>67</v>
      </c>
      <c r="D86" s="53" t="s">
        <v>68</v>
      </c>
      <c r="E86" s="53" t="s">
        <v>69</v>
      </c>
      <c r="F86" s="53" t="s">
        <v>70</v>
      </c>
      <c r="G86" s="53" t="s">
        <v>71</v>
      </c>
      <c r="H86" s="53" t="s">
        <v>72</v>
      </c>
      <c r="I86" s="53" t="s">
        <v>73</v>
      </c>
      <c r="M86" s="22" t="s">
        <v>18</v>
      </c>
      <c r="N86" s="21">
        <v>25615</v>
      </c>
      <c r="O86" s="21">
        <v>50958.708500000001</v>
      </c>
      <c r="P86" s="21">
        <v>14169.180327868788</v>
      </c>
      <c r="Q86" s="21">
        <v>11999.999999999993</v>
      </c>
      <c r="R86" s="21">
        <v>13946.925101226712</v>
      </c>
    </row>
    <row r="87" spans="2:19">
      <c r="B87" s="52" t="s">
        <v>75</v>
      </c>
      <c r="C87" s="49" t="s">
        <v>76</v>
      </c>
      <c r="D87" s="50"/>
      <c r="E87" s="51"/>
      <c r="F87" s="51"/>
      <c r="G87" s="51"/>
      <c r="H87" s="50">
        <v>0</v>
      </c>
      <c r="I87" s="51"/>
    </row>
    <row r="88" spans="2:19">
      <c r="B88" s="91" t="s">
        <v>78</v>
      </c>
      <c r="C88" s="49" t="s">
        <v>79</v>
      </c>
      <c r="D88" s="50">
        <f t="shared" ref="D88:D111" si="6">$H$72</f>
        <v>3087291.6666666665</v>
      </c>
      <c r="E88" s="50">
        <f t="shared" ref="E88:E111" si="7">$D$81</f>
        <v>2129291.6666666665</v>
      </c>
      <c r="F88" s="50">
        <f t="shared" ref="F88:F111" si="8">$D$71/2*$D$74</f>
        <v>3647.9160717684649</v>
      </c>
      <c r="G88" s="51">
        <f>$O$116*$D$73/12</f>
        <v>417255.37909835979</v>
      </c>
      <c r="H88" s="50">
        <f>(H87+D88-E88-F88-G88)</f>
        <v>537096.70482987165</v>
      </c>
      <c r="I88" s="50">
        <f>H88*0.7974%</f>
        <v>4282.8091243133968</v>
      </c>
    </row>
    <row r="89" spans="2:19">
      <c r="B89" s="91"/>
      <c r="C89" s="49" t="s">
        <v>81</v>
      </c>
      <c r="D89" s="50">
        <f t="shared" si="6"/>
        <v>3087291.6666666665</v>
      </c>
      <c r="E89" s="50">
        <f t="shared" si="7"/>
        <v>2129291.6666666665</v>
      </c>
      <c r="F89" s="50">
        <f t="shared" si="8"/>
        <v>3647.9160717684649</v>
      </c>
      <c r="G89" s="51">
        <f t="shared" ref="G89:G111" si="9">$O$116*$D$73/12</f>
        <v>417255.37909835979</v>
      </c>
      <c r="H89" s="50">
        <f t="shared" ref="H89:H111" si="10">H88+D89-E89-F89-G89+I88</f>
        <v>1078476.2187840568</v>
      </c>
      <c r="I89" s="50">
        <f t="shared" ref="I89:I110" si="11">H89*0.7974%</f>
        <v>8599.7693685840695</v>
      </c>
    </row>
    <row r="90" spans="2:19">
      <c r="B90" s="91"/>
      <c r="C90" s="49" t="s">
        <v>83</v>
      </c>
      <c r="D90" s="50">
        <f t="shared" si="6"/>
        <v>3087291.6666666665</v>
      </c>
      <c r="E90" s="50">
        <f t="shared" si="7"/>
        <v>2129291.6666666665</v>
      </c>
      <c r="F90" s="50">
        <f t="shared" si="8"/>
        <v>3647.9160717684649</v>
      </c>
      <c r="G90" s="51">
        <f t="shared" si="9"/>
        <v>417255.37909835979</v>
      </c>
      <c r="H90" s="50">
        <f t="shared" si="10"/>
        <v>1624172.692982513</v>
      </c>
      <c r="I90" s="50">
        <f t="shared" si="11"/>
        <v>12951.15305384256</v>
      </c>
    </row>
    <row r="91" spans="2:19">
      <c r="B91" s="91"/>
      <c r="C91" s="49" t="s">
        <v>84</v>
      </c>
      <c r="D91" s="50">
        <f t="shared" si="6"/>
        <v>3087291.6666666665</v>
      </c>
      <c r="E91" s="50">
        <f t="shared" si="7"/>
        <v>2129291.6666666665</v>
      </c>
      <c r="F91" s="50">
        <f t="shared" si="8"/>
        <v>3647.9160717684649</v>
      </c>
      <c r="G91" s="51">
        <f t="shared" si="9"/>
        <v>417255.37909835979</v>
      </c>
      <c r="H91" s="50">
        <f t="shared" si="10"/>
        <v>2174220.5508662271</v>
      </c>
      <c r="I91" s="50">
        <f t="shared" si="11"/>
        <v>17337.234672607294</v>
      </c>
    </row>
    <row r="92" spans="2:19">
      <c r="B92" s="91"/>
      <c r="C92" s="49" t="s">
        <v>85</v>
      </c>
      <c r="D92" s="50">
        <f t="shared" si="6"/>
        <v>3087291.6666666665</v>
      </c>
      <c r="E92" s="50">
        <f t="shared" si="7"/>
        <v>2129291.6666666665</v>
      </c>
      <c r="F92" s="50">
        <f t="shared" si="8"/>
        <v>3647.9160717684649</v>
      </c>
      <c r="G92" s="51">
        <f t="shared" si="9"/>
        <v>417255.37909835979</v>
      </c>
      <c r="H92" s="50">
        <f t="shared" si="10"/>
        <v>2728654.4903687062</v>
      </c>
      <c r="I92" s="50">
        <f t="shared" si="11"/>
        <v>21758.290906200062</v>
      </c>
      <c r="M92" s="45" t="s">
        <v>35</v>
      </c>
    </row>
    <row r="93" spans="2:19">
      <c r="B93" s="91"/>
      <c r="C93" s="49" t="s">
        <v>88</v>
      </c>
      <c r="D93" s="50">
        <f t="shared" si="6"/>
        <v>3087291.6666666665</v>
      </c>
      <c r="E93" s="50">
        <f t="shared" si="7"/>
        <v>2129291.6666666665</v>
      </c>
      <c r="F93" s="50">
        <f t="shared" si="8"/>
        <v>3647.9160717684649</v>
      </c>
      <c r="G93" s="51">
        <f t="shared" si="9"/>
        <v>417255.37909835979</v>
      </c>
      <c r="H93" s="50">
        <f t="shared" si="10"/>
        <v>3287509.4861047785</v>
      </c>
      <c r="I93" s="50">
        <f t="shared" si="11"/>
        <v>26214.600642199504</v>
      </c>
      <c r="M93" s="61"/>
      <c r="N93" s="65" t="s">
        <v>37</v>
      </c>
      <c r="O93" s="65" t="s">
        <v>38</v>
      </c>
      <c r="P93" s="65" t="s">
        <v>39</v>
      </c>
      <c r="Q93" s="65" t="s">
        <v>40</v>
      </c>
      <c r="R93" s="65" t="s">
        <v>41</v>
      </c>
    </row>
    <row r="94" spans="2:19">
      <c r="B94" s="91"/>
      <c r="C94" s="49" t="s">
        <v>90</v>
      </c>
      <c r="D94" s="50">
        <f t="shared" si="6"/>
        <v>3087291.6666666665</v>
      </c>
      <c r="E94" s="50">
        <f t="shared" si="7"/>
        <v>2129291.6666666665</v>
      </c>
      <c r="F94" s="50">
        <f t="shared" si="8"/>
        <v>3647.9160717684649</v>
      </c>
      <c r="G94" s="51">
        <f t="shared" si="9"/>
        <v>417255.37909835979</v>
      </c>
      <c r="H94" s="50">
        <f t="shared" si="10"/>
        <v>3850820.7915768498</v>
      </c>
      <c r="I94" s="50">
        <f t="shared" si="11"/>
        <v>30706.444992033801</v>
      </c>
      <c r="M94" s="61" t="s">
        <v>42</v>
      </c>
      <c r="N94" s="63">
        <v>75</v>
      </c>
      <c r="O94" s="63">
        <v>100</v>
      </c>
      <c r="P94" s="63">
        <v>100</v>
      </c>
      <c r="Q94" s="63">
        <v>100</v>
      </c>
      <c r="R94" s="63">
        <v>225</v>
      </c>
      <c r="S94">
        <f>15000/200</f>
        <v>75</v>
      </c>
    </row>
    <row r="95" spans="2:19">
      <c r="B95" s="91"/>
      <c r="C95" s="49" t="s">
        <v>92</v>
      </c>
      <c r="D95" s="50">
        <f t="shared" si="6"/>
        <v>3087291.6666666665</v>
      </c>
      <c r="E95" s="50">
        <f t="shared" si="7"/>
        <v>2129291.6666666665</v>
      </c>
      <c r="F95" s="50">
        <f t="shared" si="8"/>
        <v>3647.9160717684649</v>
      </c>
      <c r="G95" s="51">
        <f t="shared" si="9"/>
        <v>417255.37909835979</v>
      </c>
      <c r="H95" s="50">
        <f t="shared" si="10"/>
        <v>4418623.9413987547</v>
      </c>
      <c r="I95" s="50">
        <f t="shared" si="11"/>
        <v>35234.107308713668</v>
      </c>
      <c r="M95" s="61" t="s">
        <v>44</v>
      </c>
      <c r="N95" s="63">
        <v>100</v>
      </c>
      <c r="O95" s="63">
        <v>75</v>
      </c>
      <c r="P95" s="63">
        <v>100</v>
      </c>
      <c r="Q95" s="63">
        <v>100</v>
      </c>
      <c r="R95" s="63">
        <v>225</v>
      </c>
    </row>
    <row r="96" spans="2:19">
      <c r="B96" s="91"/>
      <c r="C96" s="49" t="s">
        <v>93</v>
      </c>
      <c r="D96" s="50">
        <f t="shared" si="6"/>
        <v>3087291.6666666665</v>
      </c>
      <c r="E96" s="50">
        <f t="shared" si="7"/>
        <v>2129291.6666666665</v>
      </c>
      <c r="F96" s="50">
        <f t="shared" si="8"/>
        <v>3647.9160717684649</v>
      </c>
      <c r="G96" s="51">
        <f t="shared" si="9"/>
        <v>417255.37909835979</v>
      </c>
      <c r="H96" s="50">
        <f t="shared" si="10"/>
        <v>4990954.7535373401</v>
      </c>
      <c r="I96" s="50">
        <f t="shared" si="11"/>
        <v>39797.873204706753</v>
      </c>
      <c r="M96" s="61" t="s">
        <v>46</v>
      </c>
      <c r="N96" s="63">
        <v>100</v>
      </c>
      <c r="O96" s="63">
        <v>100</v>
      </c>
      <c r="P96" s="63">
        <v>75</v>
      </c>
      <c r="Q96" s="63">
        <v>100</v>
      </c>
      <c r="R96" s="63">
        <v>225</v>
      </c>
    </row>
    <row r="97" spans="2:20">
      <c r="B97" s="91"/>
      <c r="C97" s="49" t="s">
        <v>94</v>
      </c>
      <c r="D97" s="50">
        <f t="shared" si="6"/>
        <v>3087291.6666666665</v>
      </c>
      <c r="E97" s="50">
        <f t="shared" si="7"/>
        <v>2129291.6666666665</v>
      </c>
      <c r="F97" s="50">
        <f t="shared" si="8"/>
        <v>3647.9160717684649</v>
      </c>
      <c r="G97" s="51">
        <f t="shared" si="9"/>
        <v>417255.37909835979</v>
      </c>
      <c r="H97" s="50">
        <f t="shared" si="10"/>
        <v>5567849.3315719189</v>
      </c>
      <c r="I97" s="50">
        <f t="shared" si="11"/>
        <v>44398.030569954484</v>
      </c>
      <c r="M97" s="61" t="s">
        <v>47</v>
      </c>
      <c r="N97" s="63">
        <v>100</v>
      </c>
      <c r="O97" s="63">
        <v>100</v>
      </c>
      <c r="P97" s="63">
        <v>100</v>
      </c>
      <c r="Q97" s="63">
        <v>75</v>
      </c>
      <c r="R97" s="63">
        <v>225</v>
      </c>
    </row>
    <row r="98" spans="2:20">
      <c r="B98" s="91"/>
      <c r="C98" s="49" t="s">
        <v>95</v>
      </c>
      <c r="D98" s="50">
        <f t="shared" si="6"/>
        <v>3087291.6666666665</v>
      </c>
      <c r="E98" s="50">
        <f t="shared" si="7"/>
        <v>2129291.6666666665</v>
      </c>
      <c r="F98" s="50">
        <f t="shared" si="8"/>
        <v>3647.9160717684649</v>
      </c>
      <c r="G98" s="51">
        <f t="shared" si="9"/>
        <v>417255.37909835979</v>
      </c>
      <c r="H98" s="50">
        <f t="shared" si="10"/>
        <v>6149344.0669717463</v>
      </c>
      <c r="I98" s="50">
        <f t="shared" si="11"/>
        <v>49034.869590032707</v>
      </c>
      <c r="M98" s="61" t="s">
        <v>51</v>
      </c>
      <c r="N98" s="63">
        <v>100</v>
      </c>
      <c r="O98" s="63">
        <v>100</v>
      </c>
      <c r="P98" s="63">
        <v>100</v>
      </c>
      <c r="Q98" s="63">
        <v>100</v>
      </c>
      <c r="R98" s="63">
        <v>75</v>
      </c>
    </row>
    <row r="99" spans="2:20">
      <c r="B99" s="91"/>
      <c r="C99" s="49" t="s">
        <v>96</v>
      </c>
      <c r="D99" s="50">
        <f t="shared" si="6"/>
        <v>3087291.6666666665</v>
      </c>
      <c r="E99" s="50">
        <f t="shared" si="7"/>
        <v>2129291.6666666665</v>
      </c>
      <c r="F99" s="50">
        <f t="shared" si="8"/>
        <v>3647.9160717684649</v>
      </c>
      <c r="G99" s="51">
        <f t="shared" si="9"/>
        <v>417255.37909835979</v>
      </c>
      <c r="H99" s="50">
        <f t="shared" si="10"/>
        <v>6735475.6413916517</v>
      </c>
      <c r="I99" s="50">
        <f t="shared" si="11"/>
        <v>53708.682764457029</v>
      </c>
      <c r="M99" s="64"/>
      <c r="N99" s="64"/>
      <c r="O99" s="64"/>
      <c r="P99" s="64"/>
      <c r="Q99" s="64"/>
      <c r="R99" s="64"/>
      <c r="T99" s="62"/>
    </row>
    <row r="100" spans="2:20">
      <c r="B100" s="91" t="s">
        <v>97</v>
      </c>
      <c r="C100" s="55" t="s">
        <v>79</v>
      </c>
      <c r="D100" s="56">
        <f t="shared" si="6"/>
        <v>3087291.6666666665</v>
      </c>
      <c r="E100" s="56">
        <f t="shared" si="7"/>
        <v>2129291.6666666665</v>
      </c>
      <c r="F100" s="56">
        <f t="shared" si="8"/>
        <v>3647.9160717684649</v>
      </c>
      <c r="G100" s="51">
        <f t="shared" si="9"/>
        <v>417255.37909835979</v>
      </c>
      <c r="H100" s="56">
        <f t="shared" si="10"/>
        <v>7326281.02898598</v>
      </c>
      <c r="I100" s="56">
        <f t="shared" si="11"/>
        <v>58419.764925134208</v>
      </c>
      <c r="M100" s="61"/>
      <c r="N100" s="61" t="s">
        <v>55</v>
      </c>
      <c r="O100" s="61" t="s">
        <v>56</v>
      </c>
      <c r="P100" s="61" t="s">
        <v>57</v>
      </c>
      <c r="Q100" s="61" t="s">
        <v>58</v>
      </c>
      <c r="R100" s="61" t="s">
        <v>59</v>
      </c>
      <c r="T100" s="64"/>
    </row>
    <row r="101" spans="2:20">
      <c r="B101" s="91"/>
      <c r="C101" s="55" t="s">
        <v>81</v>
      </c>
      <c r="D101" s="56">
        <f t="shared" si="6"/>
        <v>3087291.6666666665</v>
      </c>
      <c r="E101" s="56">
        <f t="shared" si="7"/>
        <v>2129291.6666666665</v>
      </c>
      <c r="F101" s="56">
        <f t="shared" si="8"/>
        <v>3647.9160717684649</v>
      </c>
      <c r="G101" s="51">
        <f t="shared" si="9"/>
        <v>417255.37909835979</v>
      </c>
      <c r="H101" s="56">
        <f t="shared" si="10"/>
        <v>7921797.4987409869</v>
      </c>
      <c r="I101" s="56">
        <f t="shared" si="11"/>
        <v>63168.413254960629</v>
      </c>
      <c r="M101" s="65" t="s">
        <v>37</v>
      </c>
      <c r="N101" s="63">
        <v>150</v>
      </c>
      <c r="O101" s="63">
        <v>200</v>
      </c>
      <c r="P101" s="63">
        <v>200</v>
      </c>
      <c r="Q101" s="63">
        <v>200</v>
      </c>
      <c r="R101" s="63">
        <v>400</v>
      </c>
      <c r="T101" s="64"/>
    </row>
    <row r="102" spans="2:20">
      <c r="B102" s="91"/>
      <c r="C102" s="55" t="s">
        <v>83</v>
      </c>
      <c r="D102" s="56">
        <f t="shared" si="6"/>
        <v>3087291.6666666665</v>
      </c>
      <c r="E102" s="56">
        <f t="shared" si="7"/>
        <v>2129291.6666666665</v>
      </c>
      <c r="F102" s="56">
        <f t="shared" si="8"/>
        <v>3647.9160717684649</v>
      </c>
      <c r="G102" s="51">
        <f t="shared" si="9"/>
        <v>417255.37909835979</v>
      </c>
      <c r="H102" s="56">
        <f t="shared" si="10"/>
        <v>8522062.6168258209</v>
      </c>
      <c r="I102" s="56">
        <f t="shared" si="11"/>
        <v>67954.927306569094</v>
      </c>
      <c r="M102" s="65" t="s">
        <v>38</v>
      </c>
      <c r="N102" s="63">
        <v>200</v>
      </c>
      <c r="O102" s="63">
        <v>150</v>
      </c>
      <c r="P102" s="63">
        <v>200</v>
      </c>
      <c r="Q102" s="63">
        <v>200</v>
      </c>
      <c r="R102" s="63">
        <v>400</v>
      </c>
      <c r="T102" s="64"/>
    </row>
    <row r="103" spans="2:20">
      <c r="B103" s="91"/>
      <c r="C103" s="55" t="s">
        <v>84</v>
      </c>
      <c r="D103" s="56">
        <f t="shared" si="6"/>
        <v>3087291.6666666665</v>
      </c>
      <c r="E103" s="56">
        <f t="shared" si="7"/>
        <v>2129291.6666666665</v>
      </c>
      <c r="F103" s="56">
        <f t="shared" si="8"/>
        <v>3647.9160717684649</v>
      </c>
      <c r="G103" s="51">
        <f t="shared" si="9"/>
        <v>417255.37909835979</v>
      </c>
      <c r="H103" s="56">
        <f t="shared" si="10"/>
        <v>9127114.2489622608</v>
      </c>
      <c r="I103" s="56">
        <f t="shared" si="11"/>
        <v>72779.609021225071</v>
      </c>
      <c r="M103" s="65" t="s">
        <v>39</v>
      </c>
      <c r="N103" s="63">
        <v>200</v>
      </c>
      <c r="O103" s="63">
        <v>200</v>
      </c>
      <c r="P103" s="63">
        <v>150</v>
      </c>
      <c r="Q103" s="63">
        <v>200</v>
      </c>
      <c r="R103" s="63">
        <v>400</v>
      </c>
      <c r="T103" s="64"/>
    </row>
    <row r="104" spans="2:20">
      <c r="B104" s="91"/>
      <c r="C104" s="55" t="s">
        <v>85</v>
      </c>
      <c r="D104" s="56">
        <f t="shared" si="6"/>
        <v>3087291.6666666665</v>
      </c>
      <c r="E104" s="56">
        <f t="shared" si="7"/>
        <v>2129291.6666666665</v>
      </c>
      <c r="F104" s="56">
        <f t="shared" si="8"/>
        <v>3647.9160717684649</v>
      </c>
      <c r="G104" s="51">
        <f t="shared" si="9"/>
        <v>417255.37909835979</v>
      </c>
      <c r="H104" s="56">
        <f t="shared" si="10"/>
        <v>9736990.5628133584</v>
      </c>
      <c r="I104" s="56">
        <f t="shared" si="11"/>
        <v>77642.762747873727</v>
      </c>
      <c r="M104" s="65" t="s">
        <v>40</v>
      </c>
      <c r="N104" s="63">
        <v>200</v>
      </c>
      <c r="O104" s="63">
        <v>200</v>
      </c>
      <c r="P104" s="63">
        <v>200</v>
      </c>
      <c r="Q104" s="63">
        <v>150</v>
      </c>
      <c r="R104" s="63">
        <v>400</v>
      </c>
      <c r="T104" s="64"/>
    </row>
    <row r="105" spans="2:20">
      <c r="B105" s="91"/>
      <c r="C105" s="55" t="s">
        <v>88</v>
      </c>
      <c r="D105" s="56">
        <f t="shared" si="6"/>
        <v>3087291.6666666665</v>
      </c>
      <c r="E105" s="56">
        <f t="shared" si="7"/>
        <v>2129291.6666666665</v>
      </c>
      <c r="F105" s="56">
        <f t="shared" si="8"/>
        <v>3647.9160717684649</v>
      </c>
      <c r="G105" s="51">
        <f t="shared" si="9"/>
        <v>417255.37909835979</v>
      </c>
      <c r="H105" s="56">
        <f t="shared" si="10"/>
        <v>10351730.030391105</v>
      </c>
      <c r="I105" s="56">
        <f t="shared" si="11"/>
        <v>82544.695262338675</v>
      </c>
      <c r="M105" s="65" t="s">
        <v>41</v>
      </c>
      <c r="N105" s="63">
        <v>200</v>
      </c>
      <c r="O105" s="63">
        <v>200</v>
      </c>
      <c r="P105" s="63">
        <v>200</v>
      </c>
      <c r="Q105" s="63">
        <v>200</v>
      </c>
      <c r="R105" s="63">
        <v>150</v>
      </c>
      <c r="T105" s="64"/>
    </row>
    <row r="106" spans="2:20">
      <c r="B106" s="91"/>
      <c r="C106" s="55" t="s">
        <v>90</v>
      </c>
      <c r="D106" s="56">
        <f t="shared" si="6"/>
        <v>3087291.6666666665</v>
      </c>
      <c r="E106" s="56">
        <f t="shared" si="7"/>
        <v>2129291.6666666665</v>
      </c>
      <c r="F106" s="56">
        <f t="shared" si="8"/>
        <v>3647.9160717684649</v>
      </c>
      <c r="G106" s="51">
        <f t="shared" si="9"/>
        <v>417255.37909835979</v>
      </c>
      <c r="H106" s="56">
        <f t="shared" si="10"/>
        <v>10971371.430483315</v>
      </c>
      <c r="I106" s="56">
        <f t="shared" si="11"/>
        <v>87485.715786673958</v>
      </c>
    </row>
    <row r="107" spans="2:20">
      <c r="B107" s="91"/>
      <c r="C107" s="55" t="s">
        <v>92</v>
      </c>
      <c r="D107" s="56">
        <f t="shared" si="6"/>
        <v>3087291.6666666665</v>
      </c>
      <c r="E107" s="56">
        <f t="shared" si="7"/>
        <v>2129291.6666666665</v>
      </c>
      <c r="F107" s="56">
        <f t="shared" si="8"/>
        <v>3647.9160717684649</v>
      </c>
      <c r="G107" s="51">
        <f t="shared" si="9"/>
        <v>417255.37909835979</v>
      </c>
      <c r="H107" s="56">
        <f t="shared" si="10"/>
        <v>11595953.85109986</v>
      </c>
      <c r="I107" s="56">
        <f t="shared" si="11"/>
        <v>92466.136008670292</v>
      </c>
      <c r="M107" s="66" t="s">
        <v>65</v>
      </c>
    </row>
    <row r="108" spans="2:20">
      <c r="B108" s="91"/>
      <c r="C108" s="55" t="s">
        <v>93</v>
      </c>
      <c r="D108" s="56">
        <f t="shared" si="6"/>
        <v>3087291.6666666665</v>
      </c>
      <c r="E108" s="56">
        <f t="shared" si="7"/>
        <v>2129291.6666666665</v>
      </c>
      <c r="F108" s="56">
        <f t="shared" si="8"/>
        <v>3647.9160717684649</v>
      </c>
      <c r="G108" s="51">
        <f t="shared" si="9"/>
        <v>417255.37909835979</v>
      </c>
      <c r="H108" s="56">
        <f t="shared" si="10"/>
        <v>12225516.691938402</v>
      </c>
      <c r="I108" s="56">
        <f t="shared" si="11"/>
        <v>97486.270101516828</v>
      </c>
      <c r="M108" s="66" t="s">
        <v>66</v>
      </c>
    </row>
    <row r="109" spans="2:20">
      <c r="B109" s="91"/>
      <c r="C109" s="55" t="s">
        <v>94</v>
      </c>
      <c r="D109" s="56">
        <f t="shared" si="6"/>
        <v>3087291.6666666665</v>
      </c>
      <c r="E109" s="56">
        <f t="shared" si="7"/>
        <v>2129291.6666666665</v>
      </c>
      <c r="F109" s="56">
        <f t="shared" si="8"/>
        <v>3647.9160717684649</v>
      </c>
      <c r="G109" s="51">
        <f t="shared" si="9"/>
        <v>417255.37909835979</v>
      </c>
      <c r="H109" s="56">
        <f t="shared" si="10"/>
        <v>12860099.666869791</v>
      </c>
      <c r="I109" s="56">
        <f t="shared" si="11"/>
        <v>102546.43474361971</v>
      </c>
    </row>
    <row r="110" spans="2:20">
      <c r="B110" s="91"/>
      <c r="C110" s="55" t="s">
        <v>95</v>
      </c>
      <c r="D110" s="56">
        <f t="shared" si="6"/>
        <v>3087291.6666666665</v>
      </c>
      <c r="E110" s="56">
        <f t="shared" si="7"/>
        <v>2129291.6666666665</v>
      </c>
      <c r="F110" s="56">
        <f t="shared" si="8"/>
        <v>3647.9160717684649</v>
      </c>
      <c r="G110" s="51">
        <f t="shared" si="9"/>
        <v>417255.37909835979</v>
      </c>
      <c r="H110" s="56">
        <f t="shared" si="10"/>
        <v>13499742.806443283</v>
      </c>
      <c r="I110" s="56">
        <f t="shared" si="11"/>
        <v>107646.94913857874</v>
      </c>
      <c r="M110" t="s">
        <v>74</v>
      </c>
    </row>
    <row r="111" spans="2:20">
      <c r="B111" s="91"/>
      <c r="C111" s="55" t="s">
        <v>96</v>
      </c>
      <c r="D111" s="56">
        <f t="shared" si="6"/>
        <v>3087291.6666666665</v>
      </c>
      <c r="E111" s="56">
        <f t="shared" si="7"/>
        <v>2129291.6666666665</v>
      </c>
      <c r="F111" s="56">
        <f t="shared" si="8"/>
        <v>3647.9160717684649</v>
      </c>
      <c r="G111" s="51">
        <f t="shared" si="9"/>
        <v>417255.37909835979</v>
      </c>
      <c r="H111" s="56">
        <f t="shared" si="10"/>
        <v>14144486.460411733</v>
      </c>
      <c r="I111" s="56"/>
      <c r="M111" t="s">
        <v>118</v>
      </c>
      <c r="N111" s="46">
        <f>AVERAGE(N84:N85)/D66</f>
        <v>0.50127201565557733</v>
      </c>
    </row>
    <row r="112" spans="2:20">
      <c r="M112" t="s">
        <v>80</v>
      </c>
      <c r="N112" s="46">
        <f>AVERAGE(P84:P85)/D66</f>
        <v>0.27728337236533829</v>
      </c>
    </row>
    <row r="113" spans="3:16">
      <c r="H113" s="45" t="s">
        <v>119</v>
      </c>
      <c r="I113" s="3">
        <f>J113*SUM(D88:D111)</f>
        <v>15516834.871901231</v>
      </c>
      <c r="J113" s="47">
        <f>B25</f>
        <v>0.209418110154548</v>
      </c>
      <c r="N113" s="46"/>
    </row>
    <row r="114" spans="3:16">
      <c r="H114" s="39" t="s">
        <v>120</v>
      </c>
      <c r="I114" s="44">
        <f>H111-I113</f>
        <v>-1372348.4114894979</v>
      </c>
    </row>
    <row r="115" spans="3:16">
      <c r="I115" s="3"/>
    </row>
    <row r="116" spans="3:16">
      <c r="C116" s="47"/>
      <c r="M116" t="s">
        <v>121</v>
      </c>
      <c r="N116">
        <f>N94+N101</f>
        <v>225</v>
      </c>
      <c r="O116" s="67">
        <f>N116*N111+N117*N112+N118*N113</f>
        <v>195.97121523210637</v>
      </c>
      <c r="P116" t="s">
        <v>87</v>
      </c>
    </row>
    <row r="117" spans="3:16">
      <c r="M117" t="s">
        <v>89</v>
      </c>
      <c r="N117">
        <f>N95+P101</f>
        <v>300</v>
      </c>
      <c r="O117" s="67"/>
    </row>
    <row r="118" spans="3:16">
      <c r="O118" s="67"/>
    </row>
    <row r="119" spans="3:16" ht="23.45" customHeight="1"/>
    <row r="120" spans="3:16" ht="23.45" customHeight="1"/>
    <row r="131" spans="1:19" ht="15.75" thickBot="1"/>
    <row r="132" spans="1:19">
      <c r="I132" t="s">
        <v>155</v>
      </c>
      <c r="J132" s="57">
        <f>AVERAGE(O134:O135)+AVERAGE(P134:P135)+AVERAGE(Q134:Q135)</f>
        <v>38563.94441393439</v>
      </c>
      <c r="M132" s="45" t="s">
        <v>5</v>
      </c>
    </row>
    <row r="133" spans="1:19" ht="30">
      <c r="A133" t="s">
        <v>162</v>
      </c>
      <c r="I133" s="51" t="s">
        <v>156</v>
      </c>
      <c r="J133" s="51">
        <f>J132-D67</f>
        <v>25821.44441393439</v>
      </c>
      <c r="M133" s="34" t="s">
        <v>6</v>
      </c>
      <c r="N133" s="34" t="s">
        <v>7</v>
      </c>
      <c r="O133" s="21" t="s">
        <v>8</v>
      </c>
      <c r="P133" s="21" t="s">
        <v>9</v>
      </c>
      <c r="Q133" s="21" t="s">
        <v>10</v>
      </c>
      <c r="R133" s="21" t="s">
        <v>11</v>
      </c>
    </row>
    <row r="134" spans="1:19">
      <c r="I134" s="51" t="s">
        <v>157</v>
      </c>
      <c r="J134" s="51">
        <f>J133/2</f>
        <v>12910.722206967195</v>
      </c>
      <c r="M134" s="22" t="s">
        <v>12</v>
      </c>
      <c r="N134" s="21">
        <v>12974</v>
      </c>
      <c r="O134" s="21">
        <v>15307.6255</v>
      </c>
      <c r="P134" s="21">
        <v>7084.5901639343938</v>
      </c>
      <c r="Q134" s="21">
        <v>5999.9999999999964</v>
      </c>
      <c r="R134" s="21">
        <v>6912.6988347453353</v>
      </c>
    </row>
    <row r="135" spans="1:19">
      <c r="B135" s="45" t="s">
        <v>13</v>
      </c>
      <c r="C135" s="45" t="s">
        <v>14</v>
      </c>
      <c r="I135" s="51" t="s">
        <v>158</v>
      </c>
      <c r="J135" s="51">
        <f>J133/2</f>
        <v>12910.722206967195</v>
      </c>
      <c r="M135" s="22" t="s">
        <v>15</v>
      </c>
      <c r="N135" s="21">
        <v>12641</v>
      </c>
      <c r="O135" s="21">
        <v>35651.082999999999</v>
      </c>
      <c r="P135" s="21">
        <v>7084.5901639343938</v>
      </c>
      <c r="Q135" s="21">
        <v>5999.9999999999964</v>
      </c>
      <c r="R135" s="21">
        <v>7034.226266481377</v>
      </c>
    </row>
    <row r="136" spans="1:19">
      <c r="A136" s="49" t="s">
        <v>16</v>
      </c>
      <c r="B136" s="51"/>
      <c r="C136" s="51"/>
      <c r="E136" s="48" t="s">
        <v>17</v>
      </c>
      <c r="I136" t="s">
        <v>159</v>
      </c>
      <c r="J136">
        <f>J132-J133</f>
        <v>12742.5</v>
      </c>
      <c r="M136" s="22" t="s">
        <v>18</v>
      </c>
      <c r="N136" s="21">
        <v>25615</v>
      </c>
      <c r="O136" s="21">
        <v>50958.708500000001</v>
      </c>
      <c r="P136" s="21">
        <v>14169.180327868788</v>
      </c>
      <c r="Q136" s="21">
        <v>11999.999999999993</v>
      </c>
      <c r="R136" s="21">
        <v>13946.925101226712</v>
      </c>
    </row>
    <row r="137" spans="1:19">
      <c r="A137" s="49" t="s">
        <v>19</v>
      </c>
      <c r="B137" s="51"/>
      <c r="C137" s="68"/>
      <c r="E137" s="49" t="s">
        <v>20</v>
      </c>
      <c r="F137" s="51">
        <f>J135</f>
        <v>12910.722206967195</v>
      </c>
      <c r="G137" s="49" t="s">
        <v>21</v>
      </c>
    </row>
    <row r="138" spans="1:19">
      <c r="A138" s="49" t="s">
        <v>148</v>
      </c>
      <c r="B138" s="51"/>
      <c r="C138" s="69">
        <v>-500000</v>
      </c>
      <c r="E138" s="49" t="s">
        <v>23</v>
      </c>
      <c r="F138" s="51">
        <f>SQRT((2*F137*1500)/100)</f>
        <v>622.35172226725285</v>
      </c>
      <c r="G138" s="49" t="s">
        <v>24</v>
      </c>
      <c r="H138">
        <f>F138/12</f>
        <v>51.862643522271071</v>
      </c>
      <c r="I138" t="s">
        <v>25</v>
      </c>
    </row>
    <row r="139" spans="1:19">
      <c r="A139" s="49" t="s">
        <v>26</v>
      </c>
      <c r="B139" s="70">
        <v>35</v>
      </c>
      <c r="C139" s="69">
        <f>-50000*B139</f>
        <v>-1750000</v>
      </c>
      <c r="D139">
        <f>F137/365</f>
        <v>35.371841662923821</v>
      </c>
      <c r="E139" s="49" t="s">
        <v>27</v>
      </c>
      <c r="F139" s="51">
        <f>F137/F138</f>
        <v>20.74505740890843</v>
      </c>
      <c r="G139" s="49" t="s">
        <v>28</v>
      </c>
      <c r="H139">
        <f>F139/12</f>
        <v>1.7287547840757025</v>
      </c>
      <c r="I139" t="s">
        <v>25</v>
      </c>
    </row>
    <row r="140" spans="1:19">
      <c r="A140" s="49" t="s">
        <v>29</v>
      </c>
      <c r="B140" s="51"/>
      <c r="C140" s="70"/>
      <c r="E140" s="49" t="s">
        <v>30</v>
      </c>
      <c r="F140" s="51">
        <f>F139*F138</f>
        <v>12910.722206967195</v>
      </c>
      <c r="G140" s="49"/>
    </row>
    <row r="141" spans="1:19">
      <c r="A141" s="49" t="s">
        <v>26</v>
      </c>
      <c r="B141" s="70">
        <v>0</v>
      </c>
      <c r="C141" s="70"/>
      <c r="E141" s="49"/>
      <c r="F141" s="50">
        <f>1500+F140*1000</f>
        <v>12912222.206967195</v>
      </c>
      <c r="G141" s="49" t="s">
        <v>31</v>
      </c>
    </row>
    <row r="142" spans="1:19">
      <c r="A142" s="49" t="s">
        <v>32</v>
      </c>
      <c r="B142" s="51"/>
      <c r="C142" s="69"/>
      <c r="E142" s="49" t="s">
        <v>33</v>
      </c>
      <c r="F142" s="51">
        <f>100/12</f>
        <v>8.3333333333333339</v>
      </c>
      <c r="G142" s="49" t="s">
        <v>34</v>
      </c>
      <c r="M142" s="45" t="s">
        <v>35</v>
      </c>
    </row>
    <row r="143" spans="1:19">
      <c r="A143" s="49" t="s">
        <v>149</v>
      </c>
      <c r="B143" s="51"/>
      <c r="C143" s="69">
        <v>-100000</v>
      </c>
      <c r="E143" s="41"/>
      <c r="F143" s="41"/>
      <c r="G143" s="42"/>
      <c r="M143" s="61"/>
      <c r="N143" s="65" t="s">
        <v>37</v>
      </c>
      <c r="O143" s="65" t="s">
        <v>38</v>
      </c>
      <c r="P143" s="65" t="s">
        <v>39</v>
      </c>
      <c r="Q143" s="65" t="s">
        <v>40</v>
      </c>
      <c r="R143" s="65" t="s">
        <v>41</v>
      </c>
    </row>
    <row r="144" spans="1:19" ht="15.75" thickBot="1">
      <c r="A144" s="51"/>
      <c r="B144" s="51"/>
      <c r="C144" s="70"/>
      <c r="E144" s="41"/>
      <c r="F144" s="41"/>
      <c r="G144" s="43"/>
      <c r="M144" s="61" t="s">
        <v>42</v>
      </c>
      <c r="N144" s="63">
        <v>75</v>
      </c>
      <c r="O144" s="63">
        <v>100</v>
      </c>
      <c r="P144" s="63">
        <v>100</v>
      </c>
      <c r="Q144" s="63">
        <v>100</v>
      </c>
      <c r="R144" s="63">
        <v>225</v>
      </c>
      <c r="S144">
        <f>15000/200</f>
        <v>75</v>
      </c>
    </row>
    <row r="145" spans="1:20">
      <c r="A145" s="49" t="s">
        <v>43</v>
      </c>
      <c r="B145" s="51"/>
      <c r="C145" s="69"/>
      <c r="M145" s="61" t="s">
        <v>44</v>
      </c>
      <c r="N145" s="63">
        <v>100</v>
      </c>
      <c r="O145" s="63">
        <v>75</v>
      </c>
      <c r="P145" s="63">
        <v>100</v>
      </c>
      <c r="Q145" s="63">
        <v>100</v>
      </c>
      <c r="R145" s="63">
        <v>225</v>
      </c>
    </row>
    <row r="146" spans="1:20">
      <c r="A146" s="51" t="s">
        <v>45</v>
      </c>
      <c r="B146" s="70">
        <v>622</v>
      </c>
      <c r="C146" s="69">
        <f>-(1500+B146*1000)</f>
        <v>-623500</v>
      </c>
      <c r="M146" s="61" t="s">
        <v>46</v>
      </c>
      <c r="N146" s="63">
        <v>100</v>
      </c>
      <c r="O146" s="63">
        <v>100</v>
      </c>
      <c r="P146" s="63">
        <v>75</v>
      </c>
      <c r="Q146" s="63">
        <v>100</v>
      </c>
      <c r="R146" s="63">
        <v>225</v>
      </c>
    </row>
    <row r="147" spans="1:20">
      <c r="M147" s="61" t="s">
        <v>47</v>
      </c>
      <c r="N147" s="63">
        <v>100</v>
      </c>
      <c r="O147" s="63">
        <v>100</v>
      </c>
      <c r="P147" s="63">
        <v>100</v>
      </c>
      <c r="Q147" s="63">
        <v>75</v>
      </c>
      <c r="R147" s="63">
        <v>225</v>
      </c>
    </row>
    <row r="148" spans="1:20">
      <c r="B148" s="38" t="s">
        <v>48</v>
      </c>
      <c r="C148" s="44">
        <f>SUM(C138:C146)</f>
        <v>-2973500</v>
      </c>
      <c r="E148" s="50"/>
      <c r="F148" s="49" t="s">
        <v>49</v>
      </c>
      <c r="G148" s="51"/>
      <c r="J148" t="s">
        <v>50</v>
      </c>
      <c r="M148" s="61" t="s">
        <v>51</v>
      </c>
      <c r="N148" s="63">
        <v>100</v>
      </c>
      <c r="O148" s="63">
        <v>100</v>
      </c>
      <c r="P148" s="63">
        <v>100</v>
      </c>
      <c r="Q148" s="63">
        <v>100</v>
      </c>
      <c r="R148" s="63">
        <v>75</v>
      </c>
    </row>
    <row r="149" spans="1:20">
      <c r="E149" s="49" t="s">
        <v>52</v>
      </c>
      <c r="F149" s="50">
        <f>1500+F140*1000</f>
        <v>12912222.206967195</v>
      </c>
      <c r="G149" s="51" t="s">
        <v>24</v>
      </c>
      <c r="I149" s="51" t="s">
        <v>53</v>
      </c>
      <c r="J149" s="50">
        <f>F140*1450</f>
        <v>18720547.200102434</v>
      </c>
      <c r="K149" s="51" t="s">
        <v>24</v>
      </c>
      <c r="M149" s="64"/>
      <c r="N149" s="64"/>
      <c r="O149" s="64"/>
      <c r="P149" s="64"/>
      <c r="Q149" s="64"/>
      <c r="R149" s="64"/>
      <c r="T149" s="62"/>
    </row>
    <row r="150" spans="1:20">
      <c r="E150" s="49" t="s">
        <v>52</v>
      </c>
      <c r="F150" s="50">
        <f>F149/12</f>
        <v>1076018.5172472664</v>
      </c>
      <c r="G150" s="51" t="s">
        <v>54</v>
      </c>
      <c r="I150" s="51" t="s">
        <v>53</v>
      </c>
      <c r="J150" s="50">
        <f>J149/12</f>
        <v>1560045.6000085361</v>
      </c>
      <c r="K150" s="51" t="s">
        <v>54</v>
      </c>
      <c r="M150" s="61"/>
      <c r="N150" s="61" t="s">
        <v>55</v>
      </c>
      <c r="O150" s="61" t="s">
        <v>56</v>
      </c>
      <c r="P150" s="61" t="s">
        <v>57</v>
      </c>
      <c r="Q150" s="61" t="s">
        <v>58</v>
      </c>
      <c r="R150" s="61" t="s">
        <v>59</v>
      </c>
      <c r="T150" s="64"/>
    </row>
    <row r="151" spans="1:20">
      <c r="E151" s="49" t="s">
        <v>52</v>
      </c>
      <c r="F151" s="50">
        <f>F150/365</f>
        <v>2947.9959376637435</v>
      </c>
      <c r="G151" s="51" t="s">
        <v>60</v>
      </c>
      <c r="I151" s="51" t="s">
        <v>53</v>
      </c>
      <c r="J151" s="50">
        <f>J149/365</f>
        <v>51289.170411239546</v>
      </c>
      <c r="K151" s="51" t="s">
        <v>61</v>
      </c>
      <c r="M151" s="65" t="s">
        <v>37</v>
      </c>
      <c r="N151" s="63">
        <v>150</v>
      </c>
      <c r="O151" s="63">
        <v>200</v>
      </c>
      <c r="P151" s="63">
        <v>200</v>
      </c>
      <c r="Q151" s="63">
        <v>200</v>
      </c>
      <c r="R151" s="63">
        <v>400</v>
      </c>
      <c r="T151" s="64"/>
    </row>
    <row r="152" spans="1:20">
      <c r="A152" s="45" t="s">
        <v>62</v>
      </c>
      <c r="B152" s="71">
        <v>0.209418110154548</v>
      </c>
      <c r="C152" t="s">
        <v>63</v>
      </c>
      <c r="D152" s="3"/>
      <c r="I152" s="3"/>
      <c r="M152" s="65" t="s">
        <v>38</v>
      </c>
      <c r="N152" s="63">
        <v>200</v>
      </c>
      <c r="O152" s="63">
        <v>150</v>
      </c>
      <c r="P152" s="63">
        <v>200</v>
      </c>
      <c r="Q152" s="63">
        <v>200</v>
      </c>
      <c r="R152" s="63">
        <v>400</v>
      </c>
      <c r="T152" s="64"/>
    </row>
    <row r="153" spans="1:20">
      <c r="M153" s="65" t="s">
        <v>39</v>
      </c>
      <c r="N153" s="63">
        <v>200</v>
      </c>
      <c r="O153" s="63">
        <v>200</v>
      </c>
      <c r="P153" s="63">
        <v>150</v>
      </c>
      <c r="Q153" s="63">
        <v>200</v>
      </c>
      <c r="R153" s="63">
        <v>400</v>
      </c>
      <c r="T153" s="64"/>
    </row>
    <row r="154" spans="1:20">
      <c r="D154" s="3"/>
      <c r="M154" s="65" t="s">
        <v>40</v>
      </c>
      <c r="N154" s="63">
        <v>200</v>
      </c>
      <c r="O154" s="63">
        <v>200</v>
      </c>
      <c r="P154" s="63">
        <v>200</v>
      </c>
      <c r="Q154" s="63">
        <v>150</v>
      </c>
      <c r="R154" s="63">
        <v>400</v>
      </c>
      <c r="T154" s="64"/>
    </row>
    <row r="155" spans="1:20">
      <c r="M155" s="65" t="s">
        <v>41</v>
      </c>
      <c r="N155" s="63">
        <v>200</v>
      </c>
      <c r="O155" s="63">
        <v>200</v>
      </c>
      <c r="P155" s="63">
        <v>200</v>
      </c>
      <c r="Q155" s="63">
        <v>200</v>
      </c>
      <c r="R155" s="63">
        <v>150</v>
      </c>
      <c r="T155" s="64"/>
    </row>
    <row r="156" spans="1:20">
      <c r="D156" s="3"/>
      <c r="I156" s="3"/>
    </row>
    <row r="157" spans="1:20">
      <c r="M157" s="66" t="s">
        <v>65</v>
      </c>
    </row>
    <row r="158" spans="1:20">
      <c r="M158" s="66" t="s">
        <v>66</v>
      </c>
    </row>
    <row r="159" spans="1:20">
      <c r="C159" s="45"/>
      <c r="D159" s="45"/>
      <c r="E159" s="45"/>
      <c r="F159" s="45"/>
      <c r="G159" s="45"/>
      <c r="H159" s="45"/>
      <c r="I159" s="45"/>
    </row>
    <row r="160" spans="1:20">
      <c r="C160" s="54" t="s">
        <v>67</v>
      </c>
      <c r="D160" s="53" t="s">
        <v>68</v>
      </c>
      <c r="E160" s="53" t="s">
        <v>69</v>
      </c>
      <c r="F160" s="53" t="s">
        <v>70</v>
      </c>
      <c r="G160" s="53" t="s">
        <v>71</v>
      </c>
      <c r="H160" s="53" t="s">
        <v>72</v>
      </c>
      <c r="I160" s="53" t="s">
        <v>73</v>
      </c>
      <c r="M160" t="s">
        <v>74</v>
      </c>
    </row>
    <row r="161" spans="2:16">
      <c r="B161" s="52" t="s">
        <v>75</v>
      </c>
      <c r="C161" s="49" t="s">
        <v>76</v>
      </c>
      <c r="D161" s="50"/>
      <c r="E161" s="51"/>
      <c r="F161" s="51"/>
      <c r="G161" s="51"/>
      <c r="H161" s="50">
        <f>C148</f>
        <v>-2973500</v>
      </c>
      <c r="I161" s="51"/>
      <c r="M161" t="s">
        <v>77</v>
      </c>
      <c r="N161" s="46">
        <f>AVERAGE(O134:O135)/F137</f>
        <v>1.9735034060488279</v>
      </c>
    </row>
    <row r="162" spans="2:16">
      <c r="B162" s="91" t="s">
        <v>78</v>
      </c>
      <c r="C162" s="49" t="s">
        <v>79</v>
      </c>
      <c r="D162" s="50">
        <f>$J$150</f>
        <v>1560045.6000085361</v>
      </c>
      <c r="E162" s="50">
        <f>$F$150</f>
        <v>1076018.5172472664</v>
      </c>
      <c r="F162" s="50">
        <f>$F$138/2*$F$142</f>
        <v>2593.1321761135537</v>
      </c>
      <c r="G162" s="51">
        <f>$F$139*$O$166/12</f>
        <v>1209.2729183790193</v>
      </c>
      <c r="H162" s="50">
        <f>H161+D162-E162-F162-G162</f>
        <v>-2493275.3223332227</v>
      </c>
      <c r="I162" s="50">
        <f>H162*0.7974%</f>
        <v>-19881.37742028512</v>
      </c>
      <c r="M162" t="s">
        <v>80</v>
      </c>
      <c r="N162" s="46">
        <f>AVERAGE(P134:P135)/F137</f>
        <v>0.54873693743571028</v>
      </c>
    </row>
    <row r="163" spans="2:16">
      <c r="B163" s="91"/>
      <c r="C163" s="49" t="s">
        <v>81</v>
      </c>
      <c r="D163" s="50">
        <f t="shared" ref="D163:D185" si="12">$J$150</f>
        <v>1560045.6000085361</v>
      </c>
      <c r="E163" s="50">
        <f t="shared" ref="E163:E185" si="13">$F$150</f>
        <v>1076018.5172472664</v>
      </c>
      <c r="F163" s="50">
        <f t="shared" ref="F163:F185" si="14">$F$138/2*$F$142</f>
        <v>2593.1321761135537</v>
      </c>
      <c r="G163" s="51">
        <f t="shared" ref="G163:G185" si="15">$F$139*$O$166/12</f>
        <v>1209.2729183790193</v>
      </c>
      <c r="H163" s="50">
        <f t="shared" ref="H163:H185" si="16">H162+D163-E163-F163-G163+I162</f>
        <v>-2032932.0220867305</v>
      </c>
      <c r="I163" s="50">
        <f>H163*0.7974%</f>
        <v>-16210.599944119589</v>
      </c>
      <c r="M163" t="s">
        <v>82</v>
      </c>
      <c r="N163" s="46">
        <f>AVERAGE(Q134:Q135)/F137</f>
        <v>0.46473000532550623</v>
      </c>
    </row>
    <row r="164" spans="2:16">
      <c r="B164" s="91"/>
      <c r="C164" s="49" t="s">
        <v>83</v>
      </c>
      <c r="D164" s="50">
        <f t="shared" si="12"/>
        <v>1560045.6000085361</v>
      </c>
      <c r="E164" s="50">
        <f t="shared" si="13"/>
        <v>1076018.5172472664</v>
      </c>
      <c r="F164" s="50">
        <f t="shared" si="14"/>
        <v>2593.1321761135537</v>
      </c>
      <c r="G164" s="51">
        <f t="shared" si="15"/>
        <v>1209.2729183790193</v>
      </c>
      <c r="H164" s="50">
        <f t="shared" si="16"/>
        <v>-1568917.9443640728</v>
      </c>
      <c r="I164" s="50">
        <f t="shared" ref="I164:I184" si="17">H164*0.7974%</f>
        <v>-12510.551688359117</v>
      </c>
    </row>
    <row r="165" spans="2:16">
      <c r="B165" s="91"/>
      <c r="C165" s="49" t="s">
        <v>84</v>
      </c>
      <c r="D165" s="50">
        <f t="shared" si="12"/>
        <v>1560045.6000085361</v>
      </c>
      <c r="E165" s="50">
        <f t="shared" si="13"/>
        <v>1076018.5172472664</v>
      </c>
      <c r="F165" s="50">
        <f t="shared" si="14"/>
        <v>2593.1321761135537</v>
      </c>
      <c r="G165" s="51">
        <f t="shared" si="15"/>
        <v>1209.2729183790193</v>
      </c>
      <c r="H165" s="50">
        <f t="shared" si="16"/>
        <v>-1101203.8183856546</v>
      </c>
      <c r="I165" s="50">
        <f t="shared" si="17"/>
        <v>-8780.9992478072108</v>
      </c>
    </row>
    <row r="166" spans="2:16">
      <c r="B166" s="91"/>
      <c r="C166" s="49" t="s">
        <v>85</v>
      </c>
      <c r="D166" s="50">
        <f t="shared" si="12"/>
        <v>1560045.6000085361</v>
      </c>
      <c r="E166" s="50">
        <f t="shared" si="13"/>
        <v>1076018.5172472664</v>
      </c>
      <c r="F166" s="50">
        <f t="shared" si="14"/>
        <v>2593.1321761135537</v>
      </c>
      <c r="G166" s="51">
        <f t="shared" si="15"/>
        <v>1209.2729183790193</v>
      </c>
      <c r="H166" s="50">
        <f t="shared" si="16"/>
        <v>-629760.13996668463</v>
      </c>
      <c r="I166" s="50">
        <f t="shared" si="17"/>
        <v>-5021.7073560943436</v>
      </c>
      <c r="M166" t="s">
        <v>86</v>
      </c>
      <c r="N166">
        <f>Q147+O152</f>
        <v>225</v>
      </c>
      <c r="O166" s="67">
        <f>N166*N161+N167*N162+N168*N163</f>
        <v>699.50517535404549</v>
      </c>
      <c r="P166" t="s">
        <v>87</v>
      </c>
    </row>
    <row r="167" spans="2:16">
      <c r="B167" s="91"/>
      <c r="C167" s="49" t="s">
        <v>88</v>
      </c>
      <c r="D167" s="50">
        <f t="shared" si="12"/>
        <v>1560045.6000085361</v>
      </c>
      <c r="E167" s="50">
        <f t="shared" si="13"/>
        <v>1076018.5172472664</v>
      </c>
      <c r="F167" s="50">
        <f t="shared" si="14"/>
        <v>2593.1321761135537</v>
      </c>
      <c r="G167" s="51">
        <f t="shared" si="15"/>
        <v>1209.2729183790193</v>
      </c>
      <c r="H167" s="50">
        <f t="shared" si="16"/>
        <v>-154557.16965600179</v>
      </c>
      <c r="I167" s="50">
        <f t="shared" si="17"/>
        <v>-1232.4388708369584</v>
      </c>
      <c r="M167" t="s">
        <v>89</v>
      </c>
      <c r="N167">
        <f>Q147+P154</f>
        <v>275</v>
      </c>
      <c r="O167" s="67"/>
    </row>
    <row r="168" spans="2:16">
      <c r="B168" s="91"/>
      <c r="C168" s="49" t="s">
        <v>90</v>
      </c>
      <c r="D168" s="50">
        <f t="shared" si="12"/>
        <v>1560045.6000085361</v>
      </c>
      <c r="E168" s="50">
        <f t="shared" si="13"/>
        <v>1076018.5172472664</v>
      </c>
      <c r="F168" s="50">
        <f t="shared" si="14"/>
        <v>2593.1321761135537</v>
      </c>
      <c r="G168" s="51">
        <f t="shared" si="15"/>
        <v>1209.2729183790193</v>
      </c>
      <c r="H168" s="50">
        <f t="shared" si="16"/>
        <v>324435.06913993851</v>
      </c>
      <c r="I168" s="50">
        <f t="shared" si="17"/>
        <v>2587.0452413218695</v>
      </c>
      <c r="M168" t="s">
        <v>91</v>
      </c>
      <c r="N168">
        <f>Q147+Q154</f>
        <v>225</v>
      </c>
      <c r="O168" s="67"/>
    </row>
    <row r="169" spans="2:16">
      <c r="B169" s="91"/>
      <c r="C169" s="49" t="s">
        <v>92</v>
      </c>
      <c r="D169" s="50">
        <f t="shared" si="12"/>
        <v>1560045.6000085361</v>
      </c>
      <c r="E169" s="50">
        <f t="shared" si="13"/>
        <v>1076018.5172472664</v>
      </c>
      <c r="F169" s="50">
        <f t="shared" si="14"/>
        <v>2593.1321761135537</v>
      </c>
      <c r="G169" s="51">
        <f t="shared" si="15"/>
        <v>1209.2729183790193</v>
      </c>
      <c r="H169" s="50">
        <f t="shared" si="16"/>
        <v>807246.79204803763</v>
      </c>
      <c r="I169" s="50">
        <f t="shared" si="17"/>
        <v>6436.9859197910519</v>
      </c>
      <c r="J169" s="3"/>
    </row>
    <row r="170" spans="2:16">
      <c r="B170" s="91"/>
      <c r="C170" s="49" t="s">
        <v>93</v>
      </c>
      <c r="D170" s="50">
        <f t="shared" si="12"/>
        <v>1560045.6000085361</v>
      </c>
      <c r="E170" s="50">
        <f t="shared" si="13"/>
        <v>1076018.5172472664</v>
      </c>
      <c r="F170" s="50">
        <f t="shared" si="14"/>
        <v>2593.1321761135537</v>
      </c>
      <c r="G170" s="51">
        <f t="shared" si="15"/>
        <v>1209.2729183790193</v>
      </c>
      <c r="H170" s="50">
        <f t="shared" si="16"/>
        <v>1293908.4556346058</v>
      </c>
      <c r="I170" s="50">
        <f t="shared" si="17"/>
        <v>10317.626025230347</v>
      </c>
    </row>
    <row r="171" spans="2:16">
      <c r="B171" s="91"/>
      <c r="C171" s="49" t="s">
        <v>94</v>
      </c>
      <c r="D171" s="50">
        <f t="shared" si="12"/>
        <v>1560045.6000085361</v>
      </c>
      <c r="E171" s="50">
        <f t="shared" si="13"/>
        <v>1076018.5172472664</v>
      </c>
      <c r="F171" s="50">
        <f t="shared" si="14"/>
        <v>2593.1321761135537</v>
      </c>
      <c r="G171" s="51">
        <f t="shared" si="15"/>
        <v>1209.2729183790193</v>
      </c>
      <c r="H171" s="50">
        <f t="shared" si="16"/>
        <v>1784450.7593266137</v>
      </c>
      <c r="I171" s="50">
        <f t="shared" si="17"/>
        <v>14229.210354870418</v>
      </c>
    </row>
    <row r="172" spans="2:16">
      <c r="B172" s="91"/>
      <c r="C172" s="49" t="s">
        <v>95</v>
      </c>
      <c r="D172" s="50">
        <f t="shared" si="12"/>
        <v>1560045.6000085361</v>
      </c>
      <c r="E172" s="50">
        <f t="shared" si="13"/>
        <v>1076018.5172472664</v>
      </c>
      <c r="F172" s="50">
        <f t="shared" si="14"/>
        <v>2593.1321761135537</v>
      </c>
      <c r="G172" s="51">
        <f t="shared" si="15"/>
        <v>1209.2729183790193</v>
      </c>
      <c r="H172" s="50">
        <f t="shared" si="16"/>
        <v>2278904.6473482614</v>
      </c>
      <c r="I172" s="50">
        <f t="shared" si="17"/>
        <v>18171.985657955036</v>
      </c>
    </row>
    <row r="173" spans="2:16">
      <c r="B173" s="91"/>
      <c r="C173" s="49" t="s">
        <v>96</v>
      </c>
      <c r="D173" s="50">
        <f t="shared" si="12"/>
        <v>1560045.6000085361</v>
      </c>
      <c r="E173" s="50">
        <f t="shared" si="13"/>
        <v>1076018.5172472664</v>
      </c>
      <c r="F173" s="50">
        <f t="shared" si="14"/>
        <v>2593.1321761135537</v>
      </c>
      <c r="G173" s="51">
        <f t="shared" si="15"/>
        <v>1209.2729183790193</v>
      </c>
      <c r="H173" s="50">
        <f t="shared" si="16"/>
        <v>2777301.3106729938</v>
      </c>
      <c r="I173" s="50">
        <f t="shared" si="17"/>
        <v>22146.200651306452</v>
      </c>
    </row>
    <row r="174" spans="2:16">
      <c r="B174" s="91" t="s">
        <v>97</v>
      </c>
      <c r="C174" s="55" t="s">
        <v>79</v>
      </c>
      <c r="D174" s="50">
        <f t="shared" si="12"/>
        <v>1560045.6000085361</v>
      </c>
      <c r="E174" s="50">
        <f t="shared" si="13"/>
        <v>1076018.5172472664</v>
      </c>
      <c r="F174" s="50">
        <f t="shared" si="14"/>
        <v>2593.1321761135537</v>
      </c>
      <c r="G174" s="51">
        <f t="shared" si="15"/>
        <v>1209.2729183790193</v>
      </c>
      <c r="H174" s="50">
        <f t="shared" si="16"/>
        <v>3279672.1889910777</v>
      </c>
      <c r="I174" s="50">
        <f t="shared" si="17"/>
        <v>26152.106035014855</v>
      </c>
    </row>
    <row r="175" spans="2:16">
      <c r="B175" s="91"/>
      <c r="C175" s="55" t="s">
        <v>81</v>
      </c>
      <c r="D175" s="50">
        <f t="shared" si="12"/>
        <v>1560045.6000085361</v>
      </c>
      <c r="E175" s="50">
        <f t="shared" si="13"/>
        <v>1076018.5172472664</v>
      </c>
      <c r="F175" s="50">
        <f t="shared" si="14"/>
        <v>2593.1321761135537</v>
      </c>
      <c r="G175" s="51">
        <f t="shared" si="15"/>
        <v>1209.2729183790193</v>
      </c>
      <c r="H175" s="50">
        <f t="shared" si="16"/>
        <v>3786048.9726928696</v>
      </c>
      <c r="I175" s="50">
        <f t="shared" si="17"/>
        <v>30189.954508252944</v>
      </c>
    </row>
    <row r="176" spans="2:16">
      <c r="B176" s="91"/>
      <c r="C176" s="55" t="s">
        <v>83</v>
      </c>
      <c r="D176" s="50">
        <f t="shared" si="12"/>
        <v>1560045.6000085361</v>
      </c>
      <c r="E176" s="50">
        <f t="shared" si="13"/>
        <v>1076018.5172472664</v>
      </c>
      <c r="F176" s="50">
        <f t="shared" si="14"/>
        <v>2593.1321761135537</v>
      </c>
      <c r="G176" s="51">
        <f t="shared" si="15"/>
        <v>1209.2729183790193</v>
      </c>
      <c r="H176" s="50">
        <f t="shared" si="16"/>
        <v>4296463.6048679007</v>
      </c>
      <c r="I176" s="50">
        <f t="shared" si="17"/>
        <v>34260.000785216638</v>
      </c>
    </row>
    <row r="177" spans="2:13">
      <c r="B177" s="91"/>
      <c r="C177" s="55" t="s">
        <v>84</v>
      </c>
      <c r="D177" s="50">
        <f t="shared" si="12"/>
        <v>1560045.6000085361</v>
      </c>
      <c r="E177" s="50">
        <f t="shared" si="13"/>
        <v>1076018.5172472664</v>
      </c>
      <c r="F177" s="50">
        <f t="shared" si="14"/>
        <v>2593.1321761135537</v>
      </c>
      <c r="G177" s="51">
        <f t="shared" si="15"/>
        <v>1209.2729183790193</v>
      </c>
      <c r="H177" s="50">
        <f t="shared" si="16"/>
        <v>4810948.2833198952</v>
      </c>
      <c r="I177" s="50">
        <f t="shared" si="17"/>
        <v>38362.501611192842</v>
      </c>
    </row>
    <row r="178" spans="2:13">
      <c r="B178" s="91"/>
      <c r="C178" s="55" t="s">
        <v>85</v>
      </c>
      <c r="D178" s="50">
        <f t="shared" si="12"/>
        <v>1560045.6000085361</v>
      </c>
      <c r="E178" s="50">
        <f t="shared" si="13"/>
        <v>1076018.5172472664</v>
      </c>
      <c r="F178" s="50">
        <f t="shared" si="14"/>
        <v>2593.1321761135537</v>
      </c>
      <c r="G178" s="51">
        <f t="shared" si="15"/>
        <v>1209.2729183790193</v>
      </c>
      <c r="H178" s="50">
        <f t="shared" si="16"/>
        <v>5329535.4625978656</v>
      </c>
      <c r="I178" s="50">
        <f t="shared" si="17"/>
        <v>42497.715778755381</v>
      </c>
    </row>
    <row r="179" spans="2:13">
      <c r="B179" s="91"/>
      <c r="C179" s="55" t="s">
        <v>88</v>
      </c>
      <c r="D179" s="50">
        <f t="shared" si="12"/>
        <v>1560045.6000085361</v>
      </c>
      <c r="E179" s="50">
        <f t="shared" si="13"/>
        <v>1076018.5172472664</v>
      </c>
      <c r="F179" s="50">
        <f t="shared" si="14"/>
        <v>2593.1321761135537</v>
      </c>
      <c r="G179" s="51">
        <f t="shared" si="15"/>
        <v>1209.2729183790193</v>
      </c>
      <c r="H179" s="50">
        <f t="shared" si="16"/>
        <v>5852257.8560433984</v>
      </c>
      <c r="I179" s="50">
        <f t="shared" si="17"/>
        <v>46665.904144090062</v>
      </c>
    </row>
    <row r="180" spans="2:13">
      <c r="B180" s="91"/>
      <c r="C180" s="55" t="s">
        <v>90</v>
      </c>
      <c r="D180" s="50">
        <f t="shared" si="12"/>
        <v>1560045.6000085361</v>
      </c>
      <c r="E180" s="50">
        <f t="shared" si="13"/>
        <v>1076018.5172472664</v>
      </c>
      <c r="F180" s="50">
        <f t="shared" si="14"/>
        <v>2593.1321761135537</v>
      </c>
      <c r="G180" s="51">
        <f t="shared" si="15"/>
        <v>1209.2729183790193</v>
      </c>
      <c r="H180" s="50">
        <f t="shared" si="16"/>
        <v>6379148.4378542658</v>
      </c>
      <c r="I180" s="50">
        <f t="shared" si="17"/>
        <v>50867.329643449913</v>
      </c>
      <c r="K180" s="45" t="s">
        <v>98</v>
      </c>
      <c r="L180" s="3">
        <f>H185</f>
        <v>9077296.7927301563</v>
      </c>
    </row>
    <row r="181" spans="2:13">
      <c r="B181" s="91"/>
      <c r="C181" s="55" t="s">
        <v>92</v>
      </c>
      <c r="D181" s="50">
        <f t="shared" si="12"/>
        <v>1560045.6000085361</v>
      </c>
      <c r="E181" s="50">
        <f t="shared" si="13"/>
        <v>1076018.5172472664</v>
      </c>
      <c r="F181" s="50">
        <f t="shared" si="14"/>
        <v>2593.1321761135537</v>
      </c>
      <c r="G181" s="51">
        <f t="shared" si="15"/>
        <v>1209.2729183790193</v>
      </c>
      <c r="H181" s="50">
        <f t="shared" si="16"/>
        <v>6910240.4451644933</v>
      </c>
      <c r="I181" s="50">
        <f t="shared" si="17"/>
        <v>55102.257309741668</v>
      </c>
      <c r="K181" s="45" t="s">
        <v>99</v>
      </c>
      <c r="L181" s="3">
        <f>B152*SUM(D162:D185)</f>
        <v>7840843.2314089332</v>
      </c>
    </row>
    <row r="182" spans="2:13">
      <c r="B182" s="91"/>
      <c r="C182" s="55" t="s">
        <v>93</v>
      </c>
      <c r="D182" s="50">
        <f t="shared" si="12"/>
        <v>1560045.6000085361</v>
      </c>
      <c r="E182" s="50">
        <f t="shared" si="13"/>
        <v>1076018.5172472664</v>
      </c>
      <c r="F182" s="50">
        <f t="shared" si="14"/>
        <v>2593.1321761135537</v>
      </c>
      <c r="G182" s="51">
        <f t="shared" si="15"/>
        <v>1209.2729183790193</v>
      </c>
      <c r="H182" s="50">
        <f t="shared" si="16"/>
        <v>7445567.3801410133</v>
      </c>
      <c r="I182" s="50">
        <f t="shared" si="17"/>
        <v>59370.954289244444</v>
      </c>
      <c r="K182" s="39" t="s">
        <v>101</v>
      </c>
      <c r="L182" s="44">
        <f>L180-L181</f>
        <v>1236453.5613212232</v>
      </c>
      <c r="M182" s="3"/>
    </row>
    <row r="183" spans="2:13">
      <c r="B183" s="91"/>
      <c r="C183" s="55" t="s">
        <v>94</v>
      </c>
      <c r="D183" s="50">
        <f t="shared" si="12"/>
        <v>1560045.6000085361</v>
      </c>
      <c r="E183" s="50">
        <f t="shared" si="13"/>
        <v>1076018.5172472664</v>
      </c>
      <c r="F183" s="50">
        <f t="shared" si="14"/>
        <v>2593.1321761135537</v>
      </c>
      <c r="G183" s="51">
        <f t="shared" si="15"/>
        <v>1209.2729183790193</v>
      </c>
      <c r="H183" s="50">
        <f t="shared" si="16"/>
        <v>7985163.0120970346</v>
      </c>
      <c r="I183" s="50">
        <f t="shared" si="17"/>
        <v>63673.689858461752</v>
      </c>
    </row>
    <row r="184" spans="2:13">
      <c r="B184" s="91"/>
      <c r="C184" s="55" t="s">
        <v>95</v>
      </c>
      <c r="D184" s="50">
        <f t="shared" si="12"/>
        <v>1560045.6000085361</v>
      </c>
      <c r="E184" s="50">
        <f t="shared" si="13"/>
        <v>1076018.5172472664</v>
      </c>
      <c r="F184" s="50">
        <f t="shared" si="14"/>
        <v>2593.1321761135537</v>
      </c>
      <c r="G184" s="51">
        <f t="shared" si="15"/>
        <v>1209.2729183790193</v>
      </c>
      <c r="H184" s="50">
        <f t="shared" si="16"/>
        <v>8529061.3796222731</v>
      </c>
      <c r="I184" s="50">
        <f t="shared" si="17"/>
        <v>68010.735441108001</v>
      </c>
    </row>
    <row r="185" spans="2:13">
      <c r="B185" s="91"/>
      <c r="C185" s="55" t="s">
        <v>96</v>
      </c>
      <c r="D185" s="50">
        <f t="shared" si="12"/>
        <v>1560045.6000085361</v>
      </c>
      <c r="E185" s="50">
        <f t="shared" si="13"/>
        <v>1076018.5172472664</v>
      </c>
      <c r="F185" s="50">
        <f t="shared" si="14"/>
        <v>2593.1321761135537</v>
      </c>
      <c r="G185" s="51">
        <f t="shared" si="15"/>
        <v>1209.2729183790193</v>
      </c>
      <c r="H185" s="50">
        <f t="shared" si="16"/>
        <v>9077296.7927301563</v>
      </c>
      <c r="I185" s="50"/>
    </row>
    <row r="195" spans="3:5" ht="24">
      <c r="D195" s="23" t="s">
        <v>163</v>
      </c>
    </row>
    <row r="196" spans="3:5" ht="24">
      <c r="C196" t="s">
        <v>123</v>
      </c>
      <c r="D196" s="92">
        <f>L55+I114+L182</f>
        <v>9258781.2241841666</v>
      </c>
      <c r="E196" s="92"/>
    </row>
    <row r="198" spans="3:5">
      <c r="D198" t="s">
        <v>124</v>
      </c>
    </row>
    <row r="199" spans="3:5">
      <c r="D199" t="s">
        <v>125</v>
      </c>
    </row>
    <row r="200" spans="3:5">
      <c r="D200" t="s">
        <v>126</v>
      </c>
    </row>
    <row r="201" spans="3:5">
      <c r="D201" t="s">
        <v>127</v>
      </c>
    </row>
  </sheetData>
  <mergeCells count="10">
    <mergeCell ref="B100:B111"/>
    <mergeCell ref="D196:E196"/>
    <mergeCell ref="B162:B173"/>
    <mergeCell ref="B174:B185"/>
    <mergeCell ref="A2:A3"/>
    <mergeCell ref="B2:D2"/>
    <mergeCell ref="B3:D3"/>
    <mergeCell ref="B35:B46"/>
    <mergeCell ref="B47:B58"/>
    <mergeCell ref="B88:B99"/>
  </mergeCells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B459-E665-4660-AC59-0ED83CFE9D2C}">
  <dimension ref="A2:T197"/>
  <sheetViews>
    <sheetView zoomScale="85" zoomScaleNormal="85" workbookViewId="0">
      <selection activeCell="D26" sqref="D26"/>
    </sheetView>
  </sheetViews>
  <sheetFormatPr defaultColWidth="16.7109375" defaultRowHeight="15"/>
  <cols>
    <col min="1" max="1" width="31.140625" customWidth="1"/>
    <col min="2" max="2" width="35.140625" customWidth="1"/>
    <col min="3" max="3" width="40.5703125" customWidth="1"/>
    <col min="4" max="4" width="50.140625" customWidth="1"/>
    <col min="5" max="5" width="27.140625" customWidth="1"/>
    <col min="6" max="6" width="23.7109375" bestFit="1" customWidth="1"/>
    <col min="7" max="7" width="25.85546875" customWidth="1"/>
    <col min="8" max="8" width="17.140625" bestFit="1" customWidth="1"/>
    <col min="9" max="9" width="16.85546875" bestFit="1" customWidth="1"/>
    <col min="10" max="10" width="23.42578125" customWidth="1"/>
    <col min="11" max="11" width="22.85546875" customWidth="1"/>
    <col min="12" max="12" width="17.140625" bestFit="1" customWidth="1"/>
    <col min="13" max="13" width="18.5703125" bestFit="1" customWidth="1"/>
    <col min="14" max="14" width="19.85546875" bestFit="1" customWidth="1"/>
    <col min="15" max="16" width="16.85546875" bestFit="1" customWidth="1"/>
  </cols>
  <sheetData>
    <row r="2" spans="1:18">
      <c r="A2" s="93" t="s">
        <v>164</v>
      </c>
      <c r="B2" s="94" t="s">
        <v>1</v>
      </c>
      <c r="C2" s="94"/>
      <c r="D2" s="94"/>
    </row>
    <row r="3" spans="1:18">
      <c r="A3" s="93"/>
      <c r="B3" s="94" t="s">
        <v>165</v>
      </c>
      <c r="C3" s="94"/>
      <c r="D3" s="94"/>
    </row>
    <row r="5" spans="1:18">
      <c r="M5" s="45" t="s">
        <v>5</v>
      </c>
    </row>
    <row r="6" spans="1:18" ht="30">
      <c r="G6" t="s">
        <v>130</v>
      </c>
      <c r="M6" s="34" t="s">
        <v>6</v>
      </c>
      <c r="N6" s="34" t="s">
        <v>7</v>
      </c>
      <c r="O6" s="21" t="s">
        <v>8</v>
      </c>
      <c r="P6" s="21" t="s">
        <v>9</v>
      </c>
      <c r="Q6" s="21" t="s">
        <v>10</v>
      </c>
      <c r="R6" s="21" t="s">
        <v>11</v>
      </c>
    </row>
    <row r="7" spans="1:18">
      <c r="M7" s="22" t="s">
        <v>12</v>
      </c>
      <c r="N7" s="21">
        <v>12974</v>
      </c>
      <c r="O7" s="21">
        <v>15307.6255</v>
      </c>
      <c r="P7" s="21">
        <v>7084.5901639343938</v>
      </c>
      <c r="Q7" s="21">
        <v>5999.9999999999964</v>
      </c>
      <c r="R7" s="21">
        <v>6912.6988347453353</v>
      </c>
    </row>
    <row r="8" spans="1:18">
      <c r="B8" s="45" t="s">
        <v>13</v>
      </c>
      <c r="C8" s="45" t="s">
        <v>14</v>
      </c>
      <c r="M8" s="22" t="s">
        <v>15</v>
      </c>
      <c r="N8" s="21">
        <v>12641</v>
      </c>
      <c r="O8" s="21">
        <v>35651.082999999999</v>
      </c>
      <c r="P8" s="21">
        <v>7084.5901639343938</v>
      </c>
      <c r="Q8" s="21">
        <v>5999.9999999999964</v>
      </c>
      <c r="R8" s="21">
        <v>7034.226266481377</v>
      </c>
    </row>
    <row r="9" spans="1:18">
      <c r="A9" s="49" t="s">
        <v>16</v>
      </c>
      <c r="B9" s="51"/>
      <c r="C9" s="51"/>
      <c r="E9" s="72" t="s">
        <v>17</v>
      </c>
      <c r="F9" s="51"/>
      <c r="G9" s="51"/>
      <c r="M9" s="22" t="s">
        <v>18</v>
      </c>
      <c r="N9" s="21">
        <v>25615</v>
      </c>
      <c r="O9" s="21">
        <v>50958.708500000001</v>
      </c>
      <c r="P9" s="21">
        <v>14169.180327868788</v>
      </c>
      <c r="Q9" s="21">
        <v>11999.999999999993</v>
      </c>
      <c r="R9" s="21">
        <v>13946.925101226712</v>
      </c>
    </row>
    <row r="10" spans="1:18">
      <c r="A10" s="49" t="s">
        <v>19</v>
      </c>
      <c r="B10" s="51"/>
      <c r="C10" s="68">
        <f>6797*1000</f>
        <v>6797000</v>
      </c>
      <c r="E10" s="49" t="s">
        <v>20</v>
      </c>
      <c r="F10" s="60">
        <f>AVERAGE(O7:O8)+AVERAGE(P7:P8)+AVERAGE(Q7:Q8)</f>
        <v>38563.94441393439</v>
      </c>
      <c r="G10" s="51" t="s">
        <v>21</v>
      </c>
    </row>
    <row r="11" spans="1:18">
      <c r="A11" s="49" t="s">
        <v>132</v>
      </c>
      <c r="B11" s="51"/>
      <c r="C11" s="69">
        <v>500000</v>
      </c>
      <c r="E11" s="49" t="s">
        <v>23</v>
      </c>
      <c r="F11" s="51">
        <f>SQRT((2*F10*1500)/100)</f>
        <v>1075.6013817479186</v>
      </c>
      <c r="G11" s="51" t="s">
        <v>24</v>
      </c>
      <c r="H11">
        <f>F11/12</f>
        <v>89.633448478993216</v>
      </c>
      <c r="I11" t="s">
        <v>25</v>
      </c>
    </row>
    <row r="12" spans="1:18">
      <c r="A12" s="49" t="s">
        <v>26</v>
      </c>
      <c r="B12" s="70">
        <v>70</v>
      </c>
      <c r="C12" s="69">
        <f>50000*B12</f>
        <v>3500000</v>
      </c>
      <c r="E12" s="49" t="s">
        <v>27</v>
      </c>
      <c r="F12" s="51">
        <f>F10/F11</f>
        <v>35.853379391597286</v>
      </c>
      <c r="G12" s="51" t="s">
        <v>28</v>
      </c>
      <c r="H12">
        <f>F12/12</f>
        <v>2.9877816159664405</v>
      </c>
      <c r="I12" t="s">
        <v>25</v>
      </c>
    </row>
    <row r="13" spans="1:18">
      <c r="A13" s="73"/>
      <c r="B13" s="74"/>
      <c r="C13" s="75"/>
      <c r="E13" s="49" t="s">
        <v>30</v>
      </c>
      <c r="F13" s="51">
        <f>F12*F11</f>
        <v>38563.94441393439</v>
      </c>
      <c r="G13" s="51"/>
    </row>
    <row r="14" spans="1:18">
      <c r="A14" s="73"/>
      <c r="B14" s="74"/>
      <c r="C14" s="75"/>
      <c r="E14" s="49"/>
      <c r="F14" s="50">
        <f>1500+F13*1000</f>
        <v>38565444.413934387</v>
      </c>
      <c r="G14" s="51" t="s">
        <v>31</v>
      </c>
    </row>
    <row r="15" spans="1:18">
      <c r="A15" s="73"/>
      <c r="B15" s="74"/>
      <c r="C15" s="75"/>
      <c r="E15" s="49" t="s">
        <v>33</v>
      </c>
      <c r="F15" s="51">
        <f>100/12</f>
        <v>8.3333333333333339</v>
      </c>
      <c r="G15" s="51" t="s">
        <v>34</v>
      </c>
      <c r="M15" s="45" t="s">
        <v>35</v>
      </c>
    </row>
    <row r="16" spans="1:18">
      <c r="A16" s="49" t="s">
        <v>32</v>
      </c>
      <c r="B16" s="51"/>
      <c r="C16" s="69">
        <v>100000</v>
      </c>
      <c r="E16" s="41"/>
      <c r="F16" s="41"/>
      <c r="G16" s="42"/>
      <c r="M16" s="61"/>
      <c r="N16" s="65" t="s">
        <v>37</v>
      </c>
      <c r="O16" s="65" t="s">
        <v>38</v>
      </c>
      <c r="P16" s="65" t="s">
        <v>39</v>
      </c>
      <c r="Q16" s="65" t="s">
        <v>40</v>
      </c>
      <c r="R16" s="65" t="s">
        <v>41</v>
      </c>
    </row>
    <row r="17" spans="1:20" ht="15.75" thickBot="1">
      <c r="A17" s="51"/>
      <c r="B17" s="51"/>
      <c r="C17" s="69"/>
      <c r="E17" s="41"/>
      <c r="F17" s="41"/>
      <c r="G17" s="43"/>
      <c r="M17" s="61" t="s">
        <v>42</v>
      </c>
      <c r="N17" s="63">
        <v>75</v>
      </c>
      <c r="O17" s="63">
        <v>100</v>
      </c>
      <c r="P17" s="63">
        <v>100</v>
      </c>
      <c r="Q17" s="63">
        <v>100</v>
      </c>
      <c r="R17" s="63">
        <v>225</v>
      </c>
      <c r="S17">
        <f>15000/200</f>
        <v>75</v>
      </c>
    </row>
    <row r="18" spans="1:20">
      <c r="A18" s="49" t="s">
        <v>43</v>
      </c>
      <c r="B18" s="51"/>
      <c r="C18" s="69"/>
      <c r="M18" s="61" t="s">
        <v>44</v>
      </c>
      <c r="N18" s="63">
        <v>100</v>
      </c>
      <c r="O18" s="63">
        <v>75</v>
      </c>
      <c r="P18" s="63">
        <v>100</v>
      </c>
      <c r="Q18" s="63">
        <v>100</v>
      </c>
      <c r="R18" s="63">
        <v>225</v>
      </c>
    </row>
    <row r="19" spans="1:20">
      <c r="A19" s="51" t="s">
        <v>45</v>
      </c>
      <c r="B19" s="70">
        <v>1000</v>
      </c>
      <c r="C19" s="69">
        <f>1500+B19*1000</f>
        <v>1001500</v>
      </c>
      <c r="M19" s="61" t="s">
        <v>46</v>
      </c>
      <c r="N19" s="63">
        <v>100</v>
      </c>
      <c r="O19" s="63">
        <v>100</v>
      </c>
      <c r="P19" s="63">
        <v>75</v>
      </c>
      <c r="Q19" s="63">
        <v>100</v>
      </c>
      <c r="R19" s="63">
        <v>225</v>
      </c>
    </row>
    <row r="20" spans="1:20">
      <c r="M20" s="61" t="s">
        <v>47</v>
      </c>
      <c r="N20" s="63">
        <v>100</v>
      </c>
      <c r="O20" s="63">
        <v>100</v>
      </c>
      <c r="P20" s="63">
        <v>100</v>
      </c>
      <c r="Q20" s="63">
        <v>75</v>
      </c>
      <c r="R20" s="63">
        <v>225</v>
      </c>
    </row>
    <row r="21" spans="1:20">
      <c r="B21" s="38" t="s">
        <v>48</v>
      </c>
      <c r="C21" s="44">
        <f>C10-SUM(C11:C19)</f>
        <v>1695500</v>
      </c>
      <c r="E21" s="50"/>
      <c r="F21" s="49" t="s">
        <v>49</v>
      </c>
      <c r="G21" s="51"/>
      <c r="J21" t="s">
        <v>50</v>
      </c>
      <c r="M21" s="61" t="s">
        <v>51</v>
      </c>
      <c r="N21" s="63">
        <v>100</v>
      </c>
      <c r="O21" s="63">
        <v>100</v>
      </c>
      <c r="P21" s="63">
        <v>100</v>
      </c>
      <c r="Q21" s="63">
        <v>100</v>
      </c>
      <c r="R21" s="63">
        <v>75</v>
      </c>
    </row>
    <row r="22" spans="1:20">
      <c r="E22" s="49" t="s">
        <v>52</v>
      </c>
      <c r="F22" s="50">
        <f>1500+F13*1000</f>
        <v>38565444.413934387</v>
      </c>
      <c r="G22" s="51" t="s">
        <v>24</v>
      </c>
      <c r="I22" s="51" t="s">
        <v>53</v>
      </c>
      <c r="J22" s="50">
        <f>F13*1450</f>
        <v>55917719.400204867</v>
      </c>
      <c r="K22" s="51" t="s">
        <v>24</v>
      </c>
      <c r="M22" s="64"/>
      <c r="N22" s="64"/>
      <c r="O22" s="64"/>
      <c r="P22" s="64"/>
      <c r="Q22" s="64"/>
      <c r="R22" s="64"/>
      <c r="T22" s="62"/>
    </row>
    <row r="23" spans="1:20">
      <c r="E23" s="49" t="s">
        <v>52</v>
      </c>
      <c r="F23" s="50">
        <f>F22/12</f>
        <v>3213787.0344945323</v>
      </c>
      <c r="G23" s="51" t="s">
        <v>54</v>
      </c>
      <c r="I23" s="51" t="s">
        <v>53</v>
      </c>
      <c r="J23" s="50">
        <f>J22/12</f>
        <v>4659809.9500170723</v>
      </c>
      <c r="K23" s="51" t="s">
        <v>54</v>
      </c>
      <c r="M23" s="61"/>
      <c r="N23" s="61" t="s">
        <v>55</v>
      </c>
      <c r="O23" s="61" t="s">
        <v>56</v>
      </c>
      <c r="P23" s="61" t="s">
        <v>57</v>
      </c>
      <c r="Q23" s="61" t="s">
        <v>58</v>
      </c>
      <c r="R23" s="61" t="s">
        <v>59</v>
      </c>
      <c r="T23" s="64"/>
    </row>
    <row r="24" spans="1:20">
      <c r="A24" t="s">
        <v>63</v>
      </c>
      <c r="E24" s="49" t="s">
        <v>52</v>
      </c>
      <c r="F24" s="50">
        <f>F23/365</f>
        <v>8804.8959849165276</v>
      </c>
      <c r="G24" s="51" t="s">
        <v>60</v>
      </c>
      <c r="I24" s="51" t="s">
        <v>53</v>
      </c>
      <c r="J24" s="50">
        <f>J22/365</f>
        <v>153199.23123343798</v>
      </c>
      <c r="K24" s="51" t="s">
        <v>61</v>
      </c>
      <c r="M24" s="65" t="s">
        <v>37</v>
      </c>
      <c r="N24" s="63">
        <v>150</v>
      </c>
      <c r="O24" s="63">
        <v>200</v>
      </c>
      <c r="P24" s="63">
        <v>200</v>
      </c>
      <c r="Q24" s="63">
        <v>200</v>
      </c>
      <c r="R24" s="63">
        <v>400</v>
      </c>
      <c r="T24" s="64"/>
    </row>
    <row r="25" spans="1:20">
      <c r="A25" s="45" t="s">
        <v>62</v>
      </c>
      <c r="B25" s="71">
        <v>0.209418110154548</v>
      </c>
      <c r="D25" s="3"/>
      <c r="I25" s="3"/>
      <c r="M25" s="65" t="s">
        <v>38</v>
      </c>
      <c r="N25" s="63">
        <v>200</v>
      </c>
      <c r="O25" s="63">
        <v>150</v>
      </c>
      <c r="P25" s="63">
        <v>200</v>
      </c>
      <c r="Q25" s="63">
        <v>200</v>
      </c>
      <c r="R25" s="63">
        <v>400</v>
      </c>
      <c r="T25" s="64"/>
    </row>
    <row r="26" spans="1:20">
      <c r="M26" s="65" t="s">
        <v>39</v>
      </c>
      <c r="N26" s="63">
        <v>200</v>
      </c>
      <c r="O26" s="63">
        <v>200</v>
      </c>
      <c r="P26" s="63">
        <v>150</v>
      </c>
      <c r="Q26" s="63">
        <v>200</v>
      </c>
      <c r="R26" s="63">
        <v>400</v>
      </c>
      <c r="T26" s="64"/>
    </row>
    <row r="27" spans="1:20">
      <c r="D27" s="3"/>
      <c r="M27" s="65" t="s">
        <v>40</v>
      </c>
      <c r="N27" s="63">
        <v>200</v>
      </c>
      <c r="O27" s="63">
        <v>200</v>
      </c>
      <c r="P27" s="63">
        <v>200</v>
      </c>
      <c r="Q27" s="63">
        <v>150</v>
      </c>
      <c r="R27" s="63">
        <v>400</v>
      </c>
      <c r="T27" s="64"/>
    </row>
    <row r="28" spans="1:20">
      <c r="M28" s="65" t="s">
        <v>41</v>
      </c>
      <c r="N28" s="63">
        <v>200</v>
      </c>
      <c r="O28" s="63">
        <v>200</v>
      </c>
      <c r="P28" s="63">
        <v>200</v>
      </c>
      <c r="Q28" s="63">
        <v>200</v>
      </c>
      <c r="R28" s="63">
        <v>150</v>
      </c>
      <c r="T28" s="64"/>
    </row>
    <row r="29" spans="1:20">
      <c r="D29" s="3"/>
      <c r="I29" s="3"/>
    </row>
    <row r="30" spans="1:20">
      <c r="M30" s="66" t="s">
        <v>65</v>
      </c>
    </row>
    <row r="31" spans="1:20">
      <c r="M31" s="66" t="s">
        <v>66</v>
      </c>
    </row>
    <row r="32" spans="1:20">
      <c r="C32" s="45"/>
      <c r="D32" s="45"/>
      <c r="E32" s="45"/>
      <c r="F32" s="45"/>
      <c r="G32" s="45"/>
      <c r="H32" s="45"/>
      <c r="I32" s="45"/>
    </row>
    <row r="33" spans="2:16">
      <c r="C33" s="54" t="s">
        <v>67</v>
      </c>
      <c r="D33" s="53" t="s">
        <v>68</v>
      </c>
      <c r="E33" s="53" t="s">
        <v>69</v>
      </c>
      <c r="F33" s="53" t="s">
        <v>70</v>
      </c>
      <c r="G33" s="53" t="s">
        <v>71</v>
      </c>
      <c r="H33" s="53" t="s">
        <v>72</v>
      </c>
      <c r="I33" s="53" t="s">
        <v>73</v>
      </c>
      <c r="M33" t="s">
        <v>74</v>
      </c>
    </row>
    <row r="34" spans="2:16">
      <c r="B34" s="52" t="s">
        <v>75</v>
      </c>
      <c r="C34" s="49" t="s">
        <v>76</v>
      </c>
      <c r="D34" s="50"/>
      <c r="E34" s="51"/>
      <c r="F34" s="51"/>
      <c r="G34" s="51"/>
      <c r="H34" s="50">
        <f>C21</f>
        <v>1695500</v>
      </c>
      <c r="I34" s="51"/>
      <c r="M34" t="s">
        <v>77</v>
      </c>
      <c r="N34" s="46">
        <f>AVERAGE(O7:O8)/F10</f>
        <v>0.6607040497857759</v>
      </c>
    </row>
    <row r="35" spans="2:16">
      <c r="B35" s="91" t="s">
        <v>78</v>
      </c>
      <c r="C35" s="49" t="s">
        <v>79</v>
      </c>
      <c r="D35" s="50">
        <f t="shared" ref="D35:D58" si="0">$J$23</f>
        <v>4659809.9500170723</v>
      </c>
      <c r="E35" s="50">
        <f t="shared" ref="E35:E58" si="1">$F$23</f>
        <v>3213787.0344945323</v>
      </c>
      <c r="F35" s="50">
        <f t="shared" ref="F35:F58" si="2">$F$11/2*$F$15</f>
        <v>4481.6724239496607</v>
      </c>
      <c r="G35" s="51">
        <f t="shared" ref="G35:G58" si="3">$F$12*$O$39/12</f>
        <v>798.39713304427266</v>
      </c>
      <c r="H35" s="50">
        <f>H34+D35-E35-F35-G35</f>
        <v>3136242.8459655461</v>
      </c>
      <c r="I35" s="50">
        <f>H35*0.7974%</f>
        <v>25008.400453729264</v>
      </c>
      <c r="M35" t="s">
        <v>80</v>
      </c>
      <c r="N35" s="46">
        <f>AVERAGE(P7:P8)/F10</f>
        <v>0.18371020577901528</v>
      </c>
    </row>
    <row r="36" spans="2:16">
      <c r="B36" s="91"/>
      <c r="C36" s="49" t="s">
        <v>81</v>
      </c>
      <c r="D36" s="50">
        <f t="shared" si="0"/>
        <v>4659809.9500170723</v>
      </c>
      <c r="E36" s="50">
        <f t="shared" si="1"/>
        <v>3213787.0344945323</v>
      </c>
      <c r="F36" s="50">
        <f t="shared" si="2"/>
        <v>4481.6724239496607</v>
      </c>
      <c r="G36" s="51">
        <f t="shared" si="3"/>
        <v>798.39713304427266</v>
      </c>
      <c r="H36" s="50">
        <f t="shared" ref="H36:H58" si="4">H35+D36-E36-F36-G36+I35</f>
        <v>4601994.0923848217</v>
      </c>
      <c r="I36" s="50">
        <f>H36*0.7974%</f>
        <v>36696.300892676569</v>
      </c>
      <c r="M36" t="s">
        <v>82</v>
      </c>
      <c r="N36" s="46">
        <f>AVERAGE(Q7:Q8)/F10</f>
        <v>0.15558574443520887</v>
      </c>
    </row>
    <row r="37" spans="2:16">
      <c r="B37" s="91"/>
      <c r="C37" s="49" t="s">
        <v>83</v>
      </c>
      <c r="D37" s="50">
        <f t="shared" si="0"/>
        <v>4659809.9500170723</v>
      </c>
      <c r="E37" s="50">
        <f t="shared" si="1"/>
        <v>3213787.0344945323</v>
      </c>
      <c r="F37" s="50">
        <f t="shared" si="2"/>
        <v>4481.6724239496607</v>
      </c>
      <c r="G37" s="51">
        <f t="shared" si="3"/>
        <v>798.39713304427266</v>
      </c>
      <c r="H37" s="50">
        <f t="shared" si="4"/>
        <v>6079433.2392430454</v>
      </c>
      <c r="I37" s="50">
        <f t="shared" ref="I37:I57" si="5">H37*0.7974%</f>
        <v>48477.400649724048</v>
      </c>
    </row>
    <row r="38" spans="2:16">
      <c r="B38" s="91"/>
      <c r="C38" s="49" t="s">
        <v>84</v>
      </c>
      <c r="D38" s="50">
        <f t="shared" si="0"/>
        <v>4659809.9500170723</v>
      </c>
      <c r="E38" s="50">
        <f t="shared" si="1"/>
        <v>3213787.0344945323</v>
      </c>
      <c r="F38" s="50">
        <f t="shared" si="2"/>
        <v>4481.6724239496607</v>
      </c>
      <c r="G38" s="51">
        <f t="shared" si="3"/>
        <v>798.39713304427266</v>
      </c>
      <c r="H38" s="50">
        <f t="shared" si="4"/>
        <v>7568653.4858583156</v>
      </c>
      <c r="I38" s="50">
        <f t="shared" si="5"/>
        <v>60352.442896234214</v>
      </c>
    </row>
    <row r="39" spans="2:16">
      <c r="B39" s="91"/>
      <c r="C39" s="49" t="s">
        <v>85</v>
      </c>
      <c r="D39" s="50">
        <f t="shared" si="0"/>
        <v>4659809.9500170723</v>
      </c>
      <c r="E39" s="50">
        <f t="shared" si="1"/>
        <v>3213787.0344945323</v>
      </c>
      <c r="F39" s="50">
        <f t="shared" si="2"/>
        <v>4481.6724239496607</v>
      </c>
      <c r="G39" s="51">
        <f t="shared" si="3"/>
        <v>798.39713304427266</v>
      </c>
      <c r="H39" s="50">
        <f t="shared" si="4"/>
        <v>9069748.7747200951</v>
      </c>
      <c r="I39" s="50">
        <f t="shared" si="5"/>
        <v>72322.176729618033</v>
      </c>
      <c r="M39" t="s">
        <v>86</v>
      </c>
      <c r="N39">
        <f>Q20+O27</f>
        <v>275</v>
      </c>
      <c r="O39" s="67">
        <f>N39*N34+N40*N35+N41*N36</f>
        <v>267.22071277823954</v>
      </c>
      <c r="P39" t="s">
        <v>87</v>
      </c>
    </row>
    <row r="40" spans="2:16">
      <c r="B40" s="91"/>
      <c r="C40" s="49" t="s">
        <v>88</v>
      </c>
      <c r="D40" s="50">
        <f t="shared" si="0"/>
        <v>4659809.9500170723</v>
      </c>
      <c r="E40" s="50">
        <f t="shared" si="1"/>
        <v>3213787.0344945323</v>
      </c>
      <c r="F40" s="50">
        <f t="shared" si="2"/>
        <v>4481.6724239496607</v>
      </c>
      <c r="G40" s="51">
        <f t="shared" si="3"/>
        <v>798.39713304427266</v>
      </c>
      <c r="H40" s="50">
        <f t="shared" si="4"/>
        <v>10582813.797415258</v>
      </c>
      <c r="I40" s="50">
        <f t="shared" si="5"/>
        <v>84387.357220589271</v>
      </c>
      <c r="M40" t="s">
        <v>89</v>
      </c>
      <c r="N40">
        <f>O18+P27</f>
        <v>275</v>
      </c>
      <c r="O40" s="67"/>
    </row>
    <row r="41" spans="2:16">
      <c r="B41" s="91"/>
      <c r="C41" s="49" t="s">
        <v>90</v>
      </c>
      <c r="D41" s="50">
        <f t="shared" si="0"/>
        <v>4659809.9500170723</v>
      </c>
      <c r="E41" s="50">
        <f t="shared" si="1"/>
        <v>3213787.0344945323</v>
      </c>
      <c r="F41" s="50">
        <f t="shared" si="2"/>
        <v>4481.6724239496607</v>
      </c>
      <c r="G41" s="51">
        <f t="shared" si="3"/>
        <v>798.39713304427266</v>
      </c>
      <c r="H41" s="50">
        <f t="shared" si="4"/>
        <v>12107944.000601394</v>
      </c>
      <c r="I41" s="50">
        <f t="shared" si="5"/>
        <v>96548.745460795515</v>
      </c>
      <c r="M41" t="s">
        <v>91</v>
      </c>
      <c r="N41">
        <f>Q20+Q27</f>
        <v>225</v>
      </c>
      <c r="O41" s="67"/>
    </row>
    <row r="42" spans="2:16">
      <c r="B42" s="91"/>
      <c r="C42" s="49" t="s">
        <v>92</v>
      </c>
      <c r="D42" s="50">
        <f t="shared" si="0"/>
        <v>4659809.9500170723</v>
      </c>
      <c r="E42" s="50">
        <f t="shared" si="1"/>
        <v>3213787.0344945323</v>
      </c>
      <c r="F42" s="50">
        <f t="shared" si="2"/>
        <v>4481.6724239496607</v>
      </c>
      <c r="G42" s="51">
        <f t="shared" si="3"/>
        <v>798.39713304427266</v>
      </c>
      <c r="H42" s="50">
        <f t="shared" si="4"/>
        <v>13645235.592027735</v>
      </c>
      <c r="I42" s="50">
        <f t="shared" si="5"/>
        <v>108807.10861082916</v>
      </c>
      <c r="J42" s="3"/>
    </row>
    <row r="43" spans="2:16">
      <c r="B43" s="91"/>
      <c r="C43" s="49" t="s">
        <v>93</v>
      </c>
      <c r="D43" s="50">
        <f t="shared" si="0"/>
        <v>4659809.9500170723</v>
      </c>
      <c r="E43" s="50">
        <f t="shared" si="1"/>
        <v>3213787.0344945323</v>
      </c>
      <c r="F43" s="50">
        <f t="shared" si="2"/>
        <v>4481.6724239496607</v>
      </c>
      <c r="G43" s="51">
        <f t="shared" si="3"/>
        <v>798.39713304427266</v>
      </c>
      <c r="H43" s="50">
        <f t="shared" si="4"/>
        <v>15194785.54660411</v>
      </c>
      <c r="I43" s="50">
        <f t="shared" si="5"/>
        <v>121163.21994862118</v>
      </c>
    </row>
    <row r="44" spans="2:16">
      <c r="B44" s="91"/>
      <c r="C44" s="49" t="s">
        <v>94</v>
      </c>
      <c r="D44" s="50">
        <f t="shared" si="0"/>
        <v>4659809.9500170723</v>
      </c>
      <c r="E44" s="50">
        <f t="shared" si="1"/>
        <v>3213787.0344945323</v>
      </c>
      <c r="F44" s="50">
        <f t="shared" si="2"/>
        <v>4481.6724239496607</v>
      </c>
      <c r="G44" s="51">
        <f t="shared" si="3"/>
        <v>798.39713304427266</v>
      </c>
      <c r="H44" s="50">
        <f t="shared" si="4"/>
        <v>16756691.612518279</v>
      </c>
      <c r="I44" s="50">
        <f t="shared" si="5"/>
        <v>133617.85891822077</v>
      </c>
    </row>
    <row r="45" spans="2:16">
      <c r="B45" s="91"/>
      <c r="C45" s="49" t="s">
        <v>95</v>
      </c>
      <c r="D45" s="50">
        <f t="shared" si="0"/>
        <v>4659809.9500170723</v>
      </c>
      <c r="E45" s="50">
        <f t="shared" si="1"/>
        <v>3213787.0344945323</v>
      </c>
      <c r="F45" s="50">
        <f t="shared" si="2"/>
        <v>4481.6724239496607</v>
      </c>
      <c r="G45" s="51">
        <f t="shared" si="3"/>
        <v>798.39713304427266</v>
      </c>
      <c r="H45" s="50">
        <f t="shared" si="4"/>
        <v>18331052.317402042</v>
      </c>
      <c r="I45" s="50">
        <f t="shared" si="5"/>
        <v>146171.81117896389</v>
      </c>
    </row>
    <row r="46" spans="2:16">
      <c r="B46" s="91"/>
      <c r="C46" s="49" t="s">
        <v>96</v>
      </c>
      <c r="D46" s="50">
        <f t="shared" si="0"/>
        <v>4659809.9500170723</v>
      </c>
      <c r="E46" s="50">
        <f t="shared" si="1"/>
        <v>3213787.0344945323</v>
      </c>
      <c r="F46" s="50">
        <f t="shared" si="2"/>
        <v>4481.6724239496607</v>
      </c>
      <c r="G46" s="51">
        <f t="shared" si="3"/>
        <v>798.39713304427266</v>
      </c>
      <c r="H46" s="50">
        <f t="shared" si="4"/>
        <v>19917966.974546548</v>
      </c>
      <c r="I46" s="50">
        <f t="shared" si="5"/>
        <v>158825.86865503417</v>
      </c>
    </row>
    <row r="47" spans="2:16">
      <c r="B47" s="91" t="s">
        <v>97</v>
      </c>
      <c r="C47" s="55" t="s">
        <v>79</v>
      </c>
      <c r="D47" s="56">
        <f t="shared" si="0"/>
        <v>4659809.9500170723</v>
      </c>
      <c r="E47" s="56">
        <f t="shared" si="1"/>
        <v>3213787.0344945323</v>
      </c>
      <c r="F47" s="56">
        <f t="shared" si="2"/>
        <v>4481.6724239496607</v>
      </c>
      <c r="G47" s="51">
        <f t="shared" si="3"/>
        <v>798.39713304427266</v>
      </c>
      <c r="H47" s="56">
        <f t="shared" si="4"/>
        <v>21517535.689167127</v>
      </c>
      <c r="I47" s="56">
        <f t="shared" si="5"/>
        <v>171580.82958541869</v>
      </c>
    </row>
    <row r="48" spans="2:16">
      <c r="B48" s="91"/>
      <c r="C48" s="55" t="s">
        <v>81</v>
      </c>
      <c r="D48" s="56">
        <f t="shared" si="0"/>
        <v>4659809.9500170723</v>
      </c>
      <c r="E48" s="56">
        <f t="shared" si="1"/>
        <v>3213787.0344945323</v>
      </c>
      <c r="F48" s="56">
        <f t="shared" si="2"/>
        <v>4481.6724239496607</v>
      </c>
      <c r="G48" s="51">
        <f t="shared" si="3"/>
        <v>798.39713304427266</v>
      </c>
      <c r="H48" s="56">
        <f t="shared" si="4"/>
        <v>23129859.364718087</v>
      </c>
      <c r="I48" s="56">
        <f t="shared" si="5"/>
        <v>184437.49857426202</v>
      </c>
    </row>
    <row r="49" spans="2:15">
      <c r="B49" s="91"/>
      <c r="C49" s="55" t="s">
        <v>83</v>
      </c>
      <c r="D49" s="56">
        <f t="shared" si="0"/>
        <v>4659809.9500170723</v>
      </c>
      <c r="E49" s="56">
        <f t="shared" si="1"/>
        <v>3213787.0344945323</v>
      </c>
      <c r="F49" s="56">
        <f t="shared" si="2"/>
        <v>4481.6724239496607</v>
      </c>
      <c r="G49" s="51">
        <f t="shared" si="3"/>
        <v>798.39713304427266</v>
      </c>
      <c r="H49" s="56">
        <f t="shared" si="4"/>
        <v>24755039.70925789</v>
      </c>
      <c r="I49" s="56">
        <f t="shared" si="5"/>
        <v>197396.68664162242</v>
      </c>
    </row>
    <row r="50" spans="2:15">
      <c r="B50" s="91"/>
      <c r="C50" s="55" t="s">
        <v>84</v>
      </c>
      <c r="D50" s="56">
        <f t="shared" si="0"/>
        <v>4659809.9500170723</v>
      </c>
      <c r="E50" s="56">
        <f t="shared" si="1"/>
        <v>3213787.0344945323</v>
      </c>
      <c r="F50" s="56">
        <f t="shared" si="2"/>
        <v>4481.6724239496607</v>
      </c>
      <c r="G50" s="51">
        <f t="shared" si="3"/>
        <v>798.39713304427266</v>
      </c>
      <c r="H50" s="56">
        <f t="shared" si="4"/>
        <v>26393179.241865057</v>
      </c>
      <c r="I50" s="56">
        <f t="shared" si="5"/>
        <v>210459.21127463196</v>
      </c>
    </row>
    <row r="51" spans="2:15">
      <c r="B51" s="91"/>
      <c r="C51" s="55" t="s">
        <v>85</v>
      </c>
      <c r="D51" s="56">
        <f t="shared" si="0"/>
        <v>4659809.9500170723</v>
      </c>
      <c r="E51" s="56">
        <f t="shared" si="1"/>
        <v>3213787.0344945323</v>
      </c>
      <c r="F51" s="56">
        <f t="shared" si="2"/>
        <v>4481.6724239496607</v>
      </c>
      <c r="G51" s="51">
        <f t="shared" si="3"/>
        <v>798.39713304427266</v>
      </c>
      <c r="H51" s="56">
        <f t="shared" si="4"/>
        <v>28044381.299105234</v>
      </c>
      <c r="I51" s="56">
        <f t="shared" si="5"/>
        <v>223625.89647906515</v>
      </c>
    </row>
    <row r="52" spans="2:15">
      <c r="B52" s="91"/>
      <c r="C52" s="55" t="s">
        <v>88</v>
      </c>
      <c r="D52" s="56">
        <f t="shared" si="0"/>
        <v>4659809.9500170723</v>
      </c>
      <c r="E52" s="56">
        <f t="shared" si="1"/>
        <v>3213787.0344945323</v>
      </c>
      <c r="F52" s="56">
        <f t="shared" si="2"/>
        <v>4481.6724239496607</v>
      </c>
      <c r="G52" s="51">
        <f t="shared" si="3"/>
        <v>798.39713304427266</v>
      </c>
      <c r="H52" s="56">
        <f t="shared" si="4"/>
        <v>29708750.041549843</v>
      </c>
      <c r="I52" s="56">
        <f t="shared" si="5"/>
        <v>236897.57283131845</v>
      </c>
    </row>
    <row r="53" spans="2:15">
      <c r="B53" s="91"/>
      <c r="C53" s="55" t="s">
        <v>90</v>
      </c>
      <c r="D53" s="56">
        <f t="shared" si="0"/>
        <v>4659809.9500170723</v>
      </c>
      <c r="E53" s="56">
        <f t="shared" si="1"/>
        <v>3213787.0344945323</v>
      </c>
      <c r="F53" s="56">
        <f t="shared" si="2"/>
        <v>4481.6724239496607</v>
      </c>
      <c r="G53" s="51">
        <f t="shared" si="3"/>
        <v>798.39713304427266</v>
      </c>
      <c r="H53" s="56">
        <f t="shared" si="4"/>
        <v>31386390.460346699</v>
      </c>
      <c r="I53" s="56">
        <f t="shared" si="5"/>
        <v>250275.07753080458</v>
      </c>
      <c r="K53" s="45" t="s">
        <v>98</v>
      </c>
      <c r="L53" s="3">
        <f>H58</f>
        <v>39977401.369087689</v>
      </c>
    </row>
    <row r="54" spans="2:15">
      <c r="B54" s="91"/>
      <c r="C54" s="55" t="s">
        <v>92</v>
      </c>
      <c r="D54" s="56">
        <f t="shared" si="0"/>
        <v>4659809.9500170723</v>
      </c>
      <c r="E54" s="56">
        <f t="shared" si="1"/>
        <v>3213787.0344945323</v>
      </c>
      <c r="F54" s="56">
        <f t="shared" si="2"/>
        <v>4481.6724239496607</v>
      </c>
      <c r="G54" s="51">
        <f t="shared" si="3"/>
        <v>798.39713304427266</v>
      </c>
      <c r="H54" s="81">
        <f t="shared" si="4"/>
        <v>33077408.383843046</v>
      </c>
      <c r="I54" s="56">
        <f t="shared" si="5"/>
        <v>263759.25445276446</v>
      </c>
      <c r="K54" s="45" t="s">
        <v>99</v>
      </c>
      <c r="L54" s="3">
        <f>B25*SUM(D35:D58)</f>
        <v>23420366.241886403</v>
      </c>
      <c r="N54" t="s">
        <v>100</v>
      </c>
    </row>
    <row r="55" spans="2:15">
      <c r="B55" s="91"/>
      <c r="C55" s="55" t="s">
        <v>93</v>
      </c>
      <c r="D55" s="56">
        <f t="shared" si="0"/>
        <v>4659809.9500170723</v>
      </c>
      <c r="E55" s="56">
        <f t="shared" si="1"/>
        <v>3213787.0344945323</v>
      </c>
      <c r="F55" s="56">
        <f t="shared" si="2"/>
        <v>4481.6724239496607</v>
      </c>
      <c r="G55" s="51">
        <f t="shared" si="3"/>
        <v>798.39713304427266</v>
      </c>
      <c r="H55" s="56">
        <f t="shared" si="4"/>
        <v>34781910.484261349</v>
      </c>
      <c r="I55" s="56">
        <f t="shared" si="5"/>
        <v>277350.95420149999</v>
      </c>
      <c r="K55" s="45" t="s">
        <v>101</v>
      </c>
      <c r="L55" s="3">
        <f>L53-L54</f>
        <v>16557035.127201285</v>
      </c>
      <c r="M55" s="3">
        <f>L54/L53</f>
        <v>0.58584013567215187</v>
      </c>
    </row>
    <row r="56" spans="2:15">
      <c r="B56" s="91"/>
      <c r="C56" s="55" t="s">
        <v>94</v>
      </c>
      <c r="D56" s="56">
        <f t="shared" si="0"/>
        <v>4659809.9500170723</v>
      </c>
      <c r="E56" s="56">
        <f t="shared" si="1"/>
        <v>3213787.0344945323</v>
      </c>
      <c r="F56" s="56">
        <f t="shared" si="2"/>
        <v>4481.6724239496607</v>
      </c>
      <c r="G56" s="51">
        <f t="shared" si="3"/>
        <v>798.39713304427266</v>
      </c>
      <c r="H56" s="56">
        <f t="shared" si="4"/>
        <v>36500004.284428388</v>
      </c>
      <c r="I56" s="56">
        <f t="shared" si="5"/>
        <v>291051.03416403197</v>
      </c>
    </row>
    <row r="57" spans="2:15">
      <c r="B57" s="91"/>
      <c r="C57" s="55" t="s">
        <v>95</v>
      </c>
      <c r="D57" s="56">
        <f t="shared" si="0"/>
        <v>4659809.9500170723</v>
      </c>
      <c r="E57" s="56">
        <f t="shared" si="1"/>
        <v>3213787.0344945323</v>
      </c>
      <c r="F57" s="56">
        <f t="shared" si="2"/>
        <v>4481.6724239496607</v>
      </c>
      <c r="G57" s="51">
        <f t="shared" si="3"/>
        <v>798.39713304427266</v>
      </c>
      <c r="H57" s="56">
        <f t="shared" si="4"/>
        <v>38231798.164557964</v>
      </c>
      <c r="I57" s="56">
        <f t="shared" si="5"/>
        <v>304860.35856418521</v>
      </c>
    </row>
    <row r="58" spans="2:15">
      <c r="B58" s="91"/>
      <c r="C58" s="55" t="s">
        <v>96</v>
      </c>
      <c r="D58" s="56">
        <f t="shared" si="0"/>
        <v>4659809.9500170723</v>
      </c>
      <c r="E58" s="56">
        <f t="shared" si="1"/>
        <v>3213787.0344945323</v>
      </c>
      <c r="F58" s="56">
        <f t="shared" si="2"/>
        <v>4481.6724239496607</v>
      </c>
      <c r="G58" s="51">
        <f t="shared" si="3"/>
        <v>798.39713304427266</v>
      </c>
      <c r="H58" s="56">
        <f t="shared" si="4"/>
        <v>39977401.369087689</v>
      </c>
      <c r="I58" s="56"/>
    </row>
    <row r="60" spans="2:15">
      <c r="E60" s="3"/>
    </row>
    <row r="64" spans="2:15" ht="30">
      <c r="C64" s="45" t="s">
        <v>102</v>
      </c>
      <c r="J64" s="34" t="s">
        <v>6</v>
      </c>
      <c r="K64" s="34" t="s">
        <v>7</v>
      </c>
      <c r="L64" s="21" t="s">
        <v>8</v>
      </c>
      <c r="M64" s="21" t="s">
        <v>9</v>
      </c>
      <c r="N64" s="21" t="s">
        <v>10</v>
      </c>
      <c r="O64" s="21" t="s">
        <v>11</v>
      </c>
    </row>
    <row r="65" spans="3:15">
      <c r="J65" s="22" t="s">
        <v>12</v>
      </c>
      <c r="K65" s="21">
        <v>12974</v>
      </c>
      <c r="L65" s="21">
        <v>15307.6255</v>
      </c>
      <c r="M65" s="21">
        <v>7084.5901639343938</v>
      </c>
      <c r="N65" s="21">
        <v>5999.9999999999964</v>
      </c>
      <c r="O65" s="21">
        <v>6912.6988347453353</v>
      </c>
    </row>
    <row r="66" spans="3:15">
      <c r="C66" s="51" t="s">
        <v>104</v>
      </c>
      <c r="D66" s="60">
        <f>70*365</f>
        <v>25550</v>
      </c>
      <c r="E66" s="51" t="s">
        <v>24</v>
      </c>
      <c r="J66" s="22" t="s">
        <v>15</v>
      </c>
      <c r="K66" s="21">
        <v>12641</v>
      </c>
      <c r="L66" s="21">
        <v>35651.082999999999</v>
      </c>
      <c r="M66" s="21">
        <v>7084.5901639343938</v>
      </c>
      <c r="N66" s="21">
        <v>5999.9999999999964</v>
      </c>
      <c r="O66" s="21">
        <v>7034.226266481377</v>
      </c>
    </row>
    <row r="67" spans="3:15">
      <c r="J67" s="22" t="s">
        <v>18</v>
      </c>
      <c r="K67" s="21">
        <v>25615</v>
      </c>
      <c r="L67" s="21">
        <v>50958.708500000001</v>
      </c>
      <c r="M67" s="21">
        <v>14169.180327868788</v>
      </c>
      <c r="N67" s="21">
        <v>11999.999999999993</v>
      </c>
      <c r="O67" s="21">
        <v>13946.925101226712</v>
      </c>
    </row>
    <row r="70" spans="3:15">
      <c r="C70" s="49" t="s">
        <v>105</v>
      </c>
      <c r="D70" s="51">
        <f>D66</f>
        <v>25550</v>
      </c>
    </row>
    <row r="71" spans="3:15">
      <c r="C71" s="49" t="s">
        <v>23</v>
      </c>
      <c r="D71" s="51">
        <f>SQRT((2*D70*1500)/100)</f>
        <v>875.49985722443148</v>
      </c>
      <c r="G71" s="49" t="s">
        <v>107</v>
      </c>
      <c r="H71" s="50">
        <f>D73*1450</f>
        <v>37047500</v>
      </c>
      <c r="O71" s="3"/>
    </row>
    <row r="72" spans="3:15">
      <c r="C72" s="49" t="s">
        <v>108</v>
      </c>
      <c r="D72" s="51">
        <f>D70/D71</f>
        <v>29.183328574147719</v>
      </c>
      <c r="G72" s="49" t="s">
        <v>109</v>
      </c>
      <c r="H72" s="50">
        <f>H71/12</f>
        <v>3087291.6666666665</v>
      </c>
    </row>
    <row r="73" spans="3:15">
      <c r="C73" s="49" t="s">
        <v>110</v>
      </c>
      <c r="D73" s="51">
        <f>D72*D71</f>
        <v>25550</v>
      </c>
      <c r="G73" s="49" t="s">
        <v>111</v>
      </c>
      <c r="H73" s="50">
        <f>H71/365</f>
        <v>101500</v>
      </c>
      <c r="O73" s="3"/>
    </row>
    <row r="74" spans="3:15">
      <c r="C74" s="49" t="s">
        <v>112</v>
      </c>
      <c r="D74" s="51">
        <f>100/12</f>
        <v>8.3333333333333339</v>
      </c>
    </row>
    <row r="80" spans="3:15">
      <c r="C80" s="49" t="s">
        <v>113</v>
      </c>
      <c r="D80" s="50">
        <f>1500+D73*1000</f>
        <v>25551500</v>
      </c>
      <c r="E80" s="51" t="s">
        <v>24</v>
      </c>
      <c r="G80" s="51" t="s">
        <v>114</v>
      </c>
      <c r="H80" s="50">
        <f>H72-D81</f>
        <v>958000</v>
      </c>
      <c r="I80" s="51" t="s">
        <v>115</v>
      </c>
    </row>
    <row r="81" spans="2:19">
      <c r="C81" s="49" t="s">
        <v>113</v>
      </c>
      <c r="D81" s="50">
        <f>D80/12</f>
        <v>2129291.6666666665</v>
      </c>
      <c r="E81" s="51" t="s">
        <v>54</v>
      </c>
      <c r="G81" s="51" t="s">
        <v>114</v>
      </c>
      <c r="H81" s="50">
        <f>H73-D82</f>
        <v>31495.890410958906</v>
      </c>
      <c r="I81" s="51" t="s">
        <v>60</v>
      </c>
      <c r="J81" t="s">
        <v>116</v>
      </c>
    </row>
    <row r="82" spans="2:19">
      <c r="C82" s="49" t="s">
        <v>113</v>
      </c>
      <c r="D82" s="50">
        <f>D80/365</f>
        <v>70004.109589041094</v>
      </c>
      <c r="E82" s="51" t="s">
        <v>60</v>
      </c>
      <c r="M82" s="45" t="s">
        <v>5</v>
      </c>
    </row>
    <row r="83" spans="2:19" ht="30">
      <c r="M83" s="34" t="s">
        <v>6</v>
      </c>
      <c r="N83" s="34" t="s">
        <v>7</v>
      </c>
      <c r="O83" s="21" t="s">
        <v>8</v>
      </c>
      <c r="P83" s="21" t="s">
        <v>9</v>
      </c>
      <c r="Q83" s="21" t="s">
        <v>10</v>
      </c>
      <c r="R83" s="21" t="s">
        <v>11</v>
      </c>
    </row>
    <row r="84" spans="2:19">
      <c r="M84" s="22" t="s">
        <v>12</v>
      </c>
      <c r="N84" s="21">
        <v>12974</v>
      </c>
      <c r="O84" s="21">
        <v>15307.6255</v>
      </c>
      <c r="P84" s="21">
        <v>7084.5901639343938</v>
      </c>
      <c r="Q84" s="21">
        <v>5999.9999999999964</v>
      </c>
      <c r="R84" s="21">
        <v>6912.6988347453353</v>
      </c>
    </row>
    <row r="85" spans="2:19">
      <c r="C85" s="45" t="s">
        <v>117</v>
      </c>
      <c r="D85" s="45"/>
      <c r="E85" s="45"/>
      <c r="F85" s="45"/>
      <c r="G85" s="45"/>
      <c r="H85" s="45"/>
      <c r="I85" s="45"/>
      <c r="M85" s="22" t="s">
        <v>15</v>
      </c>
      <c r="N85" s="21">
        <v>12641</v>
      </c>
      <c r="O85" s="21">
        <v>35651.082999999999</v>
      </c>
      <c r="P85" s="21">
        <v>7084.5901639343938</v>
      </c>
      <c r="Q85" s="21">
        <v>5999.9999999999964</v>
      </c>
      <c r="R85" s="21">
        <v>7034.226266481377</v>
      </c>
    </row>
    <row r="86" spans="2:19">
      <c r="B86" s="52"/>
      <c r="C86" s="53" t="s">
        <v>67</v>
      </c>
      <c r="D86" s="53" t="s">
        <v>68</v>
      </c>
      <c r="E86" s="53" t="s">
        <v>69</v>
      </c>
      <c r="F86" s="53" t="s">
        <v>70</v>
      </c>
      <c r="G86" s="53" t="s">
        <v>71</v>
      </c>
      <c r="H86" s="53" t="s">
        <v>72</v>
      </c>
      <c r="I86" s="53" t="s">
        <v>73</v>
      </c>
      <c r="M86" s="22" t="s">
        <v>18</v>
      </c>
      <c r="N86" s="21">
        <v>25615</v>
      </c>
      <c r="O86" s="21">
        <v>50958.708500000001</v>
      </c>
      <c r="P86" s="21">
        <v>14169.180327868788</v>
      </c>
      <c r="Q86" s="21">
        <v>11999.999999999993</v>
      </c>
      <c r="R86" s="21">
        <v>13946.925101226712</v>
      </c>
    </row>
    <row r="87" spans="2:19">
      <c r="B87" s="52" t="s">
        <v>75</v>
      </c>
      <c r="C87" s="49" t="s">
        <v>76</v>
      </c>
      <c r="D87" s="50"/>
      <c r="E87" s="51"/>
      <c r="F87" s="51"/>
      <c r="G87" s="51"/>
      <c r="H87" s="50">
        <v>0</v>
      </c>
      <c r="I87" s="51"/>
    </row>
    <row r="88" spans="2:19">
      <c r="B88" s="91" t="s">
        <v>78</v>
      </c>
      <c r="C88" s="49" t="s">
        <v>79</v>
      </c>
      <c r="D88" s="50">
        <f t="shared" ref="D88:D111" si="6">$H$72</f>
        <v>3087291.6666666665</v>
      </c>
      <c r="E88" s="50">
        <f t="shared" ref="E88:E111" si="7">$D$81</f>
        <v>2129291.6666666665</v>
      </c>
      <c r="F88" s="50">
        <f t="shared" ref="F88:F111" si="8">$D$71/2*$D$74</f>
        <v>3647.9160717684649</v>
      </c>
      <c r="G88" s="51">
        <f>$O$116*$D$73/12</f>
        <v>417255.37909835979</v>
      </c>
      <c r="H88" s="50">
        <f>(H87+D88-E88-F88-G88)</f>
        <v>537096.70482987165</v>
      </c>
      <c r="I88" s="50">
        <f>H88*0.7974%</f>
        <v>4282.8091243133968</v>
      </c>
    </row>
    <row r="89" spans="2:19">
      <c r="B89" s="91"/>
      <c r="C89" s="49" t="s">
        <v>81</v>
      </c>
      <c r="D89" s="50">
        <f t="shared" si="6"/>
        <v>3087291.6666666665</v>
      </c>
      <c r="E89" s="50">
        <f t="shared" si="7"/>
        <v>2129291.6666666665</v>
      </c>
      <c r="F89" s="50">
        <f t="shared" si="8"/>
        <v>3647.9160717684649</v>
      </c>
      <c r="G89" s="51">
        <f t="shared" ref="G89:G111" si="9">$O$116*$D$73/12</f>
        <v>417255.37909835979</v>
      </c>
      <c r="H89" s="50">
        <f t="shared" ref="H89:H111" si="10">H88+D89-E89-F89-G89+I88</f>
        <v>1078476.2187840568</v>
      </c>
      <c r="I89" s="50">
        <f t="shared" ref="I89:I110" si="11">H89*0.7974%</f>
        <v>8599.7693685840695</v>
      </c>
    </row>
    <row r="90" spans="2:19">
      <c r="B90" s="91"/>
      <c r="C90" s="49" t="s">
        <v>83</v>
      </c>
      <c r="D90" s="50">
        <f t="shared" si="6"/>
        <v>3087291.6666666665</v>
      </c>
      <c r="E90" s="50">
        <f t="shared" si="7"/>
        <v>2129291.6666666665</v>
      </c>
      <c r="F90" s="50">
        <f t="shared" si="8"/>
        <v>3647.9160717684649</v>
      </c>
      <c r="G90" s="51">
        <f t="shared" si="9"/>
        <v>417255.37909835979</v>
      </c>
      <c r="H90" s="50">
        <f t="shared" si="10"/>
        <v>1624172.692982513</v>
      </c>
      <c r="I90" s="50">
        <f t="shared" si="11"/>
        <v>12951.15305384256</v>
      </c>
    </row>
    <row r="91" spans="2:19">
      <c r="B91" s="91"/>
      <c r="C91" s="49" t="s">
        <v>84</v>
      </c>
      <c r="D91" s="50">
        <f t="shared" si="6"/>
        <v>3087291.6666666665</v>
      </c>
      <c r="E91" s="50">
        <f t="shared" si="7"/>
        <v>2129291.6666666665</v>
      </c>
      <c r="F91" s="50">
        <f t="shared" si="8"/>
        <v>3647.9160717684649</v>
      </c>
      <c r="G91" s="51">
        <f t="shared" si="9"/>
        <v>417255.37909835979</v>
      </c>
      <c r="H91" s="50">
        <f t="shared" si="10"/>
        <v>2174220.5508662271</v>
      </c>
      <c r="I91" s="50">
        <f t="shared" si="11"/>
        <v>17337.234672607294</v>
      </c>
    </row>
    <row r="92" spans="2:19">
      <c r="B92" s="91"/>
      <c r="C92" s="49" t="s">
        <v>85</v>
      </c>
      <c r="D92" s="50">
        <f t="shared" si="6"/>
        <v>3087291.6666666665</v>
      </c>
      <c r="E92" s="50">
        <f t="shared" si="7"/>
        <v>2129291.6666666665</v>
      </c>
      <c r="F92" s="50">
        <f t="shared" si="8"/>
        <v>3647.9160717684649</v>
      </c>
      <c r="G92" s="51">
        <f t="shared" si="9"/>
        <v>417255.37909835979</v>
      </c>
      <c r="H92" s="50">
        <f t="shared" si="10"/>
        <v>2728654.4903687062</v>
      </c>
      <c r="I92" s="50">
        <f t="shared" si="11"/>
        <v>21758.290906200062</v>
      </c>
      <c r="M92" s="45" t="s">
        <v>35</v>
      </c>
    </row>
    <row r="93" spans="2:19">
      <c r="B93" s="91"/>
      <c r="C93" s="49" t="s">
        <v>88</v>
      </c>
      <c r="D93" s="50">
        <f t="shared" si="6"/>
        <v>3087291.6666666665</v>
      </c>
      <c r="E93" s="50">
        <f t="shared" si="7"/>
        <v>2129291.6666666665</v>
      </c>
      <c r="F93" s="50">
        <f t="shared" si="8"/>
        <v>3647.9160717684649</v>
      </c>
      <c r="G93" s="51">
        <f t="shared" si="9"/>
        <v>417255.37909835979</v>
      </c>
      <c r="H93" s="50">
        <f t="shared" si="10"/>
        <v>3287509.4861047785</v>
      </c>
      <c r="I93" s="50">
        <f t="shared" si="11"/>
        <v>26214.600642199504</v>
      </c>
      <c r="M93" s="61"/>
      <c r="N93" s="65" t="s">
        <v>37</v>
      </c>
      <c r="O93" s="65" t="s">
        <v>38</v>
      </c>
      <c r="P93" s="65" t="s">
        <v>39</v>
      </c>
      <c r="Q93" s="65" t="s">
        <v>40</v>
      </c>
      <c r="R93" s="65" t="s">
        <v>41</v>
      </c>
    </row>
    <row r="94" spans="2:19">
      <c r="B94" s="91"/>
      <c r="C94" s="49" t="s">
        <v>90</v>
      </c>
      <c r="D94" s="50">
        <f t="shared" si="6"/>
        <v>3087291.6666666665</v>
      </c>
      <c r="E94" s="50">
        <f t="shared" si="7"/>
        <v>2129291.6666666665</v>
      </c>
      <c r="F94" s="50">
        <f t="shared" si="8"/>
        <v>3647.9160717684649</v>
      </c>
      <c r="G94" s="51">
        <f t="shared" si="9"/>
        <v>417255.37909835979</v>
      </c>
      <c r="H94" s="50">
        <f t="shared" si="10"/>
        <v>3850820.7915768498</v>
      </c>
      <c r="I94" s="50">
        <f t="shared" si="11"/>
        <v>30706.444992033801</v>
      </c>
      <c r="M94" s="61" t="s">
        <v>42</v>
      </c>
      <c r="N94" s="63">
        <v>75</v>
      </c>
      <c r="O94" s="63">
        <v>100</v>
      </c>
      <c r="P94" s="63">
        <v>100</v>
      </c>
      <c r="Q94" s="63">
        <v>100</v>
      </c>
      <c r="R94" s="63">
        <v>225</v>
      </c>
      <c r="S94">
        <f>15000/200</f>
        <v>75</v>
      </c>
    </row>
    <row r="95" spans="2:19">
      <c r="B95" s="91"/>
      <c r="C95" s="49" t="s">
        <v>92</v>
      </c>
      <c r="D95" s="50">
        <f t="shared" si="6"/>
        <v>3087291.6666666665</v>
      </c>
      <c r="E95" s="50">
        <f t="shared" si="7"/>
        <v>2129291.6666666665</v>
      </c>
      <c r="F95" s="50">
        <f t="shared" si="8"/>
        <v>3647.9160717684649</v>
      </c>
      <c r="G95" s="51">
        <f t="shared" si="9"/>
        <v>417255.37909835979</v>
      </c>
      <c r="H95" s="50">
        <f t="shared" si="10"/>
        <v>4418623.9413987547</v>
      </c>
      <c r="I95" s="50">
        <f t="shared" si="11"/>
        <v>35234.107308713668</v>
      </c>
      <c r="M95" s="61" t="s">
        <v>44</v>
      </c>
      <c r="N95" s="63">
        <v>100</v>
      </c>
      <c r="O95" s="63">
        <v>75</v>
      </c>
      <c r="P95" s="63">
        <v>100</v>
      </c>
      <c r="Q95" s="63">
        <v>100</v>
      </c>
      <c r="R95" s="63">
        <v>225</v>
      </c>
    </row>
    <row r="96" spans="2:19">
      <c r="B96" s="91"/>
      <c r="C96" s="49" t="s">
        <v>93</v>
      </c>
      <c r="D96" s="50">
        <f t="shared" si="6"/>
        <v>3087291.6666666665</v>
      </c>
      <c r="E96" s="50">
        <f t="shared" si="7"/>
        <v>2129291.6666666665</v>
      </c>
      <c r="F96" s="50">
        <f t="shared" si="8"/>
        <v>3647.9160717684649</v>
      </c>
      <c r="G96" s="51">
        <f t="shared" si="9"/>
        <v>417255.37909835979</v>
      </c>
      <c r="H96" s="50">
        <f t="shared" si="10"/>
        <v>4990954.7535373401</v>
      </c>
      <c r="I96" s="50">
        <f t="shared" si="11"/>
        <v>39797.873204706753</v>
      </c>
      <c r="M96" s="61" t="s">
        <v>46</v>
      </c>
      <c r="N96" s="63">
        <v>100</v>
      </c>
      <c r="O96" s="63">
        <v>100</v>
      </c>
      <c r="P96" s="63">
        <v>75</v>
      </c>
      <c r="Q96" s="63">
        <v>100</v>
      </c>
      <c r="R96" s="63">
        <v>225</v>
      </c>
    </row>
    <row r="97" spans="2:20">
      <c r="B97" s="91"/>
      <c r="C97" s="49" t="s">
        <v>94</v>
      </c>
      <c r="D97" s="50">
        <f t="shared" si="6"/>
        <v>3087291.6666666665</v>
      </c>
      <c r="E97" s="50">
        <f t="shared" si="7"/>
        <v>2129291.6666666665</v>
      </c>
      <c r="F97" s="50">
        <f t="shared" si="8"/>
        <v>3647.9160717684649</v>
      </c>
      <c r="G97" s="51">
        <f t="shared" si="9"/>
        <v>417255.37909835979</v>
      </c>
      <c r="H97" s="50">
        <f t="shared" si="10"/>
        <v>5567849.3315719189</v>
      </c>
      <c r="I97" s="50">
        <f t="shared" si="11"/>
        <v>44398.030569954484</v>
      </c>
      <c r="M97" s="61" t="s">
        <v>47</v>
      </c>
      <c r="N97" s="63">
        <v>100</v>
      </c>
      <c r="O97" s="63">
        <v>100</v>
      </c>
      <c r="P97" s="63">
        <v>100</v>
      </c>
      <c r="Q97" s="63">
        <v>75</v>
      </c>
      <c r="R97" s="63">
        <v>225</v>
      </c>
    </row>
    <row r="98" spans="2:20">
      <c r="B98" s="91"/>
      <c r="C98" s="49" t="s">
        <v>95</v>
      </c>
      <c r="D98" s="50">
        <f t="shared" si="6"/>
        <v>3087291.6666666665</v>
      </c>
      <c r="E98" s="50">
        <f t="shared" si="7"/>
        <v>2129291.6666666665</v>
      </c>
      <c r="F98" s="50">
        <f t="shared" si="8"/>
        <v>3647.9160717684649</v>
      </c>
      <c r="G98" s="51">
        <f t="shared" si="9"/>
        <v>417255.37909835979</v>
      </c>
      <c r="H98" s="50">
        <f t="shared" si="10"/>
        <v>6149344.0669717463</v>
      </c>
      <c r="I98" s="50">
        <f t="shared" si="11"/>
        <v>49034.869590032707</v>
      </c>
      <c r="M98" s="61" t="s">
        <v>51</v>
      </c>
      <c r="N98" s="63">
        <v>100</v>
      </c>
      <c r="O98" s="63">
        <v>100</v>
      </c>
      <c r="P98" s="63">
        <v>100</v>
      </c>
      <c r="Q98" s="63">
        <v>100</v>
      </c>
      <c r="R98" s="63">
        <v>75</v>
      </c>
    </row>
    <row r="99" spans="2:20">
      <c r="B99" s="91"/>
      <c r="C99" s="49" t="s">
        <v>96</v>
      </c>
      <c r="D99" s="50">
        <f t="shared" si="6"/>
        <v>3087291.6666666665</v>
      </c>
      <c r="E99" s="50">
        <f t="shared" si="7"/>
        <v>2129291.6666666665</v>
      </c>
      <c r="F99" s="50">
        <f t="shared" si="8"/>
        <v>3647.9160717684649</v>
      </c>
      <c r="G99" s="51">
        <f t="shared" si="9"/>
        <v>417255.37909835979</v>
      </c>
      <c r="H99" s="50">
        <f t="shared" si="10"/>
        <v>6735475.6413916517</v>
      </c>
      <c r="I99" s="50">
        <f t="shared" si="11"/>
        <v>53708.682764457029</v>
      </c>
      <c r="M99" s="64"/>
      <c r="N99" s="64"/>
      <c r="O99" s="64"/>
      <c r="P99" s="64"/>
      <c r="Q99" s="64"/>
      <c r="R99" s="64"/>
      <c r="T99" s="62"/>
    </row>
    <row r="100" spans="2:20">
      <c r="B100" s="91" t="s">
        <v>97</v>
      </c>
      <c r="C100" s="55" t="s">
        <v>79</v>
      </c>
      <c r="D100" s="56">
        <f t="shared" si="6"/>
        <v>3087291.6666666665</v>
      </c>
      <c r="E100" s="56">
        <f t="shared" si="7"/>
        <v>2129291.6666666665</v>
      </c>
      <c r="F100" s="56">
        <f t="shared" si="8"/>
        <v>3647.9160717684649</v>
      </c>
      <c r="G100" s="51">
        <f t="shared" si="9"/>
        <v>417255.37909835979</v>
      </c>
      <c r="H100" s="56">
        <f t="shared" si="10"/>
        <v>7326281.02898598</v>
      </c>
      <c r="I100" s="56">
        <f t="shared" si="11"/>
        <v>58419.764925134208</v>
      </c>
      <c r="M100" s="61"/>
      <c r="N100" s="61" t="s">
        <v>55</v>
      </c>
      <c r="O100" s="61" t="s">
        <v>56</v>
      </c>
      <c r="P100" s="61" t="s">
        <v>57</v>
      </c>
      <c r="Q100" s="61" t="s">
        <v>58</v>
      </c>
      <c r="R100" s="61" t="s">
        <v>59</v>
      </c>
      <c r="T100" s="64"/>
    </row>
    <row r="101" spans="2:20">
      <c r="B101" s="91"/>
      <c r="C101" s="55" t="s">
        <v>81</v>
      </c>
      <c r="D101" s="56">
        <f t="shared" si="6"/>
        <v>3087291.6666666665</v>
      </c>
      <c r="E101" s="56">
        <f t="shared" si="7"/>
        <v>2129291.6666666665</v>
      </c>
      <c r="F101" s="56">
        <f t="shared" si="8"/>
        <v>3647.9160717684649</v>
      </c>
      <c r="G101" s="51">
        <f t="shared" si="9"/>
        <v>417255.37909835979</v>
      </c>
      <c r="H101" s="56">
        <f t="shared" si="10"/>
        <v>7921797.4987409869</v>
      </c>
      <c r="I101" s="56">
        <f t="shared" si="11"/>
        <v>63168.413254960629</v>
      </c>
      <c r="M101" s="65" t="s">
        <v>37</v>
      </c>
      <c r="N101" s="63">
        <v>150</v>
      </c>
      <c r="O101" s="63">
        <v>200</v>
      </c>
      <c r="P101" s="63">
        <v>200</v>
      </c>
      <c r="Q101" s="63">
        <v>200</v>
      </c>
      <c r="R101" s="63">
        <v>400</v>
      </c>
      <c r="T101" s="64"/>
    </row>
    <row r="102" spans="2:20">
      <c r="B102" s="91"/>
      <c r="C102" s="55" t="s">
        <v>83</v>
      </c>
      <c r="D102" s="56">
        <f t="shared" si="6"/>
        <v>3087291.6666666665</v>
      </c>
      <c r="E102" s="56">
        <f t="shared" si="7"/>
        <v>2129291.6666666665</v>
      </c>
      <c r="F102" s="56">
        <f t="shared" si="8"/>
        <v>3647.9160717684649</v>
      </c>
      <c r="G102" s="51">
        <f t="shared" si="9"/>
        <v>417255.37909835979</v>
      </c>
      <c r="H102" s="56">
        <f t="shared" si="10"/>
        <v>8522062.6168258209</v>
      </c>
      <c r="I102" s="56">
        <f t="shared" si="11"/>
        <v>67954.927306569094</v>
      </c>
      <c r="M102" s="65" t="s">
        <v>38</v>
      </c>
      <c r="N102" s="63">
        <v>200</v>
      </c>
      <c r="O102" s="63">
        <v>150</v>
      </c>
      <c r="P102" s="63">
        <v>200</v>
      </c>
      <c r="Q102" s="63">
        <v>200</v>
      </c>
      <c r="R102" s="63">
        <v>400</v>
      </c>
      <c r="T102" s="64"/>
    </row>
    <row r="103" spans="2:20">
      <c r="B103" s="91"/>
      <c r="C103" s="55" t="s">
        <v>84</v>
      </c>
      <c r="D103" s="56">
        <f t="shared" si="6"/>
        <v>3087291.6666666665</v>
      </c>
      <c r="E103" s="56">
        <f t="shared" si="7"/>
        <v>2129291.6666666665</v>
      </c>
      <c r="F103" s="56">
        <f t="shared" si="8"/>
        <v>3647.9160717684649</v>
      </c>
      <c r="G103" s="51">
        <f t="shared" si="9"/>
        <v>417255.37909835979</v>
      </c>
      <c r="H103" s="56">
        <f t="shared" si="10"/>
        <v>9127114.2489622608</v>
      </c>
      <c r="I103" s="56">
        <f t="shared" si="11"/>
        <v>72779.609021225071</v>
      </c>
      <c r="M103" s="65" t="s">
        <v>39</v>
      </c>
      <c r="N103" s="63">
        <v>200</v>
      </c>
      <c r="O103" s="63">
        <v>200</v>
      </c>
      <c r="P103" s="63">
        <v>150</v>
      </c>
      <c r="Q103" s="63">
        <v>200</v>
      </c>
      <c r="R103" s="63">
        <v>400</v>
      </c>
      <c r="T103" s="64"/>
    </row>
    <row r="104" spans="2:20">
      <c r="B104" s="91"/>
      <c r="C104" s="55" t="s">
        <v>85</v>
      </c>
      <c r="D104" s="56">
        <f t="shared" si="6"/>
        <v>3087291.6666666665</v>
      </c>
      <c r="E104" s="56">
        <f t="shared" si="7"/>
        <v>2129291.6666666665</v>
      </c>
      <c r="F104" s="56">
        <f t="shared" si="8"/>
        <v>3647.9160717684649</v>
      </c>
      <c r="G104" s="51">
        <f t="shared" si="9"/>
        <v>417255.37909835979</v>
      </c>
      <c r="H104" s="56">
        <f t="shared" si="10"/>
        <v>9736990.5628133584</v>
      </c>
      <c r="I104" s="56">
        <f t="shared" si="11"/>
        <v>77642.762747873727</v>
      </c>
      <c r="M104" s="65" t="s">
        <v>40</v>
      </c>
      <c r="N104" s="63">
        <v>200</v>
      </c>
      <c r="O104" s="63">
        <v>200</v>
      </c>
      <c r="P104" s="63">
        <v>200</v>
      </c>
      <c r="Q104" s="63">
        <v>150</v>
      </c>
      <c r="R104" s="63">
        <v>400</v>
      </c>
      <c r="T104" s="64"/>
    </row>
    <row r="105" spans="2:20">
      <c r="B105" s="91"/>
      <c r="C105" s="55" t="s">
        <v>88</v>
      </c>
      <c r="D105" s="56">
        <f t="shared" si="6"/>
        <v>3087291.6666666665</v>
      </c>
      <c r="E105" s="56">
        <f t="shared" si="7"/>
        <v>2129291.6666666665</v>
      </c>
      <c r="F105" s="56">
        <f t="shared" si="8"/>
        <v>3647.9160717684649</v>
      </c>
      <c r="G105" s="51">
        <f t="shared" si="9"/>
        <v>417255.37909835979</v>
      </c>
      <c r="H105" s="50">
        <f t="shared" si="10"/>
        <v>10351730.030391105</v>
      </c>
      <c r="I105" s="56">
        <f t="shared" si="11"/>
        <v>82544.695262338675</v>
      </c>
      <c r="M105" s="65" t="s">
        <v>41</v>
      </c>
      <c r="N105" s="63">
        <v>200</v>
      </c>
      <c r="O105" s="63">
        <v>200</v>
      </c>
      <c r="P105" s="63">
        <v>200</v>
      </c>
      <c r="Q105" s="63">
        <v>200</v>
      </c>
      <c r="R105" s="63">
        <v>150</v>
      </c>
      <c r="T105" s="64"/>
    </row>
    <row r="106" spans="2:20">
      <c r="B106" s="91"/>
      <c r="C106" s="55" t="s">
        <v>90</v>
      </c>
      <c r="D106" s="56">
        <f t="shared" si="6"/>
        <v>3087291.6666666665</v>
      </c>
      <c r="E106" s="56">
        <f t="shared" si="7"/>
        <v>2129291.6666666665</v>
      </c>
      <c r="F106" s="56">
        <f t="shared" si="8"/>
        <v>3647.9160717684649</v>
      </c>
      <c r="G106" s="51">
        <f t="shared" si="9"/>
        <v>417255.37909835979</v>
      </c>
      <c r="H106" s="56">
        <f t="shared" si="10"/>
        <v>10971371.430483315</v>
      </c>
      <c r="I106" s="56">
        <f t="shared" si="11"/>
        <v>87485.715786673958</v>
      </c>
    </row>
    <row r="107" spans="2:20">
      <c r="B107" s="91"/>
      <c r="C107" s="55" t="s">
        <v>92</v>
      </c>
      <c r="D107" s="56">
        <f t="shared" si="6"/>
        <v>3087291.6666666665</v>
      </c>
      <c r="E107" s="56">
        <f t="shared" si="7"/>
        <v>2129291.6666666665</v>
      </c>
      <c r="F107" s="56">
        <f t="shared" si="8"/>
        <v>3647.9160717684649</v>
      </c>
      <c r="G107" s="51">
        <f t="shared" si="9"/>
        <v>417255.37909835979</v>
      </c>
      <c r="H107" s="81">
        <f t="shared" si="10"/>
        <v>11595953.85109986</v>
      </c>
      <c r="I107" s="56">
        <f t="shared" si="11"/>
        <v>92466.136008670292</v>
      </c>
      <c r="M107" s="66" t="s">
        <v>65</v>
      </c>
    </row>
    <row r="108" spans="2:20">
      <c r="B108" s="91"/>
      <c r="C108" s="55" t="s">
        <v>93</v>
      </c>
      <c r="D108" s="56">
        <f t="shared" si="6"/>
        <v>3087291.6666666665</v>
      </c>
      <c r="E108" s="56">
        <f t="shared" si="7"/>
        <v>2129291.6666666665</v>
      </c>
      <c r="F108" s="56">
        <f t="shared" si="8"/>
        <v>3647.9160717684649</v>
      </c>
      <c r="G108" s="51">
        <f t="shared" si="9"/>
        <v>417255.37909835979</v>
      </c>
      <c r="H108" s="56">
        <f t="shared" si="10"/>
        <v>12225516.691938402</v>
      </c>
      <c r="I108" s="56">
        <f t="shared" si="11"/>
        <v>97486.270101516828</v>
      </c>
      <c r="M108" s="66" t="s">
        <v>66</v>
      </c>
    </row>
    <row r="109" spans="2:20">
      <c r="B109" s="91"/>
      <c r="C109" s="55" t="s">
        <v>94</v>
      </c>
      <c r="D109" s="56">
        <f t="shared" si="6"/>
        <v>3087291.6666666665</v>
      </c>
      <c r="E109" s="56">
        <f t="shared" si="7"/>
        <v>2129291.6666666665</v>
      </c>
      <c r="F109" s="56">
        <f t="shared" si="8"/>
        <v>3647.9160717684649</v>
      </c>
      <c r="G109" s="51">
        <f t="shared" si="9"/>
        <v>417255.37909835979</v>
      </c>
      <c r="H109" s="56">
        <f t="shared" si="10"/>
        <v>12860099.666869791</v>
      </c>
      <c r="I109" s="56">
        <f t="shared" si="11"/>
        <v>102546.43474361971</v>
      </c>
    </row>
    <row r="110" spans="2:20">
      <c r="B110" s="91"/>
      <c r="C110" s="55" t="s">
        <v>95</v>
      </c>
      <c r="D110" s="56">
        <f t="shared" si="6"/>
        <v>3087291.6666666665</v>
      </c>
      <c r="E110" s="56">
        <f t="shared" si="7"/>
        <v>2129291.6666666665</v>
      </c>
      <c r="F110" s="56">
        <f t="shared" si="8"/>
        <v>3647.9160717684649</v>
      </c>
      <c r="G110" s="51">
        <f t="shared" si="9"/>
        <v>417255.37909835979</v>
      </c>
      <c r="H110" s="56">
        <f t="shared" si="10"/>
        <v>13499742.806443283</v>
      </c>
      <c r="I110" s="56">
        <f t="shared" si="11"/>
        <v>107646.94913857874</v>
      </c>
      <c r="M110" t="s">
        <v>74</v>
      </c>
    </row>
    <row r="111" spans="2:20">
      <c r="B111" s="91"/>
      <c r="C111" s="55" t="s">
        <v>96</v>
      </c>
      <c r="D111" s="56">
        <f t="shared" si="6"/>
        <v>3087291.6666666665</v>
      </c>
      <c r="E111" s="56">
        <f t="shared" si="7"/>
        <v>2129291.6666666665</v>
      </c>
      <c r="F111" s="56">
        <f t="shared" si="8"/>
        <v>3647.9160717684649</v>
      </c>
      <c r="G111" s="51">
        <f t="shared" si="9"/>
        <v>417255.37909835979</v>
      </c>
      <c r="H111" s="56">
        <f t="shared" si="10"/>
        <v>14144486.460411733</v>
      </c>
      <c r="I111" s="56"/>
      <c r="M111" t="s">
        <v>118</v>
      </c>
      <c r="N111" s="46">
        <f>AVERAGE(N84:N85)/D66</f>
        <v>0.50127201565557733</v>
      </c>
    </row>
    <row r="112" spans="2:20">
      <c r="M112" t="s">
        <v>80</v>
      </c>
      <c r="N112" s="46">
        <f>AVERAGE(P84:P85)/D66</f>
        <v>0.27728337236533829</v>
      </c>
    </row>
    <row r="113" spans="3:16">
      <c r="H113" s="45" t="s">
        <v>119</v>
      </c>
      <c r="I113" s="3">
        <f>J113*SUM(D88:D111)</f>
        <v>6346144.7910535587</v>
      </c>
      <c r="J113" s="47">
        <v>8.564875890483245E-2</v>
      </c>
      <c r="N113" s="46"/>
    </row>
    <row r="114" spans="3:16">
      <c r="H114" s="39" t="s">
        <v>120</v>
      </c>
      <c r="I114" s="44">
        <f>H111-I113</f>
        <v>7798341.6693581743</v>
      </c>
    </row>
    <row r="115" spans="3:16">
      <c r="I115" s="3"/>
    </row>
    <row r="116" spans="3:16">
      <c r="C116" s="47"/>
      <c r="M116" t="s">
        <v>121</v>
      </c>
      <c r="N116">
        <f>N94+N101</f>
        <v>225</v>
      </c>
      <c r="O116" s="67">
        <f>N116*N111+N117*N112+N118*N113</f>
        <v>195.97121523210637</v>
      </c>
      <c r="P116" t="s">
        <v>87</v>
      </c>
    </row>
    <row r="117" spans="3:16">
      <c r="M117" t="s">
        <v>89</v>
      </c>
      <c r="N117">
        <f>N95+P101</f>
        <v>300</v>
      </c>
      <c r="O117" s="67"/>
    </row>
    <row r="118" spans="3:16">
      <c r="O118" s="67"/>
    </row>
    <row r="119" spans="3:16" ht="23.45" customHeight="1"/>
    <row r="120" spans="3:16" ht="23.45" customHeight="1"/>
    <row r="129" spans="1:19">
      <c r="M129" s="45" t="s">
        <v>5</v>
      </c>
    </row>
    <row r="130" spans="1:19" ht="30">
      <c r="G130" t="s">
        <v>130</v>
      </c>
      <c r="M130" s="34" t="s">
        <v>6</v>
      </c>
      <c r="N130" s="34" t="s">
        <v>7</v>
      </c>
      <c r="O130" s="21" t="s">
        <v>8</v>
      </c>
      <c r="P130" s="21" t="s">
        <v>9</v>
      </c>
      <c r="Q130" s="21" t="s">
        <v>10</v>
      </c>
      <c r="R130" s="21" t="s">
        <v>11</v>
      </c>
    </row>
    <row r="131" spans="1:19">
      <c r="M131" s="22" t="s">
        <v>12</v>
      </c>
      <c r="N131" s="21">
        <v>12974</v>
      </c>
      <c r="O131" s="21">
        <v>15307.6255</v>
      </c>
      <c r="P131" s="21">
        <v>7084.5901639343938</v>
      </c>
      <c r="Q131" s="21">
        <v>5999.9999999999964</v>
      </c>
      <c r="R131" s="21">
        <v>6912.6988347453353</v>
      </c>
    </row>
    <row r="132" spans="1:19">
      <c r="B132" s="45" t="s">
        <v>13</v>
      </c>
      <c r="C132" s="45" t="s">
        <v>14</v>
      </c>
      <c r="M132" s="22" t="s">
        <v>15</v>
      </c>
      <c r="N132" s="21">
        <v>12641</v>
      </c>
      <c r="O132" s="21">
        <v>35651.082999999999</v>
      </c>
      <c r="P132" s="21">
        <v>7084.5901639343938</v>
      </c>
      <c r="Q132" s="21">
        <v>5999.9999999999964</v>
      </c>
      <c r="R132" s="21">
        <v>7034.226266481377</v>
      </c>
    </row>
    <row r="133" spans="1:19" ht="15.75" thickBot="1">
      <c r="A133" s="49"/>
      <c r="B133" s="51"/>
      <c r="C133" s="51"/>
      <c r="E133" s="48" t="s">
        <v>17</v>
      </c>
      <c r="M133" s="22" t="s">
        <v>18</v>
      </c>
      <c r="N133" s="21">
        <v>25615</v>
      </c>
      <c r="O133" s="21">
        <v>50958.708500000001</v>
      </c>
      <c r="P133" s="21">
        <v>14169.180327868788</v>
      </c>
      <c r="Q133" s="21">
        <v>11999.999999999993</v>
      </c>
      <c r="R133" s="21">
        <v>13946.925101226712</v>
      </c>
    </row>
    <row r="134" spans="1:19">
      <c r="A134" s="49" t="s">
        <v>19</v>
      </c>
      <c r="B134" s="51"/>
      <c r="C134" s="68"/>
      <c r="E134" s="40" t="s">
        <v>20</v>
      </c>
      <c r="F134" s="57">
        <f>AVERAGE(R131:R132)</f>
        <v>6973.4625506133561</v>
      </c>
      <c r="G134" s="58" t="s">
        <v>21</v>
      </c>
      <c r="H134" t="s">
        <v>166</v>
      </c>
    </row>
    <row r="135" spans="1:19">
      <c r="A135" s="49" t="s">
        <v>167</v>
      </c>
      <c r="B135" s="51"/>
      <c r="C135" s="69">
        <v>-500000</v>
      </c>
      <c r="E135" s="41" t="s">
        <v>23</v>
      </c>
      <c r="F135">
        <f>SQRT((2*F134*1500)/100)</f>
        <v>457.38810272940054</v>
      </c>
      <c r="G135" s="59" t="s">
        <v>24</v>
      </c>
      <c r="H135">
        <f>F135/12</f>
        <v>38.115675227450048</v>
      </c>
      <c r="I135" t="s">
        <v>25</v>
      </c>
    </row>
    <row r="136" spans="1:19">
      <c r="A136" s="49" t="s">
        <v>26</v>
      </c>
      <c r="B136" s="70">
        <v>19</v>
      </c>
      <c r="C136" s="69">
        <f>-50000*B136</f>
        <v>-950000</v>
      </c>
      <c r="E136" s="41" t="s">
        <v>27</v>
      </c>
      <c r="F136">
        <f>F134/F135</f>
        <v>15.246270090980019</v>
      </c>
      <c r="G136" s="59" t="s">
        <v>28</v>
      </c>
      <c r="H136">
        <f>F136/12</f>
        <v>1.2705225075816682</v>
      </c>
      <c r="I136" t="s">
        <v>25</v>
      </c>
    </row>
    <row r="137" spans="1:19">
      <c r="A137" s="49" t="s">
        <v>29</v>
      </c>
      <c r="B137" s="51"/>
      <c r="C137" s="70"/>
      <c r="E137" s="41" t="s">
        <v>30</v>
      </c>
      <c r="F137">
        <f>F136*F135</f>
        <v>6973.4625506133561</v>
      </c>
      <c r="G137" s="59"/>
    </row>
    <row r="138" spans="1:19">
      <c r="A138" s="49" t="s">
        <v>26</v>
      </c>
      <c r="B138" s="70">
        <v>0</v>
      </c>
      <c r="C138" s="70"/>
      <c r="E138" s="41"/>
      <c r="F138" s="3">
        <f>1500+F137*1000</f>
        <v>6974962.5506133558</v>
      </c>
      <c r="G138" s="59" t="s">
        <v>31</v>
      </c>
    </row>
    <row r="139" spans="1:19">
      <c r="A139" s="49" t="s">
        <v>32</v>
      </c>
      <c r="B139" s="51"/>
      <c r="C139" s="69"/>
      <c r="E139" s="45" t="s">
        <v>33</v>
      </c>
      <c r="F139">
        <f>100/12</f>
        <v>8.3333333333333339</v>
      </c>
      <c r="G139" s="59" t="s">
        <v>34</v>
      </c>
      <c r="M139" s="45" t="s">
        <v>35</v>
      </c>
    </row>
    <row r="140" spans="1:19">
      <c r="A140" s="49" t="s">
        <v>168</v>
      </c>
      <c r="B140" s="51"/>
      <c r="C140" s="69">
        <v>-100000</v>
      </c>
      <c r="E140" s="41"/>
      <c r="F140" s="41"/>
      <c r="G140" s="42"/>
      <c r="M140" s="61"/>
      <c r="N140" s="65" t="s">
        <v>37</v>
      </c>
      <c r="O140" s="65" t="s">
        <v>38</v>
      </c>
      <c r="P140" s="65" t="s">
        <v>39</v>
      </c>
      <c r="Q140" s="65" t="s">
        <v>40</v>
      </c>
      <c r="R140" s="65" t="s">
        <v>41</v>
      </c>
    </row>
    <row r="141" spans="1:19" ht="15.75" thickBot="1">
      <c r="A141" s="51"/>
      <c r="B141" s="51"/>
      <c r="C141" s="70"/>
      <c r="E141" s="41"/>
      <c r="F141" s="41"/>
      <c r="G141" s="43"/>
      <c r="M141" s="61" t="s">
        <v>42</v>
      </c>
      <c r="N141" s="63">
        <v>75</v>
      </c>
      <c r="O141" s="63">
        <v>100</v>
      </c>
      <c r="P141" s="63">
        <v>100</v>
      </c>
      <c r="Q141" s="63">
        <v>100</v>
      </c>
      <c r="R141" s="63">
        <v>225</v>
      </c>
      <c r="S141">
        <f>15000/200</f>
        <v>75</v>
      </c>
    </row>
    <row r="142" spans="1:19">
      <c r="A142" s="49" t="s">
        <v>43</v>
      </c>
      <c r="B142" s="51"/>
      <c r="C142" s="69"/>
      <c r="M142" s="61" t="s">
        <v>44</v>
      </c>
      <c r="N142" s="63">
        <v>100</v>
      </c>
      <c r="O142" s="63">
        <v>75</v>
      </c>
      <c r="P142" s="63">
        <v>100</v>
      </c>
      <c r="Q142" s="63">
        <v>100</v>
      </c>
      <c r="R142" s="63">
        <v>225</v>
      </c>
    </row>
    <row r="143" spans="1:19">
      <c r="A143" s="51" t="s">
        <v>45</v>
      </c>
      <c r="B143" s="70">
        <f>F135</f>
        <v>457.38810272940054</v>
      </c>
      <c r="C143" s="69">
        <f>-(1500+B143*1000)</f>
        <v>-458888.10272940056</v>
      </c>
      <c r="M143" s="61" t="s">
        <v>46</v>
      </c>
      <c r="N143" s="63">
        <v>100</v>
      </c>
      <c r="O143" s="63">
        <v>100</v>
      </c>
      <c r="P143" s="63">
        <v>75</v>
      </c>
      <c r="Q143" s="63">
        <v>100</v>
      </c>
      <c r="R143" s="63">
        <v>225</v>
      </c>
    </row>
    <row r="144" spans="1:19">
      <c r="M144" s="61" t="s">
        <v>47</v>
      </c>
      <c r="N144" s="63">
        <v>100</v>
      </c>
      <c r="O144" s="63">
        <v>100</v>
      </c>
      <c r="P144" s="63">
        <v>100</v>
      </c>
      <c r="Q144" s="63">
        <v>75</v>
      </c>
      <c r="R144" s="63">
        <v>225</v>
      </c>
    </row>
    <row r="145" spans="1:20">
      <c r="B145" s="38" t="s">
        <v>48</v>
      </c>
      <c r="C145" s="44">
        <f>SUM(C134:C143)</f>
        <v>-2008888.1027294006</v>
      </c>
      <c r="E145" s="50"/>
      <c r="F145" s="49" t="s">
        <v>49</v>
      </c>
      <c r="G145" s="51"/>
      <c r="J145" t="s">
        <v>50</v>
      </c>
      <c r="M145" s="61" t="s">
        <v>51</v>
      </c>
      <c r="N145" s="63">
        <v>100</v>
      </c>
      <c r="O145" s="63">
        <v>100</v>
      </c>
      <c r="P145" s="63">
        <v>100</v>
      </c>
      <c r="Q145" s="63">
        <v>100</v>
      </c>
      <c r="R145" s="63">
        <v>75</v>
      </c>
    </row>
    <row r="146" spans="1:20">
      <c r="E146" s="49" t="s">
        <v>52</v>
      </c>
      <c r="F146" s="50">
        <f>1500+F137*1000</f>
        <v>6974962.5506133558</v>
      </c>
      <c r="G146" s="51" t="s">
        <v>24</v>
      </c>
      <c r="I146" s="51" t="s">
        <v>53</v>
      </c>
      <c r="J146" s="50">
        <f>F137*1450</f>
        <v>10111520.698389366</v>
      </c>
      <c r="K146" s="51" t="s">
        <v>24</v>
      </c>
      <c r="M146" s="64"/>
      <c r="N146" s="64"/>
      <c r="O146" s="64"/>
      <c r="P146" s="64"/>
      <c r="Q146" s="64"/>
      <c r="R146" s="64"/>
      <c r="T146" s="62"/>
    </row>
    <row r="147" spans="1:20">
      <c r="E147" s="49" t="s">
        <v>52</v>
      </c>
      <c r="F147" s="50">
        <f>F146/12</f>
        <v>581246.87921777961</v>
      </c>
      <c r="G147" s="51" t="s">
        <v>54</v>
      </c>
      <c r="I147" s="51" t="s">
        <v>53</v>
      </c>
      <c r="J147" s="50">
        <f>J146/12</f>
        <v>842626.72486578056</v>
      </c>
      <c r="K147" s="51" t="s">
        <v>54</v>
      </c>
      <c r="M147" s="61"/>
      <c r="N147" s="61" t="s">
        <v>55</v>
      </c>
      <c r="O147" s="61" t="s">
        <v>56</v>
      </c>
      <c r="P147" s="61" t="s">
        <v>57</v>
      </c>
      <c r="Q147" s="61" t="s">
        <v>58</v>
      </c>
      <c r="R147" s="61" t="s">
        <v>59</v>
      </c>
      <c r="T147" s="64"/>
    </row>
    <row r="148" spans="1:20">
      <c r="E148" s="49" t="s">
        <v>52</v>
      </c>
      <c r="F148" s="50">
        <f>F147/365</f>
        <v>1592.4572033363825</v>
      </c>
      <c r="G148" s="51" t="s">
        <v>60</v>
      </c>
      <c r="I148" s="51" t="s">
        <v>53</v>
      </c>
      <c r="J148" s="50">
        <f>J146/365</f>
        <v>27702.796433943469</v>
      </c>
      <c r="K148" s="51" t="s">
        <v>61</v>
      </c>
      <c r="M148" s="65" t="s">
        <v>37</v>
      </c>
      <c r="N148" s="63">
        <v>150</v>
      </c>
      <c r="O148" s="63">
        <v>200</v>
      </c>
      <c r="P148" s="63">
        <v>200</v>
      </c>
      <c r="Q148" s="63">
        <v>200</v>
      </c>
      <c r="R148" s="63">
        <v>400</v>
      </c>
      <c r="T148" s="64"/>
    </row>
    <row r="149" spans="1:20">
      <c r="A149" s="45" t="s">
        <v>62</v>
      </c>
      <c r="B149" s="71">
        <v>0.21</v>
      </c>
      <c r="C149" t="s">
        <v>63</v>
      </c>
      <c r="D149" s="3"/>
      <c r="I149" s="3"/>
      <c r="M149" s="65" t="s">
        <v>38</v>
      </c>
      <c r="N149" s="63">
        <v>200</v>
      </c>
      <c r="O149" s="63">
        <v>150</v>
      </c>
      <c r="P149" s="63">
        <v>200</v>
      </c>
      <c r="Q149" s="63">
        <v>200</v>
      </c>
      <c r="R149" s="63">
        <v>400</v>
      </c>
      <c r="T149" s="64"/>
    </row>
    <row r="150" spans="1:20">
      <c r="M150" s="65" t="s">
        <v>39</v>
      </c>
      <c r="N150" s="63">
        <v>200</v>
      </c>
      <c r="O150" s="63">
        <v>200</v>
      </c>
      <c r="P150" s="63">
        <v>150</v>
      </c>
      <c r="Q150" s="63">
        <v>200</v>
      </c>
      <c r="R150" s="63">
        <v>400</v>
      </c>
      <c r="T150" s="64"/>
    </row>
    <row r="151" spans="1:20">
      <c r="D151" s="3"/>
      <c r="M151" s="65" t="s">
        <v>40</v>
      </c>
      <c r="N151" s="63">
        <v>200</v>
      </c>
      <c r="O151" s="63">
        <v>200</v>
      </c>
      <c r="P151" s="63">
        <v>200</v>
      </c>
      <c r="Q151" s="63">
        <v>150</v>
      </c>
      <c r="R151" s="63">
        <v>400</v>
      </c>
      <c r="T151" s="64"/>
    </row>
    <row r="152" spans="1:20">
      <c r="M152" s="65" t="s">
        <v>41</v>
      </c>
      <c r="N152" s="63">
        <v>200</v>
      </c>
      <c r="O152" s="63">
        <v>200</v>
      </c>
      <c r="P152" s="63">
        <v>200</v>
      </c>
      <c r="Q152" s="63">
        <v>200</v>
      </c>
      <c r="R152" s="63">
        <v>150</v>
      </c>
      <c r="T152" s="64"/>
    </row>
    <row r="153" spans="1:20">
      <c r="D153" s="3"/>
      <c r="I153" s="3"/>
    </row>
    <row r="154" spans="1:20">
      <c r="M154" s="66" t="s">
        <v>65</v>
      </c>
    </row>
    <row r="155" spans="1:20">
      <c r="M155" s="66" t="s">
        <v>66</v>
      </c>
    </row>
    <row r="156" spans="1:20">
      <c r="B156" s="76" t="s">
        <v>169</v>
      </c>
      <c r="C156" s="45"/>
      <c r="D156" s="45"/>
      <c r="E156" s="45"/>
      <c r="F156" s="45"/>
      <c r="G156" s="45"/>
      <c r="H156" s="45"/>
      <c r="I156" s="45"/>
    </row>
    <row r="157" spans="1:20">
      <c r="C157" s="54" t="s">
        <v>67</v>
      </c>
      <c r="D157" s="53" t="s">
        <v>68</v>
      </c>
      <c r="E157" s="53" t="s">
        <v>69</v>
      </c>
      <c r="F157" s="53" t="s">
        <v>70</v>
      </c>
      <c r="G157" s="53" t="s">
        <v>71</v>
      </c>
      <c r="H157" s="53" t="s">
        <v>72</v>
      </c>
      <c r="I157" s="53" t="s">
        <v>73</v>
      </c>
      <c r="M157" t="s">
        <v>74</v>
      </c>
    </row>
    <row r="158" spans="1:20">
      <c r="B158" s="52" t="s">
        <v>75</v>
      </c>
      <c r="C158" s="49" t="s">
        <v>76</v>
      </c>
      <c r="D158" s="50"/>
      <c r="E158" s="51"/>
      <c r="F158" s="51"/>
      <c r="G158" s="51"/>
      <c r="H158" s="50">
        <f>C145</f>
        <v>-2008888.1027294006</v>
      </c>
      <c r="I158" s="51"/>
      <c r="M158" t="s">
        <v>170</v>
      </c>
      <c r="N158" s="46">
        <f>AVERAGE(R131:R132)/F134</f>
        <v>1</v>
      </c>
    </row>
    <row r="159" spans="1:20">
      <c r="B159" s="91" t="s">
        <v>78</v>
      </c>
      <c r="C159" s="49" t="s">
        <v>79</v>
      </c>
      <c r="D159" s="50"/>
      <c r="E159" s="51"/>
      <c r="F159" s="51"/>
      <c r="G159" s="51"/>
      <c r="H159" s="50">
        <v>0</v>
      </c>
      <c r="I159" s="50">
        <f>H159*0.7974%</f>
        <v>0</v>
      </c>
      <c r="N159" s="46"/>
    </row>
    <row r="160" spans="1:20">
      <c r="B160" s="91"/>
      <c r="C160" s="49" t="s">
        <v>81</v>
      </c>
      <c r="D160" s="50"/>
      <c r="E160" s="51"/>
      <c r="F160" s="51"/>
      <c r="G160" s="51"/>
      <c r="H160" s="50">
        <v>0</v>
      </c>
      <c r="I160" s="50">
        <f>H160*0.7974%</f>
        <v>0</v>
      </c>
      <c r="N160" s="46"/>
    </row>
    <row r="161" spans="2:16">
      <c r="B161" s="91"/>
      <c r="C161" s="49" t="s">
        <v>83</v>
      </c>
      <c r="D161" s="50"/>
      <c r="E161" s="51"/>
      <c r="F161" s="51"/>
      <c r="G161" s="51"/>
      <c r="H161" s="50">
        <v>0</v>
      </c>
      <c r="I161" s="50">
        <f t="shared" ref="I161:I181" si="12">H161*0.7974%</f>
        <v>0</v>
      </c>
    </row>
    <row r="162" spans="2:16">
      <c r="B162" s="91"/>
      <c r="C162" s="49" t="s">
        <v>84</v>
      </c>
      <c r="D162" s="50">
        <f t="shared" ref="D162:D182" si="13">$J$147</f>
        <v>842626.72486578056</v>
      </c>
      <c r="E162" s="50">
        <f t="shared" ref="E162:E182" si="14">$F$147</f>
        <v>581246.87921777961</v>
      </c>
      <c r="F162" s="50">
        <f t="shared" ref="F162:F182" si="15">$F$135/2*$F$139</f>
        <v>1905.7837613725023</v>
      </c>
      <c r="G162" s="51">
        <f t="shared" ref="G162:G182" si="16">$F$137*$O$163/12</f>
        <v>130752.42282400043</v>
      </c>
      <c r="H162" s="50">
        <f>H158+D162-E162-F162-G162+I161</f>
        <v>-1880166.4636667727</v>
      </c>
      <c r="I162" s="50">
        <f>H162*0.7974%</f>
        <v>-14992.447381278846</v>
      </c>
    </row>
    <row r="163" spans="2:16">
      <c r="B163" s="91"/>
      <c r="C163" s="49" t="s">
        <v>85</v>
      </c>
      <c r="D163" s="50">
        <f t="shared" si="13"/>
        <v>842626.72486578056</v>
      </c>
      <c r="E163" s="50">
        <f t="shared" si="14"/>
        <v>581246.87921777961</v>
      </c>
      <c r="F163" s="50">
        <f t="shared" si="15"/>
        <v>1905.7837613725023</v>
      </c>
      <c r="G163" s="51">
        <f>$F$137*$O$163/12</f>
        <v>130752.42282400043</v>
      </c>
      <c r="H163" s="50">
        <f t="shared" ref="H163:H181" si="17">H162+D163-E163-F163-G163+I162</f>
        <v>-1766437.2719854235</v>
      </c>
      <c r="I163" s="50">
        <f t="shared" si="12"/>
        <v>-14085.570806811767</v>
      </c>
      <c r="M163" t="s">
        <v>170</v>
      </c>
      <c r="N163">
        <f>R145+R152</f>
        <v>225</v>
      </c>
      <c r="O163" s="67">
        <f>N163*N158+N164*N159+N165*N160</f>
        <v>225</v>
      </c>
      <c r="P163" t="s">
        <v>87</v>
      </c>
    </row>
    <row r="164" spans="2:16">
      <c r="B164" s="91"/>
      <c r="C164" s="49" t="s">
        <v>88</v>
      </c>
      <c r="D164" s="50">
        <f t="shared" si="13"/>
        <v>842626.72486578056</v>
      </c>
      <c r="E164" s="50">
        <f t="shared" si="14"/>
        <v>581246.87921777961</v>
      </c>
      <c r="F164" s="50">
        <f t="shared" si="15"/>
        <v>1905.7837613725023</v>
      </c>
      <c r="G164" s="51">
        <f t="shared" si="16"/>
        <v>130752.42282400043</v>
      </c>
      <c r="H164" s="50">
        <f t="shared" si="17"/>
        <v>-1651801.2037296074</v>
      </c>
      <c r="I164" s="50">
        <f t="shared" si="12"/>
        <v>-13171.462798539889</v>
      </c>
      <c r="O164" s="67"/>
    </row>
    <row r="165" spans="2:16">
      <c r="B165" s="91"/>
      <c r="C165" s="49" t="s">
        <v>90</v>
      </c>
      <c r="D165" s="50">
        <f t="shared" si="13"/>
        <v>842626.72486578056</v>
      </c>
      <c r="E165" s="50">
        <f t="shared" si="14"/>
        <v>581246.87921777961</v>
      </c>
      <c r="F165" s="50">
        <f t="shared" si="15"/>
        <v>1905.7837613725023</v>
      </c>
      <c r="G165" s="51">
        <f t="shared" si="16"/>
        <v>130752.42282400043</v>
      </c>
      <c r="H165" s="50">
        <f t="shared" si="17"/>
        <v>-1536251.0274655193</v>
      </c>
      <c r="I165" s="50">
        <f t="shared" si="12"/>
        <v>-12250.06569301005</v>
      </c>
      <c r="O165" s="67"/>
    </row>
    <row r="166" spans="2:16">
      <c r="B166" s="91"/>
      <c r="C166" s="49" t="s">
        <v>92</v>
      </c>
      <c r="D166" s="50">
        <f t="shared" si="13"/>
        <v>842626.72486578056</v>
      </c>
      <c r="E166" s="50">
        <f t="shared" si="14"/>
        <v>581246.87921777961</v>
      </c>
      <c r="F166" s="50">
        <f t="shared" si="15"/>
        <v>1905.7837613725023</v>
      </c>
      <c r="G166" s="51">
        <f t="shared" si="16"/>
        <v>130752.42282400043</v>
      </c>
      <c r="H166" s="50">
        <f t="shared" si="17"/>
        <v>-1419779.4540959015</v>
      </c>
      <c r="I166" s="50">
        <f t="shared" si="12"/>
        <v>-11321.321366960718</v>
      </c>
      <c r="J166" s="3"/>
    </row>
    <row r="167" spans="2:16">
      <c r="B167" s="91"/>
      <c r="C167" s="49" t="s">
        <v>93</v>
      </c>
      <c r="D167" s="50">
        <f t="shared" si="13"/>
        <v>842626.72486578056</v>
      </c>
      <c r="E167" s="50">
        <f t="shared" si="14"/>
        <v>581246.87921777961</v>
      </c>
      <c r="F167" s="50">
        <f t="shared" si="15"/>
        <v>1905.7837613725023</v>
      </c>
      <c r="G167" s="51">
        <f t="shared" si="16"/>
        <v>130752.42282400043</v>
      </c>
      <c r="H167" s="50">
        <f t="shared" si="17"/>
        <v>-1302379.1364002342</v>
      </c>
      <c r="I167" s="50">
        <f t="shared" si="12"/>
        <v>-10385.171233655468</v>
      </c>
    </row>
    <row r="168" spans="2:16">
      <c r="B168" s="91"/>
      <c r="C168" s="49" t="s">
        <v>94</v>
      </c>
      <c r="D168" s="50">
        <f t="shared" si="13"/>
        <v>842626.72486578056</v>
      </c>
      <c r="E168" s="50">
        <f t="shared" si="14"/>
        <v>581246.87921777961</v>
      </c>
      <c r="F168" s="50">
        <f t="shared" si="15"/>
        <v>1905.7837613725023</v>
      </c>
      <c r="G168" s="51">
        <f t="shared" si="16"/>
        <v>130752.42282400043</v>
      </c>
      <c r="H168" s="50">
        <f t="shared" si="17"/>
        <v>-1184042.6685712617</v>
      </c>
      <c r="I168" s="50">
        <f t="shared" si="12"/>
        <v>-9441.5562391872409</v>
      </c>
    </row>
    <row r="169" spans="2:16">
      <c r="B169" s="91"/>
      <c r="C169" s="49" t="s">
        <v>95</v>
      </c>
      <c r="D169" s="50">
        <f t="shared" si="13"/>
        <v>842626.72486578056</v>
      </c>
      <c r="E169" s="50">
        <f t="shared" si="14"/>
        <v>581246.87921777961</v>
      </c>
      <c r="F169" s="50">
        <f t="shared" si="15"/>
        <v>1905.7837613725023</v>
      </c>
      <c r="G169" s="51">
        <f t="shared" si="16"/>
        <v>130752.42282400043</v>
      </c>
      <c r="H169" s="50">
        <f t="shared" si="17"/>
        <v>-1064762.585747821</v>
      </c>
      <c r="I169" s="50">
        <f t="shared" si="12"/>
        <v>-8490.4168587531258</v>
      </c>
    </row>
    <row r="170" spans="2:16">
      <c r="B170" s="91"/>
      <c r="C170" s="49" t="s">
        <v>96</v>
      </c>
      <c r="D170" s="50">
        <f t="shared" si="13"/>
        <v>842626.72486578056</v>
      </c>
      <c r="E170" s="50">
        <f t="shared" si="14"/>
        <v>581246.87921777961</v>
      </c>
      <c r="F170" s="50">
        <f t="shared" si="15"/>
        <v>1905.7837613725023</v>
      </c>
      <c r="G170" s="51">
        <f t="shared" si="16"/>
        <v>130752.42282400043</v>
      </c>
      <c r="H170" s="50">
        <f t="shared" si="17"/>
        <v>-944531.36354394618</v>
      </c>
      <c r="I170" s="50">
        <f t="shared" si="12"/>
        <v>-7531.693092899427</v>
      </c>
    </row>
    <row r="171" spans="2:16">
      <c r="B171" s="91" t="s">
        <v>97</v>
      </c>
      <c r="C171" s="55" t="s">
        <v>79</v>
      </c>
      <c r="D171" s="50">
        <f t="shared" si="13"/>
        <v>842626.72486578056</v>
      </c>
      <c r="E171" s="50">
        <f t="shared" si="14"/>
        <v>581246.87921777961</v>
      </c>
      <c r="F171" s="50">
        <f t="shared" si="15"/>
        <v>1905.7837613725023</v>
      </c>
      <c r="G171" s="51">
        <f t="shared" si="16"/>
        <v>130752.42282400043</v>
      </c>
      <c r="H171" s="56">
        <f t="shared" si="17"/>
        <v>-823341.41757421766</v>
      </c>
      <c r="I171" s="56">
        <f t="shared" si="12"/>
        <v>-6565.3244637368116</v>
      </c>
    </row>
    <row r="172" spans="2:16">
      <c r="B172" s="91"/>
      <c r="C172" s="55" t="s">
        <v>81</v>
      </c>
      <c r="D172" s="50">
        <f t="shared" si="13"/>
        <v>842626.72486578056</v>
      </c>
      <c r="E172" s="50">
        <f t="shared" si="14"/>
        <v>581246.87921777961</v>
      </c>
      <c r="F172" s="50">
        <f t="shared" si="15"/>
        <v>1905.7837613725023</v>
      </c>
      <c r="G172" s="51">
        <f t="shared" si="16"/>
        <v>130752.42282400043</v>
      </c>
      <c r="H172" s="56">
        <f t="shared" si="17"/>
        <v>-701185.10297532659</v>
      </c>
      <c r="I172" s="56">
        <f t="shared" si="12"/>
        <v>-5591.2500111252548</v>
      </c>
    </row>
    <row r="173" spans="2:16">
      <c r="B173" s="91"/>
      <c r="C173" s="55" t="s">
        <v>83</v>
      </c>
      <c r="D173" s="50">
        <f t="shared" si="13"/>
        <v>842626.72486578056</v>
      </c>
      <c r="E173" s="50">
        <f t="shared" si="14"/>
        <v>581246.87921777961</v>
      </c>
      <c r="F173" s="50">
        <f t="shared" si="15"/>
        <v>1905.7837613725023</v>
      </c>
      <c r="G173" s="51">
        <f t="shared" si="16"/>
        <v>130752.42282400043</v>
      </c>
      <c r="H173" s="56">
        <f t="shared" si="17"/>
        <v>-578054.71392382379</v>
      </c>
      <c r="I173" s="56">
        <f t="shared" si="12"/>
        <v>-4609.4082888285711</v>
      </c>
    </row>
    <row r="174" spans="2:16">
      <c r="B174" s="91"/>
      <c r="C174" s="55" t="s">
        <v>84</v>
      </c>
      <c r="D174" s="50">
        <f t="shared" si="13"/>
        <v>842626.72486578056</v>
      </c>
      <c r="E174" s="50">
        <f t="shared" si="14"/>
        <v>581246.87921777961</v>
      </c>
      <c r="F174" s="50">
        <f t="shared" si="15"/>
        <v>1905.7837613725023</v>
      </c>
      <c r="G174" s="51">
        <f t="shared" si="16"/>
        <v>130752.42282400043</v>
      </c>
      <c r="H174" s="56">
        <f t="shared" si="17"/>
        <v>-453942.48315002432</v>
      </c>
      <c r="I174" s="56">
        <f t="shared" si="12"/>
        <v>-3619.7373606382939</v>
      </c>
    </row>
    <row r="175" spans="2:16">
      <c r="B175" s="91"/>
      <c r="C175" s="55" t="s">
        <v>85</v>
      </c>
      <c r="D175" s="50">
        <f t="shared" si="13"/>
        <v>842626.72486578056</v>
      </c>
      <c r="E175" s="50">
        <f t="shared" si="14"/>
        <v>581246.87921777961</v>
      </c>
      <c r="F175" s="50">
        <f t="shared" si="15"/>
        <v>1905.7837613725023</v>
      </c>
      <c r="G175" s="51">
        <f t="shared" si="16"/>
        <v>130752.42282400043</v>
      </c>
      <c r="H175" s="56">
        <f t="shared" si="17"/>
        <v>-328840.58144803456</v>
      </c>
      <c r="I175" s="56">
        <f t="shared" si="12"/>
        <v>-2622.1747964666274</v>
      </c>
    </row>
    <row r="176" spans="2:16">
      <c r="B176" s="91"/>
      <c r="C176" s="55" t="s">
        <v>88</v>
      </c>
      <c r="D176" s="50">
        <f t="shared" si="13"/>
        <v>842626.72486578056</v>
      </c>
      <c r="E176" s="50">
        <f t="shared" si="14"/>
        <v>581246.87921777961</v>
      </c>
      <c r="F176" s="50">
        <f t="shared" si="15"/>
        <v>1905.7837613725023</v>
      </c>
      <c r="G176" s="51">
        <f t="shared" si="16"/>
        <v>130752.42282400043</v>
      </c>
      <c r="H176" s="56">
        <f t="shared" si="17"/>
        <v>-202741.11718187315</v>
      </c>
      <c r="I176" s="56">
        <f t="shared" si="12"/>
        <v>-1616.6576684082565</v>
      </c>
    </row>
    <row r="177" spans="2:14">
      <c r="B177" s="91"/>
      <c r="C177" s="55" t="s">
        <v>90</v>
      </c>
      <c r="D177" s="50">
        <f t="shared" si="13"/>
        <v>842626.72486578056</v>
      </c>
      <c r="E177" s="50">
        <f t="shared" si="14"/>
        <v>581246.87921777961</v>
      </c>
      <c r="F177" s="50">
        <f t="shared" si="15"/>
        <v>1905.7837613725023</v>
      </c>
      <c r="G177" s="51">
        <f t="shared" si="16"/>
        <v>130752.42282400043</v>
      </c>
      <c r="H177" s="56">
        <f t="shared" si="17"/>
        <v>-75636.135787653417</v>
      </c>
      <c r="I177" s="56">
        <f t="shared" si="12"/>
        <v>-603.12254677074839</v>
      </c>
      <c r="K177" s="45" t="s">
        <v>98</v>
      </c>
      <c r="L177" s="3">
        <f>H182</f>
        <v>575254.4063561603</v>
      </c>
    </row>
    <row r="178" spans="2:14">
      <c r="B178" s="91"/>
      <c r="C178" s="55" t="s">
        <v>92</v>
      </c>
      <c r="D178" s="50">
        <f t="shared" si="13"/>
        <v>842626.72486578056</v>
      </c>
      <c r="E178" s="50">
        <f t="shared" si="14"/>
        <v>581246.87921777961</v>
      </c>
      <c r="F178" s="50">
        <f t="shared" si="15"/>
        <v>1905.7837613725023</v>
      </c>
      <c r="G178" s="51">
        <f t="shared" si="16"/>
        <v>130752.42282400043</v>
      </c>
      <c r="H178" s="81">
        <f t="shared" si="17"/>
        <v>52482.380728203883</v>
      </c>
      <c r="I178" s="56">
        <f t="shared" si="12"/>
        <v>418.4945039266978</v>
      </c>
      <c r="K178" s="45" t="s">
        <v>99</v>
      </c>
      <c r="L178" s="3">
        <f>$B$149*SUM(D159:D182)</f>
        <v>3715983.8566580927</v>
      </c>
      <c r="N178" t="s">
        <v>100</v>
      </c>
    </row>
    <row r="179" spans="2:14">
      <c r="B179" s="91"/>
      <c r="C179" s="55" t="s">
        <v>93</v>
      </c>
      <c r="D179" s="50">
        <f t="shared" si="13"/>
        <v>842626.72486578056</v>
      </c>
      <c r="E179" s="50">
        <f t="shared" si="14"/>
        <v>581246.87921777961</v>
      </c>
      <c r="F179" s="50">
        <f t="shared" si="15"/>
        <v>1905.7837613725023</v>
      </c>
      <c r="G179" s="51">
        <f t="shared" si="16"/>
        <v>130752.42282400043</v>
      </c>
      <c r="H179" s="81">
        <f t="shared" si="17"/>
        <v>181622.51429475864</v>
      </c>
      <c r="I179" s="56">
        <f t="shared" si="12"/>
        <v>1448.2579289864054</v>
      </c>
      <c r="K179" s="45" t="s">
        <v>101</v>
      </c>
      <c r="L179" s="3">
        <f>L177-L178</f>
        <v>-3140729.4503019322</v>
      </c>
      <c r="M179" s="3">
        <f>L178/L177</f>
        <v>6.4597225429289384</v>
      </c>
    </row>
    <row r="180" spans="2:14">
      <c r="B180" s="91"/>
      <c r="C180" s="55" t="s">
        <v>94</v>
      </c>
      <c r="D180" s="50">
        <f t="shared" si="13"/>
        <v>842626.72486578056</v>
      </c>
      <c r="E180" s="50">
        <f t="shared" si="14"/>
        <v>581246.87921777961</v>
      </c>
      <c r="F180" s="50">
        <f t="shared" si="15"/>
        <v>1905.7837613725023</v>
      </c>
      <c r="G180" s="51">
        <f t="shared" si="16"/>
        <v>130752.42282400043</v>
      </c>
      <c r="H180" s="81">
        <f t="shared" si="17"/>
        <v>311792.4112863731</v>
      </c>
      <c r="I180" s="56">
        <f t="shared" si="12"/>
        <v>2486.2326875975391</v>
      </c>
    </row>
    <row r="181" spans="2:14">
      <c r="B181" s="91"/>
      <c r="C181" s="55" t="s">
        <v>95</v>
      </c>
      <c r="D181" s="50">
        <f t="shared" si="13"/>
        <v>842626.72486578056</v>
      </c>
      <c r="E181" s="50">
        <f t="shared" si="14"/>
        <v>581246.87921777961</v>
      </c>
      <c r="F181" s="50">
        <f t="shared" si="15"/>
        <v>1905.7837613725023</v>
      </c>
      <c r="G181" s="51">
        <f t="shared" si="16"/>
        <v>130752.42282400043</v>
      </c>
      <c r="H181" s="81">
        <f t="shared" si="17"/>
        <v>443000.28303659853</v>
      </c>
      <c r="I181" s="56">
        <f t="shared" si="12"/>
        <v>3532.4842569338366</v>
      </c>
    </row>
    <row r="182" spans="2:14">
      <c r="B182" s="91"/>
      <c r="C182" s="55" t="s">
        <v>96</v>
      </c>
      <c r="D182" s="50">
        <f t="shared" si="13"/>
        <v>842626.72486578056</v>
      </c>
      <c r="E182" s="50">
        <f t="shared" si="14"/>
        <v>581246.87921777961</v>
      </c>
      <c r="F182" s="50">
        <f t="shared" si="15"/>
        <v>1905.7837613725023</v>
      </c>
      <c r="G182" s="51">
        <f t="shared" si="16"/>
        <v>130752.42282400043</v>
      </c>
      <c r="H182" s="81">
        <f>H181+D182-E182-F182-G182+I181</f>
        <v>575254.4063561603</v>
      </c>
      <c r="I182" s="56"/>
    </row>
    <row r="191" spans="2:14" ht="24">
      <c r="D191" s="23" t="s">
        <v>171</v>
      </c>
    </row>
    <row r="192" spans="2:14" ht="24">
      <c r="C192" t="s">
        <v>123</v>
      </c>
      <c r="D192" s="92">
        <f>L55+I114+L179</f>
        <v>21214647.34625753</v>
      </c>
      <c r="E192" s="92"/>
    </row>
    <row r="194" spans="4:4">
      <c r="D194" t="s">
        <v>124</v>
      </c>
    </row>
    <row r="195" spans="4:4">
      <c r="D195" t="s">
        <v>125</v>
      </c>
    </row>
    <row r="196" spans="4:4">
      <c r="D196" t="s">
        <v>126</v>
      </c>
    </row>
    <row r="197" spans="4:4">
      <c r="D197" t="s">
        <v>127</v>
      </c>
    </row>
  </sheetData>
  <mergeCells count="10">
    <mergeCell ref="B100:B111"/>
    <mergeCell ref="D192:E192"/>
    <mergeCell ref="B159:B170"/>
    <mergeCell ref="B171:B182"/>
    <mergeCell ref="A2:A3"/>
    <mergeCell ref="B2:D2"/>
    <mergeCell ref="B3:D3"/>
    <mergeCell ref="B35:B46"/>
    <mergeCell ref="B47:B58"/>
    <mergeCell ref="B88:B99"/>
  </mergeCells>
  <pageMargins left="0.7" right="0.7" top="0.75" bottom="0.75" header="0.3" footer="0.3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45CA-8006-4C0D-BF0F-E67C10DFBE72}">
  <dimension ref="A2:CJ1464"/>
  <sheetViews>
    <sheetView zoomScale="55" zoomScaleNormal="55" workbookViewId="0">
      <selection activeCell="W182" sqref="W182"/>
    </sheetView>
  </sheetViews>
  <sheetFormatPr defaultColWidth="11.5703125" defaultRowHeight="15"/>
  <cols>
    <col min="1" max="1" width="11.5703125" style="5"/>
    <col min="2" max="2" width="10" style="5" bestFit="1" customWidth="1"/>
    <col min="3" max="3" width="13.42578125" style="5" bestFit="1" customWidth="1"/>
    <col min="4" max="4" width="16.7109375" style="5" bestFit="1" customWidth="1"/>
    <col min="5" max="5" width="22.42578125" style="5" bestFit="1" customWidth="1"/>
    <col min="6" max="6" width="18.5703125" style="5" bestFit="1" customWidth="1"/>
    <col min="7" max="7" width="20.5703125" style="5" bestFit="1" customWidth="1"/>
    <col min="8" max="8" width="20.5703125" style="5" customWidth="1"/>
    <col min="9" max="9" width="13.42578125" style="5" bestFit="1" customWidth="1"/>
    <col min="10" max="10" width="24.7109375" style="5" customWidth="1"/>
    <col min="11" max="11" width="14.5703125" style="5" bestFit="1" customWidth="1"/>
    <col min="12" max="12" width="14.5703125" style="5" customWidth="1"/>
    <col min="13" max="13" width="19.42578125" style="5" bestFit="1" customWidth="1"/>
    <col min="14" max="14" width="19.42578125" style="5" customWidth="1"/>
    <col min="15" max="15" width="20.5703125" style="5" bestFit="1" customWidth="1"/>
    <col min="16" max="16" width="20.28515625" style="5" bestFit="1" customWidth="1"/>
    <col min="17" max="17" width="12.5703125" style="5" bestFit="1" customWidth="1"/>
    <col min="18" max="18" width="11.42578125" style="5" bestFit="1" customWidth="1"/>
    <col min="19" max="19" width="9" style="5" bestFit="1" customWidth="1"/>
    <col min="20" max="20" width="12.5703125" style="5" bestFit="1" customWidth="1"/>
    <col min="21" max="21" width="11.5703125" style="5"/>
    <col min="22" max="22" width="22.42578125" style="5" customWidth="1"/>
    <col min="23" max="23" width="17.42578125" style="5" bestFit="1" customWidth="1"/>
    <col min="24" max="24" width="9.5703125" style="5" bestFit="1" customWidth="1"/>
    <col min="25" max="25" width="18.5703125" style="5" bestFit="1" customWidth="1"/>
    <col min="26" max="26" width="11.85546875" style="5" bestFit="1" customWidth="1"/>
    <col min="27" max="27" width="10.5703125" style="5" bestFit="1" customWidth="1"/>
    <col min="28" max="28" width="11.85546875" style="5" bestFit="1" customWidth="1"/>
    <col min="29" max="29" width="10" style="5" bestFit="1" customWidth="1"/>
    <col min="30" max="30" width="17.85546875" style="5" bestFit="1" customWidth="1"/>
    <col min="31" max="31" width="17.28515625" style="5" bestFit="1" customWidth="1"/>
    <col min="32" max="32" width="16.5703125" style="5" bestFit="1" customWidth="1"/>
    <col min="33" max="33" width="14" style="5" bestFit="1" customWidth="1"/>
    <col min="34" max="34" width="17.85546875" style="5" bestFit="1" customWidth="1"/>
    <col min="35" max="35" width="14.140625" style="5" bestFit="1" customWidth="1"/>
    <col min="36" max="36" width="20.28515625" style="5" bestFit="1" customWidth="1"/>
    <col min="37" max="37" width="22.7109375" style="5" bestFit="1" customWidth="1"/>
    <col min="38" max="38" width="19.28515625" style="5" bestFit="1" customWidth="1"/>
    <col min="39" max="39" width="10.28515625" style="5" bestFit="1" customWidth="1"/>
    <col min="40" max="40" width="11.28515625" style="5" bestFit="1" customWidth="1"/>
    <col min="41" max="42" width="10.28515625" style="5" bestFit="1" customWidth="1"/>
    <col min="43" max="43" width="11.28515625" style="5" bestFit="1" customWidth="1"/>
    <col min="44" max="44" width="10.28515625" style="5" bestFit="1" customWidth="1"/>
    <col min="45" max="45" width="11.28515625" style="5" bestFit="1" customWidth="1"/>
    <col min="46" max="47" width="10.28515625" style="5" bestFit="1" customWidth="1"/>
    <col min="48" max="48" width="15.28515625" style="5" bestFit="1" customWidth="1"/>
    <col min="49" max="59" width="13.42578125" style="5" bestFit="1" customWidth="1"/>
    <col min="60" max="60" width="17.7109375" style="5" bestFit="1" customWidth="1"/>
    <col min="61" max="71" width="13.42578125" style="5" bestFit="1" customWidth="1"/>
    <col min="72" max="72" width="14.28515625" style="5" bestFit="1" customWidth="1"/>
    <col min="73" max="83" width="13.42578125" style="5" bestFit="1" customWidth="1"/>
    <col min="84" max="84" width="23.28515625" style="5" bestFit="1" customWidth="1"/>
    <col min="85" max="85" width="27.5703125" style="5" bestFit="1" customWidth="1"/>
    <col min="86" max="86" width="20.28515625" style="5" bestFit="1" customWidth="1"/>
    <col min="87" max="87" width="22.7109375" style="5" bestFit="1" customWidth="1"/>
    <col min="88" max="88" width="19.28515625" style="5" bestFit="1" customWidth="1"/>
    <col min="89" max="16384" width="11.5703125" style="5"/>
  </cols>
  <sheetData>
    <row r="2" spans="2:39">
      <c r="B2" s="96" t="s">
        <v>105</v>
      </c>
      <c r="C2" s="96"/>
      <c r="D2" s="96"/>
      <c r="E2" s="96"/>
      <c r="F2" s="96"/>
      <c r="G2" s="4"/>
      <c r="H2" s="4"/>
    </row>
    <row r="3" spans="2:39">
      <c r="U3" s="6" t="s">
        <v>172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2:39" ht="42.75">
      <c r="B4" s="7" t="s">
        <v>173</v>
      </c>
      <c r="C4" s="8" t="s">
        <v>174</v>
      </c>
      <c r="D4" s="8" t="s">
        <v>118</v>
      </c>
      <c r="E4" s="9" t="s">
        <v>175</v>
      </c>
      <c r="F4" s="10" t="s">
        <v>77</v>
      </c>
      <c r="G4" s="10" t="s">
        <v>176</v>
      </c>
      <c r="H4" s="10" t="s">
        <v>177</v>
      </c>
      <c r="I4" s="10" t="s">
        <v>178</v>
      </c>
      <c r="J4" s="10" t="s">
        <v>179</v>
      </c>
      <c r="K4" s="10" t="s">
        <v>180</v>
      </c>
      <c r="L4" s="10" t="s">
        <v>181</v>
      </c>
      <c r="M4" s="10" t="s">
        <v>182</v>
      </c>
      <c r="N4" s="10" t="s">
        <v>183</v>
      </c>
      <c r="O4" s="10" t="s">
        <v>184</v>
      </c>
      <c r="P4" s="8" t="s">
        <v>185</v>
      </c>
    </row>
    <row r="5" spans="2:39" ht="26.25">
      <c r="B5" s="11">
        <v>1</v>
      </c>
      <c r="C5" s="12">
        <v>45658</v>
      </c>
      <c r="D5" s="13">
        <v>11</v>
      </c>
      <c r="E5" s="14"/>
      <c r="F5" s="13">
        <v>0</v>
      </c>
      <c r="G5" s="5">
        <v>0</v>
      </c>
      <c r="H5" s="5">
        <v>0</v>
      </c>
      <c r="I5" s="13">
        <v>0</v>
      </c>
      <c r="K5" s="13">
        <v>0</v>
      </c>
      <c r="L5" s="13">
        <v>0</v>
      </c>
      <c r="N5" s="5">
        <f t="shared" ref="N5:N68" si="0">AVERAGE($O$644:$O$734)</f>
        <v>14.098901098901099</v>
      </c>
      <c r="O5" s="13">
        <v>0</v>
      </c>
      <c r="U5" s="15" t="s">
        <v>118</v>
      </c>
      <c r="AA5" s="16"/>
      <c r="AB5" s="16"/>
      <c r="AC5" s="16"/>
      <c r="AD5" s="16"/>
      <c r="AE5" s="16"/>
      <c r="AF5" s="16"/>
      <c r="AG5" s="16"/>
      <c r="AH5" s="16"/>
      <c r="AI5" s="16"/>
    </row>
    <row r="6" spans="2:39" ht="15.75">
      <c r="B6" s="11">
        <v>2</v>
      </c>
      <c r="C6" s="12">
        <v>45659</v>
      </c>
      <c r="D6" s="13">
        <v>7</v>
      </c>
      <c r="E6" s="14"/>
      <c r="F6" s="13">
        <v>0</v>
      </c>
      <c r="G6" s="5">
        <v>0</v>
      </c>
      <c r="H6" s="5">
        <v>0</v>
      </c>
      <c r="I6" s="13">
        <v>0</v>
      </c>
      <c r="K6" s="13">
        <v>0</v>
      </c>
      <c r="L6" s="13">
        <v>0</v>
      </c>
      <c r="N6" s="5">
        <f t="shared" si="0"/>
        <v>14.098901098901099</v>
      </c>
      <c r="O6" s="13">
        <v>0</v>
      </c>
    </row>
    <row r="7" spans="2:39" ht="15.75">
      <c r="B7" s="11">
        <v>3</v>
      </c>
      <c r="C7" s="12">
        <v>45660</v>
      </c>
      <c r="D7" s="13">
        <v>4</v>
      </c>
      <c r="E7" s="14"/>
      <c r="F7" s="13">
        <v>0</v>
      </c>
      <c r="G7" s="5">
        <v>0</v>
      </c>
      <c r="H7" s="5">
        <v>0</v>
      </c>
      <c r="I7" s="13">
        <v>0</v>
      </c>
      <c r="K7" s="13">
        <v>0</v>
      </c>
      <c r="L7" s="13">
        <v>0</v>
      </c>
      <c r="N7" s="5">
        <f t="shared" si="0"/>
        <v>14.098901098901099</v>
      </c>
      <c r="O7" s="13">
        <v>0</v>
      </c>
    </row>
    <row r="8" spans="2:39" ht="15.75">
      <c r="B8" s="11">
        <v>4</v>
      </c>
      <c r="C8" s="12">
        <v>45661</v>
      </c>
      <c r="D8" s="13">
        <v>8</v>
      </c>
      <c r="E8" s="14"/>
      <c r="F8" s="13">
        <v>0</v>
      </c>
      <c r="G8" s="5">
        <v>0</v>
      </c>
      <c r="H8" s="5">
        <v>0</v>
      </c>
      <c r="I8" s="13">
        <v>0</v>
      </c>
      <c r="K8" s="13">
        <v>0</v>
      </c>
      <c r="L8" s="13">
        <v>0</v>
      </c>
      <c r="N8" s="5">
        <f t="shared" si="0"/>
        <v>14.098901098901099</v>
      </c>
      <c r="O8" s="13">
        <v>0</v>
      </c>
    </row>
    <row r="9" spans="2:39" ht="15.75">
      <c r="B9" s="11">
        <v>5</v>
      </c>
      <c r="C9" s="12">
        <v>45662</v>
      </c>
      <c r="D9" s="13">
        <v>5</v>
      </c>
      <c r="E9" s="14"/>
      <c r="F9" s="13">
        <v>0</v>
      </c>
      <c r="G9" s="5">
        <v>0</v>
      </c>
      <c r="H9" s="5">
        <v>0</v>
      </c>
      <c r="I9" s="13">
        <v>0</v>
      </c>
      <c r="K9" s="13">
        <v>0</v>
      </c>
      <c r="L9" s="13">
        <v>0</v>
      </c>
      <c r="N9" s="5">
        <f t="shared" si="0"/>
        <v>14.098901098901099</v>
      </c>
      <c r="O9" s="13">
        <v>0</v>
      </c>
    </row>
    <row r="10" spans="2:39" ht="15.75">
      <c r="B10" s="11">
        <v>6</v>
      </c>
      <c r="C10" s="12">
        <v>45663</v>
      </c>
      <c r="D10" s="13">
        <v>8</v>
      </c>
      <c r="E10" s="14"/>
      <c r="F10" s="13">
        <v>0</v>
      </c>
      <c r="G10" s="5">
        <v>0</v>
      </c>
      <c r="H10" s="5">
        <v>0</v>
      </c>
      <c r="I10" s="13">
        <v>0</v>
      </c>
      <c r="K10" s="13">
        <v>0</v>
      </c>
      <c r="L10" s="13">
        <v>0</v>
      </c>
      <c r="N10" s="5">
        <f t="shared" si="0"/>
        <v>14.098901098901099</v>
      </c>
      <c r="O10" s="13">
        <v>0</v>
      </c>
      <c r="AK10" s="5" t="e">
        <f>#REF!</f>
        <v>#REF!</v>
      </c>
    </row>
    <row r="11" spans="2:39" ht="15.75">
      <c r="B11" s="11">
        <v>7</v>
      </c>
      <c r="C11" s="12">
        <v>45664</v>
      </c>
      <c r="D11" s="13">
        <v>14</v>
      </c>
      <c r="E11" s="14"/>
      <c r="F11" s="13">
        <v>0</v>
      </c>
      <c r="G11" s="5">
        <v>0</v>
      </c>
      <c r="H11" s="5">
        <v>0</v>
      </c>
      <c r="I11" s="13">
        <v>0</v>
      </c>
      <c r="K11" s="13">
        <v>0</v>
      </c>
      <c r="L11" s="13">
        <v>0</v>
      </c>
      <c r="N11" s="5">
        <f t="shared" si="0"/>
        <v>14.098901098901099</v>
      </c>
      <c r="O11" s="13">
        <v>0</v>
      </c>
    </row>
    <row r="12" spans="2:39" ht="15.75">
      <c r="B12" s="11">
        <v>8</v>
      </c>
      <c r="C12" s="12">
        <v>45665</v>
      </c>
      <c r="D12" s="13">
        <v>6</v>
      </c>
      <c r="E12" s="14"/>
      <c r="F12" s="13">
        <v>0</v>
      </c>
      <c r="G12" s="5">
        <v>0</v>
      </c>
      <c r="H12" s="5">
        <v>0</v>
      </c>
      <c r="I12" s="13">
        <v>0</v>
      </c>
      <c r="K12" s="13">
        <v>0</v>
      </c>
      <c r="L12" s="13">
        <v>0</v>
      </c>
      <c r="N12" s="5">
        <f t="shared" si="0"/>
        <v>14.098901098901099</v>
      </c>
      <c r="O12" s="13">
        <v>0</v>
      </c>
      <c r="U12" s="5" t="s">
        <v>186</v>
      </c>
    </row>
    <row r="13" spans="2:39" ht="15.75">
      <c r="B13" s="11">
        <v>9</v>
      </c>
      <c r="C13" s="12">
        <v>45666</v>
      </c>
      <c r="D13" s="13">
        <v>31</v>
      </c>
      <c r="E13" s="14"/>
      <c r="F13" s="13">
        <v>0</v>
      </c>
      <c r="G13" s="5">
        <v>0</v>
      </c>
      <c r="H13" s="5">
        <v>0</v>
      </c>
      <c r="I13" s="13">
        <v>0</v>
      </c>
      <c r="K13" s="13">
        <v>0</v>
      </c>
      <c r="L13" s="13">
        <v>0</v>
      </c>
      <c r="N13" s="5">
        <f t="shared" si="0"/>
        <v>14.098901098901099</v>
      </c>
      <c r="O13" s="13">
        <v>0</v>
      </c>
    </row>
    <row r="14" spans="2:39" ht="15.75">
      <c r="B14" s="11">
        <v>10</v>
      </c>
      <c r="C14" s="12">
        <v>45667</v>
      </c>
      <c r="D14" s="13">
        <v>7</v>
      </c>
      <c r="E14" s="14"/>
      <c r="F14" s="13">
        <v>0</v>
      </c>
      <c r="G14" s="5">
        <v>0</v>
      </c>
      <c r="H14" s="5">
        <v>0</v>
      </c>
      <c r="I14" s="13">
        <v>0</v>
      </c>
      <c r="K14" s="13">
        <v>0</v>
      </c>
      <c r="L14" s="13">
        <v>0</v>
      </c>
      <c r="N14" s="5">
        <f t="shared" si="0"/>
        <v>14.098901098901099</v>
      </c>
      <c r="O14" s="13">
        <v>0</v>
      </c>
    </row>
    <row r="15" spans="2:39" ht="15.75">
      <c r="B15" s="11">
        <v>11</v>
      </c>
      <c r="C15" s="12">
        <v>45668</v>
      </c>
      <c r="D15" s="13">
        <v>7</v>
      </c>
      <c r="E15" s="14"/>
      <c r="F15" s="13">
        <v>0</v>
      </c>
      <c r="G15" s="5">
        <v>0</v>
      </c>
      <c r="H15" s="5">
        <v>0</v>
      </c>
      <c r="I15" s="13">
        <v>0</v>
      </c>
      <c r="K15" s="13">
        <v>0</v>
      </c>
      <c r="L15" s="13">
        <v>0</v>
      </c>
      <c r="N15" s="5">
        <f t="shared" si="0"/>
        <v>14.098901098901099</v>
      </c>
      <c r="O15" s="13">
        <v>0</v>
      </c>
    </row>
    <row r="16" spans="2:39" ht="15.75">
      <c r="B16" s="11">
        <v>12</v>
      </c>
      <c r="C16" s="12">
        <v>45669</v>
      </c>
      <c r="D16" s="13">
        <v>19</v>
      </c>
      <c r="E16" s="14"/>
      <c r="F16" s="13">
        <v>0</v>
      </c>
      <c r="G16" s="5">
        <v>0</v>
      </c>
      <c r="H16" s="5">
        <v>0</v>
      </c>
      <c r="I16" s="13">
        <v>0</v>
      </c>
      <c r="K16" s="13">
        <v>0</v>
      </c>
      <c r="L16" s="13">
        <v>0</v>
      </c>
      <c r="N16" s="5">
        <f t="shared" si="0"/>
        <v>14.098901098901099</v>
      </c>
      <c r="O16" s="13">
        <v>0</v>
      </c>
    </row>
    <row r="17" spans="2:34" ht="15.75">
      <c r="B17" s="11">
        <v>13</v>
      </c>
      <c r="C17" s="12">
        <v>45670</v>
      </c>
      <c r="D17" s="13">
        <v>5</v>
      </c>
      <c r="E17" s="14"/>
      <c r="F17" s="13">
        <v>0</v>
      </c>
      <c r="G17" s="5">
        <v>0</v>
      </c>
      <c r="H17" s="5">
        <v>0</v>
      </c>
      <c r="I17" s="13">
        <v>0</v>
      </c>
      <c r="K17" s="13">
        <v>0</v>
      </c>
      <c r="L17" s="13">
        <v>0</v>
      </c>
      <c r="N17" s="5">
        <f t="shared" si="0"/>
        <v>14.098901098901099</v>
      </c>
      <c r="O17" s="13">
        <v>0</v>
      </c>
    </row>
    <row r="18" spans="2:34" ht="15.75">
      <c r="B18" s="11">
        <v>14</v>
      </c>
      <c r="C18" s="12">
        <v>45671</v>
      </c>
      <c r="D18" s="13">
        <v>6</v>
      </c>
      <c r="E18" s="14"/>
      <c r="F18" s="13">
        <v>0</v>
      </c>
      <c r="G18" s="5">
        <v>0</v>
      </c>
      <c r="H18" s="5">
        <v>0</v>
      </c>
      <c r="I18" s="13">
        <v>0</v>
      </c>
      <c r="K18" s="13">
        <v>0</v>
      </c>
      <c r="L18" s="13">
        <v>0</v>
      </c>
      <c r="N18" s="5">
        <f t="shared" si="0"/>
        <v>14.098901098901099</v>
      </c>
      <c r="O18" s="13">
        <v>0</v>
      </c>
    </row>
    <row r="19" spans="2:34" ht="15.75">
      <c r="B19" s="11">
        <v>15</v>
      </c>
      <c r="C19" s="12">
        <v>45672</v>
      </c>
      <c r="D19" s="13">
        <v>7</v>
      </c>
      <c r="E19" s="14"/>
      <c r="F19" s="13">
        <v>0</v>
      </c>
      <c r="G19" s="5">
        <v>0</v>
      </c>
      <c r="H19" s="5">
        <v>0</v>
      </c>
      <c r="I19" s="13">
        <v>0</v>
      </c>
      <c r="K19" s="13">
        <v>0</v>
      </c>
      <c r="L19" s="13">
        <v>0</v>
      </c>
      <c r="N19" s="5">
        <f t="shared" si="0"/>
        <v>14.098901098901099</v>
      </c>
      <c r="O19" s="13">
        <v>0</v>
      </c>
    </row>
    <row r="20" spans="2:34" ht="15.75">
      <c r="B20" s="11">
        <v>16</v>
      </c>
      <c r="C20" s="12">
        <v>45673</v>
      </c>
      <c r="D20" s="13">
        <v>5</v>
      </c>
      <c r="E20" s="14"/>
      <c r="F20" s="13">
        <v>0</v>
      </c>
      <c r="G20" s="5">
        <v>0</v>
      </c>
      <c r="H20" s="5">
        <v>0</v>
      </c>
      <c r="I20" s="13">
        <v>0</v>
      </c>
      <c r="K20" s="13">
        <v>0</v>
      </c>
      <c r="L20" s="13">
        <v>0</v>
      </c>
      <c r="N20" s="5">
        <f t="shared" si="0"/>
        <v>14.098901098901099</v>
      </c>
      <c r="O20" s="13">
        <v>0</v>
      </c>
    </row>
    <row r="21" spans="2:34" ht="15.75">
      <c r="B21" s="11">
        <v>17</v>
      </c>
      <c r="C21" s="12">
        <v>45674</v>
      </c>
      <c r="D21" s="13">
        <v>14</v>
      </c>
      <c r="E21" s="14"/>
      <c r="F21" s="13">
        <v>0</v>
      </c>
      <c r="G21" s="5">
        <v>0</v>
      </c>
      <c r="H21" s="5">
        <v>0</v>
      </c>
      <c r="I21" s="13">
        <v>0</v>
      </c>
      <c r="K21" s="13">
        <v>0</v>
      </c>
      <c r="L21" s="13">
        <v>0</v>
      </c>
      <c r="N21" s="5">
        <f t="shared" si="0"/>
        <v>14.098901098901099</v>
      </c>
      <c r="O21" s="13">
        <v>0</v>
      </c>
    </row>
    <row r="22" spans="2:34" ht="26.25">
      <c r="B22" s="11">
        <v>18</v>
      </c>
      <c r="C22" s="12">
        <v>45675</v>
      </c>
      <c r="D22" s="13">
        <v>25</v>
      </c>
      <c r="E22" s="14"/>
      <c r="F22" s="13">
        <v>0</v>
      </c>
      <c r="G22" s="5">
        <v>0</v>
      </c>
      <c r="H22" s="5">
        <v>0</v>
      </c>
      <c r="I22" s="13">
        <v>0</v>
      </c>
      <c r="K22" s="13">
        <v>0</v>
      </c>
      <c r="L22" s="13">
        <v>0</v>
      </c>
      <c r="N22" s="5">
        <f t="shared" si="0"/>
        <v>14.098901098901099</v>
      </c>
      <c r="O22" s="13">
        <v>0</v>
      </c>
      <c r="U22" s="15" t="s">
        <v>77</v>
      </c>
    </row>
    <row r="23" spans="2:34" ht="15.75">
      <c r="B23" s="11">
        <v>19</v>
      </c>
      <c r="C23" s="12">
        <v>45676</v>
      </c>
      <c r="D23" s="13">
        <v>2</v>
      </c>
      <c r="E23" s="14"/>
      <c r="F23" s="13">
        <v>0</v>
      </c>
      <c r="G23" s="5">
        <v>0</v>
      </c>
      <c r="H23" s="5">
        <v>0</v>
      </c>
      <c r="I23" s="13">
        <v>0</v>
      </c>
      <c r="K23" s="13">
        <v>0</v>
      </c>
      <c r="L23" s="13">
        <v>0</v>
      </c>
      <c r="N23" s="5">
        <f t="shared" si="0"/>
        <v>14.098901098901099</v>
      </c>
      <c r="O23" s="13">
        <v>0</v>
      </c>
    </row>
    <row r="24" spans="2:34" ht="15.75">
      <c r="B24" s="11">
        <v>20</v>
      </c>
      <c r="C24" s="12">
        <v>45677</v>
      </c>
      <c r="D24" s="13">
        <v>4</v>
      </c>
      <c r="E24" s="14"/>
      <c r="F24" s="13">
        <v>0</v>
      </c>
      <c r="G24" s="5">
        <v>0</v>
      </c>
      <c r="H24" s="5">
        <v>0</v>
      </c>
      <c r="I24" s="13">
        <v>0</v>
      </c>
      <c r="K24" s="13">
        <v>0</v>
      </c>
      <c r="L24" s="13">
        <v>0</v>
      </c>
      <c r="N24" s="5">
        <f t="shared" si="0"/>
        <v>14.098901098901099</v>
      </c>
      <c r="O24" s="13">
        <v>0</v>
      </c>
    </row>
    <row r="25" spans="2:34" ht="15.75">
      <c r="B25" s="11">
        <v>21</v>
      </c>
      <c r="C25" s="12">
        <v>45678</v>
      </c>
      <c r="D25" s="13">
        <v>11</v>
      </c>
      <c r="E25" s="14"/>
      <c r="F25" s="13">
        <v>0</v>
      </c>
      <c r="G25" s="5">
        <v>0</v>
      </c>
      <c r="H25" s="5">
        <v>0</v>
      </c>
      <c r="I25" s="13">
        <v>0</v>
      </c>
      <c r="K25" s="13">
        <v>0</v>
      </c>
      <c r="L25" s="13">
        <v>0</v>
      </c>
      <c r="N25" s="5">
        <f t="shared" si="0"/>
        <v>14.098901098901099</v>
      </c>
      <c r="O25" s="13">
        <v>0</v>
      </c>
    </row>
    <row r="26" spans="2:34" ht="15.75">
      <c r="B26" s="11">
        <v>22</v>
      </c>
      <c r="C26" s="12">
        <v>45679</v>
      </c>
      <c r="D26" s="13">
        <v>22</v>
      </c>
      <c r="E26" s="14"/>
      <c r="F26" s="13">
        <v>0</v>
      </c>
      <c r="G26" s="5">
        <v>0</v>
      </c>
      <c r="H26" s="5">
        <v>0</v>
      </c>
      <c r="I26" s="13">
        <v>0</v>
      </c>
      <c r="K26" s="13">
        <v>0</v>
      </c>
      <c r="L26" s="13">
        <v>0</v>
      </c>
      <c r="N26" s="5">
        <f t="shared" si="0"/>
        <v>14.098901098901099</v>
      </c>
      <c r="O26" s="13">
        <v>0</v>
      </c>
    </row>
    <row r="27" spans="2:34" ht="15.75">
      <c r="B27" s="11">
        <v>23</v>
      </c>
      <c r="C27" s="12">
        <v>45680</v>
      </c>
      <c r="D27" s="13">
        <v>8</v>
      </c>
      <c r="E27" s="14"/>
      <c r="F27" s="13">
        <v>0</v>
      </c>
      <c r="G27" s="5">
        <v>0</v>
      </c>
      <c r="H27" s="5">
        <v>0</v>
      </c>
      <c r="I27" s="13">
        <v>0</v>
      </c>
      <c r="K27" s="13">
        <v>0</v>
      </c>
      <c r="L27" s="13">
        <v>0</v>
      </c>
      <c r="N27" s="5">
        <f t="shared" si="0"/>
        <v>14.098901098901099</v>
      </c>
      <c r="O27" s="13">
        <v>0</v>
      </c>
    </row>
    <row r="28" spans="2:34" ht="15.75">
      <c r="B28" s="11">
        <v>24</v>
      </c>
      <c r="C28" s="12">
        <v>45681</v>
      </c>
      <c r="D28" s="13">
        <v>10</v>
      </c>
      <c r="E28" s="14"/>
      <c r="F28" s="13">
        <v>0</v>
      </c>
      <c r="G28" s="5">
        <v>0</v>
      </c>
      <c r="H28" s="5">
        <v>0</v>
      </c>
      <c r="I28" s="13">
        <v>0</v>
      </c>
      <c r="K28" s="13">
        <v>0</v>
      </c>
      <c r="L28" s="13">
        <v>0</v>
      </c>
      <c r="N28" s="5">
        <f t="shared" si="0"/>
        <v>14.098901098901099</v>
      </c>
      <c r="O28" s="13">
        <v>0</v>
      </c>
    </row>
    <row r="29" spans="2:34" ht="15.75">
      <c r="B29" s="11">
        <v>25</v>
      </c>
      <c r="C29" s="12">
        <v>45682</v>
      </c>
      <c r="D29" s="13">
        <v>11</v>
      </c>
      <c r="E29" s="14"/>
      <c r="F29" s="13">
        <v>0</v>
      </c>
      <c r="G29" s="5">
        <v>0</v>
      </c>
      <c r="H29" s="5">
        <v>0</v>
      </c>
      <c r="I29" s="13">
        <v>0</v>
      </c>
      <c r="K29" s="13">
        <v>0</v>
      </c>
      <c r="L29" s="13">
        <v>0</v>
      </c>
      <c r="N29" s="5">
        <f t="shared" si="0"/>
        <v>14.098901098901099</v>
      </c>
      <c r="O29" s="13">
        <v>0</v>
      </c>
      <c r="AB29" s="16" t="s">
        <v>187</v>
      </c>
      <c r="AC29" s="16" t="s">
        <v>188</v>
      </c>
      <c r="AD29" s="16"/>
      <c r="AE29" s="16"/>
      <c r="AF29" s="16"/>
      <c r="AG29" s="16"/>
      <c r="AH29" s="16"/>
    </row>
    <row r="30" spans="2:34" ht="15.75">
      <c r="B30" s="11">
        <v>26</v>
      </c>
      <c r="C30" s="12">
        <v>45683</v>
      </c>
      <c r="D30" s="13">
        <v>16</v>
      </c>
      <c r="E30" s="14"/>
      <c r="F30" s="13">
        <v>0</v>
      </c>
      <c r="G30" s="5">
        <v>0</v>
      </c>
      <c r="H30" s="5">
        <v>0</v>
      </c>
      <c r="I30" s="13">
        <v>0</v>
      </c>
      <c r="K30" s="13">
        <v>0</v>
      </c>
      <c r="L30" s="13">
        <v>0</v>
      </c>
      <c r="N30" s="5">
        <f t="shared" si="0"/>
        <v>14.098901098901099</v>
      </c>
      <c r="O30" s="13">
        <v>0</v>
      </c>
    </row>
    <row r="31" spans="2:34" ht="15.75">
      <c r="B31" s="11">
        <v>27</v>
      </c>
      <c r="C31" s="12">
        <v>45684</v>
      </c>
      <c r="D31" s="13">
        <v>17</v>
      </c>
      <c r="E31" s="14"/>
      <c r="F31" s="13">
        <v>0</v>
      </c>
      <c r="G31" s="5">
        <v>0</v>
      </c>
      <c r="H31" s="5">
        <v>0</v>
      </c>
      <c r="I31" s="13">
        <v>0</v>
      </c>
      <c r="K31" s="13">
        <v>0</v>
      </c>
      <c r="L31" s="13">
        <v>0</v>
      </c>
      <c r="N31" s="5">
        <f t="shared" si="0"/>
        <v>14.098901098901099</v>
      </c>
      <c r="O31" s="13">
        <v>0</v>
      </c>
    </row>
    <row r="32" spans="2:34" ht="15.75">
      <c r="B32" s="11">
        <v>28</v>
      </c>
      <c r="C32" s="12">
        <v>45685</v>
      </c>
      <c r="D32" s="13">
        <v>12</v>
      </c>
      <c r="E32" s="14"/>
      <c r="F32" s="13">
        <v>0</v>
      </c>
      <c r="G32" s="5">
        <v>0</v>
      </c>
      <c r="H32" s="5">
        <v>0</v>
      </c>
      <c r="I32" s="13">
        <v>0</v>
      </c>
      <c r="K32" s="13">
        <v>0</v>
      </c>
      <c r="L32" s="13">
        <v>0</v>
      </c>
      <c r="N32" s="5">
        <f t="shared" si="0"/>
        <v>14.098901098901099</v>
      </c>
      <c r="O32" s="13">
        <v>0</v>
      </c>
    </row>
    <row r="33" spans="2:38" ht="15.75">
      <c r="B33" s="11">
        <v>29</v>
      </c>
      <c r="C33" s="12">
        <v>45686</v>
      </c>
      <c r="D33" s="13">
        <v>7</v>
      </c>
      <c r="E33" s="14"/>
      <c r="F33" s="13">
        <v>0</v>
      </c>
      <c r="G33" s="5">
        <v>0</v>
      </c>
      <c r="H33" s="5">
        <v>0</v>
      </c>
      <c r="I33" s="13">
        <v>0</v>
      </c>
      <c r="K33" s="13">
        <v>0</v>
      </c>
      <c r="L33" s="13">
        <v>0</v>
      </c>
      <c r="N33" s="5">
        <f t="shared" si="0"/>
        <v>14.098901098901099</v>
      </c>
      <c r="O33" s="13">
        <v>0</v>
      </c>
    </row>
    <row r="34" spans="2:38" ht="15.75">
      <c r="B34" s="11">
        <v>30</v>
      </c>
      <c r="C34" s="12">
        <v>45687</v>
      </c>
      <c r="D34" s="13">
        <v>4</v>
      </c>
      <c r="E34" s="14"/>
      <c r="F34" s="13">
        <v>0</v>
      </c>
      <c r="G34" s="5">
        <v>0</v>
      </c>
      <c r="H34" s="5">
        <v>0</v>
      </c>
      <c r="I34" s="13">
        <v>0</v>
      </c>
      <c r="K34" s="13">
        <v>0</v>
      </c>
      <c r="L34" s="13">
        <v>0</v>
      </c>
      <c r="N34" s="5">
        <f t="shared" si="0"/>
        <v>14.098901098901099</v>
      </c>
      <c r="O34" s="13">
        <v>0</v>
      </c>
    </row>
    <row r="35" spans="2:38" ht="15.75">
      <c r="B35" s="11">
        <v>31</v>
      </c>
      <c r="C35" s="12">
        <v>45688</v>
      </c>
      <c r="D35" s="13">
        <v>25</v>
      </c>
      <c r="E35" s="14"/>
      <c r="F35" s="13">
        <v>0</v>
      </c>
      <c r="G35" s="5">
        <v>0</v>
      </c>
      <c r="H35" s="5">
        <v>0</v>
      </c>
      <c r="I35" s="13">
        <v>0</v>
      </c>
      <c r="K35" s="13">
        <v>0</v>
      </c>
      <c r="L35" s="13">
        <v>0</v>
      </c>
      <c r="N35" s="5">
        <f t="shared" si="0"/>
        <v>14.098901098901099</v>
      </c>
      <c r="O35" s="13">
        <v>0</v>
      </c>
    </row>
    <row r="36" spans="2:38" ht="15.75">
      <c r="B36" s="11">
        <v>32</v>
      </c>
      <c r="C36" s="12">
        <v>45689</v>
      </c>
      <c r="D36" s="13">
        <v>2</v>
      </c>
      <c r="E36" s="14"/>
      <c r="F36" s="13">
        <v>0</v>
      </c>
      <c r="G36" s="5">
        <v>0</v>
      </c>
      <c r="H36" s="5">
        <v>0</v>
      </c>
      <c r="I36" s="13">
        <v>0</v>
      </c>
      <c r="K36" s="13">
        <v>0</v>
      </c>
      <c r="L36" s="13">
        <v>0</v>
      </c>
      <c r="N36" s="5">
        <f t="shared" si="0"/>
        <v>14.098901098901099</v>
      </c>
      <c r="O36" s="13">
        <v>0</v>
      </c>
    </row>
    <row r="37" spans="2:38" ht="15.75">
      <c r="B37" s="11">
        <v>33</v>
      </c>
      <c r="C37" s="12">
        <v>45690</v>
      </c>
      <c r="D37" s="13">
        <v>14</v>
      </c>
      <c r="E37" s="14"/>
      <c r="F37" s="13">
        <v>0</v>
      </c>
      <c r="G37" s="5">
        <v>0</v>
      </c>
      <c r="H37" s="5">
        <v>0</v>
      </c>
      <c r="I37" s="13">
        <v>0</v>
      </c>
      <c r="K37" s="13">
        <v>0</v>
      </c>
      <c r="L37" s="13">
        <v>0</v>
      </c>
      <c r="N37" s="5">
        <f t="shared" si="0"/>
        <v>14.098901098901099</v>
      </c>
      <c r="O37" s="13">
        <v>0</v>
      </c>
    </row>
    <row r="38" spans="2:38" ht="15.75">
      <c r="B38" s="11">
        <v>34</v>
      </c>
      <c r="C38" s="12">
        <v>45691</v>
      </c>
      <c r="D38" s="13">
        <v>13</v>
      </c>
      <c r="E38" s="14"/>
      <c r="F38" s="13">
        <v>0</v>
      </c>
      <c r="G38" s="5">
        <v>0</v>
      </c>
      <c r="H38" s="5">
        <v>0</v>
      </c>
      <c r="I38" s="13">
        <v>0</v>
      </c>
      <c r="K38" s="13">
        <v>0</v>
      </c>
      <c r="L38" s="13">
        <v>0</v>
      </c>
      <c r="N38" s="5">
        <f t="shared" si="0"/>
        <v>14.098901098901099</v>
      </c>
      <c r="O38" s="13">
        <v>0</v>
      </c>
    </row>
    <row r="39" spans="2:38" ht="15.75">
      <c r="B39" s="11">
        <v>35</v>
      </c>
      <c r="C39" s="12">
        <v>45692</v>
      </c>
      <c r="D39" s="13">
        <v>25</v>
      </c>
      <c r="E39" s="14"/>
      <c r="F39" s="13">
        <v>0</v>
      </c>
      <c r="G39" s="5">
        <v>0</v>
      </c>
      <c r="H39" s="5">
        <v>0</v>
      </c>
      <c r="I39" s="13">
        <v>0</v>
      </c>
      <c r="K39" s="13">
        <v>0</v>
      </c>
      <c r="L39" s="13">
        <v>0</v>
      </c>
      <c r="N39" s="5">
        <f t="shared" si="0"/>
        <v>14.098901098901099</v>
      </c>
      <c r="O39" s="13">
        <v>0</v>
      </c>
      <c r="AH39" s="5">
        <f>1*2</f>
        <v>2</v>
      </c>
    </row>
    <row r="40" spans="2:38" ht="15.75">
      <c r="B40" s="11">
        <v>36</v>
      </c>
      <c r="C40" s="12">
        <v>45693</v>
      </c>
      <c r="D40" s="13">
        <v>13</v>
      </c>
      <c r="E40" s="14"/>
      <c r="F40" s="13">
        <v>0</v>
      </c>
      <c r="G40" s="5">
        <v>0</v>
      </c>
      <c r="H40" s="5">
        <v>0</v>
      </c>
      <c r="I40" s="13">
        <v>0</v>
      </c>
      <c r="K40" s="13">
        <v>0</v>
      </c>
      <c r="L40" s="13">
        <v>0</v>
      </c>
      <c r="N40" s="5">
        <f t="shared" si="0"/>
        <v>14.098901098901099</v>
      </c>
      <c r="O40" s="13">
        <v>0</v>
      </c>
    </row>
    <row r="41" spans="2:38" ht="15.75">
      <c r="B41" s="11">
        <v>37</v>
      </c>
      <c r="C41" s="12">
        <v>45694</v>
      </c>
      <c r="D41" s="13">
        <v>8</v>
      </c>
      <c r="E41" s="14"/>
      <c r="F41" s="13">
        <v>0</v>
      </c>
      <c r="G41" s="5">
        <v>0</v>
      </c>
      <c r="H41" s="5">
        <v>0</v>
      </c>
      <c r="I41" s="13">
        <v>0</v>
      </c>
      <c r="K41" s="13">
        <v>0</v>
      </c>
      <c r="L41" s="13">
        <v>0</v>
      </c>
      <c r="N41" s="5">
        <f t="shared" si="0"/>
        <v>14.098901098901099</v>
      </c>
      <c r="O41" s="13">
        <v>0</v>
      </c>
    </row>
    <row r="42" spans="2:38" ht="15.75">
      <c r="B42" s="11">
        <v>38</v>
      </c>
      <c r="C42" s="12">
        <v>45695</v>
      </c>
      <c r="D42" s="13">
        <v>17</v>
      </c>
      <c r="E42" s="14"/>
      <c r="F42" s="13">
        <v>0</v>
      </c>
      <c r="G42" s="5">
        <v>0</v>
      </c>
      <c r="H42" s="5">
        <v>0</v>
      </c>
      <c r="I42" s="13">
        <v>0</v>
      </c>
      <c r="K42" s="13">
        <v>0</v>
      </c>
      <c r="L42" s="13">
        <v>0</v>
      </c>
      <c r="N42" s="5">
        <f t="shared" si="0"/>
        <v>14.098901098901099</v>
      </c>
      <c r="O42" s="13">
        <v>0</v>
      </c>
    </row>
    <row r="43" spans="2:38" ht="15.75">
      <c r="B43" s="11">
        <v>39</v>
      </c>
      <c r="C43" s="12">
        <v>45696</v>
      </c>
      <c r="D43" s="13">
        <v>24</v>
      </c>
      <c r="E43" s="14"/>
      <c r="F43" s="13">
        <v>0</v>
      </c>
      <c r="G43" s="5">
        <v>0</v>
      </c>
      <c r="H43" s="5">
        <v>0</v>
      </c>
      <c r="I43" s="13">
        <v>0</v>
      </c>
      <c r="K43" s="13">
        <v>0</v>
      </c>
      <c r="L43" s="13">
        <v>0</v>
      </c>
      <c r="N43" s="5">
        <f t="shared" si="0"/>
        <v>14.098901098901099</v>
      </c>
      <c r="O43" s="13">
        <v>0</v>
      </c>
    </row>
    <row r="44" spans="2:38" ht="15.75">
      <c r="B44" s="11">
        <v>40</v>
      </c>
      <c r="C44" s="12">
        <v>45697</v>
      </c>
      <c r="D44" s="13">
        <v>6</v>
      </c>
      <c r="E44" s="14"/>
      <c r="F44" s="13">
        <v>0</v>
      </c>
      <c r="G44" s="5">
        <v>0</v>
      </c>
      <c r="H44" s="5">
        <v>0</v>
      </c>
      <c r="I44" s="13">
        <v>0</v>
      </c>
      <c r="K44" s="13">
        <v>0</v>
      </c>
      <c r="L44" s="13">
        <v>0</v>
      </c>
      <c r="N44" s="5">
        <f t="shared" si="0"/>
        <v>14.098901098901099</v>
      </c>
      <c r="O44" s="13">
        <v>0</v>
      </c>
      <c r="AL44" s="5" t="s">
        <v>189</v>
      </c>
    </row>
    <row r="45" spans="2:38" ht="15.75">
      <c r="B45" s="11">
        <v>41</v>
      </c>
      <c r="C45" s="12">
        <v>45698</v>
      </c>
      <c r="D45" s="13">
        <v>19</v>
      </c>
      <c r="E45" s="14"/>
      <c r="F45" s="13">
        <v>0</v>
      </c>
      <c r="G45" s="5">
        <v>0</v>
      </c>
      <c r="H45" s="5">
        <v>0</v>
      </c>
      <c r="I45" s="13">
        <v>0</v>
      </c>
      <c r="K45" s="13">
        <v>0</v>
      </c>
      <c r="L45" s="13">
        <v>0</v>
      </c>
      <c r="N45" s="5">
        <f t="shared" si="0"/>
        <v>14.098901098901099</v>
      </c>
      <c r="O45" s="13">
        <v>0</v>
      </c>
    </row>
    <row r="46" spans="2:38" ht="15.75">
      <c r="B46" s="11">
        <v>42</v>
      </c>
      <c r="C46" s="12">
        <v>45699</v>
      </c>
      <c r="D46" s="13">
        <v>33</v>
      </c>
      <c r="E46" s="14"/>
      <c r="F46" s="13">
        <v>0</v>
      </c>
      <c r="G46" s="5">
        <v>0</v>
      </c>
      <c r="H46" s="5">
        <v>0</v>
      </c>
      <c r="I46" s="13">
        <v>0</v>
      </c>
      <c r="K46" s="13">
        <v>0</v>
      </c>
      <c r="L46" s="13">
        <v>0</v>
      </c>
      <c r="N46" s="5">
        <f t="shared" si="0"/>
        <v>14.098901098901099</v>
      </c>
      <c r="O46" s="13">
        <v>0</v>
      </c>
    </row>
    <row r="47" spans="2:38" ht="15.75">
      <c r="B47" s="11">
        <v>43</v>
      </c>
      <c r="C47" s="12">
        <v>45700</v>
      </c>
      <c r="D47" s="13">
        <v>7</v>
      </c>
      <c r="E47" s="14"/>
      <c r="F47" s="13">
        <v>0</v>
      </c>
      <c r="G47" s="5">
        <v>0</v>
      </c>
      <c r="H47" s="5">
        <v>0</v>
      </c>
      <c r="I47" s="13">
        <v>0</v>
      </c>
      <c r="K47" s="13">
        <v>0</v>
      </c>
      <c r="L47" s="13">
        <v>0</v>
      </c>
      <c r="N47" s="5">
        <f t="shared" si="0"/>
        <v>14.098901098901099</v>
      </c>
      <c r="O47" s="13">
        <v>0</v>
      </c>
    </row>
    <row r="48" spans="2:38" ht="15.75">
      <c r="B48" s="11">
        <v>44</v>
      </c>
      <c r="C48" s="12">
        <v>45701</v>
      </c>
      <c r="D48" s="13">
        <v>18</v>
      </c>
      <c r="E48" s="14"/>
      <c r="F48" s="13">
        <v>0</v>
      </c>
      <c r="G48" s="5">
        <v>0</v>
      </c>
      <c r="H48" s="5">
        <v>0</v>
      </c>
      <c r="I48" s="13">
        <v>0</v>
      </c>
      <c r="K48" s="13">
        <v>0</v>
      </c>
      <c r="L48" s="13">
        <v>0</v>
      </c>
      <c r="N48" s="5">
        <f t="shared" si="0"/>
        <v>14.098901098901099</v>
      </c>
      <c r="O48" s="13">
        <v>0</v>
      </c>
    </row>
    <row r="49" spans="2:25" ht="15.75">
      <c r="B49" s="11">
        <v>45</v>
      </c>
      <c r="C49" s="12">
        <v>45702</v>
      </c>
      <c r="D49" s="13">
        <v>12</v>
      </c>
      <c r="E49" s="14"/>
      <c r="F49" s="13">
        <v>0</v>
      </c>
      <c r="G49" s="5">
        <v>0</v>
      </c>
      <c r="H49" s="5">
        <v>0</v>
      </c>
      <c r="I49" s="13">
        <v>0</v>
      </c>
      <c r="K49" s="13">
        <v>0</v>
      </c>
      <c r="L49" s="13">
        <v>0</v>
      </c>
      <c r="N49" s="5">
        <f t="shared" si="0"/>
        <v>14.098901098901099</v>
      </c>
      <c r="O49" s="13">
        <v>0</v>
      </c>
    </row>
    <row r="50" spans="2:25" ht="15.75">
      <c r="B50" s="11">
        <v>46</v>
      </c>
      <c r="C50" s="12">
        <v>45703</v>
      </c>
      <c r="D50" s="13">
        <v>7</v>
      </c>
      <c r="E50" s="14"/>
      <c r="F50" s="13">
        <v>0</v>
      </c>
      <c r="G50" s="5">
        <v>0</v>
      </c>
      <c r="H50" s="5">
        <v>0</v>
      </c>
      <c r="I50" s="13">
        <v>0</v>
      </c>
      <c r="K50" s="13">
        <v>0</v>
      </c>
      <c r="L50" s="13">
        <v>0</v>
      </c>
      <c r="N50" s="5">
        <f t="shared" si="0"/>
        <v>14.098901098901099</v>
      </c>
      <c r="O50" s="13">
        <v>0</v>
      </c>
    </row>
    <row r="51" spans="2:25" ht="15.75">
      <c r="B51" s="11">
        <v>47</v>
      </c>
      <c r="C51" s="12">
        <v>45704</v>
      </c>
      <c r="D51" s="13">
        <v>3</v>
      </c>
      <c r="E51" s="14"/>
      <c r="F51" s="13">
        <v>0</v>
      </c>
      <c r="G51" s="5">
        <v>0</v>
      </c>
      <c r="H51" s="5">
        <v>0</v>
      </c>
      <c r="I51" s="13">
        <v>0</v>
      </c>
      <c r="K51" s="13">
        <v>0</v>
      </c>
      <c r="L51" s="13">
        <v>0</v>
      </c>
      <c r="N51" s="5">
        <f t="shared" si="0"/>
        <v>14.098901098901099</v>
      </c>
      <c r="O51" s="13">
        <v>0</v>
      </c>
    </row>
    <row r="52" spans="2:25" ht="15.75">
      <c r="B52" s="11">
        <v>48</v>
      </c>
      <c r="C52" s="12">
        <v>45705</v>
      </c>
      <c r="D52" s="13">
        <v>25</v>
      </c>
      <c r="E52" s="14"/>
      <c r="F52" s="13">
        <v>0</v>
      </c>
      <c r="G52" s="5">
        <v>0</v>
      </c>
      <c r="H52" s="5">
        <v>0</v>
      </c>
      <c r="I52" s="13">
        <v>0</v>
      </c>
      <c r="K52" s="13">
        <v>0</v>
      </c>
      <c r="L52" s="13">
        <v>0</v>
      </c>
      <c r="N52" s="5">
        <f t="shared" si="0"/>
        <v>14.098901098901099</v>
      </c>
      <c r="O52" s="13">
        <v>0</v>
      </c>
    </row>
    <row r="53" spans="2:25" ht="15.75">
      <c r="B53" s="11">
        <v>49</v>
      </c>
      <c r="C53" s="12">
        <v>45706</v>
      </c>
      <c r="D53" s="13">
        <v>15</v>
      </c>
      <c r="E53" s="14"/>
      <c r="F53" s="13">
        <v>0</v>
      </c>
      <c r="G53" s="5">
        <v>0</v>
      </c>
      <c r="H53" s="5">
        <v>0</v>
      </c>
      <c r="I53" s="13">
        <v>0</v>
      </c>
      <c r="K53" s="13">
        <v>0</v>
      </c>
      <c r="L53" s="13">
        <v>0</v>
      </c>
      <c r="N53" s="5">
        <f t="shared" si="0"/>
        <v>14.098901098901099</v>
      </c>
      <c r="O53" s="13">
        <v>0</v>
      </c>
    </row>
    <row r="54" spans="2:25" ht="15.75">
      <c r="B54" s="11">
        <v>50</v>
      </c>
      <c r="C54" s="12">
        <v>45707</v>
      </c>
      <c r="D54" s="13">
        <v>38</v>
      </c>
      <c r="E54" s="14"/>
      <c r="F54" s="13">
        <v>0</v>
      </c>
      <c r="G54" s="5">
        <v>0</v>
      </c>
      <c r="H54" s="5">
        <v>0</v>
      </c>
      <c r="I54" s="13">
        <v>0</v>
      </c>
      <c r="K54" s="13">
        <v>0</v>
      </c>
      <c r="L54" s="13">
        <v>0</v>
      </c>
      <c r="N54" s="5">
        <f t="shared" si="0"/>
        <v>14.098901098901099</v>
      </c>
      <c r="O54" s="13">
        <v>0</v>
      </c>
    </row>
    <row r="55" spans="2:25" ht="15.75">
      <c r="B55" s="11">
        <v>51</v>
      </c>
      <c r="C55" s="12">
        <v>45708</v>
      </c>
      <c r="D55" s="13">
        <v>28</v>
      </c>
      <c r="E55" s="14"/>
      <c r="F55" s="13">
        <v>0</v>
      </c>
      <c r="G55" s="5">
        <v>0</v>
      </c>
      <c r="H55" s="5">
        <v>0</v>
      </c>
      <c r="I55" s="13">
        <v>0</v>
      </c>
      <c r="K55" s="13">
        <v>0</v>
      </c>
      <c r="L55" s="13">
        <v>0</v>
      </c>
      <c r="N55" s="5">
        <f t="shared" si="0"/>
        <v>14.098901098901099</v>
      </c>
      <c r="O55" s="13">
        <v>0</v>
      </c>
    </row>
    <row r="56" spans="2:25" ht="15.75">
      <c r="B56" s="11">
        <v>52</v>
      </c>
      <c r="C56" s="12">
        <v>45709</v>
      </c>
      <c r="D56" s="13">
        <v>22</v>
      </c>
      <c r="E56" s="14"/>
      <c r="F56" s="13">
        <v>0</v>
      </c>
      <c r="G56" s="5">
        <v>0</v>
      </c>
      <c r="H56" s="5">
        <v>0</v>
      </c>
      <c r="I56" s="13">
        <v>0</v>
      </c>
      <c r="K56" s="13">
        <v>0</v>
      </c>
      <c r="L56" s="13">
        <v>0</v>
      </c>
      <c r="N56" s="5">
        <f t="shared" si="0"/>
        <v>14.098901098901099</v>
      </c>
      <c r="O56" s="13">
        <v>0</v>
      </c>
    </row>
    <row r="57" spans="2:25" ht="15.75">
      <c r="B57" s="11">
        <v>53</v>
      </c>
      <c r="C57" s="12">
        <v>45710</v>
      </c>
      <c r="D57" s="13">
        <v>5</v>
      </c>
      <c r="E57" s="14"/>
      <c r="F57" s="13">
        <v>0</v>
      </c>
      <c r="G57" s="5">
        <v>0</v>
      </c>
      <c r="H57" s="5">
        <v>0</v>
      </c>
      <c r="I57" s="13">
        <v>0</v>
      </c>
      <c r="K57" s="13">
        <v>0</v>
      </c>
      <c r="L57" s="13">
        <v>0</v>
      </c>
      <c r="N57" s="5">
        <f t="shared" si="0"/>
        <v>14.098901098901099</v>
      </c>
      <c r="O57" s="13">
        <v>0</v>
      </c>
    </row>
    <row r="58" spans="2:25" ht="15.75">
      <c r="B58" s="11">
        <v>54</v>
      </c>
      <c r="C58" s="12">
        <v>45711</v>
      </c>
      <c r="D58" s="13">
        <v>22</v>
      </c>
      <c r="E58" s="14"/>
      <c r="F58" s="13">
        <v>0</v>
      </c>
      <c r="G58" s="5">
        <v>0</v>
      </c>
      <c r="H58" s="5">
        <v>0</v>
      </c>
      <c r="I58" s="13">
        <v>0</v>
      </c>
      <c r="K58" s="13">
        <v>0</v>
      </c>
      <c r="L58" s="13">
        <v>0</v>
      </c>
      <c r="N58" s="5">
        <f t="shared" si="0"/>
        <v>14.098901098901099</v>
      </c>
      <c r="O58" s="13">
        <v>0</v>
      </c>
    </row>
    <row r="59" spans="2:25" ht="15.75">
      <c r="B59" s="11">
        <v>55</v>
      </c>
      <c r="C59" s="12">
        <v>45712</v>
      </c>
      <c r="D59" s="13">
        <v>6</v>
      </c>
      <c r="E59" s="14"/>
      <c r="F59" s="13">
        <v>0</v>
      </c>
      <c r="G59" s="5">
        <v>0</v>
      </c>
      <c r="H59" s="5">
        <v>0</v>
      </c>
      <c r="I59" s="13">
        <v>0</v>
      </c>
      <c r="K59" s="13">
        <v>0</v>
      </c>
      <c r="L59" s="13">
        <v>0</v>
      </c>
      <c r="N59" s="5">
        <f t="shared" si="0"/>
        <v>14.098901098901099</v>
      </c>
      <c r="O59" s="13">
        <v>0</v>
      </c>
    </row>
    <row r="60" spans="2:25" ht="15.75">
      <c r="B60" s="11">
        <v>56</v>
      </c>
      <c r="C60" s="12">
        <v>45713</v>
      </c>
      <c r="D60" s="13">
        <v>10</v>
      </c>
      <c r="E60" s="14"/>
      <c r="F60" s="13">
        <v>0</v>
      </c>
      <c r="G60" s="5">
        <v>0</v>
      </c>
      <c r="H60" s="5">
        <v>0</v>
      </c>
      <c r="I60" s="13">
        <v>0</v>
      </c>
      <c r="K60" s="13">
        <v>0</v>
      </c>
      <c r="L60" s="13">
        <v>0</v>
      </c>
      <c r="N60" s="5">
        <f t="shared" si="0"/>
        <v>14.098901098901099</v>
      </c>
      <c r="O60" s="13">
        <v>0</v>
      </c>
    </row>
    <row r="61" spans="2:25" ht="15.75">
      <c r="B61" s="11">
        <v>57</v>
      </c>
      <c r="C61" s="12">
        <v>45714</v>
      </c>
      <c r="D61" s="13">
        <v>14</v>
      </c>
      <c r="E61" s="14"/>
      <c r="F61" s="13">
        <v>0</v>
      </c>
      <c r="G61" s="5">
        <v>0</v>
      </c>
      <c r="H61" s="5">
        <v>0</v>
      </c>
      <c r="I61" s="13">
        <v>0</v>
      </c>
      <c r="K61" s="13">
        <v>0</v>
      </c>
      <c r="L61" s="13">
        <v>0</v>
      </c>
      <c r="N61" s="5">
        <f t="shared" si="0"/>
        <v>14.098901098901099</v>
      </c>
      <c r="O61" s="13">
        <v>0</v>
      </c>
    </row>
    <row r="62" spans="2:25" ht="15.75">
      <c r="B62" s="11">
        <v>58</v>
      </c>
      <c r="C62" s="12">
        <v>45715</v>
      </c>
      <c r="D62" s="13">
        <v>23</v>
      </c>
      <c r="E62" s="14"/>
      <c r="F62" s="13">
        <v>0</v>
      </c>
      <c r="G62" s="5">
        <v>0</v>
      </c>
      <c r="H62" s="5">
        <v>0</v>
      </c>
      <c r="I62" s="13">
        <v>0</v>
      </c>
      <c r="K62" s="13">
        <v>0</v>
      </c>
      <c r="L62" s="13">
        <v>0</v>
      </c>
      <c r="N62" s="5">
        <f t="shared" si="0"/>
        <v>14.098901098901099</v>
      </c>
      <c r="O62" s="13">
        <v>0</v>
      </c>
    </row>
    <row r="63" spans="2:25" ht="15.75">
      <c r="B63" s="11">
        <v>59</v>
      </c>
      <c r="C63" s="12">
        <v>45716</v>
      </c>
      <c r="D63" s="13">
        <v>40</v>
      </c>
      <c r="E63" s="14"/>
      <c r="F63" s="13">
        <v>0</v>
      </c>
      <c r="G63" s="5">
        <v>0</v>
      </c>
      <c r="H63" s="5">
        <v>0</v>
      </c>
      <c r="I63" s="13">
        <v>0</v>
      </c>
      <c r="K63" s="13">
        <v>0</v>
      </c>
      <c r="L63" s="13">
        <v>0</v>
      </c>
      <c r="N63" s="5">
        <f t="shared" si="0"/>
        <v>14.098901098901099</v>
      </c>
      <c r="O63" s="13">
        <v>0</v>
      </c>
    </row>
    <row r="64" spans="2:25" ht="20.25">
      <c r="B64" s="11">
        <v>60</v>
      </c>
      <c r="C64" s="12">
        <v>45717</v>
      </c>
      <c r="D64" s="13">
        <v>18</v>
      </c>
      <c r="E64" s="14"/>
      <c r="F64" s="13">
        <v>0</v>
      </c>
      <c r="G64" s="5">
        <v>0</v>
      </c>
      <c r="H64" s="5">
        <v>0</v>
      </c>
      <c r="I64" s="13">
        <v>0</v>
      </c>
      <c r="K64" s="13">
        <v>0</v>
      </c>
      <c r="L64" s="13">
        <v>0</v>
      </c>
      <c r="N64" s="5">
        <f t="shared" si="0"/>
        <v>14.098901098901099</v>
      </c>
      <c r="O64" s="13">
        <v>0</v>
      </c>
      <c r="U64" s="17" t="s">
        <v>190</v>
      </c>
      <c r="V64" s="17"/>
      <c r="W64" s="17"/>
      <c r="X64" s="17"/>
      <c r="Y64" s="17"/>
    </row>
    <row r="65" spans="2:27" ht="15.75">
      <c r="B65" s="11">
        <v>61</v>
      </c>
      <c r="C65" s="12">
        <v>45718</v>
      </c>
      <c r="D65" s="13">
        <v>15</v>
      </c>
      <c r="E65" s="14"/>
      <c r="F65" s="13">
        <v>0</v>
      </c>
      <c r="G65" s="5">
        <v>0</v>
      </c>
      <c r="H65" s="5">
        <v>0</v>
      </c>
      <c r="I65" s="13">
        <v>0</v>
      </c>
      <c r="K65" s="13">
        <v>0</v>
      </c>
      <c r="L65" s="13">
        <v>0</v>
      </c>
      <c r="N65" s="5">
        <f t="shared" si="0"/>
        <v>14.098901098901099</v>
      </c>
      <c r="O65" s="13">
        <v>0</v>
      </c>
      <c r="U65" s="18"/>
      <c r="V65" s="18"/>
      <c r="W65" s="18"/>
      <c r="X65" s="18"/>
      <c r="Y65" s="18"/>
      <c r="Z65" s="18"/>
      <c r="AA65" s="18"/>
    </row>
    <row r="66" spans="2:27" ht="15.75">
      <c r="B66" s="11">
        <v>62</v>
      </c>
      <c r="C66" s="12">
        <v>45719</v>
      </c>
      <c r="D66" s="13">
        <v>41</v>
      </c>
      <c r="E66" s="14"/>
      <c r="F66" s="13">
        <v>0</v>
      </c>
      <c r="G66" s="5">
        <v>0</v>
      </c>
      <c r="H66" s="5">
        <v>0</v>
      </c>
      <c r="I66" s="13">
        <v>0</v>
      </c>
      <c r="K66" s="13">
        <v>0</v>
      </c>
      <c r="L66" s="13">
        <v>0</v>
      </c>
      <c r="N66" s="5">
        <f t="shared" si="0"/>
        <v>14.098901098901099</v>
      </c>
      <c r="O66" s="13">
        <v>0</v>
      </c>
    </row>
    <row r="67" spans="2:27" ht="15.75">
      <c r="B67" s="11">
        <v>63</v>
      </c>
      <c r="C67" s="12">
        <v>45720</v>
      </c>
      <c r="D67" s="13">
        <v>30</v>
      </c>
      <c r="E67" s="14"/>
      <c r="F67" s="13">
        <v>0</v>
      </c>
      <c r="G67" s="5">
        <v>0</v>
      </c>
      <c r="H67" s="5">
        <v>0</v>
      </c>
      <c r="I67" s="13">
        <v>0</v>
      </c>
      <c r="K67" s="13">
        <v>0</v>
      </c>
      <c r="L67" s="13">
        <v>0</v>
      </c>
      <c r="N67" s="5">
        <f t="shared" si="0"/>
        <v>14.098901098901099</v>
      </c>
      <c r="O67" s="13">
        <v>0</v>
      </c>
    </row>
    <row r="68" spans="2:27" ht="15.75">
      <c r="B68" s="11">
        <v>64</v>
      </c>
      <c r="C68" s="12">
        <v>45721</v>
      </c>
      <c r="D68" s="13">
        <v>23</v>
      </c>
      <c r="E68" s="14"/>
      <c r="F68" s="13">
        <v>0</v>
      </c>
      <c r="G68" s="5">
        <v>0</v>
      </c>
      <c r="H68" s="5">
        <v>0</v>
      </c>
      <c r="I68" s="13">
        <v>0</v>
      </c>
      <c r="K68" s="13">
        <v>0</v>
      </c>
      <c r="L68" s="13">
        <v>0</v>
      </c>
      <c r="N68" s="5">
        <f t="shared" si="0"/>
        <v>14.098901098901099</v>
      </c>
      <c r="O68" s="13">
        <v>0</v>
      </c>
    </row>
    <row r="69" spans="2:27" ht="15.75">
      <c r="B69" s="11">
        <v>65</v>
      </c>
      <c r="C69" s="12">
        <v>45722</v>
      </c>
      <c r="D69" s="13">
        <v>17</v>
      </c>
      <c r="E69" s="14"/>
      <c r="F69" s="13">
        <v>0</v>
      </c>
      <c r="G69" s="5">
        <v>0</v>
      </c>
      <c r="H69" s="5">
        <v>0</v>
      </c>
      <c r="I69" s="13">
        <v>0</v>
      </c>
      <c r="K69" s="13">
        <v>0</v>
      </c>
      <c r="L69" s="13">
        <v>0</v>
      </c>
      <c r="N69" s="5">
        <f t="shared" ref="N69:N132" si="1">AVERAGE($O$644:$O$734)</f>
        <v>14.098901098901099</v>
      </c>
      <c r="O69" s="13">
        <v>0</v>
      </c>
    </row>
    <row r="70" spans="2:27" ht="15.75">
      <c r="B70" s="11">
        <v>66</v>
      </c>
      <c r="C70" s="12">
        <v>45723</v>
      </c>
      <c r="D70" s="13">
        <v>28</v>
      </c>
      <c r="E70" s="14"/>
      <c r="F70" s="13">
        <v>0</v>
      </c>
      <c r="G70" s="5">
        <v>0</v>
      </c>
      <c r="H70" s="5">
        <v>0</v>
      </c>
      <c r="I70" s="13">
        <v>0</v>
      </c>
      <c r="K70" s="13">
        <v>0</v>
      </c>
      <c r="L70" s="13">
        <v>0</v>
      </c>
      <c r="N70" s="5">
        <f t="shared" si="1"/>
        <v>14.098901098901099</v>
      </c>
      <c r="O70" s="13">
        <v>0</v>
      </c>
    </row>
    <row r="71" spans="2:27" ht="15.75">
      <c r="B71" s="11">
        <v>67</v>
      </c>
      <c r="C71" s="12">
        <v>45724</v>
      </c>
      <c r="D71" s="13">
        <v>33</v>
      </c>
      <c r="E71" s="14"/>
      <c r="F71" s="13">
        <v>0</v>
      </c>
      <c r="G71" s="5">
        <v>0</v>
      </c>
      <c r="H71" s="5">
        <v>0</v>
      </c>
      <c r="I71" s="13">
        <v>0</v>
      </c>
      <c r="K71" s="13">
        <v>0</v>
      </c>
      <c r="L71" s="13">
        <v>0</v>
      </c>
      <c r="N71" s="5">
        <f t="shared" si="1"/>
        <v>14.098901098901099</v>
      </c>
      <c r="O71" s="13">
        <v>0</v>
      </c>
    </row>
    <row r="72" spans="2:27" ht="15.75">
      <c r="B72" s="11">
        <v>68</v>
      </c>
      <c r="C72" s="12">
        <v>45725</v>
      </c>
      <c r="D72" s="13">
        <v>28</v>
      </c>
      <c r="E72" s="14"/>
      <c r="F72" s="13">
        <v>0</v>
      </c>
      <c r="G72" s="5">
        <v>0</v>
      </c>
      <c r="H72" s="5">
        <v>0</v>
      </c>
      <c r="I72" s="13">
        <v>0</v>
      </c>
      <c r="K72" s="13">
        <v>0</v>
      </c>
      <c r="L72" s="13">
        <v>0</v>
      </c>
      <c r="N72" s="5">
        <f t="shared" si="1"/>
        <v>14.098901098901099</v>
      </c>
      <c r="O72" s="13">
        <v>0</v>
      </c>
    </row>
    <row r="73" spans="2:27" ht="15.75">
      <c r="B73" s="11">
        <v>69</v>
      </c>
      <c r="C73" s="12">
        <v>45726</v>
      </c>
      <c r="D73" s="13">
        <v>17</v>
      </c>
      <c r="E73" s="14"/>
      <c r="F73" s="13">
        <v>0</v>
      </c>
      <c r="G73" s="5">
        <v>0</v>
      </c>
      <c r="H73" s="5">
        <v>0</v>
      </c>
      <c r="I73" s="13">
        <v>0</v>
      </c>
      <c r="K73" s="13">
        <v>0</v>
      </c>
      <c r="L73" s="13">
        <v>0</v>
      </c>
      <c r="N73" s="5">
        <f t="shared" si="1"/>
        <v>14.098901098901099</v>
      </c>
      <c r="O73" s="13">
        <v>0</v>
      </c>
    </row>
    <row r="74" spans="2:27" ht="15.75">
      <c r="B74" s="11">
        <v>70</v>
      </c>
      <c r="C74" s="12">
        <v>45727</v>
      </c>
      <c r="D74" s="13">
        <v>55</v>
      </c>
      <c r="E74" s="14"/>
      <c r="F74" s="13">
        <v>0</v>
      </c>
      <c r="G74" s="5">
        <v>0</v>
      </c>
      <c r="H74" s="5">
        <v>0</v>
      </c>
      <c r="I74" s="13">
        <v>0</v>
      </c>
      <c r="K74" s="13">
        <v>0</v>
      </c>
      <c r="L74" s="13">
        <v>0</v>
      </c>
      <c r="N74" s="5">
        <f t="shared" si="1"/>
        <v>14.098901098901099</v>
      </c>
      <c r="O74" s="13">
        <v>0</v>
      </c>
    </row>
    <row r="75" spans="2:27" ht="15.75">
      <c r="B75" s="11">
        <v>71</v>
      </c>
      <c r="C75" s="12">
        <v>45728</v>
      </c>
      <c r="D75" s="13">
        <v>15</v>
      </c>
      <c r="E75" s="14"/>
      <c r="F75" s="13">
        <v>0</v>
      </c>
      <c r="G75" s="5">
        <v>0</v>
      </c>
      <c r="H75" s="5">
        <v>0</v>
      </c>
      <c r="I75" s="13">
        <v>0</v>
      </c>
      <c r="K75" s="13">
        <v>0</v>
      </c>
      <c r="L75" s="13">
        <v>0</v>
      </c>
      <c r="N75" s="5">
        <f t="shared" si="1"/>
        <v>14.098901098901099</v>
      </c>
      <c r="O75" s="13">
        <v>0</v>
      </c>
    </row>
    <row r="76" spans="2:27" ht="15.75">
      <c r="B76" s="11">
        <v>72</v>
      </c>
      <c r="C76" s="12">
        <v>45729</v>
      </c>
      <c r="D76" s="13">
        <v>35</v>
      </c>
      <c r="E76" s="14"/>
      <c r="F76" s="13">
        <v>0</v>
      </c>
      <c r="G76" s="5">
        <v>0</v>
      </c>
      <c r="H76" s="5">
        <v>0</v>
      </c>
      <c r="I76" s="13">
        <v>0</v>
      </c>
      <c r="K76" s="13">
        <v>0</v>
      </c>
      <c r="L76" s="13">
        <v>0</v>
      </c>
      <c r="N76" s="5">
        <f t="shared" si="1"/>
        <v>14.098901098901099</v>
      </c>
      <c r="O76" s="13">
        <v>0</v>
      </c>
    </row>
    <row r="77" spans="2:27" ht="15.75">
      <c r="B77" s="11">
        <v>73</v>
      </c>
      <c r="C77" s="12">
        <v>45730</v>
      </c>
      <c r="D77" s="13">
        <v>50</v>
      </c>
      <c r="E77" s="14"/>
      <c r="F77" s="13">
        <v>0</v>
      </c>
      <c r="G77" s="5">
        <v>0</v>
      </c>
      <c r="H77" s="5">
        <v>0</v>
      </c>
      <c r="I77" s="13">
        <v>0</v>
      </c>
      <c r="K77" s="13">
        <v>0</v>
      </c>
      <c r="L77" s="13">
        <v>0</v>
      </c>
      <c r="N77" s="5">
        <f t="shared" si="1"/>
        <v>14.098901098901099</v>
      </c>
      <c r="O77" s="13">
        <v>0</v>
      </c>
    </row>
    <row r="78" spans="2:27" ht="15.75">
      <c r="B78" s="11">
        <v>74</v>
      </c>
      <c r="C78" s="12">
        <v>45731</v>
      </c>
      <c r="D78" s="13">
        <v>39</v>
      </c>
      <c r="E78" s="14"/>
      <c r="F78" s="13">
        <v>0</v>
      </c>
      <c r="G78" s="5">
        <v>0</v>
      </c>
      <c r="H78" s="5">
        <v>0</v>
      </c>
      <c r="I78" s="13">
        <v>0</v>
      </c>
      <c r="K78" s="13">
        <v>0</v>
      </c>
      <c r="L78" s="13">
        <v>0</v>
      </c>
      <c r="N78" s="5">
        <f t="shared" si="1"/>
        <v>14.098901098901099</v>
      </c>
      <c r="O78" s="13">
        <v>0</v>
      </c>
    </row>
    <row r="79" spans="2:27" ht="15.75">
      <c r="B79" s="11">
        <v>75</v>
      </c>
      <c r="C79" s="12">
        <v>45732</v>
      </c>
      <c r="D79" s="13">
        <v>50</v>
      </c>
      <c r="E79" s="14"/>
      <c r="F79" s="13">
        <v>0</v>
      </c>
      <c r="G79" s="5">
        <v>0</v>
      </c>
      <c r="H79" s="5">
        <v>0</v>
      </c>
      <c r="I79" s="13">
        <v>0</v>
      </c>
      <c r="K79" s="13">
        <v>0</v>
      </c>
      <c r="L79" s="13">
        <v>0</v>
      </c>
      <c r="N79" s="5">
        <f t="shared" si="1"/>
        <v>14.098901098901099</v>
      </c>
      <c r="O79" s="13">
        <v>0</v>
      </c>
    </row>
    <row r="80" spans="2:27" ht="15.75">
      <c r="B80" s="11">
        <v>76</v>
      </c>
      <c r="C80" s="12">
        <v>45733</v>
      </c>
      <c r="D80" s="13">
        <v>35</v>
      </c>
      <c r="E80" s="14"/>
      <c r="F80" s="13">
        <v>0</v>
      </c>
      <c r="G80" s="5">
        <v>0</v>
      </c>
      <c r="H80" s="5">
        <v>0</v>
      </c>
      <c r="I80" s="13">
        <v>0</v>
      </c>
      <c r="K80" s="13">
        <v>0</v>
      </c>
      <c r="L80" s="13">
        <v>0</v>
      </c>
      <c r="N80" s="5">
        <f t="shared" si="1"/>
        <v>14.098901098901099</v>
      </c>
      <c r="O80" s="13">
        <v>0</v>
      </c>
    </row>
    <row r="81" spans="2:27" ht="15.75">
      <c r="B81" s="11">
        <v>77</v>
      </c>
      <c r="C81" s="12">
        <v>45734</v>
      </c>
      <c r="D81" s="13">
        <v>45</v>
      </c>
      <c r="E81" s="14"/>
      <c r="F81" s="13">
        <v>0</v>
      </c>
      <c r="G81" s="5">
        <v>0</v>
      </c>
      <c r="H81" s="5">
        <v>0</v>
      </c>
      <c r="I81" s="13">
        <v>0</v>
      </c>
      <c r="K81" s="13">
        <v>0</v>
      </c>
      <c r="L81" s="13">
        <v>0</v>
      </c>
      <c r="N81" s="5">
        <f t="shared" si="1"/>
        <v>14.098901098901099</v>
      </c>
      <c r="O81" s="13">
        <v>0</v>
      </c>
    </row>
    <row r="82" spans="2:27" ht="15.75">
      <c r="B82" s="11">
        <v>78</v>
      </c>
      <c r="C82" s="12">
        <v>45735</v>
      </c>
      <c r="D82" s="13">
        <v>69</v>
      </c>
      <c r="E82" s="14"/>
      <c r="F82" s="13">
        <v>0</v>
      </c>
      <c r="G82" s="5">
        <v>0</v>
      </c>
      <c r="H82" s="5">
        <v>0</v>
      </c>
      <c r="I82" s="13">
        <v>0</v>
      </c>
      <c r="K82" s="13">
        <v>0</v>
      </c>
      <c r="L82" s="13">
        <v>0</v>
      </c>
      <c r="N82" s="5">
        <f t="shared" si="1"/>
        <v>14.098901098901099</v>
      </c>
      <c r="O82" s="13">
        <v>0</v>
      </c>
    </row>
    <row r="83" spans="2:27" ht="15.75">
      <c r="B83" s="11">
        <v>79</v>
      </c>
      <c r="C83" s="12">
        <v>45736</v>
      </c>
      <c r="D83" s="13">
        <v>38</v>
      </c>
      <c r="E83" s="14"/>
      <c r="F83" s="13">
        <v>0</v>
      </c>
      <c r="G83" s="5">
        <v>0</v>
      </c>
      <c r="H83" s="5">
        <v>0</v>
      </c>
      <c r="I83" s="13">
        <v>0</v>
      </c>
      <c r="K83" s="13">
        <v>0</v>
      </c>
      <c r="L83" s="13">
        <v>0</v>
      </c>
      <c r="N83" s="5">
        <f t="shared" si="1"/>
        <v>14.098901098901099</v>
      </c>
      <c r="O83" s="13">
        <v>0</v>
      </c>
    </row>
    <row r="84" spans="2:27" ht="15.75">
      <c r="B84" s="11">
        <v>80</v>
      </c>
      <c r="C84" s="12">
        <v>45737</v>
      </c>
      <c r="D84" s="13">
        <v>23</v>
      </c>
      <c r="E84" s="14"/>
      <c r="F84" s="13">
        <v>0</v>
      </c>
      <c r="G84" s="5">
        <v>0</v>
      </c>
      <c r="H84" s="5">
        <v>0</v>
      </c>
      <c r="I84" s="13">
        <v>0</v>
      </c>
      <c r="K84" s="13">
        <v>0</v>
      </c>
      <c r="L84" s="13">
        <v>0</v>
      </c>
      <c r="N84" s="5">
        <f t="shared" si="1"/>
        <v>14.098901098901099</v>
      </c>
      <c r="O84" s="13">
        <v>0</v>
      </c>
    </row>
    <row r="85" spans="2:27" ht="15.75">
      <c r="B85" s="11">
        <v>81</v>
      </c>
      <c r="C85" s="12">
        <v>45738</v>
      </c>
      <c r="D85" s="13">
        <v>19</v>
      </c>
      <c r="E85" s="14"/>
      <c r="F85" s="13">
        <v>0</v>
      </c>
      <c r="G85" s="5">
        <v>0</v>
      </c>
      <c r="H85" s="5">
        <v>0</v>
      </c>
      <c r="I85" s="13">
        <v>0</v>
      </c>
      <c r="K85" s="13">
        <v>0</v>
      </c>
      <c r="L85" s="13">
        <v>0</v>
      </c>
      <c r="N85" s="5">
        <f t="shared" si="1"/>
        <v>14.098901098901099</v>
      </c>
      <c r="O85" s="13">
        <v>0</v>
      </c>
    </row>
    <row r="86" spans="2:27" ht="26.25">
      <c r="B86" s="11">
        <v>82</v>
      </c>
      <c r="C86" s="12">
        <v>45739</v>
      </c>
      <c r="D86" s="13">
        <v>42</v>
      </c>
      <c r="E86" s="14"/>
      <c r="F86" s="13">
        <v>0</v>
      </c>
      <c r="G86" s="5">
        <v>0</v>
      </c>
      <c r="H86" s="5">
        <v>0</v>
      </c>
      <c r="I86" s="13">
        <v>0</v>
      </c>
      <c r="K86" s="13">
        <v>0</v>
      </c>
      <c r="L86" s="13">
        <v>0</v>
      </c>
      <c r="N86" s="5">
        <f t="shared" si="1"/>
        <v>14.098901098901099</v>
      </c>
      <c r="O86" s="13">
        <v>0</v>
      </c>
      <c r="U86" s="15" t="s">
        <v>170</v>
      </c>
      <c r="V86" s="5" t="s">
        <v>191</v>
      </c>
    </row>
    <row r="87" spans="2:27" ht="15.75">
      <c r="B87" s="11">
        <v>83</v>
      </c>
      <c r="C87" s="12">
        <v>45740</v>
      </c>
      <c r="D87" s="13">
        <v>39</v>
      </c>
      <c r="E87" s="14"/>
      <c r="F87" s="13">
        <v>0</v>
      </c>
      <c r="G87" s="5">
        <v>0</v>
      </c>
      <c r="H87" s="5">
        <v>0</v>
      </c>
      <c r="I87" s="13">
        <v>0</v>
      </c>
      <c r="K87" s="13">
        <v>0</v>
      </c>
      <c r="L87" s="13">
        <v>0</v>
      </c>
      <c r="N87" s="5">
        <f t="shared" si="1"/>
        <v>14.098901098901099</v>
      </c>
      <c r="O87" s="13">
        <v>0</v>
      </c>
      <c r="U87" s="18"/>
      <c r="V87" s="18"/>
      <c r="W87" s="18"/>
      <c r="X87" s="18"/>
      <c r="Y87" s="18"/>
      <c r="Z87" s="18"/>
      <c r="AA87" s="18"/>
    </row>
    <row r="88" spans="2:27" ht="15.75">
      <c r="B88" s="11">
        <v>84</v>
      </c>
      <c r="C88" s="12">
        <v>45741</v>
      </c>
      <c r="D88" s="13">
        <v>27</v>
      </c>
      <c r="E88" s="14"/>
      <c r="F88" s="13">
        <v>0</v>
      </c>
      <c r="G88" s="5">
        <v>0</v>
      </c>
      <c r="H88" s="5">
        <v>0</v>
      </c>
      <c r="I88" s="13">
        <v>0</v>
      </c>
      <c r="K88" s="13">
        <v>0</v>
      </c>
      <c r="L88" s="13">
        <v>0</v>
      </c>
      <c r="N88" s="5">
        <f t="shared" si="1"/>
        <v>14.098901098901099</v>
      </c>
      <c r="O88" s="13">
        <v>0</v>
      </c>
      <c r="U88" s="18"/>
      <c r="V88" s="18" t="s">
        <v>192</v>
      </c>
      <c r="W88" s="18"/>
      <c r="X88" s="18"/>
      <c r="Y88" s="18"/>
      <c r="Z88" s="18"/>
      <c r="AA88" s="18"/>
    </row>
    <row r="89" spans="2:27" ht="15.75">
      <c r="B89" s="11">
        <v>85</v>
      </c>
      <c r="C89" s="12">
        <v>45742</v>
      </c>
      <c r="D89" s="13">
        <v>19</v>
      </c>
      <c r="E89" s="14"/>
      <c r="F89" s="13">
        <v>0</v>
      </c>
      <c r="G89" s="5">
        <v>0</v>
      </c>
      <c r="H89" s="5">
        <v>0</v>
      </c>
      <c r="I89" s="13">
        <v>0</v>
      </c>
      <c r="K89" s="13">
        <v>0</v>
      </c>
      <c r="L89" s="13">
        <v>0</v>
      </c>
      <c r="N89" s="5">
        <f t="shared" si="1"/>
        <v>14.098901098901099</v>
      </c>
      <c r="O89" s="13">
        <v>0</v>
      </c>
    </row>
    <row r="90" spans="2:27" ht="15.75">
      <c r="B90" s="11">
        <v>86</v>
      </c>
      <c r="C90" s="12">
        <v>45743</v>
      </c>
      <c r="D90" s="13">
        <v>22</v>
      </c>
      <c r="E90" s="14"/>
      <c r="F90" s="13">
        <v>0</v>
      </c>
      <c r="G90" s="5">
        <v>0</v>
      </c>
      <c r="H90" s="5">
        <v>0</v>
      </c>
      <c r="I90" s="13">
        <v>0</v>
      </c>
      <c r="K90" s="13">
        <v>0</v>
      </c>
      <c r="L90" s="13">
        <v>0</v>
      </c>
      <c r="N90" s="5">
        <f t="shared" si="1"/>
        <v>14.098901098901099</v>
      </c>
      <c r="O90" s="13">
        <v>0</v>
      </c>
    </row>
    <row r="91" spans="2:27" ht="15.75">
      <c r="B91" s="11">
        <v>87</v>
      </c>
      <c r="C91" s="12">
        <v>45744</v>
      </c>
      <c r="D91" s="13">
        <v>32</v>
      </c>
      <c r="E91" s="14"/>
      <c r="F91" s="13">
        <v>0</v>
      </c>
      <c r="G91" s="5">
        <v>0</v>
      </c>
      <c r="H91" s="5">
        <v>0</v>
      </c>
      <c r="I91" s="13">
        <v>0</v>
      </c>
      <c r="K91" s="13">
        <v>0</v>
      </c>
      <c r="L91" s="13">
        <v>0</v>
      </c>
      <c r="N91" s="5">
        <f t="shared" si="1"/>
        <v>14.098901098901099</v>
      </c>
      <c r="O91" s="13">
        <v>0</v>
      </c>
    </row>
    <row r="92" spans="2:27" ht="15.75">
      <c r="B92" s="11">
        <v>88</v>
      </c>
      <c r="C92" s="12">
        <v>45745</v>
      </c>
      <c r="D92" s="13">
        <v>27</v>
      </c>
      <c r="E92" s="14"/>
      <c r="F92" s="13">
        <v>0</v>
      </c>
      <c r="G92" s="5">
        <v>0</v>
      </c>
      <c r="H92" s="5">
        <v>0</v>
      </c>
      <c r="I92" s="13">
        <v>0</v>
      </c>
      <c r="K92" s="13">
        <v>0</v>
      </c>
      <c r="L92" s="13">
        <v>0</v>
      </c>
      <c r="N92" s="5">
        <f t="shared" si="1"/>
        <v>14.098901098901099</v>
      </c>
      <c r="O92" s="13">
        <v>0</v>
      </c>
    </row>
    <row r="93" spans="2:27" ht="15.75">
      <c r="B93" s="11">
        <v>89</v>
      </c>
      <c r="C93" s="12">
        <v>45746</v>
      </c>
      <c r="D93" s="13">
        <v>36</v>
      </c>
      <c r="E93" s="14"/>
      <c r="F93" s="13">
        <v>0</v>
      </c>
      <c r="G93" s="5">
        <v>0</v>
      </c>
      <c r="H93" s="5">
        <v>0</v>
      </c>
      <c r="I93" s="13">
        <v>0</v>
      </c>
      <c r="K93" s="13">
        <v>0</v>
      </c>
      <c r="L93" s="13">
        <v>0</v>
      </c>
      <c r="N93" s="5">
        <f t="shared" si="1"/>
        <v>14.098901098901099</v>
      </c>
      <c r="O93" s="13">
        <v>0</v>
      </c>
    </row>
    <row r="94" spans="2:27" ht="15.75">
      <c r="B94" s="11">
        <v>90</v>
      </c>
      <c r="C94" s="12">
        <v>45747</v>
      </c>
      <c r="D94" s="13">
        <v>50</v>
      </c>
      <c r="E94" s="14"/>
      <c r="F94" s="13">
        <v>0</v>
      </c>
      <c r="G94" s="5">
        <v>0</v>
      </c>
      <c r="H94" s="5">
        <v>0</v>
      </c>
      <c r="I94" s="13">
        <v>0</v>
      </c>
      <c r="K94" s="13">
        <v>0</v>
      </c>
      <c r="L94" s="13">
        <v>0</v>
      </c>
      <c r="N94" s="5">
        <f t="shared" si="1"/>
        <v>14.098901098901099</v>
      </c>
      <c r="O94" s="13">
        <v>0</v>
      </c>
    </row>
    <row r="95" spans="2:27" ht="15.75">
      <c r="B95" s="11">
        <v>91</v>
      </c>
      <c r="C95" s="12">
        <v>45748</v>
      </c>
      <c r="D95" s="13">
        <v>27</v>
      </c>
      <c r="E95" s="14"/>
      <c r="F95" s="13">
        <v>0</v>
      </c>
      <c r="G95" s="5">
        <v>0</v>
      </c>
      <c r="H95" s="5">
        <v>0</v>
      </c>
      <c r="I95" s="13">
        <v>0</v>
      </c>
      <c r="K95" s="13">
        <v>0</v>
      </c>
      <c r="L95" s="13">
        <v>0</v>
      </c>
      <c r="N95" s="5">
        <f t="shared" si="1"/>
        <v>14.098901098901099</v>
      </c>
      <c r="O95" s="13">
        <v>0</v>
      </c>
    </row>
    <row r="96" spans="2:27" ht="15.75">
      <c r="B96" s="11">
        <v>92</v>
      </c>
      <c r="C96" s="12">
        <v>45749</v>
      </c>
      <c r="D96" s="13">
        <v>56</v>
      </c>
      <c r="E96" s="14"/>
      <c r="F96" s="13">
        <v>0</v>
      </c>
      <c r="G96" s="5">
        <v>0</v>
      </c>
      <c r="H96" s="5">
        <v>0</v>
      </c>
      <c r="I96" s="13">
        <v>0</v>
      </c>
      <c r="K96" s="13">
        <v>0</v>
      </c>
      <c r="L96" s="13">
        <v>0</v>
      </c>
      <c r="N96" s="5">
        <f t="shared" si="1"/>
        <v>14.098901098901099</v>
      </c>
      <c r="O96" s="13">
        <v>0</v>
      </c>
    </row>
    <row r="97" spans="2:27" ht="15.75">
      <c r="B97" s="11">
        <v>93</v>
      </c>
      <c r="C97" s="12">
        <v>45750</v>
      </c>
      <c r="D97" s="13">
        <v>43</v>
      </c>
      <c r="E97" s="14"/>
      <c r="F97" s="13">
        <v>0</v>
      </c>
      <c r="G97" s="5">
        <v>0</v>
      </c>
      <c r="H97" s="5">
        <v>0</v>
      </c>
      <c r="I97" s="13">
        <v>0</v>
      </c>
      <c r="K97" s="13">
        <v>0</v>
      </c>
      <c r="L97" s="13">
        <v>0</v>
      </c>
      <c r="N97" s="5">
        <f t="shared" si="1"/>
        <v>14.098901098901099</v>
      </c>
      <c r="O97" s="13">
        <v>0</v>
      </c>
    </row>
    <row r="98" spans="2:27" ht="15.75">
      <c r="B98" s="11">
        <v>94</v>
      </c>
      <c r="C98" s="12">
        <v>45751</v>
      </c>
      <c r="D98" s="13">
        <v>37</v>
      </c>
      <c r="E98" s="14"/>
      <c r="F98" s="13">
        <v>0</v>
      </c>
      <c r="G98" s="5">
        <v>0</v>
      </c>
      <c r="H98" s="5">
        <v>0</v>
      </c>
      <c r="I98" s="13">
        <v>0</v>
      </c>
      <c r="K98" s="13">
        <v>0</v>
      </c>
      <c r="L98" s="13">
        <v>0</v>
      </c>
      <c r="N98" s="5">
        <f t="shared" si="1"/>
        <v>14.098901098901099</v>
      </c>
      <c r="O98" s="13">
        <v>0</v>
      </c>
    </row>
    <row r="99" spans="2:27" ht="15.75">
      <c r="B99" s="11">
        <v>95</v>
      </c>
      <c r="C99" s="12">
        <v>45752</v>
      </c>
      <c r="D99" s="13">
        <v>39</v>
      </c>
      <c r="E99" s="14"/>
      <c r="F99" s="13">
        <v>0</v>
      </c>
      <c r="G99" s="5">
        <v>0</v>
      </c>
      <c r="H99" s="5">
        <v>0</v>
      </c>
      <c r="I99" s="13">
        <v>0</v>
      </c>
      <c r="K99" s="13">
        <v>0</v>
      </c>
      <c r="L99" s="13">
        <v>0</v>
      </c>
      <c r="N99" s="5">
        <f t="shared" si="1"/>
        <v>14.098901098901099</v>
      </c>
      <c r="O99" s="13">
        <v>0</v>
      </c>
    </row>
    <row r="100" spans="2:27" ht="15.75">
      <c r="B100" s="11">
        <v>96</v>
      </c>
      <c r="C100" s="12">
        <v>45753</v>
      </c>
      <c r="D100" s="13">
        <v>56</v>
      </c>
      <c r="E100" s="14"/>
      <c r="F100" s="13">
        <v>0</v>
      </c>
      <c r="G100" s="5">
        <v>0</v>
      </c>
      <c r="H100" s="5">
        <v>0</v>
      </c>
      <c r="I100" s="13">
        <v>0</v>
      </c>
      <c r="K100" s="13">
        <v>0</v>
      </c>
      <c r="L100" s="13">
        <v>0</v>
      </c>
      <c r="N100" s="5">
        <f t="shared" si="1"/>
        <v>14.098901098901099</v>
      </c>
      <c r="O100" s="13">
        <v>0</v>
      </c>
    </row>
    <row r="101" spans="2:27" ht="15.75">
      <c r="B101" s="11">
        <v>97</v>
      </c>
      <c r="C101" s="12">
        <v>45754</v>
      </c>
      <c r="D101" s="13">
        <v>38</v>
      </c>
      <c r="E101" s="14"/>
      <c r="F101" s="13">
        <v>0</v>
      </c>
      <c r="G101" s="5">
        <v>0</v>
      </c>
      <c r="H101" s="5">
        <v>0</v>
      </c>
      <c r="I101" s="13">
        <v>0</v>
      </c>
      <c r="K101" s="13">
        <v>0</v>
      </c>
      <c r="L101" s="13">
        <v>0</v>
      </c>
      <c r="N101" s="5">
        <f t="shared" si="1"/>
        <v>14.098901098901099</v>
      </c>
      <c r="O101" s="13">
        <v>0</v>
      </c>
    </row>
    <row r="102" spans="2:27" ht="15.75">
      <c r="B102" s="11">
        <v>98</v>
      </c>
      <c r="C102" s="12">
        <v>45755</v>
      </c>
      <c r="D102" s="13">
        <v>32</v>
      </c>
      <c r="E102" s="14"/>
      <c r="F102" s="13">
        <v>0</v>
      </c>
      <c r="G102" s="5">
        <v>0</v>
      </c>
      <c r="H102" s="5">
        <v>0</v>
      </c>
      <c r="I102" s="13">
        <v>0</v>
      </c>
      <c r="K102" s="13">
        <v>0</v>
      </c>
      <c r="L102" s="13">
        <v>0</v>
      </c>
      <c r="N102" s="5">
        <f t="shared" si="1"/>
        <v>14.098901098901099</v>
      </c>
      <c r="O102" s="13">
        <v>0</v>
      </c>
    </row>
    <row r="103" spans="2:27" ht="15.75">
      <c r="B103" s="11">
        <v>99</v>
      </c>
      <c r="C103" s="12">
        <v>45756</v>
      </c>
      <c r="D103" s="13">
        <v>34</v>
      </c>
      <c r="E103" s="14"/>
      <c r="F103" s="13">
        <v>0</v>
      </c>
      <c r="G103" s="5">
        <v>0</v>
      </c>
      <c r="H103" s="5">
        <v>0</v>
      </c>
      <c r="I103" s="13">
        <v>0</v>
      </c>
      <c r="K103" s="13">
        <v>0</v>
      </c>
      <c r="L103" s="13">
        <v>0</v>
      </c>
      <c r="N103" s="5">
        <f t="shared" si="1"/>
        <v>14.098901098901099</v>
      </c>
      <c r="O103" s="13">
        <v>0</v>
      </c>
    </row>
    <row r="104" spans="2:27" ht="15.75">
      <c r="B104" s="11">
        <v>100</v>
      </c>
      <c r="C104" s="12">
        <v>45757</v>
      </c>
      <c r="D104" s="13">
        <v>40</v>
      </c>
      <c r="E104" s="14"/>
      <c r="F104" s="13">
        <v>0</v>
      </c>
      <c r="G104" s="5">
        <v>0</v>
      </c>
      <c r="H104" s="5">
        <v>0</v>
      </c>
      <c r="I104" s="13">
        <v>0</v>
      </c>
      <c r="K104" s="13">
        <v>0</v>
      </c>
      <c r="L104" s="13">
        <v>0</v>
      </c>
      <c r="N104" s="5">
        <f t="shared" si="1"/>
        <v>14.098901098901099</v>
      </c>
      <c r="O104" s="13">
        <v>0</v>
      </c>
    </row>
    <row r="105" spans="2:27" ht="15.75">
      <c r="B105" s="11">
        <v>101</v>
      </c>
      <c r="C105" s="12">
        <v>45758</v>
      </c>
      <c r="D105" s="13">
        <v>30</v>
      </c>
      <c r="E105" s="14"/>
      <c r="F105" s="13">
        <v>0</v>
      </c>
      <c r="G105" s="5">
        <v>0</v>
      </c>
      <c r="H105" s="5">
        <v>0</v>
      </c>
      <c r="I105" s="13">
        <v>0</v>
      </c>
      <c r="K105" s="13">
        <v>0</v>
      </c>
      <c r="L105" s="13">
        <v>0</v>
      </c>
      <c r="N105" s="5">
        <f t="shared" si="1"/>
        <v>14.098901098901099</v>
      </c>
      <c r="O105" s="13">
        <v>0</v>
      </c>
    </row>
    <row r="106" spans="2:27" ht="15.75">
      <c r="B106" s="11">
        <v>102</v>
      </c>
      <c r="C106" s="12">
        <v>45759</v>
      </c>
      <c r="D106" s="13">
        <v>42</v>
      </c>
      <c r="E106" s="14"/>
      <c r="F106" s="13">
        <v>0</v>
      </c>
      <c r="G106" s="5">
        <v>0</v>
      </c>
      <c r="H106" s="5">
        <v>0</v>
      </c>
      <c r="I106" s="13">
        <v>0</v>
      </c>
      <c r="K106" s="13">
        <v>0</v>
      </c>
      <c r="L106" s="13">
        <v>0</v>
      </c>
      <c r="N106" s="5">
        <f t="shared" si="1"/>
        <v>14.098901098901099</v>
      </c>
      <c r="O106" s="13">
        <v>0</v>
      </c>
    </row>
    <row r="107" spans="2:27" ht="15.75">
      <c r="B107" s="11">
        <v>103</v>
      </c>
      <c r="C107" s="12">
        <v>45760</v>
      </c>
      <c r="D107" s="13">
        <v>31</v>
      </c>
      <c r="E107" s="14"/>
      <c r="F107" s="13">
        <v>0</v>
      </c>
      <c r="G107" s="5">
        <v>0</v>
      </c>
      <c r="H107" s="5">
        <v>0</v>
      </c>
      <c r="I107" s="13">
        <v>0</v>
      </c>
      <c r="K107" s="13">
        <v>0</v>
      </c>
      <c r="L107" s="13">
        <v>0</v>
      </c>
      <c r="N107" s="5">
        <f t="shared" si="1"/>
        <v>14.098901098901099</v>
      </c>
      <c r="O107" s="13">
        <v>0</v>
      </c>
    </row>
    <row r="108" spans="2:27" ht="20.25">
      <c r="B108" s="11">
        <v>104</v>
      </c>
      <c r="C108" s="12">
        <v>45761</v>
      </c>
      <c r="D108" s="13">
        <v>56</v>
      </c>
      <c r="E108" s="14"/>
      <c r="F108" s="13">
        <v>0</v>
      </c>
      <c r="G108" s="5">
        <v>0</v>
      </c>
      <c r="H108" s="5">
        <v>0</v>
      </c>
      <c r="I108" s="13">
        <v>0</v>
      </c>
      <c r="K108" s="13">
        <v>0</v>
      </c>
      <c r="L108" s="13">
        <v>0</v>
      </c>
      <c r="N108" s="5">
        <f t="shared" si="1"/>
        <v>14.098901098901099</v>
      </c>
      <c r="O108" s="13">
        <v>0</v>
      </c>
      <c r="U108" s="17" t="s">
        <v>193</v>
      </c>
      <c r="W108" s="5" t="s">
        <v>194</v>
      </c>
    </row>
    <row r="109" spans="2:27" ht="15.75">
      <c r="B109" s="11">
        <v>105</v>
      </c>
      <c r="C109" s="12">
        <v>45762</v>
      </c>
      <c r="D109" s="13">
        <v>26</v>
      </c>
      <c r="E109" s="14"/>
      <c r="F109" s="13">
        <v>0</v>
      </c>
      <c r="G109" s="5">
        <v>0</v>
      </c>
      <c r="H109" s="5">
        <v>0</v>
      </c>
      <c r="I109" s="13">
        <v>0</v>
      </c>
      <c r="K109" s="13">
        <v>0</v>
      </c>
      <c r="L109" s="13">
        <v>0</v>
      </c>
      <c r="N109" s="5">
        <f t="shared" si="1"/>
        <v>14.098901098901099</v>
      </c>
      <c r="O109" s="13">
        <v>0</v>
      </c>
    </row>
    <row r="110" spans="2:27" ht="15.75">
      <c r="B110" s="11">
        <v>106</v>
      </c>
      <c r="C110" s="12">
        <v>45763</v>
      </c>
      <c r="D110" s="13">
        <v>42</v>
      </c>
      <c r="E110" s="14"/>
      <c r="F110" s="13">
        <v>0</v>
      </c>
      <c r="G110" s="5">
        <v>0</v>
      </c>
      <c r="H110" s="5">
        <v>0</v>
      </c>
      <c r="I110" s="13">
        <v>0</v>
      </c>
      <c r="K110" s="13">
        <v>0</v>
      </c>
      <c r="L110" s="13">
        <v>0</v>
      </c>
      <c r="N110" s="5">
        <f t="shared" si="1"/>
        <v>14.098901098901099</v>
      </c>
      <c r="O110" s="13">
        <v>0</v>
      </c>
      <c r="U110" s="18"/>
      <c r="V110" s="18"/>
      <c r="W110" s="18"/>
      <c r="X110" s="18"/>
      <c r="Y110" s="18"/>
      <c r="Z110" s="18"/>
      <c r="AA110" s="18"/>
    </row>
    <row r="111" spans="2:27" ht="15.75">
      <c r="B111" s="11">
        <v>107</v>
      </c>
      <c r="C111" s="12">
        <v>45764</v>
      </c>
      <c r="D111" s="13">
        <v>59</v>
      </c>
      <c r="E111" s="14"/>
      <c r="F111" s="13">
        <v>0</v>
      </c>
      <c r="G111" s="5">
        <v>0</v>
      </c>
      <c r="H111" s="5">
        <v>0</v>
      </c>
      <c r="I111" s="13">
        <v>0</v>
      </c>
      <c r="K111" s="13">
        <v>0</v>
      </c>
      <c r="L111" s="13">
        <v>0</v>
      </c>
      <c r="N111" s="5">
        <f t="shared" si="1"/>
        <v>14.098901098901099</v>
      </c>
      <c r="O111" s="13">
        <v>0</v>
      </c>
      <c r="U111" s="18"/>
      <c r="V111" s="18"/>
      <c r="W111" s="18"/>
      <c r="X111" s="18"/>
      <c r="Y111" s="18"/>
      <c r="Z111" s="18"/>
      <c r="AA111" s="18"/>
    </row>
    <row r="112" spans="2:27" ht="15.75">
      <c r="B112" s="11">
        <v>108</v>
      </c>
      <c r="C112" s="12">
        <v>45765</v>
      </c>
      <c r="D112" s="13">
        <v>37</v>
      </c>
      <c r="E112" s="14"/>
      <c r="F112" s="13">
        <v>0</v>
      </c>
      <c r="G112" s="5">
        <v>0</v>
      </c>
      <c r="H112" s="5">
        <v>0</v>
      </c>
      <c r="I112" s="13">
        <v>0</v>
      </c>
      <c r="K112" s="13">
        <v>0</v>
      </c>
      <c r="L112" s="13">
        <v>0</v>
      </c>
      <c r="N112" s="5">
        <f t="shared" si="1"/>
        <v>14.098901098901099</v>
      </c>
      <c r="O112" s="13">
        <v>0</v>
      </c>
    </row>
    <row r="113" spans="2:15" ht="15.75">
      <c r="B113" s="11">
        <v>109</v>
      </c>
      <c r="C113" s="12">
        <v>45766</v>
      </c>
      <c r="D113" s="13">
        <v>50</v>
      </c>
      <c r="E113" s="14"/>
      <c r="F113" s="13">
        <v>0</v>
      </c>
      <c r="G113" s="5">
        <v>0</v>
      </c>
      <c r="H113" s="5">
        <v>0</v>
      </c>
      <c r="I113" s="13">
        <v>0</v>
      </c>
      <c r="K113" s="13">
        <v>0</v>
      </c>
      <c r="L113" s="13">
        <v>0</v>
      </c>
      <c r="N113" s="5">
        <f t="shared" si="1"/>
        <v>14.098901098901099</v>
      </c>
      <c r="O113" s="13">
        <v>0</v>
      </c>
    </row>
    <row r="114" spans="2:15" ht="15.75">
      <c r="B114" s="11">
        <v>110</v>
      </c>
      <c r="C114" s="12">
        <v>45767</v>
      </c>
      <c r="D114" s="13">
        <v>51</v>
      </c>
      <c r="E114" s="14"/>
      <c r="F114" s="13">
        <v>0</v>
      </c>
      <c r="G114" s="5">
        <v>0</v>
      </c>
      <c r="H114" s="5">
        <v>0</v>
      </c>
      <c r="I114" s="13">
        <v>0</v>
      </c>
      <c r="K114" s="13">
        <v>0</v>
      </c>
      <c r="L114" s="13">
        <v>0</v>
      </c>
      <c r="N114" s="5">
        <f t="shared" si="1"/>
        <v>14.098901098901099</v>
      </c>
      <c r="O114" s="13">
        <v>0</v>
      </c>
    </row>
    <row r="115" spans="2:15" ht="15.75">
      <c r="B115" s="11">
        <v>111</v>
      </c>
      <c r="C115" s="12">
        <v>45768</v>
      </c>
      <c r="D115" s="13">
        <v>63</v>
      </c>
      <c r="E115" s="14"/>
      <c r="F115" s="13">
        <v>0</v>
      </c>
      <c r="G115" s="5">
        <v>0</v>
      </c>
      <c r="H115" s="5">
        <v>0</v>
      </c>
      <c r="I115" s="13">
        <v>0</v>
      </c>
      <c r="K115" s="13">
        <v>0</v>
      </c>
      <c r="L115" s="13">
        <v>0</v>
      </c>
      <c r="N115" s="5">
        <f t="shared" si="1"/>
        <v>14.098901098901099</v>
      </c>
      <c r="O115" s="13">
        <v>0</v>
      </c>
    </row>
    <row r="116" spans="2:15" ht="15.75">
      <c r="B116" s="11">
        <v>112</v>
      </c>
      <c r="C116" s="12">
        <v>45769</v>
      </c>
      <c r="D116" s="13">
        <v>53</v>
      </c>
      <c r="E116" s="14"/>
      <c r="F116" s="13">
        <v>0</v>
      </c>
      <c r="G116" s="5">
        <v>0</v>
      </c>
      <c r="H116" s="5">
        <v>0</v>
      </c>
      <c r="I116" s="13">
        <v>0</v>
      </c>
      <c r="K116" s="13">
        <v>0</v>
      </c>
      <c r="L116" s="13">
        <v>0</v>
      </c>
      <c r="N116" s="5">
        <f t="shared" si="1"/>
        <v>14.098901098901099</v>
      </c>
      <c r="O116" s="13">
        <v>0</v>
      </c>
    </row>
    <row r="117" spans="2:15" ht="15.75">
      <c r="B117" s="11">
        <v>113</v>
      </c>
      <c r="C117" s="12">
        <v>45770</v>
      </c>
      <c r="D117" s="13">
        <v>24</v>
      </c>
      <c r="E117" s="14"/>
      <c r="F117" s="13">
        <v>0</v>
      </c>
      <c r="G117" s="5">
        <v>0</v>
      </c>
      <c r="H117" s="5">
        <v>0</v>
      </c>
      <c r="I117" s="13">
        <v>0</v>
      </c>
      <c r="K117" s="13">
        <v>0</v>
      </c>
      <c r="L117" s="13">
        <v>0</v>
      </c>
      <c r="N117" s="5">
        <f t="shared" si="1"/>
        <v>14.098901098901099</v>
      </c>
      <c r="O117" s="13">
        <v>0</v>
      </c>
    </row>
    <row r="118" spans="2:15" ht="15.75">
      <c r="B118" s="11">
        <v>114</v>
      </c>
      <c r="C118" s="12">
        <v>45771</v>
      </c>
      <c r="D118" s="13">
        <v>61</v>
      </c>
      <c r="E118" s="14"/>
      <c r="F118" s="13">
        <v>0</v>
      </c>
      <c r="G118" s="5">
        <v>0</v>
      </c>
      <c r="H118" s="5">
        <v>0</v>
      </c>
      <c r="I118" s="13">
        <v>0</v>
      </c>
      <c r="K118" s="13">
        <v>0</v>
      </c>
      <c r="L118" s="13">
        <v>0</v>
      </c>
      <c r="N118" s="5">
        <f t="shared" si="1"/>
        <v>14.098901098901099</v>
      </c>
      <c r="O118" s="13">
        <v>0</v>
      </c>
    </row>
    <row r="119" spans="2:15" ht="15.75">
      <c r="B119" s="11">
        <v>115</v>
      </c>
      <c r="C119" s="12">
        <v>45772</v>
      </c>
      <c r="D119" s="13">
        <v>44</v>
      </c>
      <c r="E119" s="14"/>
      <c r="F119" s="13">
        <v>0</v>
      </c>
      <c r="G119" s="5">
        <v>0</v>
      </c>
      <c r="H119" s="5">
        <v>0</v>
      </c>
      <c r="I119" s="13">
        <v>0</v>
      </c>
      <c r="K119" s="13">
        <v>0</v>
      </c>
      <c r="L119" s="13">
        <v>0</v>
      </c>
      <c r="N119" s="5">
        <f t="shared" si="1"/>
        <v>14.098901098901099</v>
      </c>
      <c r="O119" s="13">
        <v>0</v>
      </c>
    </row>
    <row r="120" spans="2:15" ht="15.75">
      <c r="B120" s="11">
        <v>116</v>
      </c>
      <c r="C120" s="12">
        <v>45773</v>
      </c>
      <c r="D120" s="13">
        <v>58</v>
      </c>
      <c r="E120" s="14"/>
      <c r="F120" s="13">
        <v>0</v>
      </c>
      <c r="G120" s="5">
        <v>0</v>
      </c>
      <c r="H120" s="5">
        <v>0</v>
      </c>
      <c r="I120" s="13">
        <v>0</v>
      </c>
      <c r="K120" s="13">
        <v>0</v>
      </c>
      <c r="L120" s="13">
        <v>0</v>
      </c>
      <c r="N120" s="5">
        <f t="shared" si="1"/>
        <v>14.098901098901099</v>
      </c>
      <c r="O120" s="13">
        <v>0</v>
      </c>
    </row>
    <row r="121" spans="2:15" ht="15.75">
      <c r="B121" s="11">
        <v>117</v>
      </c>
      <c r="C121" s="12">
        <v>45774</v>
      </c>
      <c r="D121" s="13">
        <v>103</v>
      </c>
      <c r="E121" s="14"/>
      <c r="F121" s="13">
        <v>0</v>
      </c>
      <c r="G121" s="5">
        <v>0</v>
      </c>
      <c r="H121" s="5">
        <v>0</v>
      </c>
      <c r="I121" s="13">
        <v>0</v>
      </c>
      <c r="K121" s="13">
        <v>0</v>
      </c>
      <c r="L121" s="13">
        <v>0</v>
      </c>
      <c r="N121" s="5">
        <f t="shared" si="1"/>
        <v>14.098901098901099</v>
      </c>
      <c r="O121" s="13">
        <v>0</v>
      </c>
    </row>
    <row r="122" spans="2:15" ht="15.75">
      <c r="B122" s="11">
        <v>118</v>
      </c>
      <c r="C122" s="12">
        <v>45775</v>
      </c>
      <c r="D122" s="13">
        <v>22</v>
      </c>
      <c r="E122" s="14"/>
      <c r="F122" s="13">
        <v>0</v>
      </c>
      <c r="G122" s="5">
        <v>0</v>
      </c>
      <c r="H122" s="5">
        <v>0</v>
      </c>
      <c r="I122" s="13">
        <v>0</v>
      </c>
      <c r="K122" s="13">
        <v>0</v>
      </c>
      <c r="L122" s="13">
        <v>0</v>
      </c>
      <c r="N122" s="5">
        <f t="shared" si="1"/>
        <v>14.098901098901099</v>
      </c>
      <c r="O122" s="13">
        <v>0</v>
      </c>
    </row>
    <row r="123" spans="2:15" ht="15.75">
      <c r="B123" s="11">
        <v>119</v>
      </c>
      <c r="C123" s="12">
        <v>45776</v>
      </c>
      <c r="D123" s="13">
        <v>52</v>
      </c>
      <c r="E123" s="14"/>
      <c r="F123" s="13">
        <v>0</v>
      </c>
      <c r="G123" s="5">
        <v>0</v>
      </c>
      <c r="H123" s="5">
        <v>0</v>
      </c>
      <c r="I123" s="13">
        <v>0</v>
      </c>
      <c r="K123" s="13">
        <v>0</v>
      </c>
      <c r="L123" s="13">
        <v>0</v>
      </c>
      <c r="N123" s="5">
        <f t="shared" si="1"/>
        <v>14.098901098901099</v>
      </c>
      <c r="O123" s="13">
        <v>0</v>
      </c>
    </row>
    <row r="124" spans="2:15" ht="15.75">
      <c r="B124" s="11">
        <v>120</v>
      </c>
      <c r="C124" s="12">
        <v>45777</v>
      </c>
      <c r="D124" s="13">
        <v>64</v>
      </c>
      <c r="E124" s="14"/>
      <c r="F124" s="13">
        <v>0</v>
      </c>
      <c r="G124" s="5">
        <v>0</v>
      </c>
      <c r="H124" s="5">
        <v>0</v>
      </c>
      <c r="I124" s="13">
        <v>0</v>
      </c>
      <c r="K124" s="13">
        <v>0</v>
      </c>
      <c r="L124" s="13">
        <v>0</v>
      </c>
      <c r="N124" s="5">
        <f t="shared" si="1"/>
        <v>14.098901098901099</v>
      </c>
      <c r="O124" s="13">
        <v>0</v>
      </c>
    </row>
    <row r="125" spans="2:15" ht="15.75">
      <c r="B125" s="11">
        <v>121</v>
      </c>
      <c r="C125" s="12">
        <v>45778</v>
      </c>
      <c r="D125" s="13">
        <v>55</v>
      </c>
      <c r="E125" s="14"/>
      <c r="F125" s="13">
        <v>0</v>
      </c>
      <c r="G125" s="5">
        <v>0</v>
      </c>
      <c r="H125" s="5">
        <v>0</v>
      </c>
      <c r="I125" s="13">
        <v>0</v>
      </c>
      <c r="K125" s="13">
        <v>0</v>
      </c>
      <c r="L125" s="13">
        <v>0</v>
      </c>
      <c r="N125" s="5">
        <f t="shared" si="1"/>
        <v>14.098901098901099</v>
      </c>
      <c r="O125" s="13">
        <v>0</v>
      </c>
    </row>
    <row r="126" spans="2:15" ht="15.75">
      <c r="B126" s="11">
        <v>122</v>
      </c>
      <c r="C126" s="12">
        <v>45779</v>
      </c>
      <c r="D126" s="13">
        <v>60</v>
      </c>
      <c r="E126" s="14"/>
      <c r="F126" s="13">
        <v>0</v>
      </c>
      <c r="G126" s="5">
        <v>0</v>
      </c>
      <c r="H126" s="5">
        <v>0</v>
      </c>
      <c r="I126" s="13">
        <v>0</v>
      </c>
      <c r="K126" s="13">
        <v>0</v>
      </c>
      <c r="L126" s="13">
        <v>0</v>
      </c>
      <c r="N126" s="5">
        <f t="shared" si="1"/>
        <v>14.098901098901099</v>
      </c>
      <c r="O126" s="13">
        <v>0</v>
      </c>
    </row>
    <row r="127" spans="2:15" ht="15.75">
      <c r="B127" s="11">
        <v>123</v>
      </c>
      <c r="C127" s="12">
        <v>45780</v>
      </c>
      <c r="D127" s="13">
        <v>53</v>
      </c>
      <c r="E127" s="14"/>
      <c r="F127" s="13">
        <v>0</v>
      </c>
      <c r="G127" s="5">
        <v>0</v>
      </c>
      <c r="H127" s="5">
        <v>0</v>
      </c>
      <c r="I127" s="13">
        <v>0</v>
      </c>
      <c r="K127" s="13">
        <v>0</v>
      </c>
      <c r="L127" s="13">
        <v>0</v>
      </c>
      <c r="N127" s="5">
        <f t="shared" si="1"/>
        <v>14.098901098901099</v>
      </c>
      <c r="O127" s="13">
        <v>0</v>
      </c>
    </row>
    <row r="128" spans="2:15" ht="15.75">
      <c r="B128" s="11">
        <v>124</v>
      </c>
      <c r="C128" s="12">
        <v>45781</v>
      </c>
      <c r="D128" s="13">
        <v>58</v>
      </c>
      <c r="E128" s="14"/>
      <c r="F128" s="13">
        <v>0</v>
      </c>
      <c r="G128" s="5">
        <v>0</v>
      </c>
      <c r="H128" s="5">
        <v>0</v>
      </c>
      <c r="I128" s="13">
        <v>0</v>
      </c>
      <c r="K128" s="13">
        <v>0</v>
      </c>
      <c r="L128" s="13">
        <v>0</v>
      </c>
      <c r="N128" s="5">
        <f t="shared" si="1"/>
        <v>14.098901098901099</v>
      </c>
      <c r="O128" s="13">
        <v>0</v>
      </c>
    </row>
    <row r="129" spans="2:35" ht="15.75">
      <c r="B129" s="11">
        <v>125</v>
      </c>
      <c r="C129" s="12">
        <v>45782</v>
      </c>
      <c r="D129" s="13">
        <v>30</v>
      </c>
      <c r="E129" s="14"/>
      <c r="F129" s="13">
        <v>0</v>
      </c>
      <c r="G129" s="5">
        <v>0</v>
      </c>
      <c r="H129" s="5">
        <v>0</v>
      </c>
      <c r="I129" s="13">
        <v>0</v>
      </c>
      <c r="K129" s="13">
        <v>0</v>
      </c>
      <c r="L129" s="13">
        <v>0</v>
      </c>
      <c r="N129" s="5">
        <f t="shared" si="1"/>
        <v>14.098901098901099</v>
      </c>
      <c r="O129" s="13">
        <v>0</v>
      </c>
    </row>
    <row r="130" spans="2:35" ht="15.75">
      <c r="B130" s="11">
        <v>126</v>
      </c>
      <c r="C130" s="12">
        <v>45783</v>
      </c>
      <c r="D130" s="13">
        <v>72</v>
      </c>
      <c r="E130" s="14"/>
      <c r="F130" s="13">
        <v>0</v>
      </c>
      <c r="G130" s="5">
        <v>0</v>
      </c>
      <c r="H130" s="5">
        <v>0</v>
      </c>
      <c r="I130" s="13">
        <v>0</v>
      </c>
      <c r="K130" s="13">
        <v>0</v>
      </c>
      <c r="L130" s="13">
        <v>0</v>
      </c>
      <c r="N130" s="5">
        <f t="shared" si="1"/>
        <v>14.098901098901099</v>
      </c>
      <c r="O130" s="13">
        <v>0</v>
      </c>
    </row>
    <row r="131" spans="2:35" ht="15.75">
      <c r="B131" s="11">
        <v>127</v>
      </c>
      <c r="C131" s="12">
        <v>45784</v>
      </c>
      <c r="D131" s="13">
        <v>53</v>
      </c>
      <c r="E131" s="14"/>
      <c r="F131" s="13">
        <v>0</v>
      </c>
      <c r="G131" s="5">
        <v>0</v>
      </c>
      <c r="H131" s="5">
        <v>0</v>
      </c>
      <c r="I131" s="13">
        <v>0</v>
      </c>
      <c r="K131" s="13">
        <v>0</v>
      </c>
      <c r="L131" s="13">
        <v>0</v>
      </c>
      <c r="N131" s="5">
        <f t="shared" si="1"/>
        <v>14.098901098901099</v>
      </c>
      <c r="O131" s="13">
        <v>0</v>
      </c>
    </row>
    <row r="132" spans="2:35" ht="15.75">
      <c r="B132" s="11">
        <v>128</v>
      </c>
      <c r="C132" s="12">
        <v>45785</v>
      </c>
      <c r="D132" s="13">
        <v>78</v>
      </c>
      <c r="E132" s="14"/>
      <c r="F132" s="13">
        <v>0</v>
      </c>
      <c r="G132" s="5">
        <v>0</v>
      </c>
      <c r="H132" s="5">
        <v>0</v>
      </c>
      <c r="I132" s="13">
        <v>0</v>
      </c>
      <c r="K132" s="13">
        <v>0</v>
      </c>
      <c r="L132" s="13">
        <v>0</v>
      </c>
      <c r="N132" s="5">
        <f t="shared" si="1"/>
        <v>14.098901098901099</v>
      </c>
      <c r="O132" s="13">
        <v>0</v>
      </c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</row>
    <row r="133" spans="2:35" ht="15.75">
      <c r="B133" s="11">
        <v>129</v>
      </c>
      <c r="C133" s="12">
        <v>45786</v>
      </c>
      <c r="D133" s="13">
        <v>64</v>
      </c>
      <c r="E133" s="14"/>
      <c r="F133" s="13">
        <v>0</v>
      </c>
      <c r="G133" s="5">
        <v>0</v>
      </c>
      <c r="H133" s="5">
        <v>0</v>
      </c>
      <c r="I133" s="13">
        <v>0</v>
      </c>
      <c r="K133" s="13">
        <v>0</v>
      </c>
      <c r="L133" s="13">
        <v>0</v>
      </c>
      <c r="N133" s="5">
        <f t="shared" ref="N133:N196" si="2">AVERAGE($O$644:$O$734)</f>
        <v>14.098901098901099</v>
      </c>
      <c r="O133" s="13">
        <v>0</v>
      </c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</row>
    <row r="134" spans="2:35" ht="15.75">
      <c r="B134" s="11">
        <v>130</v>
      </c>
      <c r="C134" s="12">
        <v>45787</v>
      </c>
      <c r="D134" s="13">
        <v>62</v>
      </c>
      <c r="E134" s="14"/>
      <c r="F134" s="13">
        <v>0</v>
      </c>
      <c r="G134" s="5">
        <v>0</v>
      </c>
      <c r="H134" s="5">
        <v>0</v>
      </c>
      <c r="I134" s="13">
        <v>0</v>
      </c>
      <c r="K134" s="13">
        <v>0</v>
      </c>
      <c r="L134" s="13">
        <v>0</v>
      </c>
      <c r="N134" s="5">
        <f t="shared" si="2"/>
        <v>14.098901098901099</v>
      </c>
      <c r="O134" s="13">
        <v>0</v>
      </c>
      <c r="U134" s="30"/>
      <c r="V134" s="30"/>
      <c r="W134" s="30" t="s">
        <v>5</v>
      </c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</row>
    <row r="135" spans="2:35" ht="15.75">
      <c r="B135" s="11">
        <v>131</v>
      </c>
      <c r="C135" s="12">
        <v>45788</v>
      </c>
      <c r="D135" s="13">
        <v>75</v>
      </c>
      <c r="E135" s="14"/>
      <c r="F135" s="13">
        <v>0</v>
      </c>
      <c r="G135" s="5">
        <v>0</v>
      </c>
      <c r="H135" s="5">
        <v>0</v>
      </c>
      <c r="I135" s="13">
        <v>0</v>
      </c>
      <c r="K135" s="13">
        <v>0</v>
      </c>
      <c r="L135" s="13">
        <v>0</v>
      </c>
      <c r="N135" s="5">
        <f t="shared" si="2"/>
        <v>14.098901098901099</v>
      </c>
      <c r="O135" s="13">
        <v>0</v>
      </c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</row>
    <row r="136" spans="2:35" ht="20.25">
      <c r="B136" s="11">
        <v>132</v>
      </c>
      <c r="C136" s="12">
        <v>45789</v>
      </c>
      <c r="D136" s="13">
        <v>40</v>
      </c>
      <c r="E136" s="14"/>
      <c r="F136" s="13">
        <v>0</v>
      </c>
      <c r="G136" s="5">
        <v>0</v>
      </c>
      <c r="H136" s="5">
        <v>0</v>
      </c>
      <c r="I136" s="13">
        <v>0</v>
      </c>
      <c r="K136" s="13">
        <v>0</v>
      </c>
      <c r="L136" s="13">
        <v>0</v>
      </c>
      <c r="N136" s="5">
        <f t="shared" si="2"/>
        <v>14.098901098901099</v>
      </c>
      <c r="O136" s="13">
        <v>0</v>
      </c>
      <c r="U136" s="30"/>
      <c r="V136" s="30"/>
      <c r="W136" s="78" t="s">
        <v>195</v>
      </c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</row>
    <row r="137" spans="2:35" ht="15.75">
      <c r="B137" s="11">
        <v>133</v>
      </c>
      <c r="C137" s="12">
        <v>45790</v>
      </c>
      <c r="D137" s="13">
        <v>129</v>
      </c>
      <c r="E137" s="14"/>
      <c r="F137" s="13">
        <v>0</v>
      </c>
      <c r="G137" s="5">
        <v>0</v>
      </c>
      <c r="H137" s="5">
        <v>0</v>
      </c>
      <c r="I137" s="13">
        <v>0</v>
      </c>
      <c r="K137" s="13">
        <v>0</v>
      </c>
      <c r="L137" s="13">
        <v>0</v>
      </c>
      <c r="N137" s="5">
        <f t="shared" si="2"/>
        <v>14.098901098901099</v>
      </c>
      <c r="O137" s="13">
        <v>0</v>
      </c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</row>
    <row r="138" spans="2:35" ht="15.75">
      <c r="B138" s="11">
        <v>134</v>
      </c>
      <c r="C138" s="12">
        <v>45791</v>
      </c>
      <c r="D138" s="13">
        <v>64</v>
      </c>
      <c r="E138" s="14"/>
      <c r="F138" s="13">
        <v>0</v>
      </c>
      <c r="G138" s="5">
        <v>0</v>
      </c>
      <c r="H138" s="5">
        <v>0</v>
      </c>
      <c r="I138" s="13">
        <v>0</v>
      </c>
      <c r="K138" s="13">
        <v>0</v>
      </c>
      <c r="L138" s="13">
        <v>0</v>
      </c>
      <c r="N138" s="5">
        <f t="shared" si="2"/>
        <v>14.098901098901099</v>
      </c>
      <c r="O138" s="13">
        <v>0</v>
      </c>
    </row>
    <row r="139" spans="2:35" ht="20.25">
      <c r="B139" s="11">
        <v>135</v>
      </c>
      <c r="C139" s="12">
        <v>45792</v>
      </c>
      <c r="D139" s="13">
        <v>79</v>
      </c>
      <c r="E139" s="14"/>
      <c r="F139" s="13">
        <v>0</v>
      </c>
      <c r="G139" s="5">
        <v>0</v>
      </c>
      <c r="H139" s="5">
        <v>0</v>
      </c>
      <c r="I139" s="13">
        <v>0</v>
      </c>
      <c r="K139" s="13">
        <v>0</v>
      </c>
      <c r="L139" s="13">
        <v>0</v>
      </c>
      <c r="N139" s="5">
        <f t="shared" si="2"/>
        <v>14.098901098901099</v>
      </c>
      <c r="O139" s="13">
        <v>0</v>
      </c>
      <c r="W139" s="19" t="s">
        <v>196</v>
      </c>
    </row>
    <row r="140" spans="2:35" ht="15.75">
      <c r="B140" s="11">
        <v>136</v>
      </c>
      <c r="C140" s="12">
        <v>45793</v>
      </c>
      <c r="D140" s="13">
        <v>69</v>
      </c>
      <c r="E140" s="14"/>
      <c r="F140" s="13">
        <v>0</v>
      </c>
      <c r="G140" s="5">
        <v>0</v>
      </c>
      <c r="H140" s="5">
        <v>0</v>
      </c>
      <c r="I140" s="13">
        <v>0</v>
      </c>
      <c r="K140" s="13">
        <v>0</v>
      </c>
      <c r="L140" s="13">
        <v>0</v>
      </c>
      <c r="N140" s="5">
        <f t="shared" si="2"/>
        <v>14.098901098901099</v>
      </c>
      <c r="O140" s="13">
        <v>0</v>
      </c>
    </row>
    <row r="141" spans="2:35" ht="15.75">
      <c r="B141" s="11">
        <v>137</v>
      </c>
      <c r="C141" s="12">
        <v>45794</v>
      </c>
      <c r="D141" s="13">
        <v>49</v>
      </c>
      <c r="E141" s="14"/>
      <c r="F141" s="13">
        <v>0</v>
      </c>
      <c r="G141" s="5">
        <v>0</v>
      </c>
      <c r="H141" s="5">
        <v>0</v>
      </c>
      <c r="I141" s="13">
        <v>0</v>
      </c>
      <c r="K141" s="13">
        <v>0</v>
      </c>
      <c r="L141" s="13">
        <v>0</v>
      </c>
      <c r="N141" s="5">
        <f t="shared" si="2"/>
        <v>14.098901098901099</v>
      </c>
      <c r="O141" s="13">
        <v>0</v>
      </c>
    </row>
    <row r="142" spans="2:35" ht="15.75">
      <c r="B142" s="11">
        <v>138</v>
      </c>
      <c r="C142" s="12">
        <v>45795</v>
      </c>
      <c r="D142" s="13">
        <v>45</v>
      </c>
      <c r="E142" s="14"/>
      <c r="F142" s="13">
        <v>0</v>
      </c>
      <c r="G142" s="5">
        <v>0</v>
      </c>
      <c r="H142" s="5">
        <v>0</v>
      </c>
      <c r="I142" s="13">
        <v>0</v>
      </c>
      <c r="K142" s="13">
        <v>0</v>
      </c>
      <c r="L142" s="13">
        <v>0</v>
      </c>
      <c r="N142" s="5">
        <f t="shared" si="2"/>
        <v>14.098901098901099</v>
      </c>
      <c r="O142" s="13">
        <v>0</v>
      </c>
    </row>
    <row r="143" spans="2:35" ht="15.75">
      <c r="B143" s="11">
        <v>139</v>
      </c>
      <c r="C143" s="12">
        <v>45796</v>
      </c>
      <c r="D143" s="13">
        <v>43</v>
      </c>
      <c r="E143" s="14"/>
      <c r="F143" s="13">
        <v>0</v>
      </c>
      <c r="G143" s="5">
        <v>0</v>
      </c>
      <c r="H143" s="5">
        <v>0</v>
      </c>
      <c r="I143" s="13">
        <v>0</v>
      </c>
      <c r="K143" s="13">
        <v>0</v>
      </c>
      <c r="L143" s="13">
        <v>0</v>
      </c>
      <c r="N143" s="5">
        <f t="shared" si="2"/>
        <v>14.098901098901099</v>
      </c>
      <c r="O143" s="13">
        <v>0</v>
      </c>
    </row>
    <row r="144" spans="2:35" ht="15.75">
      <c r="B144" s="11">
        <v>140</v>
      </c>
      <c r="C144" s="12">
        <v>45797</v>
      </c>
      <c r="D144" s="13">
        <v>62</v>
      </c>
      <c r="E144" s="14"/>
      <c r="F144" s="13">
        <v>0</v>
      </c>
      <c r="G144" s="5">
        <v>0</v>
      </c>
      <c r="H144" s="5">
        <v>0</v>
      </c>
      <c r="I144" s="13">
        <v>0</v>
      </c>
      <c r="K144" s="13">
        <v>0</v>
      </c>
      <c r="L144" s="13">
        <v>0</v>
      </c>
      <c r="N144" s="5">
        <f t="shared" si="2"/>
        <v>14.098901098901099</v>
      </c>
      <c r="O144" s="13">
        <v>0</v>
      </c>
    </row>
    <row r="145" spans="2:38" ht="15.75">
      <c r="B145" s="11">
        <v>141</v>
      </c>
      <c r="C145" s="12">
        <v>45798</v>
      </c>
      <c r="D145" s="13">
        <v>52</v>
      </c>
      <c r="E145" s="14"/>
      <c r="F145" s="13">
        <v>0</v>
      </c>
      <c r="G145" s="5">
        <v>0</v>
      </c>
      <c r="H145" s="5">
        <v>0</v>
      </c>
      <c r="I145" s="13">
        <v>0</v>
      </c>
      <c r="K145" s="13">
        <v>0</v>
      </c>
      <c r="L145" s="13">
        <v>0</v>
      </c>
      <c r="N145" s="5">
        <f t="shared" si="2"/>
        <v>14.098901098901099</v>
      </c>
      <c r="O145" s="13">
        <v>0</v>
      </c>
    </row>
    <row r="146" spans="2:38" ht="15.75">
      <c r="B146" s="11">
        <v>142</v>
      </c>
      <c r="C146" s="12">
        <v>45799</v>
      </c>
      <c r="D146" s="13">
        <v>48</v>
      </c>
      <c r="E146" s="14"/>
      <c r="F146" s="13">
        <v>0</v>
      </c>
      <c r="G146" s="5">
        <v>0</v>
      </c>
      <c r="H146" s="5">
        <v>0</v>
      </c>
      <c r="I146" s="13">
        <v>0</v>
      </c>
      <c r="K146" s="13">
        <v>0</v>
      </c>
      <c r="L146" s="13">
        <v>0</v>
      </c>
      <c r="N146" s="5">
        <f t="shared" si="2"/>
        <v>14.098901098901099</v>
      </c>
      <c r="O146" s="13">
        <v>0</v>
      </c>
    </row>
    <row r="147" spans="2:38" ht="15.75">
      <c r="B147" s="11">
        <v>143</v>
      </c>
      <c r="C147" s="12">
        <v>45800</v>
      </c>
      <c r="D147" s="13">
        <v>83</v>
      </c>
      <c r="E147" s="14"/>
      <c r="F147" s="13">
        <v>0</v>
      </c>
      <c r="G147" s="5">
        <v>0</v>
      </c>
      <c r="H147" s="5">
        <v>0</v>
      </c>
      <c r="I147" s="13">
        <v>0</v>
      </c>
      <c r="K147" s="13">
        <v>0</v>
      </c>
      <c r="L147" s="13">
        <v>0</v>
      </c>
      <c r="N147" s="5">
        <f t="shared" si="2"/>
        <v>14.098901098901099</v>
      </c>
      <c r="O147" s="13">
        <v>0</v>
      </c>
    </row>
    <row r="148" spans="2:38" ht="45.75">
      <c r="B148" s="11">
        <v>144</v>
      </c>
      <c r="C148" s="12">
        <v>45801</v>
      </c>
      <c r="D148" s="13">
        <v>45</v>
      </c>
      <c r="E148" s="14"/>
      <c r="F148" s="13">
        <v>0</v>
      </c>
      <c r="G148" s="5">
        <v>0</v>
      </c>
      <c r="H148" s="5">
        <v>0</v>
      </c>
      <c r="I148" s="13">
        <v>0</v>
      </c>
      <c r="K148" s="13">
        <v>0</v>
      </c>
      <c r="L148" s="13">
        <v>0</v>
      </c>
      <c r="N148" s="5">
        <f t="shared" si="2"/>
        <v>14.098901098901099</v>
      </c>
      <c r="O148" s="13">
        <v>0</v>
      </c>
      <c r="V148" s="37" t="s">
        <v>197</v>
      </c>
      <c r="W148" s="34" t="s">
        <v>6</v>
      </c>
      <c r="X148" s="21" t="s">
        <v>7</v>
      </c>
      <c r="Y148" s="21" t="s">
        <v>8</v>
      </c>
      <c r="Z148" s="21" t="s">
        <v>9</v>
      </c>
      <c r="AA148" s="21" t="s">
        <v>10</v>
      </c>
      <c r="AB148" s="21" t="s">
        <v>11</v>
      </c>
      <c r="AC148"/>
    </row>
    <row r="149" spans="2:38" ht="15.75">
      <c r="B149" s="11">
        <v>145</v>
      </c>
      <c r="C149" s="12">
        <v>45802</v>
      </c>
      <c r="D149" s="13">
        <v>42</v>
      </c>
      <c r="E149" s="14"/>
      <c r="F149" s="13">
        <v>0</v>
      </c>
      <c r="G149" s="5">
        <v>0</v>
      </c>
      <c r="H149" s="5">
        <v>0</v>
      </c>
      <c r="I149" s="13">
        <v>0</v>
      </c>
      <c r="K149" s="13">
        <v>0</v>
      </c>
      <c r="L149" s="13">
        <v>0</v>
      </c>
      <c r="N149" s="5">
        <f t="shared" si="2"/>
        <v>14.098901098901099</v>
      </c>
      <c r="O149" s="13">
        <v>0</v>
      </c>
      <c r="V149" s="30"/>
      <c r="W149" s="22" t="s">
        <v>12</v>
      </c>
      <c r="X149" s="21">
        <v>12974</v>
      </c>
      <c r="Y149" s="21">
        <v>15307.6255</v>
      </c>
      <c r="Z149" s="21">
        <v>7084.5901639343938</v>
      </c>
      <c r="AA149" s="21">
        <v>5999.9999999999964</v>
      </c>
      <c r="AB149" s="21">
        <v>6912.6988347453353</v>
      </c>
      <c r="AG149" s="5" t="s">
        <v>198</v>
      </c>
    </row>
    <row r="150" spans="2:38" ht="27.75">
      <c r="B150" s="11">
        <v>146</v>
      </c>
      <c r="C150" s="12">
        <v>45803</v>
      </c>
      <c r="D150" s="13">
        <v>83</v>
      </c>
      <c r="E150" s="14"/>
      <c r="F150" s="13">
        <v>0</v>
      </c>
      <c r="G150" s="5">
        <v>0</v>
      </c>
      <c r="H150" s="5">
        <v>0</v>
      </c>
      <c r="I150" s="13">
        <v>0</v>
      </c>
      <c r="K150" s="13">
        <v>0</v>
      </c>
      <c r="L150" s="13">
        <v>0</v>
      </c>
      <c r="N150" s="5">
        <f t="shared" si="2"/>
        <v>14.098901098901099</v>
      </c>
      <c r="O150" s="13">
        <v>0</v>
      </c>
      <c r="V150" s="30"/>
      <c r="W150" s="22" t="s">
        <v>15</v>
      </c>
      <c r="X150" s="21">
        <v>12641</v>
      </c>
      <c r="Y150" s="21">
        <v>35651.082999999999</v>
      </c>
      <c r="Z150" s="21">
        <v>7084.5901639343938</v>
      </c>
      <c r="AA150" s="21">
        <v>5999.9999999999964</v>
      </c>
      <c r="AB150" s="21">
        <v>7034.226266481377</v>
      </c>
      <c r="AH150" s="20" t="s">
        <v>199</v>
      </c>
    </row>
    <row r="151" spans="2:38" ht="15.75">
      <c r="B151" s="11">
        <v>147</v>
      </c>
      <c r="C151" s="12">
        <v>45804</v>
      </c>
      <c r="D151" s="13">
        <v>57</v>
      </c>
      <c r="E151" s="14"/>
      <c r="F151" s="13">
        <v>0</v>
      </c>
      <c r="G151" s="5">
        <v>0</v>
      </c>
      <c r="H151" s="5">
        <v>0</v>
      </c>
      <c r="I151" s="13">
        <v>0</v>
      </c>
      <c r="K151" s="13">
        <v>0</v>
      </c>
      <c r="L151" s="13">
        <v>0</v>
      </c>
      <c r="N151" s="5">
        <f t="shared" si="2"/>
        <v>14.098901098901099</v>
      </c>
      <c r="O151" s="13">
        <v>0</v>
      </c>
      <c r="V151" s="30"/>
      <c r="W151" s="22" t="s">
        <v>18</v>
      </c>
      <c r="X151" s="21">
        <v>25615</v>
      </c>
      <c r="Y151" s="21">
        <v>50958.708500000001</v>
      </c>
      <c r="Z151" s="21">
        <v>14169.180327868788</v>
      </c>
      <c r="AA151" s="21">
        <v>11999.999999999993</v>
      </c>
      <c r="AB151" s="21">
        <v>13946.925101226712</v>
      </c>
      <c r="AG151" s="1" t="s">
        <v>6</v>
      </c>
      <c r="AH151" t="s">
        <v>200</v>
      </c>
      <c r="AI151" t="s">
        <v>201</v>
      </c>
      <c r="AJ151" t="s">
        <v>202</v>
      </c>
      <c r="AK151" s="35" t="s">
        <v>203</v>
      </c>
      <c r="AL151" t="s">
        <v>204</v>
      </c>
    </row>
    <row r="152" spans="2:38" ht="15.75">
      <c r="B152" s="11">
        <v>148</v>
      </c>
      <c r="C152" s="12">
        <v>45805</v>
      </c>
      <c r="D152" s="13">
        <v>61</v>
      </c>
      <c r="E152" s="14"/>
      <c r="F152" s="13">
        <v>0</v>
      </c>
      <c r="G152" s="5">
        <v>0</v>
      </c>
      <c r="H152" s="5">
        <v>0</v>
      </c>
      <c r="I152" s="13">
        <v>0</v>
      </c>
      <c r="K152" s="13">
        <v>0</v>
      </c>
      <c r="L152" s="13">
        <v>0</v>
      </c>
      <c r="N152" s="5">
        <f t="shared" si="2"/>
        <v>14.098901098901099</v>
      </c>
      <c r="O152" s="13">
        <v>0</v>
      </c>
      <c r="W152"/>
      <c r="X152"/>
      <c r="Y152"/>
      <c r="Z152"/>
      <c r="AA152"/>
      <c r="AB152"/>
      <c r="AG152" s="2" t="s">
        <v>12</v>
      </c>
      <c r="AH152"/>
      <c r="AI152"/>
      <c r="AJ152"/>
      <c r="AK152" s="35"/>
      <c r="AL152"/>
    </row>
    <row r="153" spans="2:38" ht="15.75">
      <c r="B153" s="11">
        <v>149</v>
      </c>
      <c r="C153" s="12">
        <v>45806</v>
      </c>
      <c r="D153" s="13">
        <v>81</v>
      </c>
      <c r="E153" s="14"/>
      <c r="F153" s="13">
        <v>0</v>
      </c>
      <c r="G153" s="5">
        <v>0</v>
      </c>
      <c r="H153" s="5">
        <v>0</v>
      </c>
      <c r="I153" s="13">
        <v>0</v>
      </c>
      <c r="K153" s="13">
        <v>0</v>
      </c>
      <c r="L153" s="13">
        <v>0</v>
      </c>
      <c r="N153" s="5">
        <f t="shared" si="2"/>
        <v>14.098901098901099</v>
      </c>
      <c r="O153" s="13">
        <v>0</v>
      </c>
      <c r="W153"/>
      <c r="X153"/>
      <c r="Y153"/>
      <c r="Z153"/>
      <c r="AA153"/>
      <c r="AB153"/>
      <c r="AG153" s="36" t="s">
        <v>205</v>
      </c>
      <c r="AH153">
        <v>1728</v>
      </c>
      <c r="AI153">
        <v>2033</v>
      </c>
      <c r="AJ153">
        <v>1605</v>
      </c>
      <c r="AK153" s="35">
        <v>2500</v>
      </c>
      <c r="AL153">
        <v>1556</v>
      </c>
    </row>
    <row r="154" spans="2:38" ht="15.75">
      <c r="B154" s="11">
        <v>150</v>
      </c>
      <c r="C154" s="12">
        <v>45807</v>
      </c>
      <c r="D154" s="13">
        <v>59</v>
      </c>
      <c r="E154" s="14"/>
      <c r="F154" s="13">
        <v>0</v>
      </c>
      <c r="G154" s="5">
        <v>0</v>
      </c>
      <c r="H154" s="5">
        <v>0</v>
      </c>
      <c r="I154" s="13">
        <v>0</v>
      </c>
      <c r="K154" s="13">
        <v>0</v>
      </c>
      <c r="L154" s="13">
        <v>0</v>
      </c>
      <c r="N154" s="5">
        <f t="shared" si="2"/>
        <v>14.098901098901099</v>
      </c>
      <c r="O154" s="13">
        <v>0</v>
      </c>
      <c r="W154"/>
      <c r="X154"/>
      <c r="Y154"/>
      <c r="Z154"/>
      <c r="AA154"/>
      <c r="AB154"/>
      <c r="AG154" s="36" t="s">
        <v>206</v>
      </c>
      <c r="AH154">
        <v>5106</v>
      </c>
      <c r="AI154">
        <v>3256</v>
      </c>
      <c r="AJ154">
        <v>1693</v>
      </c>
      <c r="AK154" s="35">
        <v>1000</v>
      </c>
      <c r="AL154">
        <v>1769</v>
      </c>
    </row>
    <row r="155" spans="2:38" ht="15.75">
      <c r="B155" s="11">
        <v>151</v>
      </c>
      <c r="C155" s="12">
        <v>45808</v>
      </c>
      <c r="D155" s="13">
        <v>51</v>
      </c>
      <c r="E155" s="14"/>
      <c r="F155" s="13">
        <v>0</v>
      </c>
      <c r="G155" s="5">
        <v>0</v>
      </c>
      <c r="H155" s="5">
        <v>0</v>
      </c>
      <c r="I155" s="13">
        <v>0</v>
      </c>
      <c r="K155" s="13">
        <v>0</v>
      </c>
      <c r="L155" s="13">
        <v>0</v>
      </c>
      <c r="N155" s="5">
        <f t="shared" si="2"/>
        <v>14.098901098901099</v>
      </c>
      <c r="O155" s="13">
        <v>0</v>
      </c>
      <c r="W155"/>
      <c r="X155"/>
      <c r="Y155"/>
      <c r="Z155"/>
      <c r="AA155"/>
      <c r="AB155"/>
      <c r="AG155" s="36" t="s">
        <v>207</v>
      </c>
      <c r="AH155">
        <v>5665</v>
      </c>
      <c r="AI155">
        <v>4675</v>
      </c>
      <c r="AJ155">
        <v>1397</v>
      </c>
      <c r="AK155" s="35">
        <v>1250</v>
      </c>
      <c r="AL155">
        <v>1416</v>
      </c>
    </row>
    <row r="156" spans="2:38" ht="15.75">
      <c r="B156" s="11">
        <v>152</v>
      </c>
      <c r="C156" s="12">
        <v>45809</v>
      </c>
      <c r="D156" s="13">
        <v>68</v>
      </c>
      <c r="E156" s="14"/>
      <c r="F156" s="13">
        <v>0</v>
      </c>
      <c r="G156" s="5">
        <v>0</v>
      </c>
      <c r="H156" s="5">
        <v>0</v>
      </c>
      <c r="I156" s="13">
        <v>0</v>
      </c>
      <c r="K156" s="13">
        <v>0</v>
      </c>
      <c r="L156" s="13">
        <v>0</v>
      </c>
      <c r="N156" s="5">
        <f t="shared" si="2"/>
        <v>14.098901098901099</v>
      </c>
      <c r="O156" s="13">
        <v>0</v>
      </c>
      <c r="W156"/>
      <c r="X156"/>
      <c r="Y156"/>
      <c r="Z156"/>
      <c r="AA156"/>
      <c r="AB156"/>
      <c r="AG156" s="36" t="s">
        <v>208</v>
      </c>
      <c r="AH156">
        <v>1831</v>
      </c>
      <c r="AI156">
        <v>6109</v>
      </c>
      <c r="AJ156">
        <v>1450</v>
      </c>
      <c r="AK156" s="35">
        <v>750</v>
      </c>
      <c r="AL156">
        <v>1484</v>
      </c>
    </row>
    <row r="157" spans="2:38" ht="15.75">
      <c r="B157" s="11">
        <v>153</v>
      </c>
      <c r="C157" s="12">
        <v>45810</v>
      </c>
      <c r="D157" s="13">
        <v>101</v>
      </c>
      <c r="E157" s="14"/>
      <c r="F157" s="13">
        <v>0</v>
      </c>
      <c r="G157" s="5">
        <v>0</v>
      </c>
      <c r="H157" s="5">
        <v>0</v>
      </c>
      <c r="I157" s="13">
        <v>0</v>
      </c>
      <c r="K157" s="13">
        <v>0</v>
      </c>
      <c r="L157" s="13">
        <v>0</v>
      </c>
      <c r="N157" s="5">
        <f t="shared" si="2"/>
        <v>14.098901098901099</v>
      </c>
      <c r="O157" s="13">
        <v>0</v>
      </c>
      <c r="W157"/>
      <c r="X157"/>
      <c r="Y157"/>
      <c r="Z157"/>
      <c r="AA157"/>
      <c r="AB157"/>
      <c r="AG157" s="2" t="s">
        <v>15</v>
      </c>
      <c r="AH157"/>
      <c r="AI157"/>
      <c r="AJ157"/>
      <c r="AK157" s="35"/>
      <c r="AL157"/>
    </row>
    <row r="158" spans="2:38" ht="15.75">
      <c r="B158" s="11">
        <v>154</v>
      </c>
      <c r="C158" s="12">
        <v>45811</v>
      </c>
      <c r="D158" s="13">
        <v>80</v>
      </c>
      <c r="E158" s="14"/>
      <c r="F158" s="13">
        <v>0</v>
      </c>
      <c r="G158" s="5">
        <v>0</v>
      </c>
      <c r="H158" s="5">
        <v>0</v>
      </c>
      <c r="I158" s="13">
        <v>0</v>
      </c>
      <c r="K158" s="13">
        <v>0</v>
      </c>
      <c r="L158" s="13">
        <v>0</v>
      </c>
      <c r="N158" s="5">
        <f t="shared" si="2"/>
        <v>14.098901098901099</v>
      </c>
      <c r="O158" s="13">
        <v>0</v>
      </c>
      <c r="W158"/>
      <c r="X158"/>
      <c r="Y158"/>
      <c r="Z158"/>
      <c r="AA158"/>
      <c r="AB158"/>
      <c r="AG158" s="36" t="s">
        <v>205</v>
      </c>
      <c r="AH158">
        <v>1764</v>
      </c>
      <c r="AI158">
        <v>7601</v>
      </c>
      <c r="AJ158">
        <v>1596</v>
      </c>
      <c r="AK158" s="35">
        <v>750</v>
      </c>
      <c r="AL158">
        <v>1603</v>
      </c>
    </row>
    <row r="159" spans="2:38" ht="15.75">
      <c r="B159" s="11">
        <v>155</v>
      </c>
      <c r="C159" s="12">
        <v>45812</v>
      </c>
      <c r="D159" s="13">
        <v>43</v>
      </c>
      <c r="E159" s="14"/>
      <c r="F159" s="13">
        <v>0</v>
      </c>
      <c r="G159" s="5">
        <v>0</v>
      </c>
      <c r="H159" s="5">
        <v>0</v>
      </c>
      <c r="I159" s="13">
        <v>0</v>
      </c>
      <c r="K159" s="13">
        <v>0</v>
      </c>
      <c r="L159" s="13">
        <v>0</v>
      </c>
      <c r="N159" s="5">
        <f t="shared" si="2"/>
        <v>14.098901098901099</v>
      </c>
      <c r="O159" s="13">
        <v>0</v>
      </c>
      <c r="W159"/>
      <c r="X159"/>
      <c r="Y159"/>
      <c r="Z159"/>
      <c r="AA159"/>
      <c r="AB159"/>
      <c r="AG159" s="36" t="s">
        <v>206</v>
      </c>
      <c r="AH159">
        <v>5302</v>
      </c>
      <c r="AI159">
        <v>8769</v>
      </c>
      <c r="AJ159">
        <v>1674</v>
      </c>
      <c r="AK159" s="35">
        <v>2250</v>
      </c>
      <c r="AL159">
        <v>1473</v>
      </c>
    </row>
    <row r="160" spans="2:38" ht="15.75">
      <c r="B160" s="11">
        <v>156</v>
      </c>
      <c r="C160" s="12">
        <v>45813</v>
      </c>
      <c r="D160" s="13">
        <v>64</v>
      </c>
      <c r="E160" s="14"/>
      <c r="F160" s="13">
        <v>0</v>
      </c>
      <c r="G160" s="5">
        <v>0</v>
      </c>
      <c r="H160" s="5">
        <v>0</v>
      </c>
      <c r="I160" s="13">
        <v>0</v>
      </c>
      <c r="K160" s="13">
        <v>0</v>
      </c>
      <c r="L160" s="13">
        <v>0</v>
      </c>
      <c r="N160" s="5">
        <f t="shared" si="2"/>
        <v>14.098901098901099</v>
      </c>
      <c r="O160" s="13">
        <v>0</v>
      </c>
      <c r="W160"/>
      <c r="X160"/>
      <c r="Y160"/>
      <c r="Z160"/>
      <c r="AA160"/>
      <c r="AB160"/>
      <c r="AG160" s="36" t="s">
        <v>207</v>
      </c>
      <c r="AH160">
        <v>5543</v>
      </c>
      <c r="AI160">
        <v>10965</v>
      </c>
      <c r="AJ160">
        <v>1328</v>
      </c>
      <c r="AK160" s="35">
        <v>1500</v>
      </c>
      <c r="AL160">
        <v>1657</v>
      </c>
    </row>
    <row r="161" spans="2:88" ht="15.75">
      <c r="B161" s="11">
        <v>157</v>
      </c>
      <c r="C161" s="12">
        <v>45814</v>
      </c>
      <c r="D161" s="13">
        <v>89</v>
      </c>
      <c r="E161" s="14"/>
      <c r="F161" s="13">
        <v>0</v>
      </c>
      <c r="G161" s="5">
        <v>0</v>
      </c>
      <c r="H161" s="5">
        <v>0</v>
      </c>
      <c r="I161" s="13">
        <v>0</v>
      </c>
      <c r="K161" s="13">
        <v>0</v>
      </c>
      <c r="L161" s="13">
        <v>0</v>
      </c>
      <c r="N161" s="5">
        <f t="shared" si="2"/>
        <v>14.098901098901099</v>
      </c>
      <c r="O161" s="13">
        <v>0</v>
      </c>
      <c r="W161"/>
      <c r="X161"/>
      <c r="Y161"/>
      <c r="Z161"/>
      <c r="AA161"/>
      <c r="AB161"/>
      <c r="AG161" s="36" t="s">
        <v>208</v>
      </c>
      <c r="AH161">
        <v>1794</v>
      </c>
      <c r="AI161">
        <v>9318</v>
      </c>
      <c r="AJ161">
        <v>1226</v>
      </c>
      <c r="AK161" s="35">
        <v>1750</v>
      </c>
      <c r="AL161">
        <v>1144</v>
      </c>
    </row>
    <row r="162" spans="2:88" ht="15.75">
      <c r="B162" s="11">
        <v>158</v>
      </c>
      <c r="C162" s="12">
        <v>45815</v>
      </c>
      <c r="D162" s="13">
        <v>94</v>
      </c>
      <c r="E162" s="14"/>
      <c r="F162" s="13">
        <v>0</v>
      </c>
      <c r="G162" s="5">
        <v>0</v>
      </c>
      <c r="H162" s="5">
        <v>0</v>
      </c>
      <c r="I162" s="13">
        <v>0</v>
      </c>
      <c r="K162" s="13">
        <v>0</v>
      </c>
      <c r="L162" s="13">
        <v>0</v>
      </c>
      <c r="N162" s="5">
        <f t="shared" si="2"/>
        <v>14.098901098901099</v>
      </c>
      <c r="O162" s="13">
        <v>0</v>
      </c>
      <c r="W162"/>
      <c r="X162"/>
      <c r="Y162"/>
      <c r="Z162"/>
      <c r="AA162"/>
      <c r="AB162"/>
      <c r="AG162" s="2" t="s">
        <v>18</v>
      </c>
      <c r="AH162">
        <v>28733</v>
      </c>
      <c r="AI162">
        <v>52726</v>
      </c>
      <c r="AJ162">
        <v>11969</v>
      </c>
      <c r="AK162" s="35">
        <v>11750</v>
      </c>
      <c r="AL162">
        <v>12102</v>
      </c>
    </row>
    <row r="163" spans="2:88" ht="15.75">
      <c r="B163" s="11">
        <v>159</v>
      </c>
      <c r="C163" s="12">
        <v>45816</v>
      </c>
      <c r="D163" s="13">
        <v>49</v>
      </c>
      <c r="E163" s="14"/>
      <c r="F163" s="13">
        <v>0</v>
      </c>
      <c r="G163" s="5">
        <v>0</v>
      </c>
      <c r="H163" s="5">
        <v>0</v>
      </c>
      <c r="I163" s="13">
        <v>0</v>
      </c>
      <c r="K163" s="13">
        <v>0</v>
      </c>
      <c r="L163" s="13">
        <v>0</v>
      </c>
      <c r="N163" s="5">
        <f t="shared" si="2"/>
        <v>14.098901098901099</v>
      </c>
      <c r="O163" s="13">
        <v>0</v>
      </c>
      <c r="W163"/>
      <c r="X163"/>
      <c r="Y163"/>
      <c r="Z163"/>
      <c r="AA163"/>
      <c r="AB163"/>
    </row>
    <row r="164" spans="2:88" ht="15.75">
      <c r="B164" s="11">
        <v>160</v>
      </c>
      <c r="C164" s="12">
        <v>45817</v>
      </c>
      <c r="D164" s="13">
        <v>77</v>
      </c>
      <c r="E164" s="14"/>
      <c r="F164" s="13">
        <v>0</v>
      </c>
      <c r="G164" s="5">
        <v>0</v>
      </c>
      <c r="H164" s="5">
        <v>0</v>
      </c>
      <c r="I164" s="13">
        <v>0</v>
      </c>
      <c r="K164" s="13">
        <v>0</v>
      </c>
      <c r="L164" s="13">
        <v>0</v>
      </c>
      <c r="N164" s="5">
        <f t="shared" si="2"/>
        <v>14.098901098901099</v>
      </c>
      <c r="O164" s="13">
        <v>0</v>
      </c>
      <c r="W164"/>
      <c r="X164"/>
      <c r="Y164"/>
      <c r="Z164"/>
      <c r="AA164"/>
      <c r="AB164"/>
    </row>
    <row r="165" spans="2:88" ht="15.75">
      <c r="B165" s="11">
        <v>161</v>
      </c>
      <c r="C165" s="12">
        <v>45818</v>
      </c>
      <c r="D165" s="13">
        <v>74</v>
      </c>
      <c r="E165" s="14"/>
      <c r="F165" s="13">
        <v>0</v>
      </c>
      <c r="G165" s="5">
        <v>0</v>
      </c>
      <c r="H165" s="5">
        <v>0</v>
      </c>
      <c r="I165" s="13">
        <v>0</v>
      </c>
      <c r="K165" s="13">
        <v>0</v>
      </c>
      <c r="L165" s="13">
        <v>0</v>
      </c>
      <c r="N165" s="5">
        <f t="shared" si="2"/>
        <v>14.098901098901099</v>
      </c>
      <c r="O165" s="13">
        <v>0</v>
      </c>
      <c r="W165"/>
      <c r="X165"/>
      <c r="Y165"/>
      <c r="Z165"/>
      <c r="AA165"/>
      <c r="AB165"/>
    </row>
    <row r="166" spans="2:88" ht="15.75">
      <c r="B166" s="11">
        <v>162</v>
      </c>
      <c r="C166" s="12">
        <v>45819</v>
      </c>
      <c r="D166" s="13">
        <v>56</v>
      </c>
      <c r="E166" s="14"/>
      <c r="F166" s="13">
        <v>0</v>
      </c>
      <c r="G166" s="5">
        <v>0</v>
      </c>
      <c r="H166" s="5">
        <v>0</v>
      </c>
      <c r="I166" s="13">
        <v>0</v>
      </c>
      <c r="K166" s="13">
        <v>0</v>
      </c>
      <c r="L166" s="13">
        <v>0</v>
      </c>
      <c r="N166" s="5">
        <f t="shared" si="2"/>
        <v>14.098901098901099</v>
      </c>
      <c r="O166" s="13">
        <v>0</v>
      </c>
      <c r="W166"/>
      <c r="X166"/>
      <c r="Y166"/>
      <c r="Z166"/>
      <c r="AA166"/>
      <c r="AB166"/>
    </row>
    <row r="167" spans="2:88" ht="15.75">
      <c r="B167" s="11">
        <v>163</v>
      </c>
      <c r="C167" s="12">
        <v>45820</v>
      </c>
      <c r="D167" s="13">
        <v>54</v>
      </c>
      <c r="E167" s="14"/>
      <c r="F167" s="13">
        <v>0</v>
      </c>
      <c r="G167" s="5">
        <v>0</v>
      </c>
      <c r="H167" s="5">
        <v>0</v>
      </c>
      <c r="I167" s="13">
        <v>0</v>
      </c>
      <c r="K167" s="13">
        <v>0</v>
      </c>
      <c r="L167" s="13">
        <v>0</v>
      </c>
      <c r="N167" s="5">
        <f t="shared" si="2"/>
        <v>14.098901098901099</v>
      </c>
      <c r="O167" s="13">
        <v>0</v>
      </c>
      <c r="W167"/>
      <c r="X167"/>
      <c r="Y167"/>
      <c r="Z167"/>
      <c r="AA167"/>
      <c r="AB167"/>
    </row>
    <row r="168" spans="2:88" ht="15.75">
      <c r="B168" s="11">
        <v>164</v>
      </c>
      <c r="C168" s="12">
        <v>45821</v>
      </c>
      <c r="D168" s="13">
        <v>67</v>
      </c>
      <c r="E168" s="14"/>
      <c r="F168" s="13">
        <v>0</v>
      </c>
      <c r="G168" s="5">
        <v>0</v>
      </c>
      <c r="H168" s="5">
        <v>0</v>
      </c>
      <c r="I168" s="13">
        <v>0</v>
      </c>
      <c r="K168" s="13">
        <v>0</v>
      </c>
      <c r="L168" s="13">
        <v>0</v>
      </c>
      <c r="N168" s="5">
        <f t="shared" si="2"/>
        <v>14.098901098901099</v>
      </c>
      <c r="O168" s="13">
        <v>0</v>
      </c>
      <c r="W168"/>
      <c r="X168"/>
      <c r="Y168"/>
      <c r="Z168"/>
      <c r="AA168"/>
      <c r="AB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</row>
    <row r="169" spans="2:88" ht="15.75">
      <c r="B169" s="11">
        <v>165</v>
      </c>
      <c r="C169" s="12">
        <v>45822</v>
      </c>
      <c r="D169" s="13">
        <v>83</v>
      </c>
      <c r="E169" s="14"/>
      <c r="F169" s="13">
        <v>0</v>
      </c>
      <c r="G169" s="5">
        <v>0</v>
      </c>
      <c r="H169" s="5">
        <v>0</v>
      </c>
      <c r="I169" s="13">
        <v>0</v>
      </c>
      <c r="K169" s="13">
        <v>0</v>
      </c>
      <c r="L169" s="13">
        <v>0</v>
      </c>
      <c r="N169" s="5">
        <f t="shared" si="2"/>
        <v>14.098901098901099</v>
      </c>
      <c r="O169" s="13">
        <v>0</v>
      </c>
      <c r="W169"/>
      <c r="X169"/>
      <c r="Y169"/>
      <c r="Z169"/>
      <c r="AA169"/>
      <c r="AB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</row>
    <row r="170" spans="2:88" ht="15.75">
      <c r="B170" s="11">
        <v>166</v>
      </c>
      <c r="C170" s="12">
        <v>45823</v>
      </c>
      <c r="D170" s="13">
        <v>56</v>
      </c>
      <c r="E170" s="14"/>
      <c r="F170" s="13">
        <v>0</v>
      </c>
      <c r="G170" s="5">
        <v>0</v>
      </c>
      <c r="H170" s="5">
        <v>0</v>
      </c>
      <c r="I170" s="13">
        <v>0</v>
      </c>
      <c r="K170" s="13">
        <v>0</v>
      </c>
      <c r="L170" s="13">
        <v>0</v>
      </c>
      <c r="N170" s="5">
        <f t="shared" si="2"/>
        <v>14.098901098901099</v>
      </c>
      <c r="O170" s="13">
        <v>0</v>
      </c>
      <c r="W170"/>
      <c r="X170"/>
      <c r="Y170"/>
      <c r="Z170"/>
      <c r="AA170"/>
      <c r="AB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</row>
    <row r="171" spans="2:88" ht="15.75">
      <c r="B171" s="11">
        <v>167</v>
      </c>
      <c r="C171" s="12">
        <v>45824</v>
      </c>
      <c r="D171" s="13">
        <v>70</v>
      </c>
      <c r="E171" s="14"/>
      <c r="F171" s="13">
        <v>0</v>
      </c>
      <c r="G171" s="5">
        <v>0</v>
      </c>
      <c r="H171" s="5">
        <v>0</v>
      </c>
      <c r="I171" s="13">
        <v>0</v>
      </c>
      <c r="K171" s="13">
        <v>0</v>
      </c>
      <c r="L171" s="13">
        <v>0</v>
      </c>
      <c r="N171" s="5">
        <f t="shared" si="2"/>
        <v>14.098901098901099</v>
      </c>
      <c r="O171" s="13">
        <v>0</v>
      </c>
      <c r="W171"/>
      <c r="X171"/>
      <c r="Y171"/>
      <c r="Z171"/>
      <c r="AA171"/>
      <c r="AB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</row>
    <row r="172" spans="2:88" ht="15.75">
      <c r="B172" s="11">
        <v>168</v>
      </c>
      <c r="C172" s="12">
        <v>45825</v>
      </c>
      <c r="D172" s="13">
        <v>58</v>
      </c>
      <c r="E172" s="14"/>
      <c r="F172" s="13">
        <v>0</v>
      </c>
      <c r="G172" s="5">
        <v>0</v>
      </c>
      <c r="H172" s="5">
        <v>0</v>
      </c>
      <c r="I172" s="13">
        <v>0</v>
      </c>
      <c r="K172" s="13">
        <v>0</v>
      </c>
      <c r="L172" s="13">
        <v>0</v>
      </c>
      <c r="N172" s="5">
        <f t="shared" si="2"/>
        <v>14.098901098901099</v>
      </c>
      <c r="O172" s="13">
        <v>0</v>
      </c>
      <c r="W172"/>
      <c r="X172"/>
      <c r="Y172"/>
      <c r="Z172"/>
      <c r="AA172"/>
      <c r="AB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</row>
    <row r="173" spans="2:88" ht="15.75">
      <c r="B173" s="11">
        <v>169</v>
      </c>
      <c r="C173" s="12">
        <v>45826</v>
      </c>
      <c r="D173" s="13">
        <v>76</v>
      </c>
      <c r="E173" s="14"/>
      <c r="F173" s="13">
        <v>0</v>
      </c>
      <c r="G173" s="5">
        <v>0</v>
      </c>
      <c r="H173" s="5">
        <v>0</v>
      </c>
      <c r="I173" s="13">
        <v>0</v>
      </c>
      <c r="K173" s="13">
        <v>0</v>
      </c>
      <c r="L173" s="13">
        <v>0</v>
      </c>
      <c r="N173" s="5">
        <f t="shared" si="2"/>
        <v>14.098901098901099</v>
      </c>
      <c r="O173" s="13">
        <v>0</v>
      </c>
      <c r="W173"/>
      <c r="X173"/>
      <c r="Y173"/>
      <c r="Z173"/>
      <c r="AA173"/>
      <c r="AB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</row>
    <row r="174" spans="2:88" ht="15.75">
      <c r="B174" s="11">
        <v>170</v>
      </c>
      <c r="C174" s="12">
        <v>45827</v>
      </c>
      <c r="D174" s="13">
        <v>74</v>
      </c>
      <c r="E174" s="14"/>
      <c r="F174" s="13">
        <v>0</v>
      </c>
      <c r="G174" s="5">
        <v>0</v>
      </c>
      <c r="H174" s="5">
        <v>0</v>
      </c>
      <c r="I174" s="13">
        <v>0</v>
      </c>
      <c r="K174" s="13">
        <v>0</v>
      </c>
      <c r="L174" s="13">
        <v>0</v>
      </c>
      <c r="N174" s="5">
        <f t="shared" si="2"/>
        <v>14.098901098901099</v>
      </c>
      <c r="O174" s="13">
        <v>0</v>
      </c>
      <c r="W174"/>
      <c r="X174"/>
      <c r="Y174"/>
      <c r="Z174"/>
      <c r="AA174"/>
      <c r="AB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</row>
    <row r="175" spans="2:88" ht="15.75">
      <c r="B175" s="11">
        <v>171</v>
      </c>
      <c r="C175" s="12">
        <v>45828</v>
      </c>
      <c r="D175" s="13">
        <v>46</v>
      </c>
      <c r="E175" s="14"/>
      <c r="F175" s="13">
        <v>0</v>
      </c>
      <c r="G175" s="5">
        <v>0</v>
      </c>
      <c r="H175" s="5">
        <v>0</v>
      </c>
      <c r="I175" s="13">
        <v>0</v>
      </c>
      <c r="K175" s="13">
        <v>0</v>
      </c>
      <c r="L175" s="13">
        <v>0</v>
      </c>
      <c r="N175" s="5">
        <f t="shared" si="2"/>
        <v>14.098901098901099</v>
      </c>
      <c r="O175" s="13">
        <v>0</v>
      </c>
      <c r="W175"/>
      <c r="X175"/>
      <c r="Y175"/>
      <c r="Z175"/>
      <c r="AA175"/>
      <c r="AB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</row>
    <row r="176" spans="2:88" ht="15.75">
      <c r="B176" s="11">
        <v>172</v>
      </c>
      <c r="C176" s="12">
        <v>45829</v>
      </c>
      <c r="D176" s="13">
        <v>80</v>
      </c>
      <c r="E176" s="14"/>
      <c r="F176" s="13">
        <v>0</v>
      </c>
      <c r="G176" s="5">
        <v>0</v>
      </c>
      <c r="H176" s="5">
        <v>0</v>
      </c>
      <c r="I176" s="13">
        <v>0</v>
      </c>
      <c r="K176" s="13">
        <v>0</v>
      </c>
      <c r="L176" s="13">
        <v>0</v>
      </c>
      <c r="N176" s="5">
        <f t="shared" si="2"/>
        <v>14.098901098901099</v>
      </c>
      <c r="O176" s="13">
        <v>0</v>
      </c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</row>
    <row r="177" spans="2:88" ht="15.75">
      <c r="B177" s="11">
        <v>173</v>
      </c>
      <c r="C177" s="12">
        <v>45830</v>
      </c>
      <c r="D177" s="13">
        <v>48</v>
      </c>
      <c r="E177" s="14"/>
      <c r="F177" s="13">
        <v>0</v>
      </c>
      <c r="G177" s="5">
        <v>0</v>
      </c>
      <c r="H177" s="5">
        <v>0</v>
      </c>
      <c r="I177" s="13">
        <v>0</v>
      </c>
      <c r="K177" s="13">
        <v>0</v>
      </c>
      <c r="L177" s="13">
        <v>0</v>
      </c>
      <c r="N177" s="5">
        <f t="shared" si="2"/>
        <v>14.098901098901099</v>
      </c>
      <c r="O177" s="13">
        <v>0</v>
      </c>
      <c r="X177" s="5" t="e" cm="1">
        <f t="array" ref="X177">PRO</f>
        <v>#NAME?</v>
      </c>
      <c r="Y177" s="5" t="e">
        <f>GETPIVOTDATA("Suma de PRE.SORANGE",$W$148)+GETPIVOTDATA("Suma de ENTWORPE VERDADERO",$W$148)</f>
        <v>#REF!</v>
      </c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</row>
    <row r="178" spans="2:88" ht="15.75">
      <c r="B178" s="11">
        <v>174</v>
      </c>
      <c r="C178" s="12">
        <v>45831</v>
      </c>
      <c r="D178" s="13">
        <v>67</v>
      </c>
      <c r="E178" s="14"/>
      <c r="F178" s="13">
        <v>0</v>
      </c>
      <c r="G178" s="5">
        <v>0</v>
      </c>
      <c r="H178" s="5">
        <v>0</v>
      </c>
      <c r="I178" s="13">
        <v>0</v>
      </c>
      <c r="K178" s="13">
        <v>0</v>
      </c>
      <c r="L178" s="13">
        <v>0</v>
      </c>
      <c r="N178" s="5">
        <f t="shared" si="2"/>
        <v>14.098901098901099</v>
      </c>
      <c r="O178" s="13">
        <v>0</v>
      </c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</row>
    <row r="179" spans="2:88" ht="15.75">
      <c r="B179" s="11">
        <v>175</v>
      </c>
      <c r="C179" s="12">
        <v>45832</v>
      </c>
      <c r="D179" s="13">
        <v>104</v>
      </c>
      <c r="E179" s="14"/>
      <c r="F179" s="13">
        <v>0</v>
      </c>
      <c r="G179" s="5">
        <v>0</v>
      </c>
      <c r="H179" s="5">
        <v>0</v>
      </c>
      <c r="I179" s="13">
        <v>0</v>
      </c>
      <c r="K179" s="13">
        <v>0</v>
      </c>
      <c r="L179" s="13">
        <v>0</v>
      </c>
      <c r="N179" s="5">
        <f t="shared" si="2"/>
        <v>14.098901098901099</v>
      </c>
      <c r="O179" s="13">
        <v>0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</row>
    <row r="180" spans="2:88" ht="15.75">
      <c r="B180" s="11">
        <v>176</v>
      </c>
      <c r="C180" s="12">
        <v>45833</v>
      </c>
      <c r="D180" s="13">
        <v>41</v>
      </c>
      <c r="E180" s="14"/>
      <c r="F180" s="13">
        <v>0</v>
      </c>
      <c r="G180" s="5">
        <v>0</v>
      </c>
      <c r="H180" s="5">
        <v>0</v>
      </c>
      <c r="I180" s="13">
        <v>0</v>
      </c>
      <c r="K180" s="13">
        <v>0</v>
      </c>
      <c r="L180" s="13">
        <v>0</v>
      </c>
      <c r="N180" s="5">
        <f t="shared" si="2"/>
        <v>14.098901098901099</v>
      </c>
      <c r="O180" s="13">
        <v>0</v>
      </c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</row>
    <row r="181" spans="2:88" ht="15.75">
      <c r="B181" s="11">
        <v>177</v>
      </c>
      <c r="C181" s="12">
        <v>45834</v>
      </c>
      <c r="D181" s="13">
        <v>81</v>
      </c>
      <c r="E181" s="14"/>
      <c r="F181" s="13">
        <v>0</v>
      </c>
      <c r="G181" s="5">
        <v>0</v>
      </c>
      <c r="H181" s="5">
        <v>0</v>
      </c>
      <c r="I181" s="13">
        <v>0</v>
      </c>
      <c r="K181" s="13">
        <v>0</v>
      </c>
      <c r="L181" s="13">
        <v>0</v>
      </c>
      <c r="N181" s="5">
        <f t="shared" si="2"/>
        <v>14.098901098901099</v>
      </c>
      <c r="O181" s="13">
        <v>0</v>
      </c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</row>
    <row r="182" spans="2:88" ht="15.75">
      <c r="B182" s="11">
        <v>178</v>
      </c>
      <c r="C182" s="12">
        <v>45835</v>
      </c>
      <c r="D182" s="13">
        <v>70</v>
      </c>
      <c r="E182" s="14"/>
      <c r="F182" s="13">
        <v>0</v>
      </c>
      <c r="G182" s="5">
        <v>0</v>
      </c>
      <c r="H182" s="5">
        <v>0</v>
      </c>
      <c r="I182" s="13">
        <v>0</v>
      </c>
      <c r="K182" s="13">
        <v>0</v>
      </c>
      <c r="L182" s="13">
        <v>0</v>
      </c>
      <c r="N182" s="5">
        <f t="shared" si="2"/>
        <v>14.098901098901099</v>
      </c>
      <c r="O182" s="13">
        <v>0</v>
      </c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</row>
    <row r="183" spans="2:88" ht="15.75">
      <c r="B183" s="11">
        <v>179</v>
      </c>
      <c r="C183" s="12">
        <v>45836</v>
      </c>
      <c r="D183" s="13">
        <v>69</v>
      </c>
      <c r="E183" s="14"/>
      <c r="F183" s="13">
        <v>0</v>
      </c>
      <c r="G183" s="5">
        <v>0</v>
      </c>
      <c r="H183" s="5">
        <v>0</v>
      </c>
      <c r="I183" s="13">
        <v>0</v>
      </c>
      <c r="K183" s="13">
        <v>0</v>
      </c>
      <c r="L183" s="13">
        <v>0</v>
      </c>
      <c r="N183" s="5">
        <f t="shared" si="2"/>
        <v>14.098901098901099</v>
      </c>
      <c r="O183" s="13">
        <v>0</v>
      </c>
      <c r="W183"/>
      <c r="X183"/>
      <c r="Y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</row>
    <row r="184" spans="2:88" ht="15.75">
      <c r="B184" s="11">
        <v>180</v>
      </c>
      <c r="C184" s="12">
        <v>45837</v>
      </c>
      <c r="D184" s="13">
        <v>133</v>
      </c>
      <c r="E184" s="14"/>
      <c r="F184" s="13">
        <v>0</v>
      </c>
      <c r="G184" s="5">
        <v>0</v>
      </c>
      <c r="H184" s="5">
        <v>0</v>
      </c>
      <c r="I184" s="13">
        <v>0</v>
      </c>
      <c r="K184" s="13">
        <v>0</v>
      </c>
      <c r="L184" s="13">
        <v>0</v>
      </c>
      <c r="N184" s="5">
        <f t="shared" si="2"/>
        <v>14.098901098901099</v>
      </c>
      <c r="O184" s="13">
        <v>0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</row>
    <row r="185" spans="2:88" ht="15.75">
      <c r="B185" s="11">
        <v>181</v>
      </c>
      <c r="C185" s="12">
        <v>45838</v>
      </c>
      <c r="D185" s="13">
        <v>56</v>
      </c>
      <c r="E185" s="14"/>
      <c r="F185" s="13">
        <v>0</v>
      </c>
      <c r="G185" s="5">
        <v>0</v>
      </c>
      <c r="H185" s="5">
        <v>0</v>
      </c>
      <c r="I185" s="13">
        <v>0</v>
      </c>
      <c r="K185" s="13">
        <v>0</v>
      </c>
      <c r="L185" s="13">
        <v>0</v>
      </c>
      <c r="N185" s="5">
        <f t="shared" si="2"/>
        <v>14.098901098901099</v>
      </c>
      <c r="O185" s="13">
        <v>0</v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</row>
    <row r="186" spans="2:88" ht="24">
      <c r="B186" s="11">
        <v>182</v>
      </c>
      <c r="C186" s="12">
        <v>45839</v>
      </c>
      <c r="D186" s="13">
        <v>56</v>
      </c>
      <c r="E186" s="14"/>
      <c r="F186" s="13">
        <v>0</v>
      </c>
      <c r="G186" s="5">
        <v>0</v>
      </c>
      <c r="H186" s="5">
        <v>0</v>
      </c>
      <c r="I186" s="13">
        <v>0</v>
      </c>
      <c r="K186" s="13">
        <v>0</v>
      </c>
      <c r="L186" s="13">
        <v>0</v>
      </c>
      <c r="N186" s="5">
        <f t="shared" si="2"/>
        <v>14.098901098901099</v>
      </c>
      <c r="O186" s="13">
        <v>0</v>
      </c>
      <c r="W186" s="23" t="s">
        <v>54</v>
      </c>
      <c r="X186" t="s">
        <v>209</v>
      </c>
      <c r="Y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</row>
    <row r="187" spans="2:88" ht="15.75">
      <c r="B187" s="11">
        <v>183</v>
      </c>
      <c r="C187" s="12">
        <v>45840</v>
      </c>
      <c r="D187" s="13">
        <v>88</v>
      </c>
      <c r="E187" s="14"/>
      <c r="F187" s="13">
        <v>0</v>
      </c>
      <c r="G187" s="5">
        <v>0</v>
      </c>
      <c r="H187" s="5">
        <v>0</v>
      </c>
      <c r="I187" s="13">
        <v>0</v>
      </c>
      <c r="K187" s="13">
        <v>0</v>
      </c>
      <c r="L187" s="13">
        <v>0</v>
      </c>
      <c r="N187" s="5">
        <f t="shared" si="2"/>
        <v>14.098901098901099</v>
      </c>
      <c r="O187" s="13">
        <v>0</v>
      </c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</row>
    <row r="188" spans="2:88" ht="15.75">
      <c r="B188" s="11">
        <v>184</v>
      </c>
      <c r="C188" s="12">
        <v>45841</v>
      </c>
      <c r="D188" s="13">
        <v>64</v>
      </c>
      <c r="E188" s="14"/>
      <c r="F188" s="13">
        <v>0</v>
      </c>
      <c r="G188" s="5">
        <v>0</v>
      </c>
      <c r="H188" s="5">
        <v>0</v>
      </c>
      <c r="I188" s="13">
        <v>0</v>
      </c>
      <c r="K188" s="13">
        <v>0</v>
      </c>
      <c r="L188" s="13">
        <v>0</v>
      </c>
      <c r="N188" s="5">
        <f t="shared" si="2"/>
        <v>14.098901098901099</v>
      </c>
      <c r="O188" s="13">
        <v>0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</row>
    <row r="189" spans="2:88" ht="15.75">
      <c r="B189" s="11">
        <v>185</v>
      </c>
      <c r="C189" s="12">
        <v>45842</v>
      </c>
      <c r="D189" s="13">
        <v>58</v>
      </c>
      <c r="E189" s="14"/>
      <c r="F189" s="13">
        <v>0</v>
      </c>
      <c r="G189" s="5">
        <v>0</v>
      </c>
      <c r="H189" s="5">
        <v>0</v>
      </c>
      <c r="I189" s="13">
        <v>0</v>
      </c>
      <c r="K189" s="13">
        <v>0</v>
      </c>
      <c r="L189" s="13">
        <v>0</v>
      </c>
      <c r="N189" s="5">
        <f t="shared" si="2"/>
        <v>14.098901098901099</v>
      </c>
      <c r="O189" s="13">
        <v>0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</row>
    <row r="190" spans="2:88" ht="15.75">
      <c r="B190" s="11">
        <v>186</v>
      </c>
      <c r="C190" s="12">
        <v>45843</v>
      </c>
      <c r="D190" s="13">
        <v>80</v>
      </c>
      <c r="E190" s="14"/>
      <c r="F190" s="13">
        <v>0</v>
      </c>
      <c r="G190" s="5">
        <v>0</v>
      </c>
      <c r="H190" s="5">
        <v>0</v>
      </c>
      <c r="I190" s="13">
        <v>0</v>
      </c>
      <c r="K190" s="13">
        <v>0</v>
      </c>
      <c r="L190" s="13">
        <v>0</v>
      </c>
      <c r="N190" s="5">
        <f t="shared" si="2"/>
        <v>14.098901098901099</v>
      </c>
      <c r="O190" s="13">
        <v>0</v>
      </c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</row>
    <row r="191" spans="2:88" ht="15.75">
      <c r="B191" s="11">
        <v>187</v>
      </c>
      <c r="C191" s="12">
        <v>45844</v>
      </c>
      <c r="D191" s="13">
        <v>96</v>
      </c>
      <c r="E191" s="14"/>
      <c r="F191" s="13">
        <v>0</v>
      </c>
      <c r="G191" s="5">
        <v>0</v>
      </c>
      <c r="H191" s="5">
        <v>0</v>
      </c>
      <c r="I191" s="13">
        <v>0</v>
      </c>
      <c r="K191" s="13">
        <v>0</v>
      </c>
      <c r="L191" s="13">
        <v>0</v>
      </c>
      <c r="N191" s="5">
        <f t="shared" si="2"/>
        <v>14.098901098901099</v>
      </c>
      <c r="O191" s="13">
        <v>0</v>
      </c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</row>
    <row r="192" spans="2:88" ht="15.75">
      <c r="B192" s="11">
        <v>188</v>
      </c>
      <c r="C192" s="12">
        <v>45845</v>
      </c>
      <c r="D192" s="13">
        <v>60</v>
      </c>
      <c r="E192" s="14"/>
      <c r="F192" s="13">
        <v>0</v>
      </c>
      <c r="G192" s="5">
        <v>0</v>
      </c>
      <c r="H192" s="5">
        <v>0</v>
      </c>
      <c r="I192" s="13">
        <v>0</v>
      </c>
      <c r="K192" s="13">
        <v>0</v>
      </c>
      <c r="L192" s="13">
        <v>0</v>
      </c>
      <c r="N192" s="5">
        <f t="shared" si="2"/>
        <v>14.098901098901099</v>
      </c>
      <c r="O192" s="13">
        <v>0</v>
      </c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</row>
    <row r="193" spans="2:88" ht="15.75">
      <c r="B193" s="11">
        <v>189</v>
      </c>
      <c r="C193" s="12">
        <v>45846</v>
      </c>
      <c r="D193" s="13">
        <v>100</v>
      </c>
      <c r="E193" s="14"/>
      <c r="F193" s="13">
        <v>0</v>
      </c>
      <c r="G193" s="5">
        <v>0</v>
      </c>
      <c r="H193" s="5">
        <v>0</v>
      </c>
      <c r="I193" s="13">
        <v>0</v>
      </c>
      <c r="K193" s="13">
        <v>0</v>
      </c>
      <c r="L193" s="13">
        <v>0</v>
      </c>
      <c r="N193" s="5">
        <f t="shared" si="2"/>
        <v>14.098901098901099</v>
      </c>
      <c r="O193" s="13">
        <v>0</v>
      </c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</row>
    <row r="194" spans="2:88" ht="15.75">
      <c r="B194" s="11">
        <v>190</v>
      </c>
      <c r="C194" s="12">
        <v>45847</v>
      </c>
      <c r="D194" s="13">
        <v>74</v>
      </c>
      <c r="E194" s="14"/>
      <c r="F194" s="13">
        <v>0</v>
      </c>
      <c r="G194" s="5">
        <v>0</v>
      </c>
      <c r="H194" s="5">
        <v>0</v>
      </c>
      <c r="I194" s="13">
        <v>0</v>
      </c>
      <c r="K194" s="13">
        <v>0</v>
      </c>
      <c r="L194" s="13">
        <v>0</v>
      </c>
      <c r="N194" s="5">
        <f t="shared" si="2"/>
        <v>14.098901098901099</v>
      </c>
      <c r="O194" s="13">
        <v>0</v>
      </c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</row>
    <row r="195" spans="2:88" ht="15.75">
      <c r="B195" s="11">
        <v>191</v>
      </c>
      <c r="C195" s="12">
        <v>45848</v>
      </c>
      <c r="D195" s="13">
        <v>44</v>
      </c>
      <c r="E195" s="14"/>
      <c r="F195" s="13">
        <v>0</v>
      </c>
      <c r="G195" s="5">
        <v>0</v>
      </c>
      <c r="H195" s="5">
        <v>0</v>
      </c>
      <c r="I195" s="13">
        <v>0</v>
      </c>
      <c r="K195" s="13">
        <v>0</v>
      </c>
      <c r="L195" s="13">
        <v>0</v>
      </c>
      <c r="N195" s="5">
        <f t="shared" si="2"/>
        <v>14.098901098901099</v>
      </c>
      <c r="O195" s="13">
        <v>0</v>
      </c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</row>
    <row r="196" spans="2:88" ht="15.75">
      <c r="B196" s="11">
        <v>192</v>
      </c>
      <c r="C196" s="12">
        <v>45849</v>
      </c>
      <c r="D196" s="13">
        <v>77</v>
      </c>
      <c r="E196" s="14"/>
      <c r="F196" s="13">
        <v>0</v>
      </c>
      <c r="G196" s="5">
        <v>0</v>
      </c>
      <c r="H196" s="5">
        <v>0</v>
      </c>
      <c r="I196" s="13">
        <v>0</v>
      </c>
      <c r="K196" s="13">
        <v>0</v>
      </c>
      <c r="L196" s="13">
        <v>0</v>
      </c>
      <c r="N196" s="5">
        <f t="shared" si="2"/>
        <v>14.098901098901099</v>
      </c>
      <c r="O196" s="13">
        <v>0</v>
      </c>
      <c r="X196"/>
      <c r="Y196"/>
      <c r="Z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</row>
    <row r="197" spans="2:88" ht="15.75">
      <c r="B197" s="11">
        <v>193</v>
      </c>
      <c r="C197" s="12">
        <v>45850</v>
      </c>
      <c r="D197" s="13">
        <v>99</v>
      </c>
      <c r="E197" s="14"/>
      <c r="F197" s="13">
        <v>0</v>
      </c>
      <c r="G197" s="5">
        <v>0</v>
      </c>
      <c r="H197" s="5">
        <v>0</v>
      </c>
      <c r="I197" s="13">
        <v>0</v>
      </c>
      <c r="K197" s="13">
        <v>0</v>
      </c>
      <c r="L197" s="13">
        <v>0</v>
      </c>
      <c r="N197" s="5">
        <f t="shared" ref="N197:N260" si="3">AVERAGE($O$644:$O$734)</f>
        <v>14.098901098901099</v>
      </c>
      <c r="O197" s="13">
        <v>0</v>
      </c>
      <c r="W197" s="1" t="s">
        <v>6</v>
      </c>
      <c r="X197" s="1" t="s">
        <v>210</v>
      </c>
      <c r="Y197" t="s">
        <v>211</v>
      </c>
      <c r="Z197" t="s">
        <v>212</v>
      </c>
      <c r="AA197" t="s">
        <v>203</v>
      </c>
      <c r="AB197" t="s">
        <v>204</v>
      </c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</row>
    <row r="198" spans="2:88" ht="15.75">
      <c r="B198" s="11">
        <v>194</v>
      </c>
      <c r="C198" s="12">
        <v>45851</v>
      </c>
      <c r="D198" s="13">
        <v>109</v>
      </c>
      <c r="E198" s="14"/>
      <c r="F198" s="13">
        <v>0</v>
      </c>
      <c r="G198" s="5">
        <v>0</v>
      </c>
      <c r="H198" s="5">
        <v>0</v>
      </c>
      <c r="I198" s="13">
        <v>0</v>
      </c>
      <c r="K198" s="13">
        <v>0</v>
      </c>
      <c r="L198" s="13">
        <v>0</v>
      </c>
      <c r="N198" s="5">
        <f t="shared" si="3"/>
        <v>14.098901098901099</v>
      </c>
      <c r="O198" s="13">
        <v>0</v>
      </c>
      <c r="W198" s="2" t="s">
        <v>213</v>
      </c>
      <c r="X198">
        <v>250</v>
      </c>
      <c r="Y198">
        <v>509.57179999999994</v>
      </c>
      <c r="Z198">
        <v>666.98480441232175</v>
      </c>
      <c r="AA198">
        <v>2166.6296982128006</v>
      </c>
      <c r="AB198">
        <v>560.80290044773812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</row>
    <row r="199" spans="2:88" ht="15.75">
      <c r="B199" s="11">
        <v>195</v>
      </c>
      <c r="C199" s="12">
        <v>45852</v>
      </c>
      <c r="D199" s="13">
        <v>62</v>
      </c>
      <c r="E199" s="14"/>
      <c r="F199" s="13">
        <v>0</v>
      </c>
      <c r="G199" s="5">
        <v>0</v>
      </c>
      <c r="H199" s="5">
        <v>0</v>
      </c>
      <c r="I199" s="13">
        <v>0</v>
      </c>
      <c r="K199" s="13">
        <v>0</v>
      </c>
      <c r="L199" s="13">
        <v>0</v>
      </c>
      <c r="N199" s="5">
        <f t="shared" si="3"/>
        <v>14.098901098901099</v>
      </c>
      <c r="O199" s="13">
        <v>0</v>
      </c>
      <c r="W199" s="2" t="s">
        <v>214</v>
      </c>
      <c r="X199">
        <v>438</v>
      </c>
      <c r="Y199">
        <v>586.3886</v>
      </c>
      <c r="Z199">
        <v>800.01179638024689</v>
      </c>
      <c r="AA199">
        <v>1916.1255642592039</v>
      </c>
      <c r="AB199">
        <v>496.322307425406</v>
      </c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</row>
    <row r="200" spans="2:88" ht="15.75">
      <c r="B200" s="11">
        <v>196</v>
      </c>
      <c r="C200" s="12">
        <v>45853</v>
      </c>
      <c r="D200" s="13">
        <v>70</v>
      </c>
      <c r="E200" s="14"/>
      <c r="F200" s="13">
        <v>0</v>
      </c>
      <c r="G200" s="5">
        <v>0</v>
      </c>
      <c r="H200" s="5">
        <v>0</v>
      </c>
      <c r="I200" s="13">
        <v>0</v>
      </c>
      <c r="K200" s="13">
        <v>0</v>
      </c>
      <c r="L200" s="13">
        <v>0</v>
      </c>
      <c r="N200" s="5">
        <f t="shared" si="3"/>
        <v>14.098901098901099</v>
      </c>
      <c r="O200" s="13">
        <v>0</v>
      </c>
      <c r="W200" s="2" t="s">
        <v>215</v>
      </c>
      <c r="X200">
        <v>905</v>
      </c>
      <c r="Y200">
        <v>788.86009999999999</v>
      </c>
      <c r="Z200">
        <v>864.38974519015358</v>
      </c>
      <c r="AA200">
        <v>2064.6059569350264</v>
      </c>
      <c r="AB200">
        <v>607.8076318444181</v>
      </c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</row>
    <row r="201" spans="2:88" ht="15.75">
      <c r="B201" s="11">
        <v>197</v>
      </c>
      <c r="C201" s="12">
        <v>45854</v>
      </c>
      <c r="D201" s="13">
        <v>56</v>
      </c>
      <c r="E201" s="14"/>
      <c r="F201" s="13">
        <v>0</v>
      </c>
      <c r="G201" s="5">
        <v>0</v>
      </c>
      <c r="H201" s="5">
        <v>0</v>
      </c>
      <c r="I201" s="13">
        <v>0</v>
      </c>
      <c r="K201" s="13">
        <v>0</v>
      </c>
      <c r="L201" s="13">
        <v>0</v>
      </c>
      <c r="N201" s="5">
        <f t="shared" si="3"/>
        <v>14.098901098901099</v>
      </c>
      <c r="O201" s="13">
        <v>0</v>
      </c>
      <c r="W201" s="2" t="s">
        <v>216</v>
      </c>
      <c r="X201">
        <v>1159</v>
      </c>
      <c r="Y201">
        <v>903.13350000000003</v>
      </c>
      <c r="Z201">
        <v>765.4389447215442</v>
      </c>
      <c r="AA201">
        <v>2062.749425284163</v>
      </c>
      <c r="AB201">
        <v>526.28070996965903</v>
      </c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</row>
    <row r="202" spans="2:88" ht="15.75">
      <c r="B202" s="11">
        <v>198</v>
      </c>
      <c r="C202" s="12">
        <v>45855</v>
      </c>
      <c r="D202" s="13">
        <v>74</v>
      </c>
      <c r="E202" s="14"/>
      <c r="F202" s="13">
        <v>0</v>
      </c>
      <c r="G202" s="5">
        <v>0</v>
      </c>
      <c r="H202" s="5">
        <v>0</v>
      </c>
      <c r="I202" s="13">
        <v>0</v>
      </c>
      <c r="K202" s="13">
        <v>0</v>
      </c>
      <c r="L202" s="13">
        <v>0</v>
      </c>
      <c r="N202" s="5">
        <f t="shared" si="3"/>
        <v>14.098901098901099</v>
      </c>
      <c r="O202" s="13">
        <v>0</v>
      </c>
      <c r="W202" s="2" t="s">
        <v>217</v>
      </c>
      <c r="X202">
        <v>1561</v>
      </c>
      <c r="Y202">
        <v>1077.6157999999998</v>
      </c>
      <c r="Z202">
        <v>874.7186614202883</v>
      </c>
      <c r="AA202">
        <v>2168.4857574896232</v>
      </c>
      <c r="AB202">
        <v>603.44876358663078</v>
      </c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</row>
    <row r="203" spans="2:88" ht="15.75">
      <c r="B203" s="11">
        <v>199</v>
      </c>
      <c r="C203" s="12">
        <v>45856</v>
      </c>
      <c r="D203" s="13">
        <v>60</v>
      </c>
      <c r="E203" s="14"/>
      <c r="F203" s="13">
        <v>0</v>
      </c>
      <c r="G203" s="5">
        <v>0</v>
      </c>
      <c r="H203" s="5">
        <v>0</v>
      </c>
      <c r="I203" s="13">
        <v>0</v>
      </c>
      <c r="K203" s="13">
        <v>0</v>
      </c>
      <c r="L203" s="13">
        <v>0</v>
      </c>
      <c r="N203" s="5">
        <f t="shared" si="3"/>
        <v>14.098901098901099</v>
      </c>
      <c r="O203" s="13">
        <v>0</v>
      </c>
      <c r="W203" s="2" t="s">
        <v>218</v>
      </c>
      <c r="X203">
        <v>1958</v>
      </c>
      <c r="Y203">
        <v>1182.5745000000002</v>
      </c>
      <c r="Z203">
        <v>743.2723802579801</v>
      </c>
      <c r="AA203">
        <v>1939.3541261452483</v>
      </c>
      <c r="AB203">
        <v>556.04517514598251</v>
      </c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</row>
    <row r="204" spans="2:88" ht="15.75">
      <c r="B204" s="11">
        <v>200</v>
      </c>
      <c r="C204" s="12">
        <v>45857</v>
      </c>
      <c r="D204" s="13">
        <v>36</v>
      </c>
      <c r="E204" s="14"/>
      <c r="F204" s="13">
        <v>0</v>
      </c>
      <c r="G204" s="5">
        <v>0</v>
      </c>
      <c r="H204" s="5">
        <v>0</v>
      </c>
      <c r="I204" s="13">
        <v>0</v>
      </c>
      <c r="K204" s="13">
        <v>0</v>
      </c>
      <c r="L204" s="13">
        <v>0</v>
      </c>
      <c r="N204" s="5">
        <f t="shared" si="3"/>
        <v>14.098901098901099</v>
      </c>
      <c r="O204" s="13">
        <v>0</v>
      </c>
      <c r="W204" s="2" t="s">
        <v>219</v>
      </c>
      <c r="X204">
        <v>2090</v>
      </c>
      <c r="Y204">
        <v>1366.3715000000002</v>
      </c>
      <c r="Z204">
        <v>612.32327870528979</v>
      </c>
      <c r="AA204">
        <v>2188.001256073941</v>
      </c>
      <c r="AB204">
        <v>603.725863795907</v>
      </c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</row>
    <row r="205" spans="2:88" ht="15.75">
      <c r="B205" s="11">
        <v>201</v>
      </c>
      <c r="C205" s="12">
        <v>45858</v>
      </c>
      <c r="D205" s="13">
        <v>72</v>
      </c>
      <c r="E205" s="14"/>
      <c r="F205" s="13">
        <v>0</v>
      </c>
      <c r="G205" s="5">
        <v>0</v>
      </c>
      <c r="H205" s="5">
        <v>0</v>
      </c>
      <c r="I205" s="13">
        <v>0</v>
      </c>
      <c r="K205" s="13">
        <v>0</v>
      </c>
      <c r="L205" s="13">
        <v>0</v>
      </c>
      <c r="N205" s="5">
        <f t="shared" si="3"/>
        <v>14.098901098901099</v>
      </c>
      <c r="O205" s="13">
        <v>0</v>
      </c>
      <c r="W205" s="2" t="s">
        <v>220</v>
      </c>
      <c r="X205">
        <v>1789</v>
      </c>
      <c r="Y205">
        <v>1513.1162000000002</v>
      </c>
      <c r="Z205">
        <v>742.01848013111089</v>
      </c>
      <c r="AA205">
        <v>2168.4857574896232</v>
      </c>
      <c r="AB205">
        <v>590.51933801092832</v>
      </c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</row>
    <row r="206" spans="2:88" ht="15.75">
      <c r="B206" s="11">
        <v>202</v>
      </c>
      <c r="C206" s="12">
        <v>45859</v>
      </c>
      <c r="D206" s="13">
        <v>78</v>
      </c>
      <c r="E206" s="14"/>
      <c r="F206" s="13">
        <v>0</v>
      </c>
      <c r="G206" s="5">
        <v>0</v>
      </c>
      <c r="H206" s="5">
        <v>0</v>
      </c>
      <c r="I206" s="13">
        <v>0</v>
      </c>
      <c r="K206" s="13">
        <v>0</v>
      </c>
      <c r="L206" s="13">
        <v>0</v>
      </c>
      <c r="N206" s="5">
        <f t="shared" si="3"/>
        <v>14.098901098901099</v>
      </c>
      <c r="O206" s="13">
        <v>0</v>
      </c>
      <c r="W206" s="2" t="s">
        <v>221</v>
      </c>
      <c r="X206">
        <v>1429</v>
      </c>
      <c r="Y206">
        <v>1604.0264999999999</v>
      </c>
      <c r="Z206">
        <v>866.17670712948188</v>
      </c>
      <c r="AA206">
        <v>1939.3541261452483</v>
      </c>
      <c r="AB206">
        <v>551.9823649360618</v>
      </c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</row>
    <row r="207" spans="2:88" ht="15.75">
      <c r="B207" s="11">
        <v>203</v>
      </c>
      <c r="C207" s="12">
        <v>45860</v>
      </c>
      <c r="D207" s="13">
        <v>62</v>
      </c>
      <c r="E207" s="14"/>
      <c r="F207" s="13">
        <v>0</v>
      </c>
      <c r="G207" s="5">
        <v>0</v>
      </c>
      <c r="H207" s="5">
        <v>0</v>
      </c>
      <c r="I207" s="13">
        <v>0</v>
      </c>
      <c r="K207" s="13">
        <v>0</v>
      </c>
      <c r="L207" s="13">
        <v>0</v>
      </c>
      <c r="N207" s="5">
        <f t="shared" si="3"/>
        <v>14.098901098901099</v>
      </c>
      <c r="O207" s="13">
        <v>0</v>
      </c>
      <c r="W207" s="2" t="s">
        <v>222</v>
      </c>
      <c r="X207">
        <v>786</v>
      </c>
      <c r="Y207">
        <v>1801.8719000000001</v>
      </c>
      <c r="Z207">
        <v>855.72739768074121</v>
      </c>
      <c r="AA207">
        <v>2188.001256073941</v>
      </c>
      <c r="AB207">
        <v>609.70218874799355</v>
      </c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</row>
    <row r="208" spans="2:88" ht="15.75">
      <c r="B208" s="11">
        <v>204</v>
      </c>
      <c r="C208" s="12">
        <v>45861</v>
      </c>
      <c r="D208" s="13">
        <v>84</v>
      </c>
      <c r="E208" s="14"/>
      <c r="F208" s="13">
        <v>0</v>
      </c>
      <c r="G208" s="5">
        <v>0</v>
      </c>
      <c r="H208" s="5">
        <v>0</v>
      </c>
      <c r="I208" s="13">
        <v>0</v>
      </c>
      <c r="K208" s="13">
        <v>0</v>
      </c>
      <c r="L208" s="13">
        <v>0</v>
      </c>
      <c r="N208" s="5">
        <f t="shared" si="3"/>
        <v>14.098901098901099</v>
      </c>
      <c r="O208" s="13">
        <v>0</v>
      </c>
      <c r="W208" s="2" t="s">
        <v>223</v>
      </c>
      <c r="X208">
        <v>388</v>
      </c>
      <c r="Y208">
        <v>1883.4675000000002</v>
      </c>
      <c r="Z208">
        <v>684.06393445477408</v>
      </c>
      <c r="AA208">
        <v>2043.2339266998454</v>
      </c>
      <c r="AB208">
        <v>614.61535200777928</v>
      </c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</row>
    <row r="209" spans="2:88" ht="15.75">
      <c r="B209" s="11">
        <v>205</v>
      </c>
      <c r="C209" s="12">
        <v>45862</v>
      </c>
      <c r="D209" s="13">
        <v>81</v>
      </c>
      <c r="E209" s="14"/>
      <c r="F209" s="13">
        <v>0</v>
      </c>
      <c r="G209" s="5">
        <v>0</v>
      </c>
      <c r="H209" s="5">
        <v>0</v>
      </c>
      <c r="I209" s="13">
        <v>0</v>
      </c>
      <c r="K209" s="13">
        <v>0</v>
      </c>
      <c r="L209" s="13">
        <v>0</v>
      </c>
      <c r="N209" s="5">
        <f t="shared" si="3"/>
        <v>14.098901098901099</v>
      </c>
      <c r="O209" s="13">
        <v>0</v>
      </c>
      <c r="W209" s="2" t="s">
        <v>224</v>
      </c>
      <c r="X209">
        <v>221</v>
      </c>
      <c r="Y209">
        <v>2090.6276000000003</v>
      </c>
      <c r="Z209">
        <v>695.57963265449894</v>
      </c>
      <c r="AA209">
        <v>2064.6059569350264</v>
      </c>
      <c r="AB209">
        <v>591.44623882682504</v>
      </c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</row>
    <row r="210" spans="2:88" ht="15.75">
      <c r="B210" s="11">
        <v>206</v>
      </c>
      <c r="C210" s="12">
        <v>45863</v>
      </c>
      <c r="D210" s="13">
        <v>67</v>
      </c>
      <c r="E210" s="14"/>
      <c r="F210" s="13">
        <v>0</v>
      </c>
      <c r="G210" s="5">
        <v>0</v>
      </c>
      <c r="H210" s="5">
        <v>0</v>
      </c>
      <c r="I210" s="13">
        <v>0</v>
      </c>
      <c r="K210" s="13">
        <v>0</v>
      </c>
      <c r="L210" s="13">
        <v>0</v>
      </c>
      <c r="N210" s="5">
        <f t="shared" si="3"/>
        <v>14.098901098901099</v>
      </c>
      <c r="O210" s="13">
        <v>0</v>
      </c>
      <c r="W210" s="2" t="s">
        <v>18</v>
      </c>
      <c r="X210">
        <v>12974</v>
      </c>
      <c r="Y210">
        <v>15307.625500000002</v>
      </c>
      <c r="Z210">
        <v>9170.7057631384305</v>
      </c>
      <c r="AA210">
        <v>24909.632807743692</v>
      </c>
      <c r="AB210">
        <v>6912.6988347453289</v>
      </c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</row>
    <row r="211" spans="2:88" ht="15.75">
      <c r="B211" s="11">
        <v>207</v>
      </c>
      <c r="C211" s="12">
        <v>45864</v>
      </c>
      <c r="D211" s="13">
        <v>92</v>
      </c>
      <c r="E211" s="14"/>
      <c r="F211" s="13">
        <v>0</v>
      </c>
      <c r="G211" s="5">
        <v>0</v>
      </c>
      <c r="H211" s="5">
        <v>0</v>
      </c>
      <c r="I211" s="13">
        <v>0</v>
      </c>
      <c r="K211" s="13">
        <v>0</v>
      </c>
      <c r="L211" s="13">
        <v>0</v>
      </c>
      <c r="N211" s="5">
        <f t="shared" si="3"/>
        <v>14.098901098901099</v>
      </c>
      <c r="O211" s="13">
        <v>0</v>
      </c>
      <c r="W211"/>
      <c r="X211"/>
      <c r="Y211"/>
      <c r="Z211"/>
      <c r="AA211"/>
      <c r="AB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</row>
    <row r="212" spans="2:88" ht="15.75">
      <c r="B212" s="11">
        <v>208</v>
      </c>
      <c r="C212" s="12">
        <v>45865</v>
      </c>
      <c r="D212" s="13">
        <v>110</v>
      </c>
      <c r="E212" s="14"/>
      <c r="F212" s="13">
        <v>0</v>
      </c>
      <c r="G212" s="5">
        <v>0</v>
      </c>
      <c r="H212" s="5">
        <v>0</v>
      </c>
      <c r="I212" s="13">
        <v>0</v>
      </c>
      <c r="K212" s="13">
        <v>0</v>
      </c>
      <c r="L212" s="13">
        <v>0</v>
      </c>
      <c r="N212" s="5">
        <f t="shared" si="3"/>
        <v>14.098901098901099</v>
      </c>
      <c r="O212" s="13">
        <v>0</v>
      </c>
      <c r="W212"/>
      <c r="X212"/>
      <c r="Y212"/>
      <c r="Z212"/>
      <c r="AA212"/>
      <c r="AB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</row>
    <row r="213" spans="2:88" ht="15.75">
      <c r="B213" s="11">
        <v>209</v>
      </c>
      <c r="C213" s="12">
        <v>45866</v>
      </c>
      <c r="D213" s="13">
        <v>41</v>
      </c>
      <c r="E213" s="14"/>
      <c r="F213" s="13">
        <v>0</v>
      </c>
      <c r="G213" s="5">
        <v>0</v>
      </c>
      <c r="H213" s="5">
        <v>0</v>
      </c>
      <c r="I213" s="13">
        <v>0</v>
      </c>
      <c r="K213" s="13">
        <v>0</v>
      </c>
      <c r="L213" s="13">
        <v>0</v>
      </c>
      <c r="N213" s="5">
        <f t="shared" si="3"/>
        <v>14.098901098901099</v>
      </c>
      <c r="O213" s="13">
        <v>0</v>
      </c>
      <c r="W213"/>
      <c r="X213"/>
      <c r="Y213"/>
      <c r="Z213"/>
      <c r="AA213"/>
      <c r="AB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</row>
    <row r="214" spans="2:88" ht="15.75">
      <c r="B214" s="11">
        <v>210</v>
      </c>
      <c r="C214" s="12">
        <v>45867</v>
      </c>
      <c r="D214" s="13">
        <v>57</v>
      </c>
      <c r="E214" s="14"/>
      <c r="F214" s="13">
        <v>0</v>
      </c>
      <c r="G214" s="5">
        <v>0</v>
      </c>
      <c r="H214" s="5">
        <v>0</v>
      </c>
      <c r="I214" s="13">
        <v>0</v>
      </c>
      <c r="K214" s="13">
        <v>0</v>
      </c>
      <c r="L214" s="13">
        <v>0</v>
      </c>
      <c r="N214" s="5">
        <f t="shared" si="3"/>
        <v>14.098901098901099</v>
      </c>
      <c r="O214" s="13">
        <v>0</v>
      </c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</row>
    <row r="215" spans="2:88" ht="15.75">
      <c r="B215" s="11">
        <v>211</v>
      </c>
      <c r="C215" s="12">
        <v>45868</v>
      </c>
      <c r="D215" s="13">
        <v>52</v>
      </c>
      <c r="E215" s="14"/>
      <c r="F215" s="13">
        <v>0</v>
      </c>
      <c r="G215" s="5">
        <v>0</v>
      </c>
      <c r="H215" s="5">
        <v>0</v>
      </c>
      <c r="I215" s="13">
        <v>0</v>
      </c>
      <c r="K215" s="13">
        <v>0</v>
      </c>
      <c r="L215" s="13">
        <v>0</v>
      </c>
      <c r="N215" s="5">
        <f t="shared" si="3"/>
        <v>14.098901098901099</v>
      </c>
      <c r="O215" s="13">
        <v>0</v>
      </c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</row>
    <row r="216" spans="2:88" ht="15.75">
      <c r="B216" s="11">
        <v>212</v>
      </c>
      <c r="C216" s="12">
        <v>45869</v>
      </c>
      <c r="D216" s="13">
        <v>96</v>
      </c>
      <c r="E216" s="14"/>
      <c r="F216" s="13">
        <v>0</v>
      </c>
      <c r="G216" s="5">
        <v>0</v>
      </c>
      <c r="H216" s="5">
        <v>0</v>
      </c>
      <c r="I216" s="13">
        <v>0</v>
      </c>
      <c r="K216" s="13">
        <v>0</v>
      </c>
      <c r="L216" s="13">
        <v>0</v>
      </c>
      <c r="N216" s="5">
        <f t="shared" si="3"/>
        <v>14.098901098901099</v>
      </c>
      <c r="O216" s="13">
        <v>0</v>
      </c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</row>
    <row r="217" spans="2:88" ht="15.75">
      <c r="B217" s="11">
        <v>213</v>
      </c>
      <c r="C217" s="12">
        <v>45870</v>
      </c>
      <c r="D217" s="13">
        <v>65</v>
      </c>
      <c r="E217" s="14"/>
      <c r="F217" s="13">
        <v>0</v>
      </c>
      <c r="G217" s="5">
        <v>0</v>
      </c>
      <c r="H217" s="5">
        <v>0</v>
      </c>
      <c r="I217" s="13">
        <v>0</v>
      </c>
      <c r="K217" s="13">
        <v>0</v>
      </c>
      <c r="L217" s="13">
        <v>0</v>
      </c>
      <c r="N217" s="5">
        <f t="shared" si="3"/>
        <v>14.098901098901099</v>
      </c>
      <c r="O217" s="13">
        <v>0</v>
      </c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</row>
    <row r="218" spans="2:88" ht="15.75">
      <c r="B218" s="11">
        <v>214</v>
      </c>
      <c r="C218" s="12">
        <v>45871</v>
      </c>
      <c r="D218" s="13">
        <v>88</v>
      </c>
      <c r="E218" s="14"/>
      <c r="F218" s="13">
        <v>0</v>
      </c>
      <c r="G218" s="5">
        <v>0</v>
      </c>
      <c r="H218" s="5">
        <v>0</v>
      </c>
      <c r="I218" s="13">
        <v>0</v>
      </c>
      <c r="K218" s="13">
        <v>0</v>
      </c>
      <c r="L218" s="13">
        <v>0</v>
      </c>
      <c r="N218" s="5">
        <f t="shared" si="3"/>
        <v>14.098901098901099</v>
      </c>
      <c r="O218" s="13">
        <v>0</v>
      </c>
      <c r="W218"/>
      <c r="X218"/>
      <c r="Y218"/>
      <c r="Z218"/>
      <c r="AA218"/>
      <c r="AB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</row>
    <row r="219" spans="2:88" ht="15.75">
      <c r="B219" s="11">
        <v>215</v>
      </c>
      <c r="C219" s="12">
        <v>45872</v>
      </c>
      <c r="D219" s="13">
        <v>44</v>
      </c>
      <c r="E219" s="14"/>
      <c r="F219" s="13">
        <v>0</v>
      </c>
      <c r="G219" s="5">
        <v>0</v>
      </c>
      <c r="H219" s="5">
        <v>0</v>
      </c>
      <c r="I219" s="13">
        <v>0</v>
      </c>
      <c r="K219" s="13">
        <v>0</v>
      </c>
      <c r="L219" s="13">
        <v>0</v>
      </c>
      <c r="N219" s="5">
        <f t="shared" si="3"/>
        <v>14.098901098901099</v>
      </c>
      <c r="O219" s="13">
        <v>0</v>
      </c>
      <c r="W219"/>
      <c r="X219"/>
      <c r="Y219"/>
      <c r="Z219"/>
      <c r="AA219"/>
      <c r="AB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</row>
    <row r="220" spans="2:88" ht="15.75">
      <c r="B220" s="11">
        <v>216</v>
      </c>
      <c r="C220" s="12">
        <v>45873</v>
      </c>
      <c r="D220" s="13">
        <v>65</v>
      </c>
      <c r="E220" s="14"/>
      <c r="F220" s="13">
        <v>0</v>
      </c>
      <c r="G220" s="5">
        <v>0</v>
      </c>
      <c r="H220" s="5">
        <v>0</v>
      </c>
      <c r="I220" s="13">
        <v>0</v>
      </c>
      <c r="K220" s="13">
        <v>0</v>
      </c>
      <c r="L220" s="13">
        <v>0</v>
      </c>
      <c r="N220" s="5">
        <f t="shared" si="3"/>
        <v>14.098901098901099</v>
      </c>
      <c r="O220" s="13">
        <v>0</v>
      </c>
      <c r="W220"/>
      <c r="X220"/>
      <c r="Y220"/>
      <c r="Z220"/>
      <c r="AA220"/>
      <c r="AB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</row>
    <row r="221" spans="2:88" ht="15.75">
      <c r="B221" s="11">
        <v>217</v>
      </c>
      <c r="C221" s="12">
        <v>45874</v>
      </c>
      <c r="D221" s="13">
        <v>76</v>
      </c>
      <c r="E221" s="14"/>
      <c r="F221" s="13">
        <v>0</v>
      </c>
      <c r="G221" s="5">
        <v>0</v>
      </c>
      <c r="H221" s="5">
        <v>0</v>
      </c>
      <c r="I221" s="13">
        <v>0</v>
      </c>
      <c r="K221" s="13">
        <v>0</v>
      </c>
      <c r="L221" s="13">
        <v>0</v>
      </c>
      <c r="N221" s="5">
        <f t="shared" si="3"/>
        <v>14.098901098901099</v>
      </c>
      <c r="O221" s="13">
        <v>0</v>
      </c>
      <c r="W221"/>
      <c r="X221"/>
      <c r="Y221"/>
      <c r="Z221"/>
      <c r="AA221"/>
      <c r="AB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</row>
    <row r="222" spans="2:88" ht="15.75">
      <c r="B222" s="11">
        <v>218</v>
      </c>
      <c r="C222" s="12">
        <v>45875</v>
      </c>
      <c r="D222" s="13">
        <v>73</v>
      </c>
      <c r="E222" s="14"/>
      <c r="F222" s="13">
        <v>0</v>
      </c>
      <c r="G222" s="5">
        <v>0</v>
      </c>
      <c r="H222" s="5">
        <v>0</v>
      </c>
      <c r="I222" s="13">
        <v>0</v>
      </c>
      <c r="K222" s="13">
        <v>0</v>
      </c>
      <c r="L222" s="13">
        <v>0</v>
      </c>
      <c r="N222" s="5">
        <f t="shared" si="3"/>
        <v>14.098901098901099</v>
      </c>
      <c r="O222" s="13">
        <v>0</v>
      </c>
      <c r="W222"/>
      <c r="X222"/>
      <c r="Y222"/>
      <c r="Z222"/>
      <c r="AA222"/>
      <c r="AB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</row>
    <row r="223" spans="2:88" ht="15.75">
      <c r="B223" s="11">
        <v>219</v>
      </c>
      <c r="C223" s="12">
        <v>45876</v>
      </c>
      <c r="D223" s="13">
        <v>64</v>
      </c>
      <c r="E223" s="14"/>
      <c r="F223" s="13">
        <v>0</v>
      </c>
      <c r="G223" s="5">
        <v>0</v>
      </c>
      <c r="H223" s="5">
        <v>0</v>
      </c>
      <c r="I223" s="13">
        <v>0</v>
      </c>
      <c r="K223" s="13">
        <v>0</v>
      </c>
      <c r="L223" s="13">
        <v>0</v>
      </c>
      <c r="N223" s="5">
        <f t="shared" si="3"/>
        <v>14.098901098901099</v>
      </c>
      <c r="O223" s="13">
        <v>0</v>
      </c>
      <c r="W223"/>
      <c r="X223"/>
      <c r="Y223"/>
      <c r="Z223"/>
      <c r="AA223"/>
      <c r="AB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</row>
    <row r="224" spans="2:88" ht="15.75">
      <c r="B224" s="11">
        <v>220</v>
      </c>
      <c r="C224" s="12">
        <v>45877</v>
      </c>
      <c r="D224" s="13">
        <v>40</v>
      </c>
      <c r="E224" s="14"/>
      <c r="F224" s="13">
        <v>0</v>
      </c>
      <c r="G224" s="5">
        <v>0</v>
      </c>
      <c r="H224" s="5">
        <v>0</v>
      </c>
      <c r="I224" s="13">
        <v>0</v>
      </c>
      <c r="K224" s="13">
        <v>0</v>
      </c>
      <c r="L224" s="13">
        <v>0</v>
      </c>
      <c r="N224" s="5">
        <f t="shared" si="3"/>
        <v>14.098901098901099</v>
      </c>
      <c r="O224" s="13">
        <v>0</v>
      </c>
      <c r="W224"/>
      <c r="X224"/>
      <c r="Y224"/>
      <c r="Z224"/>
      <c r="AA224"/>
      <c r="AB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</row>
    <row r="225" spans="2:88" ht="15.75">
      <c r="B225" s="11">
        <v>221</v>
      </c>
      <c r="C225" s="12">
        <v>45878</v>
      </c>
      <c r="D225" s="13">
        <v>64</v>
      </c>
      <c r="E225" s="14"/>
      <c r="F225" s="13">
        <v>0</v>
      </c>
      <c r="G225" s="5">
        <v>0</v>
      </c>
      <c r="H225" s="5">
        <v>0</v>
      </c>
      <c r="I225" s="13">
        <v>0</v>
      </c>
      <c r="K225" s="13">
        <v>0</v>
      </c>
      <c r="L225" s="13">
        <v>0</v>
      </c>
      <c r="N225" s="5">
        <f t="shared" si="3"/>
        <v>14.098901098901099</v>
      </c>
      <c r="O225" s="13">
        <v>0</v>
      </c>
      <c r="W225"/>
      <c r="X225"/>
      <c r="Y225"/>
      <c r="Z225"/>
      <c r="AA225"/>
      <c r="AB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</row>
    <row r="226" spans="2:88" ht="15.75">
      <c r="B226" s="11">
        <v>222</v>
      </c>
      <c r="C226" s="12">
        <v>45879</v>
      </c>
      <c r="D226" s="13">
        <v>56</v>
      </c>
      <c r="E226" s="14"/>
      <c r="F226" s="13">
        <v>0</v>
      </c>
      <c r="G226" s="5">
        <v>0</v>
      </c>
      <c r="H226" s="5">
        <v>0</v>
      </c>
      <c r="I226" s="13">
        <v>0</v>
      </c>
      <c r="K226" s="13">
        <v>0</v>
      </c>
      <c r="L226" s="13">
        <v>0</v>
      </c>
      <c r="N226" s="5">
        <f t="shared" si="3"/>
        <v>14.098901098901099</v>
      </c>
      <c r="O226" s="13">
        <v>0</v>
      </c>
      <c r="W226"/>
      <c r="X226"/>
      <c r="Y226"/>
      <c r="Z226"/>
      <c r="AA226"/>
      <c r="AB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</row>
    <row r="227" spans="2:88" ht="15.75">
      <c r="B227" s="11">
        <v>223</v>
      </c>
      <c r="C227" s="12">
        <v>45880</v>
      </c>
      <c r="D227" s="13">
        <v>78</v>
      </c>
      <c r="E227" s="14"/>
      <c r="F227" s="13">
        <v>0</v>
      </c>
      <c r="G227" s="5">
        <v>0</v>
      </c>
      <c r="H227" s="5">
        <v>0</v>
      </c>
      <c r="I227" s="13">
        <v>0</v>
      </c>
      <c r="K227" s="13">
        <v>0</v>
      </c>
      <c r="L227" s="13">
        <v>0</v>
      </c>
      <c r="N227" s="5">
        <f t="shared" si="3"/>
        <v>14.098901098901099</v>
      </c>
      <c r="O227" s="13">
        <v>0</v>
      </c>
      <c r="W227"/>
      <c r="X227"/>
      <c r="Y227"/>
      <c r="Z227"/>
      <c r="AA227"/>
      <c r="AB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</row>
    <row r="228" spans="2:88" ht="15.75">
      <c r="B228" s="11">
        <v>224</v>
      </c>
      <c r="C228" s="12">
        <v>45881</v>
      </c>
      <c r="D228" s="13">
        <v>43</v>
      </c>
      <c r="E228" s="14"/>
      <c r="F228" s="13">
        <v>0</v>
      </c>
      <c r="G228" s="5">
        <v>0</v>
      </c>
      <c r="H228" s="5">
        <v>0</v>
      </c>
      <c r="I228" s="13">
        <v>0</v>
      </c>
      <c r="K228" s="13">
        <v>0</v>
      </c>
      <c r="L228" s="13">
        <v>0</v>
      </c>
      <c r="N228" s="5">
        <f t="shared" si="3"/>
        <v>14.098901098901099</v>
      </c>
      <c r="O228" s="13">
        <v>0</v>
      </c>
      <c r="W228"/>
      <c r="X228"/>
      <c r="Y228"/>
      <c r="Z228"/>
      <c r="AA228"/>
      <c r="AB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</row>
    <row r="229" spans="2:88" ht="15.75">
      <c r="B229" s="11">
        <v>225</v>
      </c>
      <c r="C229" s="12">
        <v>45882</v>
      </c>
      <c r="D229" s="13">
        <v>78</v>
      </c>
      <c r="E229" s="14"/>
      <c r="F229" s="13">
        <v>0</v>
      </c>
      <c r="G229" s="5">
        <v>0</v>
      </c>
      <c r="H229" s="5">
        <v>0</v>
      </c>
      <c r="I229" s="13">
        <v>0</v>
      </c>
      <c r="K229" s="13">
        <v>0</v>
      </c>
      <c r="L229" s="13">
        <v>0</v>
      </c>
      <c r="N229" s="5">
        <f t="shared" si="3"/>
        <v>14.098901098901099</v>
      </c>
      <c r="O229" s="13">
        <v>0</v>
      </c>
      <c r="W229"/>
      <c r="X229"/>
      <c r="Y229"/>
      <c r="Z229"/>
      <c r="AA229"/>
      <c r="AB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</row>
    <row r="230" spans="2:88" ht="15.75">
      <c r="B230" s="11">
        <v>226</v>
      </c>
      <c r="C230" s="12">
        <v>45883</v>
      </c>
      <c r="D230" s="13">
        <v>64</v>
      </c>
      <c r="E230" s="14"/>
      <c r="F230" s="13">
        <v>0</v>
      </c>
      <c r="G230" s="5">
        <v>0</v>
      </c>
      <c r="H230" s="5">
        <v>0</v>
      </c>
      <c r="I230" s="13">
        <v>0</v>
      </c>
      <c r="K230" s="13">
        <v>0</v>
      </c>
      <c r="L230" s="13">
        <v>0</v>
      </c>
      <c r="N230" s="5">
        <f t="shared" si="3"/>
        <v>14.098901098901099</v>
      </c>
      <c r="O230" s="13">
        <v>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</row>
    <row r="231" spans="2:88" ht="15.75">
      <c r="B231" s="11">
        <v>227</v>
      </c>
      <c r="C231" s="12">
        <v>45884</v>
      </c>
      <c r="D231" s="13">
        <v>67</v>
      </c>
      <c r="E231" s="14"/>
      <c r="F231" s="13">
        <v>0</v>
      </c>
      <c r="G231" s="5">
        <v>0</v>
      </c>
      <c r="H231" s="5">
        <v>0</v>
      </c>
      <c r="I231" s="13">
        <v>0</v>
      </c>
      <c r="K231" s="13">
        <v>0</v>
      </c>
      <c r="L231" s="13">
        <v>0</v>
      </c>
      <c r="N231" s="5">
        <f t="shared" si="3"/>
        <v>14.098901098901099</v>
      </c>
      <c r="O231" s="13">
        <v>0</v>
      </c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</row>
    <row r="232" spans="2:88" ht="15.75">
      <c r="B232" s="11">
        <v>228</v>
      </c>
      <c r="C232" s="12">
        <v>45885</v>
      </c>
      <c r="D232" s="13">
        <v>80</v>
      </c>
      <c r="E232" s="14"/>
      <c r="F232" s="13">
        <v>0</v>
      </c>
      <c r="G232" s="5">
        <v>0</v>
      </c>
      <c r="H232" s="5">
        <v>0</v>
      </c>
      <c r="I232" s="13">
        <v>0</v>
      </c>
      <c r="K232" s="13">
        <v>0</v>
      </c>
      <c r="L232" s="13">
        <v>0</v>
      </c>
      <c r="N232" s="5">
        <f t="shared" si="3"/>
        <v>14.098901098901099</v>
      </c>
      <c r="O232" s="13">
        <v>0</v>
      </c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</row>
    <row r="233" spans="2:88" ht="15.75">
      <c r="B233" s="11">
        <v>229</v>
      </c>
      <c r="C233" s="12">
        <v>45886</v>
      </c>
      <c r="D233" s="13">
        <v>40</v>
      </c>
      <c r="E233" s="14"/>
      <c r="F233" s="13">
        <v>0</v>
      </c>
      <c r="G233" s="5">
        <v>0</v>
      </c>
      <c r="H233" s="5">
        <v>0</v>
      </c>
      <c r="I233" s="13">
        <v>0</v>
      </c>
      <c r="K233" s="13">
        <v>0</v>
      </c>
      <c r="L233" s="13">
        <v>0</v>
      </c>
      <c r="N233" s="5">
        <f t="shared" si="3"/>
        <v>14.098901098901099</v>
      </c>
      <c r="O233" s="13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</row>
    <row r="234" spans="2:88" ht="15.75">
      <c r="B234" s="11">
        <v>230</v>
      </c>
      <c r="C234" s="12">
        <v>45887</v>
      </c>
      <c r="D234" s="13">
        <v>71</v>
      </c>
      <c r="E234" s="14"/>
      <c r="F234" s="13">
        <v>0</v>
      </c>
      <c r="G234" s="5">
        <v>0</v>
      </c>
      <c r="H234" s="5">
        <v>0</v>
      </c>
      <c r="I234" s="13">
        <v>0</v>
      </c>
      <c r="K234" s="13">
        <v>0</v>
      </c>
      <c r="L234" s="13">
        <v>0</v>
      </c>
      <c r="N234" s="5">
        <f t="shared" si="3"/>
        <v>14.098901098901099</v>
      </c>
      <c r="O234" s="13">
        <v>0</v>
      </c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</row>
    <row r="235" spans="2:88" ht="15.75">
      <c r="B235" s="11">
        <v>231</v>
      </c>
      <c r="C235" s="12">
        <v>45888</v>
      </c>
      <c r="D235" s="13">
        <v>84</v>
      </c>
      <c r="E235" s="14"/>
      <c r="F235" s="13">
        <v>0</v>
      </c>
      <c r="G235" s="5">
        <v>0</v>
      </c>
      <c r="H235" s="5">
        <v>0</v>
      </c>
      <c r="I235" s="13">
        <v>0</v>
      </c>
      <c r="K235" s="13">
        <v>0</v>
      </c>
      <c r="L235" s="13">
        <v>0</v>
      </c>
      <c r="N235" s="5">
        <f t="shared" si="3"/>
        <v>14.098901098901099</v>
      </c>
      <c r="O235" s="13">
        <v>0</v>
      </c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</row>
    <row r="236" spans="2:88" ht="15.75">
      <c r="B236" s="11">
        <v>232</v>
      </c>
      <c r="C236" s="12">
        <v>45889</v>
      </c>
      <c r="D236" s="13">
        <v>29</v>
      </c>
      <c r="E236" s="14"/>
      <c r="F236" s="13">
        <v>0</v>
      </c>
      <c r="G236" s="5">
        <v>0</v>
      </c>
      <c r="H236" s="5">
        <v>0</v>
      </c>
      <c r="I236" s="13">
        <v>0</v>
      </c>
      <c r="K236" s="13">
        <v>0</v>
      </c>
      <c r="L236" s="13">
        <v>0</v>
      </c>
      <c r="N236" s="5">
        <f t="shared" si="3"/>
        <v>14.098901098901099</v>
      </c>
      <c r="O236" s="13">
        <v>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</row>
    <row r="237" spans="2:88" ht="15.75">
      <c r="B237" s="11">
        <v>233</v>
      </c>
      <c r="C237" s="12">
        <v>45890</v>
      </c>
      <c r="D237" s="13">
        <v>53</v>
      </c>
      <c r="E237" s="14"/>
      <c r="F237" s="13">
        <v>0</v>
      </c>
      <c r="G237" s="5">
        <v>0</v>
      </c>
      <c r="H237" s="5">
        <v>0</v>
      </c>
      <c r="I237" s="13">
        <v>0</v>
      </c>
      <c r="K237" s="13">
        <v>0</v>
      </c>
      <c r="L237" s="13">
        <v>0</v>
      </c>
      <c r="N237" s="5">
        <f t="shared" si="3"/>
        <v>14.098901098901099</v>
      </c>
      <c r="O237" s="13">
        <v>0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</row>
    <row r="238" spans="2:88" ht="15.75">
      <c r="B238" s="11">
        <v>234</v>
      </c>
      <c r="C238" s="12">
        <v>45891</v>
      </c>
      <c r="D238" s="13">
        <v>72</v>
      </c>
      <c r="E238" s="14"/>
      <c r="F238" s="13">
        <v>0</v>
      </c>
      <c r="G238" s="5">
        <v>0</v>
      </c>
      <c r="H238" s="5">
        <v>0</v>
      </c>
      <c r="I238" s="13">
        <v>0</v>
      </c>
      <c r="K238" s="13">
        <v>0</v>
      </c>
      <c r="L238" s="13">
        <v>0</v>
      </c>
      <c r="N238" s="5">
        <f t="shared" si="3"/>
        <v>14.098901098901099</v>
      </c>
      <c r="O238" s="13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</row>
    <row r="239" spans="2:88" ht="15.75">
      <c r="B239" s="11">
        <v>235</v>
      </c>
      <c r="C239" s="12">
        <v>45892</v>
      </c>
      <c r="D239" s="13">
        <v>39</v>
      </c>
      <c r="E239" s="14"/>
      <c r="F239" s="13">
        <v>0</v>
      </c>
      <c r="G239" s="5">
        <v>0</v>
      </c>
      <c r="H239" s="5">
        <v>0</v>
      </c>
      <c r="I239" s="13">
        <v>0</v>
      </c>
      <c r="K239" s="13">
        <v>0</v>
      </c>
      <c r="L239" s="13">
        <v>0</v>
      </c>
      <c r="N239" s="5">
        <f t="shared" si="3"/>
        <v>14.098901098901099</v>
      </c>
      <c r="O239" s="13">
        <v>0</v>
      </c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</row>
    <row r="240" spans="2:88" ht="15.75">
      <c r="B240" s="11">
        <v>236</v>
      </c>
      <c r="C240" s="12">
        <v>45893</v>
      </c>
      <c r="D240" s="13">
        <v>63</v>
      </c>
      <c r="E240" s="14"/>
      <c r="F240" s="13">
        <v>0</v>
      </c>
      <c r="G240" s="5">
        <v>0</v>
      </c>
      <c r="H240" s="5">
        <v>0</v>
      </c>
      <c r="I240" s="13">
        <v>0</v>
      </c>
      <c r="K240" s="13">
        <v>0</v>
      </c>
      <c r="L240" s="13">
        <v>0</v>
      </c>
      <c r="N240" s="5">
        <f t="shared" si="3"/>
        <v>14.098901098901099</v>
      </c>
      <c r="O240" s="13">
        <v>0</v>
      </c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</row>
    <row r="241" spans="2:88" ht="15.75">
      <c r="B241" s="11">
        <v>237</v>
      </c>
      <c r="C241" s="12">
        <v>45894</v>
      </c>
      <c r="D241" s="13">
        <v>83</v>
      </c>
      <c r="E241" s="14"/>
      <c r="F241" s="13">
        <v>0</v>
      </c>
      <c r="G241" s="5">
        <v>0</v>
      </c>
      <c r="H241" s="5">
        <v>0</v>
      </c>
      <c r="I241" s="13">
        <v>0</v>
      </c>
      <c r="K241" s="13">
        <v>0</v>
      </c>
      <c r="L241" s="13">
        <v>0</v>
      </c>
      <c r="N241" s="5">
        <f t="shared" si="3"/>
        <v>14.098901098901099</v>
      </c>
      <c r="O241" s="13">
        <v>0</v>
      </c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</row>
    <row r="242" spans="2:88" ht="15.75">
      <c r="B242" s="11">
        <v>238</v>
      </c>
      <c r="C242" s="12">
        <v>45895</v>
      </c>
      <c r="D242" s="13">
        <v>31</v>
      </c>
      <c r="E242" s="14"/>
      <c r="F242" s="13">
        <v>0</v>
      </c>
      <c r="G242" s="5">
        <v>0</v>
      </c>
      <c r="H242" s="5">
        <v>0</v>
      </c>
      <c r="I242" s="13">
        <v>0</v>
      </c>
      <c r="K242" s="13">
        <v>0</v>
      </c>
      <c r="L242" s="13">
        <v>0</v>
      </c>
      <c r="N242" s="5">
        <f t="shared" si="3"/>
        <v>14.098901098901099</v>
      </c>
      <c r="O242" s="13">
        <v>0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</row>
    <row r="243" spans="2:88" ht="15.75">
      <c r="B243" s="11">
        <v>239</v>
      </c>
      <c r="C243" s="12">
        <v>45896</v>
      </c>
      <c r="D243" s="13">
        <v>57</v>
      </c>
      <c r="E243" s="14"/>
      <c r="F243" s="13">
        <v>0</v>
      </c>
      <c r="G243" s="5">
        <v>0</v>
      </c>
      <c r="H243" s="5">
        <v>0</v>
      </c>
      <c r="I243" s="13">
        <v>0</v>
      </c>
      <c r="K243" s="13">
        <v>0</v>
      </c>
      <c r="L243" s="13">
        <v>0</v>
      </c>
      <c r="N243" s="5">
        <f t="shared" si="3"/>
        <v>14.098901098901099</v>
      </c>
      <c r="O243" s="13">
        <v>0</v>
      </c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</row>
    <row r="244" spans="2:88" ht="15.75">
      <c r="B244" s="11">
        <v>240</v>
      </c>
      <c r="C244" s="12">
        <v>45897</v>
      </c>
      <c r="D244" s="13">
        <v>44</v>
      </c>
      <c r="E244" s="14"/>
      <c r="F244" s="13">
        <v>0</v>
      </c>
      <c r="G244" s="5">
        <v>0</v>
      </c>
      <c r="H244" s="5">
        <v>0</v>
      </c>
      <c r="I244" s="13">
        <v>0</v>
      </c>
      <c r="K244" s="13">
        <v>0</v>
      </c>
      <c r="L244" s="13">
        <v>0</v>
      </c>
      <c r="N244" s="5">
        <f t="shared" si="3"/>
        <v>14.098901098901099</v>
      </c>
      <c r="O244" s="13">
        <v>0</v>
      </c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</row>
    <row r="245" spans="2:88" ht="15.75">
      <c r="B245" s="11">
        <v>241</v>
      </c>
      <c r="C245" s="12">
        <v>45898</v>
      </c>
      <c r="D245" s="13">
        <v>34</v>
      </c>
      <c r="E245" s="14"/>
      <c r="F245" s="13">
        <v>0</v>
      </c>
      <c r="G245" s="5">
        <v>0</v>
      </c>
      <c r="H245" s="5">
        <v>0</v>
      </c>
      <c r="I245" s="13">
        <v>0</v>
      </c>
      <c r="K245" s="13">
        <v>0</v>
      </c>
      <c r="L245" s="13">
        <v>0</v>
      </c>
      <c r="N245" s="5">
        <f t="shared" si="3"/>
        <v>14.098901098901099</v>
      </c>
      <c r="O245" s="13">
        <v>0</v>
      </c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</row>
    <row r="246" spans="2:88" ht="15.75">
      <c r="B246" s="11">
        <v>242</v>
      </c>
      <c r="C246" s="12">
        <v>45899</v>
      </c>
      <c r="D246" s="13">
        <v>97</v>
      </c>
      <c r="E246" s="14"/>
      <c r="F246" s="13">
        <v>0</v>
      </c>
      <c r="G246" s="5">
        <v>0</v>
      </c>
      <c r="H246" s="5">
        <v>0</v>
      </c>
      <c r="I246" s="13">
        <v>0</v>
      </c>
      <c r="K246" s="13">
        <v>0</v>
      </c>
      <c r="L246" s="13">
        <v>0</v>
      </c>
      <c r="N246" s="5">
        <f t="shared" si="3"/>
        <v>14.098901098901099</v>
      </c>
      <c r="O246" s="13">
        <v>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</row>
    <row r="247" spans="2:88" ht="15.75">
      <c r="B247" s="11">
        <v>243</v>
      </c>
      <c r="C247" s="12">
        <v>45900</v>
      </c>
      <c r="D247" s="13">
        <v>30</v>
      </c>
      <c r="E247" s="14"/>
      <c r="F247" s="13">
        <v>0</v>
      </c>
      <c r="G247" s="5">
        <v>0</v>
      </c>
      <c r="H247" s="5">
        <v>0</v>
      </c>
      <c r="I247" s="13">
        <v>0</v>
      </c>
      <c r="K247" s="13">
        <v>0</v>
      </c>
      <c r="L247" s="13">
        <v>0</v>
      </c>
      <c r="N247" s="5">
        <f t="shared" si="3"/>
        <v>14.098901098901099</v>
      </c>
      <c r="O247" s="13">
        <v>0</v>
      </c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</row>
    <row r="248" spans="2:88" ht="15.75">
      <c r="B248" s="11">
        <v>244</v>
      </c>
      <c r="C248" s="12">
        <v>45901</v>
      </c>
      <c r="D248" s="13">
        <v>42</v>
      </c>
      <c r="E248" s="14"/>
      <c r="F248" s="13">
        <v>0</v>
      </c>
      <c r="G248" s="5">
        <v>0</v>
      </c>
      <c r="H248" s="5">
        <v>0</v>
      </c>
      <c r="I248" s="13">
        <v>0</v>
      </c>
      <c r="K248" s="13">
        <v>0</v>
      </c>
      <c r="L248" s="13">
        <v>0</v>
      </c>
      <c r="N248" s="5">
        <f t="shared" si="3"/>
        <v>14.098901098901099</v>
      </c>
      <c r="O248" s="13">
        <v>0</v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</row>
    <row r="249" spans="2:88" ht="15.75">
      <c r="B249" s="11">
        <v>245</v>
      </c>
      <c r="C249" s="12">
        <v>45902</v>
      </c>
      <c r="D249" s="13">
        <v>83</v>
      </c>
      <c r="E249" s="14"/>
      <c r="F249" s="13">
        <v>0</v>
      </c>
      <c r="G249" s="5">
        <v>0</v>
      </c>
      <c r="H249" s="5">
        <v>0</v>
      </c>
      <c r="I249" s="13">
        <v>0</v>
      </c>
      <c r="K249" s="13">
        <v>0</v>
      </c>
      <c r="L249" s="13">
        <v>0</v>
      </c>
      <c r="N249" s="5">
        <f t="shared" si="3"/>
        <v>14.098901098901099</v>
      </c>
      <c r="O249" s="13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</row>
    <row r="250" spans="2:88" ht="15.75">
      <c r="B250" s="11">
        <v>246</v>
      </c>
      <c r="C250" s="12">
        <v>45903</v>
      </c>
      <c r="D250" s="13">
        <v>29</v>
      </c>
      <c r="E250" s="14"/>
      <c r="F250" s="13">
        <v>0</v>
      </c>
      <c r="G250" s="5">
        <v>0</v>
      </c>
      <c r="H250" s="5">
        <v>0</v>
      </c>
      <c r="I250" s="13">
        <v>0</v>
      </c>
      <c r="K250" s="13">
        <v>0</v>
      </c>
      <c r="L250" s="13">
        <v>0</v>
      </c>
      <c r="N250" s="5">
        <f t="shared" si="3"/>
        <v>14.098901098901099</v>
      </c>
      <c r="O250" s="13">
        <v>0</v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</row>
    <row r="251" spans="2:88" ht="15.75">
      <c r="B251" s="11">
        <v>247</v>
      </c>
      <c r="C251" s="12">
        <v>45904</v>
      </c>
      <c r="D251" s="13">
        <v>73</v>
      </c>
      <c r="E251" s="14"/>
      <c r="F251" s="13">
        <v>0</v>
      </c>
      <c r="G251" s="5">
        <v>0</v>
      </c>
      <c r="H251" s="5">
        <v>0</v>
      </c>
      <c r="I251" s="13">
        <v>0</v>
      </c>
      <c r="K251" s="13">
        <v>0</v>
      </c>
      <c r="L251" s="13">
        <v>0</v>
      </c>
      <c r="N251" s="5">
        <f t="shared" si="3"/>
        <v>14.098901098901099</v>
      </c>
      <c r="O251" s="13">
        <v>0</v>
      </c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</row>
    <row r="252" spans="2:88" ht="15.75">
      <c r="B252" s="11">
        <v>248</v>
      </c>
      <c r="C252" s="12">
        <v>45905</v>
      </c>
      <c r="D252" s="13">
        <v>67</v>
      </c>
      <c r="E252" s="14"/>
      <c r="F252" s="13">
        <v>0</v>
      </c>
      <c r="G252" s="5">
        <v>0</v>
      </c>
      <c r="H252" s="5">
        <v>0</v>
      </c>
      <c r="I252" s="13">
        <v>0</v>
      </c>
      <c r="K252" s="13">
        <v>0</v>
      </c>
      <c r="L252" s="13">
        <v>0</v>
      </c>
      <c r="N252" s="5">
        <f t="shared" si="3"/>
        <v>14.098901098901099</v>
      </c>
      <c r="O252" s="13">
        <v>0</v>
      </c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</row>
    <row r="253" spans="2:88" ht="15.75">
      <c r="B253" s="11">
        <v>249</v>
      </c>
      <c r="C253" s="12">
        <v>45906</v>
      </c>
      <c r="D253" s="13">
        <v>42</v>
      </c>
      <c r="E253" s="14"/>
      <c r="F253" s="13">
        <v>0</v>
      </c>
      <c r="G253" s="5">
        <v>0</v>
      </c>
      <c r="H253" s="5">
        <v>0</v>
      </c>
      <c r="I253" s="13">
        <v>0</v>
      </c>
      <c r="K253" s="13">
        <v>0</v>
      </c>
      <c r="L253" s="13">
        <v>0</v>
      </c>
      <c r="N253" s="5">
        <f t="shared" si="3"/>
        <v>14.098901098901099</v>
      </c>
      <c r="O253" s="13">
        <v>0</v>
      </c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</row>
    <row r="254" spans="2:88" ht="15.75">
      <c r="B254" s="11">
        <v>250</v>
      </c>
      <c r="C254" s="12">
        <v>45907</v>
      </c>
      <c r="D254" s="13">
        <v>67</v>
      </c>
      <c r="E254" s="14"/>
      <c r="F254" s="13">
        <v>0</v>
      </c>
      <c r="G254" s="5">
        <v>0</v>
      </c>
      <c r="H254" s="5">
        <v>0</v>
      </c>
      <c r="I254" s="13">
        <v>0</v>
      </c>
      <c r="K254" s="13">
        <v>0</v>
      </c>
      <c r="L254" s="13">
        <v>0</v>
      </c>
      <c r="N254" s="5">
        <f t="shared" si="3"/>
        <v>14.098901098901099</v>
      </c>
      <c r="O254" s="13">
        <v>0</v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</row>
    <row r="255" spans="2:88" ht="15.75">
      <c r="B255" s="11">
        <v>251</v>
      </c>
      <c r="C255" s="12">
        <v>45908</v>
      </c>
      <c r="D255" s="13">
        <v>32</v>
      </c>
      <c r="E255" s="14"/>
      <c r="F255" s="13">
        <v>0</v>
      </c>
      <c r="G255" s="5">
        <v>0</v>
      </c>
      <c r="H255" s="5">
        <v>0</v>
      </c>
      <c r="I255" s="13">
        <v>0</v>
      </c>
      <c r="K255" s="13">
        <v>0</v>
      </c>
      <c r="L255" s="13">
        <v>0</v>
      </c>
      <c r="N255" s="5">
        <f t="shared" si="3"/>
        <v>14.098901098901099</v>
      </c>
      <c r="O255" s="13">
        <v>0</v>
      </c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</row>
    <row r="256" spans="2:88" ht="15.75">
      <c r="B256" s="11">
        <v>252</v>
      </c>
      <c r="C256" s="12">
        <v>45909</v>
      </c>
      <c r="D256" s="13">
        <v>37</v>
      </c>
      <c r="E256" s="14"/>
      <c r="F256" s="13">
        <v>0</v>
      </c>
      <c r="G256" s="5">
        <v>0</v>
      </c>
      <c r="H256" s="5">
        <v>0</v>
      </c>
      <c r="I256" s="13">
        <v>0</v>
      </c>
      <c r="K256" s="13">
        <v>0</v>
      </c>
      <c r="L256" s="13">
        <v>0</v>
      </c>
      <c r="N256" s="5">
        <f t="shared" si="3"/>
        <v>14.098901098901099</v>
      </c>
      <c r="O256" s="13">
        <v>0</v>
      </c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</row>
    <row r="257" spans="2:88" ht="15.75">
      <c r="B257" s="11">
        <v>253</v>
      </c>
      <c r="C257" s="12">
        <v>45910</v>
      </c>
      <c r="D257" s="13">
        <v>44</v>
      </c>
      <c r="E257" s="14"/>
      <c r="F257" s="13">
        <v>0</v>
      </c>
      <c r="G257" s="5">
        <v>0</v>
      </c>
      <c r="H257" s="5">
        <v>0</v>
      </c>
      <c r="I257" s="13">
        <v>0</v>
      </c>
      <c r="K257" s="13">
        <v>0</v>
      </c>
      <c r="L257" s="13">
        <v>0</v>
      </c>
      <c r="N257" s="5">
        <f t="shared" si="3"/>
        <v>14.098901098901099</v>
      </c>
      <c r="O257" s="13">
        <v>0</v>
      </c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</row>
    <row r="258" spans="2:88" ht="15.75">
      <c r="B258" s="11">
        <v>254</v>
      </c>
      <c r="C258" s="12">
        <v>45911</v>
      </c>
      <c r="D258" s="13">
        <v>58</v>
      </c>
      <c r="E258" s="14"/>
      <c r="F258" s="13">
        <v>0</v>
      </c>
      <c r="G258" s="5">
        <v>0</v>
      </c>
      <c r="H258" s="5">
        <v>0</v>
      </c>
      <c r="I258" s="13">
        <v>0</v>
      </c>
      <c r="K258" s="13">
        <v>0</v>
      </c>
      <c r="L258" s="13">
        <v>0</v>
      </c>
      <c r="N258" s="5">
        <f t="shared" si="3"/>
        <v>14.098901098901099</v>
      </c>
      <c r="O258" s="13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</row>
    <row r="259" spans="2:88" ht="15.75">
      <c r="B259" s="11">
        <v>255</v>
      </c>
      <c r="C259" s="12">
        <v>45912</v>
      </c>
      <c r="D259" s="13">
        <v>50</v>
      </c>
      <c r="E259" s="14"/>
      <c r="F259" s="13">
        <v>0</v>
      </c>
      <c r="G259" s="5">
        <v>0</v>
      </c>
      <c r="H259" s="5">
        <v>0</v>
      </c>
      <c r="I259" s="13">
        <v>0</v>
      </c>
      <c r="K259" s="13">
        <v>0</v>
      </c>
      <c r="L259" s="13">
        <v>0</v>
      </c>
      <c r="N259" s="5">
        <f t="shared" si="3"/>
        <v>14.098901098901099</v>
      </c>
      <c r="O259" s="13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</row>
    <row r="260" spans="2:88" ht="15.75">
      <c r="B260" s="11">
        <v>256</v>
      </c>
      <c r="C260" s="12">
        <v>45913</v>
      </c>
      <c r="D260" s="13">
        <v>34</v>
      </c>
      <c r="E260" s="14"/>
      <c r="F260" s="13">
        <v>0</v>
      </c>
      <c r="G260" s="5">
        <v>0</v>
      </c>
      <c r="H260" s="5">
        <v>0</v>
      </c>
      <c r="I260" s="13">
        <v>0</v>
      </c>
      <c r="K260" s="13">
        <v>0</v>
      </c>
      <c r="L260" s="13">
        <v>0</v>
      </c>
      <c r="N260" s="5">
        <f t="shared" si="3"/>
        <v>14.098901098901099</v>
      </c>
      <c r="O260" s="13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</row>
    <row r="261" spans="2:88" ht="15.75">
      <c r="B261" s="11">
        <v>257</v>
      </c>
      <c r="C261" s="12">
        <v>45914</v>
      </c>
      <c r="D261" s="13">
        <v>69</v>
      </c>
      <c r="E261" s="14"/>
      <c r="F261" s="13">
        <v>0</v>
      </c>
      <c r="G261" s="5">
        <v>0</v>
      </c>
      <c r="H261" s="5">
        <v>0</v>
      </c>
      <c r="I261" s="13">
        <v>0</v>
      </c>
      <c r="K261" s="13">
        <v>0</v>
      </c>
      <c r="L261" s="13">
        <v>0</v>
      </c>
      <c r="N261" s="5">
        <f t="shared" ref="N261:N324" si="4">AVERAGE($O$644:$O$734)</f>
        <v>14.098901098901099</v>
      </c>
      <c r="O261" s="13">
        <v>0</v>
      </c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</row>
    <row r="262" spans="2:88" ht="15.75">
      <c r="B262" s="11">
        <v>258</v>
      </c>
      <c r="C262" s="12">
        <v>45915</v>
      </c>
      <c r="D262" s="13">
        <v>47</v>
      </c>
      <c r="E262" s="14"/>
      <c r="F262" s="13">
        <v>0</v>
      </c>
      <c r="G262" s="5">
        <v>0</v>
      </c>
      <c r="H262" s="5">
        <v>0</v>
      </c>
      <c r="I262" s="13">
        <v>0</v>
      </c>
      <c r="K262" s="13">
        <v>0</v>
      </c>
      <c r="L262" s="13">
        <v>0</v>
      </c>
      <c r="N262" s="5">
        <f t="shared" si="4"/>
        <v>14.098901098901099</v>
      </c>
      <c r="O262" s="13">
        <v>0</v>
      </c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</row>
    <row r="263" spans="2:88" ht="15.75">
      <c r="B263" s="11">
        <v>259</v>
      </c>
      <c r="C263" s="12">
        <v>45916</v>
      </c>
      <c r="D263" s="13">
        <v>44</v>
      </c>
      <c r="E263" s="14"/>
      <c r="F263" s="13">
        <v>0</v>
      </c>
      <c r="G263" s="5">
        <v>0</v>
      </c>
      <c r="H263" s="5">
        <v>0</v>
      </c>
      <c r="I263" s="13">
        <v>0</v>
      </c>
      <c r="K263" s="13">
        <v>0</v>
      </c>
      <c r="L263" s="13">
        <v>0</v>
      </c>
      <c r="N263" s="5">
        <f t="shared" si="4"/>
        <v>14.098901098901099</v>
      </c>
      <c r="O263" s="13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</row>
    <row r="264" spans="2:88" ht="15.75">
      <c r="B264" s="11">
        <v>260</v>
      </c>
      <c r="C264" s="12">
        <v>45917</v>
      </c>
      <c r="D264" s="13">
        <v>46</v>
      </c>
      <c r="E264" s="14"/>
      <c r="F264" s="13">
        <v>0</v>
      </c>
      <c r="G264" s="5">
        <v>0</v>
      </c>
      <c r="H264" s="5">
        <v>0</v>
      </c>
      <c r="I264" s="13">
        <v>0</v>
      </c>
      <c r="K264" s="13">
        <v>0</v>
      </c>
      <c r="L264" s="13">
        <v>0</v>
      </c>
      <c r="N264" s="5">
        <f t="shared" si="4"/>
        <v>14.098901098901099</v>
      </c>
      <c r="O264" s="13">
        <v>0</v>
      </c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</row>
    <row r="265" spans="2:88" ht="15.75">
      <c r="B265" s="11">
        <v>261</v>
      </c>
      <c r="C265" s="12">
        <v>45918</v>
      </c>
      <c r="D265" s="13">
        <v>45</v>
      </c>
      <c r="E265" s="14"/>
      <c r="F265" s="13">
        <v>0</v>
      </c>
      <c r="G265" s="5">
        <v>0</v>
      </c>
      <c r="H265" s="5">
        <v>0</v>
      </c>
      <c r="I265" s="13">
        <v>0</v>
      </c>
      <c r="K265" s="13">
        <v>0</v>
      </c>
      <c r="L265" s="13">
        <v>0</v>
      </c>
      <c r="N265" s="5">
        <f t="shared" si="4"/>
        <v>14.098901098901099</v>
      </c>
      <c r="O265" s="13">
        <v>0</v>
      </c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</row>
    <row r="266" spans="2:88" ht="15.75">
      <c r="B266" s="11">
        <v>262</v>
      </c>
      <c r="C266" s="12">
        <v>45919</v>
      </c>
      <c r="D266" s="13">
        <v>77</v>
      </c>
      <c r="E266" s="14"/>
      <c r="F266" s="13">
        <v>0</v>
      </c>
      <c r="G266" s="5">
        <v>0</v>
      </c>
      <c r="H266" s="5">
        <v>0</v>
      </c>
      <c r="I266" s="13">
        <v>0</v>
      </c>
      <c r="K266" s="13">
        <v>0</v>
      </c>
      <c r="L266" s="13">
        <v>0</v>
      </c>
      <c r="N266" s="5">
        <f t="shared" si="4"/>
        <v>14.098901098901099</v>
      </c>
      <c r="O266" s="13">
        <v>0</v>
      </c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</row>
    <row r="267" spans="2:88" ht="15.75">
      <c r="B267" s="11">
        <v>263</v>
      </c>
      <c r="C267" s="12">
        <v>45920</v>
      </c>
      <c r="D267" s="13">
        <v>74</v>
      </c>
      <c r="E267" s="14"/>
      <c r="F267" s="13">
        <v>0</v>
      </c>
      <c r="G267" s="5">
        <v>0</v>
      </c>
      <c r="H267" s="5">
        <v>0</v>
      </c>
      <c r="I267" s="13">
        <v>0</v>
      </c>
      <c r="K267" s="13">
        <v>0</v>
      </c>
      <c r="L267" s="13">
        <v>0</v>
      </c>
      <c r="N267" s="5">
        <f t="shared" si="4"/>
        <v>14.098901098901099</v>
      </c>
      <c r="O267" s="13">
        <v>0</v>
      </c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</row>
    <row r="268" spans="2:88" ht="15.75">
      <c r="B268" s="11">
        <v>264</v>
      </c>
      <c r="C268" s="12">
        <v>45921</v>
      </c>
      <c r="D268" s="13">
        <v>42</v>
      </c>
      <c r="E268" s="14"/>
      <c r="F268" s="13">
        <v>0</v>
      </c>
      <c r="G268" s="5">
        <v>0</v>
      </c>
      <c r="H268" s="5">
        <v>0</v>
      </c>
      <c r="I268" s="13">
        <v>0</v>
      </c>
      <c r="K268" s="13">
        <v>0</v>
      </c>
      <c r="L268" s="13">
        <v>0</v>
      </c>
      <c r="N268" s="5">
        <f t="shared" si="4"/>
        <v>14.098901098901099</v>
      </c>
      <c r="O268" s="13">
        <v>0</v>
      </c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</row>
    <row r="269" spans="2:88" ht="15.75">
      <c r="B269" s="11">
        <v>265</v>
      </c>
      <c r="C269" s="12">
        <v>45922</v>
      </c>
      <c r="D269" s="13">
        <v>22</v>
      </c>
      <c r="E269" s="14"/>
      <c r="F269" s="13">
        <v>0</v>
      </c>
      <c r="G269" s="5">
        <v>0</v>
      </c>
      <c r="H269" s="5">
        <v>0</v>
      </c>
      <c r="I269" s="13">
        <v>0</v>
      </c>
      <c r="K269" s="13">
        <v>0</v>
      </c>
      <c r="L269" s="13">
        <v>0</v>
      </c>
      <c r="N269" s="5">
        <f t="shared" si="4"/>
        <v>14.098901098901099</v>
      </c>
      <c r="O269" s="13">
        <v>0</v>
      </c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</row>
    <row r="270" spans="2:88" ht="15.75">
      <c r="B270" s="11">
        <v>266</v>
      </c>
      <c r="C270" s="12">
        <v>45923</v>
      </c>
      <c r="D270" s="13">
        <v>88</v>
      </c>
      <c r="E270" s="14"/>
      <c r="F270" s="13">
        <v>0</v>
      </c>
      <c r="G270" s="5">
        <v>0</v>
      </c>
      <c r="H270" s="5">
        <v>0</v>
      </c>
      <c r="I270" s="13">
        <v>0</v>
      </c>
      <c r="K270" s="13">
        <v>0</v>
      </c>
      <c r="L270" s="13">
        <v>0</v>
      </c>
      <c r="N270" s="5">
        <f t="shared" si="4"/>
        <v>14.098901098901099</v>
      </c>
      <c r="O270" s="13">
        <v>0</v>
      </c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</row>
    <row r="271" spans="2:88" ht="15.75">
      <c r="B271" s="11">
        <v>267</v>
      </c>
      <c r="C271" s="12">
        <v>45924</v>
      </c>
      <c r="D271" s="13">
        <v>70</v>
      </c>
      <c r="E271" s="14"/>
      <c r="F271" s="13">
        <v>0</v>
      </c>
      <c r="G271" s="5">
        <v>0</v>
      </c>
      <c r="H271" s="5">
        <v>0</v>
      </c>
      <c r="I271" s="13">
        <v>0</v>
      </c>
      <c r="K271" s="13">
        <v>0</v>
      </c>
      <c r="L271" s="13">
        <v>0</v>
      </c>
      <c r="N271" s="5">
        <f t="shared" si="4"/>
        <v>14.098901098901099</v>
      </c>
      <c r="O271" s="13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</row>
    <row r="272" spans="2:88" ht="15.75">
      <c r="B272" s="11">
        <v>268</v>
      </c>
      <c r="C272" s="12">
        <v>45925</v>
      </c>
      <c r="D272" s="13">
        <v>43</v>
      </c>
      <c r="E272" s="14"/>
      <c r="F272" s="13">
        <v>0</v>
      </c>
      <c r="G272" s="5">
        <v>0</v>
      </c>
      <c r="H272" s="5">
        <v>0</v>
      </c>
      <c r="I272" s="13">
        <v>0</v>
      </c>
      <c r="K272" s="13">
        <v>0</v>
      </c>
      <c r="L272" s="13">
        <v>0</v>
      </c>
      <c r="N272" s="5">
        <f t="shared" si="4"/>
        <v>14.098901098901099</v>
      </c>
      <c r="O272" s="13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</row>
    <row r="273" spans="2:88" ht="15.75">
      <c r="B273" s="11">
        <v>269</v>
      </c>
      <c r="C273" s="12">
        <v>45926</v>
      </c>
      <c r="D273" s="13">
        <v>47</v>
      </c>
      <c r="E273" s="14"/>
      <c r="F273" s="13">
        <v>0</v>
      </c>
      <c r="G273" s="5">
        <v>0</v>
      </c>
      <c r="H273" s="5">
        <v>0</v>
      </c>
      <c r="I273" s="13">
        <v>0</v>
      </c>
      <c r="K273" s="13">
        <v>0</v>
      </c>
      <c r="L273" s="13">
        <v>0</v>
      </c>
      <c r="N273" s="5">
        <f t="shared" si="4"/>
        <v>14.098901098901099</v>
      </c>
      <c r="O273" s="13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</row>
    <row r="274" spans="2:88" ht="15.75">
      <c r="B274" s="11">
        <v>270</v>
      </c>
      <c r="C274" s="12">
        <v>45927</v>
      </c>
      <c r="D274" s="13">
        <v>46</v>
      </c>
      <c r="E274" s="14"/>
      <c r="F274" s="13">
        <v>0</v>
      </c>
      <c r="G274" s="5">
        <v>0</v>
      </c>
      <c r="H274" s="5">
        <v>0</v>
      </c>
      <c r="I274" s="13">
        <v>0</v>
      </c>
      <c r="K274" s="13">
        <v>0</v>
      </c>
      <c r="L274" s="13">
        <v>0</v>
      </c>
      <c r="N274" s="5">
        <f t="shared" si="4"/>
        <v>14.098901098901099</v>
      </c>
      <c r="O274" s="13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</row>
    <row r="275" spans="2:88" ht="15.75">
      <c r="B275" s="11">
        <v>271</v>
      </c>
      <c r="C275" s="12">
        <v>45928</v>
      </c>
      <c r="D275" s="13">
        <v>44</v>
      </c>
      <c r="E275" s="14"/>
      <c r="F275" s="13">
        <v>0</v>
      </c>
      <c r="G275" s="5">
        <v>0</v>
      </c>
      <c r="H275" s="5">
        <v>0</v>
      </c>
      <c r="I275" s="13">
        <v>0</v>
      </c>
      <c r="K275" s="13">
        <v>0</v>
      </c>
      <c r="L275" s="13">
        <v>0</v>
      </c>
      <c r="N275" s="5">
        <f t="shared" si="4"/>
        <v>14.098901098901099</v>
      </c>
      <c r="O275" s="13">
        <v>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</row>
    <row r="276" spans="2:88" ht="15.75">
      <c r="B276" s="11">
        <v>272</v>
      </c>
      <c r="C276" s="12">
        <v>45929</v>
      </c>
      <c r="D276" s="13">
        <v>53</v>
      </c>
      <c r="E276" s="14"/>
      <c r="F276" s="13">
        <v>0</v>
      </c>
      <c r="G276" s="5">
        <v>0</v>
      </c>
      <c r="H276" s="5">
        <v>0</v>
      </c>
      <c r="I276" s="13">
        <v>0</v>
      </c>
      <c r="K276" s="13">
        <v>0</v>
      </c>
      <c r="L276" s="13">
        <v>0</v>
      </c>
      <c r="N276" s="5">
        <f t="shared" si="4"/>
        <v>14.098901098901099</v>
      </c>
      <c r="O276" s="13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</row>
    <row r="277" spans="2:88" ht="15.75">
      <c r="B277" s="11">
        <v>273</v>
      </c>
      <c r="C277" s="12">
        <v>45930</v>
      </c>
      <c r="D277" s="13">
        <v>38</v>
      </c>
      <c r="E277" s="14"/>
      <c r="F277" s="13">
        <v>0</v>
      </c>
      <c r="G277" s="5">
        <v>0</v>
      </c>
      <c r="H277" s="5">
        <v>0</v>
      </c>
      <c r="I277" s="13">
        <v>0</v>
      </c>
      <c r="K277" s="13">
        <v>0</v>
      </c>
      <c r="L277" s="13">
        <v>0</v>
      </c>
      <c r="N277" s="5">
        <f t="shared" si="4"/>
        <v>14.098901098901099</v>
      </c>
      <c r="O277" s="13">
        <v>0</v>
      </c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</row>
    <row r="278" spans="2:88" ht="15.75">
      <c r="B278" s="11">
        <v>274</v>
      </c>
      <c r="C278" s="12">
        <v>45931</v>
      </c>
      <c r="D278" s="13">
        <v>44</v>
      </c>
      <c r="E278" s="14"/>
      <c r="F278" s="13">
        <v>0</v>
      </c>
      <c r="G278" s="5">
        <v>0</v>
      </c>
      <c r="H278" s="5">
        <v>0</v>
      </c>
      <c r="I278" s="13">
        <v>0</v>
      </c>
      <c r="K278" s="13">
        <v>0</v>
      </c>
      <c r="L278" s="13">
        <v>0</v>
      </c>
      <c r="N278" s="5">
        <f t="shared" si="4"/>
        <v>14.098901098901099</v>
      </c>
      <c r="O278" s="13">
        <v>0</v>
      </c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</row>
    <row r="279" spans="2:88" ht="15.75">
      <c r="B279" s="11">
        <v>275</v>
      </c>
      <c r="C279" s="12">
        <v>45932</v>
      </c>
      <c r="D279" s="13">
        <v>37</v>
      </c>
      <c r="E279" s="14"/>
      <c r="F279" s="13">
        <v>0</v>
      </c>
      <c r="G279" s="5">
        <v>0</v>
      </c>
      <c r="H279" s="5">
        <v>0</v>
      </c>
      <c r="I279" s="13">
        <v>0</v>
      </c>
      <c r="K279" s="13">
        <v>0</v>
      </c>
      <c r="L279" s="13">
        <v>0</v>
      </c>
      <c r="N279" s="5">
        <f t="shared" si="4"/>
        <v>14.098901098901099</v>
      </c>
      <c r="O279" s="13">
        <v>0</v>
      </c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</row>
    <row r="280" spans="2:88" ht="15.75">
      <c r="B280" s="11">
        <v>276</v>
      </c>
      <c r="C280" s="12">
        <v>45933</v>
      </c>
      <c r="D280" s="13">
        <v>10</v>
      </c>
      <c r="E280" s="14"/>
      <c r="F280" s="13">
        <v>0</v>
      </c>
      <c r="G280" s="5">
        <v>0</v>
      </c>
      <c r="H280" s="5">
        <v>0</v>
      </c>
      <c r="I280" s="13">
        <v>0</v>
      </c>
      <c r="K280" s="13">
        <v>0</v>
      </c>
      <c r="L280" s="13">
        <v>0</v>
      </c>
      <c r="N280" s="5">
        <f t="shared" si="4"/>
        <v>14.098901098901099</v>
      </c>
      <c r="O280" s="13">
        <v>0</v>
      </c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</row>
    <row r="281" spans="2:88" ht="15.75">
      <c r="B281" s="11">
        <v>277</v>
      </c>
      <c r="C281" s="12">
        <v>45934</v>
      </c>
      <c r="D281" s="13">
        <v>40</v>
      </c>
      <c r="E281" s="14"/>
      <c r="F281" s="13">
        <v>0</v>
      </c>
      <c r="G281" s="5">
        <v>0</v>
      </c>
      <c r="H281" s="5">
        <v>0</v>
      </c>
      <c r="I281" s="13">
        <v>0</v>
      </c>
      <c r="K281" s="13">
        <v>0</v>
      </c>
      <c r="L281" s="13">
        <v>0</v>
      </c>
      <c r="N281" s="5">
        <f t="shared" si="4"/>
        <v>14.098901098901099</v>
      </c>
      <c r="O281" s="13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</row>
    <row r="282" spans="2:88" ht="15.75">
      <c r="B282" s="11">
        <v>278</v>
      </c>
      <c r="C282" s="12">
        <v>45935</v>
      </c>
      <c r="D282" s="13">
        <v>26</v>
      </c>
      <c r="E282" s="14"/>
      <c r="F282" s="13">
        <v>0</v>
      </c>
      <c r="G282" s="5">
        <v>0</v>
      </c>
      <c r="H282" s="5">
        <v>0</v>
      </c>
      <c r="I282" s="13">
        <v>0</v>
      </c>
      <c r="K282" s="13">
        <v>0</v>
      </c>
      <c r="L282" s="13">
        <v>0</v>
      </c>
      <c r="N282" s="5">
        <f t="shared" si="4"/>
        <v>14.098901098901099</v>
      </c>
      <c r="O282" s="13">
        <v>0</v>
      </c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</row>
    <row r="283" spans="2:88" ht="15.75">
      <c r="B283" s="11">
        <v>279</v>
      </c>
      <c r="C283" s="12">
        <v>45936</v>
      </c>
      <c r="D283" s="13">
        <v>16</v>
      </c>
      <c r="E283" s="14"/>
      <c r="F283" s="13">
        <v>0</v>
      </c>
      <c r="G283" s="5">
        <v>0</v>
      </c>
      <c r="H283" s="5">
        <v>0</v>
      </c>
      <c r="I283" s="13">
        <v>0</v>
      </c>
      <c r="K283" s="13">
        <v>0</v>
      </c>
      <c r="L283" s="13">
        <v>0</v>
      </c>
      <c r="N283" s="5">
        <f t="shared" si="4"/>
        <v>14.098901098901099</v>
      </c>
      <c r="O283" s="13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</row>
    <row r="284" spans="2:88" ht="15.75">
      <c r="B284" s="11">
        <v>280</v>
      </c>
      <c r="C284" s="12">
        <v>45937</v>
      </c>
      <c r="D284" s="13">
        <v>24</v>
      </c>
      <c r="E284" s="14"/>
      <c r="F284" s="13">
        <v>0</v>
      </c>
      <c r="G284" s="5">
        <v>0</v>
      </c>
      <c r="H284" s="5">
        <v>0</v>
      </c>
      <c r="I284" s="13">
        <v>0</v>
      </c>
      <c r="K284" s="13">
        <v>0</v>
      </c>
      <c r="L284" s="13">
        <v>0</v>
      </c>
      <c r="N284" s="5">
        <f t="shared" si="4"/>
        <v>14.098901098901099</v>
      </c>
      <c r="O284" s="13">
        <v>0</v>
      </c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</row>
    <row r="285" spans="2:88" ht="15.75">
      <c r="B285" s="11">
        <v>281</v>
      </c>
      <c r="C285" s="12">
        <v>45938</v>
      </c>
      <c r="D285" s="13">
        <v>38</v>
      </c>
      <c r="E285" s="14"/>
      <c r="F285" s="13">
        <v>0</v>
      </c>
      <c r="G285" s="5">
        <v>0</v>
      </c>
      <c r="H285" s="5">
        <v>0</v>
      </c>
      <c r="I285" s="13">
        <v>0</v>
      </c>
      <c r="K285" s="13">
        <v>0</v>
      </c>
      <c r="L285" s="13">
        <v>0</v>
      </c>
      <c r="N285" s="5">
        <f t="shared" si="4"/>
        <v>14.098901098901099</v>
      </c>
      <c r="O285" s="13">
        <v>0</v>
      </c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</row>
    <row r="286" spans="2:88" ht="15.75">
      <c r="B286" s="11">
        <v>282</v>
      </c>
      <c r="C286" s="12">
        <v>45939</v>
      </c>
      <c r="D286" s="13">
        <v>33</v>
      </c>
      <c r="E286" s="14"/>
      <c r="F286" s="13">
        <v>0</v>
      </c>
      <c r="G286" s="5">
        <v>0</v>
      </c>
      <c r="H286" s="5">
        <v>0</v>
      </c>
      <c r="I286" s="13">
        <v>0</v>
      </c>
      <c r="K286" s="13">
        <v>0</v>
      </c>
      <c r="L286" s="13">
        <v>0</v>
      </c>
      <c r="N286" s="5">
        <f t="shared" si="4"/>
        <v>14.098901098901099</v>
      </c>
      <c r="O286" s="13">
        <v>0</v>
      </c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</row>
    <row r="287" spans="2:88" ht="15.75">
      <c r="B287" s="11">
        <v>283</v>
      </c>
      <c r="C287" s="12">
        <v>45940</v>
      </c>
      <c r="D287" s="13">
        <v>38</v>
      </c>
      <c r="E287" s="14"/>
      <c r="F287" s="13">
        <v>0</v>
      </c>
      <c r="G287" s="5">
        <v>0</v>
      </c>
      <c r="H287" s="5">
        <v>0</v>
      </c>
      <c r="I287" s="13">
        <v>0</v>
      </c>
      <c r="K287" s="13">
        <v>0</v>
      </c>
      <c r="L287" s="13">
        <v>0</v>
      </c>
      <c r="N287" s="5">
        <f t="shared" si="4"/>
        <v>14.098901098901099</v>
      </c>
      <c r="O287" s="13">
        <v>0</v>
      </c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</row>
    <row r="288" spans="2:88" ht="15.75">
      <c r="B288" s="11">
        <v>284</v>
      </c>
      <c r="C288" s="12">
        <v>45941</v>
      </c>
      <c r="D288" s="13">
        <v>67</v>
      </c>
      <c r="E288" s="14"/>
      <c r="F288" s="13">
        <v>0</v>
      </c>
      <c r="G288" s="5">
        <v>0</v>
      </c>
      <c r="H288" s="5">
        <v>0</v>
      </c>
      <c r="I288" s="13">
        <v>0</v>
      </c>
      <c r="K288" s="13">
        <v>0</v>
      </c>
      <c r="L288" s="13">
        <v>0</v>
      </c>
      <c r="N288" s="5">
        <f t="shared" si="4"/>
        <v>14.098901098901099</v>
      </c>
      <c r="O288" s="13">
        <v>0</v>
      </c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</row>
    <row r="289" spans="2:88" ht="15.75">
      <c r="B289" s="11">
        <v>285</v>
      </c>
      <c r="C289" s="12">
        <v>45942</v>
      </c>
      <c r="D289" s="13">
        <v>22</v>
      </c>
      <c r="E289" s="14"/>
      <c r="F289" s="13">
        <v>0</v>
      </c>
      <c r="G289" s="5">
        <v>0</v>
      </c>
      <c r="H289" s="5">
        <v>0</v>
      </c>
      <c r="I289" s="13">
        <v>0</v>
      </c>
      <c r="K289" s="13">
        <v>0</v>
      </c>
      <c r="L289" s="13">
        <v>0</v>
      </c>
      <c r="N289" s="5">
        <f t="shared" si="4"/>
        <v>14.098901098901099</v>
      </c>
      <c r="O289" s="13">
        <v>0</v>
      </c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</row>
    <row r="290" spans="2:88" ht="15.75">
      <c r="B290" s="11">
        <v>286</v>
      </c>
      <c r="C290" s="12">
        <v>45943</v>
      </c>
      <c r="D290" s="13">
        <v>12</v>
      </c>
      <c r="E290" s="14"/>
      <c r="F290" s="13">
        <v>0</v>
      </c>
      <c r="G290" s="5">
        <v>0</v>
      </c>
      <c r="H290" s="5">
        <v>0</v>
      </c>
      <c r="I290" s="13">
        <v>0</v>
      </c>
      <c r="K290" s="13">
        <v>0</v>
      </c>
      <c r="L290" s="13">
        <v>0</v>
      </c>
      <c r="N290" s="5">
        <f t="shared" si="4"/>
        <v>14.098901098901099</v>
      </c>
      <c r="O290" s="13">
        <v>0</v>
      </c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</row>
    <row r="291" spans="2:88" ht="15.75">
      <c r="B291" s="11">
        <v>287</v>
      </c>
      <c r="C291" s="12">
        <v>45944</v>
      </c>
      <c r="D291" s="13">
        <v>33</v>
      </c>
      <c r="E291" s="14"/>
      <c r="F291" s="13">
        <v>0</v>
      </c>
      <c r="G291" s="5">
        <v>0</v>
      </c>
      <c r="H291" s="5">
        <v>0</v>
      </c>
      <c r="I291" s="13">
        <v>0</v>
      </c>
      <c r="K291" s="13">
        <v>0</v>
      </c>
      <c r="L291" s="13">
        <v>0</v>
      </c>
      <c r="N291" s="5">
        <f t="shared" si="4"/>
        <v>14.098901098901099</v>
      </c>
      <c r="O291" s="13">
        <v>0</v>
      </c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</row>
    <row r="292" spans="2:88" ht="15.75">
      <c r="B292" s="11">
        <v>288</v>
      </c>
      <c r="C292" s="12">
        <v>45945</v>
      </c>
      <c r="D292" s="13">
        <v>33</v>
      </c>
      <c r="E292" s="14"/>
      <c r="F292" s="13">
        <v>0</v>
      </c>
      <c r="G292" s="5">
        <v>0</v>
      </c>
      <c r="H292" s="5">
        <v>0</v>
      </c>
      <c r="I292" s="13">
        <v>0</v>
      </c>
      <c r="K292" s="13">
        <v>0</v>
      </c>
      <c r="L292" s="13">
        <v>0</v>
      </c>
      <c r="N292" s="5">
        <f t="shared" si="4"/>
        <v>14.098901098901099</v>
      </c>
      <c r="O292" s="13">
        <v>0</v>
      </c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</row>
    <row r="293" spans="2:88" ht="15.75">
      <c r="B293" s="11">
        <v>289</v>
      </c>
      <c r="C293" s="12">
        <v>45946</v>
      </c>
      <c r="D293" s="13">
        <v>44</v>
      </c>
      <c r="E293" s="14"/>
      <c r="F293" s="13">
        <v>0</v>
      </c>
      <c r="G293" s="5">
        <v>0</v>
      </c>
      <c r="H293" s="5">
        <v>0</v>
      </c>
      <c r="I293" s="13">
        <v>0</v>
      </c>
      <c r="K293" s="13">
        <v>0</v>
      </c>
      <c r="L293" s="13">
        <v>0</v>
      </c>
      <c r="N293" s="5">
        <f t="shared" si="4"/>
        <v>14.098901098901099</v>
      </c>
      <c r="O293" s="13">
        <v>0</v>
      </c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</row>
    <row r="294" spans="2:88" ht="15.75">
      <c r="B294" s="11">
        <v>290</v>
      </c>
      <c r="C294" s="12">
        <v>45947</v>
      </c>
      <c r="D294" s="13">
        <v>27</v>
      </c>
      <c r="E294" s="14"/>
      <c r="F294" s="13">
        <v>0</v>
      </c>
      <c r="G294" s="5">
        <v>0</v>
      </c>
      <c r="H294" s="5">
        <v>0</v>
      </c>
      <c r="I294" s="13">
        <v>0</v>
      </c>
      <c r="K294" s="13">
        <v>0</v>
      </c>
      <c r="L294" s="13">
        <v>0</v>
      </c>
      <c r="N294" s="5">
        <f t="shared" si="4"/>
        <v>14.098901098901099</v>
      </c>
      <c r="O294" s="13">
        <v>0</v>
      </c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</row>
    <row r="295" spans="2:88" ht="15.75">
      <c r="B295" s="11">
        <v>291</v>
      </c>
      <c r="C295" s="12">
        <v>45948</v>
      </c>
      <c r="D295" s="13">
        <v>58</v>
      </c>
      <c r="E295" s="14"/>
      <c r="F295" s="13">
        <v>0</v>
      </c>
      <c r="G295" s="5">
        <v>0</v>
      </c>
      <c r="H295" s="5">
        <v>0</v>
      </c>
      <c r="I295" s="13">
        <v>0</v>
      </c>
      <c r="K295" s="13">
        <v>0</v>
      </c>
      <c r="L295" s="13">
        <v>0</v>
      </c>
      <c r="N295" s="5">
        <f t="shared" si="4"/>
        <v>14.098901098901099</v>
      </c>
      <c r="O295" s="13">
        <v>0</v>
      </c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</row>
    <row r="296" spans="2:88" ht="15.75">
      <c r="B296" s="11">
        <v>292</v>
      </c>
      <c r="C296" s="12">
        <v>45949</v>
      </c>
      <c r="D296" s="13">
        <v>20</v>
      </c>
      <c r="E296" s="14"/>
      <c r="F296" s="13">
        <v>0</v>
      </c>
      <c r="G296" s="5">
        <v>0</v>
      </c>
      <c r="H296" s="5">
        <v>0</v>
      </c>
      <c r="I296" s="13">
        <v>0</v>
      </c>
      <c r="K296" s="13">
        <v>0</v>
      </c>
      <c r="L296" s="13">
        <v>0</v>
      </c>
      <c r="N296" s="5">
        <f t="shared" si="4"/>
        <v>14.098901098901099</v>
      </c>
      <c r="O296" s="13">
        <v>0</v>
      </c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</row>
    <row r="297" spans="2:88" ht="15.75">
      <c r="B297" s="11">
        <v>293</v>
      </c>
      <c r="C297" s="12">
        <v>45950</v>
      </c>
      <c r="D297" s="13">
        <v>29</v>
      </c>
      <c r="E297" s="14"/>
      <c r="F297" s="13">
        <v>0</v>
      </c>
      <c r="G297" s="5">
        <v>0</v>
      </c>
      <c r="H297" s="5">
        <v>0</v>
      </c>
      <c r="I297" s="13">
        <v>0</v>
      </c>
      <c r="K297" s="13">
        <v>0</v>
      </c>
      <c r="L297" s="13">
        <v>0</v>
      </c>
      <c r="N297" s="5">
        <f t="shared" si="4"/>
        <v>14.098901098901099</v>
      </c>
      <c r="O297" s="13">
        <v>0</v>
      </c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</row>
    <row r="298" spans="2:88" ht="15.75">
      <c r="B298" s="11">
        <v>294</v>
      </c>
      <c r="C298" s="12">
        <v>45951</v>
      </c>
      <c r="D298" s="13">
        <v>18</v>
      </c>
      <c r="E298" s="14"/>
      <c r="F298" s="13">
        <v>0</v>
      </c>
      <c r="G298" s="5">
        <v>0</v>
      </c>
      <c r="H298" s="5">
        <v>0</v>
      </c>
      <c r="I298" s="13">
        <v>0</v>
      </c>
      <c r="K298" s="13">
        <v>0</v>
      </c>
      <c r="L298" s="13">
        <v>0</v>
      </c>
      <c r="N298" s="5">
        <f t="shared" si="4"/>
        <v>14.098901098901099</v>
      </c>
      <c r="O298" s="13">
        <v>0</v>
      </c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</row>
    <row r="299" spans="2:88" ht="15.75">
      <c r="B299" s="11">
        <v>295</v>
      </c>
      <c r="C299" s="12">
        <v>45952</v>
      </c>
      <c r="D299" s="13">
        <v>62</v>
      </c>
      <c r="E299" s="14"/>
      <c r="F299" s="13">
        <v>0</v>
      </c>
      <c r="G299" s="5">
        <v>0</v>
      </c>
      <c r="H299" s="5">
        <v>0</v>
      </c>
      <c r="I299" s="13">
        <v>0</v>
      </c>
      <c r="K299" s="13">
        <v>0</v>
      </c>
      <c r="L299" s="13">
        <v>0</v>
      </c>
      <c r="N299" s="5">
        <f t="shared" si="4"/>
        <v>14.098901098901099</v>
      </c>
      <c r="O299" s="13">
        <v>0</v>
      </c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</row>
    <row r="300" spans="2:88" ht="15.75">
      <c r="B300" s="11">
        <v>296</v>
      </c>
      <c r="C300" s="12">
        <v>45953</v>
      </c>
      <c r="D300" s="13">
        <v>10</v>
      </c>
      <c r="E300" s="14"/>
      <c r="F300" s="13">
        <v>0</v>
      </c>
      <c r="G300" s="5">
        <v>0</v>
      </c>
      <c r="H300" s="5">
        <v>0</v>
      </c>
      <c r="I300" s="13">
        <v>0</v>
      </c>
      <c r="K300" s="13">
        <v>0</v>
      </c>
      <c r="L300" s="13">
        <v>0</v>
      </c>
      <c r="N300" s="5">
        <f t="shared" si="4"/>
        <v>14.098901098901099</v>
      </c>
      <c r="O300" s="13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</row>
    <row r="301" spans="2:88" ht="15.75">
      <c r="B301" s="11">
        <v>297</v>
      </c>
      <c r="C301" s="12">
        <v>45954</v>
      </c>
      <c r="D301" s="13">
        <v>4</v>
      </c>
      <c r="E301" s="14"/>
      <c r="F301" s="13">
        <v>0</v>
      </c>
      <c r="G301" s="5">
        <v>0</v>
      </c>
      <c r="H301" s="5">
        <v>0</v>
      </c>
      <c r="I301" s="13">
        <v>0</v>
      </c>
      <c r="K301" s="13">
        <v>0</v>
      </c>
      <c r="L301" s="13">
        <v>0</v>
      </c>
      <c r="N301" s="5">
        <f t="shared" si="4"/>
        <v>14.098901098901099</v>
      </c>
      <c r="O301" s="13">
        <v>0</v>
      </c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</row>
    <row r="302" spans="2:88" ht="15.75">
      <c r="B302" s="11">
        <v>298</v>
      </c>
      <c r="C302" s="12">
        <v>45955</v>
      </c>
      <c r="D302" s="13">
        <v>23</v>
      </c>
      <c r="E302" s="14"/>
      <c r="F302" s="13">
        <v>0</v>
      </c>
      <c r="G302" s="5">
        <v>0</v>
      </c>
      <c r="H302" s="5">
        <v>0</v>
      </c>
      <c r="I302" s="13">
        <v>0</v>
      </c>
      <c r="K302" s="13">
        <v>0</v>
      </c>
      <c r="L302" s="13">
        <v>0</v>
      </c>
      <c r="N302" s="5">
        <f t="shared" si="4"/>
        <v>14.098901098901099</v>
      </c>
      <c r="O302" s="13">
        <v>0</v>
      </c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</row>
    <row r="303" spans="2:88" ht="15.75">
      <c r="B303" s="11">
        <v>299</v>
      </c>
      <c r="C303" s="12">
        <v>45956</v>
      </c>
      <c r="D303" s="13">
        <v>14</v>
      </c>
      <c r="E303" s="14"/>
      <c r="F303" s="13">
        <v>0</v>
      </c>
      <c r="G303" s="5">
        <v>0</v>
      </c>
      <c r="H303" s="5">
        <v>0</v>
      </c>
      <c r="I303" s="13">
        <v>0</v>
      </c>
      <c r="K303" s="13">
        <v>0</v>
      </c>
      <c r="L303" s="13">
        <v>0</v>
      </c>
      <c r="N303" s="5">
        <f t="shared" si="4"/>
        <v>14.098901098901099</v>
      </c>
      <c r="O303" s="13">
        <v>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</row>
    <row r="304" spans="2:88" ht="15.75">
      <c r="B304" s="11">
        <v>300</v>
      </c>
      <c r="C304" s="12">
        <v>45957</v>
      </c>
      <c r="D304" s="13">
        <v>34</v>
      </c>
      <c r="E304" s="14"/>
      <c r="F304" s="13">
        <v>0</v>
      </c>
      <c r="G304" s="5">
        <v>0</v>
      </c>
      <c r="H304" s="5">
        <v>0</v>
      </c>
      <c r="I304" s="13">
        <v>0</v>
      </c>
      <c r="K304" s="13">
        <v>0</v>
      </c>
      <c r="L304" s="13">
        <v>0</v>
      </c>
      <c r="N304" s="5">
        <f t="shared" si="4"/>
        <v>14.098901098901099</v>
      </c>
      <c r="O304" s="13">
        <v>0</v>
      </c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</row>
    <row r="305" spans="2:88" ht="15.75">
      <c r="B305" s="11">
        <v>301</v>
      </c>
      <c r="C305" s="12">
        <v>45958</v>
      </c>
      <c r="D305" s="13">
        <v>10</v>
      </c>
      <c r="E305" s="14"/>
      <c r="F305" s="13">
        <v>0</v>
      </c>
      <c r="G305" s="5">
        <v>0</v>
      </c>
      <c r="H305" s="5">
        <v>0</v>
      </c>
      <c r="I305" s="13">
        <v>0</v>
      </c>
      <c r="K305" s="13">
        <v>0</v>
      </c>
      <c r="L305" s="13">
        <v>0</v>
      </c>
      <c r="N305" s="5">
        <f t="shared" si="4"/>
        <v>14.098901098901099</v>
      </c>
      <c r="O305" s="13">
        <v>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</row>
    <row r="306" spans="2:88" ht="15.75">
      <c r="B306" s="11">
        <v>302</v>
      </c>
      <c r="C306" s="12">
        <v>45959</v>
      </c>
      <c r="D306" s="13">
        <v>10</v>
      </c>
      <c r="E306" s="14"/>
      <c r="F306" s="13">
        <v>0</v>
      </c>
      <c r="G306" s="5">
        <v>0</v>
      </c>
      <c r="H306" s="5">
        <v>0</v>
      </c>
      <c r="I306" s="13">
        <v>0</v>
      </c>
      <c r="K306" s="13">
        <v>0</v>
      </c>
      <c r="L306" s="13">
        <v>0</v>
      </c>
      <c r="N306" s="5">
        <f t="shared" si="4"/>
        <v>14.098901098901099</v>
      </c>
      <c r="O306" s="13">
        <v>0</v>
      </c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</row>
    <row r="307" spans="2:88" ht="15.75">
      <c r="B307" s="11">
        <v>303</v>
      </c>
      <c r="C307" s="12">
        <v>45960</v>
      </c>
      <c r="D307" s="13">
        <v>14</v>
      </c>
      <c r="E307" s="14"/>
      <c r="F307" s="13">
        <v>0</v>
      </c>
      <c r="G307" s="5">
        <v>0</v>
      </c>
      <c r="H307" s="5">
        <v>0</v>
      </c>
      <c r="I307" s="13">
        <v>0</v>
      </c>
      <c r="K307" s="13">
        <v>0</v>
      </c>
      <c r="L307" s="13">
        <v>0</v>
      </c>
      <c r="N307" s="5">
        <f t="shared" si="4"/>
        <v>14.098901098901099</v>
      </c>
      <c r="O307" s="13">
        <v>0</v>
      </c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</row>
    <row r="308" spans="2:88" ht="15.75">
      <c r="B308" s="11">
        <v>304</v>
      </c>
      <c r="C308" s="12">
        <v>45961</v>
      </c>
      <c r="D308" s="13">
        <v>16</v>
      </c>
      <c r="E308" s="14"/>
      <c r="F308" s="13">
        <v>0</v>
      </c>
      <c r="G308" s="5">
        <v>0</v>
      </c>
      <c r="H308" s="5">
        <v>0</v>
      </c>
      <c r="I308" s="13">
        <v>0</v>
      </c>
      <c r="K308" s="13">
        <v>0</v>
      </c>
      <c r="L308" s="13">
        <v>0</v>
      </c>
      <c r="N308" s="5">
        <f t="shared" si="4"/>
        <v>14.098901098901099</v>
      </c>
      <c r="O308" s="13">
        <v>0</v>
      </c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</row>
    <row r="309" spans="2:88" ht="15.75">
      <c r="B309" s="11">
        <v>305</v>
      </c>
      <c r="C309" s="12">
        <v>45962</v>
      </c>
      <c r="D309" s="13">
        <v>10</v>
      </c>
      <c r="E309" s="14"/>
      <c r="F309" s="13">
        <v>0</v>
      </c>
      <c r="G309" s="5">
        <v>0</v>
      </c>
      <c r="H309" s="5">
        <v>0</v>
      </c>
      <c r="I309" s="13">
        <v>0</v>
      </c>
      <c r="K309" s="13">
        <v>0</v>
      </c>
      <c r="L309" s="13">
        <v>0</v>
      </c>
      <c r="N309" s="5">
        <f t="shared" si="4"/>
        <v>14.098901098901099</v>
      </c>
      <c r="O309" s="13">
        <v>0</v>
      </c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</row>
    <row r="310" spans="2:88" ht="15.75">
      <c r="B310" s="11">
        <v>306</v>
      </c>
      <c r="C310" s="12">
        <v>45963</v>
      </c>
      <c r="D310" s="13">
        <v>18</v>
      </c>
      <c r="E310" s="14"/>
      <c r="F310" s="13">
        <v>0</v>
      </c>
      <c r="G310" s="5">
        <v>0</v>
      </c>
      <c r="H310" s="5">
        <v>0</v>
      </c>
      <c r="I310" s="13">
        <v>0</v>
      </c>
      <c r="K310" s="13">
        <v>0</v>
      </c>
      <c r="L310" s="13">
        <v>0</v>
      </c>
      <c r="N310" s="5">
        <f t="shared" si="4"/>
        <v>14.098901098901099</v>
      </c>
      <c r="O310" s="13">
        <v>0</v>
      </c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</row>
    <row r="311" spans="2:88" ht="15.75">
      <c r="B311" s="11">
        <v>307</v>
      </c>
      <c r="C311" s="12">
        <v>45964</v>
      </c>
      <c r="D311" s="13">
        <v>12</v>
      </c>
      <c r="E311" s="14"/>
      <c r="F311" s="13">
        <v>0</v>
      </c>
      <c r="G311" s="5">
        <v>0</v>
      </c>
      <c r="H311" s="5">
        <v>0</v>
      </c>
      <c r="I311" s="13">
        <v>0</v>
      </c>
      <c r="K311" s="13">
        <v>0</v>
      </c>
      <c r="L311" s="13">
        <v>0</v>
      </c>
      <c r="N311" s="5">
        <f t="shared" si="4"/>
        <v>14.098901098901099</v>
      </c>
      <c r="O311" s="13">
        <v>0</v>
      </c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</row>
    <row r="312" spans="2:88" ht="15.75">
      <c r="B312" s="11">
        <v>308</v>
      </c>
      <c r="C312" s="12">
        <v>45965</v>
      </c>
      <c r="D312" s="13">
        <v>36</v>
      </c>
      <c r="E312" s="14"/>
      <c r="F312" s="13">
        <v>0</v>
      </c>
      <c r="G312" s="5">
        <v>0</v>
      </c>
      <c r="H312" s="5">
        <v>0</v>
      </c>
      <c r="I312" s="13">
        <v>0</v>
      </c>
      <c r="K312" s="13">
        <v>0</v>
      </c>
      <c r="L312" s="13">
        <v>0</v>
      </c>
      <c r="N312" s="5">
        <f t="shared" si="4"/>
        <v>14.098901098901099</v>
      </c>
      <c r="O312" s="13">
        <v>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</row>
    <row r="313" spans="2:88" ht="15.75">
      <c r="B313" s="11">
        <v>309</v>
      </c>
      <c r="C313" s="12">
        <v>45966</v>
      </c>
      <c r="D313" s="13">
        <v>20</v>
      </c>
      <c r="E313" s="14"/>
      <c r="F313" s="13">
        <v>0</v>
      </c>
      <c r="G313" s="5">
        <v>0</v>
      </c>
      <c r="H313" s="5">
        <v>0</v>
      </c>
      <c r="I313" s="13">
        <v>0</v>
      </c>
      <c r="K313" s="13">
        <v>0</v>
      </c>
      <c r="L313" s="13">
        <v>0</v>
      </c>
      <c r="N313" s="5">
        <f t="shared" si="4"/>
        <v>14.098901098901099</v>
      </c>
      <c r="O313" s="13">
        <v>0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</row>
    <row r="314" spans="2:88" ht="15.75">
      <c r="B314" s="11">
        <v>310</v>
      </c>
      <c r="C314" s="12">
        <v>45967</v>
      </c>
      <c r="D314" s="13">
        <v>3</v>
      </c>
      <c r="E314" s="14"/>
      <c r="F314" s="13">
        <v>0</v>
      </c>
      <c r="G314" s="5">
        <v>0</v>
      </c>
      <c r="H314" s="5">
        <v>0</v>
      </c>
      <c r="I314" s="13">
        <v>0</v>
      </c>
      <c r="K314" s="13">
        <v>0</v>
      </c>
      <c r="L314" s="13">
        <v>0</v>
      </c>
      <c r="N314" s="5">
        <f t="shared" si="4"/>
        <v>14.098901098901099</v>
      </c>
      <c r="O314" s="13">
        <v>0</v>
      </c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</row>
    <row r="315" spans="2:88" ht="15.75">
      <c r="B315" s="11">
        <v>311</v>
      </c>
      <c r="C315" s="12">
        <v>45968</v>
      </c>
      <c r="D315" s="13">
        <v>12</v>
      </c>
      <c r="E315" s="14"/>
      <c r="F315" s="13">
        <v>0</v>
      </c>
      <c r="G315" s="5">
        <v>0</v>
      </c>
      <c r="H315" s="5">
        <v>0</v>
      </c>
      <c r="I315" s="13">
        <v>0</v>
      </c>
      <c r="K315" s="13">
        <v>0</v>
      </c>
      <c r="L315" s="13">
        <v>0</v>
      </c>
      <c r="N315" s="5">
        <f t="shared" si="4"/>
        <v>14.098901098901099</v>
      </c>
      <c r="O315" s="13">
        <v>0</v>
      </c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</row>
    <row r="316" spans="2:88" ht="15.75">
      <c r="B316" s="11">
        <v>312</v>
      </c>
      <c r="C316" s="12">
        <v>45969</v>
      </c>
      <c r="D316" s="13">
        <v>18</v>
      </c>
      <c r="E316" s="14"/>
      <c r="F316" s="13">
        <v>0</v>
      </c>
      <c r="G316" s="5">
        <v>0</v>
      </c>
      <c r="H316" s="5">
        <v>0</v>
      </c>
      <c r="I316" s="13">
        <v>0</v>
      </c>
      <c r="K316" s="13">
        <v>0</v>
      </c>
      <c r="L316" s="13">
        <v>0</v>
      </c>
      <c r="N316" s="5">
        <f t="shared" si="4"/>
        <v>14.098901098901099</v>
      </c>
      <c r="O316" s="13">
        <v>0</v>
      </c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</row>
    <row r="317" spans="2:88" ht="15.75">
      <c r="B317" s="11">
        <v>313</v>
      </c>
      <c r="C317" s="12">
        <v>45970</v>
      </c>
      <c r="D317" s="13">
        <v>9</v>
      </c>
      <c r="E317" s="14"/>
      <c r="F317" s="13">
        <v>0</v>
      </c>
      <c r="G317" s="5">
        <v>0</v>
      </c>
      <c r="H317" s="5">
        <v>0</v>
      </c>
      <c r="I317" s="13">
        <v>0</v>
      </c>
      <c r="K317" s="13">
        <v>0</v>
      </c>
      <c r="L317" s="13">
        <v>0</v>
      </c>
      <c r="N317" s="5">
        <f t="shared" si="4"/>
        <v>14.098901098901099</v>
      </c>
      <c r="O317" s="13">
        <v>0</v>
      </c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</row>
    <row r="318" spans="2:88" ht="15.75">
      <c r="B318" s="11">
        <v>314</v>
      </c>
      <c r="C318" s="12">
        <v>45971</v>
      </c>
      <c r="D318" s="13">
        <v>6</v>
      </c>
      <c r="E318" s="14"/>
      <c r="F318" s="13">
        <v>0</v>
      </c>
      <c r="G318" s="5">
        <v>0</v>
      </c>
      <c r="H318" s="5">
        <v>0</v>
      </c>
      <c r="I318" s="13">
        <v>0</v>
      </c>
      <c r="K318" s="13">
        <v>0</v>
      </c>
      <c r="L318" s="13">
        <v>0</v>
      </c>
      <c r="N318" s="5">
        <f t="shared" si="4"/>
        <v>14.098901098901099</v>
      </c>
      <c r="O318" s="13">
        <v>0</v>
      </c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</row>
    <row r="319" spans="2:88" ht="15.75">
      <c r="B319" s="11">
        <v>315</v>
      </c>
      <c r="C319" s="12">
        <v>45972</v>
      </c>
      <c r="D319" s="13">
        <v>26</v>
      </c>
      <c r="E319" s="14"/>
      <c r="F319" s="13">
        <v>0</v>
      </c>
      <c r="G319" s="5">
        <v>0</v>
      </c>
      <c r="H319" s="5">
        <v>0</v>
      </c>
      <c r="I319" s="13">
        <v>0</v>
      </c>
      <c r="K319" s="13">
        <v>0</v>
      </c>
      <c r="L319" s="13">
        <v>0</v>
      </c>
      <c r="N319" s="5">
        <f t="shared" si="4"/>
        <v>14.098901098901099</v>
      </c>
      <c r="O319" s="13">
        <v>0</v>
      </c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</row>
    <row r="320" spans="2:88" ht="15.75">
      <c r="B320" s="11">
        <v>316</v>
      </c>
      <c r="C320" s="12">
        <v>45973</v>
      </c>
      <c r="D320" s="13">
        <v>13</v>
      </c>
      <c r="E320" s="14"/>
      <c r="F320" s="13">
        <v>0</v>
      </c>
      <c r="G320" s="5">
        <v>0</v>
      </c>
      <c r="H320" s="5">
        <v>0</v>
      </c>
      <c r="I320" s="13">
        <v>0</v>
      </c>
      <c r="K320" s="13">
        <v>0</v>
      </c>
      <c r="L320" s="13">
        <v>0</v>
      </c>
      <c r="N320" s="5">
        <f t="shared" si="4"/>
        <v>14.098901098901099</v>
      </c>
      <c r="O320" s="13">
        <v>0</v>
      </c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</row>
    <row r="321" spans="2:88" ht="15.75">
      <c r="B321" s="11">
        <v>317</v>
      </c>
      <c r="C321" s="12">
        <v>45974</v>
      </c>
      <c r="D321" s="13">
        <v>16</v>
      </c>
      <c r="E321" s="14"/>
      <c r="F321" s="13">
        <v>0</v>
      </c>
      <c r="G321" s="5">
        <v>0</v>
      </c>
      <c r="H321" s="5">
        <v>0</v>
      </c>
      <c r="I321" s="13">
        <v>0</v>
      </c>
      <c r="K321" s="13">
        <v>0</v>
      </c>
      <c r="L321" s="13">
        <v>0</v>
      </c>
      <c r="N321" s="5">
        <f t="shared" si="4"/>
        <v>14.098901098901099</v>
      </c>
      <c r="O321" s="13">
        <v>0</v>
      </c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</row>
    <row r="322" spans="2:88" ht="15.75">
      <c r="B322" s="11">
        <v>318</v>
      </c>
      <c r="C322" s="12">
        <v>45975</v>
      </c>
      <c r="D322" s="13">
        <v>10</v>
      </c>
      <c r="E322" s="14"/>
      <c r="F322" s="13">
        <v>0</v>
      </c>
      <c r="G322" s="5">
        <v>0</v>
      </c>
      <c r="H322" s="5">
        <v>0</v>
      </c>
      <c r="I322" s="13">
        <v>0</v>
      </c>
      <c r="K322" s="13">
        <v>0</v>
      </c>
      <c r="L322" s="13">
        <v>0</v>
      </c>
      <c r="N322" s="5">
        <f t="shared" si="4"/>
        <v>14.098901098901099</v>
      </c>
      <c r="O322" s="13">
        <v>0</v>
      </c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</row>
    <row r="323" spans="2:88" ht="15.75">
      <c r="B323" s="11">
        <v>319</v>
      </c>
      <c r="C323" s="12">
        <v>45976</v>
      </c>
      <c r="D323" s="13">
        <v>7</v>
      </c>
      <c r="E323" s="14"/>
      <c r="F323" s="13">
        <v>0</v>
      </c>
      <c r="G323" s="5">
        <v>0</v>
      </c>
      <c r="H323" s="5">
        <v>0</v>
      </c>
      <c r="I323" s="13">
        <v>0</v>
      </c>
      <c r="K323" s="13">
        <v>0</v>
      </c>
      <c r="L323" s="13">
        <v>0</v>
      </c>
      <c r="N323" s="5">
        <f t="shared" si="4"/>
        <v>14.098901098901099</v>
      </c>
      <c r="O323" s="13">
        <v>0</v>
      </c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</row>
    <row r="324" spans="2:88" ht="15.75">
      <c r="B324" s="11">
        <v>320</v>
      </c>
      <c r="C324" s="12">
        <v>45977</v>
      </c>
      <c r="D324" s="13">
        <v>6</v>
      </c>
      <c r="E324" s="14"/>
      <c r="F324" s="13">
        <v>0</v>
      </c>
      <c r="G324" s="5">
        <v>0</v>
      </c>
      <c r="H324" s="5">
        <v>0</v>
      </c>
      <c r="I324" s="13">
        <v>0</v>
      </c>
      <c r="K324" s="13">
        <v>0</v>
      </c>
      <c r="L324" s="13">
        <v>0</v>
      </c>
      <c r="N324" s="5">
        <f t="shared" si="4"/>
        <v>14.098901098901099</v>
      </c>
      <c r="O324" s="13">
        <v>0</v>
      </c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</row>
    <row r="325" spans="2:88" ht="15.75">
      <c r="B325" s="11">
        <v>321</v>
      </c>
      <c r="C325" s="12">
        <v>45978</v>
      </c>
      <c r="D325" s="13">
        <v>20</v>
      </c>
      <c r="E325" s="14"/>
      <c r="F325" s="13">
        <v>0</v>
      </c>
      <c r="G325" s="5">
        <v>0</v>
      </c>
      <c r="H325" s="5">
        <v>0</v>
      </c>
      <c r="I325" s="13">
        <v>0</v>
      </c>
      <c r="K325" s="13">
        <v>0</v>
      </c>
      <c r="L325" s="13">
        <v>0</v>
      </c>
      <c r="N325" s="5">
        <f t="shared" ref="N325:N388" si="5">AVERAGE($O$644:$O$734)</f>
        <v>14.098901098901099</v>
      </c>
      <c r="O325" s="13">
        <v>0</v>
      </c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</row>
    <row r="326" spans="2:88" ht="15.75">
      <c r="B326" s="11">
        <v>322</v>
      </c>
      <c r="C326" s="12">
        <v>45979</v>
      </c>
      <c r="D326" s="13">
        <v>13</v>
      </c>
      <c r="E326" s="14"/>
      <c r="F326" s="13">
        <v>0</v>
      </c>
      <c r="G326" s="5">
        <v>0</v>
      </c>
      <c r="H326" s="5">
        <v>0</v>
      </c>
      <c r="I326" s="13">
        <v>0</v>
      </c>
      <c r="K326" s="13">
        <v>0</v>
      </c>
      <c r="L326" s="13">
        <v>0</v>
      </c>
      <c r="N326" s="5">
        <f t="shared" si="5"/>
        <v>14.098901098901099</v>
      </c>
      <c r="O326" s="13">
        <v>0</v>
      </c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</row>
    <row r="327" spans="2:88" ht="15.75">
      <c r="B327" s="11">
        <v>323</v>
      </c>
      <c r="C327" s="12">
        <v>45980</v>
      </c>
      <c r="D327" s="13">
        <v>6</v>
      </c>
      <c r="E327" s="14"/>
      <c r="F327" s="13">
        <v>0</v>
      </c>
      <c r="G327" s="5">
        <v>0</v>
      </c>
      <c r="H327" s="5">
        <v>0</v>
      </c>
      <c r="I327" s="13">
        <v>0</v>
      </c>
      <c r="K327" s="13">
        <v>0</v>
      </c>
      <c r="L327" s="13">
        <v>0</v>
      </c>
      <c r="N327" s="5">
        <f t="shared" si="5"/>
        <v>14.098901098901099</v>
      </c>
      <c r="O327" s="13">
        <v>0</v>
      </c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</row>
    <row r="328" spans="2:88" ht="15.75">
      <c r="B328" s="11">
        <v>324</v>
      </c>
      <c r="C328" s="12">
        <v>45981</v>
      </c>
      <c r="D328" s="13">
        <v>38</v>
      </c>
      <c r="E328" s="14"/>
      <c r="F328" s="13">
        <v>0</v>
      </c>
      <c r="G328" s="5">
        <v>0</v>
      </c>
      <c r="H328" s="5">
        <v>0</v>
      </c>
      <c r="I328" s="13">
        <v>0</v>
      </c>
      <c r="K328" s="13">
        <v>0</v>
      </c>
      <c r="L328" s="13">
        <v>0</v>
      </c>
      <c r="N328" s="5">
        <f t="shared" si="5"/>
        <v>14.098901098901099</v>
      </c>
      <c r="O328" s="13">
        <v>0</v>
      </c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</row>
    <row r="329" spans="2:88" ht="15.75">
      <c r="B329" s="11">
        <v>325</v>
      </c>
      <c r="C329" s="12">
        <v>45982</v>
      </c>
      <c r="D329" s="13">
        <v>18</v>
      </c>
      <c r="E329" s="14"/>
      <c r="F329" s="13">
        <v>0</v>
      </c>
      <c r="G329" s="5">
        <v>0</v>
      </c>
      <c r="H329" s="5">
        <v>0</v>
      </c>
      <c r="I329" s="13">
        <v>0</v>
      </c>
      <c r="K329" s="13">
        <v>0</v>
      </c>
      <c r="L329" s="13">
        <v>0</v>
      </c>
      <c r="N329" s="5">
        <f t="shared" si="5"/>
        <v>14.098901098901099</v>
      </c>
      <c r="O329" s="13">
        <v>0</v>
      </c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</row>
    <row r="330" spans="2:88" ht="15.75">
      <c r="B330" s="11">
        <v>326</v>
      </c>
      <c r="C330" s="12">
        <v>45983</v>
      </c>
      <c r="D330" s="13">
        <v>7</v>
      </c>
      <c r="E330" s="14"/>
      <c r="F330" s="13">
        <v>0</v>
      </c>
      <c r="G330" s="5">
        <v>0</v>
      </c>
      <c r="H330" s="5">
        <v>0</v>
      </c>
      <c r="I330" s="13">
        <v>0</v>
      </c>
      <c r="K330" s="13">
        <v>0</v>
      </c>
      <c r="L330" s="13">
        <v>0</v>
      </c>
      <c r="N330" s="5">
        <f t="shared" si="5"/>
        <v>14.098901098901099</v>
      </c>
      <c r="O330" s="13">
        <v>0</v>
      </c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</row>
    <row r="331" spans="2:88" ht="15.75">
      <c r="B331" s="11">
        <v>327</v>
      </c>
      <c r="C331" s="12">
        <v>45984</v>
      </c>
      <c r="D331" s="13">
        <v>6</v>
      </c>
      <c r="E331" s="14"/>
      <c r="F331" s="13">
        <v>0</v>
      </c>
      <c r="G331" s="5">
        <v>0</v>
      </c>
      <c r="H331" s="5">
        <v>0</v>
      </c>
      <c r="I331" s="13">
        <v>0</v>
      </c>
      <c r="K331" s="13">
        <v>0</v>
      </c>
      <c r="L331" s="13">
        <v>0</v>
      </c>
      <c r="N331" s="5">
        <f t="shared" si="5"/>
        <v>14.098901098901099</v>
      </c>
      <c r="O331" s="13">
        <v>0</v>
      </c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</row>
    <row r="332" spans="2:88" ht="15.75">
      <c r="B332" s="11">
        <v>328</v>
      </c>
      <c r="C332" s="12">
        <v>45985</v>
      </c>
      <c r="D332" s="13">
        <v>5</v>
      </c>
      <c r="E332" s="14"/>
      <c r="F332" s="13">
        <v>0</v>
      </c>
      <c r="G332" s="5">
        <v>0</v>
      </c>
      <c r="H332" s="5">
        <v>0</v>
      </c>
      <c r="I332" s="13">
        <v>0</v>
      </c>
      <c r="K332" s="13">
        <v>0</v>
      </c>
      <c r="L332" s="13">
        <v>0</v>
      </c>
      <c r="N332" s="5">
        <f t="shared" si="5"/>
        <v>14.098901098901099</v>
      </c>
      <c r="O332" s="13">
        <v>0</v>
      </c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</row>
    <row r="333" spans="2:88" ht="15.75">
      <c r="B333" s="11">
        <v>329</v>
      </c>
      <c r="C333" s="12">
        <v>45986</v>
      </c>
      <c r="D333" s="13">
        <v>13</v>
      </c>
      <c r="E333" s="14"/>
      <c r="F333" s="13">
        <v>0</v>
      </c>
      <c r="G333" s="5">
        <v>0</v>
      </c>
      <c r="H333" s="5">
        <v>0</v>
      </c>
      <c r="I333" s="13">
        <v>0</v>
      </c>
      <c r="K333" s="13">
        <v>0</v>
      </c>
      <c r="L333" s="13">
        <v>0</v>
      </c>
      <c r="N333" s="5">
        <f t="shared" si="5"/>
        <v>14.098901098901099</v>
      </c>
      <c r="O333" s="13">
        <v>0</v>
      </c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</row>
    <row r="334" spans="2:88" ht="15.75">
      <c r="B334" s="11">
        <v>330</v>
      </c>
      <c r="C334" s="12">
        <v>45987</v>
      </c>
      <c r="D334" s="13">
        <v>19</v>
      </c>
      <c r="E334" s="14"/>
      <c r="F334" s="13">
        <v>0</v>
      </c>
      <c r="G334" s="5">
        <v>0</v>
      </c>
      <c r="H334" s="5">
        <v>0</v>
      </c>
      <c r="I334" s="13">
        <v>0</v>
      </c>
      <c r="K334" s="13">
        <v>0</v>
      </c>
      <c r="L334" s="13">
        <v>0</v>
      </c>
      <c r="N334" s="5">
        <f t="shared" si="5"/>
        <v>14.098901098901099</v>
      </c>
      <c r="O334" s="13">
        <v>0</v>
      </c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</row>
    <row r="335" spans="2:88" ht="15.75">
      <c r="B335" s="11">
        <v>331</v>
      </c>
      <c r="C335" s="12">
        <v>45988</v>
      </c>
      <c r="D335" s="13">
        <v>24</v>
      </c>
      <c r="E335" s="14"/>
      <c r="F335" s="13">
        <v>0</v>
      </c>
      <c r="G335" s="5">
        <v>0</v>
      </c>
      <c r="H335" s="5">
        <v>0</v>
      </c>
      <c r="I335" s="13">
        <v>0</v>
      </c>
      <c r="K335" s="13">
        <v>0</v>
      </c>
      <c r="L335" s="13">
        <v>0</v>
      </c>
      <c r="N335" s="5">
        <f t="shared" si="5"/>
        <v>14.098901098901099</v>
      </c>
      <c r="O335" s="13">
        <v>0</v>
      </c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</row>
    <row r="336" spans="2:88" ht="15.75">
      <c r="B336" s="11">
        <v>332</v>
      </c>
      <c r="C336" s="12">
        <v>45989</v>
      </c>
      <c r="D336" s="13">
        <v>6</v>
      </c>
      <c r="E336" s="14"/>
      <c r="F336" s="13">
        <v>0</v>
      </c>
      <c r="G336" s="5">
        <v>0</v>
      </c>
      <c r="H336" s="5">
        <v>0</v>
      </c>
      <c r="I336" s="13">
        <v>0</v>
      </c>
      <c r="K336" s="13">
        <v>0</v>
      </c>
      <c r="L336" s="13">
        <v>0</v>
      </c>
      <c r="N336" s="5">
        <f t="shared" si="5"/>
        <v>14.098901098901099</v>
      </c>
      <c r="O336" s="13">
        <v>0</v>
      </c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</row>
    <row r="337" spans="2:88" ht="15.75">
      <c r="B337" s="11">
        <v>333</v>
      </c>
      <c r="C337" s="12">
        <v>45990</v>
      </c>
      <c r="D337" s="13">
        <v>18</v>
      </c>
      <c r="E337" s="14"/>
      <c r="F337" s="13">
        <v>0</v>
      </c>
      <c r="G337" s="5">
        <v>0</v>
      </c>
      <c r="H337" s="5">
        <v>0</v>
      </c>
      <c r="I337" s="13">
        <v>0</v>
      </c>
      <c r="K337" s="13">
        <v>0</v>
      </c>
      <c r="L337" s="13">
        <v>0</v>
      </c>
      <c r="N337" s="5">
        <f t="shared" si="5"/>
        <v>14.098901098901099</v>
      </c>
      <c r="O337" s="13">
        <v>0</v>
      </c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</row>
    <row r="338" spans="2:88" ht="15.75">
      <c r="B338" s="11">
        <v>334</v>
      </c>
      <c r="C338" s="12">
        <v>45991</v>
      </c>
      <c r="D338" s="13">
        <v>2</v>
      </c>
      <c r="E338" s="14"/>
      <c r="F338" s="13">
        <v>0</v>
      </c>
      <c r="G338" s="5">
        <v>0</v>
      </c>
      <c r="H338" s="5">
        <v>0</v>
      </c>
      <c r="I338" s="13">
        <v>0</v>
      </c>
      <c r="K338" s="13">
        <v>0</v>
      </c>
      <c r="L338" s="13">
        <v>0</v>
      </c>
      <c r="N338" s="5">
        <f t="shared" si="5"/>
        <v>14.098901098901099</v>
      </c>
      <c r="O338" s="13">
        <v>0</v>
      </c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</row>
    <row r="339" spans="2:88" ht="15.75">
      <c r="B339" s="11">
        <v>335</v>
      </c>
      <c r="C339" s="12">
        <v>45992</v>
      </c>
      <c r="D339" s="13">
        <v>10</v>
      </c>
      <c r="E339" s="14"/>
      <c r="F339" s="13">
        <v>0</v>
      </c>
      <c r="G339" s="5">
        <v>0</v>
      </c>
      <c r="H339" s="5">
        <v>0</v>
      </c>
      <c r="I339" s="13">
        <v>0</v>
      </c>
      <c r="K339" s="13">
        <v>0</v>
      </c>
      <c r="L339" s="13">
        <v>0</v>
      </c>
      <c r="N339" s="5">
        <f t="shared" si="5"/>
        <v>14.098901098901099</v>
      </c>
      <c r="O339" s="13">
        <v>0</v>
      </c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</row>
    <row r="340" spans="2:88" ht="15.75">
      <c r="B340" s="11">
        <v>336</v>
      </c>
      <c r="C340" s="12">
        <v>45993</v>
      </c>
      <c r="D340" s="13">
        <v>12</v>
      </c>
      <c r="E340" s="14"/>
      <c r="F340" s="13">
        <v>0</v>
      </c>
      <c r="G340" s="5">
        <v>0</v>
      </c>
      <c r="H340" s="5">
        <v>0</v>
      </c>
      <c r="I340" s="13">
        <v>0</v>
      </c>
      <c r="K340" s="13">
        <v>0</v>
      </c>
      <c r="L340" s="13">
        <v>0</v>
      </c>
      <c r="N340" s="5">
        <f t="shared" si="5"/>
        <v>14.098901098901099</v>
      </c>
      <c r="O340" s="13">
        <v>0</v>
      </c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</row>
    <row r="341" spans="2:88" ht="15.75">
      <c r="B341" s="11">
        <v>337</v>
      </c>
      <c r="C341" s="12">
        <v>45994</v>
      </c>
      <c r="D341" s="13">
        <v>11</v>
      </c>
      <c r="E341" s="14"/>
      <c r="F341" s="13">
        <v>0</v>
      </c>
      <c r="G341" s="5">
        <v>0</v>
      </c>
      <c r="H341" s="5">
        <v>0</v>
      </c>
      <c r="I341" s="13">
        <v>0</v>
      </c>
      <c r="K341" s="13">
        <v>0</v>
      </c>
      <c r="L341" s="13">
        <v>0</v>
      </c>
      <c r="N341" s="5">
        <f t="shared" si="5"/>
        <v>14.098901098901099</v>
      </c>
      <c r="O341" s="13">
        <v>0</v>
      </c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</row>
    <row r="342" spans="2:88" ht="15.75">
      <c r="B342" s="11">
        <v>338</v>
      </c>
      <c r="C342" s="12">
        <v>45995</v>
      </c>
      <c r="D342" s="13">
        <v>5</v>
      </c>
      <c r="E342" s="14"/>
      <c r="F342" s="13">
        <v>0</v>
      </c>
      <c r="G342" s="5">
        <v>0</v>
      </c>
      <c r="H342" s="5">
        <v>0</v>
      </c>
      <c r="I342" s="13">
        <v>0</v>
      </c>
      <c r="K342" s="13">
        <v>0</v>
      </c>
      <c r="L342" s="13">
        <v>0</v>
      </c>
      <c r="N342" s="5">
        <f t="shared" si="5"/>
        <v>14.098901098901099</v>
      </c>
      <c r="O342" s="13">
        <v>0</v>
      </c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</row>
    <row r="343" spans="2:88" ht="15.75">
      <c r="B343" s="11">
        <v>339</v>
      </c>
      <c r="C343" s="12">
        <v>45996</v>
      </c>
      <c r="D343" s="13">
        <v>4</v>
      </c>
      <c r="E343" s="14"/>
      <c r="F343" s="13">
        <v>0</v>
      </c>
      <c r="G343" s="5">
        <v>0</v>
      </c>
      <c r="H343" s="5">
        <v>0</v>
      </c>
      <c r="I343" s="13">
        <v>0</v>
      </c>
      <c r="K343" s="13">
        <v>0</v>
      </c>
      <c r="L343" s="13">
        <v>0</v>
      </c>
      <c r="N343" s="5">
        <f t="shared" si="5"/>
        <v>14.098901098901099</v>
      </c>
      <c r="O343" s="13">
        <v>0</v>
      </c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</row>
    <row r="344" spans="2:88" ht="15.75">
      <c r="B344" s="11">
        <v>340</v>
      </c>
      <c r="C344" s="12">
        <v>45997</v>
      </c>
      <c r="D344" s="13">
        <v>26</v>
      </c>
      <c r="E344" s="14"/>
      <c r="F344" s="13">
        <v>0</v>
      </c>
      <c r="G344" s="5">
        <v>0</v>
      </c>
      <c r="H344" s="5">
        <v>0</v>
      </c>
      <c r="I344" s="13">
        <v>0</v>
      </c>
      <c r="K344" s="13">
        <v>0</v>
      </c>
      <c r="L344" s="13">
        <v>0</v>
      </c>
      <c r="N344" s="5">
        <f t="shared" si="5"/>
        <v>14.098901098901099</v>
      </c>
      <c r="O344" s="13">
        <v>0</v>
      </c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</row>
    <row r="345" spans="2:88" ht="15.75">
      <c r="B345" s="11">
        <v>341</v>
      </c>
      <c r="C345" s="12">
        <v>45998</v>
      </c>
      <c r="D345" s="13">
        <v>2</v>
      </c>
      <c r="E345" s="14"/>
      <c r="F345" s="13">
        <v>0</v>
      </c>
      <c r="G345" s="5">
        <v>0</v>
      </c>
      <c r="H345" s="5">
        <v>0</v>
      </c>
      <c r="I345" s="13">
        <v>0</v>
      </c>
      <c r="K345" s="13">
        <v>0</v>
      </c>
      <c r="L345" s="13">
        <v>0</v>
      </c>
      <c r="N345" s="5">
        <f t="shared" si="5"/>
        <v>14.098901098901099</v>
      </c>
      <c r="O345" s="13">
        <v>0</v>
      </c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</row>
    <row r="346" spans="2:88" ht="15.75">
      <c r="B346" s="11">
        <v>342</v>
      </c>
      <c r="C346" s="12">
        <v>45999</v>
      </c>
      <c r="D346" s="13">
        <v>14</v>
      </c>
      <c r="E346" s="14"/>
      <c r="F346" s="13">
        <v>0</v>
      </c>
      <c r="G346" s="5">
        <v>0</v>
      </c>
      <c r="H346" s="5">
        <v>0</v>
      </c>
      <c r="I346" s="13">
        <v>0</v>
      </c>
      <c r="K346" s="13">
        <v>0</v>
      </c>
      <c r="L346" s="13">
        <v>0</v>
      </c>
      <c r="N346" s="5">
        <f t="shared" si="5"/>
        <v>14.098901098901099</v>
      </c>
      <c r="O346" s="13">
        <v>0</v>
      </c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</row>
    <row r="347" spans="2:88" ht="15.75">
      <c r="B347" s="11">
        <v>343</v>
      </c>
      <c r="C347" s="12">
        <v>46000</v>
      </c>
      <c r="D347" s="13">
        <v>31</v>
      </c>
      <c r="E347" s="14"/>
      <c r="F347" s="13">
        <v>0</v>
      </c>
      <c r="G347" s="5">
        <v>0</v>
      </c>
      <c r="H347" s="5">
        <v>0</v>
      </c>
      <c r="I347" s="13">
        <v>0</v>
      </c>
      <c r="K347" s="13">
        <v>0</v>
      </c>
      <c r="L347" s="13">
        <v>0</v>
      </c>
      <c r="N347" s="5">
        <f t="shared" si="5"/>
        <v>14.098901098901099</v>
      </c>
      <c r="O347" s="13">
        <v>0</v>
      </c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</row>
    <row r="348" spans="2:88" ht="15.75">
      <c r="B348" s="11">
        <v>344</v>
      </c>
      <c r="C348" s="12">
        <v>46001</v>
      </c>
      <c r="D348" s="13">
        <v>28</v>
      </c>
      <c r="E348" s="14"/>
      <c r="F348" s="13">
        <v>0</v>
      </c>
      <c r="G348" s="5">
        <v>0</v>
      </c>
      <c r="H348" s="5">
        <v>0</v>
      </c>
      <c r="I348" s="13">
        <v>0</v>
      </c>
      <c r="K348" s="13">
        <v>0</v>
      </c>
      <c r="L348" s="13">
        <v>0</v>
      </c>
      <c r="N348" s="5">
        <f t="shared" si="5"/>
        <v>14.098901098901099</v>
      </c>
      <c r="O348" s="13">
        <v>0</v>
      </c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</row>
    <row r="349" spans="2:88" ht="15.75">
      <c r="B349" s="11">
        <v>345</v>
      </c>
      <c r="C349" s="12">
        <v>46002</v>
      </c>
      <c r="D349" s="13">
        <v>5</v>
      </c>
      <c r="E349" s="14"/>
      <c r="F349" s="13">
        <v>0</v>
      </c>
      <c r="G349" s="5">
        <v>0</v>
      </c>
      <c r="H349" s="5">
        <v>0</v>
      </c>
      <c r="I349" s="13">
        <v>0</v>
      </c>
      <c r="K349" s="13">
        <v>0</v>
      </c>
      <c r="L349" s="13">
        <v>0</v>
      </c>
      <c r="N349" s="5">
        <f t="shared" si="5"/>
        <v>14.098901098901099</v>
      </c>
      <c r="O349" s="13">
        <v>0</v>
      </c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</row>
    <row r="350" spans="2:88" ht="15.75">
      <c r="B350" s="11">
        <v>346</v>
      </c>
      <c r="C350" s="12">
        <v>46003</v>
      </c>
      <c r="D350" s="13">
        <v>3</v>
      </c>
      <c r="E350" s="14"/>
      <c r="F350" s="13">
        <v>0</v>
      </c>
      <c r="G350" s="5">
        <v>0</v>
      </c>
      <c r="H350" s="5">
        <v>0</v>
      </c>
      <c r="I350" s="13">
        <v>0</v>
      </c>
      <c r="K350" s="13">
        <v>0</v>
      </c>
      <c r="L350" s="13">
        <v>0</v>
      </c>
      <c r="N350" s="5">
        <f t="shared" si="5"/>
        <v>14.098901098901099</v>
      </c>
      <c r="O350" s="13">
        <v>0</v>
      </c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</row>
    <row r="351" spans="2:88" ht="15.75">
      <c r="B351" s="11">
        <v>347</v>
      </c>
      <c r="C351" s="12">
        <v>46004</v>
      </c>
      <c r="D351" s="13">
        <v>4</v>
      </c>
      <c r="E351" s="14"/>
      <c r="F351" s="13">
        <v>0</v>
      </c>
      <c r="G351" s="5">
        <v>0</v>
      </c>
      <c r="H351" s="5">
        <v>0</v>
      </c>
      <c r="I351" s="13">
        <v>0</v>
      </c>
      <c r="K351" s="13">
        <v>0</v>
      </c>
      <c r="L351" s="13">
        <v>0</v>
      </c>
      <c r="N351" s="5">
        <f t="shared" si="5"/>
        <v>14.098901098901099</v>
      </c>
      <c r="O351" s="13">
        <v>0</v>
      </c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</row>
    <row r="352" spans="2:88" ht="15.75">
      <c r="B352" s="11">
        <v>348</v>
      </c>
      <c r="C352" s="12">
        <v>46005</v>
      </c>
      <c r="D352" s="13">
        <v>4</v>
      </c>
      <c r="E352" s="14"/>
      <c r="F352" s="13">
        <v>0</v>
      </c>
      <c r="G352" s="5">
        <v>0</v>
      </c>
      <c r="H352" s="5">
        <v>0</v>
      </c>
      <c r="I352" s="13">
        <v>0</v>
      </c>
      <c r="K352" s="13">
        <v>0</v>
      </c>
      <c r="L352" s="13">
        <v>0</v>
      </c>
      <c r="N352" s="5">
        <f t="shared" si="5"/>
        <v>14.098901098901099</v>
      </c>
      <c r="O352" s="13">
        <v>0</v>
      </c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</row>
    <row r="353" spans="2:88" ht="15.75">
      <c r="B353" s="11">
        <v>349</v>
      </c>
      <c r="C353" s="12">
        <v>46006</v>
      </c>
      <c r="D353" s="13">
        <v>10</v>
      </c>
      <c r="E353" s="14"/>
      <c r="F353" s="13">
        <v>0</v>
      </c>
      <c r="G353" s="5">
        <v>0</v>
      </c>
      <c r="H353" s="5">
        <v>0</v>
      </c>
      <c r="I353" s="13">
        <v>0</v>
      </c>
      <c r="K353" s="13">
        <v>0</v>
      </c>
      <c r="L353" s="13">
        <v>0</v>
      </c>
      <c r="N353" s="5">
        <f t="shared" si="5"/>
        <v>14.098901098901099</v>
      </c>
      <c r="O353" s="13">
        <v>0</v>
      </c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</row>
    <row r="354" spans="2:88" ht="15.75">
      <c r="B354" s="11">
        <v>350</v>
      </c>
      <c r="C354" s="12">
        <v>46007</v>
      </c>
      <c r="D354" s="13">
        <v>3</v>
      </c>
      <c r="E354" s="14"/>
      <c r="F354" s="13">
        <v>0</v>
      </c>
      <c r="G354" s="5">
        <v>0</v>
      </c>
      <c r="H354" s="5">
        <v>0</v>
      </c>
      <c r="I354" s="13">
        <v>0</v>
      </c>
      <c r="K354" s="13">
        <v>0</v>
      </c>
      <c r="L354" s="13">
        <v>0</v>
      </c>
      <c r="N354" s="5">
        <f t="shared" si="5"/>
        <v>14.098901098901099</v>
      </c>
      <c r="O354" s="13">
        <v>0</v>
      </c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</row>
    <row r="355" spans="2:88" ht="15.75">
      <c r="B355" s="11">
        <v>351</v>
      </c>
      <c r="C355" s="12">
        <v>46008</v>
      </c>
      <c r="D355" s="13">
        <v>2</v>
      </c>
      <c r="E355" s="14"/>
      <c r="F355" s="13">
        <v>0</v>
      </c>
      <c r="G355" s="5">
        <v>0</v>
      </c>
      <c r="H355" s="5">
        <v>0</v>
      </c>
      <c r="I355" s="13">
        <v>0</v>
      </c>
      <c r="K355" s="13">
        <v>0</v>
      </c>
      <c r="L355" s="13">
        <v>0</v>
      </c>
      <c r="N355" s="5">
        <f t="shared" si="5"/>
        <v>14.098901098901099</v>
      </c>
      <c r="O355" s="13">
        <v>0</v>
      </c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</row>
    <row r="356" spans="2:88" ht="15.75">
      <c r="B356" s="11">
        <v>352</v>
      </c>
      <c r="C356" s="12">
        <v>46009</v>
      </c>
      <c r="D356" s="13">
        <v>3</v>
      </c>
      <c r="E356" s="14"/>
      <c r="F356" s="13">
        <v>0</v>
      </c>
      <c r="G356" s="5">
        <v>0</v>
      </c>
      <c r="H356" s="5">
        <v>0</v>
      </c>
      <c r="I356" s="13">
        <v>0</v>
      </c>
      <c r="K356" s="13">
        <v>0</v>
      </c>
      <c r="L356" s="13">
        <v>0</v>
      </c>
      <c r="N356" s="5">
        <f t="shared" si="5"/>
        <v>14.098901098901099</v>
      </c>
      <c r="O356" s="13">
        <v>0</v>
      </c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</row>
    <row r="357" spans="2:88" ht="15.75">
      <c r="B357" s="11">
        <v>353</v>
      </c>
      <c r="C357" s="12">
        <v>46010</v>
      </c>
      <c r="D357" s="13">
        <v>29</v>
      </c>
      <c r="E357" s="14"/>
      <c r="F357" s="13">
        <v>0</v>
      </c>
      <c r="G357" s="5">
        <v>0</v>
      </c>
      <c r="H357" s="5">
        <v>0</v>
      </c>
      <c r="I357" s="13">
        <v>0</v>
      </c>
      <c r="K357" s="13">
        <v>0</v>
      </c>
      <c r="L357" s="13">
        <v>0</v>
      </c>
      <c r="N357" s="5">
        <f t="shared" si="5"/>
        <v>14.098901098901099</v>
      </c>
      <c r="O357" s="13">
        <v>0</v>
      </c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</row>
    <row r="358" spans="2:88" ht="15.75">
      <c r="B358" s="11">
        <v>354</v>
      </c>
      <c r="C358" s="12">
        <v>46011</v>
      </c>
      <c r="D358" s="13">
        <v>15</v>
      </c>
      <c r="E358" s="14"/>
      <c r="F358" s="13">
        <v>0</v>
      </c>
      <c r="G358" s="5">
        <v>0</v>
      </c>
      <c r="H358" s="5">
        <v>0</v>
      </c>
      <c r="I358" s="13">
        <v>0</v>
      </c>
      <c r="K358" s="13">
        <v>0</v>
      </c>
      <c r="L358" s="13">
        <v>0</v>
      </c>
      <c r="N358" s="5">
        <f t="shared" si="5"/>
        <v>14.098901098901099</v>
      </c>
      <c r="O358" s="13">
        <v>0</v>
      </c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</row>
    <row r="359" spans="2:88" ht="15.75">
      <c r="B359" s="11">
        <v>355</v>
      </c>
      <c r="C359" s="12">
        <v>46012</v>
      </c>
      <c r="D359" s="13">
        <v>4</v>
      </c>
      <c r="E359" s="14"/>
      <c r="F359" s="13">
        <v>0</v>
      </c>
      <c r="G359" s="5">
        <v>0</v>
      </c>
      <c r="H359" s="5">
        <v>0</v>
      </c>
      <c r="I359" s="13">
        <v>0</v>
      </c>
      <c r="K359" s="13">
        <v>0</v>
      </c>
      <c r="L359" s="13">
        <v>0</v>
      </c>
      <c r="N359" s="5">
        <f t="shared" si="5"/>
        <v>14.098901098901099</v>
      </c>
      <c r="O359" s="13">
        <v>0</v>
      </c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</row>
    <row r="360" spans="2:88" ht="15.75">
      <c r="B360" s="11">
        <v>356</v>
      </c>
      <c r="C360" s="12">
        <v>46013</v>
      </c>
      <c r="D360" s="13">
        <v>5</v>
      </c>
      <c r="E360" s="14"/>
      <c r="F360" s="13">
        <v>0</v>
      </c>
      <c r="G360" s="5">
        <v>0</v>
      </c>
      <c r="H360" s="5">
        <v>0</v>
      </c>
      <c r="I360" s="13">
        <v>0</v>
      </c>
      <c r="K360" s="13">
        <v>0</v>
      </c>
      <c r="L360" s="13">
        <v>0</v>
      </c>
      <c r="N360" s="5">
        <f t="shared" si="5"/>
        <v>14.098901098901099</v>
      </c>
      <c r="O360" s="13">
        <v>0</v>
      </c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</row>
    <row r="361" spans="2:88" ht="15.75">
      <c r="B361" s="11">
        <v>357</v>
      </c>
      <c r="C361" s="12">
        <v>46014</v>
      </c>
      <c r="D361" s="13">
        <v>7</v>
      </c>
      <c r="E361" s="14"/>
      <c r="F361" s="13">
        <v>0</v>
      </c>
      <c r="G361" s="5">
        <v>0</v>
      </c>
      <c r="H361" s="5">
        <v>0</v>
      </c>
      <c r="I361" s="13">
        <v>0</v>
      </c>
      <c r="K361" s="13">
        <v>0</v>
      </c>
      <c r="L361" s="13">
        <v>0</v>
      </c>
      <c r="N361" s="5">
        <f t="shared" si="5"/>
        <v>14.098901098901099</v>
      </c>
      <c r="O361" s="13">
        <v>0</v>
      </c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</row>
    <row r="362" spans="2:88" ht="15.75">
      <c r="B362" s="11">
        <v>358</v>
      </c>
      <c r="C362" s="12">
        <v>46015</v>
      </c>
      <c r="D362" s="13">
        <v>1</v>
      </c>
      <c r="E362" s="14"/>
      <c r="F362" s="13">
        <v>0</v>
      </c>
      <c r="G362" s="5">
        <v>0</v>
      </c>
      <c r="H362" s="5">
        <v>0</v>
      </c>
      <c r="I362" s="13">
        <v>0</v>
      </c>
      <c r="K362" s="13">
        <v>0</v>
      </c>
      <c r="L362" s="13">
        <v>0</v>
      </c>
      <c r="N362" s="5">
        <f t="shared" si="5"/>
        <v>14.098901098901099</v>
      </c>
      <c r="O362" s="13">
        <v>0</v>
      </c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</row>
    <row r="363" spans="2:88" ht="15.75">
      <c r="B363" s="11">
        <v>359</v>
      </c>
      <c r="C363" s="12">
        <v>46016</v>
      </c>
      <c r="D363" s="13">
        <v>41</v>
      </c>
      <c r="E363" s="14"/>
      <c r="F363" s="13">
        <v>0</v>
      </c>
      <c r="G363" s="5">
        <v>0</v>
      </c>
      <c r="H363" s="5">
        <v>0</v>
      </c>
      <c r="I363" s="13">
        <v>0</v>
      </c>
      <c r="K363" s="13">
        <v>0</v>
      </c>
      <c r="L363" s="13">
        <v>0</v>
      </c>
      <c r="N363" s="5">
        <f t="shared" si="5"/>
        <v>14.098901098901099</v>
      </c>
      <c r="O363" s="13">
        <v>0</v>
      </c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</row>
    <row r="364" spans="2:88" ht="15.75">
      <c r="B364" s="11">
        <v>360</v>
      </c>
      <c r="C364" s="12">
        <v>46017</v>
      </c>
      <c r="D364" s="13">
        <v>3</v>
      </c>
      <c r="E364" s="14"/>
      <c r="F364" s="13">
        <v>0</v>
      </c>
      <c r="G364" s="5">
        <v>0</v>
      </c>
      <c r="H364" s="5">
        <v>0</v>
      </c>
      <c r="I364" s="13">
        <v>0</v>
      </c>
      <c r="K364" s="13">
        <v>0</v>
      </c>
      <c r="L364" s="13">
        <v>0</v>
      </c>
      <c r="N364" s="5">
        <f t="shared" si="5"/>
        <v>14.098901098901099</v>
      </c>
      <c r="O364" s="13">
        <v>0</v>
      </c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</row>
    <row r="365" spans="2:88" ht="15.75">
      <c r="B365" s="11">
        <v>361</v>
      </c>
      <c r="C365" s="12">
        <v>46018</v>
      </c>
      <c r="D365" s="13">
        <v>3</v>
      </c>
      <c r="E365" s="14"/>
      <c r="F365" s="13">
        <v>0</v>
      </c>
      <c r="G365" s="5">
        <v>0</v>
      </c>
      <c r="H365" s="5">
        <v>0</v>
      </c>
      <c r="I365" s="13">
        <v>0</v>
      </c>
      <c r="K365" s="13">
        <v>0</v>
      </c>
      <c r="L365" s="13">
        <v>0</v>
      </c>
      <c r="N365" s="5">
        <f t="shared" si="5"/>
        <v>14.098901098901099</v>
      </c>
      <c r="O365" s="13">
        <v>0</v>
      </c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</row>
    <row r="366" spans="2:88" ht="15.75">
      <c r="B366" s="11">
        <v>362</v>
      </c>
      <c r="C366" s="12">
        <v>46019</v>
      </c>
      <c r="D366" s="13">
        <v>6</v>
      </c>
      <c r="E366" s="14"/>
      <c r="F366" s="13">
        <v>0</v>
      </c>
      <c r="G366" s="5">
        <v>0</v>
      </c>
      <c r="H366" s="5">
        <v>0</v>
      </c>
      <c r="I366" s="13">
        <v>0</v>
      </c>
      <c r="K366" s="13">
        <v>0</v>
      </c>
      <c r="L366" s="13">
        <v>0</v>
      </c>
      <c r="N366" s="5">
        <f t="shared" si="5"/>
        <v>14.098901098901099</v>
      </c>
      <c r="O366" s="13">
        <v>0</v>
      </c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</row>
    <row r="367" spans="2:88" ht="15.75">
      <c r="B367" s="11">
        <v>363</v>
      </c>
      <c r="C367" s="12">
        <v>46020</v>
      </c>
      <c r="D367" s="13">
        <v>12</v>
      </c>
      <c r="E367" s="14"/>
      <c r="F367" s="13">
        <v>0</v>
      </c>
      <c r="G367" s="5">
        <v>0</v>
      </c>
      <c r="H367" s="5">
        <v>0</v>
      </c>
      <c r="I367" s="13">
        <v>0</v>
      </c>
      <c r="K367" s="13">
        <v>0</v>
      </c>
      <c r="L367" s="13">
        <v>0</v>
      </c>
      <c r="N367" s="5">
        <f t="shared" si="5"/>
        <v>14.098901098901099</v>
      </c>
      <c r="O367" s="13">
        <v>0</v>
      </c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</row>
    <row r="368" spans="2:88" ht="15.75">
      <c r="B368" s="11">
        <v>364</v>
      </c>
      <c r="C368" s="12">
        <v>46021</v>
      </c>
      <c r="D368" s="13">
        <v>10</v>
      </c>
      <c r="E368" s="14"/>
      <c r="F368" s="13">
        <v>0</v>
      </c>
      <c r="G368" s="5">
        <v>0</v>
      </c>
      <c r="H368" s="5">
        <v>0</v>
      </c>
      <c r="I368" s="13">
        <v>0</v>
      </c>
      <c r="K368" s="13">
        <v>0</v>
      </c>
      <c r="L368" s="13">
        <v>0</v>
      </c>
      <c r="N368" s="5">
        <f t="shared" si="5"/>
        <v>14.098901098901099</v>
      </c>
      <c r="O368" s="13">
        <v>0</v>
      </c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</row>
    <row r="369" spans="2:88" ht="15.75">
      <c r="B369" s="11">
        <v>365</v>
      </c>
      <c r="C369" s="12">
        <v>46022</v>
      </c>
      <c r="D369" s="13">
        <v>14</v>
      </c>
      <c r="E369" s="14"/>
      <c r="F369" s="13">
        <v>0</v>
      </c>
      <c r="G369" s="5">
        <v>0</v>
      </c>
      <c r="H369" s="5">
        <v>0</v>
      </c>
      <c r="I369" s="13">
        <v>0</v>
      </c>
      <c r="K369" s="13">
        <v>0</v>
      </c>
      <c r="L369" s="13">
        <v>0</v>
      </c>
      <c r="N369" s="5">
        <f t="shared" si="5"/>
        <v>14.098901098901099</v>
      </c>
      <c r="O369" s="13">
        <v>0</v>
      </c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</row>
    <row r="370" spans="2:88" ht="15.75">
      <c r="B370" s="11">
        <v>366</v>
      </c>
      <c r="C370" s="12">
        <v>46023</v>
      </c>
      <c r="D370" s="13">
        <v>5</v>
      </c>
      <c r="E370" s="14"/>
      <c r="F370" s="13">
        <v>0</v>
      </c>
      <c r="G370" s="5">
        <v>0</v>
      </c>
      <c r="H370" s="5">
        <v>0</v>
      </c>
      <c r="I370" s="13">
        <v>0</v>
      </c>
      <c r="K370" s="13">
        <v>0</v>
      </c>
      <c r="L370" s="13">
        <v>0</v>
      </c>
      <c r="N370" s="5">
        <f t="shared" si="5"/>
        <v>14.098901098901099</v>
      </c>
      <c r="O370" s="13">
        <v>0</v>
      </c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</row>
    <row r="371" spans="2:88" ht="15.75">
      <c r="B371" s="11">
        <v>367</v>
      </c>
      <c r="C371" s="12">
        <v>46024</v>
      </c>
      <c r="D371" s="13">
        <v>4</v>
      </c>
      <c r="E371" s="14"/>
      <c r="F371" s="13">
        <v>0</v>
      </c>
      <c r="G371" s="5">
        <v>0</v>
      </c>
      <c r="H371" s="5">
        <v>0</v>
      </c>
      <c r="I371" s="13">
        <v>0</v>
      </c>
      <c r="K371" s="13">
        <v>0</v>
      </c>
      <c r="L371" s="13">
        <v>0</v>
      </c>
      <c r="N371" s="5">
        <f t="shared" si="5"/>
        <v>14.098901098901099</v>
      </c>
      <c r="O371" s="13">
        <v>0</v>
      </c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</row>
    <row r="372" spans="2:88" ht="15.75">
      <c r="B372" s="11">
        <v>368</v>
      </c>
      <c r="C372" s="12">
        <v>46025</v>
      </c>
      <c r="D372" s="13">
        <v>9</v>
      </c>
      <c r="E372" s="14"/>
      <c r="F372" s="13">
        <v>0</v>
      </c>
      <c r="G372" s="5">
        <v>0</v>
      </c>
      <c r="H372" s="5">
        <v>0</v>
      </c>
      <c r="I372" s="13">
        <v>0</v>
      </c>
      <c r="K372" s="13">
        <v>0</v>
      </c>
      <c r="L372" s="13">
        <v>0</v>
      </c>
      <c r="N372" s="5">
        <f t="shared" si="5"/>
        <v>14.098901098901099</v>
      </c>
      <c r="O372" s="13">
        <v>0</v>
      </c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</row>
    <row r="373" spans="2:88" ht="15.75">
      <c r="B373" s="11">
        <v>369</v>
      </c>
      <c r="C373" s="12">
        <v>46026</v>
      </c>
      <c r="D373" s="13">
        <v>9</v>
      </c>
      <c r="E373" s="14"/>
      <c r="F373" s="13">
        <v>0</v>
      </c>
      <c r="G373" s="5">
        <v>0</v>
      </c>
      <c r="H373" s="5">
        <v>0</v>
      </c>
      <c r="I373" s="13">
        <v>0</v>
      </c>
      <c r="K373" s="13">
        <v>0</v>
      </c>
      <c r="L373" s="13">
        <v>0</v>
      </c>
      <c r="N373" s="5">
        <f t="shared" si="5"/>
        <v>14.098901098901099</v>
      </c>
      <c r="O373" s="13">
        <v>0</v>
      </c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</row>
    <row r="374" spans="2:88" ht="15.75">
      <c r="B374" s="11">
        <v>370</v>
      </c>
      <c r="C374" s="12">
        <v>46027</v>
      </c>
      <c r="D374" s="13">
        <v>1</v>
      </c>
      <c r="E374" s="14"/>
      <c r="F374" s="13">
        <v>0</v>
      </c>
      <c r="G374" s="5">
        <v>0</v>
      </c>
      <c r="H374" s="5">
        <v>0</v>
      </c>
      <c r="I374" s="13">
        <v>0</v>
      </c>
      <c r="K374" s="13">
        <v>0</v>
      </c>
      <c r="L374" s="13">
        <v>0</v>
      </c>
      <c r="N374" s="5">
        <f t="shared" si="5"/>
        <v>14.098901098901099</v>
      </c>
      <c r="O374" s="13">
        <v>0</v>
      </c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</row>
    <row r="375" spans="2:88" ht="15.75">
      <c r="B375" s="11">
        <v>371</v>
      </c>
      <c r="C375" s="12">
        <v>46028</v>
      </c>
      <c r="D375" s="13">
        <v>29</v>
      </c>
      <c r="E375" s="14"/>
      <c r="F375" s="13">
        <v>0</v>
      </c>
      <c r="G375" s="5">
        <v>0</v>
      </c>
      <c r="H375" s="5">
        <v>0</v>
      </c>
      <c r="I375" s="13">
        <v>0</v>
      </c>
      <c r="K375" s="13">
        <v>0</v>
      </c>
      <c r="L375" s="13">
        <v>0</v>
      </c>
      <c r="N375" s="5">
        <f t="shared" si="5"/>
        <v>14.098901098901099</v>
      </c>
      <c r="O375" s="13">
        <v>0</v>
      </c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</row>
    <row r="376" spans="2:88" ht="15.75">
      <c r="B376" s="11">
        <v>372</v>
      </c>
      <c r="C376" s="12">
        <v>46029</v>
      </c>
      <c r="D376" s="13">
        <v>6</v>
      </c>
      <c r="E376" s="14"/>
      <c r="F376" s="13">
        <v>0</v>
      </c>
      <c r="G376" s="5">
        <v>0</v>
      </c>
      <c r="H376" s="5">
        <v>0</v>
      </c>
      <c r="I376" s="13">
        <v>0</v>
      </c>
      <c r="K376" s="13">
        <v>0</v>
      </c>
      <c r="L376" s="13">
        <v>0</v>
      </c>
      <c r="N376" s="5">
        <f t="shared" si="5"/>
        <v>14.098901098901099</v>
      </c>
      <c r="O376" s="13">
        <v>0</v>
      </c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</row>
    <row r="377" spans="2:88" ht="15.75">
      <c r="B377" s="11">
        <v>373</v>
      </c>
      <c r="C377" s="12">
        <v>46030</v>
      </c>
      <c r="D377" s="13">
        <v>4</v>
      </c>
      <c r="E377" s="14"/>
      <c r="F377" s="13">
        <v>0</v>
      </c>
      <c r="G377" s="5">
        <v>0</v>
      </c>
      <c r="H377" s="5">
        <v>0</v>
      </c>
      <c r="I377" s="13">
        <v>0</v>
      </c>
      <c r="K377" s="13">
        <v>0</v>
      </c>
      <c r="L377" s="13">
        <v>0</v>
      </c>
      <c r="N377" s="5">
        <f t="shared" si="5"/>
        <v>14.098901098901099</v>
      </c>
      <c r="O377" s="13">
        <v>0</v>
      </c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</row>
    <row r="378" spans="2:88" ht="15.75">
      <c r="B378" s="11">
        <v>374</v>
      </c>
      <c r="C378" s="12">
        <v>46031</v>
      </c>
      <c r="D378" s="13">
        <v>1</v>
      </c>
      <c r="E378" s="14"/>
      <c r="F378" s="13">
        <v>0</v>
      </c>
      <c r="G378" s="5">
        <v>0</v>
      </c>
      <c r="H378" s="5">
        <v>0</v>
      </c>
      <c r="I378" s="13">
        <v>0</v>
      </c>
      <c r="K378" s="13">
        <v>0</v>
      </c>
      <c r="L378" s="13">
        <v>0</v>
      </c>
      <c r="N378" s="5">
        <f t="shared" si="5"/>
        <v>14.098901098901099</v>
      </c>
      <c r="O378" s="13">
        <v>0</v>
      </c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</row>
    <row r="379" spans="2:88" ht="15.75">
      <c r="B379" s="11">
        <v>375</v>
      </c>
      <c r="C379" s="12">
        <v>46032</v>
      </c>
      <c r="D379" s="13">
        <v>13</v>
      </c>
      <c r="E379" s="14"/>
      <c r="F379" s="13">
        <v>0</v>
      </c>
      <c r="G379" s="5">
        <v>0</v>
      </c>
      <c r="H379" s="5">
        <v>0</v>
      </c>
      <c r="I379" s="13">
        <v>0</v>
      </c>
      <c r="K379" s="13">
        <v>0</v>
      </c>
      <c r="L379" s="13">
        <v>0</v>
      </c>
      <c r="N379" s="5">
        <f t="shared" si="5"/>
        <v>14.098901098901099</v>
      </c>
      <c r="O379" s="13">
        <v>0</v>
      </c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</row>
    <row r="380" spans="2:88" ht="15.75">
      <c r="B380" s="11">
        <v>376</v>
      </c>
      <c r="C380" s="12">
        <v>46033</v>
      </c>
      <c r="D380" s="13">
        <v>2</v>
      </c>
      <c r="E380" s="14"/>
      <c r="F380" s="13">
        <v>0</v>
      </c>
      <c r="G380" s="5">
        <v>0</v>
      </c>
      <c r="H380" s="5">
        <v>0</v>
      </c>
      <c r="I380" s="13">
        <v>0</v>
      </c>
      <c r="K380" s="13">
        <v>0</v>
      </c>
      <c r="L380" s="13">
        <v>0</v>
      </c>
      <c r="N380" s="5">
        <f t="shared" si="5"/>
        <v>14.098901098901099</v>
      </c>
      <c r="O380" s="13">
        <v>0</v>
      </c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</row>
    <row r="381" spans="2:88" ht="15.75">
      <c r="B381" s="11">
        <v>377</v>
      </c>
      <c r="C381" s="12">
        <v>46034</v>
      </c>
      <c r="D381" s="13">
        <v>2</v>
      </c>
      <c r="E381" s="14"/>
      <c r="F381" s="13">
        <v>0</v>
      </c>
      <c r="G381" s="5">
        <v>0</v>
      </c>
      <c r="H381" s="5">
        <v>0</v>
      </c>
      <c r="I381" s="13">
        <v>0</v>
      </c>
      <c r="K381" s="13">
        <v>0</v>
      </c>
      <c r="L381" s="13">
        <v>0</v>
      </c>
      <c r="N381" s="5">
        <f t="shared" si="5"/>
        <v>14.098901098901099</v>
      </c>
      <c r="O381" s="13">
        <v>0</v>
      </c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</row>
    <row r="382" spans="2:88" ht="15.75">
      <c r="B382" s="11">
        <v>378</v>
      </c>
      <c r="C382" s="12">
        <v>46035</v>
      </c>
      <c r="D382" s="13">
        <v>26</v>
      </c>
      <c r="E382" s="14"/>
      <c r="F382" s="13">
        <v>0</v>
      </c>
      <c r="G382" s="5">
        <v>0</v>
      </c>
      <c r="H382" s="5">
        <v>0</v>
      </c>
      <c r="I382" s="13">
        <v>0</v>
      </c>
      <c r="K382" s="13">
        <v>0</v>
      </c>
      <c r="L382" s="13">
        <v>0</v>
      </c>
      <c r="N382" s="5">
        <f t="shared" si="5"/>
        <v>14.098901098901099</v>
      </c>
      <c r="O382" s="13">
        <v>0</v>
      </c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</row>
    <row r="383" spans="2:88" ht="15.75">
      <c r="B383" s="11">
        <v>379</v>
      </c>
      <c r="C383" s="12">
        <v>46036</v>
      </c>
      <c r="D383" s="13">
        <v>6</v>
      </c>
      <c r="E383" s="14"/>
      <c r="F383" s="13">
        <v>0</v>
      </c>
      <c r="G383" s="5">
        <v>0</v>
      </c>
      <c r="H383" s="5">
        <v>0</v>
      </c>
      <c r="I383" s="13">
        <v>0</v>
      </c>
      <c r="K383" s="13">
        <v>0</v>
      </c>
      <c r="L383" s="13">
        <v>0</v>
      </c>
      <c r="N383" s="5">
        <f t="shared" si="5"/>
        <v>14.098901098901099</v>
      </c>
      <c r="O383" s="13">
        <v>0</v>
      </c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</row>
    <row r="384" spans="2:88" ht="15.75">
      <c r="B384" s="11">
        <v>380</v>
      </c>
      <c r="C384" s="12">
        <v>46037</v>
      </c>
      <c r="D384" s="13">
        <v>2</v>
      </c>
      <c r="E384" s="14"/>
      <c r="F384" s="13">
        <v>0</v>
      </c>
      <c r="G384" s="5">
        <v>0</v>
      </c>
      <c r="H384" s="5">
        <v>0</v>
      </c>
      <c r="I384" s="13">
        <v>0</v>
      </c>
      <c r="K384" s="13">
        <v>0</v>
      </c>
      <c r="L384" s="13">
        <v>0</v>
      </c>
      <c r="N384" s="5">
        <f t="shared" si="5"/>
        <v>14.098901098901099</v>
      </c>
      <c r="O384" s="13">
        <v>0</v>
      </c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</row>
    <row r="385" spans="2:88" ht="15.75">
      <c r="B385" s="11">
        <v>381</v>
      </c>
      <c r="C385" s="12">
        <v>46038</v>
      </c>
      <c r="D385" s="13">
        <v>18</v>
      </c>
      <c r="E385" s="14"/>
      <c r="F385" s="13">
        <v>0</v>
      </c>
      <c r="G385" s="5">
        <v>0</v>
      </c>
      <c r="H385" s="5">
        <v>0</v>
      </c>
      <c r="I385" s="13">
        <v>0</v>
      </c>
      <c r="K385" s="13">
        <v>0</v>
      </c>
      <c r="L385" s="13">
        <v>0</v>
      </c>
      <c r="N385" s="5">
        <f t="shared" si="5"/>
        <v>14.098901098901099</v>
      </c>
      <c r="O385" s="13">
        <v>0</v>
      </c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</row>
    <row r="386" spans="2:88" ht="15.75">
      <c r="B386" s="11">
        <v>382</v>
      </c>
      <c r="C386" s="12">
        <v>46039</v>
      </c>
      <c r="D386" s="13">
        <v>11</v>
      </c>
      <c r="E386" s="14"/>
      <c r="F386" s="13">
        <v>0</v>
      </c>
      <c r="G386" s="5">
        <v>0</v>
      </c>
      <c r="H386" s="5">
        <v>0</v>
      </c>
      <c r="I386" s="13">
        <v>0</v>
      </c>
      <c r="K386" s="13">
        <v>0</v>
      </c>
      <c r="L386" s="13">
        <v>0</v>
      </c>
      <c r="N386" s="5">
        <f t="shared" si="5"/>
        <v>14.098901098901099</v>
      </c>
      <c r="O386" s="13">
        <v>0</v>
      </c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</row>
    <row r="387" spans="2:88" ht="15.75">
      <c r="B387" s="11">
        <v>383</v>
      </c>
      <c r="C387" s="12">
        <v>46040</v>
      </c>
      <c r="D387" s="13">
        <v>9</v>
      </c>
      <c r="E387" s="14"/>
      <c r="F387" s="13">
        <v>0</v>
      </c>
      <c r="G387" s="5">
        <v>0</v>
      </c>
      <c r="H387" s="5">
        <v>0</v>
      </c>
      <c r="I387" s="13">
        <v>0</v>
      </c>
      <c r="K387" s="13">
        <v>0</v>
      </c>
      <c r="L387" s="13">
        <v>0</v>
      </c>
      <c r="N387" s="5">
        <f t="shared" si="5"/>
        <v>14.098901098901099</v>
      </c>
      <c r="O387" s="13">
        <v>0</v>
      </c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</row>
    <row r="388" spans="2:88" ht="15.75">
      <c r="B388" s="11">
        <v>384</v>
      </c>
      <c r="C388" s="12">
        <v>46041</v>
      </c>
      <c r="D388" s="13">
        <v>7</v>
      </c>
      <c r="E388" s="14"/>
      <c r="F388" s="13">
        <v>0</v>
      </c>
      <c r="G388" s="5">
        <v>0</v>
      </c>
      <c r="H388" s="5">
        <v>0</v>
      </c>
      <c r="I388" s="13">
        <v>0</v>
      </c>
      <c r="K388" s="13">
        <v>0</v>
      </c>
      <c r="L388" s="13">
        <v>0</v>
      </c>
      <c r="N388" s="5">
        <f t="shared" si="5"/>
        <v>14.098901098901099</v>
      </c>
      <c r="O388" s="13">
        <v>0</v>
      </c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</row>
    <row r="389" spans="2:88" ht="15.75">
      <c r="B389" s="11">
        <v>385</v>
      </c>
      <c r="C389" s="12">
        <v>46042</v>
      </c>
      <c r="D389" s="13">
        <v>31</v>
      </c>
      <c r="E389" s="14"/>
      <c r="F389" s="13">
        <v>0</v>
      </c>
      <c r="G389" s="5">
        <v>0</v>
      </c>
      <c r="H389" s="5">
        <v>0</v>
      </c>
      <c r="I389" s="13">
        <v>0</v>
      </c>
      <c r="K389" s="13">
        <v>0</v>
      </c>
      <c r="L389" s="13">
        <v>0</v>
      </c>
      <c r="N389" s="5">
        <f t="shared" ref="N389:N452" si="6">AVERAGE($O$644:$O$734)</f>
        <v>14.098901098901099</v>
      </c>
      <c r="O389" s="13">
        <v>0</v>
      </c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</row>
    <row r="390" spans="2:88" ht="15.75">
      <c r="B390" s="11">
        <v>386</v>
      </c>
      <c r="C390" s="12">
        <v>46043</v>
      </c>
      <c r="D390" s="13">
        <v>18</v>
      </c>
      <c r="E390" s="14"/>
      <c r="F390" s="13">
        <v>0</v>
      </c>
      <c r="G390" s="5">
        <v>0</v>
      </c>
      <c r="H390" s="5">
        <v>0</v>
      </c>
      <c r="I390" s="13">
        <v>0</v>
      </c>
      <c r="K390" s="13">
        <v>0</v>
      </c>
      <c r="L390" s="13">
        <v>0</v>
      </c>
      <c r="N390" s="5">
        <f t="shared" si="6"/>
        <v>14.098901098901099</v>
      </c>
      <c r="O390" s="13">
        <v>0</v>
      </c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</row>
    <row r="391" spans="2:88" ht="15.75">
      <c r="B391" s="11">
        <v>387</v>
      </c>
      <c r="C391" s="12">
        <v>46044</v>
      </c>
      <c r="D391" s="13">
        <v>30</v>
      </c>
      <c r="E391" s="14"/>
      <c r="F391" s="13">
        <v>0</v>
      </c>
      <c r="G391" s="5">
        <v>0</v>
      </c>
      <c r="H391" s="5">
        <v>0</v>
      </c>
      <c r="I391" s="13">
        <v>0</v>
      </c>
      <c r="K391" s="13">
        <v>0</v>
      </c>
      <c r="L391" s="13">
        <v>0</v>
      </c>
      <c r="N391" s="5">
        <f t="shared" si="6"/>
        <v>14.098901098901099</v>
      </c>
      <c r="O391" s="13">
        <v>0</v>
      </c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</row>
    <row r="392" spans="2:88" ht="15.75">
      <c r="B392" s="11">
        <v>388</v>
      </c>
      <c r="C392" s="12">
        <v>46045</v>
      </c>
      <c r="D392" s="13">
        <v>2</v>
      </c>
      <c r="E392" s="14"/>
      <c r="F392" s="13">
        <v>0</v>
      </c>
      <c r="G392" s="5">
        <v>0</v>
      </c>
      <c r="H392" s="5">
        <v>0</v>
      </c>
      <c r="I392" s="13">
        <v>0</v>
      </c>
      <c r="K392" s="13">
        <v>0</v>
      </c>
      <c r="L392" s="13">
        <v>0</v>
      </c>
      <c r="N392" s="5">
        <f t="shared" si="6"/>
        <v>14.098901098901099</v>
      </c>
      <c r="O392" s="13">
        <v>0</v>
      </c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</row>
    <row r="393" spans="2:88" ht="15.75">
      <c r="B393" s="11">
        <v>389</v>
      </c>
      <c r="C393" s="12">
        <v>46046</v>
      </c>
      <c r="D393" s="13">
        <v>8</v>
      </c>
      <c r="E393" s="14"/>
      <c r="F393" s="13">
        <v>0</v>
      </c>
      <c r="G393" s="5">
        <v>0</v>
      </c>
      <c r="H393" s="5">
        <v>0</v>
      </c>
      <c r="I393" s="13">
        <v>0</v>
      </c>
      <c r="K393" s="13">
        <v>0</v>
      </c>
      <c r="L393" s="13">
        <v>0</v>
      </c>
      <c r="N393" s="5">
        <f t="shared" si="6"/>
        <v>14.098901098901099</v>
      </c>
      <c r="O393" s="13">
        <v>0</v>
      </c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</row>
    <row r="394" spans="2:88" ht="15.75">
      <c r="B394" s="11">
        <v>390</v>
      </c>
      <c r="C394" s="12">
        <v>46047</v>
      </c>
      <c r="D394" s="13">
        <v>15</v>
      </c>
      <c r="E394" s="14"/>
      <c r="F394" s="13">
        <v>0</v>
      </c>
      <c r="G394" s="5">
        <v>0</v>
      </c>
      <c r="H394" s="5">
        <v>0</v>
      </c>
      <c r="I394" s="13">
        <v>0</v>
      </c>
      <c r="K394" s="13">
        <v>0</v>
      </c>
      <c r="L394" s="13">
        <v>0</v>
      </c>
      <c r="N394" s="5">
        <f t="shared" si="6"/>
        <v>14.098901098901099</v>
      </c>
      <c r="O394" s="13">
        <v>0</v>
      </c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</row>
    <row r="395" spans="2:88" ht="15.75">
      <c r="B395" s="11">
        <v>391</v>
      </c>
      <c r="C395" s="12">
        <v>46048</v>
      </c>
      <c r="D395" s="13">
        <v>26</v>
      </c>
      <c r="E395" s="14"/>
      <c r="F395" s="13">
        <v>0</v>
      </c>
      <c r="G395" s="5">
        <v>0</v>
      </c>
      <c r="H395" s="5">
        <v>0</v>
      </c>
      <c r="I395" s="13">
        <v>0</v>
      </c>
      <c r="K395" s="13">
        <v>0</v>
      </c>
      <c r="L395" s="13">
        <v>0</v>
      </c>
      <c r="N395" s="5">
        <f t="shared" si="6"/>
        <v>14.098901098901099</v>
      </c>
      <c r="O395" s="13">
        <v>0</v>
      </c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</row>
    <row r="396" spans="2:88" ht="15.75">
      <c r="B396" s="11">
        <v>392</v>
      </c>
      <c r="C396" s="12">
        <v>46049</v>
      </c>
      <c r="D396" s="13">
        <v>6</v>
      </c>
      <c r="E396" s="14"/>
      <c r="F396" s="13">
        <v>0</v>
      </c>
      <c r="G396" s="5">
        <v>0</v>
      </c>
      <c r="H396" s="5">
        <v>0</v>
      </c>
      <c r="I396" s="13">
        <v>0</v>
      </c>
      <c r="K396" s="13">
        <v>0</v>
      </c>
      <c r="L396" s="13">
        <v>0</v>
      </c>
      <c r="N396" s="5">
        <f t="shared" si="6"/>
        <v>14.098901098901099</v>
      </c>
      <c r="O396" s="13">
        <v>0</v>
      </c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</row>
    <row r="397" spans="2:88" ht="15.75">
      <c r="B397" s="11">
        <v>393</v>
      </c>
      <c r="C397" s="12">
        <v>46050</v>
      </c>
      <c r="D397" s="13">
        <v>16</v>
      </c>
      <c r="E397" s="14"/>
      <c r="F397" s="13">
        <v>0</v>
      </c>
      <c r="G397" s="5">
        <v>0</v>
      </c>
      <c r="H397" s="5">
        <v>0</v>
      </c>
      <c r="I397" s="13">
        <v>0</v>
      </c>
      <c r="K397" s="13">
        <v>0</v>
      </c>
      <c r="L397" s="13">
        <v>0</v>
      </c>
      <c r="N397" s="5">
        <f t="shared" si="6"/>
        <v>14.098901098901099</v>
      </c>
      <c r="O397" s="13">
        <v>0</v>
      </c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</row>
    <row r="398" spans="2:88" ht="15.75">
      <c r="B398" s="11">
        <v>394</v>
      </c>
      <c r="C398" s="12">
        <v>46051</v>
      </c>
      <c r="D398" s="13">
        <v>13</v>
      </c>
      <c r="E398" s="14"/>
      <c r="F398" s="13">
        <v>0</v>
      </c>
      <c r="G398" s="5">
        <v>0</v>
      </c>
      <c r="H398" s="5">
        <v>0</v>
      </c>
      <c r="I398" s="13">
        <v>0</v>
      </c>
      <c r="K398" s="13">
        <v>0</v>
      </c>
      <c r="L398" s="13">
        <v>0</v>
      </c>
      <c r="N398" s="5">
        <f t="shared" si="6"/>
        <v>14.098901098901099</v>
      </c>
      <c r="O398" s="13">
        <v>0</v>
      </c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</row>
    <row r="399" spans="2:88" ht="15.75">
      <c r="B399" s="11">
        <v>395</v>
      </c>
      <c r="C399" s="12">
        <v>46052</v>
      </c>
      <c r="D399" s="13">
        <v>10</v>
      </c>
      <c r="E399" s="14"/>
      <c r="F399" s="13">
        <v>0</v>
      </c>
      <c r="G399" s="5">
        <v>0</v>
      </c>
      <c r="H399" s="5">
        <v>0</v>
      </c>
      <c r="I399" s="13">
        <v>0</v>
      </c>
      <c r="K399" s="13">
        <v>0</v>
      </c>
      <c r="L399" s="13">
        <v>0</v>
      </c>
      <c r="N399" s="5">
        <f t="shared" si="6"/>
        <v>14.098901098901099</v>
      </c>
      <c r="O399" s="13">
        <v>0</v>
      </c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</row>
    <row r="400" spans="2:88" ht="15.75">
      <c r="B400" s="11">
        <v>396</v>
      </c>
      <c r="C400" s="12">
        <v>46053</v>
      </c>
      <c r="D400" s="13">
        <v>4</v>
      </c>
      <c r="E400" s="14"/>
      <c r="F400" s="13">
        <v>0</v>
      </c>
      <c r="G400" s="5">
        <v>0</v>
      </c>
      <c r="H400" s="5">
        <v>0</v>
      </c>
      <c r="I400" s="13">
        <v>0</v>
      </c>
      <c r="K400" s="13">
        <v>0</v>
      </c>
      <c r="L400" s="13">
        <v>0</v>
      </c>
      <c r="N400" s="5">
        <f t="shared" si="6"/>
        <v>14.098901098901099</v>
      </c>
      <c r="O400" s="13">
        <v>0</v>
      </c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</row>
    <row r="401" spans="2:88" ht="15.75">
      <c r="B401" s="11">
        <v>397</v>
      </c>
      <c r="C401" s="12">
        <v>46054</v>
      </c>
      <c r="D401" s="13">
        <v>21</v>
      </c>
      <c r="E401" s="14"/>
      <c r="F401" s="13">
        <v>0</v>
      </c>
      <c r="G401" s="5">
        <v>0</v>
      </c>
      <c r="H401" s="5">
        <v>0</v>
      </c>
      <c r="I401" s="13">
        <v>0</v>
      </c>
      <c r="K401" s="13">
        <v>0</v>
      </c>
      <c r="L401" s="13">
        <v>0</v>
      </c>
      <c r="N401" s="5">
        <f t="shared" si="6"/>
        <v>14.098901098901099</v>
      </c>
      <c r="O401" s="13">
        <v>0</v>
      </c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</row>
    <row r="402" spans="2:88" ht="15.75">
      <c r="B402" s="11">
        <v>398</v>
      </c>
      <c r="C402" s="12">
        <v>46055</v>
      </c>
      <c r="D402" s="13">
        <v>11</v>
      </c>
      <c r="E402" s="14"/>
      <c r="F402" s="13">
        <v>0</v>
      </c>
      <c r="G402" s="5">
        <v>0</v>
      </c>
      <c r="H402" s="5">
        <v>0</v>
      </c>
      <c r="I402" s="13">
        <v>0</v>
      </c>
      <c r="K402" s="13">
        <v>0</v>
      </c>
      <c r="L402" s="13">
        <v>0</v>
      </c>
      <c r="N402" s="5">
        <f t="shared" si="6"/>
        <v>14.098901098901099</v>
      </c>
      <c r="O402" s="13">
        <v>0</v>
      </c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</row>
    <row r="403" spans="2:88" ht="15.75">
      <c r="B403" s="11">
        <v>399</v>
      </c>
      <c r="C403" s="12">
        <v>46056</v>
      </c>
      <c r="D403" s="13">
        <v>5</v>
      </c>
      <c r="E403" s="14"/>
      <c r="F403" s="13">
        <v>0</v>
      </c>
      <c r="G403" s="5">
        <v>0</v>
      </c>
      <c r="H403" s="5">
        <v>0</v>
      </c>
      <c r="I403" s="13">
        <v>0</v>
      </c>
      <c r="K403" s="13">
        <v>0</v>
      </c>
      <c r="L403" s="13">
        <v>0</v>
      </c>
      <c r="N403" s="5">
        <f t="shared" si="6"/>
        <v>14.098901098901099</v>
      </c>
      <c r="O403" s="13">
        <v>0</v>
      </c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</row>
    <row r="404" spans="2:88" ht="15.75">
      <c r="B404" s="11">
        <v>400</v>
      </c>
      <c r="C404" s="12">
        <v>46057</v>
      </c>
      <c r="D404" s="13">
        <v>4</v>
      </c>
      <c r="E404" s="14"/>
      <c r="F404" s="13">
        <v>0</v>
      </c>
      <c r="G404" s="5">
        <v>0</v>
      </c>
      <c r="H404" s="5">
        <v>0</v>
      </c>
      <c r="I404" s="13">
        <v>0</v>
      </c>
      <c r="K404" s="13">
        <v>0</v>
      </c>
      <c r="L404" s="13">
        <v>0</v>
      </c>
      <c r="N404" s="5">
        <f t="shared" si="6"/>
        <v>14.098901098901099</v>
      </c>
      <c r="O404" s="13">
        <v>0</v>
      </c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</row>
    <row r="405" spans="2:88" ht="15.75">
      <c r="B405" s="11">
        <v>401</v>
      </c>
      <c r="C405" s="12">
        <v>46058</v>
      </c>
      <c r="D405" s="13">
        <v>18</v>
      </c>
      <c r="E405" s="14"/>
      <c r="F405" s="13">
        <v>0</v>
      </c>
      <c r="G405" s="5">
        <v>0</v>
      </c>
      <c r="H405" s="5">
        <v>0</v>
      </c>
      <c r="I405" s="13">
        <v>0</v>
      </c>
      <c r="K405" s="13">
        <v>0</v>
      </c>
      <c r="L405" s="13">
        <v>0</v>
      </c>
      <c r="N405" s="5">
        <f t="shared" si="6"/>
        <v>14.098901098901099</v>
      </c>
      <c r="O405" s="13">
        <v>0</v>
      </c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</row>
    <row r="406" spans="2:88" ht="15.75">
      <c r="B406" s="11">
        <v>402</v>
      </c>
      <c r="C406" s="12">
        <v>46059</v>
      </c>
      <c r="D406" s="13">
        <v>21</v>
      </c>
      <c r="E406" s="14"/>
      <c r="F406" s="13">
        <v>0</v>
      </c>
      <c r="G406" s="5">
        <v>0</v>
      </c>
      <c r="H406" s="5">
        <v>0</v>
      </c>
      <c r="I406" s="13">
        <v>0</v>
      </c>
      <c r="K406" s="13">
        <v>0</v>
      </c>
      <c r="L406" s="13">
        <v>0</v>
      </c>
      <c r="N406" s="5">
        <f t="shared" si="6"/>
        <v>14.098901098901099</v>
      </c>
      <c r="O406" s="13">
        <v>0</v>
      </c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</row>
    <row r="407" spans="2:88" ht="15.75">
      <c r="B407" s="11">
        <v>403</v>
      </c>
      <c r="C407" s="12">
        <v>46060</v>
      </c>
      <c r="D407" s="13">
        <v>24</v>
      </c>
      <c r="E407" s="14"/>
      <c r="F407" s="13">
        <v>0</v>
      </c>
      <c r="G407" s="5">
        <v>0</v>
      </c>
      <c r="H407" s="5">
        <v>0</v>
      </c>
      <c r="I407" s="13">
        <v>0</v>
      </c>
      <c r="K407" s="13">
        <v>0</v>
      </c>
      <c r="L407" s="13">
        <v>0</v>
      </c>
      <c r="N407" s="5">
        <f t="shared" si="6"/>
        <v>14.098901098901099</v>
      </c>
      <c r="O407" s="13">
        <v>0</v>
      </c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</row>
    <row r="408" spans="2:88" ht="15.75">
      <c r="B408" s="11">
        <v>404</v>
      </c>
      <c r="C408" s="12">
        <v>46061</v>
      </c>
      <c r="D408" s="13">
        <v>4</v>
      </c>
      <c r="E408" s="14"/>
      <c r="F408" s="13">
        <v>0</v>
      </c>
      <c r="G408" s="5">
        <v>0</v>
      </c>
      <c r="H408" s="5">
        <v>0</v>
      </c>
      <c r="I408" s="13">
        <v>0</v>
      </c>
      <c r="K408" s="13">
        <v>0</v>
      </c>
      <c r="L408" s="13">
        <v>0</v>
      </c>
      <c r="N408" s="5">
        <f t="shared" si="6"/>
        <v>14.098901098901099</v>
      </c>
      <c r="O408" s="13">
        <v>0</v>
      </c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</row>
    <row r="409" spans="2:88" ht="15.75">
      <c r="B409" s="11">
        <v>405</v>
      </c>
      <c r="C409" s="12">
        <v>46062</v>
      </c>
      <c r="D409" s="13">
        <v>5</v>
      </c>
      <c r="E409" s="14"/>
      <c r="F409" s="13">
        <v>0</v>
      </c>
      <c r="G409" s="5">
        <v>0</v>
      </c>
      <c r="H409" s="5">
        <v>0</v>
      </c>
      <c r="I409" s="13">
        <v>0</v>
      </c>
      <c r="K409" s="13">
        <v>0</v>
      </c>
      <c r="L409" s="13">
        <v>0</v>
      </c>
      <c r="N409" s="5">
        <f t="shared" si="6"/>
        <v>14.098901098901099</v>
      </c>
      <c r="O409" s="13">
        <v>0</v>
      </c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</row>
    <row r="410" spans="2:88" ht="15.75">
      <c r="B410" s="11">
        <v>406</v>
      </c>
      <c r="C410" s="12">
        <v>46063</v>
      </c>
      <c r="D410" s="13">
        <v>12</v>
      </c>
      <c r="E410" s="14"/>
      <c r="F410" s="13">
        <v>0</v>
      </c>
      <c r="G410" s="5">
        <v>0</v>
      </c>
      <c r="H410" s="5">
        <v>0</v>
      </c>
      <c r="I410" s="13">
        <v>0</v>
      </c>
      <c r="K410" s="13">
        <v>0</v>
      </c>
      <c r="L410" s="13">
        <v>0</v>
      </c>
      <c r="N410" s="5">
        <f t="shared" si="6"/>
        <v>14.098901098901099</v>
      </c>
      <c r="O410" s="13">
        <v>0</v>
      </c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</row>
    <row r="411" spans="2:88" ht="15.75">
      <c r="B411" s="11">
        <v>407</v>
      </c>
      <c r="C411" s="12">
        <v>46064</v>
      </c>
      <c r="D411" s="13">
        <v>18</v>
      </c>
      <c r="E411" s="14"/>
      <c r="F411" s="13">
        <v>0</v>
      </c>
      <c r="G411" s="5">
        <v>0</v>
      </c>
      <c r="H411" s="5">
        <v>0</v>
      </c>
      <c r="I411" s="13">
        <v>0</v>
      </c>
      <c r="K411" s="13">
        <v>0</v>
      </c>
      <c r="L411" s="13">
        <v>0</v>
      </c>
      <c r="N411" s="5">
        <f t="shared" si="6"/>
        <v>14.098901098901099</v>
      </c>
      <c r="O411" s="13">
        <v>0</v>
      </c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</row>
    <row r="412" spans="2:88" ht="15.75">
      <c r="B412" s="11">
        <v>408</v>
      </c>
      <c r="C412" s="12">
        <v>46065</v>
      </c>
      <c r="D412" s="13">
        <v>10</v>
      </c>
      <c r="E412" s="14"/>
      <c r="F412" s="13">
        <v>0</v>
      </c>
      <c r="G412" s="5">
        <v>0</v>
      </c>
      <c r="H412" s="5">
        <v>0</v>
      </c>
      <c r="I412" s="13">
        <v>0</v>
      </c>
      <c r="K412" s="13">
        <v>0</v>
      </c>
      <c r="L412" s="13">
        <v>0</v>
      </c>
      <c r="N412" s="5">
        <f t="shared" si="6"/>
        <v>14.098901098901099</v>
      </c>
      <c r="O412" s="13">
        <v>0</v>
      </c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</row>
    <row r="413" spans="2:88" ht="15.75">
      <c r="B413" s="11">
        <v>409</v>
      </c>
      <c r="C413" s="12">
        <v>46066</v>
      </c>
      <c r="D413" s="13">
        <v>9</v>
      </c>
      <c r="E413" s="14"/>
      <c r="F413" s="13">
        <v>0</v>
      </c>
      <c r="G413" s="5">
        <v>0</v>
      </c>
      <c r="H413" s="5">
        <v>0</v>
      </c>
      <c r="I413" s="13">
        <v>0</v>
      </c>
      <c r="K413" s="13">
        <v>0</v>
      </c>
      <c r="L413" s="13">
        <v>0</v>
      </c>
      <c r="N413" s="5">
        <f t="shared" si="6"/>
        <v>14.098901098901099</v>
      </c>
      <c r="O413" s="13">
        <v>0</v>
      </c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</row>
    <row r="414" spans="2:88" ht="15.75">
      <c r="B414" s="11">
        <v>410</v>
      </c>
      <c r="C414" s="12">
        <v>46067</v>
      </c>
      <c r="D414" s="13">
        <v>33</v>
      </c>
      <c r="E414" s="14"/>
      <c r="F414" s="13">
        <v>0</v>
      </c>
      <c r="G414" s="5">
        <v>0</v>
      </c>
      <c r="H414" s="5">
        <v>0</v>
      </c>
      <c r="I414" s="13">
        <v>0</v>
      </c>
      <c r="K414" s="13">
        <v>0</v>
      </c>
      <c r="L414" s="13">
        <v>0</v>
      </c>
      <c r="N414" s="5">
        <f t="shared" si="6"/>
        <v>14.098901098901099</v>
      </c>
      <c r="O414" s="13">
        <v>0</v>
      </c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</row>
    <row r="415" spans="2:88" ht="15.75">
      <c r="B415" s="11">
        <v>411</v>
      </c>
      <c r="C415" s="12">
        <v>46068</v>
      </c>
      <c r="D415" s="13">
        <v>22</v>
      </c>
      <c r="E415" s="14"/>
      <c r="F415" s="13">
        <v>0</v>
      </c>
      <c r="G415" s="5">
        <v>0</v>
      </c>
      <c r="H415" s="5">
        <v>0</v>
      </c>
      <c r="I415" s="13">
        <v>0</v>
      </c>
      <c r="K415" s="13">
        <v>0</v>
      </c>
      <c r="L415" s="13">
        <v>0</v>
      </c>
      <c r="N415" s="5">
        <f t="shared" si="6"/>
        <v>14.098901098901099</v>
      </c>
      <c r="O415" s="13">
        <v>0</v>
      </c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</row>
    <row r="416" spans="2:88" ht="15.75">
      <c r="B416" s="11">
        <v>412</v>
      </c>
      <c r="C416" s="12">
        <v>46069</v>
      </c>
      <c r="D416" s="13">
        <v>63</v>
      </c>
      <c r="E416" s="14"/>
      <c r="F416" s="13">
        <v>0</v>
      </c>
      <c r="G416" s="5">
        <v>0</v>
      </c>
      <c r="H416" s="5">
        <v>0</v>
      </c>
      <c r="I416" s="13">
        <v>0</v>
      </c>
      <c r="K416" s="13">
        <v>0</v>
      </c>
      <c r="L416" s="13">
        <v>0</v>
      </c>
      <c r="N416" s="5">
        <f t="shared" si="6"/>
        <v>14.098901098901099</v>
      </c>
      <c r="O416" s="13">
        <v>0</v>
      </c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</row>
    <row r="417" spans="2:88" ht="15.75">
      <c r="B417" s="11">
        <v>413</v>
      </c>
      <c r="C417" s="12">
        <v>46070</v>
      </c>
      <c r="D417" s="13">
        <v>25</v>
      </c>
      <c r="E417" s="14"/>
      <c r="F417" s="13">
        <v>0</v>
      </c>
      <c r="G417" s="5">
        <v>0</v>
      </c>
      <c r="H417" s="5">
        <v>0</v>
      </c>
      <c r="I417" s="13">
        <v>0</v>
      </c>
      <c r="K417" s="13">
        <v>0</v>
      </c>
      <c r="L417" s="13">
        <v>0</v>
      </c>
      <c r="N417" s="5">
        <f t="shared" si="6"/>
        <v>14.098901098901099</v>
      </c>
      <c r="O417" s="13">
        <v>0</v>
      </c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</row>
    <row r="418" spans="2:88" ht="15.75">
      <c r="B418" s="11">
        <v>414</v>
      </c>
      <c r="C418" s="12">
        <v>46071</v>
      </c>
      <c r="D418" s="13">
        <v>19</v>
      </c>
      <c r="E418" s="14"/>
      <c r="F418" s="13">
        <v>0</v>
      </c>
      <c r="G418" s="5">
        <v>0</v>
      </c>
      <c r="H418" s="5">
        <v>0</v>
      </c>
      <c r="I418" s="13">
        <v>0</v>
      </c>
      <c r="K418" s="13">
        <v>0</v>
      </c>
      <c r="L418" s="13">
        <v>0</v>
      </c>
      <c r="N418" s="5">
        <f t="shared" si="6"/>
        <v>14.098901098901099</v>
      </c>
      <c r="O418" s="13">
        <v>0</v>
      </c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</row>
    <row r="419" spans="2:88" ht="15.75">
      <c r="B419" s="11">
        <v>415</v>
      </c>
      <c r="C419" s="12">
        <v>46072</v>
      </c>
      <c r="D419" s="13">
        <v>20</v>
      </c>
      <c r="E419" s="14"/>
      <c r="F419" s="13">
        <v>0</v>
      </c>
      <c r="G419" s="5">
        <v>0</v>
      </c>
      <c r="H419" s="5">
        <v>0</v>
      </c>
      <c r="I419" s="13">
        <v>0</v>
      </c>
      <c r="K419" s="13">
        <v>0</v>
      </c>
      <c r="L419" s="13">
        <v>0</v>
      </c>
      <c r="N419" s="5">
        <f t="shared" si="6"/>
        <v>14.098901098901099</v>
      </c>
      <c r="O419" s="13">
        <v>0</v>
      </c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</row>
    <row r="420" spans="2:88" ht="15.75">
      <c r="B420" s="11">
        <v>416</v>
      </c>
      <c r="C420" s="12">
        <v>46073</v>
      </c>
      <c r="D420" s="13">
        <v>15</v>
      </c>
      <c r="E420" s="14"/>
      <c r="F420" s="13">
        <v>0</v>
      </c>
      <c r="G420" s="5">
        <v>0</v>
      </c>
      <c r="H420" s="5">
        <v>0</v>
      </c>
      <c r="I420" s="13">
        <v>0</v>
      </c>
      <c r="K420" s="13">
        <v>0</v>
      </c>
      <c r="L420" s="13">
        <v>0</v>
      </c>
      <c r="N420" s="5">
        <f t="shared" si="6"/>
        <v>14.098901098901099</v>
      </c>
      <c r="O420" s="13">
        <v>0</v>
      </c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</row>
    <row r="421" spans="2:88" ht="15.75">
      <c r="B421" s="11">
        <v>417</v>
      </c>
      <c r="C421" s="12">
        <v>46074</v>
      </c>
      <c r="D421" s="13">
        <v>21</v>
      </c>
      <c r="E421" s="14"/>
      <c r="F421" s="13">
        <v>0</v>
      </c>
      <c r="G421" s="5">
        <v>0</v>
      </c>
      <c r="H421" s="5">
        <v>0</v>
      </c>
      <c r="I421" s="13">
        <v>0</v>
      </c>
      <c r="K421" s="13">
        <v>0</v>
      </c>
      <c r="L421" s="13">
        <v>0</v>
      </c>
      <c r="N421" s="5">
        <f t="shared" si="6"/>
        <v>14.098901098901099</v>
      </c>
      <c r="O421" s="13">
        <v>0</v>
      </c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</row>
    <row r="422" spans="2:88" ht="15.75">
      <c r="B422" s="11">
        <v>418</v>
      </c>
      <c r="C422" s="12">
        <v>46075</v>
      </c>
      <c r="D422" s="13">
        <v>25</v>
      </c>
      <c r="E422" s="14"/>
      <c r="F422" s="13">
        <v>0</v>
      </c>
      <c r="G422" s="5">
        <v>0</v>
      </c>
      <c r="H422" s="5">
        <v>0</v>
      </c>
      <c r="I422" s="13">
        <v>0</v>
      </c>
      <c r="K422" s="13">
        <v>0</v>
      </c>
      <c r="L422" s="13">
        <v>0</v>
      </c>
      <c r="N422" s="5">
        <f t="shared" si="6"/>
        <v>14.098901098901099</v>
      </c>
      <c r="O422" s="13">
        <v>0</v>
      </c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</row>
    <row r="423" spans="2:88" ht="15.75">
      <c r="B423" s="11">
        <v>419</v>
      </c>
      <c r="C423" s="12">
        <v>46076</v>
      </c>
      <c r="D423" s="13">
        <v>15</v>
      </c>
      <c r="E423" s="14"/>
      <c r="F423" s="13">
        <v>0</v>
      </c>
      <c r="G423" s="5">
        <v>0</v>
      </c>
      <c r="H423" s="5">
        <v>0</v>
      </c>
      <c r="I423" s="13">
        <v>0</v>
      </c>
      <c r="K423" s="13">
        <v>0</v>
      </c>
      <c r="L423" s="13">
        <v>0</v>
      </c>
      <c r="N423" s="5">
        <f t="shared" si="6"/>
        <v>14.098901098901099</v>
      </c>
      <c r="O423" s="13">
        <v>0</v>
      </c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</row>
    <row r="424" spans="2:88" ht="15.75">
      <c r="B424" s="11">
        <v>420</v>
      </c>
      <c r="C424" s="12">
        <v>46077</v>
      </c>
      <c r="D424" s="13">
        <v>23</v>
      </c>
      <c r="E424" s="14"/>
      <c r="F424" s="13">
        <v>0</v>
      </c>
      <c r="G424" s="5">
        <v>0</v>
      </c>
      <c r="H424" s="5">
        <v>0</v>
      </c>
      <c r="I424" s="13">
        <v>0</v>
      </c>
      <c r="K424" s="13">
        <v>0</v>
      </c>
      <c r="L424" s="13">
        <v>0</v>
      </c>
      <c r="N424" s="5">
        <f t="shared" si="6"/>
        <v>14.098901098901099</v>
      </c>
      <c r="O424" s="13">
        <v>0</v>
      </c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</row>
    <row r="425" spans="2:88" ht="15.75">
      <c r="B425" s="11">
        <v>421</v>
      </c>
      <c r="C425" s="12">
        <v>46078</v>
      </c>
      <c r="D425" s="13">
        <v>16</v>
      </c>
      <c r="E425" s="14"/>
      <c r="F425" s="13">
        <v>0</v>
      </c>
      <c r="G425" s="5">
        <v>0</v>
      </c>
      <c r="H425" s="5">
        <v>0</v>
      </c>
      <c r="I425" s="13">
        <v>0</v>
      </c>
      <c r="K425" s="13">
        <v>0</v>
      </c>
      <c r="L425" s="13">
        <v>0</v>
      </c>
      <c r="N425" s="5">
        <f t="shared" si="6"/>
        <v>14.098901098901099</v>
      </c>
      <c r="O425" s="13">
        <v>0</v>
      </c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</row>
    <row r="426" spans="2:88" ht="15.75">
      <c r="B426" s="11">
        <v>422</v>
      </c>
      <c r="C426" s="12">
        <v>46079</v>
      </c>
      <c r="D426" s="13">
        <v>19</v>
      </c>
      <c r="E426" s="14"/>
      <c r="F426" s="13">
        <v>0</v>
      </c>
      <c r="G426" s="5">
        <v>0</v>
      </c>
      <c r="H426" s="5">
        <v>0</v>
      </c>
      <c r="I426" s="13">
        <v>0</v>
      </c>
      <c r="K426" s="13">
        <v>0</v>
      </c>
      <c r="L426" s="13">
        <v>0</v>
      </c>
      <c r="N426" s="5">
        <f t="shared" si="6"/>
        <v>14.098901098901099</v>
      </c>
      <c r="O426" s="13">
        <v>0</v>
      </c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</row>
    <row r="427" spans="2:88" ht="15.75">
      <c r="B427" s="11">
        <v>423</v>
      </c>
      <c r="C427" s="12">
        <v>46080</v>
      </c>
      <c r="D427" s="13">
        <v>18</v>
      </c>
      <c r="E427" s="14"/>
      <c r="F427" s="13">
        <v>0</v>
      </c>
      <c r="G427" s="5">
        <v>0</v>
      </c>
      <c r="H427" s="5">
        <v>0</v>
      </c>
      <c r="I427" s="13">
        <v>0</v>
      </c>
      <c r="K427" s="13">
        <v>0</v>
      </c>
      <c r="L427" s="13">
        <v>0</v>
      </c>
      <c r="N427" s="5">
        <f t="shared" si="6"/>
        <v>14.098901098901099</v>
      </c>
      <c r="O427" s="13">
        <v>0</v>
      </c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</row>
    <row r="428" spans="2:88" ht="15.75">
      <c r="B428" s="11">
        <v>424</v>
      </c>
      <c r="C428" s="12">
        <v>46081</v>
      </c>
      <c r="D428" s="13">
        <v>22</v>
      </c>
      <c r="E428" s="14"/>
      <c r="F428" s="13">
        <v>0</v>
      </c>
      <c r="G428" s="5">
        <v>0</v>
      </c>
      <c r="H428" s="5">
        <v>0</v>
      </c>
      <c r="I428" s="13">
        <v>0</v>
      </c>
      <c r="K428" s="13">
        <v>0</v>
      </c>
      <c r="L428" s="13">
        <v>0</v>
      </c>
      <c r="N428" s="5">
        <f t="shared" si="6"/>
        <v>14.098901098901099</v>
      </c>
      <c r="O428" s="13">
        <v>0</v>
      </c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</row>
    <row r="429" spans="2:88" ht="15.75">
      <c r="B429" s="11">
        <v>425</v>
      </c>
      <c r="C429" s="12">
        <v>46082</v>
      </c>
      <c r="D429" s="13">
        <v>23</v>
      </c>
      <c r="E429" s="14"/>
      <c r="F429" s="13">
        <v>0</v>
      </c>
      <c r="G429" s="5">
        <v>0</v>
      </c>
      <c r="H429" s="5">
        <v>0</v>
      </c>
      <c r="I429" s="13">
        <v>0</v>
      </c>
      <c r="K429" s="13">
        <v>0</v>
      </c>
      <c r="L429" s="13">
        <v>0</v>
      </c>
      <c r="N429" s="5">
        <f t="shared" si="6"/>
        <v>14.098901098901099</v>
      </c>
      <c r="O429" s="13">
        <v>0</v>
      </c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</row>
    <row r="430" spans="2:88" ht="15.75">
      <c r="B430" s="11">
        <v>426</v>
      </c>
      <c r="C430" s="12">
        <v>46083</v>
      </c>
      <c r="D430" s="13">
        <v>27</v>
      </c>
      <c r="E430" s="14"/>
      <c r="F430" s="13">
        <v>0</v>
      </c>
      <c r="G430" s="5">
        <v>0</v>
      </c>
      <c r="H430" s="5">
        <v>0</v>
      </c>
      <c r="I430" s="13">
        <v>0</v>
      </c>
      <c r="K430" s="13">
        <v>0</v>
      </c>
      <c r="L430" s="13">
        <v>0</v>
      </c>
      <c r="N430" s="5">
        <f t="shared" si="6"/>
        <v>14.098901098901099</v>
      </c>
      <c r="O430" s="13">
        <v>0</v>
      </c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</row>
    <row r="431" spans="2:88" ht="15.75">
      <c r="B431" s="11">
        <v>427</v>
      </c>
      <c r="C431" s="12">
        <v>46084</v>
      </c>
      <c r="D431" s="13">
        <v>19</v>
      </c>
      <c r="E431" s="14"/>
      <c r="F431" s="13">
        <v>0</v>
      </c>
      <c r="G431" s="5">
        <v>0</v>
      </c>
      <c r="H431" s="5">
        <v>0</v>
      </c>
      <c r="I431" s="13">
        <v>0</v>
      </c>
      <c r="K431" s="13">
        <v>0</v>
      </c>
      <c r="L431" s="13">
        <v>0</v>
      </c>
      <c r="N431" s="5">
        <f t="shared" si="6"/>
        <v>14.098901098901099</v>
      </c>
      <c r="O431" s="13">
        <v>0</v>
      </c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</row>
    <row r="432" spans="2:88" ht="15.75">
      <c r="B432" s="11">
        <v>428</v>
      </c>
      <c r="C432" s="12">
        <v>46085</v>
      </c>
      <c r="D432" s="13">
        <v>47</v>
      </c>
      <c r="E432" s="14"/>
      <c r="F432" s="13">
        <v>0</v>
      </c>
      <c r="G432" s="5">
        <v>0</v>
      </c>
      <c r="H432" s="5">
        <v>0</v>
      </c>
      <c r="I432" s="13">
        <v>0</v>
      </c>
      <c r="K432" s="13">
        <v>0</v>
      </c>
      <c r="L432" s="13">
        <v>0</v>
      </c>
      <c r="N432" s="5">
        <f t="shared" si="6"/>
        <v>14.098901098901099</v>
      </c>
      <c r="O432" s="13">
        <v>0</v>
      </c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</row>
    <row r="433" spans="2:88" ht="15.75">
      <c r="B433" s="11">
        <v>429</v>
      </c>
      <c r="C433" s="12">
        <v>46086</v>
      </c>
      <c r="D433" s="13">
        <v>15</v>
      </c>
      <c r="E433" s="14"/>
      <c r="F433" s="13">
        <v>0</v>
      </c>
      <c r="G433" s="5">
        <v>0</v>
      </c>
      <c r="H433" s="5">
        <v>0</v>
      </c>
      <c r="I433" s="13">
        <v>0</v>
      </c>
      <c r="K433" s="13">
        <v>0</v>
      </c>
      <c r="L433" s="13">
        <v>0</v>
      </c>
      <c r="N433" s="5">
        <f t="shared" si="6"/>
        <v>14.098901098901099</v>
      </c>
      <c r="O433" s="13">
        <v>0</v>
      </c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</row>
    <row r="434" spans="2:88" ht="15.75">
      <c r="B434" s="11">
        <v>430</v>
      </c>
      <c r="C434" s="12">
        <v>46087</v>
      </c>
      <c r="D434" s="13">
        <v>5</v>
      </c>
      <c r="E434" s="14"/>
      <c r="F434" s="13">
        <v>0</v>
      </c>
      <c r="G434" s="5">
        <v>0</v>
      </c>
      <c r="H434" s="5">
        <v>0</v>
      </c>
      <c r="I434" s="13">
        <v>0</v>
      </c>
      <c r="K434" s="13">
        <v>0</v>
      </c>
      <c r="L434" s="13">
        <v>0</v>
      </c>
      <c r="N434" s="5">
        <f t="shared" si="6"/>
        <v>14.098901098901099</v>
      </c>
      <c r="O434" s="13">
        <v>0</v>
      </c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</row>
    <row r="435" spans="2:88" ht="15.75">
      <c r="B435" s="11">
        <v>431</v>
      </c>
      <c r="C435" s="12">
        <v>46088</v>
      </c>
      <c r="D435" s="13">
        <v>17</v>
      </c>
      <c r="E435" s="14"/>
      <c r="F435" s="13">
        <v>0</v>
      </c>
      <c r="G435" s="5">
        <v>0</v>
      </c>
      <c r="H435" s="5">
        <v>0</v>
      </c>
      <c r="I435" s="13">
        <v>0</v>
      </c>
      <c r="K435" s="13">
        <v>0</v>
      </c>
      <c r="L435" s="13">
        <v>0</v>
      </c>
      <c r="N435" s="5">
        <f t="shared" si="6"/>
        <v>14.098901098901099</v>
      </c>
      <c r="O435" s="13">
        <v>0</v>
      </c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</row>
    <row r="436" spans="2:88" ht="15.75">
      <c r="B436" s="11">
        <v>432</v>
      </c>
      <c r="C436" s="12">
        <v>46089</v>
      </c>
      <c r="D436" s="13">
        <v>39</v>
      </c>
      <c r="E436" s="14"/>
      <c r="F436" s="13">
        <v>0</v>
      </c>
      <c r="G436" s="5">
        <v>0</v>
      </c>
      <c r="H436" s="5">
        <v>0</v>
      </c>
      <c r="I436" s="13">
        <v>0</v>
      </c>
      <c r="K436" s="13">
        <v>0</v>
      </c>
      <c r="L436" s="13">
        <v>0</v>
      </c>
      <c r="N436" s="5">
        <f t="shared" si="6"/>
        <v>14.098901098901099</v>
      </c>
      <c r="O436" s="13">
        <v>0</v>
      </c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</row>
    <row r="437" spans="2:88" ht="15.75">
      <c r="B437" s="11">
        <v>433</v>
      </c>
      <c r="C437" s="12">
        <v>46090</v>
      </c>
      <c r="D437" s="13">
        <v>16</v>
      </c>
      <c r="E437" s="14"/>
      <c r="F437" s="13">
        <v>0</v>
      </c>
      <c r="G437" s="5">
        <v>0</v>
      </c>
      <c r="H437" s="5">
        <v>0</v>
      </c>
      <c r="I437" s="13">
        <v>0</v>
      </c>
      <c r="K437" s="13">
        <v>0</v>
      </c>
      <c r="L437" s="13">
        <v>0</v>
      </c>
      <c r="N437" s="5">
        <f t="shared" si="6"/>
        <v>14.098901098901099</v>
      </c>
      <c r="O437" s="13">
        <v>0</v>
      </c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</row>
    <row r="438" spans="2:88" ht="15.75">
      <c r="B438" s="11">
        <v>434</v>
      </c>
      <c r="C438" s="12">
        <v>46091</v>
      </c>
      <c r="D438" s="13">
        <v>43</v>
      </c>
      <c r="E438" s="14"/>
      <c r="F438" s="13">
        <v>0</v>
      </c>
      <c r="G438" s="5">
        <v>0</v>
      </c>
      <c r="H438" s="5">
        <v>0</v>
      </c>
      <c r="I438" s="13">
        <v>0</v>
      </c>
      <c r="K438" s="13">
        <v>0</v>
      </c>
      <c r="L438" s="13">
        <v>0</v>
      </c>
      <c r="N438" s="5">
        <f t="shared" si="6"/>
        <v>14.098901098901099</v>
      </c>
      <c r="O438" s="13">
        <v>0</v>
      </c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</row>
    <row r="439" spans="2:88" ht="15.75">
      <c r="B439" s="11">
        <v>435</v>
      </c>
      <c r="C439" s="12">
        <v>46092</v>
      </c>
      <c r="D439" s="13">
        <v>19</v>
      </c>
      <c r="E439" s="14"/>
      <c r="F439" s="13">
        <v>0</v>
      </c>
      <c r="G439" s="5">
        <v>0</v>
      </c>
      <c r="H439" s="5">
        <v>0</v>
      </c>
      <c r="I439" s="13">
        <v>0</v>
      </c>
      <c r="K439" s="13">
        <v>0</v>
      </c>
      <c r="L439" s="13">
        <v>0</v>
      </c>
      <c r="N439" s="5">
        <f t="shared" si="6"/>
        <v>14.098901098901099</v>
      </c>
      <c r="O439" s="13">
        <v>0</v>
      </c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</row>
    <row r="440" spans="2:88" ht="15.75">
      <c r="B440" s="11">
        <v>436</v>
      </c>
      <c r="C440" s="12">
        <v>46093</v>
      </c>
      <c r="D440" s="13">
        <v>51</v>
      </c>
      <c r="E440" s="14"/>
      <c r="F440" s="13">
        <v>0</v>
      </c>
      <c r="G440" s="5">
        <v>0</v>
      </c>
      <c r="H440" s="5">
        <v>0</v>
      </c>
      <c r="I440" s="13">
        <v>0</v>
      </c>
      <c r="K440" s="13">
        <v>0</v>
      </c>
      <c r="L440" s="13">
        <v>0</v>
      </c>
      <c r="N440" s="5">
        <f t="shared" si="6"/>
        <v>14.098901098901099</v>
      </c>
      <c r="O440" s="13">
        <v>0</v>
      </c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</row>
    <row r="441" spans="2:88" ht="15.75">
      <c r="B441" s="11">
        <v>437</v>
      </c>
      <c r="C441" s="12">
        <v>46094</v>
      </c>
      <c r="D441" s="13">
        <v>27</v>
      </c>
      <c r="E441" s="14"/>
      <c r="F441" s="13">
        <v>0</v>
      </c>
      <c r="G441" s="5">
        <v>0</v>
      </c>
      <c r="H441" s="5">
        <v>0</v>
      </c>
      <c r="I441" s="13">
        <v>0</v>
      </c>
      <c r="K441" s="13">
        <v>0</v>
      </c>
      <c r="L441" s="13">
        <v>0</v>
      </c>
      <c r="N441" s="5">
        <f t="shared" si="6"/>
        <v>14.098901098901099</v>
      </c>
      <c r="O441" s="13">
        <v>0</v>
      </c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</row>
    <row r="442" spans="2:88" ht="15.75">
      <c r="B442" s="11">
        <v>438</v>
      </c>
      <c r="C442" s="12">
        <v>46095</v>
      </c>
      <c r="D442" s="13">
        <v>28</v>
      </c>
      <c r="E442" s="14"/>
      <c r="F442" s="13">
        <v>0</v>
      </c>
      <c r="G442" s="5">
        <v>0</v>
      </c>
      <c r="H442" s="5">
        <v>0</v>
      </c>
      <c r="I442" s="13">
        <v>0</v>
      </c>
      <c r="K442" s="13">
        <v>0</v>
      </c>
      <c r="L442" s="13">
        <v>0</v>
      </c>
      <c r="N442" s="5">
        <f t="shared" si="6"/>
        <v>14.098901098901099</v>
      </c>
      <c r="O442" s="13">
        <v>0</v>
      </c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</row>
    <row r="443" spans="2:88" ht="15.75">
      <c r="B443" s="11">
        <v>439</v>
      </c>
      <c r="C443" s="12">
        <v>46096</v>
      </c>
      <c r="D443" s="13">
        <v>48</v>
      </c>
      <c r="E443" s="14"/>
      <c r="F443" s="13">
        <v>0</v>
      </c>
      <c r="G443" s="5">
        <v>0</v>
      </c>
      <c r="H443" s="5">
        <v>0</v>
      </c>
      <c r="I443" s="13">
        <v>0</v>
      </c>
      <c r="K443" s="13">
        <v>0</v>
      </c>
      <c r="L443" s="13">
        <v>0</v>
      </c>
      <c r="N443" s="5">
        <f t="shared" si="6"/>
        <v>14.098901098901099</v>
      </c>
      <c r="O443" s="13">
        <v>0</v>
      </c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</row>
    <row r="444" spans="2:88" ht="15.75">
      <c r="B444" s="11">
        <v>440</v>
      </c>
      <c r="C444" s="12">
        <v>46097</v>
      </c>
      <c r="D444" s="13">
        <v>14</v>
      </c>
      <c r="E444" s="14"/>
      <c r="F444" s="13">
        <v>0</v>
      </c>
      <c r="G444" s="5">
        <v>0</v>
      </c>
      <c r="H444" s="5">
        <v>0</v>
      </c>
      <c r="I444" s="13">
        <v>0</v>
      </c>
      <c r="K444" s="13">
        <v>0</v>
      </c>
      <c r="L444" s="13">
        <v>0</v>
      </c>
      <c r="N444" s="5">
        <f t="shared" si="6"/>
        <v>14.098901098901099</v>
      </c>
      <c r="O444" s="13">
        <v>0</v>
      </c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</row>
    <row r="445" spans="2:88" ht="15.75">
      <c r="B445" s="11">
        <v>441</v>
      </c>
      <c r="C445" s="12">
        <v>46098</v>
      </c>
      <c r="D445" s="13">
        <v>26</v>
      </c>
      <c r="E445" s="14"/>
      <c r="F445" s="13">
        <v>0</v>
      </c>
      <c r="G445" s="5">
        <v>0</v>
      </c>
      <c r="H445" s="5">
        <v>0</v>
      </c>
      <c r="I445" s="13">
        <v>0</v>
      </c>
      <c r="K445" s="13">
        <v>0</v>
      </c>
      <c r="L445" s="13">
        <v>0</v>
      </c>
      <c r="N445" s="5">
        <f t="shared" si="6"/>
        <v>14.098901098901099</v>
      </c>
      <c r="O445" s="13">
        <v>0</v>
      </c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</row>
    <row r="446" spans="2:88" ht="15.75">
      <c r="B446" s="11">
        <v>442</v>
      </c>
      <c r="C446" s="12">
        <v>46099</v>
      </c>
      <c r="D446" s="13">
        <v>46</v>
      </c>
      <c r="E446" s="14"/>
      <c r="F446" s="13">
        <v>0</v>
      </c>
      <c r="G446" s="5">
        <v>0</v>
      </c>
      <c r="H446" s="5">
        <v>0</v>
      </c>
      <c r="I446" s="13">
        <v>0</v>
      </c>
      <c r="K446" s="13">
        <v>0</v>
      </c>
      <c r="L446" s="13">
        <v>0</v>
      </c>
      <c r="N446" s="5">
        <f t="shared" si="6"/>
        <v>14.098901098901099</v>
      </c>
      <c r="O446" s="13">
        <v>0</v>
      </c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</row>
    <row r="447" spans="2:88" ht="15.75">
      <c r="B447" s="11">
        <v>443</v>
      </c>
      <c r="C447" s="12">
        <v>46100</v>
      </c>
      <c r="D447" s="13">
        <v>38</v>
      </c>
      <c r="E447" s="14"/>
      <c r="F447" s="13">
        <v>0</v>
      </c>
      <c r="G447" s="5">
        <v>0</v>
      </c>
      <c r="H447" s="5">
        <v>0</v>
      </c>
      <c r="I447" s="13">
        <v>0</v>
      </c>
      <c r="K447" s="13">
        <v>0</v>
      </c>
      <c r="L447" s="13">
        <v>0</v>
      </c>
      <c r="N447" s="5">
        <f t="shared" si="6"/>
        <v>14.098901098901099</v>
      </c>
      <c r="O447" s="13">
        <v>0</v>
      </c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</row>
    <row r="448" spans="2:88" ht="15.75">
      <c r="B448" s="11">
        <v>444</v>
      </c>
      <c r="C448" s="12">
        <v>46101</v>
      </c>
      <c r="D448" s="13">
        <v>13</v>
      </c>
      <c r="E448" s="14"/>
      <c r="F448" s="13">
        <v>0</v>
      </c>
      <c r="G448" s="5">
        <v>0</v>
      </c>
      <c r="H448" s="5">
        <v>0</v>
      </c>
      <c r="I448" s="13">
        <v>0</v>
      </c>
      <c r="K448" s="13">
        <v>0</v>
      </c>
      <c r="L448" s="13">
        <v>0</v>
      </c>
      <c r="N448" s="5">
        <f t="shared" si="6"/>
        <v>14.098901098901099</v>
      </c>
      <c r="O448" s="13">
        <v>0</v>
      </c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</row>
    <row r="449" spans="2:88" ht="15.75">
      <c r="B449" s="11">
        <v>445</v>
      </c>
      <c r="C449" s="12">
        <v>46102</v>
      </c>
      <c r="D449" s="13">
        <v>19</v>
      </c>
      <c r="E449" s="14"/>
      <c r="F449" s="13">
        <v>0</v>
      </c>
      <c r="G449" s="5">
        <v>0</v>
      </c>
      <c r="H449" s="5">
        <v>0</v>
      </c>
      <c r="I449" s="13">
        <v>0</v>
      </c>
      <c r="K449" s="13">
        <v>0</v>
      </c>
      <c r="L449" s="13">
        <v>0</v>
      </c>
      <c r="N449" s="5">
        <f t="shared" si="6"/>
        <v>14.098901098901099</v>
      </c>
      <c r="O449" s="13">
        <v>0</v>
      </c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</row>
    <row r="450" spans="2:88" ht="15.75">
      <c r="B450" s="11">
        <v>446</v>
      </c>
      <c r="C450" s="12">
        <v>46103</v>
      </c>
      <c r="D450" s="13">
        <v>48</v>
      </c>
      <c r="E450" s="14"/>
      <c r="F450" s="13">
        <v>0</v>
      </c>
      <c r="G450" s="5">
        <v>0</v>
      </c>
      <c r="H450" s="5">
        <v>0</v>
      </c>
      <c r="I450" s="13">
        <v>0</v>
      </c>
      <c r="K450" s="13">
        <v>0</v>
      </c>
      <c r="L450" s="13">
        <v>0</v>
      </c>
      <c r="N450" s="5">
        <f t="shared" si="6"/>
        <v>14.098901098901099</v>
      </c>
      <c r="O450" s="13">
        <v>0</v>
      </c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</row>
    <row r="451" spans="2:88" ht="15.75">
      <c r="B451" s="11">
        <v>447</v>
      </c>
      <c r="C451" s="12">
        <v>46104</v>
      </c>
      <c r="D451" s="13">
        <v>37</v>
      </c>
      <c r="E451" s="14"/>
      <c r="F451" s="13">
        <v>0</v>
      </c>
      <c r="G451" s="5">
        <v>0</v>
      </c>
      <c r="H451" s="5">
        <v>0</v>
      </c>
      <c r="I451" s="13">
        <v>0</v>
      </c>
      <c r="K451" s="13">
        <v>0</v>
      </c>
      <c r="L451" s="13">
        <v>0</v>
      </c>
      <c r="N451" s="5">
        <f t="shared" si="6"/>
        <v>14.098901098901099</v>
      </c>
      <c r="O451" s="13">
        <v>0</v>
      </c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</row>
    <row r="452" spans="2:88" ht="15.75">
      <c r="B452" s="11">
        <v>448</v>
      </c>
      <c r="C452" s="12">
        <v>46105</v>
      </c>
      <c r="D452" s="13">
        <v>49</v>
      </c>
      <c r="E452" s="14"/>
      <c r="F452" s="13">
        <v>0</v>
      </c>
      <c r="G452" s="5">
        <v>0</v>
      </c>
      <c r="H452" s="5">
        <v>0</v>
      </c>
      <c r="I452" s="13">
        <v>0</v>
      </c>
      <c r="K452" s="13">
        <v>0</v>
      </c>
      <c r="L452" s="13">
        <v>0</v>
      </c>
      <c r="N452" s="5">
        <f t="shared" si="6"/>
        <v>14.098901098901099</v>
      </c>
      <c r="O452" s="13">
        <v>0</v>
      </c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</row>
    <row r="453" spans="2:88" ht="15.75">
      <c r="B453" s="11">
        <v>449</v>
      </c>
      <c r="C453" s="12">
        <v>46106</v>
      </c>
      <c r="D453" s="13">
        <v>40</v>
      </c>
      <c r="E453" s="14"/>
      <c r="F453" s="13">
        <v>0</v>
      </c>
      <c r="G453" s="5">
        <v>0</v>
      </c>
      <c r="H453" s="5">
        <v>0</v>
      </c>
      <c r="I453" s="13">
        <v>0</v>
      </c>
      <c r="K453" s="13">
        <v>0</v>
      </c>
      <c r="L453" s="13">
        <v>0</v>
      </c>
      <c r="N453" s="5">
        <f t="shared" ref="N453:N516" si="7">AVERAGE($O$644:$O$734)</f>
        <v>14.098901098901099</v>
      </c>
      <c r="O453" s="13">
        <v>0</v>
      </c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</row>
    <row r="454" spans="2:88" ht="15.75">
      <c r="B454" s="11">
        <v>450</v>
      </c>
      <c r="C454" s="12">
        <v>46107</v>
      </c>
      <c r="D454" s="13">
        <v>49</v>
      </c>
      <c r="E454" s="14"/>
      <c r="F454" s="13">
        <v>0</v>
      </c>
      <c r="G454" s="5">
        <v>0</v>
      </c>
      <c r="H454" s="5">
        <v>0</v>
      </c>
      <c r="I454" s="13">
        <v>0</v>
      </c>
      <c r="K454" s="13">
        <v>0</v>
      </c>
      <c r="L454" s="13">
        <v>0</v>
      </c>
      <c r="N454" s="5">
        <f t="shared" si="7"/>
        <v>14.098901098901099</v>
      </c>
      <c r="O454" s="13">
        <v>0</v>
      </c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</row>
    <row r="455" spans="2:88" ht="15.75">
      <c r="B455" s="11">
        <v>451</v>
      </c>
      <c r="C455" s="12">
        <v>46108</v>
      </c>
      <c r="D455" s="13">
        <v>37</v>
      </c>
      <c r="E455" s="14"/>
      <c r="F455" s="13">
        <v>0</v>
      </c>
      <c r="G455" s="5">
        <v>0</v>
      </c>
      <c r="H455" s="5">
        <v>0</v>
      </c>
      <c r="I455" s="13">
        <v>0</v>
      </c>
      <c r="K455" s="13">
        <v>0</v>
      </c>
      <c r="L455" s="13">
        <v>0</v>
      </c>
      <c r="N455" s="5">
        <f t="shared" si="7"/>
        <v>14.098901098901099</v>
      </c>
      <c r="O455" s="13">
        <v>0</v>
      </c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</row>
    <row r="456" spans="2:88" ht="15.75">
      <c r="B456" s="11">
        <v>452</v>
      </c>
      <c r="C456" s="12">
        <v>46109</v>
      </c>
      <c r="D456" s="13">
        <v>38</v>
      </c>
      <c r="E456" s="14"/>
      <c r="F456" s="13">
        <v>0</v>
      </c>
      <c r="G456" s="5">
        <v>0</v>
      </c>
      <c r="H456" s="5">
        <v>0</v>
      </c>
      <c r="I456" s="13">
        <v>0</v>
      </c>
      <c r="K456" s="13">
        <v>0</v>
      </c>
      <c r="L456" s="13">
        <v>0</v>
      </c>
      <c r="N456" s="5">
        <f t="shared" si="7"/>
        <v>14.098901098901099</v>
      </c>
      <c r="O456" s="13">
        <v>0</v>
      </c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</row>
    <row r="457" spans="2:88" ht="15.75">
      <c r="B457" s="11">
        <v>453</v>
      </c>
      <c r="C457" s="12">
        <v>46110</v>
      </c>
      <c r="D457" s="13">
        <v>46</v>
      </c>
      <c r="E457" s="14"/>
      <c r="F457" s="13">
        <v>0</v>
      </c>
      <c r="G457" s="5">
        <v>0</v>
      </c>
      <c r="H457" s="5">
        <v>0</v>
      </c>
      <c r="I457" s="13">
        <v>0</v>
      </c>
      <c r="K457" s="13">
        <v>0</v>
      </c>
      <c r="L457" s="13">
        <v>0</v>
      </c>
      <c r="N457" s="5">
        <f t="shared" si="7"/>
        <v>14.098901098901099</v>
      </c>
      <c r="O457" s="13">
        <v>0</v>
      </c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</row>
    <row r="458" spans="2:88" ht="15.75">
      <c r="B458" s="11">
        <v>454</v>
      </c>
      <c r="C458" s="12">
        <v>46111</v>
      </c>
      <c r="D458" s="13">
        <v>31</v>
      </c>
      <c r="E458" s="14"/>
      <c r="F458" s="13">
        <v>0</v>
      </c>
      <c r="G458" s="5">
        <v>0</v>
      </c>
      <c r="H458" s="5">
        <v>0</v>
      </c>
      <c r="I458" s="13">
        <v>0</v>
      </c>
      <c r="K458" s="13">
        <v>0</v>
      </c>
      <c r="L458" s="13">
        <v>0</v>
      </c>
      <c r="N458" s="5">
        <f t="shared" si="7"/>
        <v>14.098901098901099</v>
      </c>
      <c r="O458" s="13">
        <v>0</v>
      </c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</row>
    <row r="459" spans="2:88" ht="15.75">
      <c r="B459" s="11">
        <v>455</v>
      </c>
      <c r="C459" s="12">
        <v>46112</v>
      </c>
      <c r="D459" s="13">
        <v>41</v>
      </c>
      <c r="E459" s="14"/>
      <c r="F459" s="13">
        <v>0</v>
      </c>
      <c r="G459" s="5">
        <v>0</v>
      </c>
      <c r="H459" s="5">
        <v>0</v>
      </c>
      <c r="I459" s="13">
        <v>0</v>
      </c>
      <c r="K459" s="13">
        <v>0</v>
      </c>
      <c r="L459" s="13">
        <v>0</v>
      </c>
      <c r="N459" s="5">
        <f t="shared" si="7"/>
        <v>14.098901098901099</v>
      </c>
      <c r="O459" s="13">
        <v>0</v>
      </c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</row>
    <row r="460" spans="2:88" ht="15.75">
      <c r="B460" s="11">
        <v>456</v>
      </c>
      <c r="C460" s="12">
        <v>46113</v>
      </c>
      <c r="D460" s="13">
        <v>16</v>
      </c>
      <c r="E460" s="14"/>
      <c r="F460" s="13">
        <v>0</v>
      </c>
      <c r="G460" s="5">
        <v>0</v>
      </c>
      <c r="H460" s="5">
        <v>0</v>
      </c>
      <c r="I460" s="13">
        <v>0</v>
      </c>
      <c r="K460" s="13">
        <v>0</v>
      </c>
      <c r="L460" s="13">
        <v>0</v>
      </c>
      <c r="N460" s="5">
        <f t="shared" si="7"/>
        <v>14.098901098901099</v>
      </c>
      <c r="O460" s="13">
        <v>0</v>
      </c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</row>
    <row r="461" spans="2:88" ht="15.75">
      <c r="B461" s="11">
        <v>457</v>
      </c>
      <c r="C461" s="12">
        <v>46114</v>
      </c>
      <c r="D461" s="13">
        <v>23</v>
      </c>
      <c r="E461" s="14"/>
      <c r="F461" s="13">
        <v>0</v>
      </c>
      <c r="G461" s="5">
        <v>0</v>
      </c>
      <c r="H461" s="5">
        <v>0</v>
      </c>
      <c r="I461" s="13">
        <v>0</v>
      </c>
      <c r="K461" s="13">
        <v>0</v>
      </c>
      <c r="L461" s="13">
        <v>0</v>
      </c>
      <c r="N461" s="5">
        <f t="shared" si="7"/>
        <v>14.098901098901099</v>
      </c>
      <c r="O461" s="13">
        <v>0</v>
      </c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</row>
    <row r="462" spans="2:88" ht="15.75">
      <c r="B462" s="11">
        <v>458</v>
      </c>
      <c r="C462" s="12">
        <v>46115</v>
      </c>
      <c r="D462" s="13">
        <v>26</v>
      </c>
      <c r="E462" s="14"/>
      <c r="F462" s="13">
        <v>0</v>
      </c>
      <c r="G462" s="5">
        <v>0</v>
      </c>
      <c r="H462" s="5">
        <v>0</v>
      </c>
      <c r="I462" s="13">
        <v>0</v>
      </c>
      <c r="K462" s="13">
        <v>0</v>
      </c>
      <c r="L462" s="13">
        <v>0</v>
      </c>
      <c r="N462" s="5">
        <f t="shared" si="7"/>
        <v>14.098901098901099</v>
      </c>
      <c r="O462" s="13">
        <v>0</v>
      </c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</row>
    <row r="463" spans="2:88" ht="15.75">
      <c r="B463" s="11">
        <v>459</v>
      </c>
      <c r="C463" s="12">
        <v>46116</v>
      </c>
      <c r="D463" s="13">
        <v>40</v>
      </c>
      <c r="E463" s="14"/>
      <c r="F463" s="13">
        <v>0</v>
      </c>
      <c r="G463" s="5">
        <v>0</v>
      </c>
      <c r="H463" s="5">
        <v>0</v>
      </c>
      <c r="I463" s="13">
        <v>0</v>
      </c>
      <c r="K463" s="13">
        <v>0</v>
      </c>
      <c r="L463" s="13">
        <v>0</v>
      </c>
      <c r="N463" s="5">
        <f t="shared" si="7"/>
        <v>14.098901098901099</v>
      </c>
      <c r="O463" s="13">
        <v>0</v>
      </c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</row>
    <row r="464" spans="2:88" ht="15.75">
      <c r="B464" s="11">
        <v>460</v>
      </c>
      <c r="C464" s="12">
        <v>46117</v>
      </c>
      <c r="D464" s="13">
        <v>47</v>
      </c>
      <c r="E464" s="14"/>
      <c r="F464" s="13">
        <v>0</v>
      </c>
      <c r="G464" s="5">
        <v>0</v>
      </c>
      <c r="H464" s="5">
        <v>0</v>
      </c>
      <c r="I464" s="13">
        <v>0</v>
      </c>
      <c r="K464" s="13">
        <v>0</v>
      </c>
      <c r="L464" s="13">
        <v>0</v>
      </c>
      <c r="N464" s="5">
        <f t="shared" si="7"/>
        <v>14.098901098901099</v>
      </c>
      <c r="O464" s="13">
        <v>0</v>
      </c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</row>
    <row r="465" spans="2:88" ht="15.75">
      <c r="B465" s="11">
        <v>461</v>
      </c>
      <c r="C465" s="12">
        <v>46118</v>
      </c>
      <c r="D465" s="13">
        <v>25</v>
      </c>
      <c r="E465" s="14"/>
      <c r="F465" s="13">
        <v>0</v>
      </c>
      <c r="G465" s="5">
        <v>0</v>
      </c>
      <c r="H465" s="5">
        <v>0</v>
      </c>
      <c r="I465" s="13">
        <v>0</v>
      </c>
      <c r="K465" s="13">
        <v>0</v>
      </c>
      <c r="L465" s="13">
        <v>0</v>
      </c>
      <c r="N465" s="5">
        <f t="shared" si="7"/>
        <v>14.098901098901099</v>
      </c>
      <c r="O465" s="13">
        <v>0</v>
      </c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</row>
    <row r="466" spans="2:88" ht="15.75">
      <c r="B466" s="11">
        <v>462</v>
      </c>
      <c r="C466" s="12">
        <v>46119</v>
      </c>
      <c r="D466" s="13">
        <v>26</v>
      </c>
      <c r="E466" s="14"/>
      <c r="F466" s="13">
        <v>0</v>
      </c>
      <c r="G466" s="5">
        <v>0</v>
      </c>
      <c r="H466" s="5">
        <v>0</v>
      </c>
      <c r="I466" s="13">
        <v>0</v>
      </c>
      <c r="K466" s="13">
        <v>0</v>
      </c>
      <c r="L466" s="13">
        <v>0</v>
      </c>
      <c r="N466" s="5">
        <f t="shared" si="7"/>
        <v>14.098901098901099</v>
      </c>
      <c r="O466" s="13">
        <v>0</v>
      </c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</row>
    <row r="467" spans="2:88" ht="15.75">
      <c r="B467" s="11">
        <v>463</v>
      </c>
      <c r="C467" s="12">
        <v>46120</v>
      </c>
      <c r="D467" s="13">
        <v>51</v>
      </c>
      <c r="E467" s="14"/>
      <c r="F467" s="13">
        <v>0</v>
      </c>
      <c r="G467" s="5">
        <v>0</v>
      </c>
      <c r="H467" s="5">
        <v>0</v>
      </c>
      <c r="I467" s="13">
        <v>0</v>
      </c>
      <c r="K467" s="13">
        <v>0</v>
      </c>
      <c r="L467" s="13">
        <v>0</v>
      </c>
      <c r="N467" s="5">
        <f t="shared" si="7"/>
        <v>14.098901098901099</v>
      </c>
      <c r="O467" s="13">
        <v>0</v>
      </c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</row>
    <row r="468" spans="2:88" ht="15.75">
      <c r="B468" s="11">
        <v>464</v>
      </c>
      <c r="C468" s="12">
        <v>46121</v>
      </c>
      <c r="D468" s="13">
        <v>28</v>
      </c>
      <c r="E468" s="14"/>
      <c r="F468" s="13">
        <v>0</v>
      </c>
      <c r="G468" s="5">
        <v>0</v>
      </c>
      <c r="H468" s="5">
        <v>0</v>
      </c>
      <c r="I468" s="13">
        <v>0</v>
      </c>
      <c r="K468" s="13">
        <v>0</v>
      </c>
      <c r="L468" s="13">
        <v>0</v>
      </c>
      <c r="N468" s="5">
        <f t="shared" si="7"/>
        <v>14.098901098901099</v>
      </c>
      <c r="O468" s="13">
        <v>0</v>
      </c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</row>
    <row r="469" spans="2:88" ht="15.75">
      <c r="B469" s="11">
        <v>465</v>
      </c>
      <c r="C469" s="12">
        <v>46122</v>
      </c>
      <c r="D469" s="13">
        <v>46</v>
      </c>
      <c r="E469" s="14"/>
      <c r="F469" s="13">
        <v>0</v>
      </c>
      <c r="G469" s="5">
        <v>0</v>
      </c>
      <c r="H469" s="5">
        <v>0</v>
      </c>
      <c r="I469" s="13">
        <v>0</v>
      </c>
      <c r="K469" s="13">
        <v>0</v>
      </c>
      <c r="L469" s="13">
        <v>0</v>
      </c>
      <c r="N469" s="5">
        <f t="shared" si="7"/>
        <v>14.098901098901099</v>
      </c>
      <c r="O469" s="13">
        <v>0</v>
      </c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</row>
    <row r="470" spans="2:88" ht="15.75">
      <c r="B470" s="11">
        <v>466</v>
      </c>
      <c r="C470" s="12">
        <v>46123</v>
      </c>
      <c r="D470" s="13">
        <v>45</v>
      </c>
      <c r="E470" s="14"/>
      <c r="F470" s="13">
        <v>0</v>
      </c>
      <c r="G470" s="5">
        <v>0</v>
      </c>
      <c r="H470" s="5">
        <v>0</v>
      </c>
      <c r="I470" s="13">
        <v>0</v>
      </c>
      <c r="K470" s="13">
        <v>0</v>
      </c>
      <c r="L470" s="13">
        <v>0</v>
      </c>
      <c r="N470" s="5">
        <f t="shared" si="7"/>
        <v>14.098901098901099</v>
      </c>
      <c r="O470" s="13">
        <v>0</v>
      </c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</row>
    <row r="471" spans="2:88" ht="15.75">
      <c r="B471" s="11">
        <v>467</v>
      </c>
      <c r="C471" s="12">
        <v>46124</v>
      </c>
      <c r="D471" s="13">
        <v>43</v>
      </c>
      <c r="E471" s="14"/>
      <c r="F471" s="13">
        <v>0</v>
      </c>
      <c r="G471" s="5">
        <v>0</v>
      </c>
      <c r="H471" s="5">
        <v>0</v>
      </c>
      <c r="I471" s="13">
        <v>0</v>
      </c>
      <c r="K471" s="13">
        <v>0</v>
      </c>
      <c r="L471" s="13">
        <v>0</v>
      </c>
      <c r="N471" s="5">
        <f t="shared" si="7"/>
        <v>14.098901098901099</v>
      </c>
      <c r="O471" s="13">
        <v>0</v>
      </c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</row>
    <row r="472" spans="2:88" ht="15.75">
      <c r="B472" s="11">
        <v>468</v>
      </c>
      <c r="C472" s="12">
        <v>46125</v>
      </c>
      <c r="D472" s="13">
        <v>26</v>
      </c>
      <c r="E472" s="14"/>
      <c r="F472" s="13">
        <v>0</v>
      </c>
      <c r="G472" s="5">
        <v>0</v>
      </c>
      <c r="H472" s="5">
        <v>0</v>
      </c>
      <c r="I472" s="13">
        <v>0</v>
      </c>
      <c r="K472" s="13">
        <v>0</v>
      </c>
      <c r="L472" s="13">
        <v>0</v>
      </c>
      <c r="N472" s="5">
        <f t="shared" si="7"/>
        <v>14.098901098901099</v>
      </c>
      <c r="O472" s="13">
        <v>0</v>
      </c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</row>
    <row r="473" spans="2:88" ht="15.75">
      <c r="B473" s="11">
        <v>469</v>
      </c>
      <c r="C473" s="12">
        <v>46126</v>
      </c>
      <c r="D473" s="13">
        <v>50</v>
      </c>
      <c r="E473" s="14"/>
      <c r="F473" s="13">
        <v>0</v>
      </c>
      <c r="G473" s="5">
        <v>0</v>
      </c>
      <c r="H473" s="5">
        <v>0</v>
      </c>
      <c r="I473" s="13">
        <v>0</v>
      </c>
      <c r="K473" s="13">
        <v>0</v>
      </c>
      <c r="L473" s="13">
        <v>0</v>
      </c>
      <c r="N473" s="5">
        <f t="shared" si="7"/>
        <v>14.098901098901099</v>
      </c>
      <c r="O473" s="13">
        <v>0</v>
      </c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</row>
    <row r="474" spans="2:88" ht="15.75">
      <c r="B474" s="11">
        <v>470</v>
      </c>
      <c r="C474" s="12">
        <v>46127</v>
      </c>
      <c r="D474" s="13">
        <v>26</v>
      </c>
      <c r="E474" s="14"/>
      <c r="F474" s="13">
        <v>0</v>
      </c>
      <c r="G474" s="5">
        <v>0</v>
      </c>
      <c r="H474" s="5">
        <v>0</v>
      </c>
      <c r="I474" s="13">
        <v>0</v>
      </c>
      <c r="K474" s="13">
        <v>0</v>
      </c>
      <c r="L474" s="13">
        <v>0</v>
      </c>
      <c r="N474" s="5">
        <f t="shared" si="7"/>
        <v>14.098901098901099</v>
      </c>
      <c r="O474" s="13">
        <v>0</v>
      </c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</row>
    <row r="475" spans="2:88" ht="15.75">
      <c r="B475" s="11">
        <v>471</v>
      </c>
      <c r="C475" s="12">
        <v>46128</v>
      </c>
      <c r="D475" s="13">
        <v>64</v>
      </c>
      <c r="E475" s="14"/>
      <c r="F475" s="13">
        <v>0</v>
      </c>
      <c r="G475" s="5">
        <v>0</v>
      </c>
      <c r="H475" s="5">
        <v>0</v>
      </c>
      <c r="I475" s="13">
        <v>0</v>
      </c>
      <c r="K475" s="13">
        <v>0</v>
      </c>
      <c r="L475" s="13">
        <v>0</v>
      </c>
      <c r="N475" s="5">
        <f t="shared" si="7"/>
        <v>14.098901098901099</v>
      </c>
      <c r="O475" s="13">
        <v>0</v>
      </c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</row>
    <row r="476" spans="2:88" ht="15.75">
      <c r="B476" s="11">
        <v>472</v>
      </c>
      <c r="C476" s="12">
        <v>46129</v>
      </c>
      <c r="D476" s="13">
        <v>33</v>
      </c>
      <c r="E476" s="14"/>
      <c r="F476" s="13">
        <v>0</v>
      </c>
      <c r="G476" s="5">
        <v>0</v>
      </c>
      <c r="H476" s="5">
        <v>0</v>
      </c>
      <c r="I476" s="13">
        <v>0</v>
      </c>
      <c r="K476" s="13">
        <v>0</v>
      </c>
      <c r="L476" s="13">
        <v>0</v>
      </c>
      <c r="N476" s="5">
        <f t="shared" si="7"/>
        <v>14.098901098901099</v>
      </c>
      <c r="O476" s="13">
        <v>0</v>
      </c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</row>
    <row r="477" spans="2:88" ht="15.75">
      <c r="B477" s="11">
        <v>473</v>
      </c>
      <c r="C477" s="12">
        <v>46130</v>
      </c>
      <c r="D477" s="13">
        <v>57</v>
      </c>
      <c r="E477" s="14"/>
      <c r="F477" s="13">
        <v>0</v>
      </c>
      <c r="G477" s="5">
        <v>0</v>
      </c>
      <c r="H477" s="5">
        <v>0</v>
      </c>
      <c r="I477" s="13">
        <v>0</v>
      </c>
      <c r="K477" s="13">
        <v>0</v>
      </c>
      <c r="L477" s="13">
        <v>0</v>
      </c>
      <c r="N477" s="5">
        <f t="shared" si="7"/>
        <v>14.098901098901099</v>
      </c>
      <c r="O477" s="13">
        <v>0</v>
      </c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</row>
    <row r="478" spans="2:88" ht="15.75">
      <c r="B478" s="11">
        <v>474</v>
      </c>
      <c r="C478" s="12">
        <v>46131</v>
      </c>
      <c r="D478" s="13">
        <v>38</v>
      </c>
      <c r="E478" s="14"/>
      <c r="F478" s="13">
        <v>0</v>
      </c>
      <c r="G478" s="5">
        <v>0</v>
      </c>
      <c r="H478" s="5">
        <v>0</v>
      </c>
      <c r="I478" s="13">
        <v>0</v>
      </c>
      <c r="K478" s="13">
        <v>0</v>
      </c>
      <c r="L478" s="13">
        <v>0</v>
      </c>
      <c r="N478" s="5">
        <f t="shared" si="7"/>
        <v>14.098901098901099</v>
      </c>
      <c r="O478" s="13">
        <v>0</v>
      </c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</row>
    <row r="479" spans="2:88" ht="15.75">
      <c r="B479" s="11">
        <v>475</v>
      </c>
      <c r="C479" s="12">
        <v>46132</v>
      </c>
      <c r="D479" s="13">
        <v>36</v>
      </c>
      <c r="E479" s="14"/>
      <c r="F479" s="13">
        <v>0</v>
      </c>
      <c r="G479" s="5">
        <v>0</v>
      </c>
      <c r="H479" s="5">
        <v>0</v>
      </c>
      <c r="I479" s="13">
        <v>0</v>
      </c>
      <c r="K479" s="13">
        <v>0</v>
      </c>
      <c r="L479" s="13">
        <v>0</v>
      </c>
      <c r="N479" s="5">
        <f t="shared" si="7"/>
        <v>14.098901098901099</v>
      </c>
      <c r="O479" s="13">
        <v>0</v>
      </c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</row>
    <row r="480" spans="2:88" ht="15.75">
      <c r="B480" s="11">
        <v>476</v>
      </c>
      <c r="C480" s="12">
        <v>46133</v>
      </c>
      <c r="D480" s="13">
        <v>40</v>
      </c>
      <c r="E480" s="14"/>
      <c r="F480" s="13">
        <v>0</v>
      </c>
      <c r="G480" s="5">
        <v>0</v>
      </c>
      <c r="H480" s="5">
        <v>0</v>
      </c>
      <c r="I480" s="13">
        <v>0</v>
      </c>
      <c r="K480" s="13">
        <v>0</v>
      </c>
      <c r="L480" s="13">
        <v>0</v>
      </c>
      <c r="N480" s="5">
        <f t="shared" si="7"/>
        <v>14.098901098901099</v>
      </c>
      <c r="O480" s="13">
        <v>0</v>
      </c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</row>
    <row r="481" spans="2:88" ht="15.75">
      <c r="B481" s="11">
        <v>477</v>
      </c>
      <c r="C481" s="12">
        <v>46134</v>
      </c>
      <c r="D481" s="13">
        <v>36</v>
      </c>
      <c r="E481" s="14"/>
      <c r="F481" s="13">
        <v>0</v>
      </c>
      <c r="G481" s="5">
        <v>0</v>
      </c>
      <c r="H481" s="5">
        <v>0</v>
      </c>
      <c r="I481" s="13">
        <v>0</v>
      </c>
      <c r="K481" s="13">
        <v>0</v>
      </c>
      <c r="L481" s="13">
        <v>0</v>
      </c>
      <c r="N481" s="5">
        <f t="shared" si="7"/>
        <v>14.098901098901099</v>
      </c>
      <c r="O481" s="13">
        <v>0</v>
      </c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</row>
    <row r="482" spans="2:88" ht="15.75">
      <c r="B482" s="11">
        <v>478</v>
      </c>
      <c r="C482" s="12">
        <v>46135</v>
      </c>
      <c r="D482" s="13">
        <v>79</v>
      </c>
      <c r="E482" s="14"/>
      <c r="F482" s="13">
        <v>0</v>
      </c>
      <c r="G482" s="5">
        <v>0</v>
      </c>
      <c r="H482" s="5">
        <v>0</v>
      </c>
      <c r="I482" s="13">
        <v>0</v>
      </c>
      <c r="K482" s="13">
        <v>0</v>
      </c>
      <c r="L482" s="13">
        <v>0</v>
      </c>
      <c r="N482" s="5">
        <f t="shared" si="7"/>
        <v>14.098901098901099</v>
      </c>
      <c r="O482" s="13">
        <v>0</v>
      </c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</row>
    <row r="483" spans="2:88" ht="15.75">
      <c r="B483" s="11">
        <v>479</v>
      </c>
      <c r="C483" s="12">
        <v>46136</v>
      </c>
      <c r="D483" s="13">
        <v>43</v>
      </c>
      <c r="E483" s="14"/>
      <c r="F483" s="13">
        <v>0</v>
      </c>
      <c r="G483" s="5">
        <v>0</v>
      </c>
      <c r="H483" s="5">
        <v>0</v>
      </c>
      <c r="I483" s="13">
        <v>0</v>
      </c>
      <c r="K483" s="13">
        <v>0</v>
      </c>
      <c r="L483" s="13">
        <v>0</v>
      </c>
      <c r="N483" s="5">
        <f t="shared" si="7"/>
        <v>14.098901098901099</v>
      </c>
      <c r="O483" s="13">
        <v>0</v>
      </c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</row>
    <row r="484" spans="2:88" ht="15.75">
      <c r="B484" s="11">
        <v>480</v>
      </c>
      <c r="C484" s="12">
        <v>46137</v>
      </c>
      <c r="D484" s="13">
        <v>47</v>
      </c>
      <c r="E484" s="14"/>
      <c r="F484" s="13">
        <v>0</v>
      </c>
      <c r="G484" s="5">
        <v>0</v>
      </c>
      <c r="H484" s="5">
        <v>0</v>
      </c>
      <c r="I484" s="13">
        <v>0</v>
      </c>
      <c r="K484" s="13">
        <v>0</v>
      </c>
      <c r="L484" s="13">
        <v>0</v>
      </c>
      <c r="N484" s="5">
        <f t="shared" si="7"/>
        <v>14.098901098901099</v>
      </c>
      <c r="O484" s="13">
        <v>0</v>
      </c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</row>
    <row r="485" spans="2:88" ht="15.75">
      <c r="B485" s="11">
        <v>481</v>
      </c>
      <c r="C485" s="12">
        <v>46138</v>
      </c>
      <c r="D485" s="13">
        <v>57</v>
      </c>
      <c r="E485" s="14"/>
      <c r="F485" s="13">
        <v>0</v>
      </c>
      <c r="G485" s="5">
        <v>0</v>
      </c>
      <c r="H485" s="5">
        <v>0</v>
      </c>
      <c r="I485" s="13">
        <v>0</v>
      </c>
      <c r="K485" s="13">
        <v>0</v>
      </c>
      <c r="L485" s="13">
        <v>0</v>
      </c>
      <c r="N485" s="5">
        <f t="shared" si="7"/>
        <v>14.098901098901099</v>
      </c>
      <c r="O485" s="13">
        <v>0</v>
      </c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</row>
    <row r="486" spans="2:88" ht="15.75">
      <c r="B486" s="11">
        <v>482</v>
      </c>
      <c r="C486" s="12">
        <v>46139</v>
      </c>
      <c r="D486" s="13">
        <v>37</v>
      </c>
      <c r="E486" s="14"/>
      <c r="F486" s="13">
        <v>0</v>
      </c>
      <c r="G486" s="5">
        <v>0</v>
      </c>
      <c r="H486" s="5">
        <v>0</v>
      </c>
      <c r="I486" s="13">
        <v>0</v>
      </c>
      <c r="K486" s="13">
        <v>0</v>
      </c>
      <c r="L486" s="13">
        <v>0</v>
      </c>
      <c r="N486" s="5">
        <f t="shared" si="7"/>
        <v>14.098901098901099</v>
      </c>
      <c r="O486" s="13">
        <v>0</v>
      </c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</row>
    <row r="487" spans="2:88" ht="15.75">
      <c r="B487" s="11">
        <v>483</v>
      </c>
      <c r="C487" s="12">
        <v>46140</v>
      </c>
      <c r="D487" s="13">
        <v>30</v>
      </c>
      <c r="E487" s="14"/>
      <c r="F487" s="13">
        <v>0</v>
      </c>
      <c r="G487" s="5">
        <v>0</v>
      </c>
      <c r="H487" s="5">
        <v>0</v>
      </c>
      <c r="I487" s="13">
        <v>0</v>
      </c>
      <c r="K487" s="13">
        <v>0</v>
      </c>
      <c r="L487" s="13">
        <v>0</v>
      </c>
      <c r="N487" s="5">
        <f t="shared" si="7"/>
        <v>14.098901098901099</v>
      </c>
      <c r="O487" s="13">
        <v>0</v>
      </c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</row>
    <row r="488" spans="2:88" ht="15.75">
      <c r="B488" s="11">
        <v>484</v>
      </c>
      <c r="C488" s="12">
        <v>46141</v>
      </c>
      <c r="D488" s="13">
        <v>38</v>
      </c>
      <c r="E488" s="14"/>
      <c r="F488" s="13">
        <v>0</v>
      </c>
      <c r="G488" s="5">
        <v>0</v>
      </c>
      <c r="H488" s="5">
        <v>0</v>
      </c>
      <c r="I488" s="13">
        <v>0</v>
      </c>
      <c r="K488" s="13">
        <v>0</v>
      </c>
      <c r="L488" s="13">
        <v>0</v>
      </c>
      <c r="N488" s="5">
        <f t="shared" si="7"/>
        <v>14.098901098901099</v>
      </c>
      <c r="O488" s="13">
        <v>0</v>
      </c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</row>
    <row r="489" spans="2:88" ht="15.75">
      <c r="B489" s="11">
        <v>485</v>
      </c>
      <c r="C489" s="12">
        <v>46142</v>
      </c>
      <c r="D489" s="13">
        <v>79</v>
      </c>
      <c r="E489" s="14"/>
      <c r="F489" s="13">
        <v>0</v>
      </c>
      <c r="G489" s="5">
        <v>0</v>
      </c>
      <c r="H489" s="5">
        <v>0</v>
      </c>
      <c r="I489" s="13">
        <v>0</v>
      </c>
      <c r="K489" s="13">
        <v>0</v>
      </c>
      <c r="L489" s="13">
        <v>0</v>
      </c>
      <c r="N489" s="5">
        <f t="shared" si="7"/>
        <v>14.098901098901099</v>
      </c>
      <c r="O489" s="13">
        <v>0</v>
      </c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</row>
    <row r="490" spans="2:88" ht="15.75">
      <c r="B490" s="11">
        <v>486</v>
      </c>
      <c r="C490" s="12">
        <v>46143</v>
      </c>
      <c r="D490" s="13">
        <v>46</v>
      </c>
      <c r="E490" s="14"/>
      <c r="F490" s="13">
        <v>0</v>
      </c>
      <c r="G490" s="5">
        <v>0</v>
      </c>
      <c r="H490" s="5">
        <v>0</v>
      </c>
      <c r="I490" s="13">
        <v>0</v>
      </c>
      <c r="K490" s="13">
        <v>0</v>
      </c>
      <c r="L490" s="13">
        <v>0</v>
      </c>
      <c r="N490" s="5">
        <f t="shared" si="7"/>
        <v>14.098901098901099</v>
      </c>
      <c r="O490" s="13">
        <v>0</v>
      </c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</row>
    <row r="491" spans="2:88" ht="15.75">
      <c r="B491" s="11">
        <v>487</v>
      </c>
      <c r="C491" s="12">
        <v>46144</v>
      </c>
      <c r="D491" s="13">
        <v>42</v>
      </c>
      <c r="E491" s="14"/>
      <c r="F491" s="13">
        <v>0</v>
      </c>
      <c r="G491" s="5">
        <v>0</v>
      </c>
      <c r="H491" s="5">
        <v>0</v>
      </c>
      <c r="I491" s="13">
        <v>0</v>
      </c>
      <c r="K491" s="13">
        <v>0</v>
      </c>
      <c r="L491" s="13">
        <v>0</v>
      </c>
      <c r="N491" s="5">
        <f t="shared" si="7"/>
        <v>14.098901098901099</v>
      </c>
      <c r="O491" s="13">
        <v>0</v>
      </c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</row>
    <row r="492" spans="2:88" ht="15.75">
      <c r="B492" s="11">
        <v>488</v>
      </c>
      <c r="C492" s="12">
        <v>46145</v>
      </c>
      <c r="D492" s="13">
        <v>43</v>
      </c>
      <c r="E492" s="14"/>
      <c r="F492" s="13">
        <v>0</v>
      </c>
      <c r="G492" s="5">
        <v>0</v>
      </c>
      <c r="H492" s="5">
        <v>0</v>
      </c>
      <c r="I492" s="13">
        <v>0</v>
      </c>
      <c r="K492" s="13">
        <v>0</v>
      </c>
      <c r="L492" s="13">
        <v>0</v>
      </c>
      <c r="N492" s="5">
        <f t="shared" si="7"/>
        <v>14.098901098901099</v>
      </c>
      <c r="O492" s="13">
        <v>0</v>
      </c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</row>
    <row r="493" spans="2:88" ht="15.75">
      <c r="B493" s="11">
        <v>489</v>
      </c>
      <c r="C493" s="12">
        <v>46146</v>
      </c>
      <c r="D493" s="13">
        <v>58</v>
      </c>
      <c r="E493" s="14"/>
      <c r="F493" s="13">
        <v>0</v>
      </c>
      <c r="G493" s="5">
        <v>0</v>
      </c>
      <c r="H493" s="5">
        <v>0</v>
      </c>
      <c r="I493" s="13">
        <v>0</v>
      </c>
      <c r="K493" s="13">
        <v>0</v>
      </c>
      <c r="L493" s="13">
        <v>0</v>
      </c>
      <c r="N493" s="5">
        <f t="shared" si="7"/>
        <v>14.098901098901099</v>
      </c>
      <c r="O493" s="13">
        <v>0</v>
      </c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</row>
    <row r="494" spans="2:88" ht="15.75">
      <c r="B494" s="11">
        <v>490</v>
      </c>
      <c r="C494" s="12">
        <v>46147</v>
      </c>
      <c r="D494" s="13">
        <v>49</v>
      </c>
      <c r="E494" s="14"/>
      <c r="F494" s="13">
        <v>0</v>
      </c>
      <c r="G494" s="5">
        <v>0</v>
      </c>
      <c r="H494" s="5">
        <v>0</v>
      </c>
      <c r="I494" s="13">
        <v>0</v>
      </c>
      <c r="K494" s="13">
        <v>0</v>
      </c>
      <c r="L494" s="13">
        <v>0</v>
      </c>
      <c r="N494" s="5">
        <f t="shared" si="7"/>
        <v>14.098901098901099</v>
      </c>
      <c r="O494" s="13">
        <v>0</v>
      </c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</row>
    <row r="495" spans="2:88" ht="15.75">
      <c r="B495" s="11">
        <v>491</v>
      </c>
      <c r="C495" s="12">
        <v>46148</v>
      </c>
      <c r="D495" s="13">
        <v>42</v>
      </c>
      <c r="E495" s="14"/>
      <c r="F495" s="13">
        <v>0</v>
      </c>
      <c r="G495" s="5">
        <v>0</v>
      </c>
      <c r="H495" s="5">
        <v>0</v>
      </c>
      <c r="I495" s="13">
        <v>0</v>
      </c>
      <c r="K495" s="13">
        <v>0</v>
      </c>
      <c r="L495" s="13">
        <v>0</v>
      </c>
      <c r="N495" s="5">
        <f t="shared" si="7"/>
        <v>14.098901098901099</v>
      </c>
      <c r="O495" s="13">
        <v>0</v>
      </c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</row>
    <row r="496" spans="2:88" ht="15.75">
      <c r="B496" s="11">
        <v>492</v>
      </c>
      <c r="C496" s="12">
        <v>46149</v>
      </c>
      <c r="D496" s="13">
        <v>59</v>
      </c>
      <c r="E496" s="14"/>
      <c r="F496" s="13">
        <v>0</v>
      </c>
      <c r="G496" s="5">
        <v>0</v>
      </c>
      <c r="H496" s="5">
        <v>0</v>
      </c>
      <c r="I496" s="13">
        <v>0</v>
      </c>
      <c r="K496" s="13">
        <v>0</v>
      </c>
      <c r="L496" s="13">
        <v>0</v>
      </c>
      <c r="N496" s="5">
        <f t="shared" si="7"/>
        <v>14.098901098901099</v>
      </c>
      <c r="O496" s="13">
        <v>0</v>
      </c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</row>
    <row r="497" spans="2:88" ht="15.75">
      <c r="B497" s="11">
        <v>493</v>
      </c>
      <c r="C497" s="12">
        <v>46150</v>
      </c>
      <c r="D497" s="13">
        <v>72</v>
      </c>
      <c r="E497" s="14"/>
      <c r="F497" s="13">
        <v>0</v>
      </c>
      <c r="G497" s="5">
        <v>0</v>
      </c>
      <c r="H497" s="5">
        <v>0</v>
      </c>
      <c r="I497" s="13">
        <v>0</v>
      </c>
      <c r="K497" s="13">
        <v>0</v>
      </c>
      <c r="L497" s="13">
        <v>0</v>
      </c>
      <c r="N497" s="5">
        <f t="shared" si="7"/>
        <v>14.098901098901099</v>
      </c>
      <c r="O497" s="13">
        <v>0</v>
      </c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</row>
    <row r="498" spans="2:88" ht="15.75">
      <c r="B498" s="11">
        <v>494</v>
      </c>
      <c r="C498" s="12">
        <v>46151</v>
      </c>
      <c r="D498" s="13">
        <v>48</v>
      </c>
      <c r="E498" s="14"/>
      <c r="F498" s="13">
        <v>0</v>
      </c>
      <c r="G498" s="5">
        <v>0</v>
      </c>
      <c r="H498" s="5">
        <v>0</v>
      </c>
      <c r="I498" s="13">
        <v>0</v>
      </c>
      <c r="K498" s="13">
        <v>0</v>
      </c>
      <c r="L498" s="13">
        <v>0</v>
      </c>
      <c r="N498" s="5">
        <f t="shared" si="7"/>
        <v>14.098901098901099</v>
      </c>
      <c r="O498" s="13">
        <v>0</v>
      </c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</row>
    <row r="499" spans="2:88" ht="15.75">
      <c r="B499" s="11">
        <v>495</v>
      </c>
      <c r="C499" s="12">
        <v>46152</v>
      </c>
      <c r="D499" s="13">
        <v>55</v>
      </c>
      <c r="E499" s="14"/>
      <c r="F499" s="13">
        <v>0</v>
      </c>
      <c r="G499" s="5">
        <v>0</v>
      </c>
      <c r="H499" s="5">
        <v>0</v>
      </c>
      <c r="I499" s="13">
        <v>0</v>
      </c>
      <c r="K499" s="13">
        <v>0</v>
      </c>
      <c r="L499" s="13">
        <v>0</v>
      </c>
      <c r="N499" s="5">
        <f t="shared" si="7"/>
        <v>14.098901098901099</v>
      </c>
      <c r="O499" s="13">
        <v>0</v>
      </c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</row>
    <row r="500" spans="2:88" ht="15.75">
      <c r="B500" s="11">
        <v>496</v>
      </c>
      <c r="C500" s="12">
        <v>46153</v>
      </c>
      <c r="D500" s="13">
        <v>59</v>
      </c>
      <c r="E500" s="14"/>
      <c r="F500" s="13">
        <v>0</v>
      </c>
      <c r="G500" s="5">
        <v>0</v>
      </c>
      <c r="H500" s="5">
        <v>0</v>
      </c>
      <c r="I500" s="13">
        <v>0</v>
      </c>
      <c r="K500" s="13">
        <v>0</v>
      </c>
      <c r="L500" s="13">
        <v>0</v>
      </c>
      <c r="N500" s="5">
        <f t="shared" si="7"/>
        <v>14.098901098901099</v>
      </c>
      <c r="O500" s="13">
        <v>0</v>
      </c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</row>
    <row r="501" spans="2:88" ht="15.75">
      <c r="B501" s="11">
        <v>497</v>
      </c>
      <c r="C501" s="12">
        <v>46154</v>
      </c>
      <c r="D501" s="13">
        <v>32</v>
      </c>
      <c r="E501" s="14"/>
      <c r="F501" s="13">
        <v>0</v>
      </c>
      <c r="G501" s="5">
        <v>0</v>
      </c>
      <c r="H501" s="5">
        <v>0</v>
      </c>
      <c r="I501" s="13">
        <v>0</v>
      </c>
      <c r="K501" s="13">
        <v>0</v>
      </c>
      <c r="L501" s="13">
        <v>0</v>
      </c>
      <c r="N501" s="5">
        <f t="shared" si="7"/>
        <v>14.098901098901099</v>
      </c>
      <c r="O501" s="13">
        <v>0</v>
      </c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</row>
    <row r="502" spans="2:88" ht="15.75">
      <c r="B502" s="11">
        <v>498</v>
      </c>
      <c r="C502" s="12">
        <v>46155</v>
      </c>
      <c r="D502" s="13">
        <v>32</v>
      </c>
      <c r="E502" s="14"/>
      <c r="F502" s="13">
        <v>0</v>
      </c>
      <c r="G502" s="5">
        <v>0</v>
      </c>
      <c r="H502" s="5">
        <v>0</v>
      </c>
      <c r="I502" s="13">
        <v>0</v>
      </c>
      <c r="K502" s="13">
        <v>0</v>
      </c>
      <c r="L502" s="13">
        <v>0</v>
      </c>
      <c r="N502" s="5">
        <f t="shared" si="7"/>
        <v>14.098901098901099</v>
      </c>
      <c r="O502" s="13">
        <v>0</v>
      </c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</row>
    <row r="503" spans="2:88" ht="15.75">
      <c r="B503" s="11">
        <v>499</v>
      </c>
      <c r="C503" s="12">
        <v>46156</v>
      </c>
      <c r="D503" s="13">
        <v>92</v>
      </c>
      <c r="E503" s="14"/>
      <c r="F503" s="13">
        <v>0</v>
      </c>
      <c r="G503" s="5">
        <v>0</v>
      </c>
      <c r="H503" s="5">
        <v>0</v>
      </c>
      <c r="I503" s="13">
        <v>0</v>
      </c>
      <c r="K503" s="13">
        <v>0</v>
      </c>
      <c r="L503" s="13">
        <v>0</v>
      </c>
      <c r="N503" s="5">
        <f t="shared" si="7"/>
        <v>14.098901098901099</v>
      </c>
      <c r="O503" s="13">
        <v>0</v>
      </c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</row>
    <row r="504" spans="2:88" ht="15.75">
      <c r="B504" s="11">
        <v>500</v>
      </c>
      <c r="C504" s="12">
        <v>46157</v>
      </c>
      <c r="D504" s="13">
        <v>51</v>
      </c>
      <c r="E504" s="14"/>
      <c r="F504" s="13">
        <v>0</v>
      </c>
      <c r="G504" s="5">
        <v>0</v>
      </c>
      <c r="H504" s="5">
        <v>0</v>
      </c>
      <c r="I504" s="13">
        <v>0</v>
      </c>
      <c r="K504" s="13">
        <v>0</v>
      </c>
      <c r="L504" s="13">
        <v>0</v>
      </c>
      <c r="N504" s="5">
        <f t="shared" si="7"/>
        <v>14.098901098901099</v>
      </c>
      <c r="O504" s="13">
        <v>0</v>
      </c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</row>
    <row r="505" spans="2:88" ht="15.75">
      <c r="B505" s="11">
        <v>501</v>
      </c>
      <c r="C505" s="12">
        <v>46158</v>
      </c>
      <c r="D505" s="13">
        <v>39</v>
      </c>
      <c r="E505" s="14"/>
      <c r="F505" s="13">
        <v>0</v>
      </c>
      <c r="G505" s="5">
        <v>0</v>
      </c>
      <c r="H505" s="5">
        <v>0</v>
      </c>
      <c r="I505" s="13">
        <v>0</v>
      </c>
      <c r="K505" s="13">
        <v>0</v>
      </c>
      <c r="L505" s="13">
        <v>0</v>
      </c>
      <c r="N505" s="5">
        <f t="shared" si="7"/>
        <v>14.098901098901099</v>
      </c>
      <c r="O505" s="13">
        <v>0</v>
      </c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</row>
    <row r="506" spans="2:88" ht="15.75">
      <c r="B506" s="11">
        <v>502</v>
      </c>
      <c r="C506" s="12">
        <v>46159</v>
      </c>
      <c r="D506" s="13">
        <v>24</v>
      </c>
      <c r="E506" s="14"/>
      <c r="F506" s="13">
        <v>0</v>
      </c>
      <c r="G506" s="5">
        <v>0</v>
      </c>
      <c r="H506" s="5">
        <v>0</v>
      </c>
      <c r="I506" s="13">
        <v>0</v>
      </c>
      <c r="K506" s="13">
        <v>0</v>
      </c>
      <c r="L506" s="13">
        <v>0</v>
      </c>
      <c r="N506" s="5">
        <f t="shared" si="7"/>
        <v>14.098901098901099</v>
      </c>
      <c r="O506" s="13">
        <v>0</v>
      </c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</row>
    <row r="507" spans="2:88" ht="15.75">
      <c r="B507" s="11">
        <v>503</v>
      </c>
      <c r="C507" s="12">
        <v>46160</v>
      </c>
      <c r="D507" s="13">
        <v>71</v>
      </c>
      <c r="E507" s="14"/>
      <c r="F507" s="13">
        <v>0</v>
      </c>
      <c r="G507" s="5">
        <v>0</v>
      </c>
      <c r="H507" s="5">
        <v>0</v>
      </c>
      <c r="I507" s="13">
        <v>0</v>
      </c>
      <c r="K507" s="13">
        <v>0</v>
      </c>
      <c r="L507" s="13">
        <v>0</v>
      </c>
      <c r="N507" s="5">
        <f t="shared" si="7"/>
        <v>14.098901098901099</v>
      </c>
      <c r="O507" s="13">
        <v>0</v>
      </c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</row>
    <row r="508" spans="2:88" ht="15.75">
      <c r="B508" s="11">
        <v>504</v>
      </c>
      <c r="C508" s="12">
        <v>46161</v>
      </c>
      <c r="D508" s="13">
        <v>88</v>
      </c>
      <c r="E508" s="14"/>
      <c r="F508" s="13">
        <v>0</v>
      </c>
      <c r="G508" s="5">
        <v>0</v>
      </c>
      <c r="H508" s="5">
        <v>0</v>
      </c>
      <c r="I508" s="13">
        <v>0</v>
      </c>
      <c r="K508" s="13">
        <v>0</v>
      </c>
      <c r="L508" s="13">
        <v>0</v>
      </c>
      <c r="N508" s="5">
        <f t="shared" si="7"/>
        <v>14.098901098901099</v>
      </c>
      <c r="O508" s="13">
        <v>0</v>
      </c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</row>
    <row r="509" spans="2:88" ht="15.75">
      <c r="B509" s="11">
        <v>505</v>
      </c>
      <c r="C509" s="12">
        <v>46162</v>
      </c>
      <c r="D509" s="13">
        <v>38</v>
      </c>
      <c r="E509" s="14"/>
      <c r="F509" s="13">
        <v>0</v>
      </c>
      <c r="G509" s="5">
        <v>0</v>
      </c>
      <c r="H509" s="5">
        <v>0</v>
      </c>
      <c r="I509" s="13">
        <v>0</v>
      </c>
      <c r="K509" s="13">
        <v>0</v>
      </c>
      <c r="L509" s="13">
        <v>0</v>
      </c>
      <c r="N509" s="5">
        <f t="shared" si="7"/>
        <v>14.098901098901099</v>
      </c>
      <c r="O509" s="13">
        <v>0</v>
      </c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</row>
    <row r="510" spans="2:88" ht="15.75">
      <c r="B510" s="11">
        <v>506</v>
      </c>
      <c r="C510" s="12">
        <v>46163</v>
      </c>
      <c r="D510" s="13">
        <v>59</v>
      </c>
      <c r="E510" s="14"/>
      <c r="F510" s="13">
        <v>0</v>
      </c>
      <c r="G510" s="5">
        <v>0</v>
      </c>
      <c r="H510" s="5">
        <v>0</v>
      </c>
      <c r="I510" s="13">
        <v>0</v>
      </c>
      <c r="K510" s="13">
        <v>0</v>
      </c>
      <c r="L510" s="13">
        <v>0</v>
      </c>
      <c r="N510" s="5">
        <f t="shared" si="7"/>
        <v>14.098901098901099</v>
      </c>
      <c r="O510" s="13">
        <v>0</v>
      </c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</row>
    <row r="511" spans="2:88" ht="15.75">
      <c r="B511" s="11">
        <v>507</v>
      </c>
      <c r="C511" s="12">
        <v>46164</v>
      </c>
      <c r="D511" s="13">
        <v>55</v>
      </c>
      <c r="E511" s="14"/>
      <c r="F511" s="13">
        <v>0</v>
      </c>
      <c r="G511" s="5">
        <v>0</v>
      </c>
      <c r="H511" s="5">
        <v>0</v>
      </c>
      <c r="I511" s="13">
        <v>0</v>
      </c>
      <c r="K511" s="13">
        <v>0</v>
      </c>
      <c r="L511" s="13">
        <v>0</v>
      </c>
      <c r="N511" s="5">
        <f t="shared" si="7"/>
        <v>14.098901098901099</v>
      </c>
      <c r="O511" s="13">
        <v>0</v>
      </c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</row>
    <row r="512" spans="2:88" ht="15.75">
      <c r="B512" s="11">
        <v>508</v>
      </c>
      <c r="C512" s="12">
        <v>46165</v>
      </c>
      <c r="D512" s="13">
        <v>55</v>
      </c>
      <c r="E512" s="14"/>
      <c r="F512" s="13">
        <v>0</v>
      </c>
      <c r="G512" s="5">
        <v>0</v>
      </c>
      <c r="H512" s="5">
        <v>0</v>
      </c>
      <c r="I512" s="13">
        <v>0</v>
      </c>
      <c r="K512" s="13">
        <v>0</v>
      </c>
      <c r="L512" s="13">
        <v>0</v>
      </c>
      <c r="N512" s="5">
        <f t="shared" si="7"/>
        <v>14.098901098901099</v>
      </c>
      <c r="O512" s="13">
        <v>0</v>
      </c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</row>
    <row r="513" spans="2:88" ht="15.75">
      <c r="B513" s="11">
        <v>509</v>
      </c>
      <c r="C513" s="12">
        <v>46166</v>
      </c>
      <c r="D513" s="13">
        <v>75</v>
      </c>
      <c r="E513" s="14"/>
      <c r="F513" s="13">
        <v>0</v>
      </c>
      <c r="G513" s="5">
        <v>0</v>
      </c>
      <c r="H513" s="5">
        <v>0</v>
      </c>
      <c r="I513" s="13">
        <v>0</v>
      </c>
      <c r="K513" s="13">
        <v>0</v>
      </c>
      <c r="L513" s="13">
        <v>0</v>
      </c>
      <c r="N513" s="5">
        <f t="shared" si="7"/>
        <v>14.098901098901099</v>
      </c>
      <c r="O513" s="13">
        <v>0</v>
      </c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</row>
    <row r="514" spans="2:88" ht="15.75">
      <c r="B514" s="11">
        <v>510</v>
      </c>
      <c r="C514" s="12">
        <v>46167</v>
      </c>
      <c r="D514" s="13">
        <v>28</v>
      </c>
      <c r="E514" s="14"/>
      <c r="F514" s="13">
        <v>0</v>
      </c>
      <c r="G514" s="5">
        <v>0</v>
      </c>
      <c r="H514" s="5">
        <v>0</v>
      </c>
      <c r="I514" s="13">
        <v>0</v>
      </c>
      <c r="K514" s="13">
        <v>0</v>
      </c>
      <c r="L514" s="13">
        <v>0</v>
      </c>
      <c r="N514" s="5">
        <f t="shared" si="7"/>
        <v>14.098901098901099</v>
      </c>
      <c r="O514" s="13">
        <v>0</v>
      </c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</row>
    <row r="515" spans="2:88" ht="15.75">
      <c r="B515" s="11">
        <v>511</v>
      </c>
      <c r="C515" s="12">
        <v>46168</v>
      </c>
      <c r="D515" s="13">
        <v>90</v>
      </c>
      <c r="E515" s="14"/>
      <c r="F515" s="13">
        <v>0</v>
      </c>
      <c r="G515" s="5">
        <v>0</v>
      </c>
      <c r="H515" s="5">
        <v>0</v>
      </c>
      <c r="I515" s="13">
        <v>0</v>
      </c>
      <c r="K515" s="13">
        <v>0</v>
      </c>
      <c r="L515" s="13">
        <v>0</v>
      </c>
      <c r="N515" s="5">
        <f t="shared" si="7"/>
        <v>14.098901098901099</v>
      </c>
      <c r="O515" s="13">
        <v>0</v>
      </c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</row>
    <row r="516" spans="2:88" ht="15.75">
      <c r="B516" s="11">
        <v>512</v>
      </c>
      <c r="C516" s="12">
        <v>46169</v>
      </c>
      <c r="D516" s="13">
        <v>27</v>
      </c>
      <c r="E516" s="14"/>
      <c r="F516" s="13">
        <v>0</v>
      </c>
      <c r="G516" s="5">
        <v>0</v>
      </c>
      <c r="H516" s="5">
        <v>0</v>
      </c>
      <c r="I516" s="13">
        <v>0</v>
      </c>
      <c r="K516" s="13">
        <v>0</v>
      </c>
      <c r="L516" s="13">
        <v>0</v>
      </c>
      <c r="N516" s="5">
        <f t="shared" si="7"/>
        <v>14.098901098901099</v>
      </c>
      <c r="O516" s="13">
        <v>0</v>
      </c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</row>
    <row r="517" spans="2:88" ht="15.75">
      <c r="B517" s="11">
        <v>513</v>
      </c>
      <c r="C517" s="12">
        <v>46170</v>
      </c>
      <c r="D517" s="13">
        <v>32</v>
      </c>
      <c r="E517" s="14"/>
      <c r="F517" s="13">
        <v>0</v>
      </c>
      <c r="G517" s="5">
        <v>0</v>
      </c>
      <c r="H517" s="5">
        <v>0</v>
      </c>
      <c r="I517" s="13">
        <v>0</v>
      </c>
      <c r="K517" s="13">
        <v>0</v>
      </c>
      <c r="L517" s="13">
        <v>0</v>
      </c>
      <c r="N517" s="5">
        <f t="shared" ref="N517:N580" si="8">AVERAGE($O$644:$O$734)</f>
        <v>14.098901098901099</v>
      </c>
      <c r="O517" s="13">
        <v>0</v>
      </c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</row>
    <row r="518" spans="2:88" ht="15.75">
      <c r="B518" s="11">
        <v>514</v>
      </c>
      <c r="C518" s="12">
        <v>46171</v>
      </c>
      <c r="D518" s="13">
        <v>58</v>
      </c>
      <c r="E518" s="14"/>
      <c r="F518" s="13">
        <v>0</v>
      </c>
      <c r="G518" s="5">
        <v>0</v>
      </c>
      <c r="H518" s="5">
        <v>0</v>
      </c>
      <c r="I518" s="13">
        <v>0</v>
      </c>
      <c r="K518" s="13">
        <v>0</v>
      </c>
      <c r="L518" s="13">
        <v>0</v>
      </c>
      <c r="N518" s="5">
        <f t="shared" si="8"/>
        <v>14.098901098901099</v>
      </c>
      <c r="O518" s="13">
        <v>0</v>
      </c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</row>
    <row r="519" spans="2:88" ht="15.75">
      <c r="B519" s="11">
        <v>515</v>
      </c>
      <c r="C519" s="12">
        <v>46172</v>
      </c>
      <c r="D519" s="13">
        <v>78</v>
      </c>
      <c r="E519" s="14"/>
      <c r="F519" s="13">
        <v>0</v>
      </c>
      <c r="G519" s="5">
        <v>0</v>
      </c>
      <c r="H519" s="5">
        <v>0</v>
      </c>
      <c r="I519" s="13">
        <v>0</v>
      </c>
      <c r="K519" s="13">
        <v>0</v>
      </c>
      <c r="L519" s="13">
        <v>0</v>
      </c>
      <c r="N519" s="5">
        <f t="shared" si="8"/>
        <v>14.098901098901099</v>
      </c>
      <c r="O519" s="13">
        <v>0</v>
      </c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</row>
    <row r="520" spans="2:88" ht="15.75">
      <c r="B520" s="11">
        <v>516</v>
      </c>
      <c r="C520" s="12">
        <v>46173</v>
      </c>
      <c r="D520" s="13">
        <v>48</v>
      </c>
      <c r="E520" s="14"/>
      <c r="F520" s="13">
        <v>0</v>
      </c>
      <c r="G520" s="5">
        <v>0</v>
      </c>
      <c r="H520" s="5">
        <v>0</v>
      </c>
      <c r="I520" s="13">
        <v>0</v>
      </c>
      <c r="K520" s="13">
        <v>0</v>
      </c>
      <c r="L520" s="13">
        <v>0</v>
      </c>
      <c r="N520" s="5">
        <f t="shared" si="8"/>
        <v>14.098901098901099</v>
      </c>
      <c r="O520" s="13">
        <v>0</v>
      </c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</row>
    <row r="521" spans="2:88" ht="15.75">
      <c r="B521" s="11">
        <v>517</v>
      </c>
      <c r="C521" s="12">
        <v>46174</v>
      </c>
      <c r="D521" s="13">
        <v>97</v>
      </c>
      <c r="E521" s="14"/>
      <c r="F521" s="13">
        <v>0</v>
      </c>
      <c r="G521" s="5">
        <v>0</v>
      </c>
      <c r="H521" s="5">
        <v>0</v>
      </c>
      <c r="I521" s="13">
        <v>0</v>
      </c>
      <c r="K521" s="13">
        <v>0</v>
      </c>
      <c r="L521" s="13">
        <v>0</v>
      </c>
      <c r="N521" s="5">
        <f t="shared" si="8"/>
        <v>14.098901098901099</v>
      </c>
      <c r="O521" s="13">
        <v>0</v>
      </c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</row>
    <row r="522" spans="2:88" ht="15.75">
      <c r="B522" s="11">
        <v>518</v>
      </c>
      <c r="C522" s="12">
        <v>46175</v>
      </c>
      <c r="D522" s="13">
        <v>106</v>
      </c>
      <c r="E522" s="14"/>
      <c r="F522" s="13">
        <v>0</v>
      </c>
      <c r="G522" s="5">
        <v>0</v>
      </c>
      <c r="H522" s="5">
        <v>0</v>
      </c>
      <c r="I522" s="13">
        <v>0</v>
      </c>
      <c r="K522" s="13">
        <v>0</v>
      </c>
      <c r="L522" s="13">
        <v>0</v>
      </c>
      <c r="N522" s="5">
        <f t="shared" si="8"/>
        <v>14.098901098901099</v>
      </c>
      <c r="O522" s="13">
        <v>0</v>
      </c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</row>
    <row r="523" spans="2:88" ht="15.75">
      <c r="B523" s="11">
        <v>519</v>
      </c>
      <c r="C523" s="12">
        <v>46176</v>
      </c>
      <c r="D523" s="13">
        <v>53</v>
      </c>
      <c r="E523" s="14"/>
      <c r="F523" s="13">
        <v>0</v>
      </c>
      <c r="G523" s="5">
        <v>0</v>
      </c>
      <c r="H523" s="5">
        <v>0</v>
      </c>
      <c r="I523" s="13">
        <v>0</v>
      </c>
      <c r="K523" s="13">
        <v>0</v>
      </c>
      <c r="L523" s="13">
        <v>0</v>
      </c>
      <c r="N523" s="5">
        <f t="shared" si="8"/>
        <v>14.098901098901099</v>
      </c>
      <c r="O523" s="13">
        <v>0</v>
      </c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</row>
    <row r="524" spans="2:88" ht="15.75">
      <c r="B524" s="11">
        <v>520</v>
      </c>
      <c r="C524" s="12">
        <v>46177</v>
      </c>
      <c r="D524" s="13">
        <v>43</v>
      </c>
      <c r="E524" s="14"/>
      <c r="F524" s="13">
        <v>0</v>
      </c>
      <c r="G524" s="5">
        <v>0</v>
      </c>
      <c r="H524" s="5">
        <v>0</v>
      </c>
      <c r="I524" s="13">
        <v>0</v>
      </c>
      <c r="K524" s="13">
        <v>0</v>
      </c>
      <c r="L524" s="13">
        <v>0</v>
      </c>
      <c r="N524" s="5">
        <f t="shared" si="8"/>
        <v>14.098901098901099</v>
      </c>
      <c r="O524" s="13">
        <v>0</v>
      </c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</row>
    <row r="525" spans="2:88" ht="15.75">
      <c r="B525" s="11">
        <v>521</v>
      </c>
      <c r="C525" s="12">
        <v>46178</v>
      </c>
      <c r="D525" s="13">
        <v>59</v>
      </c>
      <c r="E525" s="14"/>
      <c r="F525" s="13">
        <v>0</v>
      </c>
      <c r="G525" s="5">
        <v>0</v>
      </c>
      <c r="H525" s="5">
        <v>0</v>
      </c>
      <c r="I525" s="13">
        <v>0</v>
      </c>
      <c r="K525" s="13">
        <v>0</v>
      </c>
      <c r="L525" s="13">
        <v>0</v>
      </c>
      <c r="N525" s="5">
        <f t="shared" si="8"/>
        <v>14.098901098901099</v>
      </c>
      <c r="O525" s="13">
        <v>0</v>
      </c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</row>
    <row r="526" spans="2:88" ht="15.75">
      <c r="B526" s="11">
        <v>522</v>
      </c>
      <c r="C526" s="12">
        <v>46179</v>
      </c>
      <c r="D526" s="13">
        <v>28</v>
      </c>
      <c r="E526" s="14"/>
      <c r="F526" s="13">
        <v>0</v>
      </c>
      <c r="G526" s="5">
        <v>0</v>
      </c>
      <c r="H526" s="5">
        <v>0</v>
      </c>
      <c r="I526" s="13">
        <v>0</v>
      </c>
      <c r="K526" s="13">
        <v>0</v>
      </c>
      <c r="L526" s="13">
        <v>0</v>
      </c>
      <c r="N526" s="5">
        <f t="shared" si="8"/>
        <v>14.098901098901099</v>
      </c>
      <c r="O526" s="13">
        <v>0</v>
      </c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</row>
    <row r="527" spans="2:88" ht="15.75">
      <c r="B527" s="11">
        <v>523</v>
      </c>
      <c r="C527" s="12">
        <v>46180</v>
      </c>
      <c r="D527" s="13">
        <v>70</v>
      </c>
      <c r="E527" s="14"/>
      <c r="F527" s="13">
        <v>0</v>
      </c>
      <c r="G527" s="5">
        <v>0</v>
      </c>
      <c r="H527" s="5">
        <v>0</v>
      </c>
      <c r="I527" s="13">
        <v>0</v>
      </c>
      <c r="K527" s="13">
        <v>0</v>
      </c>
      <c r="L527" s="13">
        <v>0</v>
      </c>
      <c r="N527" s="5">
        <f t="shared" si="8"/>
        <v>14.098901098901099</v>
      </c>
      <c r="O527" s="13">
        <v>0</v>
      </c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</row>
    <row r="528" spans="2:88" ht="15.75">
      <c r="B528" s="11">
        <v>524</v>
      </c>
      <c r="C528" s="12">
        <v>46181</v>
      </c>
      <c r="D528" s="13">
        <v>72</v>
      </c>
      <c r="E528" s="14"/>
      <c r="F528" s="13">
        <v>0</v>
      </c>
      <c r="G528" s="5">
        <v>0</v>
      </c>
      <c r="H528" s="5">
        <v>0</v>
      </c>
      <c r="I528" s="13">
        <v>0</v>
      </c>
      <c r="K528" s="13">
        <v>0</v>
      </c>
      <c r="L528" s="13">
        <v>0</v>
      </c>
      <c r="N528" s="5">
        <f t="shared" si="8"/>
        <v>14.098901098901099</v>
      </c>
      <c r="O528" s="13">
        <v>0</v>
      </c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</row>
    <row r="529" spans="2:88" ht="15.75">
      <c r="B529" s="11">
        <v>525</v>
      </c>
      <c r="C529" s="12">
        <v>46182</v>
      </c>
      <c r="D529" s="13">
        <v>80</v>
      </c>
      <c r="E529" s="14"/>
      <c r="F529" s="13">
        <v>0</v>
      </c>
      <c r="G529" s="5">
        <v>0</v>
      </c>
      <c r="H529" s="5">
        <v>0</v>
      </c>
      <c r="I529" s="13">
        <v>0</v>
      </c>
      <c r="K529" s="13">
        <v>0</v>
      </c>
      <c r="L529" s="13">
        <v>0</v>
      </c>
      <c r="N529" s="5">
        <f t="shared" si="8"/>
        <v>14.098901098901099</v>
      </c>
      <c r="O529" s="13">
        <v>0</v>
      </c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</row>
    <row r="530" spans="2:88" ht="15.75">
      <c r="B530" s="11">
        <v>526</v>
      </c>
      <c r="C530" s="12">
        <v>46183</v>
      </c>
      <c r="D530" s="13">
        <v>53</v>
      </c>
      <c r="E530" s="14"/>
      <c r="F530" s="13">
        <v>0</v>
      </c>
      <c r="G530" s="5">
        <v>0</v>
      </c>
      <c r="H530" s="5">
        <v>0</v>
      </c>
      <c r="I530" s="13">
        <v>0</v>
      </c>
      <c r="K530" s="13">
        <v>0</v>
      </c>
      <c r="L530" s="13">
        <v>0</v>
      </c>
      <c r="N530" s="5">
        <f t="shared" si="8"/>
        <v>14.098901098901099</v>
      </c>
      <c r="O530" s="13">
        <v>0</v>
      </c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</row>
    <row r="531" spans="2:88" ht="15.75">
      <c r="B531" s="11">
        <v>527</v>
      </c>
      <c r="C531" s="12">
        <v>46184</v>
      </c>
      <c r="D531" s="13">
        <v>52</v>
      </c>
      <c r="E531" s="14"/>
      <c r="F531" s="13">
        <v>0</v>
      </c>
      <c r="G531" s="5">
        <v>0</v>
      </c>
      <c r="H531" s="5">
        <v>0</v>
      </c>
      <c r="I531" s="13">
        <v>0</v>
      </c>
      <c r="K531" s="13">
        <v>0</v>
      </c>
      <c r="L531" s="13">
        <v>0</v>
      </c>
      <c r="N531" s="5">
        <f t="shared" si="8"/>
        <v>14.098901098901099</v>
      </c>
      <c r="O531" s="13">
        <v>0</v>
      </c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</row>
    <row r="532" spans="2:88" ht="15.75">
      <c r="B532" s="11">
        <v>528</v>
      </c>
      <c r="C532" s="12">
        <v>46185</v>
      </c>
      <c r="D532" s="13">
        <v>64</v>
      </c>
      <c r="E532" s="14"/>
      <c r="F532" s="13">
        <v>0</v>
      </c>
      <c r="G532" s="5">
        <v>0</v>
      </c>
      <c r="H532" s="5">
        <v>0</v>
      </c>
      <c r="I532" s="13">
        <v>0</v>
      </c>
      <c r="K532" s="13">
        <v>0</v>
      </c>
      <c r="L532" s="13">
        <v>0</v>
      </c>
      <c r="N532" s="5">
        <f t="shared" si="8"/>
        <v>14.098901098901099</v>
      </c>
      <c r="O532" s="13">
        <v>0</v>
      </c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</row>
    <row r="533" spans="2:88" ht="15.75">
      <c r="B533" s="11">
        <v>529</v>
      </c>
      <c r="C533" s="12">
        <v>46186</v>
      </c>
      <c r="D533" s="13">
        <v>66</v>
      </c>
      <c r="E533" s="14"/>
      <c r="F533" s="13">
        <v>0</v>
      </c>
      <c r="G533" s="5">
        <v>0</v>
      </c>
      <c r="H533" s="5">
        <v>0</v>
      </c>
      <c r="I533" s="13">
        <v>0</v>
      </c>
      <c r="K533" s="13">
        <v>0</v>
      </c>
      <c r="L533" s="13">
        <v>0</v>
      </c>
      <c r="N533" s="5">
        <f t="shared" si="8"/>
        <v>14.098901098901099</v>
      </c>
      <c r="O533" s="13">
        <v>0</v>
      </c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</row>
    <row r="534" spans="2:88" ht="15.75">
      <c r="B534" s="11">
        <v>530</v>
      </c>
      <c r="C534" s="12">
        <v>46187</v>
      </c>
      <c r="D534" s="13">
        <v>62</v>
      </c>
      <c r="E534" s="14"/>
      <c r="F534" s="13">
        <v>0</v>
      </c>
      <c r="G534" s="5">
        <v>0</v>
      </c>
      <c r="H534" s="5">
        <v>0</v>
      </c>
      <c r="I534" s="13">
        <v>0</v>
      </c>
      <c r="K534" s="13">
        <v>0</v>
      </c>
      <c r="L534" s="13">
        <v>0</v>
      </c>
      <c r="N534" s="5">
        <f t="shared" si="8"/>
        <v>14.098901098901099</v>
      </c>
      <c r="O534" s="13">
        <v>0</v>
      </c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</row>
    <row r="535" spans="2:88" ht="15.75">
      <c r="B535" s="11">
        <v>531</v>
      </c>
      <c r="C535" s="12">
        <v>46188</v>
      </c>
      <c r="D535" s="13">
        <v>66</v>
      </c>
      <c r="E535" s="14"/>
      <c r="F535" s="13">
        <v>0</v>
      </c>
      <c r="G535" s="5">
        <v>0</v>
      </c>
      <c r="H535" s="5">
        <v>0</v>
      </c>
      <c r="I535" s="13">
        <v>0</v>
      </c>
      <c r="K535" s="13">
        <v>0</v>
      </c>
      <c r="L535" s="13">
        <v>0</v>
      </c>
      <c r="N535" s="5">
        <f t="shared" si="8"/>
        <v>14.098901098901099</v>
      </c>
      <c r="O535" s="13">
        <v>0</v>
      </c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</row>
    <row r="536" spans="2:88" ht="15.75">
      <c r="B536" s="11">
        <v>532</v>
      </c>
      <c r="C536" s="12">
        <v>46189</v>
      </c>
      <c r="D536" s="13">
        <v>94</v>
      </c>
      <c r="E536" s="14"/>
      <c r="F536" s="13">
        <v>0</v>
      </c>
      <c r="G536" s="5">
        <v>0</v>
      </c>
      <c r="H536" s="5">
        <v>0</v>
      </c>
      <c r="I536" s="13">
        <v>0</v>
      </c>
      <c r="K536" s="13">
        <v>0</v>
      </c>
      <c r="L536" s="13">
        <v>0</v>
      </c>
      <c r="N536" s="5">
        <f t="shared" si="8"/>
        <v>14.098901098901099</v>
      </c>
      <c r="O536" s="13">
        <v>0</v>
      </c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</row>
    <row r="537" spans="2:88" ht="15.75">
      <c r="B537" s="11">
        <v>533</v>
      </c>
      <c r="C537" s="12">
        <v>46190</v>
      </c>
      <c r="D537" s="13">
        <v>88</v>
      </c>
      <c r="E537" s="14"/>
      <c r="F537" s="13">
        <v>0</v>
      </c>
      <c r="G537" s="5">
        <v>0</v>
      </c>
      <c r="H537" s="5">
        <v>0</v>
      </c>
      <c r="I537" s="13">
        <v>0</v>
      </c>
      <c r="K537" s="13">
        <v>0</v>
      </c>
      <c r="L537" s="13">
        <v>0</v>
      </c>
      <c r="N537" s="5">
        <f t="shared" si="8"/>
        <v>14.098901098901099</v>
      </c>
      <c r="O537" s="13">
        <v>0</v>
      </c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</row>
    <row r="538" spans="2:88" ht="15.75">
      <c r="B538" s="11">
        <v>534</v>
      </c>
      <c r="C538" s="12">
        <v>46191</v>
      </c>
      <c r="D538" s="13">
        <v>37</v>
      </c>
      <c r="E538" s="14"/>
      <c r="F538" s="13">
        <v>0</v>
      </c>
      <c r="G538" s="5">
        <v>0</v>
      </c>
      <c r="H538" s="5">
        <v>0</v>
      </c>
      <c r="I538" s="13">
        <v>0</v>
      </c>
      <c r="K538" s="13">
        <v>0</v>
      </c>
      <c r="L538" s="13">
        <v>0</v>
      </c>
      <c r="N538" s="5">
        <f t="shared" si="8"/>
        <v>14.098901098901099</v>
      </c>
      <c r="O538" s="13">
        <v>0</v>
      </c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</row>
    <row r="539" spans="2:88" ht="15.75">
      <c r="B539" s="11">
        <v>535</v>
      </c>
      <c r="C539" s="12">
        <v>46192</v>
      </c>
      <c r="D539" s="13">
        <v>71</v>
      </c>
      <c r="E539" s="14"/>
      <c r="F539" s="13">
        <v>0</v>
      </c>
      <c r="G539" s="5">
        <v>0</v>
      </c>
      <c r="H539" s="5">
        <v>0</v>
      </c>
      <c r="I539" s="13">
        <v>0</v>
      </c>
      <c r="K539" s="13">
        <v>0</v>
      </c>
      <c r="L539" s="13">
        <v>0</v>
      </c>
      <c r="N539" s="5">
        <f t="shared" si="8"/>
        <v>14.098901098901099</v>
      </c>
      <c r="O539" s="13">
        <v>0</v>
      </c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</row>
    <row r="540" spans="2:88" ht="15.75">
      <c r="B540" s="11">
        <v>536</v>
      </c>
      <c r="C540" s="12">
        <v>46193</v>
      </c>
      <c r="D540" s="13">
        <v>89</v>
      </c>
      <c r="E540" s="14"/>
      <c r="F540" s="13">
        <v>0</v>
      </c>
      <c r="G540" s="5">
        <v>0</v>
      </c>
      <c r="H540" s="5">
        <v>0</v>
      </c>
      <c r="I540" s="13">
        <v>0</v>
      </c>
      <c r="K540" s="13">
        <v>0</v>
      </c>
      <c r="L540" s="13">
        <v>0</v>
      </c>
      <c r="N540" s="5">
        <f t="shared" si="8"/>
        <v>14.098901098901099</v>
      </c>
      <c r="O540" s="13">
        <v>0</v>
      </c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</row>
    <row r="541" spans="2:88" ht="15.75">
      <c r="B541" s="11">
        <v>537</v>
      </c>
      <c r="C541" s="12">
        <v>46194</v>
      </c>
      <c r="D541" s="13">
        <v>83</v>
      </c>
      <c r="E541" s="14"/>
      <c r="F541" s="13">
        <v>0</v>
      </c>
      <c r="G541" s="5">
        <v>0</v>
      </c>
      <c r="H541" s="5">
        <v>0</v>
      </c>
      <c r="I541" s="13">
        <v>0</v>
      </c>
      <c r="K541" s="13">
        <v>0</v>
      </c>
      <c r="L541" s="13">
        <v>0</v>
      </c>
      <c r="N541" s="5">
        <f t="shared" si="8"/>
        <v>14.098901098901099</v>
      </c>
      <c r="O541" s="13">
        <v>0</v>
      </c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</row>
    <row r="542" spans="2:88" ht="15.75">
      <c r="B542" s="11">
        <v>538</v>
      </c>
      <c r="C542" s="12">
        <v>46195</v>
      </c>
      <c r="D542" s="13">
        <v>72</v>
      </c>
      <c r="E542" s="14"/>
      <c r="F542" s="13">
        <v>0</v>
      </c>
      <c r="G542" s="5">
        <v>0</v>
      </c>
      <c r="H542" s="5">
        <v>0</v>
      </c>
      <c r="I542" s="13">
        <v>0</v>
      </c>
      <c r="K542" s="13">
        <v>0</v>
      </c>
      <c r="L542" s="13">
        <v>0</v>
      </c>
      <c r="N542" s="5">
        <f t="shared" si="8"/>
        <v>14.098901098901099</v>
      </c>
      <c r="O542" s="13">
        <v>0</v>
      </c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</row>
    <row r="543" spans="2:88" ht="15.75">
      <c r="B543" s="11">
        <v>539</v>
      </c>
      <c r="C543" s="12">
        <v>46196</v>
      </c>
      <c r="D543" s="13">
        <v>86</v>
      </c>
      <c r="E543" s="14"/>
      <c r="F543" s="13">
        <v>0</v>
      </c>
      <c r="G543" s="5">
        <v>0</v>
      </c>
      <c r="H543" s="5">
        <v>0</v>
      </c>
      <c r="I543" s="13">
        <v>0</v>
      </c>
      <c r="K543" s="13">
        <v>0</v>
      </c>
      <c r="L543" s="13">
        <v>0</v>
      </c>
      <c r="N543" s="5">
        <f t="shared" si="8"/>
        <v>14.098901098901099</v>
      </c>
      <c r="O543" s="13">
        <v>0</v>
      </c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</row>
    <row r="544" spans="2:88" ht="15.75">
      <c r="B544" s="11">
        <v>540</v>
      </c>
      <c r="C544" s="12">
        <v>46197</v>
      </c>
      <c r="D544" s="13">
        <v>53</v>
      </c>
      <c r="E544" s="14"/>
      <c r="F544" s="13">
        <v>0</v>
      </c>
      <c r="G544" s="5">
        <v>0</v>
      </c>
      <c r="H544" s="5">
        <v>0</v>
      </c>
      <c r="I544" s="13">
        <v>0</v>
      </c>
      <c r="K544" s="13">
        <v>0</v>
      </c>
      <c r="L544" s="13">
        <v>0</v>
      </c>
      <c r="N544" s="5">
        <f t="shared" si="8"/>
        <v>14.098901098901099</v>
      </c>
      <c r="O544" s="13">
        <v>0</v>
      </c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</row>
    <row r="545" spans="2:88" ht="15.75">
      <c r="B545" s="11">
        <v>541</v>
      </c>
      <c r="C545" s="12">
        <v>46198</v>
      </c>
      <c r="D545" s="13">
        <v>72</v>
      </c>
      <c r="E545" s="14"/>
      <c r="F545" s="13">
        <v>0</v>
      </c>
      <c r="G545" s="5">
        <v>0</v>
      </c>
      <c r="H545" s="5">
        <v>0</v>
      </c>
      <c r="I545" s="13">
        <v>0</v>
      </c>
      <c r="K545" s="13">
        <v>0</v>
      </c>
      <c r="L545" s="13">
        <v>0</v>
      </c>
      <c r="N545" s="5">
        <f t="shared" si="8"/>
        <v>14.098901098901099</v>
      </c>
      <c r="O545" s="13">
        <v>0</v>
      </c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</row>
    <row r="546" spans="2:88" ht="15.75">
      <c r="B546" s="11">
        <v>542</v>
      </c>
      <c r="C546" s="12">
        <v>46199</v>
      </c>
      <c r="D546" s="13">
        <v>107</v>
      </c>
      <c r="E546" s="14"/>
      <c r="F546" s="13">
        <v>0</v>
      </c>
      <c r="G546" s="5">
        <v>0</v>
      </c>
      <c r="H546" s="5">
        <v>0</v>
      </c>
      <c r="I546" s="13">
        <v>0</v>
      </c>
      <c r="K546" s="13">
        <v>0</v>
      </c>
      <c r="L546" s="13">
        <v>0</v>
      </c>
      <c r="N546" s="5">
        <f t="shared" si="8"/>
        <v>14.098901098901099</v>
      </c>
      <c r="O546" s="13">
        <v>0</v>
      </c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</row>
    <row r="547" spans="2:88" ht="15.75">
      <c r="B547" s="11">
        <v>543</v>
      </c>
      <c r="C547" s="12">
        <v>46200</v>
      </c>
      <c r="D547" s="13">
        <v>42</v>
      </c>
      <c r="E547" s="14"/>
      <c r="F547" s="13">
        <v>0</v>
      </c>
      <c r="G547" s="5">
        <v>0</v>
      </c>
      <c r="H547" s="5">
        <v>0</v>
      </c>
      <c r="I547" s="13">
        <v>0</v>
      </c>
      <c r="K547" s="13">
        <v>0</v>
      </c>
      <c r="L547" s="13">
        <v>0</v>
      </c>
      <c r="N547" s="5">
        <f t="shared" si="8"/>
        <v>14.098901098901099</v>
      </c>
      <c r="O547" s="13">
        <v>0</v>
      </c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</row>
    <row r="548" spans="2:88" ht="15.75">
      <c r="B548" s="11">
        <v>544</v>
      </c>
      <c r="C548" s="12">
        <v>46201</v>
      </c>
      <c r="D548" s="13">
        <v>76</v>
      </c>
      <c r="E548" s="14"/>
      <c r="F548" s="13">
        <v>0</v>
      </c>
      <c r="G548" s="5">
        <v>0</v>
      </c>
      <c r="H548" s="5">
        <v>0</v>
      </c>
      <c r="I548" s="13">
        <v>0</v>
      </c>
      <c r="K548" s="13">
        <v>0</v>
      </c>
      <c r="L548" s="13">
        <v>0</v>
      </c>
      <c r="N548" s="5">
        <f t="shared" si="8"/>
        <v>14.098901098901099</v>
      </c>
      <c r="O548" s="13">
        <v>0</v>
      </c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</row>
    <row r="549" spans="2:88" ht="15.75">
      <c r="B549" s="11">
        <v>545</v>
      </c>
      <c r="C549" s="12">
        <v>46202</v>
      </c>
      <c r="D549" s="13">
        <v>44</v>
      </c>
      <c r="E549" s="14"/>
      <c r="F549" s="13">
        <v>0</v>
      </c>
      <c r="G549" s="5">
        <v>0</v>
      </c>
      <c r="H549" s="5">
        <v>0</v>
      </c>
      <c r="I549" s="13">
        <v>0</v>
      </c>
      <c r="K549" s="13">
        <v>0</v>
      </c>
      <c r="L549" s="13">
        <v>0</v>
      </c>
      <c r="N549" s="5">
        <f t="shared" si="8"/>
        <v>14.098901098901099</v>
      </c>
      <c r="O549" s="13">
        <v>0</v>
      </c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</row>
    <row r="550" spans="2:88" ht="15.75">
      <c r="B550" s="11">
        <v>546</v>
      </c>
      <c r="C550" s="12">
        <v>46203</v>
      </c>
      <c r="D550" s="13">
        <v>45</v>
      </c>
      <c r="E550" s="14"/>
      <c r="F550" s="13">
        <v>0</v>
      </c>
      <c r="G550" s="5">
        <v>0</v>
      </c>
      <c r="H550" s="5">
        <v>0</v>
      </c>
      <c r="I550" s="13">
        <v>0</v>
      </c>
      <c r="K550" s="13">
        <v>0</v>
      </c>
      <c r="L550" s="13">
        <v>0</v>
      </c>
      <c r="N550" s="5">
        <f t="shared" si="8"/>
        <v>14.098901098901099</v>
      </c>
      <c r="O550" s="13">
        <v>0</v>
      </c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</row>
    <row r="551" spans="2:88" ht="15.75">
      <c r="B551" s="11">
        <v>547</v>
      </c>
      <c r="C551" s="12">
        <v>46204</v>
      </c>
      <c r="D551" s="13">
        <v>63</v>
      </c>
      <c r="E551" s="14"/>
      <c r="F551" s="13">
        <v>0</v>
      </c>
      <c r="G551" s="5">
        <v>0</v>
      </c>
      <c r="H551" s="5">
        <v>0</v>
      </c>
      <c r="I551" s="13">
        <v>0</v>
      </c>
      <c r="K551" s="13">
        <v>0</v>
      </c>
      <c r="L551" s="13">
        <v>0</v>
      </c>
      <c r="N551" s="5">
        <f t="shared" si="8"/>
        <v>14.098901098901099</v>
      </c>
      <c r="O551" s="13">
        <v>0</v>
      </c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</row>
    <row r="552" spans="2:88" ht="15.75">
      <c r="B552" s="11">
        <v>548</v>
      </c>
      <c r="C552" s="12">
        <v>46205</v>
      </c>
      <c r="D552" s="13">
        <v>53</v>
      </c>
      <c r="E552" s="14"/>
      <c r="F552" s="13">
        <v>0</v>
      </c>
      <c r="G552" s="5">
        <v>0</v>
      </c>
      <c r="H552" s="5">
        <v>0</v>
      </c>
      <c r="I552" s="13">
        <v>0</v>
      </c>
      <c r="K552" s="13">
        <v>0</v>
      </c>
      <c r="L552" s="13">
        <v>0</v>
      </c>
      <c r="N552" s="5">
        <f t="shared" si="8"/>
        <v>14.098901098901099</v>
      </c>
      <c r="O552" s="13">
        <v>0</v>
      </c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</row>
    <row r="553" spans="2:88" ht="15.75">
      <c r="B553" s="11">
        <v>549</v>
      </c>
      <c r="C553" s="12">
        <v>46206</v>
      </c>
      <c r="D553" s="13">
        <v>98</v>
      </c>
      <c r="E553" s="14"/>
      <c r="F553" s="13">
        <v>0</v>
      </c>
      <c r="G553" s="5">
        <v>0</v>
      </c>
      <c r="H553" s="5">
        <v>0</v>
      </c>
      <c r="I553" s="13">
        <v>0</v>
      </c>
      <c r="K553" s="13">
        <v>0</v>
      </c>
      <c r="L553" s="13">
        <v>0</v>
      </c>
      <c r="N553" s="5">
        <f t="shared" si="8"/>
        <v>14.098901098901099</v>
      </c>
      <c r="O553" s="13">
        <v>0</v>
      </c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</row>
    <row r="554" spans="2:88" ht="15.75">
      <c r="B554" s="11">
        <v>550</v>
      </c>
      <c r="C554" s="12">
        <v>46207</v>
      </c>
      <c r="D554" s="13">
        <v>89</v>
      </c>
      <c r="E554" s="14"/>
      <c r="F554" s="13">
        <v>0</v>
      </c>
      <c r="G554" s="5">
        <v>0</v>
      </c>
      <c r="H554" s="5">
        <v>0</v>
      </c>
      <c r="I554" s="13">
        <v>0</v>
      </c>
      <c r="K554" s="13">
        <v>0</v>
      </c>
      <c r="L554" s="13">
        <v>0</v>
      </c>
      <c r="N554" s="5">
        <f t="shared" si="8"/>
        <v>14.098901098901099</v>
      </c>
      <c r="O554" s="13">
        <v>0</v>
      </c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</row>
    <row r="555" spans="2:88" ht="15.75">
      <c r="B555" s="11">
        <v>551</v>
      </c>
      <c r="C555" s="12">
        <v>46208</v>
      </c>
      <c r="D555" s="13">
        <v>92</v>
      </c>
      <c r="E555" s="14"/>
      <c r="F555" s="13">
        <v>0</v>
      </c>
      <c r="G555" s="5">
        <v>0</v>
      </c>
      <c r="H555" s="5">
        <v>0</v>
      </c>
      <c r="I555" s="13">
        <v>0</v>
      </c>
      <c r="K555" s="13">
        <v>0</v>
      </c>
      <c r="L555" s="13">
        <v>0</v>
      </c>
      <c r="N555" s="5">
        <f t="shared" si="8"/>
        <v>14.098901098901099</v>
      </c>
      <c r="O555" s="13">
        <v>0</v>
      </c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</row>
    <row r="556" spans="2:88" ht="15.75">
      <c r="B556" s="11">
        <v>552</v>
      </c>
      <c r="C556" s="12">
        <v>46209</v>
      </c>
      <c r="D556" s="13">
        <v>51</v>
      </c>
      <c r="E556" s="14"/>
      <c r="F556" s="13">
        <v>0</v>
      </c>
      <c r="G556" s="5">
        <v>0</v>
      </c>
      <c r="H556" s="5">
        <v>0</v>
      </c>
      <c r="I556" s="13">
        <v>0</v>
      </c>
      <c r="K556" s="13">
        <v>0</v>
      </c>
      <c r="L556" s="13">
        <v>0</v>
      </c>
      <c r="N556" s="5">
        <f t="shared" si="8"/>
        <v>14.098901098901099</v>
      </c>
      <c r="O556" s="13">
        <v>0</v>
      </c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</row>
    <row r="557" spans="2:88" ht="15.75">
      <c r="B557" s="11">
        <v>553</v>
      </c>
      <c r="C557" s="12">
        <v>46210</v>
      </c>
      <c r="D557" s="13">
        <v>79</v>
      </c>
      <c r="E557" s="14"/>
      <c r="F557" s="13">
        <v>0</v>
      </c>
      <c r="G557" s="5">
        <v>0</v>
      </c>
      <c r="H557" s="5">
        <v>0</v>
      </c>
      <c r="I557" s="13">
        <v>0</v>
      </c>
      <c r="K557" s="13">
        <v>0</v>
      </c>
      <c r="L557" s="13">
        <v>0</v>
      </c>
      <c r="N557" s="5">
        <f t="shared" si="8"/>
        <v>14.098901098901099</v>
      </c>
      <c r="O557" s="13">
        <v>0</v>
      </c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</row>
    <row r="558" spans="2:88" ht="15.75">
      <c r="B558" s="11">
        <v>554</v>
      </c>
      <c r="C558" s="12">
        <v>46211</v>
      </c>
      <c r="D558" s="13">
        <v>95</v>
      </c>
      <c r="E558" s="14"/>
      <c r="F558" s="13">
        <v>0</v>
      </c>
      <c r="G558" s="5">
        <v>0</v>
      </c>
      <c r="H558" s="5">
        <v>0</v>
      </c>
      <c r="I558" s="13">
        <v>0</v>
      </c>
      <c r="K558" s="13">
        <v>0</v>
      </c>
      <c r="L558" s="13">
        <v>0</v>
      </c>
      <c r="N558" s="5">
        <f t="shared" si="8"/>
        <v>14.098901098901099</v>
      </c>
      <c r="O558" s="13">
        <v>0</v>
      </c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</row>
    <row r="559" spans="2:88" ht="15.75">
      <c r="B559" s="11">
        <v>555</v>
      </c>
      <c r="C559" s="12">
        <v>46212</v>
      </c>
      <c r="D559" s="13">
        <v>108</v>
      </c>
      <c r="E559" s="14"/>
      <c r="F559" s="13">
        <v>0</v>
      </c>
      <c r="G559" s="5">
        <v>0</v>
      </c>
      <c r="H559" s="5">
        <v>0</v>
      </c>
      <c r="I559" s="13">
        <v>0</v>
      </c>
      <c r="K559" s="13">
        <v>0</v>
      </c>
      <c r="L559" s="13">
        <v>0</v>
      </c>
      <c r="N559" s="5">
        <f t="shared" si="8"/>
        <v>14.098901098901099</v>
      </c>
      <c r="O559" s="13">
        <v>0</v>
      </c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</row>
    <row r="560" spans="2:88" ht="15.75">
      <c r="B560" s="11">
        <v>556</v>
      </c>
      <c r="C560" s="12">
        <v>46213</v>
      </c>
      <c r="D560" s="13">
        <v>61</v>
      </c>
      <c r="E560" s="14"/>
      <c r="F560" s="13">
        <v>0</v>
      </c>
      <c r="G560" s="5">
        <v>0</v>
      </c>
      <c r="H560" s="5">
        <v>0</v>
      </c>
      <c r="I560" s="13">
        <v>0</v>
      </c>
      <c r="K560" s="13">
        <v>0</v>
      </c>
      <c r="L560" s="13">
        <v>0</v>
      </c>
      <c r="N560" s="5">
        <f t="shared" si="8"/>
        <v>14.098901098901099</v>
      </c>
      <c r="O560" s="13">
        <v>0</v>
      </c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</row>
    <row r="561" spans="2:88" ht="15.75">
      <c r="B561" s="11">
        <v>557</v>
      </c>
      <c r="C561" s="12">
        <v>46214</v>
      </c>
      <c r="D561" s="13">
        <v>47</v>
      </c>
      <c r="E561" s="14"/>
      <c r="F561" s="13">
        <v>0</v>
      </c>
      <c r="G561" s="5">
        <v>0</v>
      </c>
      <c r="H561" s="5">
        <v>0</v>
      </c>
      <c r="I561" s="13">
        <v>0</v>
      </c>
      <c r="K561" s="13">
        <v>0</v>
      </c>
      <c r="L561" s="13">
        <v>0</v>
      </c>
      <c r="N561" s="5">
        <f t="shared" si="8"/>
        <v>14.098901098901099</v>
      </c>
      <c r="O561" s="13">
        <v>0</v>
      </c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</row>
    <row r="562" spans="2:88" ht="15.75">
      <c r="B562" s="11">
        <v>558</v>
      </c>
      <c r="C562" s="12">
        <v>46215</v>
      </c>
      <c r="D562" s="13">
        <v>73</v>
      </c>
      <c r="E562" s="14"/>
      <c r="F562" s="13">
        <v>0</v>
      </c>
      <c r="G562" s="5">
        <v>0</v>
      </c>
      <c r="H562" s="5">
        <v>0</v>
      </c>
      <c r="I562" s="13">
        <v>0</v>
      </c>
      <c r="K562" s="13">
        <v>0</v>
      </c>
      <c r="L562" s="13">
        <v>0</v>
      </c>
      <c r="N562" s="5">
        <f t="shared" si="8"/>
        <v>14.098901098901099</v>
      </c>
      <c r="O562" s="13">
        <v>0</v>
      </c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</row>
    <row r="563" spans="2:88" ht="15.75">
      <c r="B563" s="11">
        <v>559</v>
      </c>
      <c r="C563" s="12">
        <v>46216</v>
      </c>
      <c r="D563" s="13">
        <v>64</v>
      </c>
      <c r="E563" s="14"/>
      <c r="F563" s="13">
        <v>0</v>
      </c>
      <c r="G563" s="5">
        <v>0</v>
      </c>
      <c r="H563" s="5">
        <v>0</v>
      </c>
      <c r="I563" s="13">
        <v>0</v>
      </c>
      <c r="K563" s="13">
        <v>0</v>
      </c>
      <c r="L563" s="13">
        <v>0</v>
      </c>
      <c r="N563" s="5">
        <f t="shared" si="8"/>
        <v>14.098901098901099</v>
      </c>
      <c r="O563" s="13">
        <v>0</v>
      </c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</row>
    <row r="564" spans="2:88" ht="15.75">
      <c r="B564" s="11">
        <v>560</v>
      </c>
      <c r="C564" s="12">
        <v>46217</v>
      </c>
      <c r="D564" s="13">
        <v>45</v>
      </c>
      <c r="E564" s="14"/>
      <c r="F564" s="13">
        <v>0</v>
      </c>
      <c r="G564" s="5">
        <v>0</v>
      </c>
      <c r="H564" s="5">
        <v>0</v>
      </c>
      <c r="I564" s="13">
        <v>0</v>
      </c>
      <c r="K564" s="13">
        <v>0</v>
      </c>
      <c r="L564" s="13">
        <v>0</v>
      </c>
      <c r="N564" s="5">
        <f t="shared" si="8"/>
        <v>14.098901098901099</v>
      </c>
      <c r="O564" s="13">
        <v>0</v>
      </c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</row>
    <row r="565" spans="2:88" ht="15.75">
      <c r="B565" s="11">
        <v>561</v>
      </c>
      <c r="C565" s="12">
        <v>46218</v>
      </c>
      <c r="D565" s="13">
        <v>64</v>
      </c>
      <c r="E565" s="14"/>
      <c r="F565" s="13">
        <v>0</v>
      </c>
      <c r="G565" s="5">
        <v>0</v>
      </c>
      <c r="H565" s="5">
        <v>0</v>
      </c>
      <c r="I565" s="13">
        <v>0</v>
      </c>
      <c r="K565" s="13">
        <v>0</v>
      </c>
      <c r="L565" s="13">
        <v>0</v>
      </c>
      <c r="N565" s="5">
        <f t="shared" si="8"/>
        <v>14.098901098901099</v>
      </c>
      <c r="O565" s="13">
        <v>0</v>
      </c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</row>
    <row r="566" spans="2:88" ht="15.75">
      <c r="B566" s="11">
        <v>562</v>
      </c>
      <c r="C566" s="12">
        <v>46219</v>
      </c>
      <c r="D566" s="13">
        <v>74</v>
      </c>
      <c r="E566" s="14"/>
      <c r="F566" s="13">
        <v>0</v>
      </c>
      <c r="G566" s="5">
        <v>0</v>
      </c>
      <c r="H566" s="5">
        <v>0</v>
      </c>
      <c r="I566" s="13">
        <v>0</v>
      </c>
      <c r="K566" s="13">
        <v>0</v>
      </c>
      <c r="L566" s="13">
        <v>0</v>
      </c>
      <c r="N566" s="5">
        <f t="shared" si="8"/>
        <v>14.098901098901099</v>
      </c>
      <c r="O566" s="13">
        <v>0</v>
      </c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</row>
    <row r="567" spans="2:88" ht="15.75">
      <c r="B567" s="11">
        <v>563</v>
      </c>
      <c r="C567" s="12">
        <v>46220</v>
      </c>
      <c r="D567" s="13">
        <v>75</v>
      </c>
      <c r="E567" s="14"/>
      <c r="F567" s="13">
        <v>0</v>
      </c>
      <c r="G567" s="5">
        <v>0</v>
      </c>
      <c r="H567" s="5">
        <v>0</v>
      </c>
      <c r="I567" s="13">
        <v>0</v>
      </c>
      <c r="K567" s="13">
        <v>0</v>
      </c>
      <c r="L567" s="13">
        <v>0</v>
      </c>
      <c r="N567" s="5">
        <f t="shared" si="8"/>
        <v>14.098901098901099</v>
      </c>
      <c r="O567" s="13">
        <v>0</v>
      </c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</row>
    <row r="568" spans="2:88" ht="15.75">
      <c r="B568" s="11">
        <v>564</v>
      </c>
      <c r="C568" s="12">
        <v>46221</v>
      </c>
      <c r="D568" s="13">
        <v>59</v>
      </c>
      <c r="E568" s="14"/>
      <c r="F568" s="13">
        <v>0</v>
      </c>
      <c r="G568" s="5">
        <v>0</v>
      </c>
      <c r="H568" s="5">
        <v>0</v>
      </c>
      <c r="I568" s="13">
        <v>0</v>
      </c>
      <c r="K568" s="13">
        <v>0</v>
      </c>
      <c r="L568" s="13">
        <v>0</v>
      </c>
      <c r="N568" s="5">
        <f t="shared" si="8"/>
        <v>14.098901098901099</v>
      </c>
      <c r="O568" s="13">
        <v>0</v>
      </c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</row>
    <row r="569" spans="2:88" ht="15.75">
      <c r="B569" s="11">
        <v>565</v>
      </c>
      <c r="C569" s="12">
        <v>46222</v>
      </c>
      <c r="D569" s="13">
        <v>52</v>
      </c>
      <c r="E569" s="14"/>
      <c r="F569" s="13">
        <v>0</v>
      </c>
      <c r="G569" s="5">
        <v>0</v>
      </c>
      <c r="H569" s="5">
        <v>0</v>
      </c>
      <c r="I569" s="13">
        <v>0</v>
      </c>
      <c r="K569" s="13">
        <v>0</v>
      </c>
      <c r="L569" s="13">
        <v>0</v>
      </c>
      <c r="N569" s="5">
        <f t="shared" si="8"/>
        <v>14.098901098901099</v>
      </c>
      <c r="O569" s="13">
        <v>0</v>
      </c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</row>
    <row r="570" spans="2:88" ht="15.75">
      <c r="B570" s="11">
        <v>566</v>
      </c>
      <c r="C570" s="12">
        <v>46223</v>
      </c>
      <c r="D570" s="13">
        <v>71</v>
      </c>
      <c r="E570" s="14"/>
      <c r="F570" s="13">
        <v>0</v>
      </c>
      <c r="G570" s="5">
        <v>0</v>
      </c>
      <c r="H570" s="5">
        <v>0</v>
      </c>
      <c r="I570" s="13">
        <v>0</v>
      </c>
      <c r="K570" s="13">
        <v>0</v>
      </c>
      <c r="L570" s="13">
        <v>0</v>
      </c>
      <c r="N570" s="5">
        <f t="shared" si="8"/>
        <v>14.098901098901099</v>
      </c>
      <c r="O570" s="13">
        <v>0</v>
      </c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</row>
    <row r="571" spans="2:88" ht="15.75">
      <c r="B571" s="11">
        <v>567</v>
      </c>
      <c r="C571" s="12">
        <v>46224</v>
      </c>
      <c r="D571" s="13">
        <v>44</v>
      </c>
      <c r="E571" s="14"/>
      <c r="F571" s="13">
        <v>0</v>
      </c>
      <c r="G571" s="5">
        <v>0</v>
      </c>
      <c r="H571" s="5">
        <v>0</v>
      </c>
      <c r="I571" s="13">
        <v>0</v>
      </c>
      <c r="K571" s="13">
        <v>0</v>
      </c>
      <c r="L571" s="13">
        <v>0</v>
      </c>
      <c r="N571" s="5">
        <f t="shared" si="8"/>
        <v>14.098901098901099</v>
      </c>
      <c r="O571" s="13">
        <v>0</v>
      </c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</row>
    <row r="572" spans="2:88" ht="15.75">
      <c r="B572" s="11">
        <v>568</v>
      </c>
      <c r="C572" s="12">
        <v>46225</v>
      </c>
      <c r="D572" s="13">
        <v>59</v>
      </c>
      <c r="E572" s="14"/>
      <c r="F572" s="13">
        <v>0</v>
      </c>
      <c r="G572" s="5">
        <v>0</v>
      </c>
      <c r="H572" s="5">
        <v>0</v>
      </c>
      <c r="I572" s="13">
        <v>0</v>
      </c>
      <c r="K572" s="13">
        <v>0</v>
      </c>
      <c r="L572" s="13">
        <v>0</v>
      </c>
      <c r="N572" s="5">
        <f t="shared" si="8"/>
        <v>14.098901098901099</v>
      </c>
      <c r="O572" s="13">
        <v>0</v>
      </c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</row>
    <row r="573" spans="2:88" ht="15.75">
      <c r="B573" s="11">
        <v>569</v>
      </c>
      <c r="C573" s="12">
        <v>46226</v>
      </c>
      <c r="D573" s="13">
        <v>48</v>
      </c>
      <c r="E573" s="14"/>
      <c r="F573" s="13">
        <v>0</v>
      </c>
      <c r="G573" s="5">
        <v>0</v>
      </c>
      <c r="H573" s="5">
        <v>0</v>
      </c>
      <c r="I573" s="13">
        <v>0</v>
      </c>
      <c r="K573" s="13">
        <v>0</v>
      </c>
      <c r="L573" s="13">
        <v>0</v>
      </c>
      <c r="N573" s="5">
        <f t="shared" si="8"/>
        <v>14.098901098901099</v>
      </c>
      <c r="O573" s="13">
        <v>0</v>
      </c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</row>
    <row r="574" spans="2:88" ht="15.75">
      <c r="B574" s="11">
        <v>570</v>
      </c>
      <c r="C574" s="12">
        <v>46227</v>
      </c>
      <c r="D574" s="13">
        <v>76</v>
      </c>
      <c r="E574" s="14"/>
      <c r="F574" s="13">
        <v>0</v>
      </c>
      <c r="G574" s="5">
        <v>0</v>
      </c>
      <c r="H574" s="5">
        <v>0</v>
      </c>
      <c r="I574" s="13">
        <v>0</v>
      </c>
      <c r="K574" s="13">
        <v>0</v>
      </c>
      <c r="L574" s="13">
        <v>0</v>
      </c>
      <c r="N574" s="5">
        <f t="shared" si="8"/>
        <v>14.098901098901099</v>
      </c>
      <c r="O574" s="13">
        <v>0</v>
      </c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</row>
    <row r="575" spans="2:88" ht="15.75">
      <c r="B575" s="11">
        <v>571</v>
      </c>
      <c r="C575" s="12">
        <v>46228</v>
      </c>
      <c r="D575" s="13">
        <v>62</v>
      </c>
      <c r="E575" s="14"/>
      <c r="F575" s="13">
        <v>0</v>
      </c>
      <c r="G575" s="5">
        <v>0</v>
      </c>
      <c r="H575" s="5">
        <v>0</v>
      </c>
      <c r="I575" s="13">
        <v>0</v>
      </c>
      <c r="K575" s="13">
        <v>0</v>
      </c>
      <c r="L575" s="13">
        <v>0</v>
      </c>
      <c r="N575" s="5">
        <f t="shared" si="8"/>
        <v>14.098901098901099</v>
      </c>
      <c r="O575" s="13">
        <v>0</v>
      </c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</row>
    <row r="576" spans="2:88" ht="15.75">
      <c r="B576" s="11">
        <v>572</v>
      </c>
      <c r="C576" s="12">
        <v>46229</v>
      </c>
      <c r="D576" s="13">
        <v>41</v>
      </c>
      <c r="E576" s="14"/>
      <c r="F576" s="13">
        <v>0</v>
      </c>
      <c r="G576" s="5">
        <v>0</v>
      </c>
      <c r="H576" s="5">
        <v>0</v>
      </c>
      <c r="I576" s="13">
        <v>0</v>
      </c>
      <c r="K576" s="13">
        <v>0</v>
      </c>
      <c r="L576" s="13">
        <v>0</v>
      </c>
      <c r="N576" s="5">
        <f t="shared" si="8"/>
        <v>14.098901098901099</v>
      </c>
      <c r="O576" s="13">
        <v>0</v>
      </c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</row>
    <row r="577" spans="2:88" ht="15.75">
      <c r="B577" s="11">
        <v>573</v>
      </c>
      <c r="C577" s="12">
        <v>46230</v>
      </c>
      <c r="D577" s="13">
        <v>49</v>
      </c>
      <c r="E577" s="14"/>
      <c r="F577" s="13">
        <v>0</v>
      </c>
      <c r="G577" s="5">
        <v>0</v>
      </c>
      <c r="H577" s="5">
        <v>0</v>
      </c>
      <c r="I577" s="13">
        <v>0</v>
      </c>
      <c r="K577" s="13">
        <v>0</v>
      </c>
      <c r="L577" s="13">
        <v>0</v>
      </c>
      <c r="N577" s="5">
        <f t="shared" si="8"/>
        <v>14.098901098901099</v>
      </c>
      <c r="O577" s="13">
        <v>0</v>
      </c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</row>
    <row r="578" spans="2:88" ht="15.75">
      <c r="B578" s="11">
        <v>574</v>
      </c>
      <c r="C578" s="12">
        <v>46231</v>
      </c>
      <c r="D578" s="13">
        <v>72</v>
      </c>
      <c r="E578" s="14"/>
      <c r="F578" s="13">
        <v>0</v>
      </c>
      <c r="G578" s="5">
        <v>0</v>
      </c>
      <c r="H578" s="5">
        <v>0</v>
      </c>
      <c r="I578" s="13">
        <v>0</v>
      </c>
      <c r="K578" s="13">
        <v>0</v>
      </c>
      <c r="L578" s="13">
        <v>0</v>
      </c>
      <c r="N578" s="5">
        <f t="shared" si="8"/>
        <v>14.098901098901099</v>
      </c>
      <c r="O578" s="13">
        <v>0</v>
      </c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</row>
    <row r="579" spans="2:88" ht="15.75">
      <c r="B579" s="11">
        <v>575</v>
      </c>
      <c r="C579" s="12">
        <v>46232</v>
      </c>
      <c r="D579" s="13">
        <v>81</v>
      </c>
      <c r="E579" s="14"/>
      <c r="F579" s="13">
        <v>0</v>
      </c>
      <c r="G579" s="5">
        <v>0</v>
      </c>
      <c r="H579" s="5">
        <v>0</v>
      </c>
      <c r="I579" s="13">
        <v>0</v>
      </c>
      <c r="K579" s="13">
        <v>0</v>
      </c>
      <c r="L579" s="13">
        <v>0</v>
      </c>
      <c r="N579" s="5">
        <f t="shared" si="8"/>
        <v>14.098901098901099</v>
      </c>
      <c r="O579" s="13">
        <v>0</v>
      </c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</row>
    <row r="580" spans="2:88" ht="15.75">
      <c r="B580" s="11">
        <v>576</v>
      </c>
      <c r="C580" s="12">
        <v>46233</v>
      </c>
      <c r="D580" s="13">
        <v>101</v>
      </c>
      <c r="E580" s="14"/>
      <c r="F580" s="13">
        <v>0</v>
      </c>
      <c r="G580" s="5">
        <v>0</v>
      </c>
      <c r="H580" s="5">
        <v>0</v>
      </c>
      <c r="I580" s="13">
        <v>0</v>
      </c>
      <c r="K580" s="13">
        <v>0</v>
      </c>
      <c r="L580" s="13">
        <v>0</v>
      </c>
      <c r="N580" s="5">
        <f t="shared" si="8"/>
        <v>14.098901098901099</v>
      </c>
      <c r="O580" s="13">
        <v>0</v>
      </c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</row>
    <row r="581" spans="2:88" ht="15.75">
      <c r="B581" s="11">
        <v>577</v>
      </c>
      <c r="C581" s="12">
        <v>46234</v>
      </c>
      <c r="D581" s="13">
        <v>103</v>
      </c>
      <c r="E581" s="14"/>
      <c r="F581" s="13">
        <v>0</v>
      </c>
      <c r="G581" s="5">
        <v>0</v>
      </c>
      <c r="H581" s="5">
        <v>0</v>
      </c>
      <c r="I581" s="13">
        <v>0</v>
      </c>
      <c r="K581" s="13">
        <v>0</v>
      </c>
      <c r="L581" s="13">
        <v>0</v>
      </c>
      <c r="N581" s="5">
        <f t="shared" ref="N581:N644" si="9">AVERAGE($O$644:$O$734)</f>
        <v>14.098901098901099</v>
      </c>
      <c r="O581" s="13">
        <v>0</v>
      </c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</row>
    <row r="582" spans="2:88" ht="15.75">
      <c r="B582" s="11">
        <v>578</v>
      </c>
      <c r="C582" s="12">
        <v>46235</v>
      </c>
      <c r="D582" s="13">
        <v>35</v>
      </c>
      <c r="E582" s="14"/>
      <c r="F582" s="13">
        <v>0</v>
      </c>
      <c r="G582" s="5">
        <v>0</v>
      </c>
      <c r="H582" s="5">
        <v>0</v>
      </c>
      <c r="I582" s="13">
        <v>0</v>
      </c>
      <c r="K582" s="13">
        <v>0</v>
      </c>
      <c r="L582" s="13">
        <v>0</v>
      </c>
      <c r="N582" s="5">
        <f t="shared" si="9"/>
        <v>14.098901098901099</v>
      </c>
      <c r="O582" s="13">
        <v>0</v>
      </c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</row>
    <row r="583" spans="2:88" ht="15.75">
      <c r="B583" s="11">
        <v>579</v>
      </c>
      <c r="C583" s="12">
        <v>46236</v>
      </c>
      <c r="D583" s="13">
        <v>96</v>
      </c>
      <c r="E583" s="14"/>
      <c r="F583" s="13">
        <v>0</v>
      </c>
      <c r="G583" s="5">
        <v>0</v>
      </c>
      <c r="H583" s="5">
        <v>0</v>
      </c>
      <c r="I583" s="13">
        <v>0</v>
      </c>
      <c r="K583" s="13">
        <v>0</v>
      </c>
      <c r="L583" s="13">
        <v>0</v>
      </c>
      <c r="N583" s="5">
        <f t="shared" si="9"/>
        <v>14.098901098901099</v>
      </c>
      <c r="O583" s="13">
        <v>0</v>
      </c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</row>
    <row r="584" spans="2:88" ht="15.75">
      <c r="B584" s="11">
        <v>580</v>
      </c>
      <c r="C584" s="12">
        <v>46237</v>
      </c>
      <c r="D584" s="13">
        <v>77</v>
      </c>
      <c r="E584" s="14"/>
      <c r="F584" s="13">
        <v>0</v>
      </c>
      <c r="G584" s="5">
        <v>0</v>
      </c>
      <c r="H584" s="5">
        <v>0</v>
      </c>
      <c r="I584" s="13">
        <v>0</v>
      </c>
      <c r="K584" s="13">
        <v>0</v>
      </c>
      <c r="L584" s="13">
        <v>0</v>
      </c>
      <c r="N584" s="5">
        <f t="shared" si="9"/>
        <v>14.098901098901099</v>
      </c>
      <c r="O584" s="13">
        <v>0</v>
      </c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</row>
    <row r="585" spans="2:88" ht="15.75">
      <c r="B585" s="11">
        <v>581</v>
      </c>
      <c r="C585" s="12">
        <v>46238</v>
      </c>
      <c r="D585" s="13">
        <v>57</v>
      </c>
      <c r="E585" s="14"/>
      <c r="F585" s="13">
        <v>0</v>
      </c>
      <c r="G585" s="5">
        <v>0</v>
      </c>
      <c r="H585" s="5">
        <v>0</v>
      </c>
      <c r="I585" s="13">
        <v>0</v>
      </c>
      <c r="K585" s="13">
        <v>0</v>
      </c>
      <c r="L585" s="13">
        <v>0</v>
      </c>
      <c r="N585" s="5">
        <f t="shared" si="9"/>
        <v>14.098901098901099</v>
      </c>
      <c r="O585" s="13">
        <v>0</v>
      </c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</row>
    <row r="586" spans="2:88" ht="15.75">
      <c r="B586" s="11">
        <v>582</v>
      </c>
      <c r="C586" s="12">
        <v>46239</v>
      </c>
      <c r="D586" s="13">
        <v>81</v>
      </c>
      <c r="E586" s="14"/>
      <c r="F586" s="13">
        <v>0</v>
      </c>
      <c r="G586" s="5">
        <v>0</v>
      </c>
      <c r="H586" s="5">
        <v>0</v>
      </c>
      <c r="I586" s="13">
        <v>0</v>
      </c>
      <c r="K586" s="13">
        <v>0</v>
      </c>
      <c r="L586" s="13">
        <v>0</v>
      </c>
      <c r="N586" s="5">
        <f t="shared" si="9"/>
        <v>14.098901098901099</v>
      </c>
      <c r="O586" s="13">
        <v>0</v>
      </c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</row>
    <row r="587" spans="2:88" ht="15.75">
      <c r="B587" s="11">
        <v>583</v>
      </c>
      <c r="C587" s="12">
        <v>46240</v>
      </c>
      <c r="D587" s="13">
        <v>74</v>
      </c>
      <c r="E587" s="14"/>
      <c r="F587" s="13">
        <v>0</v>
      </c>
      <c r="G587" s="5">
        <v>0</v>
      </c>
      <c r="H587" s="5">
        <v>0</v>
      </c>
      <c r="I587" s="13">
        <v>0</v>
      </c>
      <c r="K587" s="13">
        <v>0</v>
      </c>
      <c r="L587" s="13">
        <v>0</v>
      </c>
      <c r="N587" s="5">
        <f t="shared" si="9"/>
        <v>14.098901098901099</v>
      </c>
      <c r="O587" s="13">
        <v>0</v>
      </c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</row>
    <row r="588" spans="2:88" ht="15.75">
      <c r="B588" s="11">
        <v>584</v>
      </c>
      <c r="C588" s="12">
        <v>46241</v>
      </c>
      <c r="D588" s="13">
        <v>52</v>
      </c>
      <c r="E588" s="14"/>
      <c r="F588" s="13">
        <v>0</v>
      </c>
      <c r="G588" s="5">
        <v>0</v>
      </c>
      <c r="H588" s="5">
        <v>0</v>
      </c>
      <c r="I588" s="13">
        <v>0</v>
      </c>
      <c r="K588" s="13">
        <v>0</v>
      </c>
      <c r="L588" s="13">
        <v>0</v>
      </c>
      <c r="N588" s="5">
        <f t="shared" si="9"/>
        <v>14.098901098901099</v>
      </c>
      <c r="O588" s="13">
        <v>0</v>
      </c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</row>
    <row r="589" spans="2:88" ht="15.75">
      <c r="B589" s="11">
        <v>585</v>
      </c>
      <c r="C589" s="12">
        <v>46242</v>
      </c>
      <c r="D589" s="13">
        <v>73</v>
      </c>
      <c r="E589" s="14"/>
      <c r="F589" s="13">
        <v>0</v>
      </c>
      <c r="G589" s="5">
        <v>0</v>
      </c>
      <c r="H589" s="5">
        <v>0</v>
      </c>
      <c r="I589" s="13">
        <v>0</v>
      </c>
      <c r="K589" s="13">
        <v>0</v>
      </c>
      <c r="L589" s="13">
        <v>0</v>
      </c>
      <c r="N589" s="5">
        <f t="shared" si="9"/>
        <v>14.098901098901099</v>
      </c>
      <c r="O589" s="13">
        <v>0</v>
      </c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</row>
    <row r="590" spans="2:88" ht="15.75">
      <c r="B590" s="11">
        <v>586</v>
      </c>
      <c r="C590" s="12">
        <v>46243</v>
      </c>
      <c r="D590" s="13">
        <v>58</v>
      </c>
      <c r="E590" s="14"/>
      <c r="F590" s="13">
        <v>0</v>
      </c>
      <c r="G590" s="5">
        <v>0</v>
      </c>
      <c r="H590" s="5">
        <v>0</v>
      </c>
      <c r="I590" s="13">
        <v>0</v>
      </c>
      <c r="K590" s="13">
        <v>0</v>
      </c>
      <c r="L590" s="13">
        <v>0</v>
      </c>
      <c r="N590" s="5">
        <f t="shared" si="9"/>
        <v>14.098901098901099</v>
      </c>
      <c r="O590" s="13">
        <v>0</v>
      </c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</row>
    <row r="591" spans="2:88" ht="15.75">
      <c r="B591" s="11">
        <v>587</v>
      </c>
      <c r="C591" s="12">
        <v>46244</v>
      </c>
      <c r="D591" s="13">
        <v>93</v>
      </c>
      <c r="E591" s="14"/>
      <c r="F591" s="13">
        <v>0</v>
      </c>
      <c r="G591" s="5">
        <v>0</v>
      </c>
      <c r="H591" s="5">
        <v>0</v>
      </c>
      <c r="I591" s="13">
        <v>0</v>
      </c>
      <c r="K591" s="13">
        <v>0</v>
      </c>
      <c r="L591" s="13">
        <v>0</v>
      </c>
      <c r="N591" s="5">
        <f t="shared" si="9"/>
        <v>14.098901098901099</v>
      </c>
      <c r="O591" s="13">
        <v>0</v>
      </c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</row>
    <row r="592" spans="2:88" ht="15.75">
      <c r="B592" s="11">
        <v>588</v>
      </c>
      <c r="C592" s="12">
        <v>46245</v>
      </c>
      <c r="D592" s="13">
        <v>33</v>
      </c>
      <c r="E592" s="14"/>
      <c r="F592" s="13">
        <v>0</v>
      </c>
      <c r="G592" s="5">
        <v>0</v>
      </c>
      <c r="H592" s="5">
        <v>0</v>
      </c>
      <c r="I592" s="13">
        <v>0</v>
      </c>
      <c r="K592" s="13">
        <v>0</v>
      </c>
      <c r="L592" s="13">
        <v>0</v>
      </c>
      <c r="N592" s="5">
        <f t="shared" si="9"/>
        <v>14.098901098901099</v>
      </c>
      <c r="O592" s="13">
        <v>0</v>
      </c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</row>
    <row r="593" spans="2:88" ht="15.75">
      <c r="B593" s="11">
        <v>589</v>
      </c>
      <c r="C593" s="12">
        <v>46246</v>
      </c>
      <c r="D593" s="13">
        <v>42</v>
      </c>
      <c r="E593" s="14"/>
      <c r="F593" s="13">
        <v>0</v>
      </c>
      <c r="G593" s="5">
        <v>0</v>
      </c>
      <c r="H593" s="5">
        <v>0</v>
      </c>
      <c r="I593" s="13">
        <v>0</v>
      </c>
      <c r="K593" s="13">
        <v>0</v>
      </c>
      <c r="L593" s="13">
        <v>0</v>
      </c>
      <c r="N593" s="5">
        <f t="shared" si="9"/>
        <v>14.098901098901099</v>
      </c>
      <c r="O593" s="13">
        <v>0</v>
      </c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</row>
    <row r="594" spans="2:88" ht="15.75">
      <c r="B594" s="11">
        <v>590</v>
      </c>
      <c r="C594" s="12">
        <v>46247</v>
      </c>
      <c r="D594" s="13">
        <v>59</v>
      </c>
      <c r="E594" s="14"/>
      <c r="F594" s="13">
        <v>0</v>
      </c>
      <c r="G594" s="5">
        <v>0</v>
      </c>
      <c r="H594" s="5">
        <v>0</v>
      </c>
      <c r="I594" s="13">
        <v>0</v>
      </c>
      <c r="K594" s="13">
        <v>0</v>
      </c>
      <c r="L594" s="13">
        <v>0</v>
      </c>
      <c r="N594" s="5">
        <f t="shared" si="9"/>
        <v>14.098901098901099</v>
      </c>
      <c r="O594" s="13">
        <v>0</v>
      </c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</row>
    <row r="595" spans="2:88" ht="15.75">
      <c r="B595" s="11">
        <v>591</v>
      </c>
      <c r="C595" s="12">
        <v>46248</v>
      </c>
      <c r="D595" s="13">
        <v>75</v>
      </c>
      <c r="E595" s="14"/>
      <c r="F595" s="13">
        <v>0</v>
      </c>
      <c r="G595" s="5">
        <v>0</v>
      </c>
      <c r="H595" s="5">
        <v>0</v>
      </c>
      <c r="I595" s="13">
        <v>0</v>
      </c>
      <c r="K595" s="13">
        <v>0</v>
      </c>
      <c r="L595" s="13">
        <v>0</v>
      </c>
      <c r="N595" s="5">
        <f t="shared" si="9"/>
        <v>14.098901098901099</v>
      </c>
      <c r="O595" s="13">
        <v>0</v>
      </c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</row>
    <row r="596" spans="2:88" ht="15.75">
      <c r="B596" s="11">
        <v>592</v>
      </c>
      <c r="C596" s="12">
        <v>46249</v>
      </c>
      <c r="D596" s="13">
        <v>34</v>
      </c>
      <c r="E596" s="14"/>
      <c r="F596" s="13">
        <v>0</v>
      </c>
      <c r="G596" s="5">
        <v>0</v>
      </c>
      <c r="H596" s="5">
        <v>0</v>
      </c>
      <c r="I596" s="13">
        <v>0</v>
      </c>
      <c r="K596" s="13">
        <v>0</v>
      </c>
      <c r="L596" s="13">
        <v>0</v>
      </c>
      <c r="N596" s="5">
        <f t="shared" si="9"/>
        <v>14.098901098901099</v>
      </c>
      <c r="O596" s="13">
        <v>0</v>
      </c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</row>
    <row r="597" spans="2:88" ht="15.75">
      <c r="B597" s="11">
        <v>593</v>
      </c>
      <c r="C597" s="12">
        <v>46250</v>
      </c>
      <c r="D597" s="13">
        <v>77</v>
      </c>
      <c r="E597" s="14"/>
      <c r="F597" s="13">
        <v>0</v>
      </c>
      <c r="G597" s="5">
        <v>0</v>
      </c>
      <c r="H597" s="5">
        <v>0</v>
      </c>
      <c r="I597" s="13">
        <v>0</v>
      </c>
      <c r="K597" s="13">
        <v>0</v>
      </c>
      <c r="L597" s="13">
        <v>0</v>
      </c>
      <c r="N597" s="5">
        <f t="shared" si="9"/>
        <v>14.098901098901099</v>
      </c>
      <c r="O597" s="13">
        <v>0</v>
      </c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</row>
    <row r="598" spans="2:88" ht="15.75">
      <c r="B598" s="11">
        <v>594</v>
      </c>
      <c r="C598" s="12">
        <v>46251</v>
      </c>
      <c r="D598" s="13">
        <v>64</v>
      </c>
      <c r="E598" s="14"/>
      <c r="F598" s="13">
        <v>0</v>
      </c>
      <c r="G598" s="5">
        <v>0</v>
      </c>
      <c r="H598" s="5">
        <v>0</v>
      </c>
      <c r="I598" s="13">
        <v>0</v>
      </c>
      <c r="K598" s="13">
        <v>0</v>
      </c>
      <c r="L598" s="13">
        <v>0</v>
      </c>
      <c r="N598" s="5">
        <f t="shared" si="9"/>
        <v>14.098901098901099</v>
      </c>
      <c r="O598" s="13">
        <v>0</v>
      </c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</row>
    <row r="599" spans="2:88" ht="15.75">
      <c r="B599" s="11">
        <v>595</v>
      </c>
      <c r="C599" s="12">
        <v>46252</v>
      </c>
      <c r="D599" s="13">
        <v>57</v>
      </c>
      <c r="E599" s="14"/>
      <c r="F599" s="13">
        <v>0</v>
      </c>
      <c r="G599" s="5">
        <v>0</v>
      </c>
      <c r="H599" s="5">
        <v>0</v>
      </c>
      <c r="I599" s="13">
        <v>0</v>
      </c>
      <c r="K599" s="13">
        <v>0</v>
      </c>
      <c r="L599" s="13">
        <v>0</v>
      </c>
      <c r="N599" s="5">
        <f t="shared" si="9"/>
        <v>14.098901098901099</v>
      </c>
      <c r="O599" s="13">
        <v>0</v>
      </c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</row>
    <row r="600" spans="2:88" ht="15.75">
      <c r="B600" s="11">
        <v>596</v>
      </c>
      <c r="C600" s="12">
        <v>46253</v>
      </c>
      <c r="D600" s="13">
        <v>91</v>
      </c>
      <c r="E600" s="14"/>
      <c r="F600" s="13">
        <v>0</v>
      </c>
      <c r="G600" s="5">
        <v>0</v>
      </c>
      <c r="H600" s="5">
        <v>0</v>
      </c>
      <c r="I600" s="13">
        <v>0</v>
      </c>
      <c r="K600" s="13">
        <v>0</v>
      </c>
      <c r="L600" s="13">
        <v>0</v>
      </c>
      <c r="N600" s="5">
        <f t="shared" si="9"/>
        <v>14.098901098901099</v>
      </c>
      <c r="O600" s="13">
        <v>0</v>
      </c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</row>
    <row r="601" spans="2:88" ht="15.75">
      <c r="B601" s="11">
        <v>597</v>
      </c>
      <c r="C601" s="12">
        <v>46254</v>
      </c>
      <c r="D601" s="13">
        <v>74</v>
      </c>
      <c r="E601" s="14"/>
      <c r="F601" s="13">
        <v>0</v>
      </c>
      <c r="G601" s="5">
        <v>0</v>
      </c>
      <c r="H601" s="5">
        <v>0</v>
      </c>
      <c r="I601" s="13">
        <v>0</v>
      </c>
      <c r="K601" s="13">
        <v>0</v>
      </c>
      <c r="L601" s="13">
        <v>0</v>
      </c>
      <c r="N601" s="5">
        <f t="shared" si="9"/>
        <v>14.098901098901099</v>
      </c>
      <c r="O601" s="13">
        <v>0</v>
      </c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</row>
    <row r="602" spans="2:88" ht="15.75">
      <c r="B602" s="11">
        <v>598</v>
      </c>
      <c r="C602" s="12">
        <v>46255</v>
      </c>
      <c r="D602" s="13">
        <v>84</v>
      </c>
      <c r="E602" s="14"/>
      <c r="F602" s="13">
        <v>0</v>
      </c>
      <c r="G602" s="5">
        <v>0</v>
      </c>
      <c r="H602" s="5">
        <v>0</v>
      </c>
      <c r="I602" s="13">
        <v>0</v>
      </c>
      <c r="K602" s="13">
        <v>0</v>
      </c>
      <c r="L602" s="13">
        <v>0</v>
      </c>
      <c r="N602" s="5">
        <f t="shared" si="9"/>
        <v>14.098901098901099</v>
      </c>
      <c r="O602" s="13">
        <v>0</v>
      </c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</row>
    <row r="603" spans="2:88" ht="15.75">
      <c r="B603" s="11">
        <v>599</v>
      </c>
      <c r="C603" s="12">
        <v>46256</v>
      </c>
      <c r="D603" s="13">
        <v>30</v>
      </c>
      <c r="E603" s="14"/>
      <c r="F603" s="13">
        <v>0</v>
      </c>
      <c r="G603" s="5">
        <v>0</v>
      </c>
      <c r="H603" s="5">
        <v>0</v>
      </c>
      <c r="I603" s="13">
        <v>0</v>
      </c>
      <c r="K603" s="13">
        <v>0</v>
      </c>
      <c r="L603" s="13">
        <v>0</v>
      </c>
      <c r="N603" s="5">
        <f t="shared" si="9"/>
        <v>14.098901098901099</v>
      </c>
      <c r="O603" s="13">
        <v>0</v>
      </c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</row>
    <row r="604" spans="2:88" ht="15.75">
      <c r="B604" s="11">
        <v>600</v>
      </c>
      <c r="C604" s="12">
        <v>46257</v>
      </c>
      <c r="D604" s="13">
        <v>35</v>
      </c>
      <c r="E604" s="14"/>
      <c r="F604" s="13">
        <v>0</v>
      </c>
      <c r="G604" s="5">
        <v>0</v>
      </c>
      <c r="H604" s="5">
        <v>0</v>
      </c>
      <c r="I604" s="13">
        <v>0</v>
      </c>
      <c r="K604" s="13">
        <v>0</v>
      </c>
      <c r="L604" s="13">
        <v>0</v>
      </c>
      <c r="N604" s="5">
        <f t="shared" si="9"/>
        <v>14.098901098901099</v>
      </c>
      <c r="O604" s="13">
        <v>0</v>
      </c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</row>
    <row r="605" spans="2:88" ht="15.75">
      <c r="B605" s="11">
        <v>601</v>
      </c>
      <c r="C605" s="12">
        <v>46258</v>
      </c>
      <c r="D605" s="13">
        <v>45</v>
      </c>
      <c r="E605" s="14"/>
      <c r="F605" s="13">
        <v>0</v>
      </c>
      <c r="G605" s="5">
        <v>0</v>
      </c>
      <c r="H605" s="5">
        <v>0</v>
      </c>
      <c r="I605" s="13">
        <v>0</v>
      </c>
      <c r="K605" s="13">
        <v>0</v>
      </c>
      <c r="L605" s="13">
        <v>0</v>
      </c>
      <c r="N605" s="5">
        <f t="shared" si="9"/>
        <v>14.098901098901099</v>
      </c>
      <c r="O605" s="13">
        <v>0</v>
      </c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</row>
    <row r="606" spans="2:88" ht="15.75">
      <c r="B606" s="11">
        <v>602</v>
      </c>
      <c r="C606" s="12">
        <v>46259</v>
      </c>
      <c r="D606" s="13">
        <v>55</v>
      </c>
      <c r="E606" s="14"/>
      <c r="F606" s="13">
        <v>0</v>
      </c>
      <c r="G606" s="5">
        <v>0</v>
      </c>
      <c r="H606" s="5">
        <v>0</v>
      </c>
      <c r="I606" s="13">
        <v>0</v>
      </c>
      <c r="K606" s="13">
        <v>0</v>
      </c>
      <c r="L606" s="13">
        <v>0</v>
      </c>
      <c r="N606" s="5">
        <f t="shared" si="9"/>
        <v>14.098901098901099</v>
      </c>
      <c r="O606" s="13">
        <v>0</v>
      </c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</row>
    <row r="607" spans="2:88" ht="15.75">
      <c r="B607" s="11">
        <v>603</v>
      </c>
      <c r="C607" s="12">
        <v>46260</v>
      </c>
      <c r="D607" s="13">
        <v>53</v>
      </c>
      <c r="E607" s="14"/>
      <c r="F607" s="13">
        <v>0</v>
      </c>
      <c r="G607" s="5">
        <v>0</v>
      </c>
      <c r="H607" s="5">
        <v>0</v>
      </c>
      <c r="I607" s="13">
        <v>0</v>
      </c>
      <c r="K607" s="13">
        <v>0</v>
      </c>
      <c r="L607" s="13">
        <v>0</v>
      </c>
      <c r="N607" s="5">
        <f t="shared" si="9"/>
        <v>14.098901098901099</v>
      </c>
      <c r="O607" s="13">
        <v>0</v>
      </c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</row>
    <row r="608" spans="2:88" ht="15.75">
      <c r="B608" s="11">
        <v>604</v>
      </c>
      <c r="C608" s="12">
        <v>46261</v>
      </c>
      <c r="D608" s="13">
        <v>64</v>
      </c>
      <c r="E608" s="14"/>
      <c r="F608" s="13">
        <v>0</v>
      </c>
      <c r="G608" s="5">
        <v>0</v>
      </c>
      <c r="H608" s="5">
        <v>0</v>
      </c>
      <c r="I608" s="13">
        <v>0</v>
      </c>
      <c r="K608" s="13">
        <v>0</v>
      </c>
      <c r="L608" s="13">
        <v>0</v>
      </c>
      <c r="N608" s="5">
        <f t="shared" si="9"/>
        <v>14.098901098901099</v>
      </c>
      <c r="O608" s="13">
        <v>0</v>
      </c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</row>
    <row r="609" spans="2:88" ht="15.75">
      <c r="B609" s="11">
        <v>605</v>
      </c>
      <c r="C609" s="12">
        <v>46262</v>
      </c>
      <c r="D609" s="13">
        <v>56</v>
      </c>
      <c r="E609" s="14"/>
      <c r="F609" s="13">
        <v>0</v>
      </c>
      <c r="G609" s="5">
        <v>0</v>
      </c>
      <c r="H609" s="5">
        <v>0</v>
      </c>
      <c r="I609" s="13">
        <v>0</v>
      </c>
      <c r="K609" s="13">
        <v>0</v>
      </c>
      <c r="L609" s="13">
        <v>0</v>
      </c>
      <c r="N609" s="5">
        <f t="shared" si="9"/>
        <v>14.098901098901099</v>
      </c>
      <c r="O609" s="13">
        <v>0</v>
      </c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</row>
    <row r="610" spans="2:88" ht="15.75">
      <c r="B610" s="11">
        <v>606</v>
      </c>
      <c r="C610" s="12">
        <v>46263</v>
      </c>
      <c r="D610" s="13">
        <v>75</v>
      </c>
      <c r="E610" s="14"/>
      <c r="F610" s="13">
        <v>0</v>
      </c>
      <c r="G610" s="5">
        <v>0</v>
      </c>
      <c r="H610" s="5">
        <v>0</v>
      </c>
      <c r="I610" s="13">
        <v>0</v>
      </c>
      <c r="K610" s="13">
        <v>0</v>
      </c>
      <c r="L610" s="13">
        <v>0</v>
      </c>
      <c r="N610" s="5">
        <f t="shared" si="9"/>
        <v>14.098901098901099</v>
      </c>
      <c r="O610" s="13">
        <v>0</v>
      </c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</row>
    <row r="611" spans="2:88" ht="15.75">
      <c r="B611" s="11">
        <v>607</v>
      </c>
      <c r="C611" s="12">
        <v>46264</v>
      </c>
      <c r="D611" s="13">
        <v>80</v>
      </c>
      <c r="E611" s="14"/>
      <c r="F611" s="13">
        <v>0</v>
      </c>
      <c r="G611" s="5">
        <v>0</v>
      </c>
      <c r="H611" s="5">
        <v>0</v>
      </c>
      <c r="I611" s="13">
        <v>0</v>
      </c>
      <c r="K611" s="13">
        <v>0</v>
      </c>
      <c r="L611" s="13">
        <v>0</v>
      </c>
      <c r="N611" s="5">
        <f t="shared" si="9"/>
        <v>14.098901098901099</v>
      </c>
      <c r="O611" s="13">
        <v>0</v>
      </c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</row>
    <row r="612" spans="2:88" ht="15.75">
      <c r="B612" s="11">
        <v>608</v>
      </c>
      <c r="C612" s="12">
        <v>46265</v>
      </c>
      <c r="D612" s="13">
        <v>30</v>
      </c>
      <c r="E612" s="14"/>
      <c r="F612" s="13">
        <v>0</v>
      </c>
      <c r="G612" s="5">
        <v>0</v>
      </c>
      <c r="H612" s="5">
        <v>0</v>
      </c>
      <c r="I612" s="13">
        <v>0</v>
      </c>
      <c r="K612" s="13">
        <v>0</v>
      </c>
      <c r="L612" s="13">
        <v>0</v>
      </c>
      <c r="N612" s="5">
        <f t="shared" si="9"/>
        <v>14.098901098901099</v>
      </c>
      <c r="O612" s="13">
        <v>0</v>
      </c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</row>
    <row r="613" spans="2:88" ht="15.75">
      <c r="B613" s="11">
        <v>609</v>
      </c>
      <c r="C613" s="12">
        <v>46266</v>
      </c>
      <c r="D613" s="13">
        <v>60</v>
      </c>
      <c r="E613" s="14"/>
      <c r="F613" s="13">
        <v>0</v>
      </c>
      <c r="G613" s="5">
        <v>0</v>
      </c>
      <c r="H613" s="5">
        <v>0</v>
      </c>
      <c r="I613" s="13">
        <v>0</v>
      </c>
      <c r="K613" s="13">
        <v>0</v>
      </c>
      <c r="L613" s="13">
        <v>0</v>
      </c>
      <c r="N613" s="5">
        <f t="shared" si="9"/>
        <v>14.098901098901099</v>
      </c>
      <c r="O613" s="13">
        <v>0</v>
      </c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</row>
    <row r="614" spans="2:88" ht="15.75">
      <c r="B614" s="11">
        <v>610</v>
      </c>
      <c r="C614" s="12">
        <v>46267</v>
      </c>
      <c r="D614" s="13">
        <v>71</v>
      </c>
      <c r="E614" s="14"/>
      <c r="F614" s="13">
        <v>0</v>
      </c>
      <c r="G614" s="5">
        <v>0</v>
      </c>
      <c r="H614" s="5">
        <v>0</v>
      </c>
      <c r="I614" s="13">
        <v>0</v>
      </c>
      <c r="K614" s="13">
        <v>0</v>
      </c>
      <c r="L614" s="13">
        <v>0</v>
      </c>
      <c r="N614" s="5">
        <f t="shared" si="9"/>
        <v>14.098901098901099</v>
      </c>
      <c r="O614" s="13">
        <v>0</v>
      </c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</row>
    <row r="615" spans="2:88" ht="15.75">
      <c r="B615" s="11">
        <v>611</v>
      </c>
      <c r="C615" s="12">
        <v>46268</v>
      </c>
      <c r="D615" s="13">
        <v>60</v>
      </c>
      <c r="E615" s="14"/>
      <c r="F615" s="13">
        <v>0</v>
      </c>
      <c r="G615" s="5">
        <v>0</v>
      </c>
      <c r="H615" s="5">
        <v>0</v>
      </c>
      <c r="I615" s="13">
        <v>0</v>
      </c>
      <c r="K615" s="13">
        <v>0</v>
      </c>
      <c r="L615" s="13">
        <v>0</v>
      </c>
      <c r="N615" s="5">
        <f t="shared" si="9"/>
        <v>14.098901098901099</v>
      </c>
      <c r="O615" s="13">
        <v>0</v>
      </c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</row>
    <row r="616" spans="2:88" ht="15.75">
      <c r="B616" s="11">
        <v>612</v>
      </c>
      <c r="C616" s="12">
        <v>46269</v>
      </c>
      <c r="D616" s="13">
        <v>50</v>
      </c>
      <c r="E616" s="14"/>
      <c r="F616" s="13">
        <v>0</v>
      </c>
      <c r="G616" s="5">
        <v>0</v>
      </c>
      <c r="H616" s="5">
        <v>0</v>
      </c>
      <c r="I616" s="13">
        <v>0</v>
      </c>
      <c r="K616" s="13">
        <v>0</v>
      </c>
      <c r="L616" s="13">
        <v>0</v>
      </c>
      <c r="N616" s="5">
        <f t="shared" si="9"/>
        <v>14.098901098901099</v>
      </c>
      <c r="O616" s="13">
        <v>0</v>
      </c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</row>
    <row r="617" spans="2:88" ht="15.75">
      <c r="B617" s="11">
        <v>613</v>
      </c>
      <c r="C617" s="12">
        <v>46270</v>
      </c>
      <c r="D617" s="13">
        <v>66</v>
      </c>
      <c r="E617" s="14"/>
      <c r="F617" s="13">
        <v>0</v>
      </c>
      <c r="G617" s="5">
        <v>0</v>
      </c>
      <c r="H617" s="5">
        <v>0</v>
      </c>
      <c r="I617" s="13">
        <v>0</v>
      </c>
      <c r="K617" s="13">
        <v>0</v>
      </c>
      <c r="L617" s="13">
        <v>0</v>
      </c>
      <c r="N617" s="5">
        <f t="shared" si="9"/>
        <v>14.098901098901099</v>
      </c>
      <c r="O617" s="13">
        <v>0</v>
      </c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</row>
    <row r="618" spans="2:88" ht="15.75">
      <c r="B618" s="11">
        <v>614</v>
      </c>
      <c r="C618" s="12">
        <v>46271</v>
      </c>
      <c r="D618" s="13">
        <v>67</v>
      </c>
      <c r="E618" s="14"/>
      <c r="F618" s="13">
        <v>0</v>
      </c>
      <c r="G618" s="5">
        <v>0</v>
      </c>
      <c r="H618" s="5">
        <v>0</v>
      </c>
      <c r="I618" s="13">
        <v>0</v>
      </c>
      <c r="K618" s="13">
        <v>0</v>
      </c>
      <c r="L618" s="13">
        <v>0</v>
      </c>
      <c r="N618" s="5">
        <f t="shared" si="9"/>
        <v>14.098901098901099</v>
      </c>
      <c r="O618" s="13">
        <v>0</v>
      </c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</row>
    <row r="619" spans="2:88" ht="15.75">
      <c r="B619" s="11">
        <v>615</v>
      </c>
      <c r="C619" s="12">
        <v>46272</v>
      </c>
      <c r="D619" s="13">
        <v>46</v>
      </c>
      <c r="E619" s="14"/>
      <c r="F619" s="13">
        <v>0</v>
      </c>
      <c r="G619" s="5">
        <v>0</v>
      </c>
      <c r="H619" s="5">
        <v>0</v>
      </c>
      <c r="I619" s="13">
        <v>0</v>
      </c>
      <c r="K619" s="13">
        <v>0</v>
      </c>
      <c r="L619" s="13">
        <v>0</v>
      </c>
      <c r="N619" s="5">
        <f t="shared" si="9"/>
        <v>14.098901098901099</v>
      </c>
      <c r="O619" s="13">
        <v>0</v>
      </c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</row>
    <row r="620" spans="2:88" ht="15.75">
      <c r="B620" s="11">
        <v>616</v>
      </c>
      <c r="C620" s="12">
        <v>46273</v>
      </c>
      <c r="D620" s="13">
        <v>48</v>
      </c>
      <c r="E620" s="14"/>
      <c r="F620" s="13">
        <v>0</v>
      </c>
      <c r="G620" s="5">
        <v>0</v>
      </c>
      <c r="H620" s="5">
        <v>0</v>
      </c>
      <c r="I620" s="13">
        <v>0</v>
      </c>
      <c r="K620" s="13">
        <v>0</v>
      </c>
      <c r="L620" s="13">
        <v>0</v>
      </c>
      <c r="N620" s="5">
        <f t="shared" si="9"/>
        <v>14.098901098901099</v>
      </c>
      <c r="O620" s="13">
        <v>0</v>
      </c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</row>
    <row r="621" spans="2:88" ht="15.75">
      <c r="B621" s="11">
        <v>617</v>
      </c>
      <c r="C621" s="12">
        <v>46274</v>
      </c>
      <c r="D621" s="13">
        <v>71</v>
      </c>
      <c r="E621" s="14"/>
      <c r="F621" s="13">
        <v>0</v>
      </c>
      <c r="G621" s="5">
        <v>0</v>
      </c>
      <c r="H621" s="5">
        <v>0</v>
      </c>
      <c r="I621" s="13">
        <v>0</v>
      </c>
      <c r="K621" s="13">
        <v>0</v>
      </c>
      <c r="L621" s="13">
        <v>0</v>
      </c>
      <c r="N621" s="5">
        <f t="shared" si="9"/>
        <v>14.098901098901099</v>
      </c>
      <c r="O621" s="13">
        <v>0</v>
      </c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</row>
    <row r="622" spans="2:88" ht="15.75">
      <c r="B622" s="11">
        <v>618</v>
      </c>
      <c r="C622" s="12">
        <v>46275</v>
      </c>
      <c r="D622" s="13">
        <v>68</v>
      </c>
      <c r="E622" s="14"/>
      <c r="F622" s="13">
        <v>0</v>
      </c>
      <c r="G622" s="5">
        <v>0</v>
      </c>
      <c r="H622" s="5">
        <v>0</v>
      </c>
      <c r="I622" s="13">
        <v>0</v>
      </c>
      <c r="K622" s="13">
        <v>0</v>
      </c>
      <c r="L622" s="13">
        <v>0</v>
      </c>
      <c r="N622" s="5">
        <f t="shared" si="9"/>
        <v>14.098901098901099</v>
      </c>
      <c r="O622" s="13">
        <v>0</v>
      </c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</row>
    <row r="623" spans="2:88" ht="15.75">
      <c r="B623" s="11">
        <v>619</v>
      </c>
      <c r="C623" s="12">
        <v>46276</v>
      </c>
      <c r="D623" s="13">
        <v>22</v>
      </c>
      <c r="E623" s="14"/>
      <c r="F623" s="13">
        <v>0</v>
      </c>
      <c r="G623" s="5">
        <v>0</v>
      </c>
      <c r="H623" s="5">
        <v>0</v>
      </c>
      <c r="I623" s="13">
        <v>0</v>
      </c>
      <c r="K623" s="13">
        <v>0</v>
      </c>
      <c r="L623" s="13">
        <v>0</v>
      </c>
      <c r="N623" s="5">
        <f t="shared" si="9"/>
        <v>14.098901098901099</v>
      </c>
      <c r="O623" s="13">
        <v>0</v>
      </c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</row>
    <row r="624" spans="2:88" ht="15.75">
      <c r="B624" s="11">
        <v>620</v>
      </c>
      <c r="C624" s="12">
        <v>46277</v>
      </c>
      <c r="D624" s="13">
        <v>36</v>
      </c>
      <c r="E624" s="14"/>
      <c r="F624" s="13">
        <v>0</v>
      </c>
      <c r="G624" s="5">
        <v>0</v>
      </c>
      <c r="H624" s="5">
        <v>0</v>
      </c>
      <c r="I624" s="13">
        <v>0</v>
      </c>
      <c r="K624" s="13">
        <v>0</v>
      </c>
      <c r="L624" s="13">
        <v>0</v>
      </c>
      <c r="N624" s="5">
        <f t="shared" si="9"/>
        <v>14.098901098901099</v>
      </c>
      <c r="O624" s="13">
        <v>0</v>
      </c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</row>
    <row r="625" spans="2:88" ht="15.75">
      <c r="B625" s="11">
        <v>621</v>
      </c>
      <c r="C625" s="12">
        <v>46278</v>
      </c>
      <c r="D625" s="13">
        <v>41</v>
      </c>
      <c r="E625" s="14"/>
      <c r="F625" s="13">
        <v>0</v>
      </c>
      <c r="G625" s="5">
        <v>0</v>
      </c>
      <c r="H625" s="5">
        <v>0</v>
      </c>
      <c r="I625" s="13">
        <v>0</v>
      </c>
      <c r="K625" s="13">
        <v>0</v>
      </c>
      <c r="L625" s="13">
        <v>0</v>
      </c>
      <c r="N625" s="5">
        <f t="shared" si="9"/>
        <v>14.098901098901099</v>
      </c>
      <c r="O625" s="13">
        <v>0</v>
      </c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</row>
    <row r="626" spans="2:88" ht="15.75">
      <c r="B626" s="11">
        <v>622</v>
      </c>
      <c r="C626" s="12">
        <v>46279</v>
      </c>
      <c r="D626" s="13">
        <v>36</v>
      </c>
      <c r="E626" s="14"/>
      <c r="F626" s="13">
        <v>0</v>
      </c>
      <c r="G626" s="5">
        <v>0</v>
      </c>
      <c r="H626" s="5">
        <v>0</v>
      </c>
      <c r="I626" s="13">
        <v>0</v>
      </c>
      <c r="K626" s="13">
        <v>0</v>
      </c>
      <c r="L626" s="13">
        <v>0</v>
      </c>
      <c r="N626" s="5">
        <f t="shared" si="9"/>
        <v>14.098901098901099</v>
      </c>
      <c r="O626" s="13">
        <v>0</v>
      </c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</row>
    <row r="627" spans="2:88" ht="15.75">
      <c r="B627" s="11">
        <v>623</v>
      </c>
      <c r="C627" s="12">
        <v>46280</v>
      </c>
      <c r="D627" s="13">
        <v>58</v>
      </c>
      <c r="E627" s="14"/>
      <c r="F627" s="13">
        <v>0</v>
      </c>
      <c r="G627" s="5">
        <v>0</v>
      </c>
      <c r="H627" s="5">
        <v>0</v>
      </c>
      <c r="I627" s="13">
        <v>0</v>
      </c>
      <c r="K627" s="13">
        <v>0</v>
      </c>
      <c r="L627" s="13">
        <v>0</v>
      </c>
      <c r="N627" s="5">
        <f t="shared" si="9"/>
        <v>14.098901098901099</v>
      </c>
      <c r="O627" s="13">
        <v>0</v>
      </c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</row>
    <row r="628" spans="2:88" ht="15.75">
      <c r="B628" s="11">
        <v>624</v>
      </c>
      <c r="C628" s="12">
        <v>46281</v>
      </c>
      <c r="D628" s="13">
        <v>63</v>
      </c>
      <c r="E628" s="14"/>
      <c r="F628" s="13">
        <v>0</v>
      </c>
      <c r="G628" s="5">
        <v>0</v>
      </c>
      <c r="H628" s="5">
        <v>0</v>
      </c>
      <c r="I628" s="13">
        <v>0</v>
      </c>
      <c r="K628" s="13">
        <v>0</v>
      </c>
      <c r="L628" s="13">
        <v>0</v>
      </c>
      <c r="N628" s="5">
        <f t="shared" si="9"/>
        <v>14.098901098901099</v>
      </c>
      <c r="O628" s="13">
        <v>0</v>
      </c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</row>
    <row r="629" spans="2:88" ht="15.75">
      <c r="B629" s="11">
        <v>625</v>
      </c>
      <c r="C629" s="12">
        <v>46282</v>
      </c>
      <c r="D629" s="13">
        <v>29</v>
      </c>
      <c r="E629" s="14"/>
      <c r="F629" s="13">
        <v>0</v>
      </c>
      <c r="G629" s="5">
        <v>0</v>
      </c>
      <c r="H629" s="5">
        <v>0</v>
      </c>
      <c r="I629" s="13">
        <v>0</v>
      </c>
      <c r="K629" s="13">
        <v>0</v>
      </c>
      <c r="L629" s="13">
        <v>0</v>
      </c>
      <c r="N629" s="5">
        <f t="shared" si="9"/>
        <v>14.098901098901099</v>
      </c>
      <c r="O629" s="13">
        <v>0</v>
      </c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</row>
    <row r="630" spans="2:88" ht="15.75">
      <c r="B630" s="11">
        <v>626</v>
      </c>
      <c r="C630" s="12">
        <v>46283</v>
      </c>
      <c r="D630" s="13">
        <v>29</v>
      </c>
      <c r="E630" s="14"/>
      <c r="F630" s="13">
        <v>0</v>
      </c>
      <c r="G630" s="5">
        <v>0</v>
      </c>
      <c r="H630" s="5">
        <v>0</v>
      </c>
      <c r="I630" s="13">
        <v>0</v>
      </c>
      <c r="K630" s="13">
        <v>0</v>
      </c>
      <c r="L630" s="13">
        <v>0</v>
      </c>
      <c r="N630" s="5">
        <f t="shared" si="9"/>
        <v>14.098901098901099</v>
      </c>
      <c r="O630" s="13">
        <v>0</v>
      </c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</row>
    <row r="631" spans="2:88" ht="15.75">
      <c r="B631" s="11">
        <v>627</v>
      </c>
      <c r="C631" s="12">
        <v>46284</v>
      </c>
      <c r="D631" s="13">
        <v>42</v>
      </c>
      <c r="E631" s="14"/>
      <c r="F631" s="13">
        <v>0</v>
      </c>
      <c r="G631" s="5">
        <v>0</v>
      </c>
      <c r="H631" s="5">
        <v>0</v>
      </c>
      <c r="I631" s="13">
        <v>0</v>
      </c>
      <c r="K631" s="13">
        <v>0</v>
      </c>
      <c r="L631" s="13">
        <v>0</v>
      </c>
      <c r="N631" s="5">
        <f t="shared" si="9"/>
        <v>14.098901098901099</v>
      </c>
      <c r="O631" s="13">
        <v>0</v>
      </c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</row>
    <row r="632" spans="2:88" ht="15.75">
      <c r="B632" s="11">
        <v>628</v>
      </c>
      <c r="C632" s="12">
        <v>46285</v>
      </c>
      <c r="D632" s="13">
        <v>75</v>
      </c>
      <c r="E632" s="14"/>
      <c r="F632" s="13">
        <v>0</v>
      </c>
      <c r="G632" s="5">
        <v>0</v>
      </c>
      <c r="H632" s="5">
        <v>0</v>
      </c>
      <c r="I632" s="13">
        <v>0</v>
      </c>
      <c r="K632" s="13">
        <v>0</v>
      </c>
      <c r="L632" s="13">
        <v>0</v>
      </c>
      <c r="N632" s="5">
        <f t="shared" si="9"/>
        <v>14.098901098901099</v>
      </c>
      <c r="O632" s="13">
        <v>0</v>
      </c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</row>
    <row r="633" spans="2:88" ht="15.75">
      <c r="B633" s="11">
        <v>629</v>
      </c>
      <c r="C633" s="12">
        <v>46286</v>
      </c>
      <c r="D633" s="13">
        <v>85</v>
      </c>
      <c r="E633" s="14"/>
      <c r="F633" s="13">
        <v>0</v>
      </c>
      <c r="G633" s="5">
        <v>0</v>
      </c>
      <c r="H633" s="5">
        <v>0</v>
      </c>
      <c r="I633" s="13">
        <v>0</v>
      </c>
      <c r="K633" s="13">
        <v>0</v>
      </c>
      <c r="L633" s="13">
        <v>0</v>
      </c>
      <c r="N633" s="5">
        <f t="shared" si="9"/>
        <v>14.098901098901099</v>
      </c>
      <c r="O633" s="13">
        <v>0</v>
      </c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</row>
    <row r="634" spans="2:88" ht="15.75">
      <c r="B634" s="11">
        <v>630</v>
      </c>
      <c r="C634" s="12">
        <v>46287</v>
      </c>
      <c r="D634" s="13">
        <v>61</v>
      </c>
      <c r="E634" s="14"/>
      <c r="F634" s="13">
        <v>0</v>
      </c>
      <c r="G634" s="5">
        <v>0</v>
      </c>
      <c r="H634" s="5">
        <v>0</v>
      </c>
      <c r="I634" s="13">
        <v>0</v>
      </c>
      <c r="K634" s="13">
        <v>0</v>
      </c>
      <c r="L634" s="13">
        <v>0</v>
      </c>
      <c r="N634" s="5">
        <f t="shared" si="9"/>
        <v>14.098901098901099</v>
      </c>
      <c r="O634" s="13">
        <v>0</v>
      </c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</row>
    <row r="635" spans="2:88" ht="15.75">
      <c r="B635" s="11">
        <v>631</v>
      </c>
      <c r="C635" s="12">
        <v>46288</v>
      </c>
      <c r="D635" s="13">
        <v>47</v>
      </c>
      <c r="E635" s="14"/>
      <c r="F635" s="13">
        <v>0</v>
      </c>
      <c r="G635" s="5">
        <v>0</v>
      </c>
      <c r="H635" s="5">
        <v>0</v>
      </c>
      <c r="I635" s="13">
        <v>0</v>
      </c>
      <c r="K635" s="13">
        <v>0</v>
      </c>
      <c r="L635" s="13">
        <v>0</v>
      </c>
      <c r="N635" s="5">
        <f t="shared" si="9"/>
        <v>14.098901098901099</v>
      </c>
      <c r="O635" s="13">
        <v>0</v>
      </c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</row>
    <row r="636" spans="2:88" ht="15.75">
      <c r="B636" s="11">
        <v>632</v>
      </c>
      <c r="C636" s="12">
        <v>46289</v>
      </c>
      <c r="D636" s="13">
        <v>39</v>
      </c>
      <c r="E636" s="14"/>
      <c r="F636" s="13">
        <v>0</v>
      </c>
      <c r="G636" s="5">
        <v>0</v>
      </c>
      <c r="H636" s="5">
        <v>0</v>
      </c>
      <c r="I636" s="13">
        <v>0</v>
      </c>
      <c r="K636" s="13">
        <v>0</v>
      </c>
      <c r="L636" s="13">
        <v>0</v>
      </c>
      <c r="N636" s="5">
        <f t="shared" si="9"/>
        <v>14.098901098901099</v>
      </c>
      <c r="O636" s="13">
        <v>0</v>
      </c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</row>
    <row r="637" spans="2:88" ht="15.75">
      <c r="B637" s="11">
        <v>633</v>
      </c>
      <c r="C637" s="12">
        <v>46290</v>
      </c>
      <c r="D637" s="13">
        <v>49</v>
      </c>
      <c r="E637" s="14"/>
      <c r="F637" s="13">
        <v>0</v>
      </c>
      <c r="G637" s="5">
        <v>0</v>
      </c>
      <c r="H637" s="5">
        <v>0</v>
      </c>
      <c r="I637" s="13">
        <v>0</v>
      </c>
      <c r="K637" s="13">
        <v>0</v>
      </c>
      <c r="L637" s="13">
        <v>0</v>
      </c>
      <c r="N637" s="5">
        <f t="shared" si="9"/>
        <v>14.098901098901099</v>
      </c>
      <c r="O637" s="13">
        <v>0</v>
      </c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</row>
    <row r="638" spans="2:88" ht="15.75">
      <c r="B638" s="11">
        <v>634</v>
      </c>
      <c r="C638" s="12">
        <v>46291</v>
      </c>
      <c r="D638" s="13">
        <v>54</v>
      </c>
      <c r="E638" s="14"/>
      <c r="F638" s="13">
        <v>0</v>
      </c>
      <c r="G638" s="5">
        <v>0</v>
      </c>
      <c r="H638" s="5">
        <v>0</v>
      </c>
      <c r="I638" s="13">
        <v>0</v>
      </c>
      <c r="K638" s="13">
        <v>0</v>
      </c>
      <c r="L638" s="13">
        <v>0</v>
      </c>
      <c r="N638" s="5">
        <f t="shared" si="9"/>
        <v>14.098901098901099</v>
      </c>
      <c r="O638" s="13">
        <v>0</v>
      </c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</row>
    <row r="639" spans="2:88" ht="15.75">
      <c r="B639" s="11">
        <v>635</v>
      </c>
      <c r="C639" s="12">
        <v>46292</v>
      </c>
      <c r="D639" s="13">
        <v>25</v>
      </c>
      <c r="E639" s="14"/>
      <c r="F639" s="13">
        <v>0</v>
      </c>
      <c r="G639" s="5">
        <v>0</v>
      </c>
      <c r="H639" s="5">
        <v>0</v>
      </c>
      <c r="I639" s="13">
        <v>0</v>
      </c>
      <c r="K639" s="13">
        <v>0</v>
      </c>
      <c r="L639" s="13">
        <v>0</v>
      </c>
      <c r="N639" s="5">
        <f t="shared" si="9"/>
        <v>14.098901098901099</v>
      </c>
      <c r="O639" s="13">
        <v>0</v>
      </c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</row>
    <row r="640" spans="2:88" ht="15.75">
      <c r="B640" s="11">
        <v>636</v>
      </c>
      <c r="C640" s="12">
        <v>46293</v>
      </c>
      <c r="D640" s="13">
        <v>32</v>
      </c>
      <c r="E640" s="14"/>
      <c r="F640" s="13">
        <v>0</v>
      </c>
      <c r="G640" s="5">
        <v>0</v>
      </c>
      <c r="H640" s="5">
        <v>0</v>
      </c>
      <c r="I640" s="13">
        <v>0</v>
      </c>
      <c r="K640" s="13">
        <v>0</v>
      </c>
      <c r="L640" s="13">
        <v>0</v>
      </c>
      <c r="N640" s="5">
        <f t="shared" si="9"/>
        <v>14.098901098901099</v>
      </c>
      <c r="O640" s="13">
        <v>0</v>
      </c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</row>
    <row r="641" spans="1:88" ht="15.75">
      <c r="B641" s="11">
        <v>637</v>
      </c>
      <c r="C641" s="12">
        <v>46294</v>
      </c>
      <c r="D641" s="13">
        <v>31</v>
      </c>
      <c r="E641" s="14"/>
      <c r="F641" s="13">
        <v>0</v>
      </c>
      <c r="G641" s="5">
        <v>0</v>
      </c>
      <c r="H641" s="5">
        <v>0</v>
      </c>
      <c r="I641" s="13">
        <v>0</v>
      </c>
      <c r="K641" s="13">
        <v>0</v>
      </c>
      <c r="L641" s="13">
        <v>0</v>
      </c>
      <c r="N641" s="5">
        <f t="shared" si="9"/>
        <v>14.098901098901099</v>
      </c>
      <c r="O641" s="13">
        <v>0</v>
      </c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</row>
    <row r="642" spans="1:88" ht="15.75">
      <c r="B642" s="11">
        <v>638</v>
      </c>
      <c r="C642" s="12">
        <v>46295</v>
      </c>
      <c r="D642" s="13">
        <v>36</v>
      </c>
      <c r="E642" s="14"/>
      <c r="F642" s="13">
        <v>0</v>
      </c>
      <c r="G642" s="5">
        <v>0</v>
      </c>
      <c r="H642" s="5">
        <v>0</v>
      </c>
      <c r="I642" s="13">
        <v>0</v>
      </c>
      <c r="K642" s="13">
        <v>0</v>
      </c>
      <c r="L642" s="13">
        <v>0</v>
      </c>
      <c r="N642" s="5">
        <f t="shared" si="9"/>
        <v>14.098901098901099</v>
      </c>
      <c r="O642" s="13">
        <v>0</v>
      </c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</row>
    <row r="643" spans="1:88" ht="15.75">
      <c r="B643" s="11">
        <v>639</v>
      </c>
      <c r="C643" s="12">
        <v>46296</v>
      </c>
      <c r="D643" s="13">
        <v>48</v>
      </c>
      <c r="E643" s="14"/>
      <c r="F643" s="13">
        <v>0</v>
      </c>
      <c r="G643" s="5">
        <v>0</v>
      </c>
      <c r="H643" s="5">
        <v>0</v>
      </c>
      <c r="I643" s="13">
        <v>0</v>
      </c>
      <c r="K643" s="13">
        <v>0</v>
      </c>
      <c r="L643" s="13">
        <v>0</v>
      </c>
      <c r="N643" s="5">
        <f t="shared" si="9"/>
        <v>14.098901098901099</v>
      </c>
      <c r="O643" s="13">
        <v>0</v>
      </c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</row>
    <row r="644" spans="1:88" ht="15.75">
      <c r="A644" s="5">
        <v>1</v>
      </c>
      <c r="B644" s="11">
        <v>640</v>
      </c>
      <c r="C644" s="12">
        <v>46297</v>
      </c>
      <c r="D644" s="24">
        <v>32</v>
      </c>
      <c r="E644" s="14"/>
      <c r="F644" s="24">
        <v>17</v>
      </c>
      <c r="G644" s="5">
        <v>0</v>
      </c>
      <c r="H644" s="5">
        <v>0</v>
      </c>
      <c r="I644" s="25">
        <v>5</v>
      </c>
      <c r="K644" s="24">
        <v>0</v>
      </c>
      <c r="L644" s="13">
        <v>0</v>
      </c>
      <c r="N644" s="5">
        <f t="shared" si="9"/>
        <v>14.098901098901099</v>
      </c>
      <c r="O644" s="24">
        <v>3</v>
      </c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</row>
    <row r="645" spans="1:88" ht="15.75">
      <c r="A645" s="5">
        <v>2</v>
      </c>
      <c r="B645" s="11">
        <v>641</v>
      </c>
      <c r="C645" s="12">
        <v>46298</v>
      </c>
      <c r="D645" s="24">
        <v>50</v>
      </c>
      <c r="E645" s="14"/>
      <c r="F645" s="24">
        <v>0</v>
      </c>
      <c r="G645" s="5">
        <v>0</v>
      </c>
      <c r="H645" s="5">
        <v>0</v>
      </c>
      <c r="I645" s="25">
        <v>0</v>
      </c>
      <c r="K645" s="24">
        <v>0</v>
      </c>
      <c r="L645" s="13">
        <v>0</v>
      </c>
      <c r="N645" s="5">
        <f t="shared" ref="N645:N708" si="10">AVERAGE($O$644:$O$734)</f>
        <v>14.098901098901099</v>
      </c>
      <c r="O645" s="24">
        <v>0</v>
      </c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</row>
    <row r="646" spans="1:88" ht="15.75">
      <c r="A646" s="5">
        <v>3</v>
      </c>
      <c r="B646" s="11">
        <v>642</v>
      </c>
      <c r="C646" s="12">
        <v>46299</v>
      </c>
      <c r="D646" s="24">
        <v>21</v>
      </c>
      <c r="E646" s="14"/>
      <c r="F646" s="24">
        <v>0</v>
      </c>
      <c r="G646" s="5">
        <v>0</v>
      </c>
      <c r="H646" s="5">
        <v>0</v>
      </c>
      <c r="I646" s="25">
        <v>0</v>
      </c>
      <c r="K646" s="24">
        <v>0</v>
      </c>
      <c r="L646" s="13">
        <v>0</v>
      </c>
      <c r="N646" s="5">
        <f t="shared" si="10"/>
        <v>14.098901098901099</v>
      </c>
      <c r="O646" s="24">
        <v>0</v>
      </c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</row>
    <row r="647" spans="1:88" ht="15.75">
      <c r="A647" s="5">
        <v>4</v>
      </c>
      <c r="B647" s="11">
        <v>643</v>
      </c>
      <c r="C647" s="12">
        <v>46300</v>
      </c>
      <c r="D647" s="24">
        <v>34</v>
      </c>
      <c r="E647" s="14"/>
      <c r="F647" s="24">
        <v>0</v>
      </c>
      <c r="G647" s="5">
        <v>0</v>
      </c>
      <c r="H647" s="5">
        <v>0</v>
      </c>
      <c r="I647" s="25">
        <v>0</v>
      </c>
      <c r="K647" s="24">
        <v>0</v>
      </c>
      <c r="L647" s="13">
        <v>0</v>
      </c>
      <c r="N647" s="5">
        <f t="shared" si="10"/>
        <v>14.098901098901099</v>
      </c>
      <c r="O647" s="24">
        <v>0</v>
      </c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</row>
    <row r="648" spans="1:88" ht="15.75">
      <c r="A648" s="5">
        <v>5</v>
      </c>
      <c r="B648" s="11">
        <v>644</v>
      </c>
      <c r="C648" s="12">
        <v>46301</v>
      </c>
      <c r="D648" s="24">
        <v>49</v>
      </c>
      <c r="E648" s="14"/>
      <c r="F648" s="24">
        <v>6</v>
      </c>
      <c r="G648" s="5">
        <v>0</v>
      </c>
      <c r="H648" s="5">
        <v>0</v>
      </c>
      <c r="I648" s="25">
        <v>0</v>
      </c>
      <c r="K648" s="24">
        <v>0</v>
      </c>
      <c r="L648" s="13">
        <v>0</v>
      </c>
      <c r="N648" s="5">
        <f t="shared" si="10"/>
        <v>14.098901098901099</v>
      </c>
      <c r="O648" s="24">
        <v>0</v>
      </c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</row>
    <row r="649" spans="1:88" ht="15.75">
      <c r="A649" s="5">
        <v>6</v>
      </c>
      <c r="B649" s="11">
        <v>645</v>
      </c>
      <c r="C649" s="12">
        <v>46302</v>
      </c>
      <c r="D649" s="24">
        <v>18</v>
      </c>
      <c r="E649" s="14"/>
      <c r="F649" s="24">
        <v>0</v>
      </c>
      <c r="G649" s="5">
        <v>0</v>
      </c>
      <c r="H649" s="5">
        <v>0</v>
      </c>
      <c r="I649" s="25">
        <v>3</v>
      </c>
      <c r="K649" s="24">
        <v>250</v>
      </c>
      <c r="L649" s="13">
        <v>0</v>
      </c>
      <c r="N649" s="5">
        <f t="shared" si="10"/>
        <v>14.098901098901099</v>
      </c>
      <c r="O649" s="24">
        <v>0</v>
      </c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</row>
    <row r="650" spans="1:88" ht="15.75">
      <c r="A650" s="5">
        <v>7</v>
      </c>
      <c r="B650" s="11">
        <v>646</v>
      </c>
      <c r="C650" s="12">
        <v>46303</v>
      </c>
      <c r="D650" s="24">
        <v>33</v>
      </c>
      <c r="E650" s="14"/>
      <c r="F650" s="24">
        <v>0</v>
      </c>
      <c r="G650" s="5">
        <v>0</v>
      </c>
      <c r="H650" s="5">
        <v>0</v>
      </c>
      <c r="I650" s="25">
        <v>0</v>
      </c>
      <c r="K650" s="24">
        <v>0</v>
      </c>
      <c r="L650" s="13">
        <v>0</v>
      </c>
      <c r="N650" s="5">
        <f t="shared" si="10"/>
        <v>14.098901098901099</v>
      </c>
      <c r="O650" s="24">
        <v>0</v>
      </c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</row>
    <row r="651" spans="1:88" ht="15.75">
      <c r="A651" s="5">
        <v>8</v>
      </c>
      <c r="B651" s="11">
        <v>647</v>
      </c>
      <c r="C651" s="12">
        <v>46304</v>
      </c>
      <c r="D651" s="24">
        <v>30</v>
      </c>
      <c r="E651" s="14"/>
      <c r="F651" s="24">
        <v>0</v>
      </c>
      <c r="G651" s="5">
        <v>0</v>
      </c>
      <c r="H651" s="5">
        <v>0</v>
      </c>
      <c r="I651" s="25">
        <v>0</v>
      </c>
      <c r="K651" s="24">
        <v>0</v>
      </c>
      <c r="L651" s="13">
        <v>0</v>
      </c>
      <c r="N651" s="5">
        <f t="shared" si="10"/>
        <v>14.098901098901099</v>
      </c>
      <c r="O651" s="24">
        <v>1</v>
      </c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</row>
    <row r="652" spans="1:88" ht="15.75">
      <c r="A652" s="5">
        <v>9</v>
      </c>
      <c r="B652" s="11">
        <v>648</v>
      </c>
      <c r="C652" s="12">
        <v>46305</v>
      </c>
      <c r="D652" s="24">
        <v>35</v>
      </c>
      <c r="E652" s="14"/>
      <c r="F652" s="24">
        <v>0</v>
      </c>
      <c r="G652" s="5">
        <v>0</v>
      </c>
      <c r="H652" s="5">
        <v>0</v>
      </c>
      <c r="I652" s="25">
        <v>3</v>
      </c>
      <c r="K652" s="24">
        <v>0</v>
      </c>
      <c r="L652" s="13">
        <v>0</v>
      </c>
      <c r="N652" s="5">
        <f t="shared" si="10"/>
        <v>14.098901098901099</v>
      </c>
      <c r="O652" s="24">
        <v>0</v>
      </c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</row>
    <row r="653" spans="1:88" ht="15.75">
      <c r="A653" s="5">
        <v>10</v>
      </c>
      <c r="B653" s="11">
        <v>649</v>
      </c>
      <c r="C653" s="12">
        <v>46306</v>
      </c>
      <c r="D653" s="24">
        <v>18</v>
      </c>
      <c r="E653" s="14"/>
      <c r="F653" s="24">
        <v>0</v>
      </c>
      <c r="G653" s="5">
        <v>0</v>
      </c>
      <c r="H653" s="5">
        <v>0</v>
      </c>
      <c r="I653" s="25">
        <v>0</v>
      </c>
      <c r="K653" s="24">
        <v>0</v>
      </c>
      <c r="L653" s="13">
        <v>0</v>
      </c>
      <c r="N653" s="5">
        <f t="shared" si="10"/>
        <v>14.098901098901099</v>
      </c>
      <c r="O653" s="24">
        <v>7</v>
      </c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</row>
    <row r="654" spans="1:88" ht="15.75">
      <c r="A654" s="5">
        <v>11</v>
      </c>
      <c r="B654" s="11">
        <v>650</v>
      </c>
      <c r="C654" s="12">
        <v>46307</v>
      </c>
      <c r="D654" s="24">
        <v>33</v>
      </c>
      <c r="E654" s="14"/>
      <c r="F654" s="24">
        <v>0</v>
      </c>
      <c r="G654" s="5">
        <v>0</v>
      </c>
      <c r="H654" s="5">
        <v>0</v>
      </c>
      <c r="I654" s="25">
        <v>9</v>
      </c>
      <c r="K654" s="24">
        <v>0</v>
      </c>
      <c r="L654" s="13">
        <v>0</v>
      </c>
      <c r="N654" s="5">
        <f t="shared" si="10"/>
        <v>14.098901098901099</v>
      </c>
      <c r="O654" s="24">
        <v>0</v>
      </c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</row>
    <row r="655" spans="1:88" ht="15.75">
      <c r="A655" s="5">
        <v>12</v>
      </c>
      <c r="B655" s="11">
        <v>651</v>
      </c>
      <c r="C655" s="12">
        <v>46308</v>
      </c>
      <c r="D655" s="24">
        <v>26</v>
      </c>
      <c r="E655" s="14"/>
      <c r="F655" s="24">
        <v>0</v>
      </c>
      <c r="G655" s="5">
        <v>0</v>
      </c>
      <c r="H655" s="5">
        <v>0</v>
      </c>
      <c r="I655" s="25">
        <v>0</v>
      </c>
      <c r="K655" s="24">
        <v>0</v>
      </c>
      <c r="L655" s="13">
        <v>0</v>
      </c>
      <c r="N655" s="5">
        <f t="shared" si="10"/>
        <v>14.098901098901099</v>
      </c>
      <c r="O655" s="24">
        <v>12</v>
      </c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</row>
    <row r="656" spans="1:88" ht="15.75">
      <c r="A656" s="5">
        <v>13</v>
      </c>
      <c r="B656" s="11">
        <v>652</v>
      </c>
      <c r="C656" s="12">
        <v>46309</v>
      </c>
      <c r="D656" s="24">
        <v>34</v>
      </c>
      <c r="E656" s="14"/>
      <c r="F656" s="24">
        <v>0</v>
      </c>
      <c r="G656" s="5">
        <v>0</v>
      </c>
      <c r="H656" s="5">
        <v>0</v>
      </c>
      <c r="I656" s="25">
        <v>3</v>
      </c>
      <c r="K656" s="24">
        <v>0</v>
      </c>
      <c r="L656" s="13">
        <v>0</v>
      </c>
      <c r="N656" s="5">
        <f t="shared" si="10"/>
        <v>14.098901098901099</v>
      </c>
      <c r="O656" s="24">
        <v>0</v>
      </c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</row>
    <row r="657" spans="1:88" ht="15.75">
      <c r="A657" s="5">
        <v>14</v>
      </c>
      <c r="B657" s="11">
        <v>653</v>
      </c>
      <c r="C657" s="12">
        <v>46310</v>
      </c>
      <c r="D657" s="24">
        <v>34</v>
      </c>
      <c r="E657" s="14"/>
      <c r="F657" s="24">
        <v>0</v>
      </c>
      <c r="G657" s="5">
        <v>0</v>
      </c>
      <c r="H657" s="5">
        <v>0</v>
      </c>
      <c r="I657" s="25">
        <v>12</v>
      </c>
      <c r="K657" s="24">
        <v>0</v>
      </c>
      <c r="L657" s="13">
        <v>0</v>
      </c>
      <c r="N657" s="5">
        <f t="shared" si="10"/>
        <v>14.098901098901099</v>
      </c>
      <c r="O657" s="24">
        <v>21</v>
      </c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</row>
    <row r="658" spans="1:88" ht="15.75">
      <c r="A658" s="5">
        <v>15</v>
      </c>
      <c r="B658" s="11">
        <v>654</v>
      </c>
      <c r="C658" s="12">
        <v>46311</v>
      </c>
      <c r="D658" s="24">
        <v>30</v>
      </c>
      <c r="E658" s="14"/>
      <c r="F658" s="24">
        <v>0</v>
      </c>
      <c r="G658" s="5">
        <v>0</v>
      </c>
      <c r="H658" s="5">
        <v>0</v>
      </c>
      <c r="I658" s="25">
        <v>4</v>
      </c>
      <c r="K658" s="24">
        <v>0</v>
      </c>
      <c r="L658" s="13">
        <v>0</v>
      </c>
      <c r="N658" s="5">
        <f t="shared" si="10"/>
        <v>14.098901098901099</v>
      </c>
      <c r="O658" s="24">
        <v>4</v>
      </c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</row>
    <row r="659" spans="1:88" ht="15.75">
      <c r="A659" s="5">
        <v>16</v>
      </c>
      <c r="B659" s="11">
        <v>655</v>
      </c>
      <c r="C659" s="12">
        <v>46312</v>
      </c>
      <c r="D659" s="24">
        <v>37</v>
      </c>
      <c r="E659" s="14"/>
      <c r="F659" s="24">
        <v>0</v>
      </c>
      <c r="G659" s="5">
        <v>0</v>
      </c>
      <c r="H659" s="5">
        <v>0</v>
      </c>
      <c r="I659" s="25">
        <v>3</v>
      </c>
      <c r="K659" s="24">
        <v>0</v>
      </c>
      <c r="L659" s="13">
        <v>0</v>
      </c>
      <c r="N659" s="5">
        <f t="shared" si="10"/>
        <v>14.098901098901099</v>
      </c>
      <c r="O659" s="24">
        <v>6</v>
      </c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</row>
    <row r="660" spans="1:88" ht="15.75">
      <c r="A660" s="5">
        <v>17</v>
      </c>
      <c r="B660" s="11">
        <v>656</v>
      </c>
      <c r="C660" s="12">
        <v>46313</v>
      </c>
      <c r="D660" s="24">
        <v>65</v>
      </c>
      <c r="E660" s="14"/>
      <c r="F660" s="24">
        <v>0</v>
      </c>
      <c r="G660" s="5">
        <v>0</v>
      </c>
      <c r="H660" s="5">
        <v>0</v>
      </c>
      <c r="I660" s="25">
        <v>2</v>
      </c>
      <c r="K660" s="24">
        <v>0</v>
      </c>
      <c r="L660" s="13">
        <v>0</v>
      </c>
      <c r="N660" s="5">
        <f t="shared" si="10"/>
        <v>14.098901098901099</v>
      </c>
      <c r="O660" s="24">
        <v>10</v>
      </c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</row>
    <row r="661" spans="1:88" ht="15.75">
      <c r="A661" s="5">
        <v>18</v>
      </c>
      <c r="B661" s="11">
        <v>657</v>
      </c>
      <c r="C661" s="12">
        <v>46314</v>
      </c>
      <c r="D661" s="24">
        <v>16</v>
      </c>
      <c r="E661" s="14"/>
      <c r="F661" s="24">
        <v>0</v>
      </c>
      <c r="G661" s="5">
        <v>0</v>
      </c>
      <c r="H661" s="5">
        <v>0</v>
      </c>
      <c r="I661" s="25">
        <v>10</v>
      </c>
      <c r="K661" s="24">
        <v>0</v>
      </c>
      <c r="L661" s="13">
        <v>0</v>
      </c>
      <c r="N661" s="5">
        <f t="shared" si="10"/>
        <v>14.098901098901099</v>
      </c>
      <c r="O661" s="24">
        <v>19</v>
      </c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</row>
    <row r="662" spans="1:88" ht="15.75">
      <c r="A662" s="5">
        <v>19</v>
      </c>
      <c r="B662" s="11">
        <v>658</v>
      </c>
      <c r="C662" s="12">
        <v>46315</v>
      </c>
      <c r="D662" s="24">
        <v>15</v>
      </c>
      <c r="E662" s="14"/>
      <c r="F662" s="24">
        <v>0</v>
      </c>
      <c r="G662" s="5">
        <v>0</v>
      </c>
      <c r="H662" s="5">
        <v>0</v>
      </c>
      <c r="I662" s="25">
        <v>5</v>
      </c>
      <c r="K662" s="24">
        <v>0</v>
      </c>
      <c r="L662" s="13">
        <v>0</v>
      </c>
      <c r="N662" s="5">
        <f t="shared" si="10"/>
        <v>14.098901098901099</v>
      </c>
      <c r="O662" s="24">
        <v>8</v>
      </c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</row>
    <row r="663" spans="1:88" ht="15.75">
      <c r="A663" s="5">
        <v>20</v>
      </c>
      <c r="B663" s="11">
        <v>659</v>
      </c>
      <c r="C663" s="12">
        <v>46316</v>
      </c>
      <c r="D663" s="24">
        <v>17</v>
      </c>
      <c r="E663" s="14"/>
      <c r="F663" s="24">
        <v>4</v>
      </c>
      <c r="G663" s="5">
        <v>0</v>
      </c>
      <c r="H663" s="5">
        <v>0</v>
      </c>
      <c r="I663" s="25">
        <v>6</v>
      </c>
      <c r="K663" s="24">
        <v>0</v>
      </c>
      <c r="L663" s="13">
        <v>0</v>
      </c>
      <c r="N663" s="5">
        <f t="shared" si="10"/>
        <v>14.098901098901099</v>
      </c>
      <c r="O663" s="24">
        <v>13</v>
      </c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</row>
    <row r="664" spans="1:88" ht="15.75">
      <c r="A664" s="5">
        <v>21</v>
      </c>
      <c r="B664" s="11">
        <v>660</v>
      </c>
      <c r="C664" s="12">
        <v>46317</v>
      </c>
      <c r="D664" s="24">
        <v>14</v>
      </c>
      <c r="E664" s="14"/>
      <c r="F664" s="24">
        <v>0</v>
      </c>
      <c r="G664" s="5">
        <v>0</v>
      </c>
      <c r="H664" s="5">
        <v>0</v>
      </c>
      <c r="I664" s="25">
        <v>8</v>
      </c>
      <c r="K664" s="24">
        <v>0</v>
      </c>
      <c r="L664" s="13">
        <v>0</v>
      </c>
      <c r="N664" s="5">
        <f t="shared" si="10"/>
        <v>14.098901098901099</v>
      </c>
      <c r="O664" s="24">
        <v>31</v>
      </c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</row>
    <row r="665" spans="1:88" ht="15.75">
      <c r="A665" s="5">
        <v>22</v>
      </c>
      <c r="B665" s="11">
        <v>661</v>
      </c>
      <c r="C665" s="12">
        <v>46318</v>
      </c>
      <c r="D665" s="24">
        <v>54</v>
      </c>
      <c r="E665" s="14"/>
      <c r="F665" s="24">
        <v>0</v>
      </c>
      <c r="G665" s="5">
        <v>0</v>
      </c>
      <c r="H665" s="5">
        <v>0</v>
      </c>
      <c r="I665" s="25">
        <v>31</v>
      </c>
      <c r="K665" s="24">
        <v>0</v>
      </c>
      <c r="L665" s="13">
        <v>0</v>
      </c>
      <c r="N665" s="5">
        <f t="shared" si="10"/>
        <v>14.098901098901099</v>
      </c>
      <c r="O665" s="24">
        <v>7</v>
      </c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</row>
    <row r="666" spans="1:88" ht="15.75">
      <c r="A666" s="5">
        <v>23</v>
      </c>
      <c r="B666" s="11">
        <v>662</v>
      </c>
      <c r="C666" s="12">
        <v>46319</v>
      </c>
      <c r="D666" s="24">
        <v>17</v>
      </c>
      <c r="E666" s="14"/>
      <c r="F666" s="24">
        <v>14</v>
      </c>
      <c r="G666" s="5">
        <v>0</v>
      </c>
      <c r="H666" s="5">
        <v>0</v>
      </c>
      <c r="I666" s="25">
        <v>4</v>
      </c>
      <c r="K666" s="24">
        <v>0</v>
      </c>
      <c r="L666" s="13">
        <v>0</v>
      </c>
      <c r="N666" s="5">
        <f t="shared" si="10"/>
        <v>14.098901098901099</v>
      </c>
      <c r="O666" s="24">
        <v>50</v>
      </c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</row>
    <row r="667" spans="1:88" ht="15.75">
      <c r="A667" s="5">
        <v>24</v>
      </c>
      <c r="B667" s="11">
        <v>663</v>
      </c>
      <c r="C667" s="12">
        <v>46320</v>
      </c>
      <c r="D667" s="24">
        <v>33</v>
      </c>
      <c r="E667" s="14"/>
      <c r="F667" s="24">
        <v>0</v>
      </c>
      <c r="G667" s="5">
        <v>0</v>
      </c>
      <c r="H667" s="5">
        <v>0</v>
      </c>
      <c r="I667" s="25">
        <v>34</v>
      </c>
      <c r="K667" s="24">
        <v>0</v>
      </c>
      <c r="L667" s="13">
        <v>0</v>
      </c>
      <c r="N667" s="5">
        <f t="shared" si="10"/>
        <v>14.098901098901099</v>
      </c>
      <c r="O667" s="24">
        <v>29</v>
      </c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</row>
    <row r="668" spans="1:88" ht="15.75">
      <c r="A668" s="5">
        <v>25</v>
      </c>
      <c r="B668" s="11">
        <v>664</v>
      </c>
      <c r="C668" s="12">
        <v>46321</v>
      </c>
      <c r="D668" s="24">
        <v>12</v>
      </c>
      <c r="E668" s="14"/>
      <c r="F668" s="24">
        <v>5</v>
      </c>
      <c r="G668" s="5">
        <v>0</v>
      </c>
      <c r="H668" s="5">
        <v>0</v>
      </c>
      <c r="I668" s="25">
        <v>35</v>
      </c>
      <c r="K668" s="24">
        <v>0</v>
      </c>
      <c r="L668" s="13">
        <v>0</v>
      </c>
      <c r="N668" s="5">
        <f t="shared" si="10"/>
        <v>14.098901098901099</v>
      </c>
      <c r="O668" s="24">
        <v>62</v>
      </c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</row>
    <row r="669" spans="1:88" ht="15.75">
      <c r="A669" s="5">
        <v>26</v>
      </c>
      <c r="B669" s="11">
        <v>665</v>
      </c>
      <c r="C669" s="12">
        <v>46322</v>
      </c>
      <c r="D669" s="24">
        <v>15</v>
      </c>
      <c r="E669" s="14"/>
      <c r="F669" s="24">
        <v>0</v>
      </c>
      <c r="G669" s="5">
        <v>0</v>
      </c>
      <c r="H669" s="5">
        <v>0</v>
      </c>
      <c r="I669" s="25">
        <v>7</v>
      </c>
      <c r="K669" s="24">
        <v>0</v>
      </c>
      <c r="L669" s="13">
        <v>0</v>
      </c>
      <c r="N669" s="5">
        <f t="shared" si="10"/>
        <v>14.098901098901099</v>
      </c>
      <c r="O669" s="24">
        <v>5</v>
      </c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</row>
    <row r="670" spans="1:88" ht="15.75">
      <c r="A670" s="5">
        <v>27</v>
      </c>
      <c r="B670" s="11">
        <v>666</v>
      </c>
      <c r="C670" s="12">
        <v>46323</v>
      </c>
      <c r="D670" s="24">
        <v>21</v>
      </c>
      <c r="E670" s="14"/>
      <c r="F670" s="24">
        <v>0</v>
      </c>
      <c r="G670" s="5">
        <v>0</v>
      </c>
      <c r="H670" s="5">
        <v>0</v>
      </c>
      <c r="I670" s="25">
        <v>6</v>
      </c>
      <c r="K670" s="24">
        <v>0</v>
      </c>
      <c r="L670" s="13">
        <v>0</v>
      </c>
      <c r="N670" s="5">
        <f t="shared" si="10"/>
        <v>14.098901098901099</v>
      </c>
      <c r="O670" s="24">
        <v>12</v>
      </c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</row>
    <row r="671" spans="1:88" ht="15.75">
      <c r="A671" s="5">
        <v>28</v>
      </c>
      <c r="B671" s="11">
        <v>667</v>
      </c>
      <c r="C671" s="12">
        <v>46324</v>
      </c>
      <c r="D671" s="24">
        <v>16</v>
      </c>
      <c r="E671" s="14"/>
      <c r="F671" s="24">
        <v>2</v>
      </c>
      <c r="G671" s="5">
        <v>0</v>
      </c>
      <c r="H671" s="5">
        <v>0</v>
      </c>
      <c r="I671" s="25">
        <v>11</v>
      </c>
      <c r="K671" s="24">
        <v>0</v>
      </c>
      <c r="L671" s="13">
        <v>0</v>
      </c>
      <c r="N671" s="5">
        <f t="shared" si="10"/>
        <v>14.098901098901099</v>
      </c>
      <c r="O671" s="24">
        <v>9</v>
      </c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</row>
    <row r="672" spans="1:88" ht="15.75">
      <c r="A672" s="5">
        <v>29</v>
      </c>
      <c r="B672" s="11">
        <v>668</v>
      </c>
      <c r="C672" s="12">
        <v>46325</v>
      </c>
      <c r="D672" s="24">
        <v>24</v>
      </c>
      <c r="E672" s="14"/>
      <c r="F672" s="24">
        <v>0</v>
      </c>
      <c r="G672" s="5">
        <v>0</v>
      </c>
      <c r="H672" s="5">
        <v>0</v>
      </c>
      <c r="I672" s="25">
        <v>17</v>
      </c>
      <c r="K672" s="24">
        <v>0</v>
      </c>
      <c r="L672" s="13">
        <v>0</v>
      </c>
      <c r="N672" s="5">
        <f t="shared" si="10"/>
        <v>14.098901098901099</v>
      </c>
      <c r="O672" s="24">
        <v>11</v>
      </c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</row>
    <row r="673" spans="1:88" ht="15.75">
      <c r="A673" s="5">
        <v>30</v>
      </c>
      <c r="B673" s="11">
        <v>669</v>
      </c>
      <c r="C673" s="12">
        <v>46326</v>
      </c>
      <c r="D673" s="24">
        <v>19</v>
      </c>
      <c r="E673" s="14"/>
      <c r="F673" s="24">
        <v>5</v>
      </c>
      <c r="G673" s="5">
        <v>0</v>
      </c>
      <c r="H673" s="5">
        <v>0</v>
      </c>
      <c r="I673" s="25">
        <v>19</v>
      </c>
      <c r="K673" s="24">
        <v>0</v>
      </c>
      <c r="L673" s="13">
        <v>0</v>
      </c>
      <c r="N673" s="5">
        <f t="shared" si="10"/>
        <v>14.098901098901099</v>
      </c>
      <c r="O673" s="24">
        <v>5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</row>
    <row r="674" spans="1:88" ht="15.75">
      <c r="A674" s="5">
        <v>31</v>
      </c>
      <c r="B674" s="26">
        <v>670</v>
      </c>
      <c r="C674" s="27">
        <v>46327</v>
      </c>
      <c r="D674" s="28">
        <v>10</v>
      </c>
      <c r="E674" s="29"/>
      <c r="F674" s="28">
        <v>6</v>
      </c>
      <c r="G674" s="30">
        <v>0</v>
      </c>
      <c r="H674" s="30">
        <v>0</v>
      </c>
      <c r="I674" s="28">
        <v>16</v>
      </c>
      <c r="J674" s="30"/>
      <c r="K674" s="28">
        <v>250</v>
      </c>
      <c r="L674" s="28">
        <v>0</v>
      </c>
      <c r="M674" s="30"/>
      <c r="N674" s="30">
        <f t="shared" si="10"/>
        <v>14.098901098901099</v>
      </c>
      <c r="O674" s="24">
        <v>23</v>
      </c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</row>
    <row r="675" spans="1:88" ht="15.75">
      <c r="A675" s="5">
        <v>32</v>
      </c>
      <c r="B675" s="11">
        <v>671</v>
      </c>
      <c r="C675" s="12">
        <v>46328</v>
      </c>
      <c r="D675" s="24">
        <v>26</v>
      </c>
      <c r="E675" s="14"/>
      <c r="F675" s="24">
        <v>0</v>
      </c>
      <c r="G675" s="5">
        <v>0</v>
      </c>
      <c r="H675" s="5">
        <v>0</v>
      </c>
      <c r="I675" s="24">
        <v>25</v>
      </c>
      <c r="K675" s="24">
        <v>0</v>
      </c>
      <c r="L675" s="13">
        <v>0</v>
      </c>
      <c r="N675" s="5">
        <f t="shared" si="10"/>
        <v>14.098901098901099</v>
      </c>
      <c r="O675" s="24">
        <v>60</v>
      </c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</row>
    <row r="676" spans="1:88" ht="15.75">
      <c r="A676" s="5">
        <v>33</v>
      </c>
      <c r="B676" s="11">
        <v>672</v>
      </c>
      <c r="C676" s="12">
        <v>46329</v>
      </c>
      <c r="D676" s="24">
        <v>39</v>
      </c>
      <c r="E676" s="14"/>
      <c r="F676" s="24">
        <v>41</v>
      </c>
      <c r="G676" s="5">
        <v>0</v>
      </c>
      <c r="H676" s="5">
        <v>0</v>
      </c>
      <c r="I676" s="24">
        <v>52</v>
      </c>
      <c r="K676" s="24">
        <v>0</v>
      </c>
      <c r="L676" s="13">
        <v>0</v>
      </c>
      <c r="N676" s="5">
        <f t="shared" si="10"/>
        <v>14.098901098901099</v>
      </c>
      <c r="O676" s="24">
        <v>36</v>
      </c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</row>
    <row r="677" spans="1:88" ht="15.75">
      <c r="A677" s="5">
        <v>34</v>
      </c>
      <c r="B677" s="11">
        <v>673</v>
      </c>
      <c r="C677" s="12">
        <v>46330</v>
      </c>
      <c r="D677" s="24">
        <v>23</v>
      </c>
      <c r="E677" s="14"/>
      <c r="F677" s="24">
        <v>0</v>
      </c>
      <c r="G677" s="5">
        <v>0</v>
      </c>
      <c r="H677" s="5">
        <v>0</v>
      </c>
      <c r="I677" s="24">
        <v>23</v>
      </c>
      <c r="K677" s="24">
        <v>250</v>
      </c>
      <c r="L677" s="13">
        <v>0</v>
      </c>
      <c r="N677" s="5">
        <f t="shared" si="10"/>
        <v>14.098901098901099</v>
      </c>
      <c r="O677" s="24">
        <v>5</v>
      </c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</row>
    <row r="678" spans="1:88" ht="15.75">
      <c r="A678" s="5">
        <v>35</v>
      </c>
      <c r="B678" s="11">
        <v>674</v>
      </c>
      <c r="C678" s="12">
        <v>46331</v>
      </c>
      <c r="D678" s="24">
        <v>14</v>
      </c>
      <c r="E678" s="14"/>
      <c r="F678" s="24">
        <v>3</v>
      </c>
      <c r="G678" s="5">
        <v>0</v>
      </c>
      <c r="H678" s="5">
        <v>0</v>
      </c>
      <c r="I678" s="24">
        <v>32</v>
      </c>
      <c r="K678" s="24">
        <v>0</v>
      </c>
      <c r="L678" s="13">
        <v>0</v>
      </c>
      <c r="N678" s="5">
        <f t="shared" si="10"/>
        <v>14.098901098901099</v>
      </c>
      <c r="O678" s="24">
        <v>27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</row>
    <row r="679" spans="1:88" ht="15.75">
      <c r="A679" s="5">
        <v>36</v>
      </c>
      <c r="B679" s="11">
        <v>675</v>
      </c>
      <c r="C679" s="12">
        <v>46332</v>
      </c>
      <c r="D679" s="24">
        <v>16</v>
      </c>
      <c r="E679" s="14"/>
      <c r="F679" s="24">
        <v>3</v>
      </c>
      <c r="G679" s="5">
        <v>0</v>
      </c>
      <c r="H679" s="5">
        <v>0</v>
      </c>
      <c r="I679" s="24">
        <v>31</v>
      </c>
      <c r="K679" s="24">
        <v>0</v>
      </c>
      <c r="L679" s="13">
        <v>0</v>
      </c>
      <c r="N679" s="5">
        <f t="shared" si="10"/>
        <v>14.098901098901099</v>
      </c>
      <c r="O679" s="24">
        <v>35</v>
      </c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</row>
    <row r="680" spans="1:88" ht="15.75">
      <c r="A680" s="5">
        <v>37</v>
      </c>
      <c r="B680" s="11">
        <v>676</v>
      </c>
      <c r="C680" s="12">
        <v>46333</v>
      </c>
      <c r="D680" s="24">
        <v>26</v>
      </c>
      <c r="E680" s="14"/>
      <c r="F680" s="24">
        <v>0</v>
      </c>
      <c r="G680" s="5">
        <v>0</v>
      </c>
      <c r="H680" s="5">
        <v>0</v>
      </c>
      <c r="I680" s="24">
        <v>28</v>
      </c>
      <c r="K680" s="24">
        <v>0</v>
      </c>
      <c r="L680" s="13">
        <v>0</v>
      </c>
      <c r="N680" s="5">
        <f t="shared" si="10"/>
        <v>14.098901098901099</v>
      </c>
      <c r="O680" s="24">
        <v>8</v>
      </c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</row>
    <row r="681" spans="1:88" ht="15.75">
      <c r="A681" s="5">
        <v>38</v>
      </c>
      <c r="B681" s="11">
        <v>677</v>
      </c>
      <c r="C681" s="12">
        <v>46334</v>
      </c>
      <c r="D681" s="24">
        <v>21</v>
      </c>
      <c r="E681" s="14"/>
      <c r="F681" s="24">
        <v>4</v>
      </c>
      <c r="G681" s="5">
        <v>0</v>
      </c>
      <c r="H681" s="5">
        <v>0</v>
      </c>
      <c r="I681" s="24">
        <v>35</v>
      </c>
      <c r="K681" s="24">
        <v>0</v>
      </c>
      <c r="L681" s="13">
        <v>0</v>
      </c>
      <c r="N681" s="5">
        <f t="shared" si="10"/>
        <v>14.098901098901099</v>
      </c>
      <c r="O681" s="24">
        <v>17</v>
      </c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</row>
    <row r="682" spans="1:88" ht="15.75">
      <c r="A682" s="5">
        <v>39</v>
      </c>
      <c r="B682" s="11">
        <v>678</v>
      </c>
      <c r="C682" s="12">
        <v>46335</v>
      </c>
      <c r="D682" s="24">
        <v>29</v>
      </c>
      <c r="E682" s="14"/>
      <c r="F682" s="24">
        <v>15</v>
      </c>
      <c r="G682" s="5">
        <v>0</v>
      </c>
      <c r="H682" s="5">
        <v>0</v>
      </c>
      <c r="I682" s="24">
        <v>64</v>
      </c>
      <c r="K682" s="24">
        <v>0</v>
      </c>
      <c r="L682" s="13">
        <v>0</v>
      </c>
      <c r="N682" s="5">
        <f t="shared" si="10"/>
        <v>14.098901098901099</v>
      </c>
      <c r="O682" s="24">
        <v>0</v>
      </c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</row>
    <row r="683" spans="1:88" ht="15.75">
      <c r="A683" s="5">
        <v>40</v>
      </c>
      <c r="B683" s="11">
        <v>679</v>
      </c>
      <c r="C683" s="12">
        <v>46336</v>
      </c>
      <c r="D683" s="24">
        <v>7</v>
      </c>
      <c r="E683" s="14"/>
      <c r="F683" s="24">
        <v>0</v>
      </c>
      <c r="G683" s="5">
        <v>0</v>
      </c>
      <c r="H683" s="5">
        <v>0</v>
      </c>
      <c r="I683" s="24">
        <v>48</v>
      </c>
      <c r="K683" s="24">
        <v>0</v>
      </c>
      <c r="L683" s="13">
        <v>0</v>
      </c>
      <c r="N683" s="5">
        <f t="shared" si="10"/>
        <v>14.098901098901099</v>
      </c>
      <c r="O683" s="24">
        <v>0</v>
      </c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</row>
    <row r="684" spans="1:88" ht="15.75">
      <c r="A684" s="5">
        <v>41</v>
      </c>
      <c r="B684" s="11">
        <v>680</v>
      </c>
      <c r="C684" s="12">
        <v>46337</v>
      </c>
      <c r="D684" s="24">
        <v>13</v>
      </c>
      <c r="E684" s="14"/>
      <c r="F684" s="24">
        <v>5</v>
      </c>
      <c r="G684" s="5">
        <v>0</v>
      </c>
      <c r="H684" s="5">
        <v>0</v>
      </c>
      <c r="I684" s="24">
        <v>11</v>
      </c>
      <c r="K684" s="24">
        <v>0</v>
      </c>
      <c r="L684" s="13">
        <v>0</v>
      </c>
      <c r="N684" s="5">
        <f t="shared" si="10"/>
        <v>14.098901098901099</v>
      </c>
      <c r="O684" s="24">
        <v>3</v>
      </c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</row>
    <row r="685" spans="1:88" ht="15.75">
      <c r="A685" s="5">
        <v>42</v>
      </c>
      <c r="B685" s="11">
        <v>681</v>
      </c>
      <c r="C685" s="12">
        <v>46338</v>
      </c>
      <c r="D685" s="24">
        <v>40</v>
      </c>
      <c r="E685" s="14"/>
      <c r="F685" s="24">
        <v>6</v>
      </c>
      <c r="G685" s="5">
        <v>0</v>
      </c>
      <c r="H685" s="5">
        <v>0</v>
      </c>
      <c r="I685" s="24">
        <v>5</v>
      </c>
      <c r="K685" s="24">
        <v>0</v>
      </c>
      <c r="L685" s="13">
        <v>0</v>
      </c>
      <c r="N685" s="5">
        <f t="shared" si="10"/>
        <v>14.098901098901099</v>
      </c>
      <c r="O685" s="24">
        <v>46</v>
      </c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</row>
    <row r="686" spans="1:88" ht="15.75">
      <c r="A686" s="5">
        <v>43</v>
      </c>
      <c r="B686" s="11">
        <v>682</v>
      </c>
      <c r="C686" s="12">
        <v>46339</v>
      </c>
      <c r="D686" s="24">
        <v>4</v>
      </c>
      <c r="E686" s="14"/>
      <c r="F686" s="24">
        <v>8</v>
      </c>
      <c r="G686" s="5">
        <v>0</v>
      </c>
      <c r="H686" s="5">
        <v>0</v>
      </c>
      <c r="I686" s="24">
        <v>3</v>
      </c>
      <c r="K686" s="24">
        <v>0</v>
      </c>
      <c r="L686" s="13">
        <v>0</v>
      </c>
      <c r="N686" s="5">
        <f t="shared" si="10"/>
        <v>14.098901098901099</v>
      </c>
      <c r="O686" s="24">
        <v>0</v>
      </c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</row>
    <row r="687" spans="1:88" ht="15.75">
      <c r="A687" s="5">
        <v>44</v>
      </c>
      <c r="B687" s="11">
        <v>683</v>
      </c>
      <c r="C687" s="12">
        <v>46340</v>
      </c>
      <c r="D687" s="24">
        <v>22</v>
      </c>
      <c r="E687" s="14"/>
      <c r="F687" s="24">
        <v>31</v>
      </c>
      <c r="G687" s="5">
        <v>0</v>
      </c>
      <c r="H687" s="5">
        <v>0</v>
      </c>
      <c r="I687" s="24">
        <v>10</v>
      </c>
      <c r="K687" s="24">
        <v>0</v>
      </c>
      <c r="L687" s="13">
        <v>0</v>
      </c>
      <c r="N687" s="5">
        <f t="shared" si="10"/>
        <v>14.098901098901099</v>
      </c>
      <c r="O687" s="24">
        <v>18</v>
      </c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</row>
    <row r="688" spans="1:88" ht="15.75">
      <c r="A688" s="5">
        <v>45</v>
      </c>
      <c r="B688" s="11">
        <v>684</v>
      </c>
      <c r="C688" s="12">
        <v>46341</v>
      </c>
      <c r="D688" s="24">
        <v>9</v>
      </c>
      <c r="E688" s="14"/>
      <c r="F688" s="24">
        <v>0</v>
      </c>
      <c r="G688" s="5">
        <v>0</v>
      </c>
      <c r="H688" s="5">
        <v>0</v>
      </c>
      <c r="I688" s="24">
        <v>10</v>
      </c>
      <c r="K688" s="24">
        <v>0</v>
      </c>
      <c r="L688" s="13">
        <v>0</v>
      </c>
      <c r="N688" s="5">
        <f t="shared" si="10"/>
        <v>14.098901098901099</v>
      </c>
      <c r="O688" s="24">
        <v>0</v>
      </c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</row>
    <row r="689" spans="1:88" ht="15.75">
      <c r="A689" s="5">
        <v>46</v>
      </c>
      <c r="B689" s="11">
        <v>685</v>
      </c>
      <c r="C689" s="12">
        <v>46342</v>
      </c>
      <c r="D689" s="24">
        <v>11</v>
      </c>
      <c r="E689" s="14"/>
      <c r="F689" s="24">
        <v>6</v>
      </c>
      <c r="G689" s="5">
        <v>0</v>
      </c>
      <c r="H689" s="5">
        <v>0</v>
      </c>
      <c r="I689" s="24">
        <v>2</v>
      </c>
      <c r="K689" s="24">
        <v>0</v>
      </c>
      <c r="L689" s="13">
        <v>0</v>
      </c>
      <c r="N689" s="5">
        <f t="shared" si="10"/>
        <v>14.098901098901099</v>
      </c>
      <c r="O689" s="24">
        <v>83</v>
      </c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</row>
    <row r="690" spans="1:88" ht="15.75">
      <c r="A690" s="5">
        <v>47</v>
      </c>
      <c r="B690" s="11">
        <v>686</v>
      </c>
      <c r="C690" s="12">
        <v>46343</v>
      </c>
      <c r="D690" s="24">
        <v>29</v>
      </c>
      <c r="E690" s="14"/>
      <c r="F690" s="24">
        <v>8</v>
      </c>
      <c r="G690" s="5">
        <v>0</v>
      </c>
      <c r="H690" s="5">
        <v>0</v>
      </c>
      <c r="I690" s="24">
        <v>52</v>
      </c>
      <c r="K690" s="24">
        <v>0</v>
      </c>
      <c r="L690" s="13">
        <v>0</v>
      </c>
      <c r="N690" s="5">
        <f t="shared" si="10"/>
        <v>14.098901098901099</v>
      </c>
      <c r="O690" s="24">
        <v>41</v>
      </c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</row>
    <row r="691" spans="1:88" ht="15.75">
      <c r="A691" s="5">
        <v>48</v>
      </c>
      <c r="B691" s="11">
        <v>687</v>
      </c>
      <c r="C691" s="12">
        <v>46344</v>
      </c>
      <c r="D691" s="24">
        <v>13</v>
      </c>
      <c r="E691" s="14"/>
      <c r="F691" s="24">
        <v>1</v>
      </c>
      <c r="G691" s="5">
        <v>0</v>
      </c>
      <c r="H691" s="5">
        <v>0</v>
      </c>
      <c r="I691" s="24">
        <v>0</v>
      </c>
      <c r="K691" s="24">
        <v>0</v>
      </c>
      <c r="L691" s="13">
        <v>0</v>
      </c>
      <c r="N691" s="5">
        <f t="shared" si="10"/>
        <v>14.098901098901099</v>
      </c>
      <c r="O691" s="24">
        <v>32</v>
      </c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</row>
    <row r="692" spans="1:88" ht="15.75">
      <c r="A692" s="5">
        <v>49</v>
      </c>
      <c r="B692" s="11">
        <v>688</v>
      </c>
      <c r="C692" s="12">
        <v>46345</v>
      </c>
      <c r="D692" s="24">
        <v>56</v>
      </c>
      <c r="E692" s="14"/>
      <c r="F692" s="24">
        <v>10</v>
      </c>
      <c r="G692" s="5">
        <v>0</v>
      </c>
      <c r="H692" s="5">
        <v>0</v>
      </c>
      <c r="I692" s="24">
        <v>12</v>
      </c>
      <c r="K692" s="24">
        <v>0</v>
      </c>
      <c r="L692" s="13">
        <v>0</v>
      </c>
      <c r="N692" s="5">
        <f t="shared" si="10"/>
        <v>14.098901098901099</v>
      </c>
      <c r="O692" s="24">
        <v>2</v>
      </c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</row>
    <row r="693" spans="1:88" ht="15.75">
      <c r="A693" s="5">
        <v>50</v>
      </c>
      <c r="B693" s="11">
        <v>689</v>
      </c>
      <c r="C693" s="12">
        <v>46346</v>
      </c>
      <c r="D693" s="24">
        <v>12</v>
      </c>
      <c r="E693" s="14"/>
      <c r="F693" s="24">
        <v>2</v>
      </c>
      <c r="G693" s="5">
        <v>0</v>
      </c>
      <c r="H693" s="5">
        <v>0</v>
      </c>
      <c r="I693" s="24">
        <v>51</v>
      </c>
      <c r="K693" s="24">
        <v>0</v>
      </c>
      <c r="L693" s="13">
        <v>0</v>
      </c>
      <c r="N693" s="5">
        <f t="shared" si="10"/>
        <v>14.098901098901099</v>
      </c>
      <c r="O693" s="24">
        <v>13</v>
      </c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</row>
    <row r="694" spans="1:88" ht="15.75">
      <c r="A694" s="5">
        <v>51</v>
      </c>
      <c r="B694" s="11">
        <v>690</v>
      </c>
      <c r="C694" s="12">
        <v>46347</v>
      </c>
      <c r="D694" s="24">
        <v>19</v>
      </c>
      <c r="E694" s="14"/>
      <c r="F694" s="24">
        <v>5</v>
      </c>
      <c r="G694" s="5">
        <v>0</v>
      </c>
      <c r="H694" s="5">
        <v>0</v>
      </c>
      <c r="I694" s="24">
        <v>17</v>
      </c>
      <c r="K694" s="24">
        <v>0</v>
      </c>
      <c r="L694" s="13">
        <v>0</v>
      </c>
      <c r="N694" s="5">
        <f t="shared" si="10"/>
        <v>14.098901098901099</v>
      </c>
      <c r="O694" s="24">
        <v>0</v>
      </c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</row>
    <row r="695" spans="1:88" ht="15.75">
      <c r="A695" s="5">
        <v>52</v>
      </c>
      <c r="B695" s="11">
        <v>691</v>
      </c>
      <c r="C695" s="12">
        <v>46348</v>
      </c>
      <c r="D695" s="24">
        <v>12</v>
      </c>
      <c r="E695" s="14"/>
      <c r="F695" s="24">
        <v>16</v>
      </c>
      <c r="G695" s="5">
        <v>0</v>
      </c>
      <c r="H695" s="5">
        <v>0</v>
      </c>
      <c r="I695" s="24">
        <v>11</v>
      </c>
      <c r="K695" s="24">
        <v>0</v>
      </c>
      <c r="L695" s="13">
        <v>0</v>
      </c>
      <c r="N695" s="5">
        <f t="shared" si="10"/>
        <v>14.098901098901099</v>
      </c>
      <c r="O695" s="24">
        <v>5</v>
      </c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</row>
    <row r="696" spans="1:88" ht="15.75">
      <c r="A696" s="5">
        <v>53</v>
      </c>
      <c r="B696" s="11">
        <v>692</v>
      </c>
      <c r="C696" s="12">
        <v>46349</v>
      </c>
      <c r="D696" s="24">
        <v>26</v>
      </c>
      <c r="E696" s="14"/>
      <c r="F696" s="24">
        <v>15</v>
      </c>
      <c r="G696" s="5">
        <v>0</v>
      </c>
      <c r="H696" s="5">
        <v>0</v>
      </c>
      <c r="I696" s="24">
        <v>0</v>
      </c>
      <c r="K696" s="24">
        <v>0</v>
      </c>
      <c r="L696" s="13">
        <v>0</v>
      </c>
      <c r="N696" s="5">
        <f t="shared" si="10"/>
        <v>14.098901098901099</v>
      </c>
      <c r="O696" s="24">
        <v>0</v>
      </c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</row>
    <row r="697" spans="1:88" ht="15.75">
      <c r="A697" s="5">
        <v>54</v>
      </c>
      <c r="B697" s="11">
        <v>693</v>
      </c>
      <c r="C697" s="12">
        <v>46350</v>
      </c>
      <c r="D697" s="24">
        <v>11</v>
      </c>
      <c r="E697" s="14"/>
      <c r="F697" s="24">
        <v>12</v>
      </c>
      <c r="G697" s="5">
        <v>0</v>
      </c>
      <c r="H697" s="5">
        <v>0</v>
      </c>
      <c r="I697" s="24">
        <v>35</v>
      </c>
      <c r="K697" s="24">
        <v>0</v>
      </c>
      <c r="L697" s="13">
        <v>0</v>
      </c>
      <c r="N697" s="5">
        <f t="shared" si="10"/>
        <v>14.098901098901099</v>
      </c>
      <c r="O697" s="24">
        <v>2</v>
      </c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</row>
    <row r="698" spans="1:88" ht="15.75">
      <c r="A698" s="5">
        <v>55</v>
      </c>
      <c r="B698" s="11">
        <v>694</v>
      </c>
      <c r="C698" s="12">
        <v>46351</v>
      </c>
      <c r="D698" s="24">
        <v>21</v>
      </c>
      <c r="E698" s="14"/>
      <c r="F698" s="24">
        <v>7</v>
      </c>
      <c r="G698" s="5">
        <v>0</v>
      </c>
      <c r="H698" s="5">
        <v>0</v>
      </c>
      <c r="I698" s="24">
        <v>2</v>
      </c>
      <c r="K698" s="24">
        <v>0</v>
      </c>
      <c r="L698" s="13">
        <v>0</v>
      </c>
      <c r="N698" s="5">
        <f t="shared" si="10"/>
        <v>14.098901098901099</v>
      </c>
      <c r="O698" s="24">
        <v>13</v>
      </c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</row>
    <row r="699" spans="1:88" ht="15.75">
      <c r="A699" s="5">
        <v>56</v>
      </c>
      <c r="B699" s="11">
        <v>695</v>
      </c>
      <c r="C699" s="12">
        <v>46352</v>
      </c>
      <c r="D699" s="24">
        <v>9</v>
      </c>
      <c r="E699" s="14"/>
      <c r="F699" s="24">
        <v>11</v>
      </c>
      <c r="G699" s="5">
        <v>0</v>
      </c>
      <c r="H699" s="5">
        <v>0</v>
      </c>
      <c r="I699" s="24">
        <v>46</v>
      </c>
      <c r="K699" s="24">
        <v>0</v>
      </c>
      <c r="L699" s="13">
        <v>0</v>
      </c>
      <c r="N699" s="5">
        <f t="shared" si="10"/>
        <v>14.098901098901099</v>
      </c>
      <c r="O699" s="24">
        <v>8</v>
      </c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</row>
    <row r="700" spans="1:88" ht="15.75">
      <c r="A700" s="5">
        <v>57</v>
      </c>
      <c r="B700" s="11">
        <v>696</v>
      </c>
      <c r="C700" s="12">
        <v>46353</v>
      </c>
      <c r="D700" s="24">
        <v>11</v>
      </c>
      <c r="E700" s="14"/>
      <c r="F700" s="24">
        <v>3</v>
      </c>
      <c r="G700" s="5">
        <v>0</v>
      </c>
      <c r="H700" s="5">
        <v>0</v>
      </c>
      <c r="I700" s="24">
        <v>1</v>
      </c>
      <c r="K700" s="24">
        <v>0</v>
      </c>
      <c r="L700" s="13">
        <v>0</v>
      </c>
      <c r="N700" s="5">
        <f t="shared" si="10"/>
        <v>14.098901098901099</v>
      </c>
      <c r="O700" s="24">
        <v>9</v>
      </c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</row>
    <row r="701" spans="1:88" ht="15.75">
      <c r="A701" s="5">
        <v>58</v>
      </c>
      <c r="B701" s="11">
        <v>697</v>
      </c>
      <c r="C701" s="12">
        <v>46354</v>
      </c>
      <c r="D701" s="24">
        <v>6</v>
      </c>
      <c r="E701" s="14"/>
      <c r="F701" s="24">
        <v>16</v>
      </c>
      <c r="G701" s="5">
        <v>0</v>
      </c>
      <c r="H701" s="5">
        <v>0</v>
      </c>
      <c r="I701" s="24">
        <v>7</v>
      </c>
      <c r="K701" s="24">
        <v>0</v>
      </c>
      <c r="L701" s="13">
        <v>0</v>
      </c>
      <c r="N701" s="5">
        <f t="shared" si="10"/>
        <v>14.098901098901099</v>
      </c>
      <c r="O701" s="24">
        <v>6</v>
      </c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</row>
    <row r="702" spans="1:88" ht="15.75">
      <c r="A702" s="5">
        <v>59</v>
      </c>
      <c r="B702" s="11">
        <v>698</v>
      </c>
      <c r="C702" s="12">
        <v>46355</v>
      </c>
      <c r="D702" s="24">
        <v>8</v>
      </c>
      <c r="E702" s="14"/>
      <c r="F702" s="24">
        <v>4</v>
      </c>
      <c r="G702" s="5">
        <v>0</v>
      </c>
      <c r="H702" s="5">
        <v>0</v>
      </c>
      <c r="I702" s="24">
        <v>9</v>
      </c>
      <c r="K702" s="24">
        <v>0</v>
      </c>
      <c r="L702" s="13">
        <v>0</v>
      </c>
      <c r="N702" s="5">
        <f t="shared" si="10"/>
        <v>14.098901098901099</v>
      </c>
      <c r="O702" s="24">
        <v>17</v>
      </c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</row>
    <row r="703" spans="1:88" ht="15.75">
      <c r="A703" s="5">
        <v>60</v>
      </c>
      <c r="B703" s="11">
        <v>699</v>
      </c>
      <c r="C703" s="12">
        <v>46356</v>
      </c>
      <c r="D703" s="24">
        <v>10</v>
      </c>
      <c r="E703" s="14"/>
      <c r="F703" s="24">
        <v>8</v>
      </c>
      <c r="G703" s="5">
        <v>0</v>
      </c>
      <c r="H703" s="5">
        <v>0</v>
      </c>
      <c r="I703" s="24">
        <v>9</v>
      </c>
      <c r="K703" s="24">
        <v>0</v>
      </c>
      <c r="L703" s="13">
        <v>0</v>
      </c>
      <c r="N703" s="5">
        <f t="shared" si="10"/>
        <v>14.098901098901099</v>
      </c>
      <c r="O703" s="24">
        <v>0</v>
      </c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</row>
    <row r="704" spans="1:88" ht="15.75">
      <c r="A704" s="5">
        <v>61</v>
      </c>
      <c r="B704" s="11">
        <v>700</v>
      </c>
      <c r="C704" s="12">
        <v>46357</v>
      </c>
      <c r="D704" s="24">
        <v>12</v>
      </c>
      <c r="E704" s="14"/>
      <c r="F704" s="24">
        <v>18</v>
      </c>
      <c r="G704" s="5">
        <v>0</v>
      </c>
      <c r="H704" s="5">
        <v>0</v>
      </c>
      <c r="I704" s="24">
        <v>47</v>
      </c>
      <c r="K704" s="24">
        <v>250</v>
      </c>
      <c r="L704" s="13">
        <v>0</v>
      </c>
      <c r="N704" s="5">
        <f t="shared" si="10"/>
        <v>14.098901098901099</v>
      </c>
      <c r="O704" s="24">
        <v>1</v>
      </c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</row>
    <row r="705" spans="1:88" ht="15.75">
      <c r="A705" s="5">
        <v>62</v>
      </c>
      <c r="B705" s="11">
        <v>701</v>
      </c>
      <c r="C705" s="12">
        <v>46358</v>
      </c>
      <c r="D705" s="24">
        <v>3</v>
      </c>
      <c r="E705" s="14"/>
      <c r="F705" s="24">
        <v>2</v>
      </c>
      <c r="G705" s="5">
        <v>0</v>
      </c>
      <c r="H705" s="5">
        <v>0</v>
      </c>
      <c r="I705" s="24">
        <v>0</v>
      </c>
      <c r="K705" s="24">
        <v>0</v>
      </c>
      <c r="L705" s="13">
        <v>0</v>
      </c>
      <c r="N705" s="5">
        <f t="shared" si="10"/>
        <v>14.098901098901099</v>
      </c>
      <c r="O705" s="24">
        <v>26</v>
      </c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</row>
    <row r="706" spans="1:88" ht="15.75">
      <c r="A706" s="5">
        <v>63</v>
      </c>
      <c r="B706" s="11">
        <v>702</v>
      </c>
      <c r="C706" s="12">
        <v>46359</v>
      </c>
      <c r="D706" s="24">
        <v>38</v>
      </c>
      <c r="E706" s="14"/>
      <c r="F706" s="24">
        <v>11</v>
      </c>
      <c r="G706" s="5">
        <v>0</v>
      </c>
      <c r="H706" s="5">
        <v>0</v>
      </c>
      <c r="I706" s="24">
        <v>0</v>
      </c>
      <c r="K706" s="24">
        <v>0</v>
      </c>
      <c r="L706" s="13">
        <v>0</v>
      </c>
      <c r="N706" s="5">
        <f t="shared" si="10"/>
        <v>14.098901098901099</v>
      </c>
      <c r="O706" s="24">
        <v>4</v>
      </c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</row>
    <row r="707" spans="1:88" ht="15.75">
      <c r="A707" s="5">
        <v>64</v>
      </c>
      <c r="B707" s="11">
        <v>703</v>
      </c>
      <c r="C707" s="12">
        <v>46360</v>
      </c>
      <c r="D707" s="24">
        <v>11</v>
      </c>
      <c r="E707" s="14"/>
      <c r="F707" s="24">
        <v>3</v>
      </c>
      <c r="G707" s="5">
        <v>0</v>
      </c>
      <c r="H707" s="5">
        <v>0</v>
      </c>
      <c r="I707" s="24">
        <v>10</v>
      </c>
      <c r="K707" s="24">
        <v>0</v>
      </c>
      <c r="L707" s="13">
        <v>0</v>
      </c>
      <c r="N707" s="5">
        <f t="shared" si="10"/>
        <v>14.098901098901099</v>
      </c>
      <c r="O707" s="24">
        <v>35</v>
      </c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</row>
    <row r="708" spans="1:88" ht="15.75">
      <c r="A708" s="5">
        <v>65</v>
      </c>
      <c r="B708" s="11">
        <v>704</v>
      </c>
      <c r="C708" s="12">
        <v>46361</v>
      </c>
      <c r="D708" s="24">
        <v>13</v>
      </c>
      <c r="E708" s="14"/>
      <c r="F708" s="24">
        <v>4</v>
      </c>
      <c r="G708" s="5">
        <v>0</v>
      </c>
      <c r="H708" s="5">
        <v>0</v>
      </c>
      <c r="I708" s="24">
        <v>24</v>
      </c>
      <c r="K708" s="24">
        <v>0</v>
      </c>
      <c r="L708" s="13">
        <v>0</v>
      </c>
      <c r="N708" s="5">
        <f t="shared" si="10"/>
        <v>14.098901098901099</v>
      </c>
      <c r="O708" s="24">
        <v>6</v>
      </c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</row>
    <row r="709" spans="1:88" ht="15.75">
      <c r="A709" s="5">
        <v>66</v>
      </c>
      <c r="B709" s="11">
        <v>705</v>
      </c>
      <c r="C709" s="12">
        <v>46362</v>
      </c>
      <c r="D709" s="24">
        <v>2</v>
      </c>
      <c r="E709" s="14"/>
      <c r="F709" s="24">
        <v>10</v>
      </c>
      <c r="G709" s="5">
        <v>0</v>
      </c>
      <c r="H709" s="5">
        <v>0</v>
      </c>
      <c r="I709" s="24">
        <v>22</v>
      </c>
      <c r="K709" s="24">
        <v>0</v>
      </c>
      <c r="L709" s="13">
        <v>0</v>
      </c>
      <c r="N709" s="5">
        <f t="shared" ref="N709:N772" si="11">AVERAGE($O$644:$O$734)</f>
        <v>14.098901098901099</v>
      </c>
      <c r="O709" s="24">
        <v>6</v>
      </c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</row>
    <row r="710" spans="1:88" ht="15.75">
      <c r="A710" s="5">
        <v>67</v>
      </c>
      <c r="B710" s="11">
        <v>706</v>
      </c>
      <c r="C710" s="12">
        <v>46363</v>
      </c>
      <c r="D710" s="24">
        <v>23</v>
      </c>
      <c r="E710" s="14"/>
      <c r="F710" s="24">
        <v>20</v>
      </c>
      <c r="G710" s="5">
        <v>0</v>
      </c>
      <c r="H710" s="5">
        <v>0</v>
      </c>
      <c r="I710" s="24">
        <v>9</v>
      </c>
      <c r="K710" s="24">
        <v>0</v>
      </c>
      <c r="L710" s="13">
        <v>0</v>
      </c>
      <c r="N710" s="5">
        <f t="shared" si="11"/>
        <v>14.098901098901099</v>
      </c>
      <c r="O710" s="24">
        <v>4</v>
      </c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</row>
    <row r="711" spans="1:88" ht="15.75">
      <c r="A711" s="5">
        <v>68</v>
      </c>
      <c r="B711" s="11">
        <v>707</v>
      </c>
      <c r="C711" s="12">
        <v>46364</v>
      </c>
      <c r="D711" s="24">
        <v>9</v>
      </c>
      <c r="E711" s="14"/>
      <c r="F711" s="24">
        <v>2</v>
      </c>
      <c r="G711" s="5">
        <v>0</v>
      </c>
      <c r="H711" s="5">
        <v>0</v>
      </c>
      <c r="I711" s="24">
        <v>28</v>
      </c>
      <c r="K711" s="24">
        <v>0</v>
      </c>
      <c r="L711" s="13">
        <v>0</v>
      </c>
      <c r="N711" s="5">
        <f t="shared" si="11"/>
        <v>14.098901098901099</v>
      </c>
      <c r="O711" s="24">
        <v>29</v>
      </c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</row>
    <row r="712" spans="1:88" ht="15.75">
      <c r="A712" s="5">
        <v>69</v>
      </c>
      <c r="B712" s="11">
        <v>708</v>
      </c>
      <c r="C712" s="12">
        <v>46365</v>
      </c>
      <c r="D712" s="24">
        <v>5</v>
      </c>
      <c r="E712" s="14"/>
      <c r="F712" s="24">
        <v>5</v>
      </c>
      <c r="G712" s="5">
        <v>0</v>
      </c>
      <c r="H712" s="5">
        <v>0</v>
      </c>
      <c r="I712" s="24">
        <v>3</v>
      </c>
      <c r="K712" s="24">
        <v>0</v>
      </c>
      <c r="L712" s="13">
        <v>0</v>
      </c>
      <c r="N712" s="5">
        <f t="shared" si="11"/>
        <v>14.098901098901099</v>
      </c>
      <c r="O712" s="24">
        <v>32</v>
      </c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</row>
    <row r="713" spans="1:88" ht="15.75">
      <c r="A713" s="5">
        <v>70</v>
      </c>
      <c r="B713" s="11">
        <v>709</v>
      </c>
      <c r="C713" s="12">
        <v>46366</v>
      </c>
      <c r="D713" s="24">
        <v>10</v>
      </c>
      <c r="E713" s="14"/>
      <c r="F713" s="24">
        <v>4</v>
      </c>
      <c r="G713" s="5">
        <v>0</v>
      </c>
      <c r="H713" s="5">
        <v>0</v>
      </c>
      <c r="I713" s="24">
        <v>0</v>
      </c>
      <c r="K713" s="24">
        <v>0</v>
      </c>
      <c r="L713" s="13">
        <v>0</v>
      </c>
      <c r="N713" s="5">
        <f t="shared" si="11"/>
        <v>14.098901098901099</v>
      </c>
      <c r="O713" s="24">
        <v>16</v>
      </c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</row>
    <row r="714" spans="1:88" ht="15.75">
      <c r="A714" s="5">
        <v>71</v>
      </c>
      <c r="B714" s="11">
        <v>710</v>
      </c>
      <c r="C714" s="12">
        <v>46367</v>
      </c>
      <c r="D714" s="24">
        <v>9</v>
      </c>
      <c r="E714" s="14"/>
      <c r="F714" s="24">
        <v>29</v>
      </c>
      <c r="G714" s="5">
        <v>0</v>
      </c>
      <c r="H714" s="5">
        <v>0</v>
      </c>
      <c r="I714" s="24">
        <v>21</v>
      </c>
      <c r="K714" s="24">
        <v>0</v>
      </c>
      <c r="L714" s="13">
        <v>0</v>
      </c>
      <c r="N714" s="5">
        <f t="shared" si="11"/>
        <v>14.098901098901099</v>
      </c>
      <c r="O714" s="24">
        <v>27</v>
      </c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</row>
    <row r="715" spans="1:88" ht="15.75">
      <c r="A715" s="5">
        <v>72</v>
      </c>
      <c r="B715" s="11">
        <v>711</v>
      </c>
      <c r="C715" s="12">
        <v>46368</v>
      </c>
      <c r="D715" s="24">
        <v>10</v>
      </c>
      <c r="E715" s="14"/>
      <c r="F715" s="24">
        <v>2</v>
      </c>
      <c r="G715" s="5">
        <v>0</v>
      </c>
      <c r="H715" s="5">
        <v>0</v>
      </c>
      <c r="I715" s="24">
        <v>21</v>
      </c>
      <c r="K715" s="24">
        <v>0</v>
      </c>
      <c r="L715" s="13">
        <v>0</v>
      </c>
      <c r="N715" s="5">
        <f t="shared" si="11"/>
        <v>14.098901098901099</v>
      </c>
      <c r="O715" s="24">
        <v>0</v>
      </c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</row>
    <row r="716" spans="1:88" ht="15.75">
      <c r="A716" s="5">
        <v>73</v>
      </c>
      <c r="B716" s="11">
        <v>712</v>
      </c>
      <c r="C716" s="12">
        <v>46369</v>
      </c>
      <c r="D716" s="24">
        <v>11</v>
      </c>
      <c r="E716" s="14"/>
      <c r="F716" s="24">
        <v>10</v>
      </c>
      <c r="G716" s="5">
        <v>0</v>
      </c>
      <c r="H716" s="5">
        <v>0</v>
      </c>
      <c r="I716" s="24">
        <v>10</v>
      </c>
      <c r="K716" s="24">
        <v>0</v>
      </c>
      <c r="L716" s="13">
        <v>0</v>
      </c>
      <c r="N716" s="5">
        <f t="shared" si="11"/>
        <v>14.098901098901099</v>
      </c>
      <c r="O716" s="24">
        <v>21</v>
      </c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</row>
    <row r="717" spans="1:88" ht="15.75">
      <c r="A717" s="5">
        <v>74</v>
      </c>
      <c r="B717" s="11">
        <v>713</v>
      </c>
      <c r="C717" s="12">
        <v>46370</v>
      </c>
      <c r="D717" s="24">
        <v>9</v>
      </c>
      <c r="E717" s="14"/>
      <c r="F717" s="24">
        <v>4</v>
      </c>
      <c r="G717" s="5">
        <v>0</v>
      </c>
      <c r="H717" s="5">
        <v>0</v>
      </c>
      <c r="I717" s="24">
        <v>42</v>
      </c>
      <c r="K717" s="24">
        <v>0</v>
      </c>
      <c r="L717" s="13">
        <v>0</v>
      </c>
      <c r="N717" s="5">
        <f t="shared" si="11"/>
        <v>14.098901098901099</v>
      </c>
      <c r="O717" s="24">
        <v>0</v>
      </c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</row>
    <row r="718" spans="1:88" ht="15.75">
      <c r="A718" s="5">
        <v>75</v>
      </c>
      <c r="B718" s="11">
        <v>714</v>
      </c>
      <c r="C718" s="12">
        <v>46371</v>
      </c>
      <c r="D718" s="24">
        <v>5</v>
      </c>
      <c r="E718" s="14"/>
      <c r="F718" s="24">
        <v>1</v>
      </c>
      <c r="G718" s="5">
        <v>0</v>
      </c>
      <c r="H718" s="5">
        <v>0</v>
      </c>
      <c r="I718" s="24">
        <v>9</v>
      </c>
      <c r="K718" s="24">
        <v>0</v>
      </c>
      <c r="L718" s="13">
        <v>0</v>
      </c>
      <c r="N718" s="5">
        <f t="shared" si="11"/>
        <v>14.098901098901099</v>
      </c>
      <c r="O718" s="24">
        <v>34</v>
      </c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</row>
    <row r="719" spans="1:88" ht="15.75">
      <c r="A719" s="5">
        <v>76</v>
      </c>
      <c r="B719" s="11">
        <v>715</v>
      </c>
      <c r="C719" s="12">
        <v>46372</v>
      </c>
      <c r="D719" s="24">
        <v>6</v>
      </c>
      <c r="E719" s="14"/>
      <c r="F719" s="24">
        <v>13</v>
      </c>
      <c r="G719" s="5">
        <v>0</v>
      </c>
      <c r="H719" s="5">
        <v>0</v>
      </c>
      <c r="I719" s="24">
        <v>37</v>
      </c>
      <c r="K719" s="24">
        <v>0</v>
      </c>
      <c r="L719" s="13">
        <v>0</v>
      </c>
      <c r="N719" s="5">
        <f t="shared" si="11"/>
        <v>14.098901098901099</v>
      </c>
      <c r="O719" s="24">
        <v>0</v>
      </c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</row>
    <row r="720" spans="1:88" ht="15.75">
      <c r="A720" s="5">
        <v>77</v>
      </c>
      <c r="B720" s="11">
        <v>716</v>
      </c>
      <c r="C720" s="12">
        <v>46373</v>
      </c>
      <c r="D720" s="24">
        <v>27</v>
      </c>
      <c r="E720" s="14"/>
      <c r="F720" s="24">
        <v>4</v>
      </c>
      <c r="G720" s="5">
        <v>0</v>
      </c>
      <c r="H720" s="5">
        <v>0</v>
      </c>
      <c r="I720" s="24">
        <v>4</v>
      </c>
      <c r="K720" s="24">
        <v>0</v>
      </c>
      <c r="L720" s="13">
        <v>0</v>
      </c>
      <c r="N720" s="5">
        <f t="shared" si="11"/>
        <v>14.098901098901099</v>
      </c>
      <c r="O720" s="24">
        <v>16</v>
      </c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</row>
    <row r="721" spans="1:88" ht="15.75">
      <c r="A721" s="5">
        <v>78</v>
      </c>
      <c r="B721" s="11">
        <v>717</v>
      </c>
      <c r="C721" s="12">
        <v>46374</v>
      </c>
      <c r="D721" s="24">
        <v>3</v>
      </c>
      <c r="E721" s="14"/>
      <c r="F721" s="24">
        <v>26</v>
      </c>
      <c r="G721" s="5">
        <v>0</v>
      </c>
      <c r="H721" s="5">
        <v>0</v>
      </c>
      <c r="I721" s="24">
        <v>38</v>
      </c>
      <c r="K721" s="24">
        <v>0</v>
      </c>
      <c r="L721" s="13">
        <v>0</v>
      </c>
      <c r="N721" s="5">
        <f t="shared" si="11"/>
        <v>14.098901098901099</v>
      </c>
      <c r="O721" s="24">
        <v>35</v>
      </c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</row>
    <row r="722" spans="1:88" ht="15.75">
      <c r="A722" s="5">
        <v>79</v>
      </c>
      <c r="B722" s="11">
        <v>718</v>
      </c>
      <c r="C722" s="12">
        <v>46375</v>
      </c>
      <c r="D722" s="24">
        <v>1</v>
      </c>
      <c r="E722" s="14"/>
      <c r="F722" s="24">
        <v>7</v>
      </c>
      <c r="G722" s="5">
        <v>0</v>
      </c>
      <c r="H722" s="5">
        <v>0</v>
      </c>
      <c r="I722" s="24">
        <v>9</v>
      </c>
      <c r="K722" s="24">
        <v>0</v>
      </c>
      <c r="L722" s="13">
        <v>0</v>
      </c>
      <c r="N722" s="5">
        <f t="shared" si="11"/>
        <v>14.098901098901099</v>
      </c>
      <c r="O722" s="24">
        <v>19</v>
      </c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</row>
    <row r="723" spans="1:88" ht="15.75">
      <c r="A723" s="5">
        <v>80</v>
      </c>
      <c r="B723" s="11">
        <v>719</v>
      </c>
      <c r="C723" s="12">
        <v>46376</v>
      </c>
      <c r="D723" s="24">
        <v>4</v>
      </c>
      <c r="E723" s="14"/>
      <c r="F723" s="24">
        <v>12</v>
      </c>
      <c r="G723" s="5">
        <v>0</v>
      </c>
      <c r="H723" s="5">
        <v>0</v>
      </c>
      <c r="I723" s="24">
        <v>13</v>
      </c>
      <c r="K723" s="24">
        <v>0</v>
      </c>
      <c r="L723" s="13">
        <v>0</v>
      </c>
      <c r="N723" s="5">
        <f t="shared" si="11"/>
        <v>14.098901098901099</v>
      </c>
      <c r="O723" s="24">
        <v>18</v>
      </c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</row>
    <row r="724" spans="1:88" ht="15.75">
      <c r="A724" s="5">
        <v>81</v>
      </c>
      <c r="B724" s="11">
        <v>720</v>
      </c>
      <c r="C724" s="12">
        <v>46377</v>
      </c>
      <c r="D724" s="24">
        <v>27</v>
      </c>
      <c r="E724" s="14"/>
      <c r="F724" s="24">
        <v>2</v>
      </c>
      <c r="G724" s="5">
        <v>0</v>
      </c>
      <c r="H724" s="5">
        <v>0</v>
      </c>
      <c r="I724" s="24">
        <v>2</v>
      </c>
      <c r="K724" s="24">
        <v>0</v>
      </c>
      <c r="L724" s="13">
        <v>0</v>
      </c>
      <c r="N724" s="5">
        <f t="shared" si="11"/>
        <v>14.098901098901099</v>
      </c>
      <c r="O724" s="24">
        <v>25</v>
      </c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</row>
    <row r="725" spans="1:88" ht="15.75">
      <c r="A725" s="5">
        <v>82</v>
      </c>
      <c r="B725" s="11">
        <v>721</v>
      </c>
      <c r="C725" s="12">
        <v>46378</v>
      </c>
      <c r="D725" s="24">
        <v>2</v>
      </c>
      <c r="E725" s="14"/>
      <c r="F725" s="24">
        <v>17</v>
      </c>
      <c r="G725" s="5">
        <v>0</v>
      </c>
      <c r="H725" s="5">
        <v>0</v>
      </c>
      <c r="I725" s="24">
        <v>36</v>
      </c>
      <c r="K725" s="24">
        <v>0</v>
      </c>
      <c r="L725" s="13">
        <v>0</v>
      </c>
      <c r="N725" s="5">
        <f t="shared" si="11"/>
        <v>14.098901098901099</v>
      </c>
      <c r="O725" s="24">
        <v>3</v>
      </c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</row>
    <row r="726" spans="1:88" ht="15.75">
      <c r="A726" s="5">
        <v>83</v>
      </c>
      <c r="B726" s="11">
        <v>722</v>
      </c>
      <c r="C726" s="12">
        <v>46379</v>
      </c>
      <c r="D726" s="24">
        <v>13</v>
      </c>
      <c r="E726" s="14"/>
      <c r="F726" s="24">
        <v>3</v>
      </c>
      <c r="G726" s="5">
        <v>0</v>
      </c>
      <c r="H726" s="5">
        <v>0</v>
      </c>
      <c r="I726" s="24">
        <v>19</v>
      </c>
      <c r="K726" s="24">
        <v>0</v>
      </c>
      <c r="L726" s="13">
        <v>0</v>
      </c>
      <c r="N726" s="5">
        <f t="shared" si="11"/>
        <v>14.098901098901099</v>
      </c>
      <c r="O726" s="24">
        <v>6</v>
      </c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</row>
    <row r="727" spans="1:88" ht="15.75">
      <c r="A727" s="5">
        <v>84</v>
      </c>
      <c r="B727" s="11">
        <v>723</v>
      </c>
      <c r="C727" s="12">
        <v>46380</v>
      </c>
      <c r="D727" s="24">
        <v>1</v>
      </c>
      <c r="E727" s="14"/>
      <c r="F727" s="24">
        <v>26</v>
      </c>
      <c r="G727" s="5">
        <v>0</v>
      </c>
      <c r="H727" s="5">
        <v>0</v>
      </c>
      <c r="I727" s="24">
        <v>8</v>
      </c>
      <c r="K727" s="24">
        <v>0</v>
      </c>
      <c r="L727" s="13">
        <v>0</v>
      </c>
      <c r="N727" s="5">
        <f t="shared" si="11"/>
        <v>14.098901098901099</v>
      </c>
      <c r="O727" s="24">
        <v>0</v>
      </c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</row>
    <row r="728" spans="1:88" ht="15.75">
      <c r="A728" s="5">
        <v>85</v>
      </c>
      <c r="B728" s="11">
        <v>724</v>
      </c>
      <c r="C728" s="12">
        <v>46381</v>
      </c>
      <c r="D728" s="24">
        <v>27</v>
      </c>
      <c r="E728" s="14"/>
      <c r="F728" s="24">
        <v>17</v>
      </c>
      <c r="G728" s="5">
        <v>0</v>
      </c>
      <c r="H728" s="5">
        <v>0</v>
      </c>
      <c r="I728" s="24">
        <v>2</v>
      </c>
      <c r="K728" s="24">
        <v>0</v>
      </c>
      <c r="L728" s="13">
        <v>0</v>
      </c>
      <c r="N728" s="5">
        <f t="shared" si="11"/>
        <v>14.098901098901099</v>
      </c>
      <c r="O728" s="24">
        <v>25</v>
      </c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</row>
    <row r="729" spans="1:88" ht="15.75">
      <c r="A729" s="5">
        <v>86</v>
      </c>
      <c r="B729" s="11">
        <v>725</v>
      </c>
      <c r="C729" s="12">
        <v>46382</v>
      </c>
      <c r="D729" s="24">
        <v>3</v>
      </c>
      <c r="E729" s="14"/>
      <c r="F729" s="24">
        <v>2</v>
      </c>
      <c r="G729" s="5">
        <v>0</v>
      </c>
      <c r="H729" s="5">
        <v>0</v>
      </c>
      <c r="I729" s="24">
        <v>36</v>
      </c>
      <c r="K729" s="24">
        <v>0</v>
      </c>
      <c r="L729" s="13">
        <v>0</v>
      </c>
      <c r="N729" s="5">
        <f t="shared" si="11"/>
        <v>14.098901098901099</v>
      </c>
      <c r="O729" s="24">
        <v>15</v>
      </c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</row>
    <row r="730" spans="1:88" ht="15.75">
      <c r="A730" s="5">
        <v>87</v>
      </c>
      <c r="B730" s="11">
        <v>726</v>
      </c>
      <c r="C730" s="12">
        <v>46383</v>
      </c>
      <c r="D730" s="24">
        <v>17</v>
      </c>
      <c r="E730" s="14"/>
      <c r="F730" s="24">
        <v>9</v>
      </c>
      <c r="G730" s="5">
        <v>0</v>
      </c>
      <c r="H730" s="5">
        <v>0</v>
      </c>
      <c r="I730" s="24">
        <v>25</v>
      </c>
      <c r="K730" s="24">
        <v>0</v>
      </c>
      <c r="L730" s="13">
        <v>0</v>
      </c>
      <c r="N730" s="5">
        <f t="shared" si="11"/>
        <v>14.098901098901099</v>
      </c>
      <c r="O730" s="24">
        <v>0</v>
      </c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</row>
    <row r="731" spans="1:88" ht="15.75">
      <c r="A731" s="5">
        <v>88</v>
      </c>
      <c r="B731" s="11">
        <v>727</v>
      </c>
      <c r="C731" s="12">
        <v>46384</v>
      </c>
      <c r="D731" s="24">
        <v>2</v>
      </c>
      <c r="E731" s="14"/>
      <c r="F731" s="24">
        <v>20</v>
      </c>
      <c r="G731" s="5">
        <v>0</v>
      </c>
      <c r="H731" s="5">
        <v>0</v>
      </c>
      <c r="I731" s="24">
        <v>43</v>
      </c>
      <c r="K731" s="24">
        <v>0</v>
      </c>
      <c r="L731" s="13">
        <v>0</v>
      </c>
      <c r="N731" s="5">
        <f t="shared" si="11"/>
        <v>14.098901098901099</v>
      </c>
      <c r="O731" s="24">
        <v>32</v>
      </c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</row>
    <row r="732" spans="1:88" ht="15.75">
      <c r="A732" s="5">
        <v>89</v>
      </c>
      <c r="B732" s="11">
        <v>728</v>
      </c>
      <c r="C732" s="12">
        <v>46385</v>
      </c>
      <c r="D732" s="24">
        <v>8</v>
      </c>
      <c r="E732" s="14"/>
      <c r="F732" s="24">
        <v>45</v>
      </c>
      <c r="G732" s="5">
        <v>0</v>
      </c>
      <c r="H732" s="5">
        <v>0</v>
      </c>
      <c r="I732" s="24">
        <v>4</v>
      </c>
      <c r="K732" s="24">
        <v>0</v>
      </c>
      <c r="L732" s="13">
        <v>0</v>
      </c>
      <c r="N732" s="5">
        <f t="shared" si="11"/>
        <v>14.098901098901099</v>
      </c>
      <c r="O732" s="24">
        <v>11</v>
      </c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</row>
    <row r="733" spans="1:88" ht="15.75">
      <c r="A733" s="5">
        <v>90</v>
      </c>
      <c r="B733" s="11">
        <v>729</v>
      </c>
      <c r="C733" s="12">
        <v>46386</v>
      </c>
      <c r="D733" s="24">
        <v>4</v>
      </c>
      <c r="E733" s="14"/>
      <c r="F733" s="24">
        <v>11</v>
      </c>
      <c r="G733" s="5">
        <v>0</v>
      </c>
      <c r="H733" s="5">
        <v>0</v>
      </c>
      <c r="I733" s="24">
        <v>13</v>
      </c>
      <c r="K733" s="24">
        <v>0</v>
      </c>
      <c r="L733" s="13">
        <v>0</v>
      </c>
      <c r="N733" s="5">
        <f t="shared" si="11"/>
        <v>14.098901098901099</v>
      </c>
      <c r="O733" s="24">
        <v>0</v>
      </c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</row>
    <row r="734" spans="1:88" ht="15.75">
      <c r="A734" s="5">
        <v>91</v>
      </c>
      <c r="B734" s="11">
        <v>730</v>
      </c>
      <c r="C734" s="12">
        <v>46387</v>
      </c>
      <c r="D734" s="24">
        <v>10</v>
      </c>
      <c r="E734" s="14"/>
      <c r="F734" s="24">
        <v>10</v>
      </c>
      <c r="G734" s="5">
        <v>0</v>
      </c>
      <c r="H734" s="5">
        <v>0</v>
      </c>
      <c r="I734" s="24">
        <v>2</v>
      </c>
      <c r="K734" s="24">
        <v>0</v>
      </c>
      <c r="L734" s="13">
        <v>0</v>
      </c>
      <c r="N734" s="5">
        <f t="shared" si="11"/>
        <v>14.098901098901099</v>
      </c>
      <c r="O734" s="24">
        <v>3</v>
      </c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</row>
    <row r="735" spans="1:88">
      <c r="A735" s="5">
        <v>92</v>
      </c>
      <c r="B735" s="11">
        <v>731</v>
      </c>
      <c r="C735" s="12">
        <v>46388</v>
      </c>
      <c r="D735" s="31">
        <f>ROUNDUP(_xlfn.FORECAST.ETS(B735,$D$5:$D$734,$B$5:$B$734,365,0,1),0)</f>
        <v>2</v>
      </c>
      <c r="E735" s="14"/>
      <c r="F735" s="5">
        <v>0</v>
      </c>
      <c r="G735" s="18">
        <f>0.1527*A735+0.0989</f>
        <v>14.147300000000001</v>
      </c>
      <c r="H735" s="18">
        <f>AVERAGE($I$674:$I$734)</f>
        <v>19.409836065573771</v>
      </c>
      <c r="I735" s="32">
        <v>19.951657278684721</v>
      </c>
      <c r="K735" s="32">
        <v>4.7237404080792671E-4</v>
      </c>
      <c r="L735" s="32">
        <f t="shared" ref="L735:L798" si="12">12000/730</f>
        <v>16.438356164383563</v>
      </c>
      <c r="M735" s="5">
        <f>AVERAGE(K644:K734)</f>
        <v>10.989010989010989</v>
      </c>
      <c r="N735" s="5">
        <f t="shared" si="11"/>
        <v>14.098901098901099</v>
      </c>
      <c r="O735" s="32">
        <v>14.748234712455361</v>
      </c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</row>
    <row r="736" spans="1:88">
      <c r="A736" s="5">
        <v>93</v>
      </c>
      <c r="B736" s="11">
        <v>732</v>
      </c>
      <c r="C736" s="12">
        <v>46389</v>
      </c>
      <c r="D736" s="31">
        <f t="shared" ref="D736:D799" si="13">ROUNDUP(_xlfn.FORECAST.ETS(B736,$D$5:$D$734,$B$5:$B$734,365,0,1),0)</f>
        <v>1</v>
      </c>
      <c r="E736" s="14"/>
      <c r="F736" s="5">
        <v>0</v>
      </c>
      <c r="G736" s="18">
        <f t="shared" ref="G736:G799" si="14">0.1527*A736+0.0989</f>
        <v>14.3</v>
      </c>
      <c r="H736" s="18">
        <f t="shared" ref="H736:H799" si="15">AVERAGE($I$674:$I$734)</f>
        <v>19.409836065573771</v>
      </c>
      <c r="I736" s="32">
        <v>2.52101988582023</v>
      </c>
      <c r="K736" s="32">
        <v>125.251830789778</v>
      </c>
      <c r="L736" s="32">
        <f t="shared" si="12"/>
        <v>16.438356164383563</v>
      </c>
      <c r="M736" s="5">
        <f t="shared" ref="M736:M799" si="16">AVERAGE(K645:K735)</f>
        <v>10.989016179934515</v>
      </c>
      <c r="N736" s="5">
        <f t="shared" si="11"/>
        <v>14.098901098901099</v>
      </c>
      <c r="O736" s="32">
        <v>8.5096766081513948</v>
      </c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</row>
    <row r="737" spans="1:88">
      <c r="A737" s="5">
        <v>94</v>
      </c>
      <c r="B737" s="11">
        <v>733</v>
      </c>
      <c r="C737" s="12">
        <v>46390</v>
      </c>
      <c r="D737" s="31">
        <f t="shared" si="13"/>
        <v>4</v>
      </c>
      <c r="E737" s="14"/>
      <c r="F737" s="5">
        <v>0</v>
      </c>
      <c r="G737" s="18">
        <f t="shared" si="14"/>
        <v>14.4527</v>
      </c>
      <c r="H737" s="18">
        <f t="shared" si="15"/>
        <v>19.409836065573771</v>
      </c>
      <c r="I737" s="32">
        <v>17.00764900493558</v>
      </c>
      <c r="K737" s="32">
        <v>125.251830789778</v>
      </c>
      <c r="L737" s="32">
        <f t="shared" si="12"/>
        <v>16.438356164383563</v>
      </c>
      <c r="M737" s="5">
        <f t="shared" si="16"/>
        <v>12.365409924877131</v>
      </c>
      <c r="N737" s="5">
        <f t="shared" si="11"/>
        <v>14.098901098901099</v>
      </c>
      <c r="O737" s="32">
        <v>18.830792413631851</v>
      </c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</row>
    <row r="738" spans="1:88">
      <c r="A738" s="5">
        <v>95</v>
      </c>
      <c r="B738" s="11">
        <v>734</v>
      </c>
      <c r="C738" s="12">
        <v>46391</v>
      </c>
      <c r="D738" s="31">
        <f t="shared" si="13"/>
        <v>5</v>
      </c>
      <c r="E738" s="14"/>
      <c r="F738" s="5">
        <v>0</v>
      </c>
      <c r="G738" s="18">
        <f t="shared" si="14"/>
        <v>14.605400000000001</v>
      </c>
      <c r="H738" s="18">
        <f t="shared" si="15"/>
        <v>19.409836065573771</v>
      </c>
      <c r="I738" s="32">
        <v>9.10050376677777</v>
      </c>
      <c r="K738" s="32">
        <v>21.372030235181079</v>
      </c>
      <c r="L738" s="32">
        <f t="shared" si="12"/>
        <v>16.438356164383563</v>
      </c>
      <c r="M738" s="5">
        <f t="shared" si="16"/>
        <v>13.741803669819747</v>
      </c>
      <c r="N738" s="5">
        <f t="shared" si="11"/>
        <v>14.098901098901099</v>
      </c>
      <c r="O738" s="32">
        <v>6.669205433094195</v>
      </c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</row>
    <row r="739" spans="1:88">
      <c r="A739" s="5">
        <v>96</v>
      </c>
      <c r="B739" s="11">
        <v>735</v>
      </c>
      <c r="C739" s="12">
        <v>46392</v>
      </c>
      <c r="D739" s="31">
        <f t="shared" si="13"/>
        <v>-3</v>
      </c>
      <c r="E739" s="14"/>
      <c r="F739" s="5">
        <v>0</v>
      </c>
      <c r="G739" s="18">
        <f t="shared" si="14"/>
        <v>14.758100000000001</v>
      </c>
      <c r="H739" s="18">
        <f t="shared" si="15"/>
        <v>19.409836065573771</v>
      </c>
      <c r="I739" s="32">
        <v>21.09833556325874</v>
      </c>
      <c r="K739" s="32">
        <v>1.856531650863475</v>
      </c>
      <c r="L739" s="32">
        <f t="shared" si="12"/>
        <v>16.438356164383563</v>
      </c>
      <c r="M739" s="5">
        <f t="shared" si="16"/>
        <v>13.976661144931626</v>
      </c>
      <c r="N739" s="5">
        <f t="shared" si="11"/>
        <v>14.098901098901099</v>
      </c>
      <c r="O739" s="32">
        <v>10.13003466674016</v>
      </c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</row>
    <row r="740" spans="1:88">
      <c r="A740" s="5">
        <v>97</v>
      </c>
      <c r="B740" s="11">
        <v>736</v>
      </c>
      <c r="C740" s="12">
        <v>46393</v>
      </c>
      <c r="D740" s="31">
        <f t="shared" si="13"/>
        <v>22</v>
      </c>
      <c r="E740" s="14"/>
      <c r="F740" s="5">
        <v>0</v>
      </c>
      <c r="G740" s="18">
        <f t="shared" si="14"/>
        <v>14.9108</v>
      </c>
      <c r="H740" s="18">
        <f t="shared" si="15"/>
        <v>19.409836065573771</v>
      </c>
      <c r="I740" s="32">
        <v>15.795829257594679</v>
      </c>
      <c r="K740" s="32">
        <v>125.251830789778</v>
      </c>
      <c r="L740" s="32">
        <f t="shared" si="12"/>
        <v>16.438356164383563</v>
      </c>
      <c r="M740" s="5">
        <f t="shared" si="16"/>
        <v>13.99706259164441</v>
      </c>
      <c r="N740" s="5">
        <f t="shared" si="11"/>
        <v>14.098901098901099</v>
      </c>
      <c r="O740" s="32">
        <v>10.044933214256179</v>
      </c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</row>
    <row r="741" spans="1:88">
      <c r="A741" s="5">
        <v>98</v>
      </c>
      <c r="B741" s="11">
        <v>737</v>
      </c>
      <c r="C741" s="12">
        <v>46394</v>
      </c>
      <c r="D741" s="31">
        <f t="shared" si="13"/>
        <v>5</v>
      </c>
      <c r="E741" s="14"/>
      <c r="F741" s="5">
        <v>0</v>
      </c>
      <c r="G741" s="18">
        <f t="shared" si="14"/>
        <v>15.063500000000001</v>
      </c>
      <c r="H741" s="18">
        <f t="shared" si="15"/>
        <v>19.409836065573771</v>
      </c>
      <c r="I741" s="32">
        <v>16.548784677806221</v>
      </c>
      <c r="K741" s="32">
        <v>125.251830789778</v>
      </c>
      <c r="L741" s="32">
        <f t="shared" si="12"/>
        <v>16.438356164383563</v>
      </c>
      <c r="M741" s="5">
        <f t="shared" si="16"/>
        <v>12.626203589334279</v>
      </c>
      <c r="N741" s="5">
        <f t="shared" si="11"/>
        <v>14.098901098901099</v>
      </c>
      <c r="O741" s="32">
        <v>15.167913929007661</v>
      </c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</row>
    <row r="742" spans="1:88">
      <c r="A742" s="5">
        <v>99</v>
      </c>
      <c r="B742" s="11">
        <v>738</v>
      </c>
      <c r="C742" s="12">
        <v>46395</v>
      </c>
      <c r="D742" s="31">
        <f t="shared" si="13"/>
        <v>2</v>
      </c>
      <c r="E742" s="14"/>
      <c r="F742" s="5">
        <v>0</v>
      </c>
      <c r="G742" s="18">
        <f t="shared" si="14"/>
        <v>15.216200000000001</v>
      </c>
      <c r="H742" s="18">
        <f t="shared" si="15"/>
        <v>19.409836065573771</v>
      </c>
      <c r="I742" s="32">
        <v>16.733136766871041</v>
      </c>
      <c r="K742" s="32">
        <v>21.372030235181079</v>
      </c>
      <c r="L742" s="32">
        <f t="shared" si="12"/>
        <v>16.438356164383563</v>
      </c>
      <c r="M742" s="5">
        <f t="shared" si="16"/>
        <v>14.002597334276896</v>
      </c>
      <c r="N742" s="5">
        <f t="shared" si="11"/>
        <v>14.098901098901099</v>
      </c>
      <c r="O742" s="32">
        <v>12.98891622448186</v>
      </c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</row>
    <row r="743" spans="1:88">
      <c r="A743" s="5">
        <v>100</v>
      </c>
      <c r="B743" s="11">
        <v>739</v>
      </c>
      <c r="C743" s="12">
        <v>46396</v>
      </c>
      <c r="D743" s="31">
        <f t="shared" si="13"/>
        <v>4</v>
      </c>
      <c r="E743" s="14"/>
      <c r="F743" s="5">
        <v>0</v>
      </c>
      <c r="G743" s="18">
        <f t="shared" si="14"/>
        <v>15.3689</v>
      </c>
      <c r="H743" s="18">
        <f t="shared" si="15"/>
        <v>19.409836065573771</v>
      </c>
      <c r="I743" s="32">
        <v>11.76925034718133</v>
      </c>
      <c r="K743" s="32">
        <v>1.856531650863475</v>
      </c>
      <c r="L743" s="32">
        <f t="shared" si="12"/>
        <v>16.438356164383563</v>
      </c>
      <c r="M743" s="5">
        <f t="shared" si="16"/>
        <v>14.237454809388774</v>
      </c>
      <c r="N743" s="5">
        <f t="shared" si="11"/>
        <v>14.098901098901099</v>
      </c>
      <c r="O743" s="32">
        <v>31.976723970902761</v>
      </c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</row>
    <row r="744" spans="1:88">
      <c r="A744" s="5">
        <v>101</v>
      </c>
      <c r="B744" s="11">
        <v>740</v>
      </c>
      <c r="C744" s="12">
        <v>46397</v>
      </c>
      <c r="D744" s="31">
        <f t="shared" si="13"/>
        <v>8</v>
      </c>
      <c r="E744" s="14"/>
      <c r="F744" s="5">
        <v>0</v>
      </c>
      <c r="G744" s="18">
        <f t="shared" si="14"/>
        <v>15.521600000000001</v>
      </c>
      <c r="H744" s="18">
        <f t="shared" si="15"/>
        <v>19.409836065573771</v>
      </c>
      <c r="I744" s="32">
        <v>9.9749342589537111</v>
      </c>
      <c r="K744" s="32">
        <v>125.251830789778</v>
      </c>
      <c r="L744" s="32">
        <f t="shared" si="12"/>
        <v>16.438356164383563</v>
      </c>
      <c r="M744" s="5">
        <f t="shared" si="16"/>
        <v>14.25785625610156</v>
      </c>
      <c r="N744" s="5">
        <f t="shared" si="11"/>
        <v>14.098901098901099</v>
      </c>
      <c r="O744" s="32">
        <v>11.68867846127038</v>
      </c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</row>
    <row r="745" spans="1:88">
      <c r="A745" s="5">
        <v>102</v>
      </c>
      <c r="B745" s="11">
        <v>741</v>
      </c>
      <c r="C745" s="12">
        <v>46398</v>
      </c>
      <c r="D745" s="31">
        <f t="shared" si="13"/>
        <v>-2</v>
      </c>
      <c r="E745" s="14"/>
      <c r="F745" s="5">
        <v>0</v>
      </c>
      <c r="G745" s="18">
        <f t="shared" si="14"/>
        <v>15.674300000000001</v>
      </c>
      <c r="H745" s="18">
        <f t="shared" si="15"/>
        <v>19.409836065573771</v>
      </c>
      <c r="I745" s="32">
        <v>20.92726319598437</v>
      </c>
      <c r="K745" s="32">
        <v>125.251830789778</v>
      </c>
      <c r="L745" s="32">
        <f t="shared" si="12"/>
        <v>16.438356164383563</v>
      </c>
      <c r="M745" s="5">
        <f t="shared" si="16"/>
        <v>15.634250001044176</v>
      </c>
      <c r="N745" s="5">
        <f t="shared" si="11"/>
        <v>14.098901098901099</v>
      </c>
      <c r="O745" s="32">
        <v>18.160539726193338</v>
      </c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</row>
    <row r="746" spans="1:88">
      <c r="A746" s="5">
        <v>103</v>
      </c>
      <c r="B746" s="11">
        <v>742</v>
      </c>
      <c r="C746" s="12">
        <v>46399</v>
      </c>
      <c r="D746" s="31">
        <f t="shared" si="13"/>
        <v>2</v>
      </c>
      <c r="E746" s="14"/>
      <c r="F746" s="5">
        <v>0</v>
      </c>
      <c r="G746" s="18">
        <f t="shared" si="14"/>
        <v>15.827</v>
      </c>
      <c r="H746" s="18">
        <f t="shared" si="15"/>
        <v>19.409836065573771</v>
      </c>
      <c r="I746" s="32">
        <v>30.855809672609691</v>
      </c>
      <c r="K746" s="32">
        <v>21.372030235181079</v>
      </c>
      <c r="L746" s="32">
        <f t="shared" si="12"/>
        <v>16.438356164383563</v>
      </c>
      <c r="M746" s="5">
        <f t="shared" si="16"/>
        <v>17.010643745986791</v>
      </c>
      <c r="N746" s="5">
        <f t="shared" si="11"/>
        <v>14.098901098901099</v>
      </c>
      <c r="O746" s="32">
        <v>10.152157349104639</v>
      </c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</row>
    <row r="747" spans="1:88">
      <c r="A747" s="5">
        <v>104</v>
      </c>
      <c r="B747" s="11">
        <v>743</v>
      </c>
      <c r="C747" s="12">
        <v>46400</v>
      </c>
      <c r="D747" s="31">
        <f t="shared" si="13"/>
        <v>18</v>
      </c>
      <c r="E747" s="14"/>
      <c r="F747" s="5">
        <v>0</v>
      </c>
      <c r="G747" s="18">
        <f t="shared" si="14"/>
        <v>15.979700000000001</v>
      </c>
      <c r="H747" s="18">
        <f t="shared" si="15"/>
        <v>19.409836065573771</v>
      </c>
      <c r="I747" s="32">
        <v>12.679200423110689</v>
      </c>
      <c r="K747" s="32">
        <v>1.856531650863475</v>
      </c>
      <c r="L747" s="32">
        <f t="shared" si="12"/>
        <v>16.438356164383563</v>
      </c>
      <c r="M747" s="5">
        <f t="shared" si="16"/>
        <v>17.245501221098671</v>
      </c>
      <c r="N747" s="5">
        <f t="shared" si="11"/>
        <v>14.098901098901099</v>
      </c>
      <c r="O747" s="32">
        <v>16.665642488966359</v>
      </c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</row>
    <row r="748" spans="1:88">
      <c r="A748" s="5">
        <v>105</v>
      </c>
      <c r="B748" s="11">
        <v>744</v>
      </c>
      <c r="C748" s="12">
        <v>46401</v>
      </c>
      <c r="D748" s="31">
        <f t="shared" si="13"/>
        <v>3</v>
      </c>
      <c r="E748" s="14"/>
      <c r="F748" s="5">
        <v>0</v>
      </c>
      <c r="G748" s="18">
        <f t="shared" si="14"/>
        <v>16.132400000000001</v>
      </c>
      <c r="H748" s="18">
        <f t="shared" si="15"/>
        <v>19.409836065573771</v>
      </c>
      <c r="I748" s="32">
        <v>17.103901915909479</v>
      </c>
      <c r="K748" s="32">
        <v>125.251830789778</v>
      </c>
      <c r="L748" s="32">
        <f t="shared" si="12"/>
        <v>16.438356164383563</v>
      </c>
      <c r="M748" s="5">
        <f t="shared" si="16"/>
        <v>17.265902667811456</v>
      </c>
      <c r="N748" s="5">
        <f t="shared" si="11"/>
        <v>14.098901098901099</v>
      </c>
      <c r="O748" s="32">
        <v>15.906368594197369</v>
      </c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</row>
    <row r="749" spans="1:88">
      <c r="A749" s="5">
        <v>106</v>
      </c>
      <c r="B749" s="11">
        <v>745</v>
      </c>
      <c r="C749" s="12">
        <v>46402</v>
      </c>
      <c r="D749" s="31">
        <f t="shared" si="13"/>
        <v>-1</v>
      </c>
      <c r="E749" s="14"/>
      <c r="F749" s="5">
        <v>0</v>
      </c>
      <c r="G749" s="18">
        <f t="shared" si="14"/>
        <v>16.2851</v>
      </c>
      <c r="H749" s="18">
        <f t="shared" si="15"/>
        <v>19.409836065573771</v>
      </c>
      <c r="I749" s="32">
        <v>29.850461498826821</v>
      </c>
      <c r="K749" s="32">
        <v>125.251830789778</v>
      </c>
      <c r="L749" s="32">
        <f t="shared" si="12"/>
        <v>16.438356164383563</v>
      </c>
      <c r="M749" s="5">
        <f t="shared" si="16"/>
        <v>18.642296412754071</v>
      </c>
      <c r="N749" s="5">
        <f t="shared" si="11"/>
        <v>14.098901098901099</v>
      </c>
      <c r="O749" s="32">
        <v>27.235754623946249</v>
      </c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</row>
    <row r="750" spans="1:88">
      <c r="A750" s="5">
        <v>107</v>
      </c>
      <c r="B750" s="11">
        <v>746</v>
      </c>
      <c r="C750" s="12">
        <v>46403</v>
      </c>
      <c r="D750" s="31">
        <f t="shared" si="13"/>
        <v>12</v>
      </c>
      <c r="E750" s="14"/>
      <c r="F750" s="5">
        <v>0</v>
      </c>
      <c r="G750" s="18">
        <f t="shared" si="14"/>
        <v>16.437799999999999</v>
      </c>
      <c r="H750" s="18">
        <f t="shared" si="15"/>
        <v>19.409836065573771</v>
      </c>
      <c r="I750" s="32">
        <v>12.730176367489531</v>
      </c>
      <c r="K750" s="32">
        <v>21.372030235181079</v>
      </c>
      <c r="L750" s="32">
        <f t="shared" si="12"/>
        <v>16.438356164383563</v>
      </c>
      <c r="M750" s="5">
        <f t="shared" si="16"/>
        <v>20.018690157696689</v>
      </c>
      <c r="N750" s="5">
        <f t="shared" si="11"/>
        <v>14.098901098901099</v>
      </c>
      <c r="O750" s="32">
        <v>18.129599306810221</v>
      </c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</row>
    <row r="751" spans="1:88">
      <c r="A751" s="5">
        <v>108</v>
      </c>
      <c r="B751" s="11">
        <v>747</v>
      </c>
      <c r="C751" s="12">
        <v>46404</v>
      </c>
      <c r="D751" s="31">
        <f t="shared" si="13"/>
        <v>9</v>
      </c>
      <c r="E751" s="14"/>
      <c r="F751" s="5">
        <v>0</v>
      </c>
      <c r="G751" s="18">
        <f t="shared" si="14"/>
        <v>16.590500000000002</v>
      </c>
      <c r="H751" s="18">
        <f t="shared" si="15"/>
        <v>19.409836065573771</v>
      </c>
      <c r="I751" s="32">
        <v>14.485277539902819</v>
      </c>
      <c r="K751" s="32">
        <v>1.856531650863475</v>
      </c>
      <c r="L751" s="32">
        <f t="shared" si="12"/>
        <v>16.438356164383563</v>
      </c>
      <c r="M751" s="5">
        <f t="shared" si="16"/>
        <v>20.253547632808566</v>
      </c>
      <c r="N751" s="5">
        <f t="shared" si="11"/>
        <v>14.098901098901099</v>
      </c>
      <c r="O751" s="32">
        <v>25.313517521247981</v>
      </c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</row>
    <row r="752" spans="1:88">
      <c r="A752" s="5">
        <v>109</v>
      </c>
      <c r="B752" s="11">
        <v>748</v>
      </c>
      <c r="C752" s="12">
        <v>46405</v>
      </c>
      <c r="D752" s="31">
        <f t="shared" si="13"/>
        <v>9</v>
      </c>
      <c r="E752" s="14"/>
      <c r="F752" s="5">
        <v>0</v>
      </c>
      <c r="G752" s="18">
        <f t="shared" si="14"/>
        <v>16.743200000000002</v>
      </c>
      <c r="H752" s="18">
        <f t="shared" si="15"/>
        <v>19.409836065573771</v>
      </c>
      <c r="I752" s="32">
        <v>35.53906399510133</v>
      </c>
      <c r="K752" s="32">
        <v>125.251830789778</v>
      </c>
      <c r="L752" s="32">
        <f t="shared" si="12"/>
        <v>16.438356164383563</v>
      </c>
      <c r="M752" s="5">
        <f t="shared" si="16"/>
        <v>20.273949079521351</v>
      </c>
      <c r="N752" s="5">
        <f t="shared" si="11"/>
        <v>14.098901098901099</v>
      </c>
      <c r="O752" s="32">
        <v>18.149276539417318</v>
      </c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</row>
    <row r="753" spans="1:88">
      <c r="A753" s="5">
        <v>110</v>
      </c>
      <c r="B753" s="11">
        <v>749</v>
      </c>
      <c r="C753" s="12">
        <v>46406</v>
      </c>
      <c r="D753" s="31">
        <f t="shared" si="13"/>
        <v>3</v>
      </c>
      <c r="E753" s="14"/>
      <c r="F753" s="5">
        <v>0</v>
      </c>
      <c r="G753" s="18">
        <f t="shared" si="14"/>
        <v>16.895900000000001</v>
      </c>
      <c r="H753" s="18">
        <f t="shared" si="15"/>
        <v>19.409836065573771</v>
      </c>
      <c r="I753" s="32">
        <v>30.72745445537852</v>
      </c>
      <c r="K753" s="32">
        <v>125.251830789778</v>
      </c>
      <c r="L753" s="32">
        <f t="shared" si="12"/>
        <v>16.438356164383563</v>
      </c>
      <c r="M753" s="5">
        <f t="shared" si="16"/>
        <v>21.650342824463969</v>
      </c>
      <c r="N753" s="5">
        <f t="shared" si="11"/>
        <v>14.098901098901099</v>
      </c>
      <c r="O753" s="32">
        <v>16.4315266375113</v>
      </c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</row>
    <row r="754" spans="1:88">
      <c r="A754" s="5">
        <v>111</v>
      </c>
      <c r="B754" s="11">
        <v>750</v>
      </c>
      <c r="C754" s="12">
        <v>46407</v>
      </c>
      <c r="D754" s="31">
        <f t="shared" si="13"/>
        <v>23</v>
      </c>
      <c r="E754" s="14"/>
      <c r="F754" s="5">
        <v>0</v>
      </c>
      <c r="G754" s="18">
        <f t="shared" si="14"/>
        <v>17.0486</v>
      </c>
      <c r="H754" s="18">
        <f t="shared" si="15"/>
        <v>19.409836065573771</v>
      </c>
      <c r="I754" s="32">
        <v>28.080540107520761</v>
      </c>
      <c r="K754" s="32">
        <v>21.372030235181079</v>
      </c>
      <c r="L754" s="32">
        <f t="shared" si="12"/>
        <v>16.438356164383563</v>
      </c>
      <c r="M754" s="5">
        <f t="shared" si="16"/>
        <v>23.026736569406584</v>
      </c>
      <c r="N754" s="5">
        <f t="shared" si="11"/>
        <v>14.098901098901099</v>
      </c>
      <c r="O754" s="32">
        <v>17.27832002747046</v>
      </c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</row>
    <row r="755" spans="1:88">
      <c r="A755" s="5">
        <v>112</v>
      </c>
      <c r="B755" s="11">
        <v>751</v>
      </c>
      <c r="C755" s="12">
        <v>46408</v>
      </c>
      <c r="D755" s="31">
        <f t="shared" si="13"/>
        <v>15</v>
      </c>
      <c r="E755" s="14"/>
      <c r="F755" s="5">
        <v>0</v>
      </c>
      <c r="G755" s="18">
        <f t="shared" si="14"/>
        <v>17.2013</v>
      </c>
      <c r="H755" s="18">
        <f t="shared" si="15"/>
        <v>19.409836065573771</v>
      </c>
      <c r="I755" s="32">
        <v>20.654481877418899</v>
      </c>
      <c r="K755" s="32">
        <v>1.856531650863475</v>
      </c>
      <c r="L755" s="32">
        <f t="shared" si="12"/>
        <v>16.438356164383563</v>
      </c>
      <c r="M755" s="5">
        <f t="shared" si="16"/>
        <v>23.261594044518464</v>
      </c>
      <c r="N755" s="5">
        <f t="shared" si="11"/>
        <v>14.098901098901099</v>
      </c>
      <c r="O755" s="32">
        <v>25.30508299491277</v>
      </c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</row>
    <row r="756" spans="1:88">
      <c r="A756" s="5">
        <v>113</v>
      </c>
      <c r="B756" s="11">
        <v>752</v>
      </c>
      <c r="C756" s="12">
        <v>46409</v>
      </c>
      <c r="D756" s="31">
        <f t="shared" si="13"/>
        <v>27</v>
      </c>
      <c r="E756" s="14"/>
      <c r="F756" s="5">
        <v>0</v>
      </c>
      <c r="G756" s="18">
        <f t="shared" si="14"/>
        <v>17.353999999999999</v>
      </c>
      <c r="H756" s="18">
        <f t="shared" si="15"/>
        <v>19.409836065573771</v>
      </c>
      <c r="I756" s="32">
        <v>21.55534679344078</v>
      </c>
      <c r="K756" s="32">
        <v>125.251830789778</v>
      </c>
      <c r="L756" s="32">
        <f t="shared" si="12"/>
        <v>16.438356164383563</v>
      </c>
      <c r="M756" s="5">
        <f t="shared" si="16"/>
        <v>23.28199549123125</v>
      </c>
      <c r="N756" s="5">
        <f t="shared" si="11"/>
        <v>14.098901098901099</v>
      </c>
      <c r="O756" s="32">
        <v>29.895102076893561</v>
      </c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</row>
    <row r="757" spans="1:88">
      <c r="A757" s="5">
        <v>114</v>
      </c>
      <c r="B757" s="11">
        <v>753</v>
      </c>
      <c r="C757" s="12">
        <v>46410</v>
      </c>
      <c r="D757" s="31">
        <f t="shared" si="13"/>
        <v>1</v>
      </c>
      <c r="E757" s="14"/>
      <c r="F757" s="5">
        <v>0</v>
      </c>
      <c r="G757" s="18">
        <f t="shared" si="14"/>
        <v>17.506700000000002</v>
      </c>
      <c r="H757" s="18">
        <f t="shared" si="15"/>
        <v>19.409836065573771</v>
      </c>
      <c r="I757" s="32">
        <v>33.927103065517187</v>
      </c>
      <c r="K757" s="32">
        <v>125.251830789778</v>
      </c>
      <c r="L757" s="32">
        <f t="shared" si="12"/>
        <v>16.438356164383563</v>
      </c>
      <c r="M757" s="5">
        <f t="shared" si="16"/>
        <v>24.658389236173868</v>
      </c>
      <c r="N757" s="5">
        <f t="shared" si="11"/>
        <v>14.098901098901099</v>
      </c>
      <c r="O757" s="32">
        <v>23.596540977880942</v>
      </c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</row>
    <row r="758" spans="1:88">
      <c r="A758" s="5">
        <v>115</v>
      </c>
      <c r="B758" s="11">
        <v>754</v>
      </c>
      <c r="C758" s="12">
        <v>46411</v>
      </c>
      <c r="D758" s="31">
        <f t="shared" si="13"/>
        <v>6</v>
      </c>
      <c r="E758" s="14"/>
      <c r="F758" s="5">
        <v>0</v>
      </c>
      <c r="G758" s="18">
        <f t="shared" si="14"/>
        <v>17.659400000000002</v>
      </c>
      <c r="H758" s="18">
        <f t="shared" si="15"/>
        <v>19.409836065573771</v>
      </c>
      <c r="I758" s="32">
        <v>15.98354041797645</v>
      </c>
      <c r="K758" s="32">
        <v>21.372030235181079</v>
      </c>
      <c r="L758" s="32">
        <f t="shared" si="12"/>
        <v>16.438356164383563</v>
      </c>
      <c r="M758" s="5">
        <f t="shared" si="16"/>
        <v>26.034782981116482</v>
      </c>
      <c r="N758" s="5">
        <f t="shared" si="11"/>
        <v>14.098901098901099</v>
      </c>
      <c r="O758" s="32">
        <v>24.778897900300979</v>
      </c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</row>
    <row r="759" spans="1:88">
      <c r="A759" s="5">
        <v>116</v>
      </c>
      <c r="B759" s="11">
        <v>755</v>
      </c>
      <c r="C759" s="12">
        <v>46412</v>
      </c>
      <c r="D759" s="31">
        <f t="shared" si="13"/>
        <v>12</v>
      </c>
      <c r="E759" s="14"/>
      <c r="F759" s="5">
        <v>0</v>
      </c>
      <c r="G759" s="18">
        <f t="shared" si="14"/>
        <v>17.812100000000001</v>
      </c>
      <c r="H759" s="18">
        <f t="shared" si="15"/>
        <v>19.409836065573771</v>
      </c>
      <c r="I759" s="32">
        <v>37.210535446594932</v>
      </c>
      <c r="K759" s="32">
        <v>1.856531650863475</v>
      </c>
      <c r="L759" s="32">
        <f t="shared" si="12"/>
        <v>16.438356164383563</v>
      </c>
      <c r="M759" s="5">
        <f t="shared" si="16"/>
        <v>26.269640456228363</v>
      </c>
      <c r="N759" s="5">
        <f t="shared" si="11"/>
        <v>14.098901098901099</v>
      </c>
      <c r="O759" s="32">
        <v>5.2355602093242268</v>
      </c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</row>
    <row r="760" spans="1:88">
      <c r="A760" s="5">
        <v>117</v>
      </c>
      <c r="B760" s="11">
        <v>756</v>
      </c>
      <c r="C760" s="12">
        <v>46413</v>
      </c>
      <c r="D760" s="31">
        <f t="shared" si="13"/>
        <v>22</v>
      </c>
      <c r="E760" s="14"/>
      <c r="F760" s="5">
        <v>0</v>
      </c>
      <c r="G760" s="18">
        <f t="shared" si="14"/>
        <v>17.9648</v>
      </c>
      <c r="H760" s="18">
        <f t="shared" si="15"/>
        <v>19.409836065573771</v>
      </c>
      <c r="I760" s="32">
        <v>38.431015937753479</v>
      </c>
      <c r="K760" s="32">
        <v>125.251830789778</v>
      </c>
      <c r="L760" s="32">
        <f t="shared" si="12"/>
        <v>16.438356164383563</v>
      </c>
      <c r="M760" s="5">
        <f t="shared" si="16"/>
        <v>26.290041902941148</v>
      </c>
      <c r="N760" s="5">
        <f t="shared" si="11"/>
        <v>14.098901098901099</v>
      </c>
      <c r="O760" s="32">
        <v>6.4588635594147856</v>
      </c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</row>
    <row r="761" spans="1:88">
      <c r="A761" s="5">
        <v>118</v>
      </c>
      <c r="B761" s="11">
        <v>757</v>
      </c>
      <c r="C761" s="12">
        <v>46414</v>
      </c>
      <c r="D761" s="31">
        <f t="shared" si="13"/>
        <v>6</v>
      </c>
      <c r="E761" s="14"/>
      <c r="F761" s="5">
        <v>0</v>
      </c>
      <c r="G761" s="18">
        <f t="shared" si="14"/>
        <v>18.1175</v>
      </c>
      <c r="H761" s="18">
        <f t="shared" si="15"/>
        <v>19.409836065573771</v>
      </c>
      <c r="I761" s="32">
        <v>25.317951613883501</v>
      </c>
      <c r="K761" s="32">
        <v>125.251830789778</v>
      </c>
      <c r="L761" s="32">
        <f t="shared" si="12"/>
        <v>16.438356164383563</v>
      </c>
      <c r="M761" s="5">
        <f t="shared" si="16"/>
        <v>27.666435647883766</v>
      </c>
      <c r="N761" s="5">
        <f t="shared" si="11"/>
        <v>14.098901098901099</v>
      </c>
      <c r="O761" s="32">
        <v>17.948746360178539</v>
      </c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</row>
    <row r="762" spans="1:88">
      <c r="A762" s="5">
        <v>119</v>
      </c>
      <c r="B762" s="11">
        <v>758</v>
      </c>
      <c r="C762" s="12">
        <v>46415</v>
      </c>
      <c r="D762" s="31">
        <f t="shared" si="13"/>
        <v>13</v>
      </c>
      <c r="E762" s="14"/>
      <c r="F762" s="5">
        <v>0</v>
      </c>
      <c r="G762" s="18">
        <f t="shared" si="14"/>
        <v>18.270199999999999</v>
      </c>
      <c r="H762" s="18">
        <f t="shared" si="15"/>
        <v>19.409836065573771</v>
      </c>
      <c r="I762" s="32">
        <v>35.499300219744462</v>
      </c>
      <c r="K762" s="32">
        <v>21.372030235181079</v>
      </c>
      <c r="L762" s="32">
        <f t="shared" si="12"/>
        <v>16.438356164383563</v>
      </c>
      <c r="M762" s="5">
        <f t="shared" si="16"/>
        <v>29.042829392826381</v>
      </c>
      <c r="N762" s="5">
        <f t="shared" si="11"/>
        <v>14.098901098901099</v>
      </c>
      <c r="O762" s="32">
        <v>13.38395689254738</v>
      </c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</row>
    <row r="763" spans="1:88">
      <c r="A763" s="5">
        <v>120</v>
      </c>
      <c r="B763" s="11">
        <v>759</v>
      </c>
      <c r="C763" s="12">
        <v>46416</v>
      </c>
      <c r="D763" s="31">
        <f t="shared" si="13"/>
        <v>9</v>
      </c>
      <c r="E763" s="14"/>
      <c r="F763" s="5">
        <v>0</v>
      </c>
      <c r="G763" s="18">
        <f t="shared" si="14"/>
        <v>18.422900000000002</v>
      </c>
      <c r="H763" s="18">
        <f t="shared" si="15"/>
        <v>19.409836065573771</v>
      </c>
      <c r="I763" s="32">
        <v>10.604968592724379</v>
      </c>
      <c r="K763" s="32">
        <v>1.856531650863475</v>
      </c>
      <c r="L763" s="32">
        <f t="shared" si="12"/>
        <v>16.438356164383563</v>
      </c>
      <c r="M763" s="5">
        <f t="shared" si="16"/>
        <v>29.277686867938264</v>
      </c>
      <c r="N763" s="5">
        <f t="shared" si="11"/>
        <v>14.098901098901099</v>
      </c>
      <c r="O763" s="32">
        <v>36.295959461818178</v>
      </c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</row>
    <row r="764" spans="1:88">
      <c r="A764" s="5">
        <v>121</v>
      </c>
      <c r="B764" s="11">
        <v>760</v>
      </c>
      <c r="C764" s="12">
        <v>46417</v>
      </c>
      <c r="D764" s="31">
        <f t="shared" si="13"/>
        <v>7</v>
      </c>
      <c r="E764" s="14"/>
      <c r="F764" s="5">
        <v>0</v>
      </c>
      <c r="G764" s="18">
        <f t="shared" si="14"/>
        <v>18.575600000000001</v>
      </c>
      <c r="H764" s="18">
        <f t="shared" si="15"/>
        <v>19.409836065573771</v>
      </c>
      <c r="I764" s="32">
        <v>28.87919883476896</v>
      </c>
      <c r="K764" s="32">
        <v>125.251830789778</v>
      </c>
      <c r="L764" s="32">
        <f t="shared" si="12"/>
        <v>16.438356164383563</v>
      </c>
      <c r="M764" s="5">
        <f t="shared" si="16"/>
        <v>29.298088314651046</v>
      </c>
      <c r="N764" s="5">
        <f t="shared" si="11"/>
        <v>14.098901098901099</v>
      </c>
      <c r="O764" s="32">
        <v>30.458628809401219</v>
      </c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</row>
    <row r="765" spans="1:88">
      <c r="A765" s="5">
        <v>122</v>
      </c>
      <c r="B765" s="11">
        <v>761</v>
      </c>
      <c r="C765" s="12">
        <v>46418</v>
      </c>
      <c r="D765" s="31">
        <f t="shared" si="13"/>
        <v>6</v>
      </c>
      <c r="E765" s="14"/>
      <c r="F765" s="5">
        <v>0</v>
      </c>
      <c r="G765" s="18">
        <f t="shared" si="14"/>
        <v>18.728300000000001</v>
      </c>
      <c r="H765" s="18">
        <f t="shared" si="15"/>
        <v>19.409836065573771</v>
      </c>
      <c r="I765" s="32">
        <v>25.44111163278076</v>
      </c>
      <c r="K765" s="32">
        <v>125.251830789778</v>
      </c>
      <c r="L765" s="32">
        <f t="shared" si="12"/>
        <v>16.438356164383563</v>
      </c>
      <c r="M765" s="5">
        <f t="shared" si="16"/>
        <v>30.674482059593664</v>
      </c>
      <c r="N765" s="5">
        <f t="shared" si="11"/>
        <v>14.098901098901099</v>
      </c>
      <c r="O765" s="32">
        <v>23.267748756208469</v>
      </c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</row>
    <row r="766" spans="1:88">
      <c r="A766" s="5">
        <v>123</v>
      </c>
      <c r="B766" s="11">
        <v>762</v>
      </c>
      <c r="C766" s="12">
        <v>46419</v>
      </c>
      <c r="D766" s="31">
        <f t="shared" si="13"/>
        <v>15</v>
      </c>
      <c r="E766" s="14"/>
      <c r="F766" s="5">
        <v>0</v>
      </c>
      <c r="G766" s="18">
        <f t="shared" si="14"/>
        <v>18.881</v>
      </c>
      <c r="H766" s="18">
        <f t="shared" si="15"/>
        <v>19.409836065573771</v>
      </c>
      <c r="I766" s="32">
        <v>11.89552328630049</v>
      </c>
      <c r="K766" s="32">
        <v>21.372030235181079</v>
      </c>
      <c r="L766" s="32">
        <f t="shared" si="12"/>
        <v>16.438356164383563</v>
      </c>
      <c r="M766" s="5">
        <f t="shared" si="16"/>
        <v>29.303623057283527</v>
      </c>
      <c r="N766" s="5">
        <f t="shared" si="11"/>
        <v>14.098901098901099</v>
      </c>
      <c r="O766" s="32">
        <v>15.53649426827528</v>
      </c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</row>
    <row r="767" spans="1:88">
      <c r="A767" s="5">
        <v>124</v>
      </c>
      <c r="B767" s="11">
        <v>763</v>
      </c>
      <c r="C767" s="12">
        <v>46420</v>
      </c>
      <c r="D767" s="31">
        <f t="shared" si="13"/>
        <v>9</v>
      </c>
      <c r="E767" s="14"/>
      <c r="F767" s="5">
        <v>0</v>
      </c>
      <c r="G767" s="18">
        <f t="shared" si="14"/>
        <v>19.0337</v>
      </c>
      <c r="H767" s="18">
        <f t="shared" si="15"/>
        <v>19.409836065573771</v>
      </c>
      <c r="I767" s="32">
        <v>29.659107099466269</v>
      </c>
      <c r="K767" s="32">
        <v>1.856531650863475</v>
      </c>
      <c r="L767" s="32">
        <f t="shared" si="12"/>
        <v>16.438356164383563</v>
      </c>
      <c r="M767" s="5">
        <f t="shared" si="16"/>
        <v>29.538480532395411</v>
      </c>
      <c r="N767" s="5">
        <f t="shared" si="11"/>
        <v>14.098901098901099</v>
      </c>
      <c r="O767" s="32">
        <v>10.10818297240599</v>
      </c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</row>
    <row r="768" spans="1:88">
      <c r="A768" s="5">
        <v>125</v>
      </c>
      <c r="B768" s="11">
        <v>764</v>
      </c>
      <c r="C768" s="12">
        <v>46421</v>
      </c>
      <c r="D768" s="31">
        <f t="shared" si="13"/>
        <v>4</v>
      </c>
      <c r="E768" s="14"/>
      <c r="F768" s="5">
        <v>0</v>
      </c>
      <c r="G768" s="18">
        <f t="shared" si="14"/>
        <v>19.186399999999999</v>
      </c>
      <c r="H768" s="18">
        <f t="shared" si="15"/>
        <v>19.409836065573771</v>
      </c>
      <c r="I768" s="32">
        <v>31.591332525692049</v>
      </c>
      <c r="K768" s="32">
        <v>125.251830789778</v>
      </c>
      <c r="L768" s="32">
        <f t="shared" si="12"/>
        <v>16.438356164383563</v>
      </c>
      <c r="M768" s="5">
        <f t="shared" si="16"/>
        <v>29.558881979108193</v>
      </c>
      <c r="N768" s="5">
        <f t="shared" si="11"/>
        <v>14.098901098901099</v>
      </c>
      <c r="O768" s="32">
        <v>5.2108314472249351</v>
      </c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</row>
    <row r="769" spans="1:88">
      <c r="A769" s="5">
        <v>126</v>
      </c>
      <c r="B769" s="11">
        <v>765</v>
      </c>
      <c r="C769" s="12">
        <v>46422</v>
      </c>
      <c r="D769" s="31">
        <f t="shared" si="13"/>
        <v>5</v>
      </c>
      <c r="E769" s="14"/>
      <c r="F769" s="5">
        <v>0</v>
      </c>
      <c r="G769" s="18">
        <f t="shared" si="14"/>
        <v>19.339100000000002</v>
      </c>
      <c r="H769" s="18">
        <f t="shared" si="15"/>
        <v>19.409836065573771</v>
      </c>
      <c r="I769" s="32">
        <v>31.343140553107439</v>
      </c>
      <c r="K769" s="32">
        <v>125.251830789778</v>
      </c>
      <c r="L769" s="32">
        <f t="shared" si="12"/>
        <v>16.438356164383563</v>
      </c>
      <c r="M769" s="5">
        <f t="shared" si="16"/>
        <v>28.188022976798063</v>
      </c>
      <c r="N769" s="5">
        <f t="shared" si="11"/>
        <v>14.098901098901099</v>
      </c>
      <c r="O769" s="32">
        <v>13.29486044128169</v>
      </c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</row>
    <row r="770" spans="1:88">
      <c r="A770" s="5">
        <v>127</v>
      </c>
      <c r="B770" s="11">
        <v>766</v>
      </c>
      <c r="C770" s="12">
        <v>46423</v>
      </c>
      <c r="D770" s="31">
        <f t="shared" si="13"/>
        <v>14</v>
      </c>
      <c r="E770" s="14"/>
      <c r="F770" s="5">
        <v>0</v>
      </c>
      <c r="G770" s="18">
        <f t="shared" si="14"/>
        <v>19.491800000000001</v>
      </c>
      <c r="H770" s="18">
        <f t="shared" si="15"/>
        <v>19.409836065573771</v>
      </c>
      <c r="I770" s="32">
        <v>25.321733595272502</v>
      </c>
      <c r="K770" s="32">
        <v>21.372030235181079</v>
      </c>
      <c r="L770" s="32">
        <f t="shared" si="12"/>
        <v>16.438356164383563</v>
      </c>
      <c r="M770" s="5">
        <f t="shared" si="16"/>
        <v>29.564416721740681</v>
      </c>
      <c r="N770" s="5">
        <f t="shared" si="11"/>
        <v>14.098901098901099</v>
      </c>
      <c r="O770" s="32">
        <v>20.785067714107669</v>
      </c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</row>
    <row r="771" spans="1:88">
      <c r="A771" s="5">
        <v>128</v>
      </c>
      <c r="B771" s="11">
        <v>767</v>
      </c>
      <c r="C771" s="12">
        <v>46424</v>
      </c>
      <c r="D771" s="31">
        <f t="shared" si="13"/>
        <v>15</v>
      </c>
      <c r="E771" s="14"/>
      <c r="F771" s="5">
        <v>0</v>
      </c>
      <c r="G771" s="18">
        <f t="shared" si="14"/>
        <v>19.644500000000001</v>
      </c>
      <c r="H771" s="18">
        <f t="shared" si="15"/>
        <v>19.409836065573771</v>
      </c>
      <c r="I771" s="32">
        <v>37.829494961676723</v>
      </c>
      <c r="K771" s="32">
        <v>1.856531650863475</v>
      </c>
      <c r="L771" s="32">
        <f t="shared" si="12"/>
        <v>16.438356164383563</v>
      </c>
      <c r="M771" s="5">
        <f t="shared" si="16"/>
        <v>29.799274196852561</v>
      </c>
      <c r="N771" s="5">
        <f t="shared" si="11"/>
        <v>14.098901098901099</v>
      </c>
      <c r="O771" s="32">
        <v>27.57567815836488</v>
      </c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</row>
    <row r="772" spans="1:88">
      <c r="A772" s="5">
        <v>129</v>
      </c>
      <c r="B772" s="11">
        <v>768</v>
      </c>
      <c r="C772" s="12">
        <v>46425</v>
      </c>
      <c r="D772" s="31">
        <f t="shared" si="13"/>
        <v>20</v>
      </c>
      <c r="E772" s="14"/>
      <c r="F772" s="5">
        <v>0</v>
      </c>
      <c r="G772" s="18">
        <f t="shared" si="14"/>
        <v>19.7972</v>
      </c>
      <c r="H772" s="18">
        <f t="shared" si="15"/>
        <v>19.409836065573771</v>
      </c>
      <c r="I772" s="32">
        <v>36.00782994873493</v>
      </c>
      <c r="K772" s="32">
        <v>125.251830789778</v>
      </c>
      <c r="L772" s="32">
        <f t="shared" si="12"/>
        <v>16.438356164383563</v>
      </c>
      <c r="M772" s="5">
        <f t="shared" si="16"/>
        <v>29.819675643565347</v>
      </c>
      <c r="N772" s="5">
        <f t="shared" si="11"/>
        <v>14.098901098901099</v>
      </c>
      <c r="O772" s="32">
        <v>11.95108691242687</v>
      </c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</row>
    <row r="773" spans="1:88">
      <c r="A773" s="5">
        <v>130</v>
      </c>
      <c r="B773" s="11">
        <v>769</v>
      </c>
      <c r="C773" s="12">
        <v>46426</v>
      </c>
      <c r="D773" s="31">
        <f t="shared" si="13"/>
        <v>5</v>
      </c>
      <c r="E773" s="14"/>
      <c r="F773" s="5">
        <v>0</v>
      </c>
      <c r="G773" s="18">
        <f t="shared" si="14"/>
        <v>19.9499</v>
      </c>
      <c r="H773" s="18">
        <f t="shared" si="15"/>
        <v>19.409836065573771</v>
      </c>
      <c r="I773" s="32">
        <v>35.571059050875981</v>
      </c>
      <c r="K773" s="32">
        <v>125.251830789778</v>
      </c>
      <c r="L773" s="32">
        <f t="shared" si="12"/>
        <v>16.438356164383563</v>
      </c>
      <c r="M773" s="5">
        <f t="shared" si="16"/>
        <v>31.196069388507961</v>
      </c>
      <c r="N773" s="5">
        <f t="shared" ref="N773:N836" si="17">AVERAGE($O$644:$O$734)</f>
        <v>14.098901098901099</v>
      </c>
      <c r="O773" s="32">
        <v>21.570851605675401</v>
      </c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</row>
    <row r="774" spans="1:88">
      <c r="A774" s="5">
        <v>131</v>
      </c>
      <c r="B774" s="11">
        <v>770</v>
      </c>
      <c r="C774" s="12">
        <v>46427</v>
      </c>
      <c r="D774" s="31">
        <f t="shared" si="13"/>
        <v>2</v>
      </c>
      <c r="E774" s="14"/>
      <c r="F774" s="5">
        <v>0</v>
      </c>
      <c r="G774" s="18">
        <f t="shared" si="14"/>
        <v>20.102600000000002</v>
      </c>
      <c r="H774" s="18">
        <f t="shared" si="15"/>
        <v>19.409836065573771</v>
      </c>
      <c r="I774" s="32">
        <v>34.81941812804429</v>
      </c>
      <c r="K774" s="32">
        <v>21.372030235181079</v>
      </c>
      <c r="L774" s="32">
        <f t="shared" si="12"/>
        <v>16.438356164383563</v>
      </c>
      <c r="M774" s="5">
        <f t="shared" si="16"/>
        <v>32.572463133450576</v>
      </c>
      <c r="N774" s="5">
        <f t="shared" si="17"/>
        <v>14.098901098901099</v>
      </c>
      <c r="O774" s="32">
        <v>16.41643974083301</v>
      </c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</row>
    <row r="775" spans="1:88">
      <c r="A775" s="5">
        <v>132</v>
      </c>
      <c r="B775" s="11">
        <v>771</v>
      </c>
      <c r="C775" s="12">
        <v>46428</v>
      </c>
      <c r="D775" s="31">
        <f t="shared" si="13"/>
        <v>10</v>
      </c>
      <c r="E775" s="14"/>
      <c r="F775" s="5">
        <v>0</v>
      </c>
      <c r="G775" s="18">
        <f t="shared" si="14"/>
        <v>20.255300000000002</v>
      </c>
      <c r="H775" s="18">
        <f t="shared" si="15"/>
        <v>19.409836065573771</v>
      </c>
      <c r="I775" s="32">
        <v>30.53757823605498</v>
      </c>
      <c r="K775" s="32">
        <v>1.856531650863475</v>
      </c>
      <c r="L775" s="32">
        <f t="shared" si="12"/>
        <v>16.438356164383563</v>
      </c>
      <c r="M775" s="5">
        <f t="shared" si="16"/>
        <v>32.807320608562456</v>
      </c>
      <c r="N775" s="5">
        <f t="shared" si="17"/>
        <v>14.098901098901099</v>
      </c>
      <c r="O775" s="32">
        <v>6.6763985444050862</v>
      </c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</row>
    <row r="776" spans="1:88">
      <c r="A776" s="5">
        <v>133</v>
      </c>
      <c r="B776" s="11">
        <v>772</v>
      </c>
      <c r="C776" s="12">
        <v>46429</v>
      </c>
      <c r="D776" s="31">
        <f t="shared" si="13"/>
        <v>17</v>
      </c>
      <c r="E776" s="14"/>
      <c r="F776" s="5">
        <v>0</v>
      </c>
      <c r="G776" s="18">
        <f t="shared" si="14"/>
        <v>20.408000000000001</v>
      </c>
      <c r="H776" s="18">
        <f t="shared" si="15"/>
        <v>19.409836065573771</v>
      </c>
      <c r="I776" s="32">
        <v>31.569472895262411</v>
      </c>
      <c r="K776" s="32">
        <v>125.251830789778</v>
      </c>
      <c r="L776" s="32">
        <f t="shared" si="12"/>
        <v>16.438356164383563</v>
      </c>
      <c r="M776" s="5">
        <f t="shared" si="16"/>
        <v>32.827722055275245</v>
      </c>
      <c r="N776" s="5">
        <f t="shared" si="17"/>
        <v>14.098901098901099</v>
      </c>
      <c r="O776" s="32">
        <v>30.325513135129469</v>
      </c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</row>
    <row r="777" spans="1:88">
      <c r="A777" s="5">
        <v>134</v>
      </c>
      <c r="B777" s="11">
        <v>773</v>
      </c>
      <c r="C777" s="12">
        <v>46430</v>
      </c>
      <c r="D777" s="31">
        <f t="shared" si="13"/>
        <v>6</v>
      </c>
      <c r="E777" s="14"/>
      <c r="F777" s="5">
        <v>0</v>
      </c>
      <c r="G777" s="18">
        <f t="shared" si="14"/>
        <v>20.560700000000001</v>
      </c>
      <c r="H777" s="18">
        <f t="shared" si="15"/>
        <v>19.409836065573771</v>
      </c>
      <c r="I777" s="32">
        <v>20.515813665265579</v>
      </c>
      <c r="K777" s="32">
        <v>125.251830789778</v>
      </c>
      <c r="L777" s="32">
        <f t="shared" si="12"/>
        <v>16.438356164383563</v>
      </c>
      <c r="M777" s="5">
        <f t="shared" si="16"/>
        <v>34.204115800217863</v>
      </c>
      <c r="N777" s="5">
        <f t="shared" si="17"/>
        <v>14.098901098901099</v>
      </c>
      <c r="O777" s="32">
        <v>25.96930406295154</v>
      </c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</row>
    <row r="778" spans="1:88">
      <c r="A778" s="5">
        <v>135</v>
      </c>
      <c r="B778" s="11">
        <v>774</v>
      </c>
      <c r="C778" s="12">
        <v>46431</v>
      </c>
      <c r="D778" s="31">
        <f t="shared" si="13"/>
        <v>7</v>
      </c>
      <c r="E778" s="14"/>
      <c r="F778" s="5">
        <v>0</v>
      </c>
      <c r="G778" s="18">
        <f t="shared" si="14"/>
        <v>20.7134</v>
      </c>
      <c r="H778" s="18">
        <f t="shared" si="15"/>
        <v>19.409836065573771</v>
      </c>
      <c r="I778" s="32">
        <v>20.208990711703262</v>
      </c>
      <c r="K778" s="32">
        <v>21.372030235181079</v>
      </c>
      <c r="L778" s="32">
        <f t="shared" si="12"/>
        <v>16.438356164383563</v>
      </c>
      <c r="M778" s="5">
        <f t="shared" si="16"/>
        <v>35.580509545160474</v>
      </c>
      <c r="N778" s="5">
        <f t="shared" si="17"/>
        <v>14.098901098901099</v>
      </c>
      <c r="O778" s="32">
        <v>19.919705386318999</v>
      </c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</row>
    <row r="779" spans="1:88">
      <c r="A779" s="5">
        <v>136</v>
      </c>
      <c r="B779" s="11">
        <v>775</v>
      </c>
      <c r="C779" s="12">
        <v>46432</v>
      </c>
      <c r="D779" s="31">
        <f t="shared" si="13"/>
        <v>25</v>
      </c>
      <c r="E779" s="14"/>
      <c r="F779" s="5">
        <v>0</v>
      </c>
      <c r="G779" s="18">
        <f t="shared" si="14"/>
        <v>20.866099999999999</v>
      </c>
      <c r="H779" s="18">
        <f t="shared" si="15"/>
        <v>19.409836065573771</v>
      </c>
      <c r="I779" s="32">
        <v>29.581321473077029</v>
      </c>
      <c r="K779" s="32">
        <v>1.856531650863475</v>
      </c>
      <c r="L779" s="32">
        <f t="shared" si="12"/>
        <v>16.438356164383563</v>
      </c>
      <c r="M779" s="5">
        <f t="shared" si="16"/>
        <v>35.815367020272362</v>
      </c>
      <c r="N779" s="5">
        <f t="shared" si="17"/>
        <v>14.098901098901099</v>
      </c>
      <c r="O779" s="32">
        <v>12.795054105853779</v>
      </c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</row>
    <row r="780" spans="1:88">
      <c r="A780" s="5">
        <v>137</v>
      </c>
      <c r="B780" s="11">
        <v>776</v>
      </c>
      <c r="C780" s="12">
        <v>46433</v>
      </c>
      <c r="D780" s="31">
        <f t="shared" si="13"/>
        <v>16</v>
      </c>
      <c r="E780" s="14"/>
      <c r="F780" s="5">
        <v>0</v>
      </c>
      <c r="G780" s="18">
        <f t="shared" si="14"/>
        <v>21.018800000000002</v>
      </c>
      <c r="H780" s="18">
        <f t="shared" si="15"/>
        <v>19.409836065573771</v>
      </c>
      <c r="I780" s="32">
        <v>15.347449943860139</v>
      </c>
      <c r="K780" s="32">
        <v>125.251830789778</v>
      </c>
      <c r="L780" s="32">
        <f t="shared" si="12"/>
        <v>16.438356164383563</v>
      </c>
      <c r="M780" s="5">
        <f t="shared" si="16"/>
        <v>35.835768466985144</v>
      </c>
      <c r="N780" s="5">
        <f t="shared" si="17"/>
        <v>14.098901098901099</v>
      </c>
      <c r="O780" s="32">
        <v>12.404159592563641</v>
      </c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</row>
    <row r="781" spans="1:88">
      <c r="A781" s="5">
        <v>138</v>
      </c>
      <c r="B781" s="11">
        <v>777</v>
      </c>
      <c r="C781" s="12">
        <v>46434</v>
      </c>
      <c r="D781" s="31">
        <f t="shared" si="13"/>
        <v>49</v>
      </c>
      <c r="E781" s="14"/>
      <c r="F781" s="5">
        <v>0</v>
      </c>
      <c r="G781" s="18">
        <f t="shared" si="14"/>
        <v>21.171500000000002</v>
      </c>
      <c r="H781" s="18">
        <f t="shared" si="15"/>
        <v>19.409836065573771</v>
      </c>
      <c r="I781" s="32">
        <v>30.872051429479171</v>
      </c>
      <c r="K781" s="32">
        <v>125.251830789778</v>
      </c>
      <c r="L781" s="32">
        <f t="shared" si="12"/>
        <v>16.438356164383563</v>
      </c>
      <c r="M781" s="5">
        <f t="shared" si="16"/>
        <v>37.212162211927762</v>
      </c>
      <c r="N781" s="5">
        <f t="shared" si="17"/>
        <v>14.098901098901099</v>
      </c>
      <c r="O781" s="32">
        <v>12.85618682049048</v>
      </c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</row>
    <row r="782" spans="1:88">
      <c r="A782" s="5">
        <v>139</v>
      </c>
      <c r="B782" s="11">
        <v>778</v>
      </c>
      <c r="C782" s="12">
        <v>46435</v>
      </c>
      <c r="D782" s="31">
        <f t="shared" si="13"/>
        <v>25</v>
      </c>
      <c r="E782" s="14"/>
      <c r="F782" s="5">
        <v>0</v>
      </c>
      <c r="G782" s="18">
        <f t="shared" si="14"/>
        <v>21.324200000000001</v>
      </c>
      <c r="H782" s="18">
        <f t="shared" si="15"/>
        <v>19.409836065573771</v>
      </c>
      <c r="I782" s="32">
        <v>40.473582945708657</v>
      </c>
      <c r="K782" s="32">
        <v>21.372030235181079</v>
      </c>
      <c r="L782" s="32">
        <f t="shared" si="12"/>
        <v>16.438356164383563</v>
      </c>
      <c r="M782" s="5">
        <f t="shared" si="16"/>
        <v>38.588555956870373</v>
      </c>
      <c r="N782" s="5">
        <f t="shared" si="17"/>
        <v>14.098901098901099</v>
      </c>
      <c r="O782" s="32">
        <v>20.630229616590441</v>
      </c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</row>
    <row r="783" spans="1:88">
      <c r="A783" s="5">
        <v>140</v>
      </c>
      <c r="B783" s="11">
        <v>779</v>
      </c>
      <c r="C783" s="12">
        <v>46436</v>
      </c>
      <c r="D783" s="31">
        <f t="shared" si="13"/>
        <v>17</v>
      </c>
      <c r="E783" s="14"/>
      <c r="F783" s="5">
        <v>0</v>
      </c>
      <c r="G783" s="18">
        <f t="shared" si="14"/>
        <v>21.476900000000001</v>
      </c>
      <c r="H783" s="18">
        <f t="shared" si="15"/>
        <v>19.409836065573771</v>
      </c>
      <c r="I783" s="32">
        <v>35.0113710864455</v>
      </c>
      <c r="K783" s="32">
        <v>1.856531650863475</v>
      </c>
      <c r="L783" s="32">
        <f t="shared" si="12"/>
        <v>16.438356164383563</v>
      </c>
      <c r="M783" s="5">
        <f t="shared" si="16"/>
        <v>38.82341343198226</v>
      </c>
      <c r="N783" s="5">
        <f t="shared" si="17"/>
        <v>14.098901098901099</v>
      </c>
      <c r="O783" s="32">
        <v>30.147067205646579</v>
      </c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</row>
    <row r="784" spans="1:88">
      <c r="A784" s="5">
        <v>141</v>
      </c>
      <c r="B784" s="11">
        <v>780</v>
      </c>
      <c r="C784" s="12">
        <v>46437</v>
      </c>
      <c r="D784" s="31">
        <f t="shared" si="13"/>
        <v>22</v>
      </c>
      <c r="E784" s="14"/>
      <c r="F784" s="5">
        <v>0</v>
      </c>
      <c r="G784" s="18">
        <f t="shared" si="14"/>
        <v>21.6296</v>
      </c>
      <c r="H784" s="18">
        <f t="shared" si="15"/>
        <v>19.409836065573771</v>
      </c>
      <c r="I784" s="32">
        <v>39.994956772727051</v>
      </c>
      <c r="K784" s="32">
        <v>125.251830789778</v>
      </c>
      <c r="L784" s="32">
        <f t="shared" si="12"/>
        <v>16.438356164383563</v>
      </c>
      <c r="M784" s="5">
        <f t="shared" si="16"/>
        <v>38.843814878695042</v>
      </c>
      <c r="N784" s="5">
        <f t="shared" si="17"/>
        <v>14.098901098901099</v>
      </c>
      <c r="O784" s="32">
        <v>25.235046591997911</v>
      </c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</row>
    <row r="785" spans="1:88">
      <c r="A785" s="5">
        <v>142</v>
      </c>
      <c r="B785" s="11">
        <v>781</v>
      </c>
      <c r="C785" s="12">
        <v>46438</v>
      </c>
      <c r="D785" s="31">
        <f t="shared" si="13"/>
        <v>16</v>
      </c>
      <c r="E785" s="14"/>
      <c r="F785" s="5">
        <v>0</v>
      </c>
      <c r="G785" s="18">
        <f t="shared" si="14"/>
        <v>21.782299999999999</v>
      </c>
      <c r="H785" s="18">
        <f t="shared" si="15"/>
        <v>19.409836065573771</v>
      </c>
      <c r="I785" s="32">
        <v>24.039512020902951</v>
      </c>
      <c r="K785" s="32">
        <v>125.251830789778</v>
      </c>
      <c r="L785" s="32">
        <f t="shared" si="12"/>
        <v>16.438356164383563</v>
      </c>
      <c r="M785" s="5">
        <f t="shared" si="16"/>
        <v>40.22020862363766</v>
      </c>
      <c r="N785" s="5">
        <f t="shared" si="17"/>
        <v>14.098901098901099</v>
      </c>
      <c r="O785" s="32">
        <v>17.374033177708629</v>
      </c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</row>
    <row r="786" spans="1:88">
      <c r="A786" s="5">
        <v>143</v>
      </c>
      <c r="B786" s="11">
        <v>782</v>
      </c>
      <c r="C786" s="12">
        <v>46439</v>
      </c>
      <c r="D786" s="31">
        <f t="shared" si="13"/>
        <v>19</v>
      </c>
      <c r="E786" s="14"/>
      <c r="F786" s="5">
        <v>0</v>
      </c>
      <c r="G786" s="18">
        <f t="shared" si="14"/>
        <v>21.935000000000002</v>
      </c>
      <c r="H786" s="18">
        <f t="shared" si="15"/>
        <v>19.409836065573771</v>
      </c>
      <c r="I786" s="32">
        <v>28.24856561817445</v>
      </c>
      <c r="K786" s="32">
        <v>21.372030235181079</v>
      </c>
      <c r="L786" s="32">
        <f t="shared" si="12"/>
        <v>16.438356164383563</v>
      </c>
      <c r="M786" s="5">
        <f t="shared" si="16"/>
        <v>41.596602368580271</v>
      </c>
      <c r="N786" s="5">
        <f t="shared" si="17"/>
        <v>14.098901098901099</v>
      </c>
      <c r="O786" s="32">
        <v>8.7178730039571199</v>
      </c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</row>
    <row r="787" spans="1:88">
      <c r="A787" s="5">
        <v>144</v>
      </c>
      <c r="B787" s="11">
        <v>783</v>
      </c>
      <c r="C787" s="12">
        <v>46440</v>
      </c>
      <c r="D787" s="31">
        <f t="shared" si="13"/>
        <v>19</v>
      </c>
      <c r="E787" s="14"/>
      <c r="F787" s="5">
        <v>0</v>
      </c>
      <c r="G787" s="18">
        <f t="shared" si="14"/>
        <v>22.087700000000002</v>
      </c>
      <c r="H787" s="18">
        <f t="shared" si="15"/>
        <v>19.409836065573771</v>
      </c>
      <c r="I787" s="32">
        <v>13.312999758137041</v>
      </c>
      <c r="K787" s="32">
        <v>1.856531650863475</v>
      </c>
      <c r="L787" s="32">
        <f t="shared" si="12"/>
        <v>16.438356164383563</v>
      </c>
      <c r="M787" s="5">
        <f t="shared" si="16"/>
        <v>41.831459843692159</v>
      </c>
      <c r="N787" s="5">
        <f t="shared" si="17"/>
        <v>14.098901098901099</v>
      </c>
      <c r="O787" s="32">
        <v>8.8419223419237696</v>
      </c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</row>
    <row r="788" spans="1:88">
      <c r="A788" s="5">
        <v>145</v>
      </c>
      <c r="B788" s="11">
        <v>784</v>
      </c>
      <c r="C788" s="12">
        <v>46441</v>
      </c>
      <c r="D788" s="31">
        <f t="shared" si="13"/>
        <v>14</v>
      </c>
      <c r="E788" s="14"/>
      <c r="F788" s="5">
        <v>0</v>
      </c>
      <c r="G788" s="18">
        <f t="shared" si="14"/>
        <v>22.240400000000001</v>
      </c>
      <c r="H788" s="18">
        <f t="shared" si="15"/>
        <v>19.409836065573771</v>
      </c>
      <c r="I788" s="32">
        <v>22.433411577893089</v>
      </c>
      <c r="K788" s="32">
        <v>125.251830789778</v>
      </c>
      <c r="L788" s="32">
        <f t="shared" si="12"/>
        <v>16.438356164383563</v>
      </c>
      <c r="M788" s="5">
        <f t="shared" si="16"/>
        <v>41.851861290404941</v>
      </c>
      <c r="N788" s="5">
        <f t="shared" si="17"/>
        <v>14.098901098901099</v>
      </c>
      <c r="O788" s="32">
        <v>23.37408106944342</v>
      </c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</row>
    <row r="789" spans="1:88">
      <c r="A789" s="5">
        <v>146</v>
      </c>
      <c r="B789" s="11">
        <v>785</v>
      </c>
      <c r="C789" s="12">
        <v>46442</v>
      </c>
      <c r="D789" s="31">
        <f t="shared" si="13"/>
        <v>18</v>
      </c>
      <c r="E789" s="14"/>
      <c r="F789" s="5">
        <v>0</v>
      </c>
      <c r="G789" s="18">
        <f t="shared" si="14"/>
        <v>22.3931</v>
      </c>
      <c r="H789" s="18">
        <f t="shared" si="15"/>
        <v>19.409836065573771</v>
      </c>
      <c r="I789" s="32">
        <v>29.720730708824309</v>
      </c>
      <c r="K789" s="32">
        <v>125.251830789778</v>
      </c>
      <c r="L789" s="32">
        <f t="shared" si="12"/>
        <v>16.438356164383563</v>
      </c>
      <c r="M789" s="5">
        <f t="shared" si="16"/>
        <v>43.228255035347559</v>
      </c>
      <c r="N789" s="5">
        <f t="shared" si="17"/>
        <v>14.098901098901099</v>
      </c>
      <c r="O789" s="32">
        <v>19.48680285329641</v>
      </c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</row>
    <row r="790" spans="1:88">
      <c r="A790" s="5">
        <v>147</v>
      </c>
      <c r="B790" s="11">
        <v>786</v>
      </c>
      <c r="C790" s="12">
        <v>46443</v>
      </c>
      <c r="D790" s="31">
        <f t="shared" si="13"/>
        <v>13</v>
      </c>
      <c r="E790" s="14"/>
      <c r="F790" s="5">
        <v>0</v>
      </c>
      <c r="G790" s="18">
        <f t="shared" si="14"/>
        <v>22.5458</v>
      </c>
      <c r="H790" s="18">
        <f t="shared" si="15"/>
        <v>19.409836065573771</v>
      </c>
      <c r="I790" s="32">
        <v>18.11100490430443</v>
      </c>
      <c r="K790" s="32">
        <v>21.372030235181079</v>
      </c>
      <c r="L790" s="32">
        <f t="shared" si="12"/>
        <v>16.438356164383563</v>
      </c>
      <c r="M790" s="5">
        <f t="shared" si="16"/>
        <v>44.604648780290169</v>
      </c>
      <c r="N790" s="5">
        <f t="shared" si="17"/>
        <v>14.098901098901099</v>
      </c>
      <c r="O790" s="32">
        <v>30.248858352977329</v>
      </c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</row>
    <row r="791" spans="1:88">
      <c r="A791" s="5">
        <v>148</v>
      </c>
      <c r="B791" s="11">
        <v>787</v>
      </c>
      <c r="C791" s="12">
        <v>46444</v>
      </c>
      <c r="D791" s="31">
        <f t="shared" si="13"/>
        <v>16</v>
      </c>
      <c r="E791" s="14"/>
      <c r="F791" s="5">
        <v>0</v>
      </c>
      <c r="G791" s="18">
        <f t="shared" si="14"/>
        <v>22.698499999999999</v>
      </c>
      <c r="H791" s="18">
        <f t="shared" si="15"/>
        <v>19.409836065573771</v>
      </c>
      <c r="I791" s="32">
        <v>34.182903214954877</v>
      </c>
      <c r="K791" s="32">
        <v>1.856531650863475</v>
      </c>
      <c r="L791" s="32">
        <f t="shared" si="12"/>
        <v>16.438356164383563</v>
      </c>
      <c r="M791" s="5">
        <f t="shared" si="16"/>
        <v>44.839506255402057</v>
      </c>
      <c r="N791" s="5">
        <f t="shared" si="17"/>
        <v>14.098901098901099</v>
      </c>
      <c r="O791" s="32">
        <v>16.944315318030242</v>
      </c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</row>
    <row r="792" spans="1:88">
      <c r="A792" s="5">
        <v>149</v>
      </c>
      <c r="B792" s="11">
        <v>788</v>
      </c>
      <c r="C792" s="12">
        <v>46445</v>
      </c>
      <c r="D792" s="31">
        <f t="shared" si="13"/>
        <v>17</v>
      </c>
      <c r="E792" s="14"/>
      <c r="F792" s="5">
        <v>0</v>
      </c>
      <c r="G792" s="18">
        <f t="shared" si="14"/>
        <v>22.851200000000002</v>
      </c>
      <c r="H792" s="18">
        <f t="shared" si="15"/>
        <v>19.409836065573771</v>
      </c>
      <c r="I792" s="32">
        <v>30.915639951934139</v>
      </c>
      <c r="K792" s="32">
        <v>125.251830789778</v>
      </c>
      <c r="L792" s="32">
        <f t="shared" si="12"/>
        <v>16.438356164383563</v>
      </c>
      <c r="M792" s="5">
        <f t="shared" si="16"/>
        <v>44.859907702114839</v>
      </c>
      <c r="N792" s="5">
        <f t="shared" si="17"/>
        <v>14.098901098901099</v>
      </c>
      <c r="O792" s="32">
        <v>18.416952623652769</v>
      </c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</row>
    <row r="793" spans="1:88">
      <c r="A793" s="5">
        <v>150</v>
      </c>
      <c r="B793" s="11">
        <v>789</v>
      </c>
      <c r="C793" s="12">
        <v>46446</v>
      </c>
      <c r="D793" s="31">
        <f t="shared" si="13"/>
        <v>23</v>
      </c>
      <c r="E793" s="14"/>
      <c r="F793" s="5">
        <v>0</v>
      </c>
      <c r="G793" s="18">
        <f t="shared" si="14"/>
        <v>23.003900000000002</v>
      </c>
      <c r="H793" s="18">
        <f t="shared" si="15"/>
        <v>19.409836065573771</v>
      </c>
      <c r="I793" s="32">
        <v>30.89580031636719</v>
      </c>
      <c r="K793" s="32">
        <v>125.251830789778</v>
      </c>
      <c r="L793" s="32">
        <f t="shared" si="12"/>
        <v>16.438356164383563</v>
      </c>
      <c r="M793" s="5">
        <f t="shared" si="16"/>
        <v>46.236301447057457</v>
      </c>
      <c r="N793" s="5">
        <f t="shared" si="17"/>
        <v>14.098901098901099</v>
      </c>
      <c r="O793" s="32">
        <v>13.50931036187257</v>
      </c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</row>
    <row r="794" spans="1:88">
      <c r="A794" s="5">
        <v>151</v>
      </c>
      <c r="B794" s="11">
        <v>790</v>
      </c>
      <c r="C794" s="12">
        <v>46447</v>
      </c>
      <c r="D794" s="31">
        <f t="shared" si="13"/>
        <v>19</v>
      </c>
      <c r="E794" s="14"/>
      <c r="F794" s="5">
        <v>0</v>
      </c>
      <c r="G794" s="18">
        <f t="shared" si="14"/>
        <v>23.156600000000001</v>
      </c>
      <c r="H794" s="18">
        <f t="shared" si="15"/>
        <v>19.409836065573771</v>
      </c>
      <c r="I794" s="32">
        <v>37.031366294448262</v>
      </c>
      <c r="K794" s="32">
        <v>21.372030235181079</v>
      </c>
      <c r="L794" s="32">
        <f t="shared" si="12"/>
        <v>16.438356164383563</v>
      </c>
      <c r="M794" s="5">
        <f t="shared" si="16"/>
        <v>47.612695192000075</v>
      </c>
      <c r="N794" s="5">
        <f t="shared" si="17"/>
        <v>14.098901098901099</v>
      </c>
      <c r="O794" s="32">
        <v>23.382304844517769</v>
      </c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</row>
    <row r="795" spans="1:88">
      <c r="A795" s="5">
        <v>152</v>
      </c>
      <c r="B795" s="11">
        <v>791</v>
      </c>
      <c r="C795" s="12">
        <v>46448</v>
      </c>
      <c r="D795" s="31">
        <f t="shared" si="13"/>
        <v>22</v>
      </c>
      <c r="E795" s="14"/>
      <c r="F795" s="5">
        <v>0</v>
      </c>
      <c r="G795" s="18">
        <f t="shared" si="14"/>
        <v>23.3093</v>
      </c>
      <c r="H795" s="18">
        <f t="shared" si="15"/>
        <v>19.409836065573771</v>
      </c>
      <c r="I795" s="32">
        <v>26.196749741891299</v>
      </c>
      <c r="K795" s="32">
        <v>1.856531650863475</v>
      </c>
      <c r="L795" s="32">
        <f t="shared" si="12"/>
        <v>16.438356164383563</v>
      </c>
      <c r="M795" s="5">
        <f t="shared" si="16"/>
        <v>47.847552667111955</v>
      </c>
      <c r="N795" s="5">
        <f t="shared" si="17"/>
        <v>14.098901098901099</v>
      </c>
      <c r="O795" s="32">
        <v>32.266864883233772</v>
      </c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</row>
    <row r="796" spans="1:88">
      <c r="A796" s="5">
        <v>153</v>
      </c>
      <c r="B796" s="11">
        <v>792</v>
      </c>
      <c r="C796" s="12">
        <v>46449</v>
      </c>
      <c r="D796" s="31">
        <f t="shared" si="13"/>
        <v>21</v>
      </c>
      <c r="E796" s="14"/>
      <c r="F796" s="5">
        <v>0</v>
      </c>
      <c r="G796" s="18">
        <f t="shared" si="14"/>
        <v>23.462</v>
      </c>
      <c r="H796" s="18">
        <f t="shared" si="15"/>
        <v>19.409836065573771</v>
      </c>
      <c r="I796" s="32">
        <v>45.218493742693333</v>
      </c>
      <c r="K796" s="32">
        <v>125.251830789778</v>
      </c>
      <c r="L796" s="32">
        <f t="shared" si="12"/>
        <v>16.438356164383563</v>
      </c>
      <c r="M796" s="5">
        <f t="shared" si="16"/>
        <v>45.120701366571986</v>
      </c>
      <c r="N796" s="5">
        <f t="shared" si="17"/>
        <v>14.098901098901099</v>
      </c>
      <c r="O796" s="32">
        <v>17.748249049773079</v>
      </c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</row>
    <row r="797" spans="1:88">
      <c r="A797" s="5">
        <v>154</v>
      </c>
      <c r="B797" s="11">
        <v>793</v>
      </c>
      <c r="C797" s="12">
        <v>46450</v>
      </c>
      <c r="D797" s="31">
        <f t="shared" si="13"/>
        <v>41</v>
      </c>
      <c r="E797" s="14"/>
      <c r="F797" s="5">
        <v>0</v>
      </c>
      <c r="G797" s="18">
        <f t="shared" si="14"/>
        <v>23.614699999999999</v>
      </c>
      <c r="H797" s="18">
        <f t="shared" si="15"/>
        <v>19.409836065573771</v>
      </c>
      <c r="I797" s="32">
        <v>19.975656508883059</v>
      </c>
      <c r="K797" s="32">
        <v>125.251830789778</v>
      </c>
      <c r="L797" s="32">
        <f t="shared" si="12"/>
        <v>16.438356164383563</v>
      </c>
      <c r="M797" s="5">
        <f t="shared" si="16"/>
        <v>46.497095111514604</v>
      </c>
      <c r="N797" s="5">
        <f t="shared" si="17"/>
        <v>14.098901098901099</v>
      </c>
      <c r="O797" s="32">
        <v>15.849320724282959</v>
      </c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</row>
    <row r="798" spans="1:88">
      <c r="A798" s="5">
        <v>155</v>
      </c>
      <c r="B798" s="11">
        <v>794</v>
      </c>
      <c r="C798" s="12">
        <v>46451</v>
      </c>
      <c r="D798" s="31">
        <f t="shared" si="13"/>
        <v>14</v>
      </c>
      <c r="E798" s="14"/>
      <c r="F798" s="5">
        <v>0</v>
      </c>
      <c r="G798" s="18">
        <f t="shared" si="14"/>
        <v>23.767400000000002</v>
      </c>
      <c r="H798" s="18">
        <f t="shared" si="15"/>
        <v>19.409836065573771</v>
      </c>
      <c r="I798" s="32">
        <v>27.48991447986938</v>
      </c>
      <c r="K798" s="32">
        <v>21.372030235181079</v>
      </c>
      <c r="L798" s="32">
        <f t="shared" si="12"/>
        <v>16.438356164383563</v>
      </c>
      <c r="M798" s="5">
        <f t="shared" si="16"/>
        <v>47.873488856457215</v>
      </c>
      <c r="N798" s="5">
        <f t="shared" si="17"/>
        <v>14.098901098901099</v>
      </c>
      <c r="O798" s="32">
        <v>20.99210409936515</v>
      </c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</row>
    <row r="799" spans="1:88">
      <c r="A799" s="5">
        <v>156</v>
      </c>
      <c r="B799" s="11">
        <v>795</v>
      </c>
      <c r="C799" s="12">
        <v>46452</v>
      </c>
      <c r="D799" s="31">
        <f t="shared" si="13"/>
        <v>4</v>
      </c>
      <c r="E799" s="14"/>
      <c r="F799" s="5">
        <v>0</v>
      </c>
      <c r="G799" s="18">
        <f t="shared" si="14"/>
        <v>23.920100000000001</v>
      </c>
      <c r="H799" s="18">
        <f t="shared" si="15"/>
        <v>19.409836065573771</v>
      </c>
      <c r="I799" s="32">
        <v>30.987089721105459</v>
      </c>
      <c r="K799" s="32">
        <v>1.856531650863475</v>
      </c>
      <c r="L799" s="32">
        <f t="shared" ref="L799:L862" si="18">12000/730</f>
        <v>16.438356164383563</v>
      </c>
      <c r="M799" s="5">
        <f t="shared" si="16"/>
        <v>48.108346331569102</v>
      </c>
      <c r="N799" s="5">
        <f t="shared" si="17"/>
        <v>14.098901098901099</v>
      </c>
      <c r="O799" s="32">
        <v>10.335764747157819</v>
      </c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</row>
    <row r="800" spans="1:88">
      <c r="A800" s="5">
        <v>157</v>
      </c>
      <c r="B800" s="11">
        <v>796</v>
      </c>
      <c r="C800" s="12">
        <v>46453</v>
      </c>
      <c r="D800" s="31">
        <f t="shared" ref="D800:D863" si="19">ROUNDUP(_xlfn.FORECAST.ETS(B800,$D$5:$D$734,$B$5:$B$734,365,0,1),0)</f>
        <v>16</v>
      </c>
      <c r="E800" s="14"/>
      <c r="F800" s="5">
        <v>0</v>
      </c>
      <c r="G800" s="18">
        <f t="shared" ref="G800:G863" si="20">0.1527*A800+0.0989</f>
        <v>24.072800000000001</v>
      </c>
      <c r="H800" s="18">
        <f t="shared" ref="H800:H863" si="21">AVERAGE($I$674:$I$734)</f>
        <v>19.409836065573771</v>
      </c>
      <c r="I800" s="32">
        <v>11.5905206049763</v>
      </c>
      <c r="K800" s="32">
        <v>125.251830789778</v>
      </c>
      <c r="L800" s="32">
        <f t="shared" si="18"/>
        <v>16.438356164383563</v>
      </c>
      <c r="M800" s="5">
        <f t="shared" ref="M800:M863" si="22">AVERAGE(K709:K799)</f>
        <v>48.128747778281891</v>
      </c>
      <c r="N800" s="5">
        <f t="shared" si="17"/>
        <v>14.098901098901099</v>
      </c>
      <c r="O800" s="32">
        <v>24.78164458731592</v>
      </c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</row>
    <row r="801" spans="1:88">
      <c r="A801" s="5">
        <v>158</v>
      </c>
      <c r="B801" s="11">
        <v>797</v>
      </c>
      <c r="C801" s="12">
        <v>46454</v>
      </c>
      <c r="D801" s="31">
        <f t="shared" si="19"/>
        <v>34</v>
      </c>
      <c r="E801" s="14"/>
      <c r="F801" s="5">
        <v>0</v>
      </c>
      <c r="G801" s="18">
        <f t="shared" si="20"/>
        <v>24.2255</v>
      </c>
      <c r="H801" s="18">
        <f t="shared" si="21"/>
        <v>19.409836065573771</v>
      </c>
      <c r="I801" s="32">
        <v>36.790710380899263</v>
      </c>
      <c r="K801" s="32">
        <v>125.251830789778</v>
      </c>
      <c r="L801" s="32">
        <f t="shared" si="18"/>
        <v>16.438356164383563</v>
      </c>
      <c r="M801" s="5">
        <f t="shared" si="22"/>
        <v>49.505141523224502</v>
      </c>
      <c r="N801" s="5">
        <f t="shared" si="17"/>
        <v>14.098901098901099</v>
      </c>
      <c r="O801" s="32">
        <v>16.689799313687729</v>
      </c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</row>
    <row r="802" spans="1:88">
      <c r="A802" s="5">
        <v>159</v>
      </c>
      <c r="B802" s="11">
        <v>798</v>
      </c>
      <c r="C802" s="12">
        <v>46455</v>
      </c>
      <c r="D802" s="31">
        <f t="shared" si="19"/>
        <v>15</v>
      </c>
      <c r="E802" s="14"/>
      <c r="F802" s="5">
        <v>0</v>
      </c>
      <c r="G802" s="18">
        <f t="shared" si="20"/>
        <v>24.3782</v>
      </c>
      <c r="H802" s="18">
        <f t="shared" si="21"/>
        <v>19.409836065573771</v>
      </c>
      <c r="I802" s="32">
        <v>33.739110782655779</v>
      </c>
      <c r="K802" s="32">
        <v>21.372030235181079</v>
      </c>
      <c r="L802" s="32">
        <f t="shared" si="18"/>
        <v>16.438356164383563</v>
      </c>
      <c r="M802" s="5">
        <f t="shared" si="22"/>
        <v>50.88153526816712</v>
      </c>
      <c r="N802" s="5">
        <f t="shared" si="17"/>
        <v>14.098901098901099</v>
      </c>
      <c r="O802" s="32">
        <v>25.95988409681101</v>
      </c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</row>
    <row r="803" spans="1:88">
      <c r="A803" s="5">
        <v>160</v>
      </c>
      <c r="B803" s="11">
        <v>799</v>
      </c>
      <c r="C803" s="12">
        <v>46456</v>
      </c>
      <c r="D803" s="31">
        <f t="shared" si="19"/>
        <v>35</v>
      </c>
      <c r="E803" s="14"/>
      <c r="F803" s="5">
        <v>0</v>
      </c>
      <c r="G803" s="18">
        <f t="shared" si="20"/>
        <v>24.530900000000003</v>
      </c>
      <c r="H803" s="18">
        <f t="shared" si="21"/>
        <v>19.409836065573771</v>
      </c>
      <c r="I803" s="32">
        <v>37.564998700703747</v>
      </c>
      <c r="K803" s="32">
        <v>1.856531650863475</v>
      </c>
      <c r="L803" s="32">
        <f t="shared" si="18"/>
        <v>16.438356164383563</v>
      </c>
      <c r="M803" s="5">
        <f t="shared" si="22"/>
        <v>51.116392743279</v>
      </c>
      <c r="N803" s="5">
        <f t="shared" si="17"/>
        <v>14.098901098901099</v>
      </c>
      <c r="O803" s="32">
        <v>12.663153775455321</v>
      </c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</row>
    <row r="804" spans="1:88">
      <c r="A804" s="5">
        <v>161</v>
      </c>
      <c r="B804" s="11">
        <v>800</v>
      </c>
      <c r="C804" s="12">
        <v>46457</v>
      </c>
      <c r="D804" s="31">
        <f t="shared" si="19"/>
        <v>23</v>
      </c>
      <c r="E804" s="14"/>
      <c r="F804" s="5">
        <v>0</v>
      </c>
      <c r="G804" s="18">
        <f t="shared" si="20"/>
        <v>24.683600000000002</v>
      </c>
      <c r="H804" s="18">
        <f t="shared" si="21"/>
        <v>19.409836065573771</v>
      </c>
      <c r="I804" s="32">
        <v>19.026768112133901</v>
      </c>
      <c r="K804" s="32">
        <v>125.251830789778</v>
      </c>
      <c r="L804" s="32">
        <f t="shared" si="18"/>
        <v>16.438356164383563</v>
      </c>
      <c r="M804" s="5">
        <f t="shared" si="22"/>
        <v>51.136794189991797</v>
      </c>
      <c r="N804" s="5">
        <f t="shared" si="17"/>
        <v>14.098901098901099</v>
      </c>
      <c r="O804" s="32">
        <v>19.297685326353651</v>
      </c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</row>
    <row r="805" spans="1:88">
      <c r="A805" s="5">
        <v>162</v>
      </c>
      <c r="B805" s="11">
        <v>801</v>
      </c>
      <c r="C805" s="12">
        <v>46458</v>
      </c>
      <c r="D805" s="31">
        <f t="shared" si="19"/>
        <v>41</v>
      </c>
      <c r="E805" s="14"/>
      <c r="F805" s="5">
        <v>0</v>
      </c>
      <c r="G805" s="18">
        <f t="shared" si="20"/>
        <v>24.836300000000001</v>
      </c>
      <c r="H805" s="18">
        <f t="shared" si="21"/>
        <v>19.409836065573771</v>
      </c>
      <c r="I805" s="32">
        <v>27.409363538945531</v>
      </c>
      <c r="K805" s="32">
        <v>125.251830789778</v>
      </c>
      <c r="L805" s="32">
        <f t="shared" si="18"/>
        <v>16.438356164383563</v>
      </c>
      <c r="M805" s="5">
        <f t="shared" si="22"/>
        <v>52.513187934934408</v>
      </c>
      <c r="N805" s="5">
        <f t="shared" si="17"/>
        <v>14.098901098901099</v>
      </c>
      <c r="O805" s="32">
        <v>16.598596252215</v>
      </c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</row>
    <row r="806" spans="1:88">
      <c r="A806" s="5">
        <v>163</v>
      </c>
      <c r="B806" s="11">
        <v>802</v>
      </c>
      <c r="C806" s="12">
        <v>46459</v>
      </c>
      <c r="D806" s="31">
        <f t="shared" si="19"/>
        <v>26</v>
      </c>
      <c r="E806" s="14"/>
      <c r="F806" s="5">
        <v>0</v>
      </c>
      <c r="G806" s="18">
        <f t="shared" si="20"/>
        <v>24.989000000000001</v>
      </c>
      <c r="H806" s="18">
        <f t="shared" si="21"/>
        <v>19.409836065573771</v>
      </c>
      <c r="I806" s="32">
        <v>18.503052699969199</v>
      </c>
      <c r="K806" s="32">
        <v>21.372030235181079</v>
      </c>
      <c r="L806" s="32">
        <f t="shared" si="18"/>
        <v>16.438356164383563</v>
      </c>
      <c r="M806" s="5">
        <f t="shared" si="22"/>
        <v>53.889581679877026</v>
      </c>
      <c r="N806" s="5">
        <f t="shared" si="17"/>
        <v>14.098901098901099</v>
      </c>
      <c r="O806" s="32">
        <v>22.6814823153865</v>
      </c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</row>
    <row r="807" spans="1:88">
      <c r="A807" s="5">
        <v>164</v>
      </c>
      <c r="B807" s="11">
        <v>803</v>
      </c>
      <c r="C807" s="12">
        <v>46460</v>
      </c>
      <c r="D807" s="31">
        <f t="shared" si="19"/>
        <v>29</v>
      </c>
      <c r="E807" s="14"/>
      <c r="F807" s="5">
        <v>0</v>
      </c>
      <c r="G807" s="18">
        <f t="shared" si="20"/>
        <v>25.1417</v>
      </c>
      <c r="H807" s="18">
        <f t="shared" si="21"/>
        <v>19.409836065573771</v>
      </c>
      <c r="I807" s="32">
        <v>9.8539358073335492</v>
      </c>
      <c r="K807" s="32">
        <v>1.856531650863475</v>
      </c>
      <c r="L807" s="32">
        <f t="shared" si="18"/>
        <v>16.438356164383563</v>
      </c>
      <c r="M807" s="5">
        <f t="shared" si="22"/>
        <v>54.124439154988906</v>
      </c>
      <c r="N807" s="5">
        <f t="shared" si="17"/>
        <v>14.098901098901099</v>
      </c>
      <c r="O807" s="32">
        <v>26.776480919979939</v>
      </c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</row>
    <row r="808" spans="1:88">
      <c r="A808" s="5">
        <v>165</v>
      </c>
      <c r="B808" s="11">
        <v>804</v>
      </c>
      <c r="C808" s="12">
        <v>46461</v>
      </c>
      <c r="D808" s="31">
        <f t="shared" si="19"/>
        <v>43</v>
      </c>
      <c r="E808" s="14"/>
      <c r="F808" s="5">
        <v>0</v>
      </c>
      <c r="G808" s="18">
        <f t="shared" si="20"/>
        <v>25.2944</v>
      </c>
      <c r="H808" s="18">
        <f t="shared" si="21"/>
        <v>19.409836065573771</v>
      </c>
      <c r="I808" s="32">
        <v>24.51497688710726</v>
      </c>
      <c r="K808" s="32">
        <v>125.251830789778</v>
      </c>
      <c r="L808" s="32">
        <f t="shared" si="18"/>
        <v>16.438356164383563</v>
      </c>
      <c r="M808" s="5">
        <f t="shared" si="22"/>
        <v>54.144840601701695</v>
      </c>
      <c r="N808" s="5">
        <f t="shared" si="17"/>
        <v>14.098901098901099</v>
      </c>
      <c r="O808" s="32">
        <v>23.452324234814679</v>
      </c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</row>
    <row r="809" spans="1:88">
      <c r="A809" s="5">
        <v>166</v>
      </c>
      <c r="B809" s="11">
        <v>805</v>
      </c>
      <c r="C809" s="12">
        <v>46462</v>
      </c>
      <c r="D809" s="31">
        <f t="shared" si="19"/>
        <v>18</v>
      </c>
      <c r="E809" s="14"/>
      <c r="F809" s="5">
        <v>0</v>
      </c>
      <c r="G809" s="18">
        <f t="shared" si="20"/>
        <v>25.447100000000002</v>
      </c>
      <c r="H809" s="18">
        <f t="shared" si="21"/>
        <v>19.409836065573771</v>
      </c>
      <c r="I809" s="32">
        <v>22.147121095809041</v>
      </c>
      <c r="K809" s="32">
        <v>125.251830789778</v>
      </c>
      <c r="L809" s="32">
        <f t="shared" si="18"/>
        <v>16.438356164383563</v>
      </c>
      <c r="M809" s="5">
        <f t="shared" si="22"/>
        <v>55.521234346644313</v>
      </c>
      <c r="N809" s="5">
        <f t="shared" si="17"/>
        <v>14.098901098901099</v>
      </c>
      <c r="O809" s="32">
        <v>12.813043771193559</v>
      </c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</row>
    <row r="810" spans="1:88">
      <c r="A810" s="5">
        <v>167</v>
      </c>
      <c r="B810" s="11">
        <v>806</v>
      </c>
      <c r="C810" s="12">
        <v>46463</v>
      </c>
      <c r="D810" s="31">
        <f t="shared" si="19"/>
        <v>24</v>
      </c>
      <c r="E810" s="14"/>
      <c r="F810" s="5">
        <v>0</v>
      </c>
      <c r="G810" s="18">
        <f t="shared" si="20"/>
        <v>25.599800000000002</v>
      </c>
      <c r="H810" s="18">
        <f t="shared" si="21"/>
        <v>19.409836065573771</v>
      </c>
      <c r="I810" s="32">
        <v>32.997082161796023</v>
      </c>
      <c r="K810" s="32">
        <v>21.372030235181079</v>
      </c>
      <c r="L810" s="32">
        <f t="shared" si="18"/>
        <v>16.438356164383563</v>
      </c>
      <c r="M810" s="5">
        <f t="shared" si="22"/>
        <v>56.897628091586931</v>
      </c>
      <c r="N810" s="5">
        <f t="shared" si="17"/>
        <v>14.098901098901099</v>
      </c>
      <c r="O810" s="32">
        <v>14.43549752805156</v>
      </c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</row>
    <row r="811" spans="1:88">
      <c r="A811" s="5">
        <v>168</v>
      </c>
      <c r="B811" s="11">
        <v>807</v>
      </c>
      <c r="C811" s="12">
        <v>46464</v>
      </c>
      <c r="D811" s="31">
        <f t="shared" si="19"/>
        <v>42</v>
      </c>
      <c r="E811" s="14"/>
      <c r="F811" s="5">
        <v>0</v>
      </c>
      <c r="G811" s="18">
        <f t="shared" si="20"/>
        <v>25.752500000000001</v>
      </c>
      <c r="H811" s="18">
        <f t="shared" si="21"/>
        <v>19.409836065573771</v>
      </c>
      <c r="I811" s="32">
        <v>21.079926514897</v>
      </c>
      <c r="K811" s="32">
        <v>1.856531650863475</v>
      </c>
      <c r="L811" s="32">
        <f t="shared" si="18"/>
        <v>16.438356164383563</v>
      </c>
      <c r="M811" s="5">
        <f t="shared" si="22"/>
        <v>57.132485566698811</v>
      </c>
      <c r="N811" s="5">
        <f t="shared" si="17"/>
        <v>14.098901098901099</v>
      </c>
      <c r="O811" s="32">
        <v>18.30677442555394</v>
      </c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</row>
    <row r="812" spans="1:88">
      <c r="A812" s="5">
        <v>169</v>
      </c>
      <c r="B812" s="11">
        <v>808</v>
      </c>
      <c r="C812" s="12">
        <v>46465</v>
      </c>
      <c r="D812" s="31">
        <f t="shared" si="19"/>
        <v>40</v>
      </c>
      <c r="E812" s="14"/>
      <c r="F812" s="5">
        <v>0</v>
      </c>
      <c r="G812" s="18">
        <f t="shared" si="20"/>
        <v>25.905200000000001</v>
      </c>
      <c r="H812" s="18">
        <f t="shared" si="21"/>
        <v>19.409836065573771</v>
      </c>
      <c r="I812" s="32">
        <v>38.786456291547204</v>
      </c>
      <c r="K812" s="32">
        <v>125.251830789778</v>
      </c>
      <c r="L812" s="32">
        <f t="shared" si="18"/>
        <v>16.438356164383563</v>
      </c>
      <c r="M812" s="5">
        <f t="shared" si="22"/>
        <v>57.1528870134116</v>
      </c>
      <c r="N812" s="5">
        <f t="shared" si="17"/>
        <v>14.098901098901099</v>
      </c>
      <c r="O812" s="32">
        <v>28.65414008866054</v>
      </c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</row>
    <row r="813" spans="1:88">
      <c r="A813" s="5">
        <v>170</v>
      </c>
      <c r="B813" s="11">
        <v>809</v>
      </c>
      <c r="C813" s="12">
        <v>46466</v>
      </c>
      <c r="D813" s="31">
        <f t="shared" si="19"/>
        <v>13</v>
      </c>
      <c r="E813" s="14"/>
      <c r="F813" s="5">
        <v>0</v>
      </c>
      <c r="G813" s="18">
        <f t="shared" si="20"/>
        <v>26.0579</v>
      </c>
      <c r="H813" s="18">
        <f t="shared" si="21"/>
        <v>19.409836065573771</v>
      </c>
      <c r="I813" s="32">
        <v>28.163423404486021</v>
      </c>
      <c r="K813" s="32">
        <v>125.251830789778</v>
      </c>
      <c r="L813" s="32">
        <f t="shared" si="18"/>
        <v>16.438356164383563</v>
      </c>
      <c r="M813" s="5">
        <f t="shared" si="22"/>
        <v>58.529280758354219</v>
      </c>
      <c r="N813" s="5">
        <f t="shared" si="17"/>
        <v>14.098901098901099</v>
      </c>
      <c r="O813" s="32">
        <v>34.283885734727868</v>
      </c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</row>
    <row r="814" spans="1:88">
      <c r="A814" s="5">
        <v>171</v>
      </c>
      <c r="B814" s="11">
        <v>810</v>
      </c>
      <c r="C814" s="12">
        <v>46467</v>
      </c>
      <c r="D814" s="31">
        <f t="shared" si="19"/>
        <v>14</v>
      </c>
      <c r="E814" s="14"/>
      <c r="F814" s="5">
        <v>0</v>
      </c>
      <c r="G814" s="18">
        <f t="shared" si="20"/>
        <v>26.210599999999999</v>
      </c>
      <c r="H814" s="18">
        <f t="shared" si="21"/>
        <v>19.409836065573771</v>
      </c>
      <c r="I814" s="32">
        <v>13.26876784673985</v>
      </c>
      <c r="K814" s="32">
        <v>21.372030235181079</v>
      </c>
      <c r="L814" s="32">
        <f t="shared" si="18"/>
        <v>16.438356164383563</v>
      </c>
      <c r="M814" s="5">
        <f t="shared" si="22"/>
        <v>59.905674503296829</v>
      </c>
      <c r="N814" s="5">
        <f t="shared" si="17"/>
        <v>14.098901098901099</v>
      </c>
      <c r="O814" s="32">
        <v>31.44362225802211</v>
      </c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</row>
    <row r="815" spans="1:88">
      <c r="A815" s="5">
        <v>172</v>
      </c>
      <c r="B815" s="11">
        <v>811</v>
      </c>
      <c r="C815" s="12">
        <v>46468</v>
      </c>
      <c r="D815" s="31">
        <f t="shared" si="19"/>
        <v>38</v>
      </c>
      <c r="E815" s="14"/>
      <c r="F815" s="5">
        <v>0</v>
      </c>
      <c r="G815" s="18">
        <f t="shared" si="20"/>
        <v>26.363300000000002</v>
      </c>
      <c r="H815" s="18">
        <f t="shared" si="21"/>
        <v>19.409836065573771</v>
      </c>
      <c r="I815" s="32">
        <v>30.660454674589761</v>
      </c>
      <c r="K815" s="32">
        <v>1.856531650863475</v>
      </c>
      <c r="L815" s="32">
        <f t="shared" si="18"/>
        <v>16.438356164383563</v>
      </c>
      <c r="M815" s="5">
        <f t="shared" si="22"/>
        <v>60.140531978408717</v>
      </c>
      <c r="N815" s="5">
        <f t="shared" si="17"/>
        <v>14.098901098901099</v>
      </c>
      <c r="O815" s="32">
        <v>14.014461603627151</v>
      </c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</row>
    <row r="816" spans="1:88">
      <c r="A816" s="5">
        <v>173</v>
      </c>
      <c r="B816" s="11">
        <v>812</v>
      </c>
      <c r="C816" s="12">
        <v>46469</v>
      </c>
      <c r="D816" s="31">
        <f t="shared" si="19"/>
        <v>34</v>
      </c>
      <c r="E816" s="14"/>
      <c r="F816" s="5">
        <v>0</v>
      </c>
      <c r="G816" s="18">
        <f t="shared" si="20"/>
        <v>26.516000000000002</v>
      </c>
      <c r="H816" s="18">
        <f t="shared" si="21"/>
        <v>19.409836065573771</v>
      </c>
      <c r="I816" s="32">
        <v>19.314312611437749</v>
      </c>
      <c r="K816" s="32">
        <v>125.251830789778</v>
      </c>
      <c r="L816" s="32">
        <f t="shared" si="18"/>
        <v>16.438356164383563</v>
      </c>
      <c r="M816" s="5">
        <f t="shared" si="22"/>
        <v>60.160933425121506</v>
      </c>
      <c r="N816" s="5">
        <f t="shared" si="17"/>
        <v>14.098901098901099</v>
      </c>
      <c r="O816" s="32">
        <v>3.8519789369216029</v>
      </c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</row>
    <row r="817" spans="1:88">
      <c r="A817" s="5">
        <v>174</v>
      </c>
      <c r="B817" s="11">
        <v>813</v>
      </c>
      <c r="C817" s="12">
        <v>46470</v>
      </c>
      <c r="D817" s="31">
        <f t="shared" si="19"/>
        <v>43</v>
      </c>
      <c r="E817" s="14"/>
      <c r="F817" s="5">
        <v>0</v>
      </c>
      <c r="G817" s="18">
        <f t="shared" si="20"/>
        <v>26.668700000000001</v>
      </c>
      <c r="H817" s="18">
        <f t="shared" si="21"/>
        <v>19.409836065573771</v>
      </c>
      <c r="I817" s="32">
        <v>30.322689021790222</v>
      </c>
      <c r="K817" s="32">
        <v>125.251830789778</v>
      </c>
      <c r="L817" s="32">
        <f t="shared" si="18"/>
        <v>16.438356164383563</v>
      </c>
      <c r="M817" s="5">
        <f t="shared" si="22"/>
        <v>61.537327170064117</v>
      </c>
      <c r="N817" s="5">
        <f t="shared" si="17"/>
        <v>14.098901098901099</v>
      </c>
      <c r="O817" s="32">
        <v>15.315673901367729</v>
      </c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</row>
    <row r="818" spans="1:88">
      <c r="A818" s="5">
        <v>175</v>
      </c>
      <c r="B818" s="11">
        <v>814</v>
      </c>
      <c r="C818" s="12">
        <v>46471</v>
      </c>
      <c r="D818" s="31">
        <f t="shared" si="19"/>
        <v>34</v>
      </c>
      <c r="E818" s="14"/>
      <c r="F818" s="5">
        <v>0</v>
      </c>
      <c r="G818" s="18">
        <f t="shared" si="20"/>
        <v>26.821400000000001</v>
      </c>
      <c r="H818" s="18">
        <f t="shared" si="21"/>
        <v>19.409836065573771</v>
      </c>
      <c r="I818" s="32">
        <v>17.778119159102062</v>
      </c>
      <c r="K818" s="32">
        <v>21.372030235181079</v>
      </c>
      <c r="L818" s="32">
        <f t="shared" si="18"/>
        <v>16.438356164383563</v>
      </c>
      <c r="M818" s="5">
        <f t="shared" si="22"/>
        <v>62.913720915006735</v>
      </c>
      <c r="N818" s="5">
        <f t="shared" si="17"/>
        <v>14.098901098901099</v>
      </c>
      <c r="O818" s="32">
        <v>21.059412787664019</v>
      </c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</row>
    <row r="819" spans="1:88">
      <c r="A819" s="5">
        <v>176</v>
      </c>
      <c r="B819" s="11">
        <v>815</v>
      </c>
      <c r="C819" s="12">
        <v>46472</v>
      </c>
      <c r="D819" s="31">
        <f t="shared" si="19"/>
        <v>41</v>
      </c>
      <c r="E819" s="14"/>
      <c r="F819" s="5">
        <v>0</v>
      </c>
      <c r="G819" s="18">
        <f t="shared" si="20"/>
        <v>26.9741</v>
      </c>
      <c r="H819" s="18">
        <f t="shared" si="21"/>
        <v>19.409836065573771</v>
      </c>
      <c r="I819" s="32">
        <v>27.8129846576334</v>
      </c>
      <c r="K819" s="32">
        <v>1.856531650863475</v>
      </c>
      <c r="L819" s="32">
        <f t="shared" si="18"/>
        <v>16.438356164383563</v>
      </c>
      <c r="M819" s="5">
        <f t="shared" si="22"/>
        <v>63.148578390118615</v>
      </c>
      <c r="N819" s="5">
        <f t="shared" si="17"/>
        <v>14.098901098901099</v>
      </c>
      <c r="O819" s="32">
        <v>18.192934312723601</v>
      </c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</row>
    <row r="820" spans="1:88">
      <c r="A820" s="5">
        <v>177</v>
      </c>
      <c r="B820" s="11">
        <v>816</v>
      </c>
      <c r="C820" s="12">
        <v>46473</v>
      </c>
      <c r="D820" s="31">
        <f t="shared" si="19"/>
        <v>32</v>
      </c>
      <c r="E820" s="14"/>
      <c r="F820" s="5">
        <v>0</v>
      </c>
      <c r="G820" s="18">
        <f t="shared" si="20"/>
        <v>27.126799999999999</v>
      </c>
      <c r="H820" s="18">
        <f t="shared" si="21"/>
        <v>19.409836065573771</v>
      </c>
      <c r="I820" s="32">
        <v>34.914759287469323</v>
      </c>
      <c r="K820" s="32">
        <v>125.251830789778</v>
      </c>
      <c r="L820" s="32">
        <f t="shared" si="18"/>
        <v>16.438356164383563</v>
      </c>
      <c r="M820" s="5">
        <f t="shared" si="22"/>
        <v>63.168979836831404</v>
      </c>
      <c r="N820" s="5">
        <f t="shared" si="17"/>
        <v>14.098901098901099</v>
      </c>
      <c r="O820" s="32">
        <v>15.078606158127281</v>
      </c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</row>
    <row r="821" spans="1:88">
      <c r="A821" s="5">
        <v>178</v>
      </c>
      <c r="B821" s="11">
        <v>817</v>
      </c>
      <c r="C821" s="12">
        <v>46474</v>
      </c>
      <c r="D821" s="31">
        <f t="shared" si="19"/>
        <v>36</v>
      </c>
      <c r="E821" s="14"/>
      <c r="F821" s="5">
        <v>0</v>
      </c>
      <c r="G821" s="18">
        <f t="shared" si="20"/>
        <v>27.279500000000002</v>
      </c>
      <c r="H821" s="18">
        <f t="shared" si="21"/>
        <v>19.409836065573771</v>
      </c>
      <c r="I821" s="32">
        <v>31.450122371315409</v>
      </c>
      <c r="K821" s="32">
        <v>125.251830789778</v>
      </c>
      <c r="L821" s="32">
        <f t="shared" si="18"/>
        <v>16.438356164383563</v>
      </c>
      <c r="M821" s="5">
        <f t="shared" si="22"/>
        <v>64.54537358177403</v>
      </c>
      <c r="N821" s="5">
        <f t="shared" si="17"/>
        <v>14.098901098901099</v>
      </c>
      <c r="O821" s="32">
        <v>21.727814877917289</v>
      </c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</row>
    <row r="822" spans="1:88">
      <c r="A822" s="5">
        <v>179</v>
      </c>
      <c r="B822" s="11">
        <v>818</v>
      </c>
      <c r="C822" s="12">
        <v>46475</v>
      </c>
      <c r="D822" s="31">
        <f t="shared" si="19"/>
        <v>41</v>
      </c>
      <c r="E822" s="14"/>
      <c r="F822" s="5">
        <v>0</v>
      </c>
      <c r="G822" s="18">
        <f t="shared" si="20"/>
        <v>27.432200000000002</v>
      </c>
      <c r="H822" s="18">
        <f t="shared" si="21"/>
        <v>19.409836065573771</v>
      </c>
      <c r="I822" s="32">
        <v>43.085918258908642</v>
      </c>
      <c r="K822" s="32">
        <v>21.372030235181079</v>
      </c>
      <c r="L822" s="32">
        <f t="shared" si="18"/>
        <v>16.438356164383563</v>
      </c>
      <c r="M822" s="5">
        <f t="shared" si="22"/>
        <v>65.921767326716633</v>
      </c>
      <c r="N822" s="5">
        <f t="shared" si="17"/>
        <v>14.098901098901099</v>
      </c>
      <c r="O822" s="32">
        <v>14.423690523961371</v>
      </c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</row>
    <row r="823" spans="1:88">
      <c r="A823" s="5">
        <v>180</v>
      </c>
      <c r="B823" s="11">
        <v>819</v>
      </c>
      <c r="C823" s="12">
        <v>46476</v>
      </c>
      <c r="D823" s="31">
        <f t="shared" si="19"/>
        <v>31</v>
      </c>
      <c r="E823" s="14"/>
      <c r="F823" s="5">
        <v>0</v>
      </c>
      <c r="G823" s="18">
        <f t="shared" si="20"/>
        <v>27.584900000000001</v>
      </c>
      <c r="H823" s="18">
        <f t="shared" si="21"/>
        <v>19.409836065573771</v>
      </c>
      <c r="I823" s="32">
        <v>36.999527976333141</v>
      </c>
      <c r="K823" s="32">
        <v>1.856531650863475</v>
      </c>
      <c r="L823" s="32">
        <f t="shared" si="18"/>
        <v>16.438356164383563</v>
      </c>
      <c r="M823" s="5">
        <f t="shared" si="22"/>
        <v>66.156624801828528</v>
      </c>
      <c r="N823" s="5">
        <f t="shared" si="17"/>
        <v>14.098901098901099</v>
      </c>
      <c r="O823" s="32">
        <v>13.299627073139989</v>
      </c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</row>
    <row r="824" spans="1:88">
      <c r="A824" s="5">
        <v>181</v>
      </c>
      <c r="B824" s="11">
        <v>820</v>
      </c>
      <c r="C824" s="12">
        <v>46477</v>
      </c>
      <c r="D824" s="31">
        <f t="shared" si="19"/>
        <v>41</v>
      </c>
      <c r="E824" s="14"/>
      <c r="F824" s="5">
        <v>0</v>
      </c>
      <c r="G824" s="18">
        <f t="shared" si="20"/>
        <v>27.7376</v>
      </c>
      <c r="H824" s="18">
        <f t="shared" si="21"/>
        <v>19.409836065573771</v>
      </c>
      <c r="I824" s="32">
        <v>29.715371852683369</v>
      </c>
      <c r="K824" s="32">
        <v>125.251830789778</v>
      </c>
      <c r="L824" s="32">
        <f t="shared" si="18"/>
        <v>16.438356164383563</v>
      </c>
      <c r="M824" s="5">
        <f t="shared" si="22"/>
        <v>66.17702624854131</v>
      </c>
      <c r="N824" s="5">
        <f t="shared" si="17"/>
        <v>14.098901098901099</v>
      </c>
      <c r="O824" s="32">
        <v>21.430808692408171</v>
      </c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</row>
    <row r="825" spans="1:88">
      <c r="A825" s="5">
        <v>182</v>
      </c>
      <c r="B825" s="11">
        <v>821</v>
      </c>
      <c r="C825" s="12">
        <v>46478</v>
      </c>
      <c r="D825" s="31">
        <f t="shared" si="19"/>
        <v>16</v>
      </c>
      <c r="E825" s="14"/>
      <c r="F825" s="5">
        <v>0</v>
      </c>
      <c r="G825" s="18">
        <f t="shared" si="20"/>
        <v>27.8903</v>
      </c>
      <c r="H825" s="18">
        <f t="shared" si="21"/>
        <v>19.409836065573771</v>
      </c>
      <c r="I825" s="32">
        <v>32.272772414985873</v>
      </c>
      <c r="K825" s="32">
        <v>125.251830789778</v>
      </c>
      <c r="L825" s="32">
        <f t="shared" si="18"/>
        <v>16.438356164383563</v>
      </c>
      <c r="M825" s="5">
        <f t="shared" si="22"/>
        <v>67.553419993483928</v>
      </c>
      <c r="N825" s="5">
        <f t="shared" si="17"/>
        <v>14.098901098901099</v>
      </c>
      <c r="O825" s="32">
        <v>33.694839244789932</v>
      </c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</row>
    <row r="826" spans="1:88">
      <c r="A826" s="5">
        <v>183</v>
      </c>
      <c r="B826" s="11">
        <v>822</v>
      </c>
      <c r="C826" s="12">
        <v>46479</v>
      </c>
      <c r="D826" s="31">
        <f t="shared" si="19"/>
        <v>27</v>
      </c>
      <c r="E826" s="14"/>
      <c r="F826" s="5">
        <v>0</v>
      </c>
      <c r="G826" s="18">
        <f t="shared" si="20"/>
        <v>28.042999999999999</v>
      </c>
      <c r="H826" s="18">
        <f t="shared" si="21"/>
        <v>19.409836065573771</v>
      </c>
      <c r="I826" s="32">
        <v>12.83928429189886</v>
      </c>
      <c r="K826" s="32">
        <v>21.372030235181079</v>
      </c>
      <c r="L826" s="32">
        <f t="shared" si="18"/>
        <v>16.438356164383563</v>
      </c>
      <c r="M826" s="5">
        <f t="shared" si="22"/>
        <v>68.929813738426546</v>
      </c>
      <c r="N826" s="5">
        <f t="shared" si="17"/>
        <v>14.098901098901099</v>
      </c>
      <c r="O826" s="32">
        <v>9.7719926065321978</v>
      </c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</row>
    <row r="827" spans="1:88">
      <c r="A827" s="5">
        <v>184</v>
      </c>
      <c r="B827" s="11">
        <v>823</v>
      </c>
      <c r="C827" s="12">
        <v>46480</v>
      </c>
      <c r="D827" s="31">
        <f t="shared" si="19"/>
        <v>26</v>
      </c>
      <c r="E827" s="14"/>
      <c r="F827" s="5">
        <v>0</v>
      </c>
      <c r="G827" s="18">
        <f t="shared" si="20"/>
        <v>28.195700000000002</v>
      </c>
      <c r="H827" s="18">
        <f t="shared" si="21"/>
        <v>19.409836065573771</v>
      </c>
      <c r="I827" s="32">
        <v>27.790764825956529</v>
      </c>
      <c r="K827" s="32">
        <v>1.856531650863475</v>
      </c>
      <c r="L827" s="32">
        <f t="shared" si="18"/>
        <v>16.438356164383563</v>
      </c>
      <c r="M827" s="5">
        <f t="shared" si="22"/>
        <v>69.164666022614909</v>
      </c>
      <c r="N827" s="5">
        <f t="shared" si="17"/>
        <v>14.098901098901099</v>
      </c>
      <c r="O827" s="32">
        <v>27.214243628020402</v>
      </c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</row>
    <row r="828" spans="1:88">
      <c r="A828" s="5">
        <v>185</v>
      </c>
      <c r="B828" s="11">
        <v>824</v>
      </c>
      <c r="C828" s="12">
        <v>46481</v>
      </c>
      <c r="D828" s="31">
        <f t="shared" si="19"/>
        <v>35</v>
      </c>
      <c r="E828" s="14"/>
      <c r="F828" s="5">
        <v>0</v>
      </c>
      <c r="G828" s="18">
        <f t="shared" si="20"/>
        <v>28.348400000000002</v>
      </c>
      <c r="H828" s="18">
        <f t="shared" si="21"/>
        <v>19.409836065573771</v>
      </c>
      <c r="I828" s="32">
        <v>34.827570280102691</v>
      </c>
      <c r="K828" s="32">
        <v>125.251830789778</v>
      </c>
      <c r="L828" s="32">
        <f t="shared" si="18"/>
        <v>16.438356164383563</v>
      </c>
      <c r="M828" s="5">
        <f t="shared" si="22"/>
        <v>67.808673724385073</v>
      </c>
      <c r="N828" s="5">
        <f t="shared" si="17"/>
        <v>14.098901098901099</v>
      </c>
      <c r="O828" s="32">
        <v>11.94483263640616</v>
      </c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</row>
    <row r="829" spans="1:88">
      <c r="A829" s="5">
        <v>186</v>
      </c>
      <c r="B829" s="11">
        <v>825</v>
      </c>
      <c r="C829" s="12">
        <v>46482</v>
      </c>
      <c r="D829" s="31">
        <f t="shared" si="19"/>
        <v>42</v>
      </c>
      <c r="E829" s="14"/>
      <c r="F829" s="5">
        <v>0</v>
      </c>
      <c r="G829" s="18">
        <f t="shared" si="20"/>
        <v>28.501100000000001</v>
      </c>
      <c r="H829" s="18">
        <f t="shared" si="21"/>
        <v>19.409836065573771</v>
      </c>
      <c r="I829" s="32">
        <v>19.087982916077632</v>
      </c>
      <c r="K829" s="32">
        <v>125.251830789778</v>
      </c>
      <c r="L829" s="32">
        <f t="shared" si="18"/>
        <v>16.438356164383563</v>
      </c>
      <c r="M829" s="5">
        <f t="shared" si="22"/>
        <v>67.808673724385073</v>
      </c>
      <c r="N829" s="5">
        <f t="shared" si="17"/>
        <v>14.098901098901099</v>
      </c>
      <c r="O829" s="32">
        <v>5.6481017470872343</v>
      </c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</row>
    <row r="830" spans="1:88">
      <c r="A830" s="5">
        <v>187</v>
      </c>
      <c r="B830" s="11">
        <v>826</v>
      </c>
      <c r="C830" s="12">
        <v>46483</v>
      </c>
      <c r="D830" s="31">
        <f t="shared" si="19"/>
        <v>27</v>
      </c>
      <c r="E830" s="14"/>
      <c r="F830" s="5">
        <v>0</v>
      </c>
      <c r="G830" s="18">
        <f t="shared" si="20"/>
        <v>28.6538</v>
      </c>
      <c r="H830" s="18">
        <f t="shared" si="21"/>
        <v>19.409836065573771</v>
      </c>
      <c r="I830" s="32">
        <v>31.671655377936929</v>
      </c>
      <c r="K830" s="32">
        <v>21.372030235181079</v>
      </c>
      <c r="L830" s="32">
        <f t="shared" si="18"/>
        <v>16.438356164383563</v>
      </c>
      <c r="M830" s="5">
        <f t="shared" si="22"/>
        <v>68.950209994215797</v>
      </c>
      <c r="N830" s="5">
        <f t="shared" si="17"/>
        <v>14.098901098901099</v>
      </c>
      <c r="O830" s="32">
        <v>20.55617863236991</v>
      </c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</row>
    <row r="831" spans="1:88">
      <c r="A831" s="5">
        <v>188</v>
      </c>
      <c r="B831" s="11">
        <v>827</v>
      </c>
      <c r="C831" s="12">
        <v>46484</v>
      </c>
      <c r="D831" s="31">
        <f t="shared" si="19"/>
        <v>24</v>
      </c>
      <c r="E831" s="14"/>
      <c r="F831" s="5">
        <v>0</v>
      </c>
      <c r="G831" s="18">
        <f t="shared" si="20"/>
        <v>28.8065</v>
      </c>
      <c r="H831" s="18">
        <f t="shared" si="21"/>
        <v>19.409836065573771</v>
      </c>
      <c r="I831" s="32">
        <v>36.568164956619512</v>
      </c>
      <c r="K831" s="32">
        <v>1.856531650863475</v>
      </c>
      <c r="L831" s="32">
        <f t="shared" si="18"/>
        <v>16.438356164383563</v>
      </c>
      <c r="M831" s="5">
        <f t="shared" si="22"/>
        <v>69.164666022614909</v>
      </c>
      <c r="N831" s="5">
        <f t="shared" si="17"/>
        <v>14.098901098901099</v>
      </c>
      <c r="O831" s="32">
        <v>10.19378579552621</v>
      </c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</row>
    <row r="832" spans="1:88">
      <c r="A832" s="5">
        <v>189</v>
      </c>
      <c r="B832" s="11">
        <v>828</v>
      </c>
      <c r="C832" s="12">
        <v>46485</v>
      </c>
      <c r="D832" s="31">
        <f t="shared" si="19"/>
        <v>43</v>
      </c>
      <c r="E832" s="14"/>
      <c r="F832" s="5">
        <v>0</v>
      </c>
      <c r="G832" s="18">
        <f t="shared" si="20"/>
        <v>28.959199999999999</v>
      </c>
      <c r="H832" s="18">
        <f t="shared" si="21"/>
        <v>19.409836065573771</v>
      </c>
      <c r="I832" s="32">
        <v>17.474717326040029</v>
      </c>
      <c r="K832" s="32">
        <v>125.251830789778</v>
      </c>
      <c r="L832" s="32">
        <f t="shared" si="18"/>
        <v>16.438356164383563</v>
      </c>
      <c r="M832" s="5">
        <f t="shared" si="22"/>
        <v>67.808673724385073</v>
      </c>
      <c r="N832" s="5">
        <f t="shared" si="17"/>
        <v>14.098901098901099</v>
      </c>
      <c r="O832" s="32">
        <v>19.26490854475648</v>
      </c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</row>
    <row r="833" spans="1:88">
      <c r="A833" s="5">
        <v>190</v>
      </c>
      <c r="B833" s="11">
        <v>829</v>
      </c>
      <c r="C833" s="12">
        <v>46486</v>
      </c>
      <c r="D833" s="31">
        <f t="shared" si="19"/>
        <v>26</v>
      </c>
      <c r="E833" s="14"/>
      <c r="F833" s="5">
        <v>0</v>
      </c>
      <c r="G833" s="18">
        <f t="shared" si="20"/>
        <v>29.111900000000002</v>
      </c>
      <c r="H833" s="18">
        <f t="shared" si="21"/>
        <v>19.409836065573771</v>
      </c>
      <c r="I833" s="32">
        <v>39.790879361747521</v>
      </c>
      <c r="K833" s="32">
        <v>125.251830789778</v>
      </c>
      <c r="L833" s="32">
        <f t="shared" si="18"/>
        <v>16.438356164383563</v>
      </c>
      <c r="M833" s="5">
        <f t="shared" si="22"/>
        <v>67.808673724385073</v>
      </c>
      <c r="N833" s="5">
        <f t="shared" si="17"/>
        <v>14.098901098901099</v>
      </c>
      <c r="O833" s="32">
        <v>10.757555550539101</v>
      </c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</row>
    <row r="834" spans="1:88">
      <c r="A834" s="5">
        <v>191</v>
      </c>
      <c r="B834" s="11">
        <v>830</v>
      </c>
      <c r="C834" s="12">
        <v>46487</v>
      </c>
      <c r="D834" s="31">
        <f t="shared" si="19"/>
        <v>41</v>
      </c>
      <c r="E834" s="14"/>
      <c r="F834" s="5">
        <v>0</v>
      </c>
      <c r="G834" s="18">
        <f t="shared" si="20"/>
        <v>29.264600000000002</v>
      </c>
      <c r="H834" s="18">
        <f t="shared" si="21"/>
        <v>19.409836065573771</v>
      </c>
      <c r="I834" s="32">
        <v>20.618431356152179</v>
      </c>
      <c r="K834" s="32">
        <v>21.372030235181079</v>
      </c>
      <c r="L834" s="32">
        <f t="shared" si="18"/>
        <v>16.438356164383563</v>
      </c>
      <c r="M834" s="5">
        <f t="shared" si="22"/>
        <v>68.950209994215797</v>
      </c>
      <c r="N834" s="5">
        <f t="shared" si="17"/>
        <v>14.098901098901099</v>
      </c>
      <c r="O834" s="32">
        <v>16.393509757451572</v>
      </c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</row>
    <row r="835" spans="1:88">
      <c r="A835" s="5">
        <v>192</v>
      </c>
      <c r="B835" s="11">
        <v>831</v>
      </c>
      <c r="C835" s="12">
        <v>46488</v>
      </c>
      <c r="D835" s="31">
        <f t="shared" si="19"/>
        <v>39</v>
      </c>
      <c r="E835" s="14"/>
      <c r="F835" s="5">
        <v>0</v>
      </c>
      <c r="G835" s="18">
        <f t="shared" si="20"/>
        <v>29.417300000000001</v>
      </c>
      <c r="H835" s="18">
        <f t="shared" si="21"/>
        <v>19.409836065573771</v>
      </c>
      <c r="I835" s="32">
        <v>26.008525706443809</v>
      </c>
      <c r="K835" s="32">
        <v>1.856531650863475</v>
      </c>
      <c r="L835" s="32">
        <f t="shared" si="18"/>
        <v>16.438356164383563</v>
      </c>
      <c r="M835" s="5">
        <f t="shared" si="22"/>
        <v>69.164666022614909</v>
      </c>
      <c r="N835" s="5">
        <f t="shared" si="17"/>
        <v>14.098901098901099</v>
      </c>
      <c r="O835" s="32">
        <v>13.411591472017429</v>
      </c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</row>
    <row r="836" spans="1:88">
      <c r="A836" s="5">
        <v>193</v>
      </c>
      <c r="B836" s="11">
        <v>832</v>
      </c>
      <c r="C836" s="12">
        <v>46489</v>
      </c>
      <c r="D836" s="31">
        <f t="shared" si="19"/>
        <v>40</v>
      </c>
      <c r="E836" s="14"/>
      <c r="F836" s="5">
        <v>0</v>
      </c>
      <c r="G836" s="18">
        <f t="shared" si="20"/>
        <v>29.57</v>
      </c>
      <c r="H836" s="18">
        <f t="shared" si="21"/>
        <v>19.409836065573771</v>
      </c>
      <c r="I836" s="32">
        <v>22.25345176228381</v>
      </c>
      <c r="K836" s="32">
        <v>125.251830789778</v>
      </c>
      <c r="L836" s="32">
        <f t="shared" si="18"/>
        <v>16.438356164383563</v>
      </c>
      <c r="M836" s="5">
        <f t="shared" si="22"/>
        <v>67.808673724385073</v>
      </c>
      <c r="N836" s="5">
        <f t="shared" si="17"/>
        <v>14.098901098901099</v>
      </c>
      <c r="O836" s="32">
        <v>35.598209219852627</v>
      </c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</row>
    <row r="837" spans="1:88">
      <c r="A837" s="5">
        <v>194</v>
      </c>
      <c r="B837" s="11">
        <v>833</v>
      </c>
      <c r="C837" s="12">
        <v>46490</v>
      </c>
      <c r="D837" s="31">
        <f t="shared" si="19"/>
        <v>24</v>
      </c>
      <c r="E837" s="14"/>
      <c r="F837" s="5">
        <v>0</v>
      </c>
      <c r="G837" s="18">
        <f t="shared" si="20"/>
        <v>29.7227</v>
      </c>
      <c r="H837" s="18">
        <f t="shared" si="21"/>
        <v>19.409836065573771</v>
      </c>
      <c r="I837" s="32">
        <v>14.585824310562581</v>
      </c>
      <c r="K837" s="32">
        <v>125.251830789778</v>
      </c>
      <c r="L837" s="32">
        <f t="shared" si="18"/>
        <v>16.438356164383563</v>
      </c>
      <c r="M837" s="5">
        <f t="shared" si="22"/>
        <v>67.808673724385073</v>
      </c>
      <c r="N837" s="5">
        <f t="shared" ref="N837:N900" si="23">AVERAGE($O$644:$O$734)</f>
        <v>14.098901098901099</v>
      </c>
      <c r="O837" s="32">
        <v>11.760759856780719</v>
      </c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</row>
    <row r="838" spans="1:88">
      <c r="A838" s="5">
        <v>195</v>
      </c>
      <c r="B838" s="11">
        <v>834</v>
      </c>
      <c r="C838" s="12">
        <v>46491</v>
      </c>
      <c r="D838" s="31">
        <f t="shared" si="19"/>
        <v>48</v>
      </c>
      <c r="E838" s="14"/>
      <c r="F838" s="5">
        <v>0</v>
      </c>
      <c r="G838" s="18">
        <f t="shared" si="20"/>
        <v>29.875400000000003</v>
      </c>
      <c r="H838" s="18">
        <f t="shared" si="21"/>
        <v>19.409836065573771</v>
      </c>
      <c r="I838" s="32">
        <v>37.079220515980879</v>
      </c>
      <c r="K838" s="32">
        <v>21.372030235181079</v>
      </c>
      <c r="L838" s="32">
        <f t="shared" si="18"/>
        <v>16.438356164383563</v>
      </c>
      <c r="M838" s="5">
        <f t="shared" si="22"/>
        <v>68.950209994215797</v>
      </c>
      <c r="N838" s="5">
        <f t="shared" si="23"/>
        <v>14.098901098901099</v>
      </c>
      <c r="O838" s="32">
        <v>31.97925159644193</v>
      </c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</row>
    <row r="839" spans="1:88">
      <c r="A839" s="5">
        <v>196</v>
      </c>
      <c r="B839" s="11">
        <v>835</v>
      </c>
      <c r="C839" s="12">
        <v>46492</v>
      </c>
      <c r="D839" s="31">
        <f t="shared" si="19"/>
        <v>23</v>
      </c>
      <c r="E839" s="14"/>
      <c r="F839" s="5">
        <v>0</v>
      </c>
      <c r="G839" s="18">
        <f t="shared" si="20"/>
        <v>30.028100000000002</v>
      </c>
      <c r="H839" s="18">
        <f t="shared" si="21"/>
        <v>19.409836065573771</v>
      </c>
      <c r="I839" s="32">
        <v>26.46588992781119</v>
      </c>
      <c r="K839" s="32">
        <v>1.856531650863475</v>
      </c>
      <c r="L839" s="32">
        <f t="shared" si="18"/>
        <v>16.438356164383563</v>
      </c>
      <c r="M839" s="5">
        <f t="shared" si="22"/>
        <v>69.164666022614909</v>
      </c>
      <c r="N839" s="5">
        <f t="shared" si="23"/>
        <v>14.098901098901099</v>
      </c>
      <c r="O839" s="32">
        <v>11.07249287211509</v>
      </c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</row>
    <row r="840" spans="1:88">
      <c r="A840" s="5">
        <v>197</v>
      </c>
      <c r="B840" s="11">
        <v>836</v>
      </c>
      <c r="C840" s="12">
        <v>46493</v>
      </c>
      <c r="D840" s="31">
        <f t="shared" si="19"/>
        <v>57</v>
      </c>
      <c r="E840" s="14"/>
      <c r="F840" s="5">
        <v>0</v>
      </c>
      <c r="G840" s="18">
        <f t="shared" si="20"/>
        <v>30.180800000000001</v>
      </c>
      <c r="H840" s="18">
        <f t="shared" si="21"/>
        <v>19.409836065573771</v>
      </c>
      <c r="I840" s="32">
        <v>33.524856625885178</v>
      </c>
      <c r="K840" s="32">
        <v>125.251830789778</v>
      </c>
      <c r="L840" s="32">
        <f t="shared" si="18"/>
        <v>16.438356164383563</v>
      </c>
      <c r="M840" s="5">
        <f t="shared" si="22"/>
        <v>67.808673724385073</v>
      </c>
      <c r="N840" s="5">
        <f t="shared" si="23"/>
        <v>14.098901098901099</v>
      </c>
      <c r="O840" s="32">
        <v>14.06209976605852</v>
      </c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</row>
    <row r="841" spans="1:88">
      <c r="A841" s="5">
        <v>198</v>
      </c>
      <c r="B841" s="11">
        <v>837</v>
      </c>
      <c r="C841" s="12">
        <v>46494</v>
      </c>
      <c r="D841" s="31">
        <f t="shared" si="19"/>
        <v>36</v>
      </c>
      <c r="E841" s="14"/>
      <c r="F841" s="5">
        <v>0</v>
      </c>
      <c r="G841" s="18">
        <f t="shared" si="20"/>
        <v>30.333500000000001</v>
      </c>
      <c r="H841" s="18">
        <f t="shared" si="21"/>
        <v>19.409836065573771</v>
      </c>
      <c r="I841" s="32">
        <v>16.72193738857532</v>
      </c>
      <c r="K841" s="32">
        <v>125.251830789778</v>
      </c>
      <c r="L841" s="32">
        <f t="shared" si="18"/>
        <v>16.438356164383563</v>
      </c>
      <c r="M841" s="5">
        <f t="shared" si="22"/>
        <v>67.808673724385073</v>
      </c>
      <c r="N841" s="5">
        <f t="shared" si="23"/>
        <v>14.098901098901099</v>
      </c>
      <c r="O841" s="32">
        <v>9.6384962931850655</v>
      </c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</row>
    <row r="842" spans="1:88">
      <c r="A842" s="5">
        <v>199</v>
      </c>
      <c r="B842" s="11">
        <v>838</v>
      </c>
      <c r="C842" s="12">
        <v>46495</v>
      </c>
      <c r="D842" s="31">
        <f t="shared" si="19"/>
        <v>50</v>
      </c>
      <c r="E842" s="14"/>
      <c r="F842" s="5">
        <v>0</v>
      </c>
      <c r="G842" s="18">
        <f t="shared" si="20"/>
        <v>30.4862</v>
      </c>
      <c r="H842" s="18">
        <f t="shared" si="21"/>
        <v>19.409836065573771</v>
      </c>
      <c r="I842" s="32">
        <v>26.206269671252699</v>
      </c>
      <c r="K842" s="32">
        <v>21.372030235181079</v>
      </c>
      <c r="L842" s="32">
        <f t="shared" si="18"/>
        <v>16.438356164383563</v>
      </c>
      <c r="M842" s="5">
        <f t="shared" si="22"/>
        <v>68.950209994215797</v>
      </c>
      <c r="N842" s="5">
        <f t="shared" si="23"/>
        <v>14.098901098901099</v>
      </c>
      <c r="O842" s="32">
        <v>19.863466009992059</v>
      </c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</row>
    <row r="843" spans="1:88">
      <c r="A843" s="5">
        <v>200</v>
      </c>
      <c r="B843" s="11">
        <v>839</v>
      </c>
      <c r="C843" s="12">
        <v>46496</v>
      </c>
      <c r="D843" s="31">
        <f t="shared" si="19"/>
        <v>38</v>
      </c>
      <c r="E843" s="14"/>
      <c r="F843" s="5">
        <v>0</v>
      </c>
      <c r="G843" s="18">
        <f t="shared" si="20"/>
        <v>30.6389</v>
      </c>
      <c r="H843" s="18">
        <f t="shared" si="21"/>
        <v>19.409836065573771</v>
      </c>
      <c r="I843" s="32">
        <v>34.328259230683678</v>
      </c>
      <c r="K843" s="32">
        <v>1.856531650863475</v>
      </c>
      <c r="L843" s="32">
        <f t="shared" si="18"/>
        <v>16.438356164383563</v>
      </c>
      <c r="M843" s="5">
        <f t="shared" si="22"/>
        <v>69.164666022614909</v>
      </c>
      <c r="N843" s="5">
        <f t="shared" si="23"/>
        <v>14.098901098901099</v>
      </c>
      <c r="O843" s="32">
        <v>18.952259425250361</v>
      </c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</row>
    <row r="844" spans="1:88">
      <c r="A844" s="5">
        <v>201</v>
      </c>
      <c r="B844" s="11">
        <v>840</v>
      </c>
      <c r="C844" s="12">
        <v>46497</v>
      </c>
      <c r="D844" s="31">
        <f t="shared" si="19"/>
        <v>36</v>
      </c>
      <c r="E844" s="14"/>
      <c r="F844" s="5">
        <v>0</v>
      </c>
      <c r="G844" s="18">
        <f t="shared" si="20"/>
        <v>30.791600000000003</v>
      </c>
      <c r="H844" s="18">
        <f t="shared" si="21"/>
        <v>19.409836065573771</v>
      </c>
      <c r="I844" s="32">
        <v>5.4886474889280423</v>
      </c>
      <c r="K844" s="32">
        <v>125.251830789778</v>
      </c>
      <c r="L844" s="32">
        <f t="shared" si="18"/>
        <v>16.438356164383563</v>
      </c>
      <c r="M844" s="5">
        <f t="shared" si="22"/>
        <v>67.808673724385073</v>
      </c>
      <c r="N844" s="5">
        <f t="shared" si="23"/>
        <v>14.098901098901099</v>
      </c>
      <c r="O844" s="32">
        <v>19.328095453137951</v>
      </c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</row>
    <row r="845" spans="1:88">
      <c r="A845" s="5">
        <v>202</v>
      </c>
      <c r="B845" s="11">
        <v>841</v>
      </c>
      <c r="C845" s="12">
        <v>46498</v>
      </c>
      <c r="D845" s="31">
        <f t="shared" si="19"/>
        <v>41</v>
      </c>
      <c r="E845" s="14"/>
      <c r="F845" s="5">
        <v>0</v>
      </c>
      <c r="G845" s="18">
        <f t="shared" si="20"/>
        <v>30.944300000000002</v>
      </c>
      <c r="H845" s="18">
        <f t="shared" si="21"/>
        <v>19.409836065573771</v>
      </c>
      <c r="I845" s="32">
        <v>36.912599376041491</v>
      </c>
      <c r="K845" s="32">
        <v>125.251830789778</v>
      </c>
      <c r="L845" s="32">
        <f t="shared" si="18"/>
        <v>16.438356164383563</v>
      </c>
      <c r="M845" s="5">
        <f t="shared" si="22"/>
        <v>67.808673724385073</v>
      </c>
      <c r="N845" s="5">
        <f t="shared" si="23"/>
        <v>14.098901098901099</v>
      </c>
      <c r="O845" s="32">
        <v>14.91893450391966</v>
      </c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</row>
    <row r="846" spans="1:88">
      <c r="A846" s="5">
        <v>203</v>
      </c>
      <c r="B846" s="11">
        <v>842</v>
      </c>
      <c r="C846" s="12">
        <v>46499</v>
      </c>
      <c r="D846" s="31">
        <f t="shared" si="19"/>
        <v>35</v>
      </c>
      <c r="E846" s="14"/>
      <c r="F846" s="5">
        <v>0</v>
      </c>
      <c r="G846" s="18">
        <f t="shared" si="20"/>
        <v>31.097000000000001</v>
      </c>
      <c r="H846" s="18">
        <f t="shared" si="21"/>
        <v>19.409836065573771</v>
      </c>
      <c r="I846" s="32">
        <v>28.576008840414701</v>
      </c>
      <c r="K846" s="32">
        <v>21.372030235181079</v>
      </c>
      <c r="L846" s="32">
        <f t="shared" si="18"/>
        <v>16.438356164383563</v>
      </c>
      <c r="M846" s="5">
        <f t="shared" si="22"/>
        <v>68.950209994215797</v>
      </c>
      <c r="N846" s="5">
        <f t="shared" si="23"/>
        <v>14.098901098901099</v>
      </c>
      <c r="O846" s="32">
        <v>11.022979982854579</v>
      </c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</row>
    <row r="847" spans="1:88">
      <c r="A847" s="5">
        <v>204</v>
      </c>
      <c r="B847" s="11">
        <v>843</v>
      </c>
      <c r="C847" s="12">
        <v>46500</v>
      </c>
      <c r="D847" s="31">
        <f t="shared" si="19"/>
        <v>64</v>
      </c>
      <c r="E847" s="14"/>
      <c r="F847" s="5">
        <v>0</v>
      </c>
      <c r="G847" s="18">
        <f t="shared" si="20"/>
        <v>31.249700000000001</v>
      </c>
      <c r="H847" s="18">
        <f t="shared" si="21"/>
        <v>19.409836065573771</v>
      </c>
      <c r="I847" s="32">
        <v>24.643806278843481</v>
      </c>
      <c r="K847" s="32">
        <v>1.856531650863475</v>
      </c>
      <c r="L847" s="32">
        <f t="shared" si="18"/>
        <v>16.438356164383563</v>
      </c>
      <c r="M847" s="5">
        <f t="shared" si="22"/>
        <v>69.164666022614909</v>
      </c>
      <c r="N847" s="5">
        <f t="shared" si="23"/>
        <v>14.098901098901099</v>
      </c>
      <c r="O847" s="32">
        <v>16.958787983908341</v>
      </c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</row>
    <row r="848" spans="1:88">
      <c r="A848" s="5">
        <v>205</v>
      </c>
      <c r="B848" s="11">
        <v>844</v>
      </c>
      <c r="C848" s="12">
        <v>46501</v>
      </c>
      <c r="D848" s="31">
        <f t="shared" si="19"/>
        <v>44</v>
      </c>
      <c r="E848" s="14"/>
      <c r="F848" s="5">
        <v>0</v>
      </c>
      <c r="G848" s="18">
        <f t="shared" si="20"/>
        <v>31.4024</v>
      </c>
      <c r="H848" s="18">
        <f t="shared" si="21"/>
        <v>19.409836065573771</v>
      </c>
      <c r="I848" s="32">
        <v>19.70080052748402</v>
      </c>
      <c r="K848" s="32">
        <v>125.251830789778</v>
      </c>
      <c r="L848" s="32">
        <f t="shared" si="18"/>
        <v>16.438356164383563</v>
      </c>
      <c r="M848" s="5">
        <f t="shared" si="22"/>
        <v>67.808673724385073</v>
      </c>
      <c r="N848" s="5">
        <f t="shared" si="23"/>
        <v>14.098901098901099</v>
      </c>
      <c r="O848" s="32">
        <v>29.949161302272611</v>
      </c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</row>
    <row r="849" spans="1:88">
      <c r="A849" s="5">
        <v>206</v>
      </c>
      <c r="B849" s="11">
        <v>845</v>
      </c>
      <c r="C849" s="12">
        <v>46502</v>
      </c>
      <c r="D849" s="31">
        <f t="shared" si="19"/>
        <v>44</v>
      </c>
      <c r="E849" s="14"/>
      <c r="F849" s="5">
        <v>0</v>
      </c>
      <c r="G849" s="18">
        <f t="shared" si="20"/>
        <v>31.555099999999999</v>
      </c>
      <c r="H849" s="18">
        <f t="shared" si="21"/>
        <v>19.409836065573771</v>
      </c>
      <c r="I849" s="32">
        <v>15.77830965352957</v>
      </c>
      <c r="K849" s="32">
        <v>125.251830789778</v>
      </c>
      <c r="L849" s="32">
        <f t="shared" si="18"/>
        <v>16.438356164383563</v>
      </c>
      <c r="M849" s="5">
        <f t="shared" si="22"/>
        <v>67.808673724385073</v>
      </c>
      <c r="N849" s="5">
        <f t="shared" si="23"/>
        <v>14.098901098901099</v>
      </c>
      <c r="O849" s="32">
        <v>31.804483006404539</v>
      </c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</row>
    <row r="850" spans="1:88">
      <c r="A850" s="5">
        <v>207</v>
      </c>
      <c r="B850" s="11">
        <v>846</v>
      </c>
      <c r="C850" s="12">
        <v>46503</v>
      </c>
      <c r="D850" s="31">
        <f t="shared" si="19"/>
        <v>54</v>
      </c>
      <c r="E850" s="14"/>
      <c r="F850" s="5">
        <v>0</v>
      </c>
      <c r="G850" s="18">
        <f t="shared" si="20"/>
        <v>31.707800000000002</v>
      </c>
      <c r="H850" s="18">
        <f t="shared" si="21"/>
        <v>19.409836065573771</v>
      </c>
      <c r="I850" s="32">
        <v>41.184588261643739</v>
      </c>
      <c r="K850" s="32">
        <v>21.372030235181079</v>
      </c>
      <c r="L850" s="32">
        <f t="shared" si="18"/>
        <v>16.438356164383563</v>
      </c>
      <c r="M850" s="5">
        <f t="shared" si="22"/>
        <v>68.950209994215797</v>
      </c>
      <c r="N850" s="5">
        <f t="shared" si="23"/>
        <v>14.098901098901099</v>
      </c>
      <c r="O850" s="32">
        <v>27.65126423102452</v>
      </c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</row>
    <row r="851" spans="1:88">
      <c r="A851" s="5">
        <v>208</v>
      </c>
      <c r="B851" s="11">
        <v>847</v>
      </c>
      <c r="C851" s="12">
        <v>46504</v>
      </c>
      <c r="D851" s="31">
        <f t="shared" si="19"/>
        <v>47</v>
      </c>
      <c r="E851" s="14"/>
      <c r="F851" s="5">
        <v>0</v>
      </c>
      <c r="G851" s="18">
        <f t="shared" si="20"/>
        <v>31.860500000000002</v>
      </c>
      <c r="H851" s="18">
        <f t="shared" si="21"/>
        <v>19.409836065573771</v>
      </c>
      <c r="I851" s="32">
        <v>16.388904208997449</v>
      </c>
      <c r="K851" s="32">
        <v>1.856531650863475</v>
      </c>
      <c r="L851" s="32">
        <f t="shared" si="18"/>
        <v>16.438356164383563</v>
      </c>
      <c r="M851" s="5">
        <f t="shared" si="22"/>
        <v>69.164666022614909</v>
      </c>
      <c r="N851" s="5">
        <f t="shared" si="23"/>
        <v>14.098901098901099</v>
      </c>
      <c r="O851" s="32">
        <v>14.30903380172165</v>
      </c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</row>
    <row r="852" spans="1:88">
      <c r="A852" s="5">
        <v>209</v>
      </c>
      <c r="B852" s="11">
        <v>848</v>
      </c>
      <c r="C852" s="12">
        <v>46505</v>
      </c>
      <c r="D852" s="31">
        <f t="shared" si="19"/>
        <v>24</v>
      </c>
      <c r="E852" s="14"/>
      <c r="F852" s="5">
        <v>0</v>
      </c>
      <c r="G852" s="18">
        <f t="shared" si="20"/>
        <v>32.013199999999998</v>
      </c>
      <c r="H852" s="18">
        <f t="shared" si="21"/>
        <v>19.409836065573771</v>
      </c>
      <c r="I852" s="32">
        <v>21.34296063292857</v>
      </c>
      <c r="K852" s="32">
        <v>125.251830789778</v>
      </c>
      <c r="L852" s="32">
        <f t="shared" si="18"/>
        <v>16.438356164383563</v>
      </c>
      <c r="M852" s="5">
        <f t="shared" si="22"/>
        <v>67.808673724385073</v>
      </c>
      <c r="N852" s="5">
        <f t="shared" si="23"/>
        <v>14.098901098901099</v>
      </c>
      <c r="O852" s="32">
        <v>5.5742796619005386</v>
      </c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</row>
    <row r="853" spans="1:88">
      <c r="A853" s="5">
        <v>210</v>
      </c>
      <c r="B853" s="11">
        <v>849</v>
      </c>
      <c r="C853" s="12">
        <v>46506</v>
      </c>
      <c r="D853" s="31">
        <f t="shared" si="19"/>
        <v>36</v>
      </c>
      <c r="E853" s="14"/>
      <c r="F853" s="5">
        <v>0</v>
      </c>
      <c r="G853" s="18">
        <f t="shared" si="20"/>
        <v>32.165900000000001</v>
      </c>
      <c r="H853" s="18">
        <f t="shared" si="21"/>
        <v>19.409836065573771</v>
      </c>
      <c r="I853" s="32">
        <v>26.158806303167282</v>
      </c>
      <c r="K853" s="32">
        <v>125.251830789778</v>
      </c>
      <c r="L853" s="32">
        <f t="shared" si="18"/>
        <v>16.438356164383563</v>
      </c>
      <c r="M853" s="5">
        <f t="shared" si="22"/>
        <v>67.808673724385073</v>
      </c>
      <c r="N853" s="5">
        <f t="shared" si="23"/>
        <v>14.098901098901099</v>
      </c>
      <c r="O853" s="32">
        <v>11.64288394391053</v>
      </c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</row>
    <row r="854" spans="1:88">
      <c r="A854" s="5">
        <v>211</v>
      </c>
      <c r="B854" s="11">
        <v>850</v>
      </c>
      <c r="C854" s="12">
        <v>46507</v>
      </c>
      <c r="D854" s="31">
        <f t="shared" si="19"/>
        <v>72</v>
      </c>
      <c r="E854" s="14"/>
      <c r="F854" s="5">
        <v>0</v>
      </c>
      <c r="G854" s="18">
        <f t="shared" si="20"/>
        <v>32.318600000000004</v>
      </c>
      <c r="H854" s="18">
        <f t="shared" si="21"/>
        <v>19.409836065573771</v>
      </c>
      <c r="I854" s="32">
        <v>19.147054902568961</v>
      </c>
      <c r="K854" s="32">
        <v>21.372030235181079</v>
      </c>
      <c r="L854" s="32">
        <f t="shared" si="18"/>
        <v>16.438356164383563</v>
      </c>
      <c r="M854" s="5">
        <f t="shared" si="22"/>
        <v>68.950209994215797</v>
      </c>
      <c r="N854" s="5">
        <f t="shared" si="23"/>
        <v>14.098901098901099</v>
      </c>
      <c r="O854" s="32">
        <v>11.34223144343113</v>
      </c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</row>
    <row r="855" spans="1:88">
      <c r="A855" s="5">
        <v>212</v>
      </c>
      <c r="B855" s="11">
        <v>851</v>
      </c>
      <c r="C855" s="12">
        <v>46508</v>
      </c>
      <c r="D855" s="31">
        <f t="shared" si="19"/>
        <v>44</v>
      </c>
      <c r="E855" s="14"/>
      <c r="F855" s="5">
        <v>0</v>
      </c>
      <c r="G855" s="18">
        <f t="shared" si="20"/>
        <v>32.471299999999999</v>
      </c>
      <c r="H855" s="18">
        <f t="shared" si="21"/>
        <v>19.409836065573771</v>
      </c>
      <c r="I855" s="32">
        <v>28.50238001633916</v>
      </c>
      <c r="K855" s="32">
        <v>1.856531650863475</v>
      </c>
      <c r="L855" s="32">
        <f t="shared" si="18"/>
        <v>16.438356164383563</v>
      </c>
      <c r="M855" s="5">
        <f t="shared" si="22"/>
        <v>69.164666022614909</v>
      </c>
      <c r="N855" s="5">
        <f t="shared" si="23"/>
        <v>14.098901098901099</v>
      </c>
      <c r="O855" s="32">
        <v>22.709648850744522</v>
      </c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</row>
    <row r="856" spans="1:88">
      <c r="A856" s="5">
        <v>213</v>
      </c>
      <c r="B856" s="11">
        <v>852</v>
      </c>
      <c r="C856" s="12">
        <v>46509</v>
      </c>
      <c r="D856" s="31">
        <f t="shared" si="19"/>
        <v>41</v>
      </c>
      <c r="E856" s="14"/>
      <c r="F856" s="5">
        <v>0</v>
      </c>
      <c r="G856" s="18">
        <f t="shared" si="20"/>
        <v>32.624000000000002</v>
      </c>
      <c r="H856" s="18">
        <f t="shared" si="21"/>
        <v>19.409836065573771</v>
      </c>
      <c r="I856" s="32">
        <v>21.362404155569418</v>
      </c>
      <c r="K856" s="32">
        <v>125.251830789778</v>
      </c>
      <c r="L856" s="32">
        <f t="shared" si="18"/>
        <v>16.438356164383563</v>
      </c>
      <c r="M856" s="5">
        <f t="shared" si="22"/>
        <v>67.808673724385073</v>
      </c>
      <c r="N856" s="5">
        <f t="shared" si="23"/>
        <v>14.098901098901099</v>
      </c>
      <c r="O856" s="32">
        <v>19.926693626191089</v>
      </c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</row>
    <row r="857" spans="1:88">
      <c r="A857" s="5">
        <v>214</v>
      </c>
      <c r="B857" s="11">
        <v>853</v>
      </c>
      <c r="C857" s="12">
        <v>46510</v>
      </c>
      <c r="D857" s="31">
        <f t="shared" si="19"/>
        <v>41</v>
      </c>
      <c r="E857" s="14"/>
      <c r="F857" s="5">
        <v>0</v>
      </c>
      <c r="G857" s="18">
        <f t="shared" si="20"/>
        <v>32.776699999999998</v>
      </c>
      <c r="H857" s="18">
        <f t="shared" si="21"/>
        <v>19.409836065573771</v>
      </c>
      <c r="I857" s="32">
        <v>33.164849237339119</v>
      </c>
      <c r="K857" s="32">
        <v>125.251830789778</v>
      </c>
      <c r="L857" s="32">
        <f t="shared" si="18"/>
        <v>16.438356164383563</v>
      </c>
      <c r="M857" s="5">
        <f t="shared" si="22"/>
        <v>67.808673724385073</v>
      </c>
      <c r="N857" s="5">
        <f t="shared" si="23"/>
        <v>14.098901098901099</v>
      </c>
      <c r="O857" s="32">
        <v>18.260611574423411</v>
      </c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</row>
    <row r="858" spans="1:88">
      <c r="A858" s="5">
        <v>215</v>
      </c>
      <c r="B858" s="11">
        <v>854</v>
      </c>
      <c r="C858" s="12">
        <v>46511</v>
      </c>
      <c r="D858" s="31">
        <f t="shared" si="19"/>
        <v>54</v>
      </c>
      <c r="E858" s="14"/>
      <c r="F858" s="5">
        <v>0</v>
      </c>
      <c r="G858" s="18">
        <f t="shared" si="20"/>
        <v>32.929400000000001</v>
      </c>
      <c r="H858" s="18">
        <f t="shared" si="21"/>
        <v>19.409836065573771</v>
      </c>
      <c r="I858" s="32">
        <v>27.54076655590185</v>
      </c>
      <c r="K858" s="32">
        <v>21.372030235181079</v>
      </c>
      <c r="L858" s="32">
        <f t="shared" si="18"/>
        <v>16.438356164383563</v>
      </c>
      <c r="M858" s="5">
        <f t="shared" si="22"/>
        <v>68.950209994215797</v>
      </c>
      <c r="N858" s="5">
        <f t="shared" si="23"/>
        <v>14.098901098901099</v>
      </c>
      <c r="O858" s="32">
        <v>17.698775923993949</v>
      </c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</row>
    <row r="859" spans="1:88">
      <c r="A859" s="5">
        <v>216</v>
      </c>
      <c r="B859" s="11">
        <v>855</v>
      </c>
      <c r="C859" s="12">
        <v>46512</v>
      </c>
      <c r="D859" s="31">
        <f t="shared" si="19"/>
        <v>41</v>
      </c>
      <c r="E859" s="14"/>
      <c r="F859" s="5">
        <v>0</v>
      </c>
      <c r="G859" s="18">
        <f t="shared" si="20"/>
        <v>33.082100000000004</v>
      </c>
      <c r="H859" s="18">
        <f t="shared" si="21"/>
        <v>19.409836065573771</v>
      </c>
      <c r="I859" s="32">
        <v>28.88009021998041</v>
      </c>
      <c r="K859" s="32">
        <v>1.856531650863475</v>
      </c>
      <c r="L859" s="32">
        <f t="shared" si="18"/>
        <v>16.438356164383563</v>
      </c>
      <c r="M859" s="5">
        <f t="shared" si="22"/>
        <v>69.164666022614909</v>
      </c>
      <c r="N859" s="5">
        <f t="shared" si="23"/>
        <v>14.098901098901099</v>
      </c>
      <c r="O859" s="32">
        <v>18.947550993771411</v>
      </c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</row>
    <row r="860" spans="1:88">
      <c r="A860" s="5">
        <v>217</v>
      </c>
      <c r="B860" s="11">
        <v>856</v>
      </c>
      <c r="C860" s="12">
        <v>46513</v>
      </c>
      <c r="D860" s="31">
        <f t="shared" si="19"/>
        <v>44</v>
      </c>
      <c r="E860" s="14"/>
      <c r="F860" s="5">
        <v>0</v>
      </c>
      <c r="G860" s="18">
        <f t="shared" si="20"/>
        <v>33.2348</v>
      </c>
      <c r="H860" s="18">
        <f t="shared" si="21"/>
        <v>19.409836065573771</v>
      </c>
      <c r="I860" s="32">
        <v>37.813941804279921</v>
      </c>
      <c r="K860" s="32">
        <v>125.251830789778</v>
      </c>
      <c r="L860" s="32">
        <f t="shared" si="18"/>
        <v>16.438356164383563</v>
      </c>
      <c r="M860" s="5">
        <f t="shared" si="22"/>
        <v>67.808673724385073</v>
      </c>
      <c r="N860" s="5">
        <f t="shared" si="23"/>
        <v>14.098901098901099</v>
      </c>
      <c r="O860" s="32">
        <v>13.989568200260599</v>
      </c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</row>
    <row r="861" spans="1:88">
      <c r="A861" s="5">
        <v>218</v>
      </c>
      <c r="B861" s="11">
        <v>857</v>
      </c>
      <c r="C861" s="12">
        <v>46514</v>
      </c>
      <c r="D861" s="31">
        <f t="shared" si="19"/>
        <v>54</v>
      </c>
      <c r="E861" s="14"/>
      <c r="F861" s="5">
        <v>0</v>
      </c>
      <c r="G861" s="18">
        <f t="shared" si="20"/>
        <v>33.387500000000003</v>
      </c>
      <c r="H861" s="18">
        <f t="shared" si="21"/>
        <v>19.409836065573771</v>
      </c>
      <c r="I861" s="32">
        <v>24.04805488625011</v>
      </c>
      <c r="K861" s="32">
        <v>125.251830789778</v>
      </c>
      <c r="L861" s="32">
        <f t="shared" si="18"/>
        <v>16.438356164383563</v>
      </c>
      <c r="M861" s="5">
        <f t="shared" si="22"/>
        <v>67.808673724385073</v>
      </c>
      <c r="N861" s="5">
        <f t="shared" si="23"/>
        <v>14.098901098901099</v>
      </c>
      <c r="O861" s="32">
        <v>24.802158599652131</v>
      </c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</row>
    <row r="862" spans="1:88">
      <c r="A862" s="5">
        <v>219</v>
      </c>
      <c r="B862" s="11">
        <v>858</v>
      </c>
      <c r="C862" s="12">
        <v>46515</v>
      </c>
      <c r="D862" s="31">
        <f t="shared" si="19"/>
        <v>69</v>
      </c>
      <c r="E862" s="14"/>
      <c r="F862" s="5">
        <v>0</v>
      </c>
      <c r="G862" s="18">
        <f t="shared" si="20"/>
        <v>33.540199999999999</v>
      </c>
      <c r="H862" s="18">
        <f t="shared" si="21"/>
        <v>19.409836065573771</v>
      </c>
      <c r="I862" s="32">
        <v>45.502873189937937</v>
      </c>
      <c r="K862" s="32">
        <v>21.372030235181079</v>
      </c>
      <c r="L862" s="32">
        <f t="shared" si="18"/>
        <v>16.438356164383563</v>
      </c>
      <c r="M862" s="5">
        <f t="shared" si="22"/>
        <v>68.950209994215797</v>
      </c>
      <c r="N862" s="5">
        <f t="shared" si="23"/>
        <v>14.098901098901099</v>
      </c>
      <c r="O862" s="32">
        <v>31.140346405458839</v>
      </c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</row>
    <row r="863" spans="1:88">
      <c r="A863" s="5">
        <v>220</v>
      </c>
      <c r="B863" s="11">
        <v>859</v>
      </c>
      <c r="C863" s="12">
        <v>46516</v>
      </c>
      <c r="D863" s="31">
        <f t="shared" si="19"/>
        <v>47</v>
      </c>
      <c r="E863" s="14"/>
      <c r="F863" s="5">
        <v>0</v>
      </c>
      <c r="G863" s="18">
        <f t="shared" si="20"/>
        <v>33.692900000000002</v>
      </c>
      <c r="H863" s="18">
        <f t="shared" si="21"/>
        <v>19.409836065573771</v>
      </c>
      <c r="I863" s="32">
        <v>19.710177390210379</v>
      </c>
      <c r="K863" s="32">
        <v>1.856531650863475</v>
      </c>
      <c r="L863" s="32">
        <f t="shared" ref="L863:L926" si="24">12000/730</f>
        <v>16.438356164383563</v>
      </c>
      <c r="M863" s="5">
        <f t="shared" si="22"/>
        <v>69.164666022614909</v>
      </c>
      <c r="N863" s="5">
        <f t="shared" si="23"/>
        <v>14.098901098901099</v>
      </c>
      <c r="O863" s="32">
        <v>22.651249669746889</v>
      </c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</row>
    <row r="864" spans="1:88">
      <c r="A864" s="5">
        <v>221</v>
      </c>
      <c r="B864" s="11">
        <v>860</v>
      </c>
      <c r="C864" s="12">
        <v>46517</v>
      </c>
      <c r="D864" s="31">
        <f t="shared" ref="D864:D927" si="25">ROUNDUP(_xlfn.FORECAST.ETS(B864,$D$5:$D$734,$B$5:$B$734,365,0,1),0)</f>
        <v>52</v>
      </c>
      <c r="E864" s="14"/>
      <c r="F864" s="5">
        <v>0</v>
      </c>
      <c r="G864" s="18">
        <f t="shared" ref="G864:G927" si="26">0.1527*A864+0.0989</f>
        <v>33.845599999999997</v>
      </c>
      <c r="H864" s="18">
        <f t="shared" ref="H864:H927" si="27">AVERAGE($I$674:$I$734)</f>
        <v>19.409836065573771</v>
      </c>
      <c r="I864" s="32">
        <v>26.583083610959921</v>
      </c>
      <c r="K864" s="32">
        <v>125.251830789778</v>
      </c>
      <c r="L864" s="32">
        <f t="shared" si="24"/>
        <v>16.438356164383563</v>
      </c>
      <c r="M864" s="5">
        <f t="shared" ref="M864:M927" si="28">AVERAGE(K773:K863)</f>
        <v>67.808673724385073</v>
      </c>
      <c r="N864" s="5">
        <f t="shared" si="23"/>
        <v>14.098901098901099</v>
      </c>
      <c r="O864" s="32">
        <v>17.399849300483911</v>
      </c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</row>
    <row r="865" spans="1:88">
      <c r="A865" s="5">
        <v>222</v>
      </c>
      <c r="B865" s="11">
        <v>861</v>
      </c>
      <c r="C865" s="12">
        <v>46518</v>
      </c>
      <c r="D865" s="31">
        <f t="shared" si="25"/>
        <v>58</v>
      </c>
      <c r="E865" s="14"/>
      <c r="F865" s="5">
        <v>0</v>
      </c>
      <c r="G865" s="18">
        <f t="shared" si="26"/>
        <v>33.9983</v>
      </c>
      <c r="H865" s="18">
        <f t="shared" si="27"/>
        <v>19.409836065573771</v>
      </c>
      <c r="I865" s="32">
        <v>30.987089721105459</v>
      </c>
      <c r="K865" s="32">
        <v>125.251830789778</v>
      </c>
      <c r="L865" s="32">
        <f t="shared" si="24"/>
        <v>16.438356164383563</v>
      </c>
      <c r="M865" s="5">
        <f t="shared" si="28"/>
        <v>67.808673724385073</v>
      </c>
      <c r="N865" s="5">
        <f t="shared" si="23"/>
        <v>14.098901098901099</v>
      </c>
      <c r="O865" s="32">
        <v>10.44225437675394</v>
      </c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</row>
    <row r="866" spans="1:88">
      <c r="A866" s="5">
        <v>223</v>
      </c>
      <c r="B866" s="11">
        <v>862</v>
      </c>
      <c r="C866" s="12">
        <v>46519</v>
      </c>
      <c r="D866" s="31">
        <f t="shared" si="25"/>
        <v>29</v>
      </c>
      <c r="E866" s="14"/>
      <c r="F866" s="5">
        <v>0</v>
      </c>
      <c r="G866" s="18">
        <f t="shared" si="26"/>
        <v>34.151000000000003</v>
      </c>
      <c r="H866" s="18">
        <f t="shared" si="27"/>
        <v>19.409836065573771</v>
      </c>
      <c r="I866" s="32">
        <v>12.721775511190099</v>
      </c>
      <c r="K866" s="32">
        <v>21.372030235181079</v>
      </c>
      <c r="L866" s="32">
        <f t="shared" si="24"/>
        <v>16.438356164383563</v>
      </c>
      <c r="M866" s="5">
        <f t="shared" si="28"/>
        <v>68.950209994215797</v>
      </c>
      <c r="N866" s="5">
        <f t="shared" si="23"/>
        <v>14.098901098901099</v>
      </c>
      <c r="O866" s="32">
        <v>8.9342635633986021</v>
      </c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</row>
    <row r="867" spans="1:88">
      <c r="A867" s="5">
        <v>224</v>
      </c>
      <c r="B867" s="11">
        <v>863</v>
      </c>
      <c r="C867" s="12">
        <v>46520</v>
      </c>
      <c r="D867" s="31">
        <f t="shared" si="25"/>
        <v>46</v>
      </c>
      <c r="E867" s="14"/>
      <c r="F867" s="5">
        <v>0</v>
      </c>
      <c r="G867" s="18">
        <f t="shared" si="26"/>
        <v>34.303699999999999</v>
      </c>
      <c r="H867" s="18">
        <f t="shared" si="27"/>
        <v>19.409836065573771</v>
      </c>
      <c r="I867" s="32">
        <v>39.865648968539318</v>
      </c>
      <c r="K867" s="32">
        <v>1.856531650863475</v>
      </c>
      <c r="L867" s="32">
        <f t="shared" si="24"/>
        <v>16.438356164383563</v>
      </c>
      <c r="M867" s="5">
        <f t="shared" si="28"/>
        <v>69.164666022614909</v>
      </c>
      <c r="N867" s="5">
        <f t="shared" si="23"/>
        <v>14.098901098901099</v>
      </c>
      <c r="O867" s="32">
        <v>23.142398274858859</v>
      </c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</row>
    <row r="868" spans="1:88">
      <c r="A868" s="5">
        <v>225</v>
      </c>
      <c r="B868" s="11">
        <v>864</v>
      </c>
      <c r="C868" s="12">
        <v>46521</v>
      </c>
      <c r="D868" s="31">
        <f t="shared" si="25"/>
        <v>80</v>
      </c>
      <c r="E868" s="14"/>
      <c r="F868" s="5">
        <v>0</v>
      </c>
      <c r="G868" s="18">
        <f t="shared" si="26"/>
        <v>34.456400000000002</v>
      </c>
      <c r="H868" s="18">
        <f t="shared" si="27"/>
        <v>19.409836065573771</v>
      </c>
      <c r="I868" s="32">
        <v>33.095927231551478</v>
      </c>
      <c r="K868" s="32">
        <v>125.251830789778</v>
      </c>
      <c r="L868" s="32">
        <f t="shared" si="24"/>
        <v>16.438356164383563</v>
      </c>
      <c r="M868" s="5">
        <f t="shared" si="28"/>
        <v>67.808673724385073</v>
      </c>
      <c r="N868" s="5">
        <f t="shared" si="23"/>
        <v>14.098901098901099</v>
      </c>
      <c r="O868" s="32">
        <v>20.048095535949301</v>
      </c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</row>
    <row r="869" spans="1:88">
      <c r="A869" s="5">
        <v>226</v>
      </c>
      <c r="B869" s="11">
        <v>865</v>
      </c>
      <c r="C869" s="12">
        <v>46522</v>
      </c>
      <c r="D869" s="31">
        <f t="shared" si="25"/>
        <v>51</v>
      </c>
      <c r="E869" s="14"/>
      <c r="F869" s="5">
        <v>0</v>
      </c>
      <c r="G869" s="18">
        <f t="shared" si="26"/>
        <v>34.609099999999998</v>
      </c>
      <c r="H869" s="18">
        <f t="shared" si="27"/>
        <v>19.409836065573771</v>
      </c>
      <c r="I869" s="32">
        <v>32.071018875258318</v>
      </c>
      <c r="K869" s="32">
        <v>125.251830789778</v>
      </c>
      <c r="L869" s="32">
        <f t="shared" si="24"/>
        <v>16.438356164383563</v>
      </c>
      <c r="M869" s="5">
        <f t="shared" si="28"/>
        <v>67.808673724385073</v>
      </c>
      <c r="N869" s="5">
        <f t="shared" si="23"/>
        <v>14.098901098901099</v>
      </c>
      <c r="O869" s="32">
        <v>32.599263863566421</v>
      </c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</row>
    <row r="870" spans="1:88">
      <c r="A870" s="5">
        <v>227</v>
      </c>
      <c r="B870" s="11">
        <v>866</v>
      </c>
      <c r="C870" s="12">
        <v>46523</v>
      </c>
      <c r="D870" s="31">
        <f t="shared" si="25"/>
        <v>39</v>
      </c>
      <c r="E870" s="14"/>
      <c r="F870" s="5">
        <v>0</v>
      </c>
      <c r="G870" s="18">
        <f t="shared" si="26"/>
        <v>34.761800000000001</v>
      </c>
      <c r="H870" s="18">
        <f t="shared" si="27"/>
        <v>19.409836065573771</v>
      </c>
      <c r="I870" s="32">
        <v>14.71544070930892</v>
      </c>
      <c r="K870" s="32">
        <v>21.372030235181079</v>
      </c>
      <c r="L870" s="32">
        <f t="shared" si="24"/>
        <v>16.438356164383563</v>
      </c>
      <c r="M870" s="5">
        <f t="shared" si="28"/>
        <v>68.950209994215797</v>
      </c>
      <c r="N870" s="5">
        <f t="shared" si="23"/>
        <v>14.098901098901099</v>
      </c>
      <c r="O870" s="32">
        <v>16.32368366145505</v>
      </c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</row>
    <row r="871" spans="1:88">
      <c r="A871" s="5">
        <v>228</v>
      </c>
      <c r="B871" s="11">
        <v>867</v>
      </c>
      <c r="C871" s="12">
        <v>46524</v>
      </c>
      <c r="D871" s="31">
        <f t="shared" si="25"/>
        <v>22</v>
      </c>
      <c r="E871" s="14"/>
      <c r="F871" s="5">
        <v>0</v>
      </c>
      <c r="G871" s="18">
        <f t="shared" si="26"/>
        <v>34.914500000000004</v>
      </c>
      <c r="H871" s="18">
        <f t="shared" si="27"/>
        <v>19.409836065573771</v>
      </c>
      <c r="I871" s="32">
        <v>23.544175434079381</v>
      </c>
      <c r="K871" s="32">
        <v>1.856531650863475</v>
      </c>
      <c r="L871" s="32">
        <f t="shared" si="24"/>
        <v>16.438356164383563</v>
      </c>
      <c r="M871" s="5">
        <f t="shared" si="28"/>
        <v>69.164666022614909</v>
      </c>
      <c r="N871" s="5">
        <f t="shared" si="23"/>
        <v>14.098901098901099</v>
      </c>
      <c r="O871" s="32">
        <v>12.919317802128081</v>
      </c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</row>
    <row r="872" spans="1:88">
      <c r="A872" s="5">
        <v>229</v>
      </c>
      <c r="B872" s="11">
        <v>868</v>
      </c>
      <c r="C872" s="12">
        <v>46525</v>
      </c>
      <c r="D872" s="31">
        <f t="shared" si="25"/>
        <v>59</v>
      </c>
      <c r="E872" s="14"/>
      <c r="F872" s="5">
        <v>0</v>
      </c>
      <c r="G872" s="18">
        <f t="shared" si="26"/>
        <v>35.0672</v>
      </c>
      <c r="H872" s="18">
        <f t="shared" si="27"/>
        <v>19.409836065573771</v>
      </c>
      <c r="I872" s="32">
        <v>25.567648762456471</v>
      </c>
      <c r="K872" s="32">
        <v>125.251830789778</v>
      </c>
      <c r="L872" s="32">
        <f t="shared" si="24"/>
        <v>16.438356164383563</v>
      </c>
      <c r="M872" s="5">
        <f t="shared" si="28"/>
        <v>67.808673724385073</v>
      </c>
      <c r="N872" s="5">
        <f t="shared" si="23"/>
        <v>14.098901098901099</v>
      </c>
      <c r="O872" s="32">
        <v>15.50709492536329</v>
      </c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</row>
    <row r="873" spans="1:88">
      <c r="A873" s="5">
        <v>230</v>
      </c>
      <c r="B873" s="11">
        <v>869</v>
      </c>
      <c r="C873" s="12">
        <v>46526</v>
      </c>
      <c r="D873" s="31">
        <f t="shared" si="25"/>
        <v>74</v>
      </c>
      <c r="E873" s="14"/>
      <c r="F873" s="5">
        <v>0</v>
      </c>
      <c r="G873" s="18">
        <f t="shared" si="26"/>
        <v>35.219900000000003</v>
      </c>
      <c r="H873" s="18">
        <f t="shared" si="27"/>
        <v>19.409836065573771</v>
      </c>
      <c r="I873" s="32">
        <v>11.371604079808799</v>
      </c>
      <c r="K873" s="32">
        <v>125.251830789778</v>
      </c>
      <c r="L873" s="32">
        <f t="shared" si="24"/>
        <v>16.438356164383563</v>
      </c>
      <c r="M873" s="5">
        <f t="shared" si="28"/>
        <v>67.808673724385073</v>
      </c>
      <c r="N873" s="5">
        <f t="shared" si="23"/>
        <v>14.098901098901099</v>
      </c>
      <c r="O873" s="32">
        <v>26.314008040481578</v>
      </c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</row>
    <row r="874" spans="1:88">
      <c r="A874" s="5">
        <v>231</v>
      </c>
      <c r="B874" s="11">
        <v>870</v>
      </c>
      <c r="C874" s="12">
        <v>46527</v>
      </c>
      <c r="D874" s="31">
        <f t="shared" si="25"/>
        <v>39</v>
      </c>
      <c r="E874" s="14"/>
      <c r="F874" s="5">
        <v>0</v>
      </c>
      <c r="G874" s="18">
        <f t="shared" si="26"/>
        <v>35.372599999999998</v>
      </c>
      <c r="H874" s="18">
        <f t="shared" si="27"/>
        <v>19.409836065573771</v>
      </c>
      <c r="I874" s="32">
        <v>21.325286470327001</v>
      </c>
      <c r="K874" s="32">
        <v>21.372030235181079</v>
      </c>
      <c r="L874" s="32">
        <f t="shared" si="24"/>
        <v>16.438356164383563</v>
      </c>
      <c r="M874" s="5">
        <f t="shared" si="28"/>
        <v>68.950209994215797</v>
      </c>
      <c r="N874" s="5">
        <f t="shared" si="23"/>
        <v>14.098901098901099</v>
      </c>
      <c r="O874" s="32">
        <v>36.72286310937946</v>
      </c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</row>
    <row r="875" spans="1:88">
      <c r="A875" s="5">
        <v>232</v>
      </c>
      <c r="B875" s="11">
        <v>871</v>
      </c>
      <c r="C875" s="12">
        <v>46528</v>
      </c>
      <c r="D875" s="31">
        <f t="shared" si="25"/>
        <v>54</v>
      </c>
      <c r="E875" s="14"/>
      <c r="F875" s="5">
        <v>0</v>
      </c>
      <c r="G875" s="18">
        <f t="shared" si="26"/>
        <v>35.525300000000001</v>
      </c>
      <c r="H875" s="18">
        <f t="shared" si="27"/>
        <v>19.409836065573771</v>
      </c>
      <c r="I875" s="32">
        <v>30.703418436129091</v>
      </c>
      <c r="K875" s="32">
        <v>1.856531650863475</v>
      </c>
      <c r="L875" s="32">
        <f t="shared" si="24"/>
        <v>16.438356164383563</v>
      </c>
      <c r="M875" s="5">
        <f t="shared" si="28"/>
        <v>69.164666022614909</v>
      </c>
      <c r="N875" s="5">
        <f t="shared" si="23"/>
        <v>14.098901098901099</v>
      </c>
      <c r="O875" s="32">
        <v>19.75655508984574</v>
      </c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</row>
    <row r="876" spans="1:88">
      <c r="A876" s="5">
        <v>233</v>
      </c>
      <c r="B876" s="11">
        <v>872</v>
      </c>
      <c r="C876" s="12">
        <v>46529</v>
      </c>
      <c r="D876" s="31">
        <f t="shared" si="25"/>
        <v>50</v>
      </c>
      <c r="E876" s="14"/>
      <c r="F876" s="5">
        <v>0</v>
      </c>
      <c r="G876" s="18">
        <f t="shared" si="26"/>
        <v>35.678000000000004</v>
      </c>
      <c r="H876" s="18">
        <f t="shared" si="27"/>
        <v>19.409836065573771</v>
      </c>
      <c r="I876" s="32">
        <v>30.488942722965739</v>
      </c>
      <c r="K876" s="32">
        <v>125.251830789778</v>
      </c>
      <c r="L876" s="32">
        <f t="shared" si="24"/>
        <v>16.438356164383563</v>
      </c>
      <c r="M876" s="5">
        <f t="shared" si="28"/>
        <v>67.808673724385073</v>
      </c>
      <c r="N876" s="5">
        <f t="shared" si="23"/>
        <v>14.098901098901099</v>
      </c>
      <c r="O876" s="32">
        <v>18.4013966810213</v>
      </c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</row>
    <row r="877" spans="1:88">
      <c r="A877" s="5">
        <v>234</v>
      </c>
      <c r="B877" s="11">
        <v>873</v>
      </c>
      <c r="C877" s="12">
        <v>46530</v>
      </c>
      <c r="D877" s="31">
        <f t="shared" si="25"/>
        <v>57</v>
      </c>
      <c r="E877" s="14"/>
      <c r="F877" s="5">
        <v>0</v>
      </c>
      <c r="G877" s="18">
        <f t="shared" si="26"/>
        <v>35.8307</v>
      </c>
      <c r="H877" s="18">
        <f t="shared" si="27"/>
        <v>19.409836065573771</v>
      </c>
      <c r="I877" s="32">
        <v>22.61026962043519</v>
      </c>
      <c r="K877" s="32">
        <v>125.251830789778</v>
      </c>
      <c r="L877" s="32">
        <f t="shared" si="24"/>
        <v>16.438356164383563</v>
      </c>
      <c r="M877" s="5">
        <f t="shared" si="28"/>
        <v>67.808673724385073</v>
      </c>
      <c r="N877" s="5">
        <f t="shared" si="23"/>
        <v>14.098901098901099</v>
      </c>
      <c r="O877" s="32">
        <v>5.113252838868652</v>
      </c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</row>
    <row r="878" spans="1:88">
      <c r="A878" s="5">
        <v>235</v>
      </c>
      <c r="B878" s="11">
        <v>874</v>
      </c>
      <c r="C878" s="12">
        <v>46531</v>
      </c>
      <c r="D878" s="31">
        <f t="shared" si="25"/>
        <v>66</v>
      </c>
      <c r="E878" s="14"/>
      <c r="F878" s="5">
        <v>0</v>
      </c>
      <c r="G878" s="18">
        <f t="shared" si="26"/>
        <v>35.983400000000003</v>
      </c>
      <c r="H878" s="18">
        <f t="shared" si="27"/>
        <v>19.409836065573771</v>
      </c>
      <c r="I878" s="32">
        <v>32.504456362573492</v>
      </c>
      <c r="K878" s="32">
        <v>21.372030235181079</v>
      </c>
      <c r="L878" s="32">
        <f t="shared" si="24"/>
        <v>16.438356164383563</v>
      </c>
      <c r="M878" s="5">
        <f t="shared" si="28"/>
        <v>68.950209994215797</v>
      </c>
      <c r="N878" s="5">
        <f t="shared" si="23"/>
        <v>14.098901098901099</v>
      </c>
      <c r="O878" s="32">
        <v>11.80618786041761</v>
      </c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</row>
    <row r="879" spans="1:88">
      <c r="A879" s="5">
        <v>236</v>
      </c>
      <c r="B879" s="11">
        <v>875</v>
      </c>
      <c r="C879" s="12">
        <v>46532</v>
      </c>
      <c r="D879" s="31">
        <f t="shared" si="25"/>
        <v>28</v>
      </c>
      <c r="E879" s="14"/>
      <c r="F879" s="5">
        <v>0</v>
      </c>
      <c r="G879" s="18">
        <f t="shared" si="26"/>
        <v>36.136099999999999</v>
      </c>
      <c r="H879" s="18">
        <f t="shared" si="27"/>
        <v>19.409836065573771</v>
      </c>
      <c r="I879" s="32">
        <v>30.930307848059609</v>
      </c>
      <c r="K879" s="32">
        <v>1.856531650863475</v>
      </c>
      <c r="L879" s="32">
        <f t="shared" si="24"/>
        <v>16.438356164383563</v>
      </c>
      <c r="M879" s="5">
        <f t="shared" si="28"/>
        <v>69.164666022614909</v>
      </c>
      <c r="N879" s="5">
        <f t="shared" si="23"/>
        <v>14.098901098901099</v>
      </c>
      <c r="O879" s="32">
        <v>25.837565149852491</v>
      </c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</row>
    <row r="880" spans="1:88">
      <c r="A880" s="5">
        <v>237</v>
      </c>
      <c r="B880" s="11">
        <v>876</v>
      </c>
      <c r="C880" s="12">
        <v>46533</v>
      </c>
      <c r="D880" s="31">
        <f t="shared" si="25"/>
        <v>86</v>
      </c>
      <c r="E880" s="14"/>
      <c r="F880" s="5">
        <v>0</v>
      </c>
      <c r="G880" s="18">
        <f t="shared" si="26"/>
        <v>36.288800000000002</v>
      </c>
      <c r="H880" s="18">
        <f t="shared" si="27"/>
        <v>19.409836065573771</v>
      </c>
      <c r="I880" s="32">
        <v>33.787153073894672</v>
      </c>
      <c r="K880" s="32">
        <v>125.251830789778</v>
      </c>
      <c r="L880" s="32">
        <f t="shared" si="24"/>
        <v>16.438356164383563</v>
      </c>
      <c r="M880" s="5">
        <f t="shared" si="28"/>
        <v>67.808673724385073</v>
      </c>
      <c r="N880" s="5">
        <f t="shared" si="23"/>
        <v>14.098901098901099</v>
      </c>
      <c r="O880" s="32">
        <v>18.113971055076419</v>
      </c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</row>
    <row r="881" spans="1:88">
      <c r="A881" s="5">
        <v>238</v>
      </c>
      <c r="B881" s="11">
        <v>877</v>
      </c>
      <c r="C881" s="12">
        <v>46534</v>
      </c>
      <c r="D881" s="31">
        <f t="shared" si="25"/>
        <v>30</v>
      </c>
      <c r="E881" s="14"/>
      <c r="F881" s="5">
        <v>0</v>
      </c>
      <c r="G881" s="18">
        <f t="shared" si="26"/>
        <v>36.441499999999998</v>
      </c>
      <c r="H881" s="18">
        <f t="shared" si="27"/>
        <v>19.409836065573771</v>
      </c>
      <c r="I881" s="32">
        <v>34.697007247044681</v>
      </c>
      <c r="K881" s="32">
        <v>125.251830789778</v>
      </c>
      <c r="L881" s="32">
        <f t="shared" si="24"/>
        <v>16.438356164383563</v>
      </c>
      <c r="M881" s="5">
        <f t="shared" si="28"/>
        <v>67.808673724385073</v>
      </c>
      <c r="N881" s="5">
        <f t="shared" si="23"/>
        <v>14.098901098901099</v>
      </c>
      <c r="O881" s="32">
        <v>23.64322410029768</v>
      </c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</row>
    <row r="882" spans="1:88">
      <c r="A882" s="5">
        <v>239</v>
      </c>
      <c r="B882" s="11">
        <v>878</v>
      </c>
      <c r="C882" s="12">
        <v>46535</v>
      </c>
      <c r="D882" s="31">
        <f t="shared" si="25"/>
        <v>34</v>
      </c>
      <c r="E882" s="14"/>
      <c r="F882" s="5">
        <v>0</v>
      </c>
      <c r="G882" s="18">
        <f t="shared" si="26"/>
        <v>36.594200000000001</v>
      </c>
      <c r="H882" s="18">
        <f t="shared" si="27"/>
        <v>19.409836065573771</v>
      </c>
      <c r="I882" s="32">
        <v>25.85608338233066</v>
      </c>
      <c r="K882" s="32">
        <v>21.372030235181079</v>
      </c>
      <c r="L882" s="32">
        <f t="shared" si="24"/>
        <v>16.438356164383563</v>
      </c>
      <c r="M882" s="5">
        <f t="shared" si="28"/>
        <v>68.950209994215797</v>
      </c>
      <c r="N882" s="5">
        <f t="shared" si="23"/>
        <v>14.098901098901099</v>
      </c>
      <c r="O882" s="32">
        <v>31.318037911299989</v>
      </c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</row>
    <row r="883" spans="1:88">
      <c r="A883" s="5">
        <v>240</v>
      </c>
      <c r="B883" s="11">
        <v>879</v>
      </c>
      <c r="C883" s="12">
        <v>46536</v>
      </c>
      <c r="D883" s="31">
        <f t="shared" si="25"/>
        <v>58</v>
      </c>
      <c r="E883" s="14"/>
      <c r="F883" s="5">
        <v>0</v>
      </c>
      <c r="G883" s="18">
        <f t="shared" si="26"/>
        <v>36.746900000000004</v>
      </c>
      <c r="H883" s="18">
        <f t="shared" si="27"/>
        <v>19.409836065573771</v>
      </c>
      <c r="I883" s="32">
        <v>48.643759990994177</v>
      </c>
      <c r="K883" s="32">
        <v>1.856531650863475</v>
      </c>
      <c r="L883" s="32">
        <f t="shared" si="24"/>
        <v>16.438356164383563</v>
      </c>
      <c r="M883" s="5">
        <f t="shared" si="28"/>
        <v>69.164666022614909</v>
      </c>
      <c r="N883" s="5">
        <f t="shared" si="23"/>
        <v>14.098901098901099</v>
      </c>
      <c r="O883" s="32">
        <v>12.26029895428522</v>
      </c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</row>
    <row r="884" spans="1:88">
      <c r="A884" s="5">
        <v>241</v>
      </c>
      <c r="B884" s="11">
        <v>880</v>
      </c>
      <c r="C884" s="12">
        <v>46537</v>
      </c>
      <c r="D884" s="31">
        <f t="shared" si="25"/>
        <v>69</v>
      </c>
      <c r="E884" s="14"/>
      <c r="F884" s="5">
        <v>0</v>
      </c>
      <c r="G884" s="18">
        <f t="shared" si="26"/>
        <v>36.8996</v>
      </c>
      <c r="H884" s="18">
        <f t="shared" si="27"/>
        <v>19.409836065573771</v>
      </c>
      <c r="I884" s="32">
        <v>19.03505098121126</v>
      </c>
      <c r="K884" s="32">
        <v>125.251830789778</v>
      </c>
      <c r="L884" s="32">
        <f t="shared" si="24"/>
        <v>16.438356164383563</v>
      </c>
      <c r="M884" s="5">
        <f t="shared" si="28"/>
        <v>67.808673724385073</v>
      </c>
      <c r="N884" s="5">
        <f t="shared" si="23"/>
        <v>14.098901098901099</v>
      </c>
      <c r="O884" s="32">
        <v>8.8170897179508216</v>
      </c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</row>
    <row r="885" spans="1:88">
      <c r="A885" s="5">
        <v>242</v>
      </c>
      <c r="B885" s="11">
        <v>881</v>
      </c>
      <c r="C885" s="12">
        <v>46538</v>
      </c>
      <c r="D885" s="31">
        <f t="shared" si="25"/>
        <v>45</v>
      </c>
      <c r="E885" s="14"/>
      <c r="F885" s="5">
        <v>0</v>
      </c>
      <c r="G885" s="18">
        <f t="shared" si="26"/>
        <v>37.052300000000002</v>
      </c>
      <c r="H885" s="18">
        <f t="shared" si="27"/>
        <v>19.409836065573771</v>
      </c>
      <c r="I885" s="32">
        <v>27.087974924256301</v>
      </c>
      <c r="K885" s="32">
        <v>125.251830789778</v>
      </c>
      <c r="L885" s="32">
        <f t="shared" si="24"/>
        <v>16.438356164383563</v>
      </c>
      <c r="M885" s="5">
        <f t="shared" si="28"/>
        <v>67.808673724385073</v>
      </c>
      <c r="N885" s="5">
        <f t="shared" si="23"/>
        <v>14.098901098901099</v>
      </c>
      <c r="O885" s="32">
        <v>17.901487929653499</v>
      </c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</row>
    <row r="886" spans="1:88">
      <c r="A886" s="5">
        <v>243</v>
      </c>
      <c r="B886" s="11">
        <v>882</v>
      </c>
      <c r="C886" s="12">
        <v>46539</v>
      </c>
      <c r="D886" s="31">
        <f t="shared" si="25"/>
        <v>88</v>
      </c>
      <c r="E886" s="14"/>
      <c r="F886" s="5">
        <v>0</v>
      </c>
      <c r="G886" s="18">
        <f t="shared" si="26"/>
        <v>37.204999999999998</v>
      </c>
      <c r="H886" s="18">
        <f t="shared" si="27"/>
        <v>19.409836065573771</v>
      </c>
      <c r="I886" s="32">
        <v>24.011428150026191</v>
      </c>
      <c r="K886" s="32">
        <v>21.372030235181079</v>
      </c>
      <c r="L886" s="32">
        <f t="shared" si="24"/>
        <v>16.438356164383563</v>
      </c>
      <c r="M886" s="5">
        <f t="shared" si="28"/>
        <v>68.950209994215797</v>
      </c>
      <c r="N886" s="5">
        <f t="shared" si="23"/>
        <v>14.098901098901099</v>
      </c>
      <c r="O886" s="32">
        <v>19.54129322189074</v>
      </c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</row>
    <row r="887" spans="1:88">
      <c r="A887" s="5">
        <v>244</v>
      </c>
      <c r="B887" s="11">
        <v>883</v>
      </c>
      <c r="C887" s="12">
        <v>46540</v>
      </c>
      <c r="D887" s="31">
        <f t="shared" si="25"/>
        <v>102</v>
      </c>
      <c r="E887" s="14"/>
      <c r="F887" s="5">
        <v>0</v>
      </c>
      <c r="G887" s="18">
        <f t="shared" si="26"/>
        <v>37.357700000000001</v>
      </c>
      <c r="H887" s="18">
        <f t="shared" si="27"/>
        <v>19.409836065573771</v>
      </c>
      <c r="I887" s="32">
        <v>11.5905206049763</v>
      </c>
      <c r="K887" s="32">
        <v>1.856531650863475</v>
      </c>
      <c r="L887" s="32">
        <f t="shared" si="24"/>
        <v>16.438356164383563</v>
      </c>
      <c r="M887" s="5">
        <f t="shared" si="28"/>
        <v>69.164666022614909</v>
      </c>
      <c r="N887" s="5">
        <f t="shared" si="23"/>
        <v>14.098901098901099</v>
      </c>
      <c r="O887" s="32">
        <v>36.272545961289268</v>
      </c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</row>
    <row r="888" spans="1:88">
      <c r="A888" s="5">
        <v>245</v>
      </c>
      <c r="B888" s="11">
        <v>884</v>
      </c>
      <c r="C888" s="12">
        <v>46541</v>
      </c>
      <c r="D888" s="31">
        <f t="shared" si="25"/>
        <v>56</v>
      </c>
      <c r="E888" s="14"/>
      <c r="F888" s="5">
        <v>0</v>
      </c>
      <c r="G888" s="18">
        <f t="shared" si="26"/>
        <v>37.510400000000004</v>
      </c>
      <c r="H888" s="18">
        <f t="shared" si="27"/>
        <v>19.409836065573771</v>
      </c>
      <c r="I888" s="32">
        <v>35.993286456207493</v>
      </c>
      <c r="K888" s="32">
        <v>125.251830789778</v>
      </c>
      <c r="L888" s="32">
        <f t="shared" si="24"/>
        <v>16.438356164383563</v>
      </c>
      <c r="M888" s="5">
        <f t="shared" si="28"/>
        <v>67.808673724385073</v>
      </c>
      <c r="N888" s="5">
        <f t="shared" si="23"/>
        <v>14.098901098901099</v>
      </c>
      <c r="O888" s="32">
        <v>14.83414871509248</v>
      </c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</row>
    <row r="889" spans="1:88">
      <c r="A889" s="5">
        <v>246</v>
      </c>
      <c r="B889" s="11">
        <v>885</v>
      </c>
      <c r="C889" s="12">
        <v>46542</v>
      </c>
      <c r="D889" s="31">
        <f t="shared" si="25"/>
        <v>40</v>
      </c>
      <c r="E889" s="14"/>
      <c r="F889" s="5">
        <v>0</v>
      </c>
      <c r="G889" s="18">
        <f t="shared" si="26"/>
        <v>37.6631</v>
      </c>
      <c r="H889" s="18">
        <f t="shared" si="27"/>
        <v>19.409836065573771</v>
      </c>
      <c r="I889" s="32">
        <v>38.566479910377872</v>
      </c>
      <c r="K889" s="32">
        <v>125.251830789778</v>
      </c>
      <c r="L889" s="32">
        <f t="shared" si="24"/>
        <v>16.438356164383563</v>
      </c>
      <c r="M889" s="5">
        <f t="shared" si="28"/>
        <v>67.808673724385073</v>
      </c>
      <c r="N889" s="5">
        <f t="shared" si="23"/>
        <v>14.098901098901099</v>
      </c>
      <c r="O889" s="32">
        <v>16.709758437233869</v>
      </c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</row>
    <row r="890" spans="1:88">
      <c r="A890" s="5">
        <v>247</v>
      </c>
      <c r="B890" s="11">
        <v>886</v>
      </c>
      <c r="C890" s="12">
        <v>46543</v>
      </c>
      <c r="D890" s="31">
        <f t="shared" si="25"/>
        <v>57</v>
      </c>
      <c r="E890" s="14"/>
      <c r="F890" s="5">
        <v>0</v>
      </c>
      <c r="G890" s="18">
        <f t="shared" si="26"/>
        <v>37.815800000000003</v>
      </c>
      <c r="H890" s="18">
        <f t="shared" si="27"/>
        <v>19.409836065573771</v>
      </c>
      <c r="I890" s="32">
        <v>36.978026321075113</v>
      </c>
      <c r="K890" s="32">
        <v>21.372030235181079</v>
      </c>
      <c r="L890" s="32">
        <f t="shared" si="24"/>
        <v>16.438356164383563</v>
      </c>
      <c r="M890" s="5">
        <f t="shared" si="28"/>
        <v>68.950209994215797</v>
      </c>
      <c r="N890" s="5">
        <f t="shared" si="23"/>
        <v>14.098901098901099</v>
      </c>
      <c r="O890" s="32">
        <v>12.78503188844499</v>
      </c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</row>
    <row r="891" spans="1:88">
      <c r="A891" s="5">
        <v>248</v>
      </c>
      <c r="B891" s="11">
        <v>887</v>
      </c>
      <c r="C891" s="12">
        <v>46544</v>
      </c>
      <c r="D891" s="31">
        <f t="shared" si="25"/>
        <v>36</v>
      </c>
      <c r="E891" s="14"/>
      <c r="F891" s="5">
        <v>0</v>
      </c>
      <c r="G891" s="18">
        <f t="shared" si="26"/>
        <v>37.968499999999999</v>
      </c>
      <c r="H891" s="18">
        <f t="shared" si="27"/>
        <v>19.409836065573771</v>
      </c>
      <c r="I891" s="32">
        <v>27.79818745184307</v>
      </c>
      <c r="K891" s="32">
        <v>1.856531650863475</v>
      </c>
      <c r="L891" s="32">
        <f t="shared" si="24"/>
        <v>16.438356164383563</v>
      </c>
      <c r="M891" s="5">
        <f t="shared" si="28"/>
        <v>69.164666022614909</v>
      </c>
      <c r="N891" s="5">
        <f t="shared" si="23"/>
        <v>14.098901098901099</v>
      </c>
      <c r="O891" s="32">
        <v>24.850503960121159</v>
      </c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</row>
    <row r="892" spans="1:88">
      <c r="A892" s="5">
        <v>249</v>
      </c>
      <c r="B892" s="11">
        <v>888</v>
      </c>
      <c r="C892" s="12">
        <v>46545</v>
      </c>
      <c r="D892" s="31">
        <f t="shared" si="25"/>
        <v>69</v>
      </c>
      <c r="E892" s="14"/>
      <c r="F892" s="5">
        <v>0</v>
      </c>
      <c r="G892" s="18">
        <f t="shared" si="26"/>
        <v>38.121200000000002</v>
      </c>
      <c r="H892" s="18">
        <f t="shared" si="27"/>
        <v>19.409836065573771</v>
      </c>
      <c r="I892" s="32">
        <v>21.49129163223331</v>
      </c>
      <c r="K892" s="32">
        <v>125.251830789778</v>
      </c>
      <c r="L892" s="32">
        <f t="shared" si="24"/>
        <v>16.438356164383563</v>
      </c>
      <c r="M892" s="5">
        <f t="shared" si="28"/>
        <v>67.808673724385073</v>
      </c>
      <c r="N892" s="5">
        <f t="shared" si="23"/>
        <v>14.098901098901099</v>
      </c>
      <c r="O892" s="32">
        <v>24.897588522926089</v>
      </c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</row>
    <row r="893" spans="1:88">
      <c r="A893" s="5">
        <v>250</v>
      </c>
      <c r="B893" s="11">
        <v>889</v>
      </c>
      <c r="C893" s="12">
        <v>46546</v>
      </c>
      <c r="D893" s="31">
        <f t="shared" si="25"/>
        <v>62</v>
      </c>
      <c r="E893" s="14"/>
      <c r="F893" s="5">
        <v>0</v>
      </c>
      <c r="G893" s="18">
        <f t="shared" si="26"/>
        <v>38.273899999999998</v>
      </c>
      <c r="H893" s="18">
        <f t="shared" si="27"/>
        <v>19.409836065573771</v>
      </c>
      <c r="I893" s="32">
        <v>21.211148289111581</v>
      </c>
      <c r="K893" s="32">
        <v>125.251830789778</v>
      </c>
      <c r="L893" s="32">
        <f t="shared" si="24"/>
        <v>16.438356164383563</v>
      </c>
      <c r="M893" s="5">
        <f t="shared" si="28"/>
        <v>67.808673724385073</v>
      </c>
      <c r="N893" s="5">
        <f t="shared" si="23"/>
        <v>14.098901098901099</v>
      </c>
      <c r="O893" s="32">
        <v>17.134526998282521</v>
      </c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</row>
    <row r="894" spans="1:88">
      <c r="A894" s="5">
        <v>251</v>
      </c>
      <c r="B894" s="11">
        <v>890</v>
      </c>
      <c r="C894" s="12">
        <v>46547</v>
      </c>
      <c r="D894" s="31">
        <f t="shared" si="25"/>
        <v>75</v>
      </c>
      <c r="E894" s="14"/>
      <c r="F894" s="5">
        <v>0</v>
      </c>
      <c r="G894" s="18">
        <f t="shared" si="26"/>
        <v>38.426600000000001</v>
      </c>
      <c r="H894" s="18">
        <f t="shared" si="27"/>
        <v>19.409836065573771</v>
      </c>
      <c r="I894" s="32">
        <v>11.10971424600713</v>
      </c>
      <c r="K894" s="32">
        <v>21.372030235181079</v>
      </c>
      <c r="L894" s="32">
        <f t="shared" si="24"/>
        <v>16.438356164383563</v>
      </c>
      <c r="M894" s="5">
        <f t="shared" si="28"/>
        <v>68.950209994215797</v>
      </c>
      <c r="N894" s="5">
        <f t="shared" si="23"/>
        <v>14.098901098901099</v>
      </c>
      <c r="O894" s="32">
        <v>11.63015698211324</v>
      </c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</row>
    <row r="895" spans="1:88">
      <c r="A895" s="5">
        <v>252</v>
      </c>
      <c r="B895" s="11">
        <v>891</v>
      </c>
      <c r="C895" s="12">
        <v>46548</v>
      </c>
      <c r="D895" s="31">
        <f t="shared" si="25"/>
        <v>53</v>
      </c>
      <c r="E895" s="14"/>
      <c r="F895" s="5">
        <v>0</v>
      </c>
      <c r="G895" s="18">
        <f t="shared" si="26"/>
        <v>38.579300000000003</v>
      </c>
      <c r="H895" s="18">
        <f t="shared" si="27"/>
        <v>19.409836065573771</v>
      </c>
      <c r="I895" s="32">
        <v>24.021926817775739</v>
      </c>
      <c r="K895" s="32">
        <v>1.856531650863475</v>
      </c>
      <c r="L895" s="32">
        <f t="shared" si="24"/>
        <v>16.438356164383563</v>
      </c>
      <c r="M895" s="5">
        <f t="shared" si="28"/>
        <v>69.164666022614909</v>
      </c>
      <c r="N895" s="5">
        <f t="shared" si="23"/>
        <v>14.098901098901099</v>
      </c>
      <c r="O895" s="32">
        <v>15.708306255224141</v>
      </c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</row>
    <row r="896" spans="1:88">
      <c r="A896" s="5">
        <v>253</v>
      </c>
      <c r="B896" s="11">
        <v>892</v>
      </c>
      <c r="C896" s="12">
        <v>46549</v>
      </c>
      <c r="D896" s="31">
        <f t="shared" si="25"/>
        <v>48</v>
      </c>
      <c r="E896" s="14"/>
      <c r="F896" s="5">
        <v>0</v>
      </c>
      <c r="G896" s="18">
        <f t="shared" si="26"/>
        <v>38.731999999999999</v>
      </c>
      <c r="H896" s="18">
        <f t="shared" si="27"/>
        <v>19.409836065573771</v>
      </c>
      <c r="I896" s="32">
        <v>14.71695917246068</v>
      </c>
      <c r="K896" s="32">
        <v>125.251830789778</v>
      </c>
      <c r="L896" s="32">
        <f t="shared" si="24"/>
        <v>16.438356164383563</v>
      </c>
      <c r="M896" s="5">
        <f t="shared" si="28"/>
        <v>67.808673724385073</v>
      </c>
      <c r="N896" s="5">
        <f t="shared" si="23"/>
        <v>14.098901098901099</v>
      </c>
      <c r="O896" s="32">
        <v>13.17819489345178</v>
      </c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</row>
    <row r="897" spans="1:88">
      <c r="A897" s="5">
        <v>254</v>
      </c>
      <c r="B897" s="11">
        <v>893</v>
      </c>
      <c r="C897" s="12">
        <v>46550</v>
      </c>
      <c r="D897" s="31">
        <f t="shared" si="25"/>
        <v>58</v>
      </c>
      <c r="E897" s="14"/>
      <c r="F897" s="5">
        <v>0</v>
      </c>
      <c r="G897" s="18">
        <f t="shared" si="26"/>
        <v>38.884700000000002</v>
      </c>
      <c r="H897" s="18">
        <f t="shared" si="27"/>
        <v>19.409836065573771</v>
      </c>
      <c r="I897" s="32">
        <v>26.38765834542809</v>
      </c>
      <c r="K897" s="32">
        <v>125.251830789778</v>
      </c>
      <c r="L897" s="32">
        <f t="shared" si="24"/>
        <v>16.438356164383563</v>
      </c>
      <c r="M897" s="5">
        <f t="shared" si="28"/>
        <v>67.808673724385073</v>
      </c>
      <c r="N897" s="5">
        <f t="shared" si="23"/>
        <v>14.098901098901099</v>
      </c>
      <c r="O897" s="32">
        <v>35.567026381013633</v>
      </c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</row>
    <row r="898" spans="1:88">
      <c r="A898" s="5">
        <v>255</v>
      </c>
      <c r="B898" s="11">
        <v>894</v>
      </c>
      <c r="C898" s="12">
        <v>46551</v>
      </c>
      <c r="D898" s="31">
        <f t="shared" si="25"/>
        <v>62</v>
      </c>
      <c r="E898" s="14"/>
      <c r="F898" s="5">
        <v>0</v>
      </c>
      <c r="G898" s="18">
        <f t="shared" si="26"/>
        <v>39.037399999999998</v>
      </c>
      <c r="H898" s="18">
        <f t="shared" si="27"/>
        <v>19.409836065573771</v>
      </c>
      <c r="I898" s="32">
        <v>31.892407010750649</v>
      </c>
      <c r="K898" s="32">
        <v>21.372030235181079</v>
      </c>
      <c r="L898" s="32">
        <f t="shared" si="24"/>
        <v>16.438356164383563</v>
      </c>
      <c r="M898" s="5">
        <f t="shared" si="28"/>
        <v>68.950209994215797</v>
      </c>
      <c r="N898" s="5">
        <f t="shared" si="23"/>
        <v>14.098901098901099</v>
      </c>
      <c r="O898" s="32">
        <v>32.225656872686798</v>
      </c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</row>
    <row r="899" spans="1:88">
      <c r="A899" s="5">
        <v>256</v>
      </c>
      <c r="B899" s="11">
        <v>895</v>
      </c>
      <c r="C899" s="12">
        <v>46552</v>
      </c>
      <c r="D899" s="31">
        <f t="shared" si="25"/>
        <v>62</v>
      </c>
      <c r="E899" s="14"/>
      <c r="F899" s="5">
        <v>0</v>
      </c>
      <c r="G899" s="18">
        <f t="shared" si="26"/>
        <v>39.190100000000001</v>
      </c>
      <c r="H899" s="18">
        <f t="shared" si="27"/>
        <v>19.409836065573771</v>
      </c>
      <c r="I899" s="32">
        <v>28.637708219517261</v>
      </c>
      <c r="K899" s="32">
        <v>1.856531650863475</v>
      </c>
      <c r="L899" s="32">
        <f t="shared" si="24"/>
        <v>16.438356164383563</v>
      </c>
      <c r="M899" s="5">
        <f t="shared" si="28"/>
        <v>69.164666022614909</v>
      </c>
      <c r="N899" s="5">
        <f t="shared" si="23"/>
        <v>14.098901098901099</v>
      </c>
      <c r="O899" s="32">
        <v>28.265096497341801</v>
      </c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</row>
    <row r="900" spans="1:88">
      <c r="A900" s="5">
        <v>257</v>
      </c>
      <c r="B900" s="11">
        <v>896</v>
      </c>
      <c r="C900" s="12">
        <v>46553</v>
      </c>
      <c r="D900" s="31">
        <f t="shared" si="25"/>
        <v>60</v>
      </c>
      <c r="E900" s="14"/>
      <c r="F900" s="5">
        <v>0</v>
      </c>
      <c r="G900" s="18">
        <f t="shared" si="26"/>
        <v>39.342800000000004</v>
      </c>
      <c r="H900" s="18">
        <f t="shared" si="27"/>
        <v>19.409836065573771</v>
      </c>
      <c r="I900" s="32">
        <v>18.99160310155607</v>
      </c>
      <c r="K900" s="32">
        <v>125.251830789778</v>
      </c>
      <c r="L900" s="32">
        <f t="shared" si="24"/>
        <v>16.438356164383563</v>
      </c>
      <c r="M900" s="5">
        <f t="shared" si="28"/>
        <v>67.808673724385073</v>
      </c>
      <c r="N900" s="5">
        <f t="shared" si="23"/>
        <v>14.098901098901099</v>
      </c>
      <c r="O900" s="32">
        <v>11.49400275802123</v>
      </c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</row>
    <row r="901" spans="1:88">
      <c r="A901" s="5">
        <v>258</v>
      </c>
      <c r="B901" s="11">
        <v>897</v>
      </c>
      <c r="C901" s="12">
        <v>46554</v>
      </c>
      <c r="D901" s="31">
        <f t="shared" si="25"/>
        <v>86</v>
      </c>
      <c r="E901" s="14"/>
      <c r="F901" s="5">
        <v>0</v>
      </c>
      <c r="G901" s="18">
        <f t="shared" si="26"/>
        <v>39.4955</v>
      </c>
      <c r="H901" s="18">
        <f t="shared" si="27"/>
        <v>19.409836065573771</v>
      </c>
      <c r="I901" s="32">
        <v>26.672808438249969</v>
      </c>
      <c r="K901" s="32">
        <v>125.251830789778</v>
      </c>
      <c r="L901" s="32">
        <f t="shared" si="24"/>
        <v>16.438356164383563</v>
      </c>
      <c r="M901" s="5">
        <f t="shared" si="28"/>
        <v>67.808673724385073</v>
      </c>
      <c r="N901" s="5">
        <f t="shared" ref="N901:N964" si="29">AVERAGE($O$644:$O$734)</f>
        <v>14.098901098901099</v>
      </c>
      <c r="O901" s="32">
        <v>6.553356841756016</v>
      </c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</row>
    <row r="902" spans="1:88">
      <c r="A902" s="5">
        <v>259</v>
      </c>
      <c r="B902" s="11">
        <v>898</v>
      </c>
      <c r="C902" s="12">
        <v>46555</v>
      </c>
      <c r="D902" s="31">
        <f t="shared" si="25"/>
        <v>80</v>
      </c>
      <c r="E902" s="14"/>
      <c r="F902" s="5">
        <v>0</v>
      </c>
      <c r="G902" s="18">
        <f t="shared" si="26"/>
        <v>39.648200000000003</v>
      </c>
      <c r="H902" s="18">
        <f t="shared" si="27"/>
        <v>19.409836065573771</v>
      </c>
      <c r="I902" s="32">
        <v>27.618295680263881</v>
      </c>
      <c r="K902" s="32">
        <v>21.372030235181079</v>
      </c>
      <c r="L902" s="32">
        <f t="shared" si="24"/>
        <v>16.438356164383563</v>
      </c>
      <c r="M902" s="5">
        <f t="shared" si="28"/>
        <v>68.950209994215797</v>
      </c>
      <c r="N902" s="5">
        <f t="shared" si="29"/>
        <v>14.098901098901099</v>
      </c>
      <c r="O902" s="32">
        <v>4.4573628159903933</v>
      </c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</row>
    <row r="903" spans="1:88">
      <c r="A903" s="5">
        <v>260</v>
      </c>
      <c r="B903" s="11">
        <v>899</v>
      </c>
      <c r="C903" s="12">
        <v>46556</v>
      </c>
      <c r="D903" s="31">
        <f t="shared" si="25"/>
        <v>43</v>
      </c>
      <c r="E903" s="14"/>
      <c r="F903" s="5">
        <v>0</v>
      </c>
      <c r="G903" s="18">
        <f t="shared" si="26"/>
        <v>39.800899999999999</v>
      </c>
      <c r="H903" s="18">
        <f t="shared" si="27"/>
        <v>19.409836065573771</v>
      </c>
      <c r="I903" s="32">
        <v>22.27057299480208</v>
      </c>
      <c r="K903" s="32">
        <v>1.856531650863475</v>
      </c>
      <c r="L903" s="32">
        <f t="shared" si="24"/>
        <v>16.438356164383563</v>
      </c>
      <c r="M903" s="5">
        <f t="shared" si="28"/>
        <v>69.164666022614909</v>
      </c>
      <c r="N903" s="5">
        <f t="shared" si="29"/>
        <v>14.098901098901099</v>
      </c>
      <c r="O903" s="32">
        <v>12.61065729195731</v>
      </c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</row>
    <row r="904" spans="1:88">
      <c r="A904" s="5">
        <v>261</v>
      </c>
      <c r="B904" s="11">
        <v>900</v>
      </c>
      <c r="C904" s="12">
        <v>46557</v>
      </c>
      <c r="D904" s="31">
        <f t="shared" si="25"/>
        <v>69</v>
      </c>
      <c r="E904" s="14"/>
      <c r="F904" s="5">
        <v>0</v>
      </c>
      <c r="G904" s="18">
        <f t="shared" si="26"/>
        <v>39.953600000000002</v>
      </c>
      <c r="H904" s="18">
        <f t="shared" si="27"/>
        <v>19.409836065573771</v>
      </c>
      <c r="I904" s="32">
        <v>33.401298857364218</v>
      </c>
      <c r="K904" s="32">
        <v>125.251830789778</v>
      </c>
      <c r="L904" s="32">
        <f t="shared" si="24"/>
        <v>16.438356164383563</v>
      </c>
      <c r="M904" s="5">
        <f t="shared" si="28"/>
        <v>67.808673724385073</v>
      </c>
      <c r="N904" s="5">
        <f t="shared" si="29"/>
        <v>14.098901098901099</v>
      </c>
      <c r="O904" s="32">
        <v>25.489224132100389</v>
      </c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</row>
    <row r="905" spans="1:88">
      <c r="A905" s="5">
        <v>262</v>
      </c>
      <c r="B905" s="11">
        <v>901</v>
      </c>
      <c r="C905" s="12">
        <v>46558</v>
      </c>
      <c r="D905" s="31">
        <f t="shared" si="25"/>
        <v>78</v>
      </c>
      <c r="E905" s="14"/>
      <c r="F905" s="5">
        <v>0</v>
      </c>
      <c r="G905" s="18">
        <f t="shared" si="26"/>
        <v>40.106300000000005</v>
      </c>
      <c r="H905" s="18">
        <f t="shared" si="27"/>
        <v>19.409836065573771</v>
      </c>
      <c r="I905" s="32">
        <v>39.129224519105961</v>
      </c>
      <c r="K905" s="32">
        <v>125.251830789778</v>
      </c>
      <c r="L905" s="32">
        <f t="shared" si="24"/>
        <v>16.438356164383563</v>
      </c>
      <c r="M905" s="5">
        <f t="shared" si="28"/>
        <v>67.808673724385073</v>
      </c>
      <c r="N905" s="5">
        <f t="shared" si="29"/>
        <v>14.098901098901099</v>
      </c>
      <c r="O905" s="32">
        <v>16.971877496584039</v>
      </c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</row>
    <row r="906" spans="1:88">
      <c r="A906" s="5">
        <v>263</v>
      </c>
      <c r="B906" s="11">
        <v>902</v>
      </c>
      <c r="C906" s="12">
        <v>46559</v>
      </c>
      <c r="D906" s="31">
        <f t="shared" si="25"/>
        <v>81</v>
      </c>
      <c r="E906" s="14"/>
      <c r="F906" s="5">
        <v>0</v>
      </c>
      <c r="G906" s="18">
        <f t="shared" si="26"/>
        <v>40.259</v>
      </c>
      <c r="H906" s="18">
        <f t="shared" si="27"/>
        <v>19.409836065573771</v>
      </c>
      <c r="I906" s="32">
        <v>42.688106161468923</v>
      </c>
      <c r="K906" s="32">
        <v>21.372030235181079</v>
      </c>
      <c r="L906" s="32">
        <f t="shared" si="24"/>
        <v>16.438356164383563</v>
      </c>
      <c r="M906" s="5">
        <f t="shared" si="28"/>
        <v>68.950209994215797</v>
      </c>
      <c r="N906" s="5">
        <f t="shared" si="29"/>
        <v>14.098901098901099</v>
      </c>
      <c r="O906" s="32">
        <v>8.9766834799103705</v>
      </c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</row>
    <row r="907" spans="1:88">
      <c r="A907" s="5">
        <v>264</v>
      </c>
      <c r="B907" s="11">
        <v>903</v>
      </c>
      <c r="C907" s="12">
        <v>46560</v>
      </c>
      <c r="D907" s="31">
        <f t="shared" si="25"/>
        <v>66</v>
      </c>
      <c r="E907" s="14"/>
      <c r="F907" s="5">
        <v>0</v>
      </c>
      <c r="G907" s="18">
        <f t="shared" si="26"/>
        <v>40.411700000000003</v>
      </c>
      <c r="H907" s="18">
        <f t="shared" si="27"/>
        <v>19.409836065573771</v>
      </c>
      <c r="I907" s="32">
        <v>38.461961663735359</v>
      </c>
      <c r="K907" s="32">
        <v>1.856531650863475</v>
      </c>
      <c r="L907" s="32">
        <f t="shared" si="24"/>
        <v>16.438356164383563</v>
      </c>
      <c r="M907" s="5">
        <f t="shared" si="28"/>
        <v>69.164666022614909</v>
      </c>
      <c r="N907" s="5">
        <f t="shared" si="29"/>
        <v>14.098901098901099</v>
      </c>
      <c r="O907" s="32">
        <v>21.02975403429879</v>
      </c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</row>
    <row r="908" spans="1:88">
      <c r="A908" s="5">
        <v>265</v>
      </c>
      <c r="B908" s="11">
        <v>904</v>
      </c>
      <c r="C908" s="12">
        <v>46561</v>
      </c>
      <c r="D908" s="31">
        <f t="shared" si="25"/>
        <v>81</v>
      </c>
      <c r="E908" s="14"/>
      <c r="F908" s="5">
        <v>0</v>
      </c>
      <c r="G908" s="18">
        <f t="shared" si="26"/>
        <v>40.564399999999999</v>
      </c>
      <c r="H908" s="18">
        <f t="shared" si="27"/>
        <v>19.409836065573771</v>
      </c>
      <c r="I908" s="32">
        <v>17.55813781710518</v>
      </c>
      <c r="K908" s="32">
        <v>125.251830789778</v>
      </c>
      <c r="L908" s="32">
        <f t="shared" si="24"/>
        <v>16.438356164383563</v>
      </c>
      <c r="M908" s="5">
        <f t="shared" si="28"/>
        <v>67.808673724385073</v>
      </c>
      <c r="N908" s="5">
        <f t="shared" si="29"/>
        <v>14.098901098901099</v>
      </c>
      <c r="O908" s="32">
        <v>12.400050727472941</v>
      </c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</row>
    <row r="909" spans="1:88">
      <c r="A909" s="5">
        <v>266</v>
      </c>
      <c r="B909" s="11">
        <v>905</v>
      </c>
      <c r="C909" s="12">
        <v>46562</v>
      </c>
      <c r="D909" s="31">
        <f t="shared" si="25"/>
        <v>62</v>
      </c>
      <c r="E909" s="14"/>
      <c r="F909" s="5">
        <v>0</v>
      </c>
      <c r="G909" s="18">
        <f t="shared" si="26"/>
        <v>40.717100000000002</v>
      </c>
      <c r="H909" s="18">
        <f t="shared" si="27"/>
        <v>19.409836065573771</v>
      </c>
      <c r="I909" s="32">
        <v>27.419559202213179</v>
      </c>
      <c r="K909" s="32">
        <v>125.251830789778</v>
      </c>
      <c r="L909" s="32">
        <f t="shared" si="24"/>
        <v>16.438356164383563</v>
      </c>
      <c r="M909" s="5">
        <f t="shared" si="28"/>
        <v>67.808673724385073</v>
      </c>
      <c r="N909" s="5">
        <f t="shared" si="29"/>
        <v>14.098901098901099</v>
      </c>
      <c r="O909" s="32">
        <v>13.289463832697709</v>
      </c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</row>
    <row r="910" spans="1:88">
      <c r="A910" s="5">
        <v>267</v>
      </c>
      <c r="B910" s="11">
        <v>906</v>
      </c>
      <c r="C910" s="12">
        <v>46563</v>
      </c>
      <c r="D910" s="31">
        <f t="shared" si="25"/>
        <v>64</v>
      </c>
      <c r="E910" s="14"/>
      <c r="F910" s="5">
        <v>0</v>
      </c>
      <c r="G910" s="18">
        <f t="shared" si="26"/>
        <v>40.869799999999998</v>
      </c>
      <c r="H910" s="18">
        <f t="shared" si="27"/>
        <v>19.409836065573771</v>
      </c>
      <c r="I910" s="32">
        <v>7.0954249654923114</v>
      </c>
      <c r="K910" s="32">
        <v>21.372030235181079</v>
      </c>
      <c r="L910" s="32">
        <f t="shared" si="24"/>
        <v>16.438356164383563</v>
      </c>
      <c r="M910" s="5">
        <f t="shared" si="28"/>
        <v>68.950209994215797</v>
      </c>
      <c r="N910" s="5">
        <f t="shared" si="29"/>
        <v>14.098901098901099</v>
      </c>
      <c r="O910" s="32">
        <v>19.862180902752371</v>
      </c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</row>
    <row r="911" spans="1:88">
      <c r="A911" s="5">
        <v>268</v>
      </c>
      <c r="B911" s="11">
        <v>907</v>
      </c>
      <c r="C911" s="12">
        <v>46564</v>
      </c>
      <c r="D911" s="31">
        <f t="shared" si="25"/>
        <v>100</v>
      </c>
      <c r="E911" s="14"/>
      <c r="F911" s="5">
        <v>0</v>
      </c>
      <c r="G911" s="18">
        <f t="shared" si="26"/>
        <v>41.022500000000001</v>
      </c>
      <c r="H911" s="18">
        <f t="shared" si="27"/>
        <v>19.409836065573771</v>
      </c>
      <c r="I911" s="32">
        <v>9.9248493688764228</v>
      </c>
      <c r="K911" s="32">
        <v>1.856531650863475</v>
      </c>
      <c r="L911" s="32">
        <f t="shared" si="24"/>
        <v>16.438356164383563</v>
      </c>
      <c r="M911" s="5">
        <f t="shared" si="28"/>
        <v>69.164666022614909</v>
      </c>
      <c r="N911" s="5">
        <f t="shared" si="29"/>
        <v>14.098901098901099</v>
      </c>
      <c r="O911" s="32">
        <v>27.706135189487799</v>
      </c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</row>
    <row r="912" spans="1:88">
      <c r="A912" s="5">
        <v>269</v>
      </c>
      <c r="B912" s="11">
        <v>908</v>
      </c>
      <c r="C912" s="12">
        <v>46565</v>
      </c>
      <c r="D912" s="31">
        <f t="shared" si="25"/>
        <v>46</v>
      </c>
      <c r="E912" s="14"/>
      <c r="F912" s="5">
        <v>0</v>
      </c>
      <c r="G912" s="18">
        <f t="shared" si="26"/>
        <v>41.175200000000004</v>
      </c>
      <c r="H912" s="18">
        <f t="shared" si="27"/>
        <v>19.409836065573771</v>
      </c>
      <c r="I912" s="32">
        <v>24.858797014922391</v>
      </c>
      <c r="K912" s="32">
        <v>125.251830789778</v>
      </c>
      <c r="L912" s="32">
        <f t="shared" si="24"/>
        <v>16.438356164383563</v>
      </c>
      <c r="M912" s="5">
        <f t="shared" si="28"/>
        <v>67.808673724385073</v>
      </c>
      <c r="N912" s="5">
        <f t="shared" si="29"/>
        <v>14.098901098901099</v>
      </c>
      <c r="O912" s="32">
        <v>14.6900653478324</v>
      </c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</row>
    <row r="913" spans="1:38">
      <c r="A913" s="5">
        <v>270</v>
      </c>
      <c r="B913" s="11">
        <v>909</v>
      </c>
      <c r="C913" s="12">
        <v>46566</v>
      </c>
      <c r="D913" s="31">
        <f t="shared" si="25"/>
        <v>73</v>
      </c>
      <c r="E913" s="14"/>
      <c r="F913" s="5">
        <v>0</v>
      </c>
      <c r="G913" s="18">
        <f t="shared" si="26"/>
        <v>41.3279</v>
      </c>
      <c r="H913" s="18">
        <f t="shared" si="27"/>
        <v>19.409836065573771</v>
      </c>
      <c r="I913" s="32">
        <v>13.77588361191424</v>
      </c>
      <c r="K913" s="32">
        <v>125.251830789778</v>
      </c>
      <c r="L913" s="32">
        <f t="shared" si="24"/>
        <v>16.438356164383563</v>
      </c>
      <c r="M913" s="5">
        <f t="shared" si="28"/>
        <v>67.808673724385073</v>
      </c>
      <c r="N913" s="5">
        <f t="shared" si="29"/>
        <v>14.098901098901099</v>
      </c>
      <c r="O913" s="32">
        <v>28.76455732337622</v>
      </c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</row>
    <row r="914" spans="1:38">
      <c r="A914" s="5">
        <v>271</v>
      </c>
      <c r="B914" s="11">
        <v>910</v>
      </c>
      <c r="C914" s="12">
        <v>46567</v>
      </c>
      <c r="D914" s="31">
        <f t="shared" si="25"/>
        <v>59</v>
      </c>
      <c r="E914" s="14"/>
      <c r="F914" s="5">
        <v>0</v>
      </c>
      <c r="G914" s="18">
        <f t="shared" si="26"/>
        <v>41.480600000000003</v>
      </c>
      <c r="H914" s="18">
        <f t="shared" si="27"/>
        <v>19.409836065573771</v>
      </c>
      <c r="I914" s="32">
        <v>21.12104329797323</v>
      </c>
      <c r="K914" s="32">
        <v>21.372030235181079</v>
      </c>
      <c r="L914" s="32">
        <f t="shared" si="24"/>
        <v>16.438356164383563</v>
      </c>
      <c r="M914" s="5">
        <f t="shared" si="28"/>
        <v>68.950209994215797</v>
      </c>
      <c r="N914" s="5">
        <f t="shared" si="29"/>
        <v>14.098901098901099</v>
      </c>
      <c r="O914" s="32">
        <v>17.032293364353301</v>
      </c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</row>
    <row r="915" spans="1:38">
      <c r="A915" s="5">
        <v>272</v>
      </c>
      <c r="B915" s="11">
        <v>911</v>
      </c>
      <c r="C915" s="12">
        <v>46568</v>
      </c>
      <c r="D915" s="31">
        <f t="shared" si="25"/>
        <v>42</v>
      </c>
      <c r="E915" s="14"/>
      <c r="F915" s="5">
        <v>0</v>
      </c>
      <c r="G915" s="18">
        <f t="shared" si="26"/>
        <v>41.633299999999998</v>
      </c>
      <c r="H915" s="18">
        <f t="shared" si="27"/>
        <v>19.409836065573771</v>
      </c>
      <c r="I915" s="32">
        <v>17.878070935146109</v>
      </c>
      <c r="K915" s="32">
        <v>1.856531650863475</v>
      </c>
      <c r="L915" s="32">
        <f t="shared" si="24"/>
        <v>16.438356164383563</v>
      </c>
      <c r="M915" s="5">
        <f t="shared" si="28"/>
        <v>69.164666022614909</v>
      </c>
      <c r="N915" s="5">
        <f t="shared" si="29"/>
        <v>14.098901098901099</v>
      </c>
      <c r="O915" s="32">
        <v>11.11767402027859</v>
      </c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</row>
    <row r="916" spans="1:38">
      <c r="A916" s="5">
        <v>273</v>
      </c>
      <c r="B916" s="11">
        <v>912</v>
      </c>
      <c r="C916" s="12">
        <v>46569</v>
      </c>
      <c r="D916" s="31">
        <f t="shared" si="25"/>
        <v>54</v>
      </c>
      <c r="E916" s="14"/>
      <c r="F916" s="5">
        <v>0</v>
      </c>
      <c r="G916" s="18">
        <f t="shared" si="26"/>
        <v>41.786000000000001</v>
      </c>
      <c r="H916" s="18">
        <f t="shared" si="27"/>
        <v>19.409836065573771</v>
      </c>
      <c r="I916" s="32">
        <v>21.139460436081801</v>
      </c>
      <c r="K916" s="32">
        <v>125.251830789778</v>
      </c>
      <c r="L916" s="32">
        <f t="shared" si="24"/>
        <v>16.438356164383563</v>
      </c>
      <c r="M916" s="5">
        <f t="shared" si="28"/>
        <v>67.808673724385073</v>
      </c>
      <c r="N916" s="5">
        <f t="shared" si="29"/>
        <v>14.098901098901099</v>
      </c>
      <c r="O916" s="32">
        <v>17.042881616179379</v>
      </c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</row>
    <row r="917" spans="1:38">
      <c r="A917" s="5">
        <v>274</v>
      </c>
      <c r="B917" s="11">
        <v>913</v>
      </c>
      <c r="C917" s="12">
        <v>46570</v>
      </c>
      <c r="D917" s="31">
        <f t="shared" si="25"/>
        <v>64</v>
      </c>
      <c r="E917" s="14"/>
      <c r="F917" s="5">
        <v>0</v>
      </c>
      <c r="G917" s="18">
        <f t="shared" si="26"/>
        <v>41.938700000000004</v>
      </c>
      <c r="H917" s="18">
        <f t="shared" si="27"/>
        <v>19.409836065573771</v>
      </c>
      <c r="I917" s="32">
        <v>4.3937290632276902</v>
      </c>
      <c r="K917" s="32">
        <v>125.251830789778</v>
      </c>
      <c r="L917" s="32">
        <f t="shared" si="24"/>
        <v>16.438356164383563</v>
      </c>
      <c r="M917" s="5">
        <f t="shared" si="28"/>
        <v>67.808673724385073</v>
      </c>
      <c r="N917" s="5">
        <f t="shared" si="29"/>
        <v>14.098901098901099</v>
      </c>
      <c r="O917" s="32">
        <v>26.537469539949068</v>
      </c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</row>
    <row r="918" spans="1:38">
      <c r="A918" s="5">
        <v>275</v>
      </c>
      <c r="B918" s="11">
        <v>914</v>
      </c>
      <c r="C918" s="12">
        <v>46571</v>
      </c>
      <c r="D918" s="31">
        <f t="shared" si="25"/>
        <v>78</v>
      </c>
      <c r="E918" s="14"/>
      <c r="F918" s="5">
        <v>0</v>
      </c>
      <c r="G918" s="18">
        <f t="shared" si="26"/>
        <v>42.0914</v>
      </c>
      <c r="H918" s="18">
        <f t="shared" si="27"/>
        <v>19.409836065573771</v>
      </c>
      <c r="I918" s="32">
        <v>13.23308014789203</v>
      </c>
      <c r="K918" s="32">
        <v>21.372030235181079</v>
      </c>
      <c r="L918" s="32">
        <f t="shared" si="24"/>
        <v>16.438356164383563</v>
      </c>
      <c r="M918" s="5">
        <f t="shared" si="28"/>
        <v>68.950209994215797</v>
      </c>
      <c r="N918" s="5">
        <f t="shared" si="29"/>
        <v>14.098901098901099</v>
      </c>
      <c r="O918" s="32">
        <v>25.740113868522698</v>
      </c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</row>
    <row r="919" spans="1:38">
      <c r="A919" s="5">
        <v>276</v>
      </c>
      <c r="B919" s="11">
        <v>915</v>
      </c>
      <c r="C919" s="12">
        <v>46572</v>
      </c>
      <c r="D919" s="31">
        <f t="shared" si="25"/>
        <v>70</v>
      </c>
      <c r="E919" s="14"/>
      <c r="F919" s="5">
        <v>0</v>
      </c>
      <c r="G919" s="18">
        <f t="shared" si="26"/>
        <v>42.244100000000003</v>
      </c>
      <c r="H919" s="18">
        <f t="shared" si="27"/>
        <v>19.409836065573771</v>
      </c>
      <c r="I919" s="32">
        <v>36.375980358980009</v>
      </c>
      <c r="K919" s="32">
        <v>1.856531650863475</v>
      </c>
      <c r="L919" s="32">
        <f t="shared" si="24"/>
        <v>16.438356164383563</v>
      </c>
      <c r="M919" s="5">
        <f t="shared" si="28"/>
        <v>69.164666022614909</v>
      </c>
      <c r="N919" s="5">
        <f t="shared" si="29"/>
        <v>14.098901098901099</v>
      </c>
      <c r="O919" s="32">
        <v>28.260991346679841</v>
      </c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</row>
    <row r="920" spans="1:38">
      <c r="A920" s="5">
        <v>277</v>
      </c>
      <c r="B920" s="11">
        <v>916</v>
      </c>
      <c r="C920" s="12">
        <v>46573</v>
      </c>
      <c r="D920" s="31">
        <f t="shared" si="25"/>
        <v>81</v>
      </c>
      <c r="E920" s="14"/>
      <c r="F920" s="5">
        <v>0</v>
      </c>
      <c r="G920" s="18">
        <f t="shared" si="26"/>
        <v>42.396799999999999</v>
      </c>
      <c r="H920" s="18">
        <f t="shared" si="27"/>
        <v>19.409836065573771</v>
      </c>
      <c r="I920" s="32">
        <v>37.063890788164301</v>
      </c>
      <c r="K920" s="32">
        <v>125.251830789778</v>
      </c>
      <c r="L920" s="32">
        <f t="shared" si="24"/>
        <v>16.438356164383563</v>
      </c>
      <c r="M920" s="5">
        <f t="shared" si="28"/>
        <v>67.808673724385073</v>
      </c>
      <c r="N920" s="5">
        <f t="shared" si="29"/>
        <v>14.098901098901099</v>
      </c>
      <c r="O920" s="32">
        <v>18.91464952884958</v>
      </c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</row>
    <row r="921" spans="1:38">
      <c r="A921" s="5">
        <v>278</v>
      </c>
      <c r="B921" s="11">
        <v>917</v>
      </c>
      <c r="C921" s="12">
        <v>46574</v>
      </c>
      <c r="D921" s="31">
        <f t="shared" si="25"/>
        <v>67</v>
      </c>
      <c r="E921" s="14"/>
      <c r="F921" s="5">
        <v>0</v>
      </c>
      <c r="G921" s="18">
        <f t="shared" si="26"/>
        <v>42.549500000000002</v>
      </c>
      <c r="H921" s="18">
        <f t="shared" si="27"/>
        <v>19.409836065573771</v>
      </c>
      <c r="I921" s="32">
        <v>25.02344723999931</v>
      </c>
      <c r="K921" s="32">
        <v>125.251830789778</v>
      </c>
      <c r="L921" s="32">
        <f t="shared" si="24"/>
        <v>16.438356164383563</v>
      </c>
      <c r="M921" s="5">
        <f t="shared" si="28"/>
        <v>67.808673724385073</v>
      </c>
      <c r="N921" s="5">
        <f t="shared" si="29"/>
        <v>14.098901098901099</v>
      </c>
      <c r="O921" s="32">
        <v>9.2676112788857932</v>
      </c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</row>
    <row r="922" spans="1:38">
      <c r="A922" s="5">
        <v>279</v>
      </c>
      <c r="B922" s="11">
        <v>918</v>
      </c>
      <c r="C922" s="12">
        <v>46575</v>
      </c>
      <c r="D922" s="31">
        <f t="shared" si="25"/>
        <v>66</v>
      </c>
      <c r="E922" s="14"/>
      <c r="F922" s="5">
        <v>0</v>
      </c>
      <c r="G922" s="18">
        <f t="shared" si="26"/>
        <v>42.702199999999998</v>
      </c>
      <c r="H922" s="18">
        <f t="shared" si="27"/>
        <v>19.409836065573771</v>
      </c>
      <c r="I922" s="32">
        <v>22.954542442862952</v>
      </c>
      <c r="K922" s="32">
        <v>21.372030235181079</v>
      </c>
      <c r="L922" s="32">
        <f t="shared" si="24"/>
        <v>16.438356164383563</v>
      </c>
      <c r="M922" s="5">
        <f t="shared" si="28"/>
        <v>68.950209994215797</v>
      </c>
      <c r="N922" s="5">
        <f t="shared" si="29"/>
        <v>14.098901098901099</v>
      </c>
      <c r="O922" s="32">
        <v>6.5971786954060851</v>
      </c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</row>
    <row r="923" spans="1:38">
      <c r="A923" s="5">
        <v>280</v>
      </c>
      <c r="B923" s="11">
        <v>919</v>
      </c>
      <c r="C923" s="12">
        <v>46576</v>
      </c>
      <c r="D923" s="31">
        <f t="shared" si="25"/>
        <v>93</v>
      </c>
      <c r="E923" s="14"/>
      <c r="F923" s="5">
        <v>0</v>
      </c>
      <c r="G923" s="18">
        <f t="shared" si="26"/>
        <v>42.854900000000001</v>
      </c>
      <c r="H923" s="18">
        <f t="shared" si="27"/>
        <v>19.409836065573771</v>
      </c>
      <c r="I923" s="32">
        <v>9.669138325738043</v>
      </c>
      <c r="K923" s="32">
        <v>1.856531650863475</v>
      </c>
      <c r="L923" s="32">
        <f t="shared" si="24"/>
        <v>16.438356164383563</v>
      </c>
      <c r="M923" s="5">
        <f t="shared" si="28"/>
        <v>69.164666022614909</v>
      </c>
      <c r="N923" s="5">
        <f t="shared" si="29"/>
        <v>14.098901098901099</v>
      </c>
      <c r="O923" s="32">
        <v>20.971744328363069</v>
      </c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</row>
    <row r="924" spans="1:38">
      <c r="A924" s="5">
        <v>281</v>
      </c>
      <c r="B924" s="11">
        <v>920</v>
      </c>
      <c r="C924" s="12">
        <v>46577</v>
      </c>
      <c r="D924" s="31">
        <f t="shared" si="25"/>
        <v>88</v>
      </c>
      <c r="E924" s="14"/>
      <c r="F924" s="5">
        <v>0</v>
      </c>
      <c r="G924" s="18">
        <f t="shared" si="26"/>
        <v>43.007600000000004</v>
      </c>
      <c r="H924" s="18">
        <f t="shared" si="27"/>
        <v>19.409836065573771</v>
      </c>
      <c r="I924" s="32">
        <v>7.8707125152970514</v>
      </c>
      <c r="K924" s="32">
        <v>125.251830789778</v>
      </c>
      <c r="L924" s="32">
        <f t="shared" si="24"/>
        <v>16.438356164383563</v>
      </c>
      <c r="M924" s="5">
        <f t="shared" si="28"/>
        <v>67.808673724385073</v>
      </c>
      <c r="N924" s="5">
        <f t="shared" si="29"/>
        <v>14.098901098901099</v>
      </c>
      <c r="O924" s="32">
        <v>30.18684588593737</v>
      </c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</row>
    <row r="925" spans="1:38">
      <c r="A925" s="5">
        <v>282</v>
      </c>
      <c r="B925" s="11">
        <v>921</v>
      </c>
      <c r="C925" s="12">
        <v>46578</v>
      </c>
      <c r="D925" s="31">
        <f t="shared" si="25"/>
        <v>49</v>
      </c>
      <c r="E925" s="14"/>
      <c r="F925" s="5">
        <v>0</v>
      </c>
      <c r="G925" s="18">
        <f t="shared" si="26"/>
        <v>43.160299999999999</v>
      </c>
      <c r="H925" s="18">
        <f t="shared" si="27"/>
        <v>19.409836065573771</v>
      </c>
      <c r="I925" s="32">
        <v>19.495955953788741</v>
      </c>
      <c r="K925" s="32">
        <v>125.251830789778</v>
      </c>
      <c r="L925" s="32">
        <f t="shared" si="24"/>
        <v>16.438356164383563</v>
      </c>
      <c r="M925" s="5">
        <f t="shared" si="28"/>
        <v>67.808673724385073</v>
      </c>
      <c r="N925" s="5">
        <f t="shared" si="29"/>
        <v>14.098901098901099</v>
      </c>
      <c r="O925" s="32">
        <v>34.198100458991959</v>
      </c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</row>
    <row r="926" spans="1:38">
      <c r="A926" s="5">
        <v>283</v>
      </c>
      <c r="B926" s="11">
        <v>922</v>
      </c>
      <c r="C926" s="12">
        <v>46579</v>
      </c>
      <c r="D926" s="31">
        <f t="shared" si="25"/>
        <v>57</v>
      </c>
      <c r="E926" s="14"/>
      <c r="F926" s="5">
        <v>0</v>
      </c>
      <c r="G926" s="18">
        <f t="shared" si="26"/>
        <v>43.313000000000002</v>
      </c>
      <c r="H926" s="18">
        <f t="shared" si="27"/>
        <v>19.409836065573771</v>
      </c>
      <c r="I926" s="32">
        <v>19.56363325335299</v>
      </c>
      <c r="K926" s="32">
        <v>21.372030235181079</v>
      </c>
      <c r="L926" s="32">
        <f t="shared" si="24"/>
        <v>16.438356164383563</v>
      </c>
      <c r="M926" s="5">
        <f t="shared" si="28"/>
        <v>68.950209994215797</v>
      </c>
      <c r="N926" s="5">
        <f t="shared" si="29"/>
        <v>14.098901098901099</v>
      </c>
      <c r="O926" s="32">
        <v>26.708588223905199</v>
      </c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</row>
    <row r="927" spans="1:38">
      <c r="A927" s="5">
        <v>284</v>
      </c>
      <c r="B927" s="11">
        <v>923</v>
      </c>
      <c r="C927" s="12">
        <v>46580</v>
      </c>
      <c r="D927" s="31">
        <f t="shared" si="25"/>
        <v>82</v>
      </c>
      <c r="E927" s="14"/>
      <c r="F927" s="5">
        <v>0</v>
      </c>
      <c r="G927" s="18">
        <f t="shared" si="26"/>
        <v>43.465699999999998</v>
      </c>
      <c r="H927" s="18">
        <f t="shared" si="27"/>
        <v>19.409836065573771</v>
      </c>
      <c r="I927" s="32">
        <v>16.82122209907401</v>
      </c>
      <c r="K927" s="32">
        <v>1.856531650863475</v>
      </c>
      <c r="L927" s="32">
        <f t="shared" ref="L927:L990" si="30">12000/730</f>
        <v>16.438356164383563</v>
      </c>
      <c r="M927" s="5">
        <f t="shared" si="28"/>
        <v>69.164666022614909</v>
      </c>
      <c r="N927" s="5">
        <f t="shared" si="29"/>
        <v>14.098901098901099</v>
      </c>
      <c r="O927" s="32">
        <v>20.225052070774229</v>
      </c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</row>
    <row r="928" spans="1:38">
      <c r="A928" s="5">
        <v>285</v>
      </c>
      <c r="B928" s="11">
        <v>924</v>
      </c>
      <c r="C928" s="12">
        <v>46581</v>
      </c>
      <c r="D928" s="31">
        <f t="shared" ref="D928:D991" si="31">ROUNDUP(_xlfn.FORECAST.ETS(B928,$D$5:$D$734,$B$5:$B$734,365,0,1),0)</f>
        <v>82</v>
      </c>
      <c r="E928" s="14"/>
      <c r="F928" s="5">
        <v>0</v>
      </c>
      <c r="G928" s="18">
        <f t="shared" ref="G928:G991" si="32">0.1527*A928+0.0989</f>
        <v>43.618400000000001</v>
      </c>
      <c r="H928" s="18">
        <f t="shared" ref="H928:H991" si="33">AVERAGE($I$674:$I$734)</f>
        <v>19.409836065573771</v>
      </c>
      <c r="I928" s="32">
        <v>21.60716016777549</v>
      </c>
      <c r="K928" s="32">
        <v>125.251830789778</v>
      </c>
      <c r="L928" s="32">
        <f t="shared" si="30"/>
        <v>16.438356164383563</v>
      </c>
      <c r="M928" s="5">
        <f t="shared" ref="M928:M991" si="34">AVERAGE(K837:K927)</f>
        <v>67.808673724385073</v>
      </c>
      <c r="N928" s="5">
        <f t="shared" si="29"/>
        <v>14.098901098901099</v>
      </c>
      <c r="O928" s="32">
        <v>11.819118402567049</v>
      </c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</row>
    <row r="929" spans="1:38">
      <c r="A929" s="5">
        <v>286</v>
      </c>
      <c r="B929" s="11">
        <v>925</v>
      </c>
      <c r="C929" s="12">
        <v>46582</v>
      </c>
      <c r="D929" s="31">
        <f t="shared" si="31"/>
        <v>51</v>
      </c>
      <c r="E929" s="14"/>
      <c r="F929" s="5">
        <v>0</v>
      </c>
      <c r="G929" s="18">
        <f t="shared" si="32"/>
        <v>43.771100000000004</v>
      </c>
      <c r="H929" s="18">
        <f t="shared" si="33"/>
        <v>19.409836065573771</v>
      </c>
      <c r="I929" s="32">
        <v>10.75882476606429</v>
      </c>
      <c r="K929" s="32">
        <v>125.251830789778</v>
      </c>
      <c r="L929" s="32">
        <f t="shared" si="30"/>
        <v>16.438356164383563</v>
      </c>
      <c r="M929" s="5">
        <f t="shared" si="34"/>
        <v>67.808673724385073</v>
      </c>
      <c r="N929" s="5">
        <f t="shared" si="29"/>
        <v>14.098901098901099</v>
      </c>
      <c r="O929" s="32">
        <v>9.891546068450733</v>
      </c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</row>
    <row r="930" spans="1:38">
      <c r="A930" s="5">
        <v>287</v>
      </c>
      <c r="B930" s="11">
        <v>926</v>
      </c>
      <c r="C930" s="12">
        <v>46583</v>
      </c>
      <c r="D930" s="31">
        <f t="shared" si="31"/>
        <v>64</v>
      </c>
      <c r="E930" s="14"/>
      <c r="F930" s="5">
        <v>0</v>
      </c>
      <c r="G930" s="18">
        <f t="shared" si="32"/>
        <v>43.9238</v>
      </c>
      <c r="H930" s="18">
        <f t="shared" si="33"/>
        <v>19.409836065573771</v>
      </c>
      <c r="I930" s="32">
        <v>10.56262666958934</v>
      </c>
      <c r="K930" s="32">
        <v>21.372030235181079</v>
      </c>
      <c r="L930" s="32">
        <f t="shared" si="30"/>
        <v>16.438356164383563</v>
      </c>
      <c r="M930" s="5">
        <f t="shared" si="34"/>
        <v>68.950209994215797</v>
      </c>
      <c r="N930" s="5">
        <f t="shared" si="29"/>
        <v>14.098901098901099</v>
      </c>
      <c r="O930" s="32">
        <v>13.019634611037709</v>
      </c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</row>
    <row r="931" spans="1:38">
      <c r="A931" s="5">
        <v>288</v>
      </c>
      <c r="B931" s="11">
        <v>927</v>
      </c>
      <c r="C931" s="12">
        <v>46584</v>
      </c>
      <c r="D931" s="31">
        <f t="shared" si="31"/>
        <v>63</v>
      </c>
      <c r="E931" s="14"/>
      <c r="F931" s="5">
        <v>0</v>
      </c>
      <c r="G931" s="18">
        <f t="shared" si="32"/>
        <v>44.076500000000003</v>
      </c>
      <c r="H931" s="18">
        <f t="shared" si="33"/>
        <v>19.409836065573771</v>
      </c>
      <c r="I931" s="32">
        <v>28.42184325948865</v>
      </c>
      <c r="K931" s="32">
        <v>1.856531650863475</v>
      </c>
      <c r="L931" s="32">
        <f t="shared" si="30"/>
        <v>16.438356164383563</v>
      </c>
      <c r="M931" s="5">
        <f t="shared" si="34"/>
        <v>69.164666022614909</v>
      </c>
      <c r="N931" s="5">
        <f t="shared" si="29"/>
        <v>14.098901098901099</v>
      </c>
      <c r="O931" s="32">
        <v>15.050927353986831</v>
      </c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</row>
    <row r="932" spans="1:38">
      <c r="A932" s="5">
        <v>289</v>
      </c>
      <c r="B932" s="11">
        <v>928</v>
      </c>
      <c r="C932" s="12">
        <v>46585</v>
      </c>
      <c r="D932" s="31">
        <f t="shared" si="31"/>
        <v>71</v>
      </c>
      <c r="E932" s="14"/>
      <c r="F932" s="5">
        <v>0</v>
      </c>
      <c r="G932" s="18">
        <f t="shared" si="32"/>
        <v>44.229199999999999</v>
      </c>
      <c r="H932" s="18">
        <f t="shared" si="33"/>
        <v>19.409836065573771</v>
      </c>
      <c r="I932" s="32">
        <v>19.42940060702993</v>
      </c>
      <c r="K932" s="32">
        <v>125.251830789778</v>
      </c>
      <c r="L932" s="32">
        <f t="shared" si="30"/>
        <v>16.438356164383563</v>
      </c>
      <c r="M932" s="5">
        <f t="shared" si="34"/>
        <v>67.808673724385073</v>
      </c>
      <c r="N932" s="5">
        <f t="shared" si="29"/>
        <v>14.098901098901099</v>
      </c>
      <c r="O932" s="32">
        <v>32.317430874047993</v>
      </c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</row>
    <row r="933" spans="1:38">
      <c r="A933" s="5">
        <v>290</v>
      </c>
      <c r="B933" s="11">
        <v>929</v>
      </c>
      <c r="C933" s="12">
        <v>46586</v>
      </c>
      <c r="D933" s="31">
        <f t="shared" si="31"/>
        <v>56</v>
      </c>
      <c r="E933" s="14"/>
      <c r="F933" s="5">
        <v>0</v>
      </c>
      <c r="G933" s="18">
        <f t="shared" si="32"/>
        <v>44.381900000000002</v>
      </c>
      <c r="H933" s="18">
        <f t="shared" si="33"/>
        <v>19.409836065573771</v>
      </c>
      <c r="I933" s="32">
        <v>15.487534329912339</v>
      </c>
      <c r="K933" s="32">
        <v>125.251830789778</v>
      </c>
      <c r="L933" s="32">
        <f t="shared" si="30"/>
        <v>16.438356164383563</v>
      </c>
      <c r="M933" s="5">
        <f t="shared" si="34"/>
        <v>67.808673724385073</v>
      </c>
      <c r="N933" s="5">
        <f t="shared" si="29"/>
        <v>14.098901098901099</v>
      </c>
      <c r="O933" s="32">
        <v>25.083221590732009</v>
      </c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</row>
    <row r="934" spans="1:38">
      <c r="A934" s="5">
        <v>291</v>
      </c>
      <c r="B934" s="11">
        <v>930</v>
      </c>
      <c r="C934" s="12">
        <v>46587</v>
      </c>
      <c r="D934" s="31">
        <f t="shared" si="31"/>
        <v>41</v>
      </c>
      <c r="E934" s="14"/>
      <c r="F934" s="5">
        <v>0</v>
      </c>
      <c r="G934" s="18">
        <f t="shared" si="32"/>
        <v>44.534600000000005</v>
      </c>
      <c r="H934" s="18">
        <f t="shared" si="33"/>
        <v>19.409836065573771</v>
      </c>
      <c r="I934" s="32">
        <v>16.386775789248059</v>
      </c>
      <c r="K934" s="32">
        <v>21.372030235181079</v>
      </c>
      <c r="L934" s="32">
        <f t="shared" si="30"/>
        <v>16.438356164383563</v>
      </c>
      <c r="M934" s="5">
        <f t="shared" si="34"/>
        <v>68.950209994215797</v>
      </c>
      <c r="N934" s="5">
        <f t="shared" si="29"/>
        <v>14.098901098901099</v>
      </c>
      <c r="O934" s="32">
        <v>20.663777229945541</v>
      </c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</row>
    <row r="935" spans="1:38">
      <c r="A935" s="5">
        <v>292</v>
      </c>
      <c r="B935" s="11">
        <v>931</v>
      </c>
      <c r="C935" s="12">
        <v>46588</v>
      </c>
      <c r="D935" s="31">
        <f t="shared" si="31"/>
        <v>68</v>
      </c>
      <c r="E935" s="14"/>
      <c r="F935" s="5">
        <v>0</v>
      </c>
      <c r="G935" s="18">
        <f t="shared" si="32"/>
        <v>44.6873</v>
      </c>
      <c r="H935" s="18">
        <f t="shared" si="33"/>
        <v>19.409836065573771</v>
      </c>
      <c r="I935" s="32">
        <v>27.053006685233012</v>
      </c>
      <c r="K935" s="32">
        <v>1.856531650863475</v>
      </c>
      <c r="L935" s="32">
        <f t="shared" si="30"/>
        <v>16.438356164383563</v>
      </c>
      <c r="M935" s="5">
        <f t="shared" si="34"/>
        <v>69.164666022614909</v>
      </c>
      <c r="N935" s="5">
        <f t="shared" si="29"/>
        <v>14.098901098901099</v>
      </c>
      <c r="O935" s="32">
        <v>7.3359150024889628</v>
      </c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</row>
    <row r="936" spans="1:38">
      <c r="A936" s="5">
        <v>293</v>
      </c>
      <c r="B936" s="11">
        <v>932</v>
      </c>
      <c r="C936" s="12">
        <v>46589</v>
      </c>
      <c r="D936" s="31">
        <f t="shared" si="31"/>
        <v>56</v>
      </c>
      <c r="E936" s="14"/>
      <c r="F936" s="5">
        <v>0</v>
      </c>
      <c r="G936" s="18">
        <f t="shared" si="32"/>
        <v>44.84</v>
      </c>
      <c r="H936" s="18">
        <f t="shared" si="33"/>
        <v>19.409836065573771</v>
      </c>
      <c r="I936" s="32">
        <v>10.066251562720799</v>
      </c>
      <c r="K936" s="32">
        <v>125.251830789778</v>
      </c>
      <c r="L936" s="32">
        <f t="shared" si="30"/>
        <v>16.438356164383563</v>
      </c>
      <c r="M936" s="5">
        <f t="shared" si="34"/>
        <v>67.808673724385073</v>
      </c>
      <c r="N936" s="5">
        <f t="shared" si="29"/>
        <v>14.098901098901099</v>
      </c>
      <c r="O936" s="32">
        <v>8.7428112829380922</v>
      </c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</row>
    <row r="937" spans="1:38">
      <c r="A937" s="5">
        <v>294</v>
      </c>
      <c r="B937" s="11">
        <v>933</v>
      </c>
      <c r="C937" s="12">
        <v>46590</v>
      </c>
      <c r="D937" s="31">
        <f t="shared" si="31"/>
        <v>58</v>
      </c>
      <c r="E937" s="14"/>
      <c r="F937" s="5">
        <v>0</v>
      </c>
      <c r="G937" s="18">
        <f t="shared" si="32"/>
        <v>44.992699999999999</v>
      </c>
      <c r="H937" s="18">
        <f t="shared" si="33"/>
        <v>19.409836065573771</v>
      </c>
      <c r="I937" s="32">
        <v>12.110015976129439</v>
      </c>
      <c r="K937" s="32">
        <v>125.251830789778</v>
      </c>
      <c r="L937" s="32">
        <f t="shared" si="30"/>
        <v>16.438356164383563</v>
      </c>
      <c r="M937" s="5">
        <f t="shared" si="34"/>
        <v>67.808673724385073</v>
      </c>
      <c r="N937" s="5">
        <f t="shared" si="29"/>
        <v>14.098901098901099</v>
      </c>
      <c r="O937" s="32">
        <v>13.779641936409011</v>
      </c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</row>
    <row r="938" spans="1:38">
      <c r="A938" s="5">
        <v>295</v>
      </c>
      <c r="B938" s="11">
        <v>934</v>
      </c>
      <c r="C938" s="12">
        <v>46591</v>
      </c>
      <c r="D938" s="31">
        <f t="shared" si="31"/>
        <v>62</v>
      </c>
      <c r="E938" s="14"/>
      <c r="F938" s="5">
        <v>0</v>
      </c>
      <c r="G938" s="18">
        <f t="shared" si="32"/>
        <v>45.145400000000002</v>
      </c>
      <c r="H938" s="18">
        <f t="shared" si="33"/>
        <v>19.409836065573771</v>
      </c>
      <c r="I938" s="32">
        <v>34.92717988979139</v>
      </c>
      <c r="K938" s="32">
        <v>21.372030235181079</v>
      </c>
      <c r="L938" s="32">
        <f t="shared" si="30"/>
        <v>16.438356164383563</v>
      </c>
      <c r="M938" s="5">
        <f t="shared" si="34"/>
        <v>68.950209994215797</v>
      </c>
      <c r="N938" s="5">
        <f t="shared" si="29"/>
        <v>14.098901098901099</v>
      </c>
      <c r="O938" s="32">
        <v>14.953861126960931</v>
      </c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</row>
    <row r="939" spans="1:38">
      <c r="A939" s="5">
        <v>296</v>
      </c>
      <c r="B939" s="11">
        <v>935</v>
      </c>
      <c r="C939" s="12">
        <v>46592</v>
      </c>
      <c r="D939" s="31">
        <f t="shared" si="31"/>
        <v>76</v>
      </c>
      <c r="E939" s="14"/>
      <c r="F939" s="5">
        <v>0</v>
      </c>
      <c r="G939" s="18">
        <f t="shared" si="32"/>
        <v>45.298099999999998</v>
      </c>
      <c r="H939" s="18">
        <f t="shared" si="33"/>
        <v>19.409836065573771</v>
      </c>
      <c r="I939" s="32">
        <v>29.02614318653411</v>
      </c>
      <c r="K939" s="32">
        <v>1.856531650863475</v>
      </c>
      <c r="L939" s="32">
        <f t="shared" si="30"/>
        <v>16.438356164383563</v>
      </c>
      <c r="M939" s="5">
        <f t="shared" si="34"/>
        <v>69.164666022614909</v>
      </c>
      <c r="N939" s="5">
        <f t="shared" si="29"/>
        <v>14.098901098901099</v>
      </c>
      <c r="O939" s="32">
        <v>32.59312355769201</v>
      </c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</row>
    <row r="940" spans="1:38">
      <c r="A940" s="5">
        <v>297</v>
      </c>
      <c r="B940" s="11">
        <v>936</v>
      </c>
      <c r="C940" s="12">
        <v>46593</v>
      </c>
      <c r="D940" s="31">
        <f t="shared" si="31"/>
        <v>62</v>
      </c>
      <c r="E940" s="14"/>
      <c r="F940" s="5">
        <v>0</v>
      </c>
      <c r="G940" s="18">
        <f t="shared" si="32"/>
        <v>45.450800000000001</v>
      </c>
      <c r="H940" s="18">
        <f t="shared" si="33"/>
        <v>19.409836065573771</v>
      </c>
      <c r="I940" s="32">
        <v>19.192933102501211</v>
      </c>
      <c r="K940" s="32">
        <v>125.251830789778</v>
      </c>
      <c r="L940" s="32">
        <f t="shared" si="30"/>
        <v>16.438356164383563</v>
      </c>
      <c r="M940" s="5">
        <f t="shared" si="34"/>
        <v>67.808673724385073</v>
      </c>
      <c r="N940" s="5">
        <f t="shared" si="29"/>
        <v>14.098901098901099</v>
      </c>
      <c r="O940" s="32">
        <v>24.200371299341359</v>
      </c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</row>
    <row r="941" spans="1:38">
      <c r="A941" s="5">
        <v>298</v>
      </c>
      <c r="B941" s="11">
        <v>937</v>
      </c>
      <c r="C941" s="12">
        <v>46594</v>
      </c>
      <c r="D941" s="31">
        <f t="shared" si="31"/>
        <v>62</v>
      </c>
      <c r="E941" s="14"/>
      <c r="F941" s="5">
        <v>0</v>
      </c>
      <c r="G941" s="18">
        <f t="shared" si="32"/>
        <v>45.603500000000004</v>
      </c>
      <c r="H941" s="18">
        <f t="shared" si="33"/>
        <v>19.409836065573771</v>
      </c>
      <c r="I941" s="32">
        <v>19.31958329169619</v>
      </c>
      <c r="K941" s="32">
        <v>125.251830789778</v>
      </c>
      <c r="L941" s="32">
        <f t="shared" si="30"/>
        <v>16.438356164383563</v>
      </c>
      <c r="M941" s="5">
        <f t="shared" si="34"/>
        <v>67.808673724385073</v>
      </c>
      <c r="N941" s="5">
        <f t="shared" si="29"/>
        <v>14.098901098901099</v>
      </c>
      <c r="O941" s="32">
        <v>25.78356238254478</v>
      </c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</row>
    <row r="942" spans="1:38">
      <c r="A942" s="5">
        <v>299</v>
      </c>
      <c r="B942" s="11">
        <v>938</v>
      </c>
      <c r="C942" s="12">
        <v>46595</v>
      </c>
      <c r="D942" s="31">
        <f t="shared" si="31"/>
        <v>75</v>
      </c>
      <c r="E942" s="14"/>
      <c r="F942" s="5">
        <v>0</v>
      </c>
      <c r="G942" s="18">
        <f t="shared" si="32"/>
        <v>45.7562</v>
      </c>
      <c r="H942" s="18">
        <f t="shared" si="33"/>
        <v>19.409836065573771</v>
      </c>
      <c r="I942" s="32">
        <v>15.169456724608169</v>
      </c>
      <c r="K942" s="32">
        <v>21.372030235181079</v>
      </c>
      <c r="L942" s="32">
        <f t="shared" si="30"/>
        <v>16.438356164383563</v>
      </c>
      <c r="M942" s="5">
        <f t="shared" si="34"/>
        <v>68.950209994215797</v>
      </c>
      <c r="N942" s="5">
        <f t="shared" si="29"/>
        <v>14.098901098901099</v>
      </c>
      <c r="O942" s="32">
        <v>16.739594618687239</v>
      </c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</row>
    <row r="943" spans="1:38">
      <c r="A943" s="5">
        <v>300</v>
      </c>
      <c r="B943" s="11">
        <v>939</v>
      </c>
      <c r="C943" s="12">
        <v>46596</v>
      </c>
      <c r="D943" s="31">
        <f t="shared" si="31"/>
        <v>56</v>
      </c>
      <c r="E943" s="14"/>
      <c r="F943" s="5">
        <v>0</v>
      </c>
      <c r="G943" s="18">
        <f t="shared" si="32"/>
        <v>45.908900000000003</v>
      </c>
      <c r="H943" s="18">
        <f t="shared" si="33"/>
        <v>19.409836065573771</v>
      </c>
      <c r="I943" s="32">
        <v>19.79086460268238</v>
      </c>
      <c r="K943" s="32">
        <v>1.856531650863475</v>
      </c>
      <c r="L943" s="32">
        <f t="shared" si="30"/>
        <v>16.438356164383563</v>
      </c>
      <c r="M943" s="5">
        <f t="shared" si="34"/>
        <v>69.164666022614909</v>
      </c>
      <c r="N943" s="5">
        <f t="shared" si="29"/>
        <v>14.098901098901099</v>
      </c>
      <c r="O943" s="32">
        <v>8.9569714644377836</v>
      </c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</row>
    <row r="944" spans="1:38">
      <c r="A944" s="5">
        <v>301</v>
      </c>
      <c r="B944" s="11">
        <v>940</v>
      </c>
      <c r="C944" s="12">
        <v>46597</v>
      </c>
      <c r="D944" s="31">
        <f t="shared" si="31"/>
        <v>67</v>
      </c>
      <c r="E944" s="14"/>
      <c r="F944" s="5">
        <v>0</v>
      </c>
      <c r="G944" s="18">
        <f t="shared" si="32"/>
        <v>46.061599999999999</v>
      </c>
      <c r="H944" s="18">
        <f t="shared" si="33"/>
        <v>19.409836065573771</v>
      </c>
      <c r="I944" s="32">
        <v>12.319188436906151</v>
      </c>
      <c r="K944" s="32">
        <v>125.251830789778</v>
      </c>
      <c r="L944" s="32">
        <f t="shared" si="30"/>
        <v>16.438356164383563</v>
      </c>
      <c r="M944" s="5">
        <f t="shared" si="34"/>
        <v>67.808673724385073</v>
      </c>
      <c r="N944" s="5">
        <f t="shared" si="29"/>
        <v>14.098901098901099</v>
      </c>
      <c r="O944" s="32">
        <v>12.21709981780065</v>
      </c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</row>
    <row r="945" spans="1:38">
      <c r="A945" s="5">
        <v>302</v>
      </c>
      <c r="B945" s="11">
        <v>941</v>
      </c>
      <c r="C945" s="12">
        <v>46598</v>
      </c>
      <c r="D945" s="31">
        <f t="shared" si="31"/>
        <v>75</v>
      </c>
      <c r="E945" s="14"/>
      <c r="F945" s="5">
        <v>0</v>
      </c>
      <c r="G945" s="18">
        <f t="shared" si="32"/>
        <v>46.214300000000001</v>
      </c>
      <c r="H945" s="18">
        <f t="shared" si="33"/>
        <v>19.409836065573771</v>
      </c>
      <c r="I945" s="32">
        <v>27.186031498555749</v>
      </c>
      <c r="K945" s="32">
        <v>125.251830789778</v>
      </c>
      <c r="L945" s="32">
        <f t="shared" si="30"/>
        <v>16.438356164383563</v>
      </c>
      <c r="M945" s="5">
        <f t="shared" si="34"/>
        <v>67.808673724385073</v>
      </c>
      <c r="N945" s="5">
        <f t="shared" si="29"/>
        <v>14.098901098901099</v>
      </c>
      <c r="O945" s="32">
        <v>11.65994492948073</v>
      </c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</row>
    <row r="946" spans="1:38">
      <c r="A946" s="5">
        <v>303</v>
      </c>
      <c r="B946" s="11">
        <v>942</v>
      </c>
      <c r="C946" s="12">
        <v>46599</v>
      </c>
      <c r="D946" s="31">
        <f t="shared" si="31"/>
        <v>96</v>
      </c>
      <c r="E946" s="14"/>
      <c r="F946" s="5">
        <v>0</v>
      </c>
      <c r="G946" s="18">
        <f t="shared" si="32"/>
        <v>46.367000000000004</v>
      </c>
      <c r="H946" s="18">
        <f t="shared" si="33"/>
        <v>19.409836065573771</v>
      </c>
      <c r="I946" s="32">
        <v>29.903665534364301</v>
      </c>
      <c r="K946" s="32">
        <v>21.372030235181079</v>
      </c>
      <c r="L946" s="32">
        <f t="shared" si="30"/>
        <v>16.438356164383563</v>
      </c>
      <c r="M946" s="5">
        <f t="shared" si="34"/>
        <v>68.950209994215797</v>
      </c>
      <c r="N946" s="5">
        <f t="shared" si="29"/>
        <v>14.098901098901099</v>
      </c>
      <c r="O946" s="32">
        <v>34.266083403913463</v>
      </c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</row>
    <row r="947" spans="1:38">
      <c r="A947" s="5">
        <v>304</v>
      </c>
      <c r="B947" s="11">
        <v>943</v>
      </c>
      <c r="C947" s="12">
        <v>46600</v>
      </c>
      <c r="D947" s="31">
        <f t="shared" si="31"/>
        <v>45</v>
      </c>
      <c r="E947" s="14"/>
      <c r="F947" s="5">
        <v>0</v>
      </c>
      <c r="G947" s="18">
        <f t="shared" si="32"/>
        <v>46.5197</v>
      </c>
      <c r="H947" s="18">
        <f t="shared" si="33"/>
        <v>19.409836065573771</v>
      </c>
      <c r="I947" s="32">
        <v>24.364754681982191</v>
      </c>
      <c r="K947" s="32">
        <v>1.856531650863475</v>
      </c>
      <c r="L947" s="32">
        <f t="shared" si="30"/>
        <v>16.438356164383563</v>
      </c>
      <c r="M947" s="5">
        <f t="shared" si="34"/>
        <v>69.164666022614909</v>
      </c>
      <c r="N947" s="5">
        <f t="shared" si="29"/>
        <v>14.098901098901099</v>
      </c>
      <c r="O947" s="32">
        <v>27.129955701859419</v>
      </c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</row>
    <row r="948" spans="1:38">
      <c r="A948" s="5">
        <v>305</v>
      </c>
      <c r="B948" s="11">
        <v>944</v>
      </c>
      <c r="C948" s="12">
        <v>46601</v>
      </c>
      <c r="D948" s="31">
        <f t="shared" si="31"/>
        <v>89</v>
      </c>
      <c r="E948" s="14"/>
      <c r="F948" s="5">
        <v>0</v>
      </c>
      <c r="G948" s="18">
        <f t="shared" si="32"/>
        <v>46.672400000000003</v>
      </c>
      <c r="H948" s="18">
        <f t="shared" si="33"/>
        <v>19.409836065573771</v>
      </c>
      <c r="I948" s="32">
        <v>20.84275928352967</v>
      </c>
      <c r="K948" s="32">
        <v>125.251830789778</v>
      </c>
      <c r="L948" s="32">
        <f t="shared" si="30"/>
        <v>16.438356164383563</v>
      </c>
      <c r="M948" s="5">
        <f t="shared" si="34"/>
        <v>67.808673724385073</v>
      </c>
      <c r="N948" s="5">
        <f t="shared" si="29"/>
        <v>14.098901098901099</v>
      </c>
      <c r="O948" s="32">
        <v>28.161887493175811</v>
      </c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</row>
    <row r="949" spans="1:38">
      <c r="A949" s="5">
        <v>306</v>
      </c>
      <c r="B949" s="11">
        <v>945</v>
      </c>
      <c r="C949" s="12">
        <v>46602</v>
      </c>
      <c r="D949" s="31">
        <f t="shared" si="31"/>
        <v>58</v>
      </c>
      <c r="E949" s="14"/>
      <c r="F949" s="5">
        <v>0</v>
      </c>
      <c r="G949" s="18">
        <f t="shared" si="32"/>
        <v>46.825099999999999</v>
      </c>
      <c r="H949" s="18">
        <f t="shared" si="33"/>
        <v>19.409836065573771</v>
      </c>
      <c r="I949" s="32">
        <v>30.168071688596822</v>
      </c>
      <c r="K949" s="32">
        <v>125.251830789778</v>
      </c>
      <c r="L949" s="32">
        <f t="shared" si="30"/>
        <v>16.438356164383563</v>
      </c>
      <c r="M949" s="5">
        <f t="shared" si="34"/>
        <v>67.808673724385073</v>
      </c>
      <c r="N949" s="5">
        <f t="shared" si="29"/>
        <v>14.098901098901099</v>
      </c>
      <c r="O949" s="32">
        <v>15.66419982375885</v>
      </c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</row>
    <row r="950" spans="1:38">
      <c r="A950" s="5">
        <v>307</v>
      </c>
      <c r="B950" s="11">
        <v>946</v>
      </c>
      <c r="C950" s="12">
        <v>46603</v>
      </c>
      <c r="D950" s="31">
        <f t="shared" si="31"/>
        <v>57</v>
      </c>
      <c r="E950" s="14"/>
      <c r="F950" s="5">
        <v>0</v>
      </c>
      <c r="G950" s="18">
        <f t="shared" si="32"/>
        <v>46.977800000000002</v>
      </c>
      <c r="H950" s="18">
        <f t="shared" si="33"/>
        <v>19.409836065573771</v>
      </c>
      <c r="I950" s="32">
        <v>23.964801359796859</v>
      </c>
      <c r="K950" s="32">
        <v>21.372030235181079</v>
      </c>
      <c r="L950" s="32">
        <f t="shared" si="30"/>
        <v>16.438356164383563</v>
      </c>
      <c r="M950" s="5">
        <f t="shared" si="34"/>
        <v>68.950209994215797</v>
      </c>
      <c r="N950" s="5">
        <f t="shared" si="29"/>
        <v>14.098901098901099</v>
      </c>
      <c r="O950" s="32">
        <v>9.7106874513022667</v>
      </c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</row>
    <row r="951" spans="1:38">
      <c r="A951" s="5">
        <v>308</v>
      </c>
      <c r="B951" s="11">
        <v>947</v>
      </c>
      <c r="C951" s="12">
        <v>46604</v>
      </c>
      <c r="D951" s="31">
        <f t="shared" si="31"/>
        <v>75</v>
      </c>
      <c r="E951" s="14"/>
      <c r="F951" s="5">
        <v>0</v>
      </c>
      <c r="G951" s="18">
        <f t="shared" si="32"/>
        <v>47.130499999999998</v>
      </c>
      <c r="H951" s="18">
        <f t="shared" si="33"/>
        <v>19.409836065573771</v>
      </c>
      <c r="I951" s="32">
        <v>18.333048854986639</v>
      </c>
      <c r="K951" s="32">
        <v>1.856531650863475</v>
      </c>
      <c r="L951" s="32">
        <f t="shared" si="30"/>
        <v>16.438356164383563</v>
      </c>
      <c r="M951" s="5">
        <f t="shared" si="34"/>
        <v>69.164666022614909</v>
      </c>
      <c r="N951" s="5">
        <f t="shared" si="29"/>
        <v>14.098901098901099</v>
      </c>
      <c r="O951" s="32">
        <v>9.4090923159987199</v>
      </c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</row>
    <row r="952" spans="1:38">
      <c r="A952" s="5">
        <v>309</v>
      </c>
      <c r="B952" s="11">
        <v>948</v>
      </c>
      <c r="C952" s="12">
        <v>46605</v>
      </c>
      <c r="D952" s="31">
        <f t="shared" si="31"/>
        <v>70</v>
      </c>
      <c r="E952" s="14"/>
      <c r="F952" s="5">
        <v>0</v>
      </c>
      <c r="G952" s="18">
        <f t="shared" si="32"/>
        <v>47.283200000000001</v>
      </c>
      <c r="H952" s="18">
        <f t="shared" si="33"/>
        <v>19.409836065573771</v>
      </c>
      <c r="I952" s="32">
        <v>32.049065579383679</v>
      </c>
      <c r="K952" s="32">
        <v>125.251830789778</v>
      </c>
      <c r="L952" s="32">
        <f t="shared" si="30"/>
        <v>16.438356164383563</v>
      </c>
      <c r="M952" s="5">
        <f t="shared" si="34"/>
        <v>67.808673724385073</v>
      </c>
      <c r="N952" s="5">
        <f t="shared" si="29"/>
        <v>14.098901098901099</v>
      </c>
      <c r="O952" s="32">
        <v>12.89540625999078</v>
      </c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</row>
    <row r="953" spans="1:38">
      <c r="A953" s="5">
        <v>310</v>
      </c>
      <c r="B953" s="11">
        <v>949</v>
      </c>
      <c r="C953" s="12">
        <v>46606</v>
      </c>
      <c r="D953" s="31">
        <f t="shared" si="31"/>
        <v>54</v>
      </c>
      <c r="E953" s="14"/>
      <c r="F953" s="5">
        <v>0</v>
      </c>
      <c r="G953" s="18">
        <f t="shared" si="32"/>
        <v>47.435900000000004</v>
      </c>
      <c r="H953" s="18">
        <f t="shared" si="33"/>
        <v>19.409836065573771</v>
      </c>
      <c r="I953" s="32">
        <v>39.872576334653111</v>
      </c>
      <c r="K953" s="32">
        <v>125.251830789778</v>
      </c>
      <c r="L953" s="32">
        <f t="shared" si="30"/>
        <v>16.438356164383563</v>
      </c>
      <c r="M953" s="5">
        <f t="shared" si="34"/>
        <v>67.808673724385073</v>
      </c>
      <c r="N953" s="5">
        <f t="shared" si="29"/>
        <v>14.098901098901099</v>
      </c>
      <c r="O953" s="32">
        <v>33.195482219017848</v>
      </c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</row>
    <row r="954" spans="1:38">
      <c r="A954" s="5">
        <v>311</v>
      </c>
      <c r="B954" s="11">
        <v>950</v>
      </c>
      <c r="C954" s="12">
        <v>46607</v>
      </c>
      <c r="D954" s="31">
        <f t="shared" si="31"/>
        <v>54</v>
      </c>
      <c r="E954" s="14"/>
      <c r="F954" s="5">
        <v>0</v>
      </c>
      <c r="G954" s="18">
        <f t="shared" si="32"/>
        <v>47.5886</v>
      </c>
      <c r="H954" s="18">
        <f t="shared" si="33"/>
        <v>19.409836065573771</v>
      </c>
      <c r="I954" s="32">
        <v>35.771595532880347</v>
      </c>
      <c r="K954" s="32">
        <v>21.372030235181079</v>
      </c>
      <c r="L954" s="32">
        <f t="shared" si="30"/>
        <v>16.438356164383563</v>
      </c>
      <c r="M954" s="5">
        <f t="shared" si="34"/>
        <v>68.950209994215797</v>
      </c>
      <c r="N954" s="5">
        <f t="shared" si="29"/>
        <v>14.098901098901099</v>
      </c>
      <c r="O954" s="32">
        <v>34.735040248317709</v>
      </c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</row>
    <row r="955" spans="1:38">
      <c r="A955" s="5">
        <v>312</v>
      </c>
      <c r="B955" s="11">
        <v>951</v>
      </c>
      <c r="C955" s="12">
        <v>46608</v>
      </c>
      <c r="D955" s="31">
        <f t="shared" si="31"/>
        <v>57</v>
      </c>
      <c r="E955" s="14"/>
      <c r="F955" s="5">
        <v>0</v>
      </c>
      <c r="G955" s="18">
        <f t="shared" si="32"/>
        <v>47.741300000000003</v>
      </c>
      <c r="H955" s="18">
        <f t="shared" si="33"/>
        <v>19.409836065573771</v>
      </c>
      <c r="I955" s="32">
        <v>34.809300596342133</v>
      </c>
      <c r="K955" s="32">
        <v>1.856531650863475</v>
      </c>
      <c r="L955" s="32">
        <f t="shared" si="30"/>
        <v>16.438356164383563</v>
      </c>
      <c r="M955" s="5">
        <f t="shared" si="34"/>
        <v>69.164666022614909</v>
      </c>
      <c r="N955" s="5">
        <f t="shared" si="29"/>
        <v>14.098901098901099</v>
      </c>
      <c r="O955" s="32">
        <v>16.942317441545409</v>
      </c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</row>
    <row r="956" spans="1:38">
      <c r="A956" s="5">
        <v>313</v>
      </c>
      <c r="B956" s="11">
        <v>952</v>
      </c>
      <c r="C956" s="12">
        <v>46609</v>
      </c>
      <c r="D956" s="31">
        <f t="shared" si="31"/>
        <v>72</v>
      </c>
      <c r="E956" s="14"/>
      <c r="F956" s="5">
        <v>0</v>
      </c>
      <c r="G956" s="18">
        <f t="shared" si="32"/>
        <v>47.893999999999998</v>
      </c>
      <c r="H956" s="18">
        <f t="shared" si="33"/>
        <v>19.409836065573771</v>
      </c>
      <c r="I956" s="32">
        <v>28.3902417962396</v>
      </c>
      <c r="K956" s="32">
        <v>125.251830789778</v>
      </c>
      <c r="L956" s="32">
        <f t="shared" si="30"/>
        <v>16.438356164383563</v>
      </c>
      <c r="M956" s="5">
        <f t="shared" si="34"/>
        <v>67.808673724385073</v>
      </c>
      <c r="N956" s="5">
        <f t="shared" si="29"/>
        <v>14.098901098901099</v>
      </c>
      <c r="O956" s="32">
        <v>12.56835683459351</v>
      </c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</row>
    <row r="957" spans="1:38">
      <c r="A957" s="5">
        <v>314</v>
      </c>
      <c r="B957" s="11">
        <v>953</v>
      </c>
      <c r="C957" s="12">
        <v>46610</v>
      </c>
      <c r="D957" s="31">
        <f t="shared" si="31"/>
        <v>50</v>
      </c>
      <c r="E957" s="14"/>
      <c r="F957" s="5">
        <v>0</v>
      </c>
      <c r="G957" s="18">
        <f t="shared" si="32"/>
        <v>48.046700000000001</v>
      </c>
      <c r="H957" s="18">
        <f t="shared" si="33"/>
        <v>19.409836065573771</v>
      </c>
      <c r="I957" s="32">
        <v>34.75550305609918</v>
      </c>
      <c r="K957" s="32">
        <v>125.251830789778</v>
      </c>
      <c r="L957" s="32">
        <f t="shared" si="30"/>
        <v>16.438356164383563</v>
      </c>
      <c r="M957" s="5">
        <f t="shared" si="34"/>
        <v>67.808673724385073</v>
      </c>
      <c r="N957" s="5">
        <f t="shared" si="29"/>
        <v>14.098901098901099</v>
      </c>
      <c r="O957" s="32">
        <v>14.87782199711395</v>
      </c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</row>
    <row r="958" spans="1:38">
      <c r="A958" s="5">
        <v>315</v>
      </c>
      <c r="B958" s="11">
        <v>954</v>
      </c>
      <c r="C958" s="12">
        <v>46611</v>
      </c>
      <c r="D958" s="31">
        <f t="shared" si="31"/>
        <v>40</v>
      </c>
      <c r="E958" s="14"/>
      <c r="F958" s="5">
        <v>0</v>
      </c>
      <c r="G958" s="18">
        <f t="shared" si="32"/>
        <v>48.199400000000004</v>
      </c>
      <c r="H958" s="18">
        <f t="shared" si="33"/>
        <v>19.409836065573771</v>
      </c>
      <c r="I958" s="32">
        <v>17.90234277901736</v>
      </c>
      <c r="K958" s="32">
        <v>21.372030235181079</v>
      </c>
      <c r="L958" s="32">
        <f t="shared" si="30"/>
        <v>16.438356164383563</v>
      </c>
      <c r="M958" s="5">
        <f t="shared" si="34"/>
        <v>68.950209994215797</v>
      </c>
      <c r="N958" s="5">
        <f t="shared" si="29"/>
        <v>14.098901098901099</v>
      </c>
      <c r="O958" s="32">
        <v>12.949073779417141</v>
      </c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</row>
    <row r="959" spans="1:38">
      <c r="A959" s="5">
        <v>316</v>
      </c>
      <c r="B959" s="11">
        <v>955</v>
      </c>
      <c r="C959" s="12">
        <v>46612</v>
      </c>
      <c r="D959" s="31">
        <f t="shared" si="31"/>
        <v>65</v>
      </c>
      <c r="E959" s="14"/>
      <c r="F959" s="5">
        <v>0</v>
      </c>
      <c r="G959" s="18">
        <f t="shared" si="32"/>
        <v>48.3521</v>
      </c>
      <c r="H959" s="18">
        <f t="shared" si="33"/>
        <v>19.409836065573771</v>
      </c>
      <c r="I959" s="32">
        <v>22.758108125419561</v>
      </c>
      <c r="K959" s="32">
        <v>1.856531650863475</v>
      </c>
      <c r="L959" s="32">
        <f t="shared" si="30"/>
        <v>16.438356164383563</v>
      </c>
      <c r="M959" s="5">
        <f t="shared" si="34"/>
        <v>69.164666022614909</v>
      </c>
      <c r="N959" s="5">
        <f t="shared" si="29"/>
        <v>14.098901098901099</v>
      </c>
      <c r="O959" s="32">
        <v>24.260445525866078</v>
      </c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</row>
    <row r="960" spans="1:38">
      <c r="A960" s="5">
        <v>317</v>
      </c>
      <c r="B960" s="11">
        <v>956</v>
      </c>
      <c r="C960" s="12">
        <v>46613</v>
      </c>
      <c r="D960" s="31">
        <f t="shared" si="31"/>
        <v>67</v>
      </c>
      <c r="E960" s="14"/>
      <c r="F960" s="5">
        <v>0</v>
      </c>
      <c r="G960" s="18">
        <f t="shared" si="32"/>
        <v>48.504800000000003</v>
      </c>
      <c r="H960" s="18">
        <f t="shared" si="33"/>
        <v>19.409836065573771</v>
      </c>
      <c r="I960" s="32">
        <v>28.918778322794239</v>
      </c>
      <c r="K960" s="32">
        <v>125.251830789778</v>
      </c>
      <c r="L960" s="32">
        <f t="shared" si="30"/>
        <v>16.438356164383563</v>
      </c>
      <c r="M960" s="5">
        <f t="shared" si="34"/>
        <v>67.808673724385073</v>
      </c>
      <c r="N960" s="5">
        <f t="shared" si="29"/>
        <v>14.098901098901099</v>
      </c>
      <c r="O960" s="32">
        <v>20.054477882800231</v>
      </c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</row>
    <row r="961" spans="1:38">
      <c r="A961" s="5">
        <v>318</v>
      </c>
      <c r="B961" s="11">
        <v>957</v>
      </c>
      <c r="C961" s="12">
        <v>46614</v>
      </c>
      <c r="D961" s="31">
        <f t="shared" si="31"/>
        <v>46</v>
      </c>
      <c r="E961" s="14"/>
      <c r="F961" s="5">
        <v>0</v>
      </c>
      <c r="G961" s="18">
        <f t="shared" si="32"/>
        <v>48.657499999999999</v>
      </c>
      <c r="H961" s="18">
        <f t="shared" si="33"/>
        <v>19.409836065573771</v>
      </c>
      <c r="I961" s="32">
        <v>3.0205075937043588</v>
      </c>
      <c r="K961" s="32">
        <v>125.251830789778</v>
      </c>
      <c r="L961" s="32">
        <f t="shared" si="30"/>
        <v>16.438356164383563</v>
      </c>
      <c r="M961" s="5">
        <f t="shared" si="34"/>
        <v>67.808673724385073</v>
      </c>
      <c r="N961" s="5">
        <f t="shared" si="29"/>
        <v>14.098901098901099</v>
      </c>
      <c r="O961" s="32">
        <v>17.013337065211761</v>
      </c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</row>
    <row r="962" spans="1:38">
      <c r="A962" s="5">
        <v>319</v>
      </c>
      <c r="B962" s="11">
        <v>958</v>
      </c>
      <c r="C962" s="12">
        <v>46615</v>
      </c>
      <c r="D962" s="31">
        <f t="shared" si="31"/>
        <v>76</v>
      </c>
      <c r="E962" s="14"/>
      <c r="F962" s="5">
        <v>0</v>
      </c>
      <c r="G962" s="18">
        <f t="shared" si="32"/>
        <v>48.810200000000002</v>
      </c>
      <c r="H962" s="18">
        <f t="shared" si="33"/>
        <v>19.409836065573771</v>
      </c>
      <c r="I962" s="32">
        <v>37.593549001687997</v>
      </c>
      <c r="K962" s="32">
        <v>21.372030235181079</v>
      </c>
      <c r="L962" s="32">
        <f t="shared" si="30"/>
        <v>16.438356164383563</v>
      </c>
      <c r="M962" s="5">
        <f t="shared" si="34"/>
        <v>68.950209994215797</v>
      </c>
      <c r="N962" s="5">
        <f t="shared" si="29"/>
        <v>14.098901098901099</v>
      </c>
      <c r="O962" s="32">
        <v>7.0079220549236716</v>
      </c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</row>
    <row r="963" spans="1:38">
      <c r="A963" s="5">
        <v>320</v>
      </c>
      <c r="B963" s="11">
        <v>959</v>
      </c>
      <c r="C963" s="12">
        <v>46616</v>
      </c>
      <c r="D963" s="31">
        <f t="shared" si="31"/>
        <v>50</v>
      </c>
      <c r="E963" s="14"/>
      <c r="F963" s="5">
        <v>0</v>
      </c>
      <c r="G963" s="18">
        <f t="shared" si="32"/>
        <v>48.962900000000005</v>
      </c>
      <c r="H963" s="18">
        <f t="shared" si="33"/>
        <v>19.409836065573771</v>
      </c>
      <c r="I963" s="32">
        <v>37.331195173612947</v>
      </c>
      <c r="K963" s="32">
        <v>1.856531650863475</v>
      </c>
      <c r="L963" s="32">
        <f t="shared" si="30"/>
        <v>16.438356164383563</v>
      </c>
      <c r="M963" s="5">
        <f t="shared" si="34"/>
        <v>69.164666022614909</v>
      </c>
      <c r="N963" s="5">
        <f t="shared" si="29"/>
        <v>14.098901098901099</v>
      </c>
      <c r="O963" s="32">
        <v>15.766486943885591</v>
      </c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</row>
    <row r="964" spans="1:38">
      <c r="A964" s="5">
        <v>321</v>
      </c>
      <c r="B964" s="11">
        <v>960</v>
      </c>
      <c r="C964" s="12">
        <v>46617</v>
      </c>
      <c r="D964" s="31">
        <f t="shared" si="31"/>
        <v>60</v>
      </c>
      <c r="E964" s="14"/>
      <c r="F964" s="5">
        <v>0</v>
      </c>
      <c r="G964" s="18">
        <f t="shared" si="32"/>
        <v>49.115600000000001</v>
      </c>
      <c r="H964" s="18">
        <f t="shared" si="33"/>
        <v>19.409836065573771</v>
      </c>
      <c r="I964" s="32">
        <v>38.139651744982828</v>
      </c>
      <c r="K964" s="32">
        <v>125.251830789778</v>
      </c>
      <c r="L964" s="32">
        <f t="shared" si="30"/>
        <v>16.438356164383563</v>
      </c>
      <c r="M964" s="5">
        <f t="shared" si="34"/>
        <v>67.808673724385073</v>
      </c>
      <c r="N964" s="5">
        <f t="shared" si="29"/>
        <v>14.098901098901099</v>
      </c>
      <c r="O964" s="32">
        <v>13.93498149508957</v>
      </c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</row>
    <row r="965" spans="1:38">
      <c r="A965" s="5">
        <v>322</v>
      </c>
      <c r="B965" s="11">
        <v>961</v>
      </c>
      <c r="C965" s="12">
        <v>46618</v>
      </c>
      <c r="D965" s="31">
        <f t="shared" si="31"/>
        <v>85</v>
      </c>
      <c r="E965" s="14"/>
      <c r="F965" s="5">
        <v>0</v>
      </c>
      <c r="G965" s="18">
        <f t="shared" si="32"/>
        <v>49.268300000000004</v>
      </c>
      <c r="H965" s="18">
        <f t="shared" si="33"/>
        <v>19.409836065573771</v>
      </c>
      <c r="I965" s="32">
        <v>28.70077876485497</v>
      </c>
      <c r="K965" s="32">
        <v>125.251830789778</v>
      </c>
      <c r="L965" s="32">
        <f t="shared" si="30"/>
        <v>16.438356164383563</v>
      </c>
      <c r="M965" s="5">
        <f t="shared" si="34"/>
        <v>67.808673724385073</v>
      </c>
      <c r="N965" s="5">
        <f t="shared" ref="N965:N1028" si="35">AVERAGE($O$644:$O$734)</f>
        <v>14.098901098901099</v>
      </c>
      <c r="O965" s="32">
        <v>36.791068967481678</v>
      </c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</row>
    <row r="966" spans="1:38">
      <c r="A966" s="5">
        <v>323</v>
      </c>
      <c r="B966" s="11">
        <v>962</v>
      </c>
      <c r="C966" s="12">
        <v>46619</v>
      </c>
      <c r="D966" s="31">
        <f t="shared" si="31"/>
        <v>50</v>
      </c>
      <c r="E966" s="14"/>
      <c r="F966" s="5">
        <v>0</v>
      </c>
      <c r="G966" s="18">
        <f t="shared" si="32"/>
        <v>49.420999999999999</v>
      </c>
      <c r="H966" s="18">
        <f t="shared" si="33"/>
        <v>19.409836065573771</v>
      </c>
      <c r="I966" s="32">
        <v>13.497999146132861</v>
      </c>
      <c r="K966" s="32">
        <v>21.372030235181079</v>
      </c>
      <c r="L966" s="32">
        <f t="shared" si="30"/>
        <v>16.438356164383563</v>
      </c>
      <c r="M966" s="5">
        <f t="shared" si="34"/>
        <v>68.950209994215797</v>
      </c>
      <c r="N966" s="5">
        <f t="shared" si="35"/>
        <v>14.098901098901099</v>
      </c>
      <c r="O966" s="32">
        <v>27.924275563039402</v>
      </c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</row>
    <row r="967" spans="1:38">
      <c r="A967" s="5">
        <v>324</v>
      </c>
      <c r="B967" s="11">
        <v>963</v>
      </c>
      <c r="C967" s="12">
        <v>46620</v>
      </c>
      <c r="D967" s="31">
        <f t="shared" si="31"/>
        <v>66</v>
      </c>
      <c r="E967" s="14"/>
      <c r="F967" s="5">
        <v>0</v>
      </c>
      <c r="G967" s="18">
        <f t="shared" si="32"/>
        <v>49.573700000000002</v>
      </c>
      <c r="H967" s="18">
        <f t="shared" si="33"/>
        <v>19.409836065573771</v>
      </c>
      <c r="I967" s="32">
        <v>19.145361567555732</v>
      </c>
      <c r="K967" s="32">
        <v>1.856531650863475</v>
      </c>
      <c r="L967" s="32">
        <f t="shared" si="30"/>
        <v>16.438356164383563</v>
      </c>
      <c r="M967" s="5">
        <f t="shared" si="34"/>
        <v>69.164666022614909</v>
      </c>
      <c r="N967" s="5">
        <f t="shared" si="35"/>
        <v>14.098901098901099</v>
      </c>
      <c r="O967" s="32">
        <v>29.08121542403131</v>
      </c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</row>
    <row r="968" spans="1:38">
      <c r="A968" s="5">
        <v>325</v>
      </c>
      <c r="B968" s="11">
        <v>964</v>
      </c>
      <c r="C968" s="12">
        <v>46621</v>
      </c>
      <c r="D968" s="31">
        <f t="shared" si="31"/>
        <v>46</v>
      </c>
      <c r="E968" s="14"/>
      <c r="F968" s="5">
        <v>0</v>
      </c>
      <c r="G968" s="18">
        <f t="shared" si="32"/>
        <v>49.726399999999998</v>
      </c>
      <c r="H968" s="18">
        <f t="shared" si="33"/>
        <v>19.409836065573771</v>
      </c>
      <c r="I968" s="32">
        <v>12.61743709119056</v>
      </c>
      <c r="K968" s="32">
        <v>125.251830789778</v>
      </c>
      <c r="L968" s="32">
        <f t="shared" si="30"/>
        <v>16.438356164383563</v>
      </c>
      <c r="M968" s="5">
        <f t="shared" si="34"/>
        <v>67.808673724385073</v>
      </c>
      <c r="N968" s="5">
        <f t="shared" si="35"/>
        <v>14.098901098901099</v>
      </c>
      <c r="O968" s="32">
        <v>15.62691719599812</v>
      </c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</row>
    <row r="969" spans="1:38">
      <c r="A969" s="5">
        <v>326</v>
      </c>
      <c r="B969" s="11">
        <v>965</v>
      </c>
      <c r="C969" s="12">
        <v>46622</v>
      </c>
      <c r="D969" s="31">
        <f t="shared" si="31"/>
        <v>34</v>
      </c>
      <c r="E969" s="14"/>
      <c r="F969" s="5">
        <v>0</v>
      </c>
      <c r="G969" s="18">
        <f t="shared" si="32"/>
        <v>49.879100000000001</v>
      </c>
      <c r="H969" s="18">
        <f t="shared" si="33"/>
        <v>19.409836065573771</v>
      </c>
      <c r="I969" s="32">
        <v>12.306670600306431</v>
      </c>
      <c r="K969" s="32">
        <v>125.251830789778</v>
      </c>
      <c r="L969" s="32">
        <f t="shared" si="30"/>
        <v>16.438356164383563</v>
      </c>
      <c r="M969" s="5">
        <f t="shared" si="34"/>
        <v>67.808673724385073</v>
      </c>
      <c r="N969" s="5">
        <f t="shared" si="35"/>
        <v>14.098901098901099</v>
      </c>
      <c r="O969" s="32">
        <v>8.4719426536357627</v>
      </c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</row>
    <row r="970" spans="1:38">
      <c r="A970" s="5">
        <v>327</v>
      </c>
      <c r="B970" s="11">
        <v>966</v>
      </c>
      <c r="C970" s="12">
        <v>46623</v>
      </c>
      <c r="D970" s="31">
        <f t="shared" si="31"/>
        <v>50</v>
      </c>
      <c r="E970" s="14"/>
      <c r="F970" s="5">
        <v>0</v>
      </c>
      <c r="G970" s="18">
        <f t="shared" si="32"/>
        <v>50.031800000000004</v>
      </c>
      <c r="H970" s="18">
        <f t="shared" si="33"/>
        <v>19.409836065573771</v>
      </c>
      <c r="I970" s="32">
        <v>9.0464888177542839</v>
      </c>
      <c r="K970" s="32">
        <v>21.372030235181079</v>
      </c>
      <c r="L970" s="32">
        <f t="shared" si="30"/>
        <v>16.438356164383563</v>
      </c>
      <c r="M970" s="5">
        <f t="shared" si="34"/>
        <v>68.950209994215797</v>
      </c>
      <c r="N970" s="5">
        <f t="shared" si="35"/>
        <v>14.098901098901099</v>
      </c>
      <c r="O970" s="32">
        <v>8.5982007717525502</v>
      </c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</row>
    <row r="971" spans="1:38">
      <c r="A971" s="5">
        <v>328</v>
      </c>
      <c r="B971" s="11">
        <v>967</v>
      </c>
      <c r="C971" s="12">
        <v>46624</v>
      </c>
      <c r="D971" s="31">
        <f t="shared" si="31"/>
        <v>65</v>
      </c>
      <c r="E971" s="14"/>
      <c r="F971" s="5">
        <v>0</v>
      </c>
      <c r="G971" s="18">
        <f t="shared" si="32"/>
        <v>50.1845</v>
      </c>
      <c r="H971" s="18">
        <f t="shared" si="33"/>
        <v>19.409836065573771</v>
      </c>
      <c r="I971" s="32">
        <v>26.322095530416821</v>
      </c>
      <c r="K971" s="32">
        <v>1.856531650863475</v>
      </c>
      <c r="L971" s="32">
        <f t="shared" si="30"/>
        <v>16.438356164383563</v>
      </c>
      <c r="M971" s="5">
        <f t="shared" si="34"/>
        <v>69.164666022614909</v>
      </c>
      <c r="N971" s="5">
        <f t="shared" si="35"/>
        <v>14.098901098901099</v>
      </c>
      <c r="O971" s="32">
        <v>12.44351596551313</v>
      </c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</row>
    <row r="972" spans="1:38">
      <c r="A972" s="5">
        <v>329</v>
      </c>
      <c r="B972" s="11">
        <v>968</v>
      </c>
      <c r="C972" s="12">
        <v>46625</v>
      </c>
      <c r="D972" s="31">
        <f t="shared" si="31"/>
        <v>40</v>
      </c>
      <c r="E972" s="14"/>
      <c r="F972" s="5">
        <v>0</v>
      </c>
      <c r="G972" s="18">
        <f t="shared" si="32"/>
        <v>50.337200000000003</v>
      </c>
      <c r="H972" s="18">
        <f t="shared" si="33"/>
        <v>19.409836065573771</v>
      </c>
      <c r="I972" s="32">
        <v>18.116681772636031</v>
      </c>
      <c r="K972" s="32">
        <v>125.251830789778</v>
      </c>
      <c r="L972" s="32">
        <f t="shared" si="30"/>
        <v>16.438356164383563</v>
      </c>
      <c r="M972" s="5">
        <f t="shared" si="34"/>
        <v>67.808673724385073</v>
      </c>
      <c r="N972" s="5">
        <f t="shared" si="35"/>
        <v>14.098901098901099</v>
      </c>
      <c r="O972" s="32">
        <v>33.734153716198939</v>
      </c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</row>
    <row r="973" spans="1:38">
      <c r="A973" s="5">
        <v>330</v>
      </c>
      <c r="B973" s="11">
        <v>969</v>
      </c>
      <c r="C973" s="12">
        <v>46626</v>
      </c>
      <c r="D973" s="31">
        <f t="shared" si="31"/>
        <v>58</v>
      </c>
      <c r="E973" s="14"/>
      <c r="F973" s="5">
        <v>0</v>
      </c>
      <c r="G973" s="18">
        <f t="shared" si="32"/>
        <v>50.489899999999999</v>
      </c>
      <c r="H973" s="18">
        <f t="shared" si="33"/>
        <v>19.409836065573771</v>
      </c>
      <c r="I973" s="32">
        <v>26.06705751046329</v>
      </c>
      <c r="K973" s="32">
        <v>125.251830789778</v>
      </c>
      <c r="L973" s="32">
        <f t="shared" si="30"/>
        <v>16.438356164383563</v>
      </c>
      <c r="M973" s="5">
        <f t="shared" si="34"/>
        <v>67.808673724385073</v>
      </c>
      <c r="N973" s="5">
        <f t="shared" si="35"/>
        <v>14.098901098901099</v>
      </c>
      <c r="O973" s="32">
        <v>27.102229092590662</v>
      </c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</row>
    <row r="974" spans="1:38">
      <c r="A974" s="5">
        <v>331</v>
      </c>
      <c r="B974" s="11">
        <v>970</v>
      </c>
      <c r="C974" s="12">
        <v>46627</v>
      </c>
      <c r="D974" s="31">
        <f t="shared" si="31"/>
        <v>47</v>
      </c>
      <c r="E974" s="14"/>
      <c r="F974" s="5">
        <v>0</v>
      </c>
      <c r="G974" s="18">
        <f t="shared" si="32"/>
        <v>50.642600000000002</v>
      </c>
      <c r="H974" s="18">
        <f t="shared" si="33"/>
        <v>19.409836065573771</v>
      </c>
      <c r="I974" s="32">
        <v>13.86017197893848</v>
      </c>
      <c r="K974" s="32">
        <v>21.372030235181079</v>
      </c>
      <c r="L974" s="32">
        <f t="shared" si="30"/>
        <v>16.438356164383563</v>
      </c>
      <c r="M974" s="5">
        <f t="shared" si="34"/>
        <v>68.950209994215797</v>
      </c>
      <c r="N974" s="5">
        <f t="shared" si="35"/>
        <v>14.098901098901099</v>
      </c>
      <c r="O974" s="32">
        <v>18.950280590193159</v>
      </c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</row>
    <row r="975" spans="1:38">
      <c r="A975" s="5">
        <v>332</v>
      </c>
      <c r="B975" s="11">
        <v>971</v>
      </c>
      <c r="C975" s="12">
        <v>46628</v>
      </c>
      <c r="D975" s="31">
        <f t="shared" si="31"/>
        <v>52</v>
      </c>
      <c r="E975" s="14"/>
      <c r="F975" s="5">
        <v>0</v>
      </c>
      <c r="G975" s="18">
        <f t="shared" si="32"/>
        <v>50.795300000000005</v>
      </c>
      <c r="H975" s="18">
        <f t="shared" si="33"/>
        <v>19.409836065573771</v>
      </c>
      <c r="I975" s="32">
        <v>16.92811170080105</v>
      </c>
      <c r="K975" s="32">
        <v>1.856531650863475</v>
      </c>
      <c r="L975" s="32">
        <f t="shared" si="30"/>
        <v>16.438356164383563</v>
      </c>
      <c r="M975" s="5">
        <f t="shared" si="34"/>
        <v>69.164666022614909</v>
      </c>
      <c r="N975" s="5">
        <f t="shared" si="35"/>
        <v>14.098901098901099</v>
      </c>
      <c r="O975" s="32">
        <v>16.935148709260432</v>
      </c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</row>
    <row r="976" spans="1:38">
      <c r="A976" s="5">
        <v>333</v>
      </c>
      <c r="B976" s="11">
        <v>972</v>
      </c>
      <c r="C976" s="12">
        <v>46629</v>
      </c>
      <c r="D976" s="31">
        <f t="shared" si="31"/>
        <v>84</v>
      </c>
      <c r="E976" s="14"/>
      <c r="F976" s="5">
        <v>0</v>
      </c>
      <c r="G976" s="18">
        <f t="shared" si="32"/>
        <v>50.948</v>
      </c>
      <c r="H976" s="18">
        <f t="shared" si="33"/>
        <v>19.409836065573771</v>
      </c>
      <c r="I976" s="32">
        <v>20.202908041750948</v>
      </c>
      <c r="K976" s="32">
        <v>125.251830789778</v>
      </c>
      <c r="L976" s="32">
        <f t="shared" si="30"/>
        <v>16.438356164383563</v>
      </c>
      <c r="M976" s="5">
        <f t="shared" si="34"/>
        <v>67.808673724385073</v>
      </c>
      <c r="N976" s="5">
        <f t="shared" si="35"/>
        <v>14.098901098901099</v>
      </c>
      <c r="O976" s="32">
        <v>15.34731448496813</v>
      </c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</row>
    <row r="977" spans="1:38">
      <c r="A977" s="5">
        <v>334</v>
      </c>
      <c r="B977" s="11">
        <v>973</v>
      </c>
      <c r="C977" s="12">
        <v>46630</v>
      </c>
      <c r="D977" s="31">
        <f t="shared" si="31"/>
        <v>27</v>
      </c>
      <c r="E977" s="14"/>
      <c r="F977" s="5">
        <v>0</v>
      </c>
      <c r="G977" s="18">
        <f t="shared" si="32"/>
        <v>51.100700000000003</v>
      </c>
      <c r="H977" s="18">
        <f t="shared" si="33"/>
        <v>19.409836065573771</v>
      </c>
      <c r="I977" s="32">
        <v>16.22086610260002</v>
      </c>
      <c r="K977" s="32">
        <v>125.251830789778</v>
      </c>
      <c r="L977" s="32">
        <f t="shared" si="30"/>
        <v>16.438356164383563</v>
      </c>
      <c r="M977" s="5">
        <f t="shared" si="34"/>
        <v>67.808673724385073</v>
      </c>
      <c r="N977" s="5">
        <f t="shared" si="35"/>
        <v>14.098901098901099</v>
      </c>
      <c r="O977" s="32">
        <v>13.23610234239664</v>
      </c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</row>
    <row r="978" spans="1:38">
      <c r="A978" s="5">
        <v>335</v>
      </c>
      <c r="B978" s="11">
        <v>974</v>
      </c>
      <c r="C978" s="12">
        <v>46631</v>
      </c>
      <c r="D978" s="31">
        <f t="shared" si="31"/>
        <v>48</v>
      </c>
      <c r="E978" s="14"/>
      <c r="F978" s="5">
        <v>0</v>
      </c>
      <c r="G978" s="18">
        <f t="shared" si="32"/>
        <v>51.253399999999999</v>
      </c>
      <c r="H978" s="18">
        <f t="shared" si="33"/>
        <v>19.409836065573771</v>
      </c>
      <c r="I978" s="32">
        <v>19.63385681422141</v>
      </c>
      <c r="K978" s="32">
        <v>21.372030235181079</v>
      </c>
      <c r="L978" s="32">
        <f t="shared" si="30"/>
        <v>16.438356164383563</v>
      </c>
      <c r="M978" s="5">
        <f t="shared" si="34"/>
        <v>68.950209994215797</v>
      </c>
      <c r="N978" s="5">
        <f t="shared" si="35"/>
        <v>14.098901098901099</v>
      </c>
      <c r="O978" s="32">
        <v>21.216999298101818</v>
      </c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</row>
    <row r="979" spans="1:38">
      <c r="A979" s="5">
        <v>336</v>
      </c>
      <c r="B979" s="11">
        <v>975</v>
      </c>
      <c r="C979" s="12">
        <v>46632</v>
      </c>
      <c r="D979" s="31">
        <f t="shared" si="31"/>
        <v>73</v>
      </c>
      <c r="E979" s="14"/>
      <c r="F979" s="5">
        <v>0</v>
      </c>
      <c r="G979" s="18">
        <f t="shared" si="32"/>
        <v>51.406100000000002</v>
      </c>
      <c r="H979" s="18">
        <f t="shared" si="33"/>
        <v>19.409836065573771</v>
      </c>
      <c r="I979" s="32">
        <v>20.510261806423429</v>
      </c>
      <c r="K979" s="32">
        <v>1.856531650863475</v>
      </c>
      <c r="L979" s="32">
        <f t="shared" si="30"/>
        <v>16.438356164383563</v>
      </c>
      <c r="M979" s="5">
        <f t="shared" si="34"/>
        <v>69.164666022614909</v>
      </c>
      <c r="N979" s="5">
        <f t="shared" si="35"/>
        <v>14.098901098901099</v>
      </c>
      <c r="O979" s="32">
        <v>32.855518388117979</v>
      </c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</row>
    <row r="980" spans="1:38">
      <c r="A980" s="5">
        <v>337</v>
      </c>
      <c r="B980" s="11">
        <v>976</v>
      </c>
      <c r="C980" s="12">
        <v>46633</v>
      </c>
      <c r="D980" s="31">
        <f t="shared" si="31"/>
        <v>42</v>
      </c>
      <c r="E980" s="14"/>
      <c r="F980" s="5">
        <v>0</v>
      </c>
      <c r="G980" s="18">
        <f t="shared" si="32"/>
        <v>51.558799999999998</v>
      </c>
      <c r="H980" s="18">
        <f t="shared" si="33"/>
        <v>19.409836065573771</v>
      </c>
      <c r="I980" s="32">
        <v>24.28649700537613</v>
      </c>
      <c r="K980" s="32">
        <v>125.251830789778</v>
      </c>
      <c r="L980" s="32">
        <f t="shared" si="30"/>
        <v>16.438356164383563</v>
      </c>
      <c r="M980" s="5">
        <f t="shared" si="34"/>
        <v>67.808673724385073</v>
      </c>
      <c r="N980" s="5">
        <f t="shared" si="35"/>
        <v>14.098901098901099</v>
      </c>
      <c r="O980" s="32">
        <v>22.413194809261949</v>
      </c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</row>
    <row r="981" spans="1:38">
      <c r="A981" s="5">
        <v>338</v>
      </c>
      <c r="B981" s="11">
        <v>977</v>
      </c>
      <c r="C981" s="12">
        <v>46634</v>
      </c>
      <c r="D981" s="31">
        <f t="shared" si="31"/>
        <v>57</v>
      </c>
      <c r="E981" s="14"/>
      <c r="F981" s="5">
        <v>0</v>
      </c>
      <c r="G981" s="18">
        <f t="shared" si="32"/>
        <v>51.711500000000001</v>
      </c>
      <c r="H981" s="18">
        <f t="shared" si="33"/>
        <v>19.409836065573771</v>
      </c>
      <c r="I981" s="32">
        <v>27.493862295407109</v>
      </c>
      <c r="K981" s="32">
        <v>125.251830789778</v>
      </c>
      <c r="L981" s="32">
        <f t="shared" si="30"/>
        <v>16.438356164383563</v>
      </c>
      <c r="M981" s="5">
        <f t="shared" si="34"/>
        <v>67.808673724385073</v>
      </c>
      <c r="N981" s="5">
        <f t="shared" si="35"/>
        <v>14.098901098901099</v>
      </c>
      <c r="O981" s="32">
        <v>24.68712688239923</v>
      </c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</row>
    <row r="982" spans="1:38">
      <c r="A982" s="5">
        <v>339</v>
      </c>
      <c r="B982" s="11">
        <v>978</v>
      </c>
      <c r="C982" s="12">
        <v>46635</v>
      </c>
      <c r="D982" s="31">
        <f t="shared" si="31"/>
        <v>63</v>
      </c>
      <c r="E982" s="14"/>
      <c r="F982" s="5">
        <v>0</v>
      </c>
      <c r="G982" s="18">
        <f t="shared" si="32"/>
        <v>51.864200000000004</v>
      </c>
      <c r="H982" s="18">
        <f t="shared" si="33"/>
        <v>19.409836065573771</v>
      </c>
      <c r="I982" s="32">
        <v>22.954704108173718</v>
      </c>
      <c r="K982" s="32">
        <v>21.372030235181079</v>
      </c>
      <c r="L982" s="32">
        <f t="shared" si="30"/>
        <v>16.438356164383563</v>
      </c>
      <c r="M982" s="5">
        <f t="shared" si="34"/>
        <v>68.950209994215797</v>
      </c>
      <c r="N982" s="5">
        <f t="shared" si="35"/>
        <v>14.098901098901099</v>
      </c>
      <c r="O982" s="32">
        <v>6.627070715883919</v>
      </c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</row>
    <row r="983" spans="1:38">
      <c r="A983" s="5">
        <v>340</v>
      </c>
      <c r="B983" s="11">
        <v>979</v>
      </c>
      <c r="C983" s="12">
        <v>46636</v>
      </c>
      <c r="D983" s="31">
        <f t="shared" si="31"/>
        <v>52</v>
      </c>
      <c r="E983" s="14"/>
      <c r="F983" s="5">
        <v>0</v>
      </c>
      <c r="G983" s="18">
        <f t="shared" si="32"/>
        <v>52.0169</v>
      </c>
      <c r="H983" s="18">
        <f t="shared" si="33"/>
        <v>19.409836065573771</v>
      </c>
      <c r="I983" s="32">
        <v>31.03726724777442</v>
      </c>
      <c r="K983" s="32">
        <v>1.856531650863475</v>
      </c>
      <c r="L983" s="32">
        <f t="shared" si="30"/>
        <v>16.438356164383563</v>
      </c>
      <c r="M983" s="5">
        <f t="shared" si="34"/>
        <v>69.164666022614909</v>
      </c>
      <c r="N983" s="5">
        <f t="shared" si="35"/>
        <v>14.098901098901099</v>
      </c>
      <c r="O983" s="32">
        <v>3.4138419452088442</v>
      </c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</row>
    <row r="984" spans="1:38">
      <c r="A984" s="5">
        <v>341</v>
      </c>
      <c r="B984" s="11">
        <v>980</v>
      </c>
      <c r="C984" s="12">
        <v>46637</v>
      </c>
      <c r="D984" s="31">
        <f t="shared" si="31"/>
        <v>52</v>
      </c>
      <c r="E984" s="14"/>
      <c r="F984" s="5">
        <v>0</v>
      </c>
      <c r="G984" s="18">
        <f t="shared" si="32"/>
        <v>52.169600000000003</v>
      </c>
      <c r="H984" s="18">
        <f t="shared" si="33"/>
        <v>19.409836065573771</v>
      </c>
      <c r="I984" s="32">
        <v>29.414441534580579</v>
      </c>
      <c r="K984" s="32">
        <v>125.251830789778</v>
      </c>
      <c r="L984" s="32">
        <f t="shared" si="30"/>
        <v>16.438356164383563</v>
      </c>
      <c r="M984" s="5">
        <f t="shared" si="34"/>
        <v>67.808673724385073</v>
      </c>
      <c r="N984" s="5">
        <f t="shared" si="35"/>
        <v>14.098901098901099</v>
      </c>
      <c r="O984" s="32">
        <v>20.2612000771746</v>
      </c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</row>
    <row r="985" spans="1:38">
      <c r="A985" s="5">
        <v>342</v>
      </c>
      <c r="B985" s="11">
        <v>981</v>
      </c>
      <c r="C985" s="12">
        <v>46638</v>
      </c>
      <c r="D985" s="31">
        <f t="shared" si="31"/>
        <v>38</v>
      </c>
      <c r="E985" s="14"/>
      <c r="F985" s="5">
        <v>0</v>
      </c>
      <c r="G985" s="18">
        <f t="shared" si="32"/>
        <v>52.322299999999998</v>
      </c>
      <c r="H985" s="18">
        <f t="shared" si="33"/>
        <v>19.409836065573771</v>
      </c>
      <c r="I985" s="32">
        <v>31.266746387088631</v>
      </c>
      <c r="K985" s="32">
        <v>125.251830789778</v>
      </c>
      <c r="L985" s="32">
        <f t="shared" si="30"/>
        <v>16.438356164383563</v>
      </c>
      <c r="M985" s="5">
        <f t="shared" si="34"/>
        <v>67.808673724385073</v>
      </c>
      <c r="N985" s="5">
        <f t="shared" si="35"/>
        <v>14.098901098901099</v>
      </c>
      <c r="O985" s="32">
        <v>14.535766272252451</v>
      </c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</row>
    <row r="986" spans="1:38">
      <c r="A986" s="5">
        <v>343</v>
      </c>
      <c r="B986" s="11">
        <v>982</v>
      </c>
      <c r="C986" s="12">
        <v>46639</v>
      </c>
      <c r="D986" s="31">
        <f t="shared" si="31"/>
        <v>52</v>
      </c>
      <c r="E986" s="14"/>
      <c r="F986" s="5">
        <v>0</v>
      </c>
      <c r="G986" s="18">
        <f t="shared" si="32"/>
        <v>52.475000000000001</v>
      </c>
      <c r="H986" s="18">
        <f t="shared" si="33"/>
        <v>19.409836065573771</v>
      </c>
      <c r="I986" s="32">
        <v>35.815063522722461</v>
      </c>
      <c r="K986" s="32">
        <v>21.372030235181079</v>
      </c>
      <c r="L986" s="32">
        <f t="shared" si="30"/>
        <v>16.438356164383563</v>
      </c>
      <c r="M986" s="5">
        <f t="shared" si="34"/>
        <v>68.950209994215797</v>
      </c>
      <c r="N986" s="5">
        <f t="shared" si="35"/>
        <v>14.098901098901099</v>
      </c>
      <c r="O986" s="32">
        <v>11.21426943318221</v>
      </c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</row>
    <row r="987" spans="1:38">
      <c r="A987" s="5">
        <v>344</v>
      </c>
      <c r="B987" s="11">
        <v>983</v>
      </c>
      <c r="C987" s="12">
        <v>46640</v>
      </c>
      <c r="D987" s="31">
        <f t="shared" si="31"/>
        <v>53</v>
      </c>
      <c r="E987" s="14"/>
      <c r="F987" s="5">
        <v>0</v>
      </c>
      <c r="G987" s="18">
        <f t="shared" si="32"/>
        <v>52.627700000000004</v>
      </c>
      <c r="H987" s="18">
        <f t="shared" si="33"/>
        <v>19.409836065573771</v>
      </c>
      <c r="I987" s="32">
        <v>34.600836712899728</v>
      </c>
      <c r="K987" s="32">
        <v>1.856531650863475</v>
      </c>
      <c r="L987" s="32">
        <f t="shared" si="30"/>
        <v>16.438356164383563</v>
      </c>
      <c r="M987" s="5">
        <f t="shared" si="34"/>
        <v>69.164666022614909</v>
      </c>
      <c r="N987" s="5">
        <f t="shared" si="35"/>
        <v>14.098901098901099</v>
      </c>
      <c r="O987" s="32">
        <v>25.207950401282289</v>
      </c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</row>
    <row r="988" spans="1:38">
      <c r="A988" s="5">
        <v>345</v>
      </c>
      <c r="B988" s="11">
        <v>984</v>
      </c>
      <c r="C988" s="12">
        <v>46641</v>
      </c>
      <c r="D988" s="31">
        <f t="shared" si="31"/>
        <v>35</v>
      </c>
      <c r="E988" s="14"/>
      <c r="F988" s="5">
        <v>0</v>
      </c>
      <c r="G988" s="18">
        <f t="shared" si="32"/>
        <v>52.7804</v>
      </c>
      <c r="H988" s="18">
        <f t="shared" si="33"/>
        <v>19.409836065573771</v>
      </c>
      <c r="I988" s="32">
        <v>44.166145458082511</v>
      </c>
      <c r="K988" s="32">
        <v>125.251830789778</v>
      </c>
      <c r="L988" s="32">
        <f t="shared" si="30"/>
        <v>16.438356164383563</v>
      </c>
      <c r="M988" s="5">
        <f t="shared" si="34"/>
        <v>67.808673724385073</v>
      </c>
      <c r="N988" s="5">
        <f t="shared" si="35"/>
        <v>14.098901098901099</v>
      </c>
      <c r="O988" s="32">
        <v>22.99429837668243</v>
      </c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</row>
    <row r="989" spans="1:38">
      <c r="A989" s="5">
        <v>346</v>
      </c>
      <c r="B989" s="11">
        <v>985</v>
      </c>
      <c r="C989" s="12">
        <v>46642</v>
      </c>
      <c r="D989" s="31">
        <f t="shared" si="31"/>
        <v>40</v>
      </c>
      <c r="E989" s="14"/>
      <c r="F989" s="5">
        <v>0</v>
      </c>
      <c r="G989" s="18">
        <f t="shared" si="32"/>
        <v>52.933100000000003</v>
      </c>
      <c r="H989" s="18">
        <f t="shared" si="33"/>
        <v>19.409836065573771</v>
      </c>
      <c r="I989" s="32">
        <v>43.752961949667537</v>
      </c>
      <c r="K989" s="32">
        <v>125.251830789778</v>
      </c>
      <c r="L989" s="32">
        <f t="shared" si="30"/>
        <v>16.438356164383563</v>
      </c>
      <c r="M989" s="5">
        <f t="shared" si="34"/>
        <v>67.808673724385073</v>
      </c>
      <c r="N989" s="5">
        <f t="shared" si="35"/>
        <v>14.098901098901099</v>
      </c>
      <c r="O989" s="32">
        <v>17.771636930206441</v>
      </c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</row>
    <row r="990" spans="1:38">
      <c r="A990" s="5">
        <v>347</v>
      </c>
      <c r="B990" s="11">
        <v>986</v>
      </c>
      <c r="C990" s="12">
        <v>46643</v>
      </c>
      <c r="D990" s="31">
        <f t="shared" si="31"/>
        <v>35</v>
      </c>
      <c r="E990" s="14"/>
      <c r="F990" s="5">
        <v>0</v>
      </c>
      <c r="G990" s="18">
        <f t="shared" si="32"/>
        <v>53.085799999999999</v>
      </c>
      <c r="H990" s="18">
        <f t="shared" si="33"/>
        <v>19.409836065573771</v>
      </c>
      <c r="I990" s="32">
        <v>27.747337195762459</v>
      </c>
      <c r="K990" s="32">
        <v>21.372030235181079</v>
      </c>
      <c r="L990" s="32">
        <f t="shared" si="30"/>
        <v>16.438356164383563</v>
      </c>
      <c r="M990" s="5">
        <f t="shared" si="34"/>
        <v>68.950209994215797</v>
      </c>
      <c r="N990" s="5">
        <f t="shared" si="35"/>
        <v>14.098901098901099</v>
      </c>
      <c r="O990" s="32">
        <v>18.269210406248789</v>
      </c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</row>
    <row r="991" spans="1:38">
      <c r="A991" s="5">
        <v>348</v>
      </c>
      <c r="B991" s="11">
        <v>987</v>
      </c>
      <c r="C991" s="12">
        <v>46644</v>
      </c>
      <c r="D991" s="31">
        <f t="shared" si="31"/>
        <v>48</v>
      </c>
      <c r="E991" s="14"/>
      <c r="F991" s="5">
        <v>0</v>
      </c>
      <c r="G991" s="18">
        <f t="shared" si="32"/>
        <v>53.238500000000002</v>
      </c>
      <c r="H991" s="18">
        <f t="shared" si="33"/>
        <v>19.409836065573771</v>
      </c>
      <c r="I991" s="32">
        <v>23.473603641112511</v>
      </c>
      <c r="K991" s="32">
        <v>1.856531650863475</v>
      </c>
      <c r="L991" s="32">
        <f t="shared" ref="L991:L1054" si="36">12000/730</f>
        <v>16.438356164383563</v>
      </c>
      <c r="M991" s="5">
        <f t="shared" si="34"/>
        <v>69.164666022614909</v>
      </c>
      <c r="N991" s="5">
        <f t="shared" si="35"/>
        <v>14.098901098901099</v>
      </c>
      <c r="O991" s="32">
        <v>13.53465309701676</v>
      </c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</row>
    <row r="992" spans="1:38">
      <c r="A992" s="5">
        <v>349</v>
      </c>
      <c r="B992" s="11">
        <v>988</v>
      </c>
      <c r="C992" s="12">
        <v>46645</v>
      </c>
      <c r="D992" s="31">
        <f t="shared" ref="D992:D1055" si="37">ROUNDUP(_xlfn.FORECAST.ETS(B992,$D$5:$D$734,$B$5:$B$734,365,0,1),0)</f>
        <v>50</v>
      </c>
      <c r="E992" s="14"/>
      <c r="F992" s="5">
        <v>0</v>
      </c>
      <c r="G992" s="18">
        <f t="shared" ref="G992:G1055" si="38">0.1527*A992+0.0989</f>
        <v>53.391199999999998</v>
      </c>
      <c r="H992" s="18">
        <f t="shared" ref="H992:H1055" si="39">AVERAGE($I$674:$I$734)</f>
        <v>19.409836065573771</v>
      </c>
      <c r="I992" s="32">
        <v>12.709699960260821</v>
      </c>
      <c r="K992" s="32">
        <v>125.251830789778</v>
      </c>
      <c r="L992" s="32">
        <f t="shared" si="36"/>
        <v>16.438356164383563</v>
      </c>
      <c r="M992" s="5">
        <f t="shared" ref="M992:M1055" si="40">AVERAGE(K901:K991)</f>
        <v>67.808673724385073</v>
      </c>
      <c r="N992" s="5">
        <f t="shared" si="35"/>
        <v>14.098901098901099</v>
      </c>
      <c r="O992" s="32">
        <v>12.677089279045299</v>
      </c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</row>
    <row r="993" spans="1:38">
      <c r="A993" s="5">
        <v>350</v>
      </c>
      <c r="B993" s="11">
        <v>989</v>
      </c>
      <c r="C993" s="12">
        <v>46646</v>
      </c>
      <c r="D993" s="31">
        <f t="shared" si="37"/>
        <v>51</v>
      </c>
      <c r="E993" s="14"/>
      <c r="F993" s="5">
        <v>0</v>
      </c>
      <c r="G993" s="18">
        <f t="shared" si="38"/>
        <v>53.543900000000001</v>
      </c>
      <c r="H993" s="18">
        <f t="shared" si="39"/>
        <v>19.409836065573771</v>
      </c>
      <c r="I993" s="32">
        <v>17.11891579794877</v>
      </c>
      <c r="K993" s="32">
        <v>125.251830789778</v>
      </c>
      <c r="L993" s="32">
        <f t="shared" si="36"/>
        <v>16.438356164383563</v>
      </c>
      <c r="M993" s="5">
        <f t="shared" si="40"/>
        <v>67.808673724385073</v>
      </c>
      <c r="N993" s="5">
        <f t="shared" si="35"/>
        <v>14.098901098901099</v>
      </c>
      <c r="O993" s="32">
        <v>29.989442155616189</v>
      </c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</row>
    <row r="994" spans="1:38">
      <c r="A994" s="5">
        <v>351</v>
      </c>
      <c r="B994" s="11">
        <v>990</v>
      </c>
      <c r="C994" s="12">
        <v>46647</v>
      </c>
      <c r="D994" s="31">
        <f t="shared" si="37"/>
        <v>34</v>
      </c>
      <c r="E994" s="14"/>
      <c r="F994" s="5">
        <v>0</v>
      </c>
      <c r="G994" s="18">
        <f t="shared" si="38"/>
        <v>53.696600000000004</v>
      </c>
      <c r="H994" s="18">
        <f t="shared" si="39"/>
        <v>19.409836065573771</v>
      </c>
      <c r="I994" s="32">
        <v>30.784089446272379</v>
      </c>
      <c r="K994" s="32">
        <v>21.372030235181079</v>
      </c>
      <c r="L994" s="32">
        <f t="shared" si="36"/>
        <v>16.438356164383563</v>
      </c>
      <c r="M994" s="5">
        <f t="shared" si="40"/>
        <v>68.950209994215797</v>
      </c>
      <c r="N994" s="5">
        <f t="shared" si="35"/>
        <v>14.098901098901099</v>
      </c>
      <c r="O994" s="32">
        <v>34.548702933471318</v>
      </c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</row>
    <row r="995" spans="1:38">
      <c r="A995" s="5">
        <v>352</v>
      </c>
      <c r="B995" s="11">
        <v>991</v>
      </c>
      <c r="C995" s="12">
        <v>46648</v>
      </c>
      <c r="D995" s="31">
        <f t="shared" si="37"/>
        <v>33</v>
      </c>
      <c r="E995" s="14"/>
      <c r="F995" s="5">
        <v>0</v>
      </c>
      <c r="G995" s="18">
        <f t="shared" si="38"/>
        <v>53.849299999999999</v>
      </c>
      <c r="H995" s="18">
        <f t="shared" si="39"/>
        <v>19.409836065573771</v>
      </c>
      <c r="I995" s="32">
        <v>22.486602074663999</v>
      </c>
      <c r="K995" s="32">
        <v>1.856531650863475</v>
      </c>
      <c r="L995" s="32">
        <f t="shared" si="36"/>
        <v>16.438356164383563</v>
      </c>
      <c r="M995" s="5">
        <f t="shared" si="40"/>
        <v>69.164666022614909</v>
      </c>
      <c r="N995" s="5">
        <f t="shared" si="35"/>
        <v>14.098901098901099</v>
      </c>
      <c r="O995" s="32">
        <v>30.719368339180381</v>
      </c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</row>
    <row r="996" spans="1:38">
      <c r="A996" s="5">
        <v>353</v>
      </c>
      <c r="B996" s="11">
        <v>992</v>
      </c>
      <c r="C996" s="12">
        <v>46649</v>
      </c>
      <c r="D996" s="31">
        <f t="shared" si="37"/>
        <v>56</v>
      </c>
      <c r="E996" s="14"/>
      <c r="F996" s="5">
        <v>0</v>
      </c>
      <c r="G996" s="18">
        <f t="shared" si="38"/>
        <v>54.002000000000002</v>
      </c>
      <c r="H996" s="18">
        <f t="shared" si="39"/>
        <v>19.409836065573771</v>
      </c>
      <c r="I996" s="32">
        <v>17.15917935599137</v>
      </c>
      <c r="K996" s="32">
        <v>125.251830789778</v>
      </c>
      <c r="L996" s="32">
        <f t="shared" si="36"/>
        <v>16.438356164383563</v>
      </c>
      <c r="M996" s="5">
        <f t="shared" si="40"/>
        <v>67.808673724385073</v>
      </c>
      <c r="N996" s="5">
        <f t="shared" si="35"/>
        <v>14.098901098901099</v>
      </c>
      <c r="O996" s="32">
        <v>16.68434136133472</v>
      </c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</row>
    <row r="997" spans="1:38">
      <c r="A997" s="5">
        <v>354</v>
      </c>
      <c r="B997" s="11">
        <v>993</v>
      </c>
      <c r="C997" s="12">
        <v>46650</v>
      </c>
      <c r="D997" s="31">
        <f t="shared" si="37"/>
        <v>72</v>
      </c>
      <c r="E997" s="14"/>
      <c r="F997" s="5">
        <v>0</v>
      </c>
      <c r="G997" s="18">
        <f t="shared" si="38"/>
        <v>54.154699999999998</v>
      </c>
      <c r="H997" s="18">
        <f t="shared" si="39"/>
        <v>19.409836065573771</v>
      </c>
      <c r="I997" s="32">
        <v>32.166051063968133</v>
      </c>
      <c r="K997" s="32">
        <v>125.251830789778</v>
      </c>
      <c r="L997" s="32">
        <f t="shared" si="36"/>
        <v>16.438356164383563</v>
      </c>
      <c r="M997" s="5">
        <f t="shared" si="40"/>
        <v>67.808673724385073</v>
      </c>
      <c r="N997" s="5">
        <f t="shared" si="35"/>
        <v>14.098901098901099</v>
      </c>
      <c r="O997" s="32">
        <v>6.3460306484128726</v>
      </c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</row>
    <row r="998" spans="1:38">
      <c r="A998" s="5">
        <v>355</v>
      </c>
      <c r="B998" s="11">
        <v>994</v>
      </c>
      <c r="C998" s="12">
        <v>46651</v>
      </c>
      <c r="D998" s="31">
        <f t="shared" si="37"/>
        <v>62</v>
      </c>
      <c r="E998" s="14"/>
      <c r="F998" s="5">
        <v>0</v>
      </c>
      <c r="G998" s="18">
        <f t="shared" si="38"/>
        <v>54.307400000000001</v>
      </c>
      <c r="H998" s="18">
        <f t="shared" si="39"/>
        <v>19.409836065573771</v>
      </c>
      <c r="I998" s="32">
        <v>36.099716711312468</v>
      </c>
      <c r="K998" s="32">
        <v>21.372030235181079</v>
      </c>
      <c r="L998" s="32">
        <f t="shared" si="36"/>
        <v>16.438356164383563</v>
      </c>
      <c r="M998" s="5">
        <f t="shared" si="40"/>
        <v>68.950209994215797</v>
      </c>
      <c r="N998" s="5">
        <f t="shared" si="35"/>
        <v>14.098901098901099</v>
      </c>
      <c r="O998" s="32">
        <v>4.9847475617297397</v>
      </c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</row>
    <row r="999" spans="1:38">
      <c r="A999" s="5">
        <v>356</v>
      </c>
      <c r="B999" s="11">
        <v>995</v>
      </c>
      <c r="C999" s="12">
        <v>46652</v>
      </c>
      <c r="D999" s="31">
        <f t="shared" si="37"/>
        <v>39</v>
      </c>
      <c r="E999" s="14"/>
      <c r="F999" s="5">
        <v>0</v>
      </c>
      <c r="G999" s="18">
        <f t="shared" si="38"/>
        <v>54.460100000000004</v>
      </c>
      <c r="H999" s="18">
        <f t="shared" si="39"/>
        <v>19.409836065573771</v>
      </c>
      <c r="I999" s="32">
        <v>25.281848325109671</v>
      </c>
      <c r="K999" s="32">
        <v>1.856531650863475</v>
      </c>
      <c r="L999" s="32">
        <f t="shared" si="36"/>
        <v>16.438356164383563</v>
      </c>
      <c r="M999" s="5">
        <f t="shared" si="40"/>
        <v>69.164666022614909</v>
      </c>
      <c r="N999" s="5">
        <f t="shared" si="35"/>
        <v>14.098901098901099</v>
      </c>
      <c r="O999" s="32">
        <v>12.423695354698429</v>
      </c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</row>
    <row r="1000" spans="1:38">
      <c r="A1000" s="5">
        <v>357</v>
      </c>
      <c r="B1000" s="11">
        <v>996</v>
      </c>
      <c r="C1000" s="12">
        <v>46653</v>
      </c>
      <c r="D1000" s="31">
        <f t="shared" si="37"/>
        <v>62</v>
      </c>
      <c r="E1000" s="14"/>
      <c r="F1000" s="5">
        <v>0</v>
      </c>
      <c r="G1000" s="18">
        <f t="shared" si="38"/>
        <v>54.6128</v>
      </c>
      <c r="H1000" s="18">
        <f t="shared" si="39"/>
        <v>19.409836065573771</v>
      </c>
      <c r="I1000" s="32">
        <v>29.716157196022142</v>
      </c>
      <c r="K1000" s="32">
        <v>125.251830789778</v>
      </c>
      <c r="L1000" s="32">
        <f t="shared" si="36"/>
        <v>16.438356164383563</v>
      </c>
      <c r="M1000" s="5">
        <f t="shared" si="40"/>
        <v>67.808673724385073</v>
      </c>
      <c r="N1000" s="5">
        <f t="shared" si="35"/>
        <v>14.098901098901099</v>
      </c>
      <c r="O1000" s="32">
        <v>18.710458377770539</v>
      </c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</row>
    <row r="1001" spans="1:38">
      <c r="A1001" s="5">
        <v>358</v>
      </c>
      <c r="B1001" s="11">
        <v>997</v>
      </c>
      <c r="C1001" s="12">
        <v>46654</v>
      </c>
      <c r="D1001" s="31">
        <f t="shared" si="37"/>
        <v>50</v>
      </c>
      <c r="E1001" s="14"/>
      <c r="F1001" s="5">
        <v>0</v>
      </c>
      <c r="G1001" s="18">
        <f t="shared" si="38"/>
        <v>54.765500000000003</v>
      </c>
      <c r="H1001" s="18">
        <f t="shared" si="39"/>
        <v>19.409836065573771</v>
      </c>
      <c r="I1001" s="32">
        <v>33.445522057597849</v>
      </c>
      <c r="K1001" s="32">
        <v>125.251830789778</v>
      </c>
      <c r="L1001" s="32">
        <f t="shared" si="36"/>
        <v>16.438356164383563</v>
      </c>
      <c r="M1001" s="5">
        <f t="shared" si="40"/>
        <v>67.808673724385073</v>
      </c>
      <c r="N1001" s="5">
        <f t="shared" si="35"/>
        <v>14.098901098901099</v>
      </c>
      <c r="O1001" s="32">
        <v>20.666376536047132</v>
      </c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</row>
    <row r="1002" spans="1:38">
      <c r="A1002" s="5">
        <v>359</v>
      </c>
      <c r="B1002" s="11">
        <v>998</v>
      </c>
      <c r="C1002" s="12">
        <v>46655</v>
      </c>
      <c r="D1002" s="31">
        <f t="shared" si="37"/>
        <v>44</v>
      </c>
      <c r="E1002" s="14"/>
      <c r="F1002" s="5">
        <v>0</v>
      </c>
      <c r="G1002" s="18">
        <f t="shared" si="38"/>
        <v>54.918199999999999</v>
      </c>
      <c r="H1002" s="18">
        <f t="shared" si="39"/>
        <v>19.409836065573771</v>
      </c>
      <c r="I1002" s="32">
        <v>27.83558392213304</v>
      </c>
      <c r="K1002" s="32">
        <v>21.372030235181079</v>
      </c>
      <c r="L1002" s="32">
        <f t="shared" si="36"/>
        <v>16.438356164383563</v>
      </c>
      <c r="M1002" s="5">
        <f t="shared" si="40"/>
        <v>68.950209994215797</v>
      </c>
      <c r="N1002" s="5">
        <f t="shared" si="35"/>
        <v>14.098901098901099</v>
      </c>
      <c r="O1002" s="32">
        <v>15.309404353315569</v>
      </c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</row>
    <row r="1003" spans="1:38">
      <c r="A1003" s="5">
        <v>360</v>
      </c>
      <c r="B1003" s="11">
        <v>999</v>
      </c>
      <c r="C1003" s="12">
        <v>46656</v>
      </c>
      <c r="D1003" s="31">
        <f t="shared" si="37"/>
        <v>48</v>
      </c>
      <c r="E1003" s="14"/>
      <c r="F1003" s="5">
        <v>0</v>
      </c>
      <c r="G1003" s="18">
        <f t="shared" si="38"/>
        <v>55.070900000000002</v>
      </c>
      <c r="H1003" s="18">
        <f t="shared" si="39"/>
        <v>19.409836065573771</v>
      </c>
      <c r="I1003" s="32">
        <v>29.37331746548605</v>
      </c>
      <c r="K1003" s="32">
        <v>1.856531650863475</v>
      </c>
      <c r="L1003" s="32">
        <f t="shared" si="36"/>
        <v>16.438356164383563</v>
      </c>
      <c r="M1003" s="5">
        <f t="shared" si="40"/>
        <v>69.164666022614909</v>
      </c>
      <c r="N1003" s="5">
        <f t="shared" si="35"/>
        <v>14.098901098901099</v>
      </c>
      <c r="O1003" s="32">
        <v>22.150982701921311</v>
      </c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</row>
    <row r="1004" spans="1:38">
      <c r="A1004" s="5">
        <v>361</v>
      </c>
      <c r="B1004" s="11">
        <v>1000</v>
      </c>
      <c r="C1004" s="12">
        <v>46657</v>
      </c>
      <c r="D1004" s="31">
        <f t="shared" si="37"/>
        <v>32</v>
      </c>
      <c r="E1004" s="14"/>
      <c r="F1004" s="5">
        <v>0</v>
      </c>
      <c r="G1004" s="18">
        <f t="shared" si="38"/>
        <v>55.223600000000005</v>
      </c>
      <c r="H1004" s="18">
        <f t="shared" si="39"/>
        <v>19.409836065573771</v>
      </c>
      <c r="I1004" s="32">
        <v>33.281835352726517</v>
      </c>
      <c r="K1004" s="32">
        <v>125.251830789778</v>
      </c>
      <c r="L1004" s="32">
        <f t="shared" si="36"/>
        <v>16.438356164383563</v>
      </c>
      <c r="M1004" s="5">
        <f t="shared" si="40"/>
        <v>67.808673724385073</v>
      </c>
      <c r="N1004" s="5">
        <f t="shared" si="35"/>
        <v>14.098901098901099</v>
      </c>
      <c r="O1004" s="32">
        <v>16.638355670443591</v>
      </c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</row>
    <row r="1005" spans="1:38">
      <c r="A1005" s="5">
        <v>362</v>
      </c>
      <c r="B1005" s="11">
        <v>1001</v>
      </c>
      <c r="C1005" s="12">
        <v>46658</v>
      </c>
      <c r="D1005" s="31">
        <f t="shared" si="37"/>
        <v>35</v>
      </c>
      <c r="E1005" s="14"/>
      <c r="F1005" s="5">
        <v>0</v>
      </c>
      <c r="G1005" s="18">
        <f t="shared" si="38"/>
        <v>55.376300000000001</v>
      </c>
      <c r="H1005" s="18">
        <f t="shared" si="39"/>
        <v>19.409836065573771</v>
      </c>
      <c r="I1005" s="32">
        <v>27.790764825956529</v>
      </c>
      <c r="K1005" s="32">
        <v>125.251830789778</v>
      </c>
      <c r="L1005" s="32">
        <f t="shared" si="36"/>
        <v>16.438356164383563</v>
      </c>
      <c r="M1005" s="5">
        <f t="shared" si="40"/>
        <v>67.808673724385073</v>
      </c>
      <c r="N1005" s="5">
        <f t="shared" si="35"/>
        <v>14.098901098901099</v>
      </c>
      <c r="O1005" s="32">
        <v>4.7312020707330111</v>
      </c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</row>
    <row r="1006" spans="1:38">
      <c r="A1006" s="5">
        <v>363</v>
      </c>
      <c r="B1006" s="11">
        <v>1002</v>
      </c>
      <c r="C1006" s="12">
        <v>46659</v>
      </c>
      <c r="D1006" s="31">
        <f t="shared" si="37"/>
        <v>39</v>
      </c>
      <c r="E1006" s="14"/>
      <c r="F1006" s="5">
        <v>0</v>
      </c>
      <c r="G1006" s="18">
        <f t="shared" si="38"/>
        <v>55.529000000000003</v>
      </c>
      <c r="H1006" s="18">
        <f t="shared" si="39"/>
        <v>19.409836065573771</v>
      </c>
      <c r="I1006" s="32">
        <v>40.815504218855708</v>
      </c>
      <c r="K1006" s="32">
        <v>21.372030235181079</v>
      </c>
      <c r="L1006" s="32">
        <f t="shared" si="36"/>
        <v>16.438356164383563</v>
      </c>
      <c r="M1006" s="5">
        <f t="shared" si="40"/>
        <v>68.950209994215797</v>
      </c>
      <c r="N1006" s="5">
        <f t="shared" si="35"/>
        <v>14.098901098901099</v>
      </c>
      <c r="O1006" s="32">
        <v>20.529595003396459</v>
      </c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</row>
    <row r="1007" spans="1:38">
      <c r="A1007" s="5">
        <v>364</v>
      </c>
      <c r="B1007" s="11">
        <v>1003</v>
      </c>
      <c r="C1007" s="12">
        <v>46660</v>
      </c>
      <c r="D1007" s="31">
        <f t="shared" si="37"/>
        <v>34</v>
      </c>
      <c r="E1007" s="14"/>
      <c r="F1007" s="5">
        <v>0</v>
      </c>
      <c r="G1007" s="18">
        <f t="shared" si="38"/>
        <v>55.681699999999999</v>
      </c>
      <c r="H1007" s="18">
        <f t="shared" si="39"/>
        <v>19.409836065573771</v>
      </c>
      <c r="I1007" s="32">
        <v>33.958333675884127</v>
      </c>
      <c r="K1007" s="32">
        <v>1.856531650863475</v>
      </c>
      <c r="L1007" s="32">
        <f t="shared" si="36"/>
        <v>16.438356164383563</v>
      </c>
      <c r="M1007" s="5">
        <f t="shared" si="40"/>
        <v>69.164666022614909</v>
      </c>
      <c r="N1007" s="5">
        <f t="shared" si="35"/>
        <v>14.098901098901099</v>
      </c>
      <c r="O1007" s="32">
        <v>29.869835555925569</v>
      </c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</row>
    <row r="1008" spans="1:38">
      <c r="A1008" s="5">
        <v>365</v>
      </c>
      <c r="B1008" s="11">
        <v>1004</v>
      </c>
      <c r="C1008" s="12">
        <v>46661</v>
      </c>
      <c r="D1008" s="31">
        <f t="shared" si="37"/>
        <v>43</v>
      </c>
      <c r="E1008" s="14"/>
      <c r="F1008" s="5">
        <v>0</v>
      </c>
      <c r="G1008" s="18">
        <f t="shared" si="38"/>
        <v>55.834400000000002</v>
      </c>
      <c r="H1008" s="18">
        <f t="shared" si="39"/>
        <v>19.409836065573771</v>
      </c>
      <c r="I1008" s="32">
        <v>31.77859241711726</v>
      </c>
      <c r="K1008" s="32">
        <v>125.251830789778</v>
      </c>
      <c r="L1008" s="32">
        <f t="shared" si="36"/>
        <v>16.438356164383563</v>
      </c>
      <c r="M1008" s="5">
        <f t="shared" si="40"/>
        <v>67.808673724385073</v>
      </c>
      <c r="N1008" s="5">
        <f t="shared" si="35"/>
        <v>14.098901098901099</v>
      </c>
      <c r="O1008" s="32">
        <v>18.45177404913391</v>
      </c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</row>
    <row r="1009" spans="1:38">
      <c r="A1009" s="5">
        <v>366</v>
      </c>
      <c r="B1009" s="11">
        <v>1005</v>
      </c>
      <c r="C1009" s="12">
        <v>46662</v>
      </c>
      <c r="D1009" s="31">
        <f t="shared" si="37"/>
        <v>31</v>
      </c>
      <c r="E1009" s="14"/>
      <c r="F1009" s="5">
        <v>0</v>
      </c>
      <c r="G1009" s="18">
        <f t="shared" si="38"/>
        <v>55.987099999999998</v>
      </c>
      <c r="H1009" s="18">
        <f t="shared" si="39"/>
        <v>19.409836065573771</v>
      </c>
      <c r="I1009" s="32">
        <v>39.318608284158337</v>
      </c>
      <c r="K1009" s="32">
        <v>125.251830789778</v>
      </c>
      <c r="L1009" s="32">
        <f t="shared" si="36"/>
        <v>16.438356164383563</v>
      </c>
      <c r="M1009" s="5">
        <f t="shared" si="40"/>
        <v>67.808673724385073</v>
      </c>
      <c r="N1009" s="5">
        <f t="shared" si="35"/>
        <v>14.098901098901099</v>
      </c>
      <c r="O1009" s="32">
        <v>26.00513249413806</v>
      </c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</row>
    <row r="1010" spans="1:38">
      <c r="A1010" s="5">
        <v>367</v>
      </c>
      <c r="B1010" s="11">
        <v>1006</v>
      </c>
      <c r="C1010" s="12">
        <v>46663</v>
      </c>
      <c r="D1010" s="31">
        <f t="shared" si="37"/>
        <v>28</v>
      </c>
      <c r="E1010" s="14"/>
      <c r="F1010" s="5">
        <v>0</v>
      </c>
      <c r="G1010" s="18">
        <f t="shared" si="38"/>
        <v>56.139800000000001</v>
      </c>
      <c r="H1010" s="18">
        <f t="shared" si="39"/>
        <v>19.409836065573771</v>
      </c>
      <c r="I1010" s="32">
        <v>19.338570686985019</v>
      </c>
      <c r="K1010" s="32">
        <v>21.372030235181079</v>
      </c>
      <c r="L1010" s="32">
        <f t="shared" si="36"/>
        <v>16.438356164383563</v>
      </c>
      <c r="M1010" s="5">
        <f t="shared" si="40"/>
        <v>68.950209994215797</v>
      </c>
      <c r="N1010" s="5">
        <f t="shared" si="35"/>
        <v>14.098901098901099</v>
      </c>
      <c r="O1010" s="32">
        <v>28.672947536499251</v>
      </c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</row>
    <row r="1011" spans="1:38">
      <c r="A1011" s="5">
        <v>368</v>
      </c>
      <c r="B1011" s="11">
        <v>1007</v>
      </c>
      <c r="C1011" s="12">
        <v>46664</v>
      </c>
      <c r="D1011" s="31">
        <f t="shared" si="37"/>
        <v>26</v>
      </c>
      <c r="E1011" s="14"/>
      <c r="F1011" s="5">
        <v>0</v>
      </c>
      <c r="G1011" s="18">
        <f t="shared" si="38"/>
        <v>56.292500000000004</v>
      </c>
      <c r="H1011" s="18">
        <f t="shared" si="39"/>
        <v>19.409836065573771</v>
      </c>
      <c r="I1011" s="32">
        <v>31.77859241711726</v>
      </c>
      <c r="K1011" s="32">
        <v>1.856531650863475</v>
      </c>
      <c r="L1011" s="32">
        <f t="shared" si="36"/>
        <v>16.438356164383563</v>
      </c>
      <c r="M1011" s="5">
        <f t="shared" si="40"/>
        <v>69.164666022614909</v>
      </c>
      <c r="N1011" s="5">
        <f t="shared" si="35"/>
        <v>14.098901098901099</v>
      </c>
      <c r="O1011" s="32">
        <v>8.9064889309934241</v>
      </c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</row>
    <row r="1012" spans="1:38">
      <c r="A1012" s="5">
        <v>369</v>
      </c>
      <c r="B1012" s="11">
        <v>1008</v>
      </c>
      <c r="C1012" s="12">
        <v>46665</v>
      </c>
      <c r="D1012" s="31">
        <f t="shared" si="37"/>
        <v>27</v>
      </c>
      <c r="E1012" s="14"/>
      <c r="F1012" s="5">
        <v>0</v>
      </c>
      <c r="G1012" s="18">
        <f t="shared" si="38"/>
        <v>56.4452</v>
      </c>
      <c r="H1012" s="18">
        <f t="shared" si="39"/>
        <v>19.409836065573771</v>
      </c>
      <c r="I1012" s="32">
        <v>17.071518000320062</v>
      </c>
      <c r="K1012" s="32">
        <v>125.251830789778</v>
      </c>
      <c r="L1012" s="32">
        <f t="shared" si="36"/>
        <v>16.438356164383563</v>
      </c>
      <c r="M1012" s="5">
        <f t="shared" si="40"/>
        <v>67.808673724385073</v>
      </c>
      <c r="N1012" s="5">
        <f t="shared" si="35"/>
        <v>14.098901098901099</v>
      </c>
      <c r="O1012" s="32">
        <v>19.4335572186144</v>
      </c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</row>
    <row r="1013" spans="1:38">
      <c r="A1013" s="5">
        <v>370</v>
      </c>
      <c r="B1013" s="11">
        <v>1009</v>
      </c>
      <c r="C1013" s="12">
        <v>46666</v>
      </c>
      <c r="D1013" s="31">
        <f t="shared" si="37"/>
        <v>30</v>
      </c>
      <c r="E1013" s="14"/>
      <c r="F1013" s="5">
        <v>0</v>
      </c>
      <c r="G1013" s="18">
        <f t="shared" si="38"/>
        <v>56.597900000000003</v>
      </c>
      <c r="H1013" s="18">
        <f t="shared" si="39"/>
        <v>19.409836065573771</v>
      </c>
      <c r="I1013" s="32">
        <v>12.17923021083717</v>
      </c>
      <c r="K1013" s="32">
        <v>125.251830789778</v>
      </c>
      <c r="L1013" s="32">
        <f t="shared" si="36"/>
        <v>16.438356164383563</v>
      </c>
      <c r="M1013" s="5">
        <f t="shared" si="40"/>
        <v>67.808673724385073</v>
      </c>
      <c r="N1013" s="5">
        <f t="shared" si="35"/>
        <v>14.098901098901099</v>
      </c>
      <c r="O1013" s="32">
        <v>6.3960322320632654</v>
      </c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</row>
    <row r="1014" spans="1:38">
      <c r="A1014" s="5">
        <v>371</v>
      </c>
      <c r="B1014" s="11">
        <v>1010</v>
      </c>
      <c r="C1014" s="12">
        <v>46667</v>
      </c>
      <c r="D1014" s="31">
        <f t="shared" si="37"/>
        <v>17</v>
      </c>
      <c r="E1014" s="14"/>
      <c r="F1014" s="5">
        <v>0</v>
      </c>
      <c r="G1014" s="18">
        <f t="shared" si="38"/>
        <v>56.750599999999999</v>
      </c>
      <c r="H1014" s="18">
        <f t="shared" si="39"/>
        <v>19.409836065573771</v>
      </c>
      <c r="I1014" s="32">
        <v>29.661096325928899</v>
      </c>
      <c r="K1014" s="32">
        <v>21.372030235181079</v>
      </c>
      <c r="L1014" s="32">
        <f t="shared" si="36"/>
        <v>16.438356164383563</v>
      </c>
      <c r="M1014" s="5">
        <f t="shared" si="40"/>
        <v>68.950209994215797</v>
      </c>
      <c r="N1014" s="5">
        <f t="shared" si="35"/>
        <v>14.098901098901099</v>
      </c>
      <c r="O1014" s="32">
        <v>18.929281604243009</v>
      </c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</row>
    <row r="1015" spans="1:38">
      <c r="A1015" s="5">
        <v>372</v>
      </c>
      <c r="B1015" s="11">
        <v>1011</v>
      </c>
      <c r="C1015" s="12">
        <v>46668</v>
      </c>
      <c r="D1015" s="31">
        <f t="shared" si="37"/>
        <v>32</v>
      </c>
      <c r="E1015" s="14"/>
      <c r="F1015" s="5">
        <v>0</v>
      </c>
      <c r="G1015" s="18">
        <f t="shared" si="38"/>
        <v>56.903300000000002</v>
      </c>
      <c r="H1015" s="18">
        <f t="shared" si="39"/>
        <v>19.409836065573771</v>
      </c>
      <c r="I1015" s="32">
        <v>25.60526510724252</v>
      </c>
      <c r="K1015" s="32">
        <v>1.856531650863475</v>
      </c>
      <c r="L1015" s="32">
        <f t="shared" si="36"/>
        <v>16.438356164383563</v>
      </c>
      <c r="M1015" s="5">
        <f t="shared" si="40"/>
        <v>69.164666022614909</v>
      </c>
      <c r="N1015" s="5">
        <f t="shared" si="35"/>
        <v>14.098901098901099</v>
      </c>
      <c r="O1015" s="32">
        <v>18.275435934397802</v>
      </c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</row>
    <row r="1016" spans="1:38">
      <c r="A1016" s="5">
        <v>373</v>
      </c>
      <c r="B1016" s="11">
        <v>1012</v>
      </c>
      <c r="C1016" s="12">
        <v>46669</v>
      </c>
      <c r="D1016" s="31">
        <f t="shared" si="37"/>
        <v>28</v>
      </c>
      <c r="E1016" s="14"/>
      <c r="F1016" s="5">
        <v>0</v>
      </c>
      <c r="G1016" s="18">
        <f t="shared" si="38"/>
        <v>57.056000000000004</v>
      </c>
      <c r="H1016" s="18">
        <f t="shared" si="39"/>
        <v>19.409836065573771</v>
      </c>
      <c r="I1016" s="32">
        <v>33.01614885799237</v>
      </c>
      <c r="K1016" s="32">
        <v>125.251830789778</v>
      </c>
      <c r="L1016" s="32">
        <f t="shared" si="36"/>
        <v>16.438356164383563</v>
      </c>
      <c r="M1016" s="5">
        <f t="shared" si="40"/>
        <v>67.808673724385073</v>
      </c>
      <c r="N1016" s="5">
        <f t="shared" si="35"/>
        <v>14.098901098901099</v>
      </c>
      <c r="O1016" s="32">
        <v>32.042113112554652</v>
      </c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</row>
    <row r="1017" spans="1:38">
      <c r="A1017" s="5">
        <v>374</v>
      </c>
      <c r="B1017" s="11">
        <v>1013</v>
      </c>
      <c r="C1017" s="12">
        <v>46670</v>
      </c>
      <c r="D1017" s="31">
        <f t="shared" si="37"/>
        <v>33</v>
      </c>
      <c r="E1017" s="14"/>
      <c r="F1017" s="5">
        <v>0</v>
      </c>
      <c r="G1017" s="18">
        <f t="shared" si="38"/>
        <v>57.2087</v>
      </c>
      <c r="H1017" s="18">
        <f t="shared" si="39"/>
        <v>19.409836065573771</v>
      </c>
      <c r="I1017" s="32">
        <v>21.7488885605542</v>
      </c>
      <c r="K1017" s="32">
        <v>125.251830789778</v>
      </c>
      <c r="L1017" s="32">
        <f t="shared" si="36"/>
        <v>16.438356164383563</v>
      </c>
      <c r="M1017" s="5">
        <f t="shared" si="40"/>
        <v>67.808673724385073</v>
      </c>
      <c r="N1017" s="5">
        <f t="shared" si="35"/>
        <v>14.098901098901099</v>
      </c>
      <c r="O1017" s="32">
        <v>18.085504800119949</v>
      </c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</row>
    <row r="1018" spans="1:38">
      <c r="A1018" s="5">
        <v>375</v>
      </c>
      <c r="B1018" s="11">
        <v>1014</v>
      </c>
      <c r="C1018" s="12">
        <v>46671</v>
      </c>
      <c r="D1018" s="31">
        <f t="shared" si="37"/>
        <v>38</v>
      </c>
      <c r="E1018" s="14"/>
      <c r="F1018" s="5">
        <v>0</v>
      </c>
      <c r="G1018" s="18">
        <f t="shared" si="38"/>
        <v>57.361400000000003</v>
      </c>
      <c r="H1018" s="18">
        <f t="shared" si="39"/>
        <v>19.409836065573771</v>
      </c>
      <c r="I1018" s="32">
        <v>38.493962011237301</v>
      </c>
      <c r="K1018" s="32">
        <v>21.372030235181079</v>
      </c>
      <c r="L1018" s="32">
        <f t="shared" si="36"/>
        <v>16.438356164383563</v>
      </c>
      <c r="M1018" s="5">
        <f t="shared" si="40"/>
        <v>68.950209994215797</v>
      </c>
      <c r="N1018" s="5">
        <f t="shared" si="35"/>
        <v>14.098901098901099</v>
      </c>
      <c r="O1018" s="32">
        <v>31.120174486566199</v>
      </c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</row>
    <row r="1019" spans="1:38">
      <c r="A1019" s="5">
        <v>376</v>
      </c>
      <c r="B1019" s="11">
        <v>1015</v>
      </c>
      <c r="C1019" s="12">
        <v>46672</v>
      </c>
      <c r="D1019" s="31">
        <f t="shared" si="37"/>
        <v>26</v>
      </c>
      <c r="E1019" s="14"/>
      <c r="F1019" s="5">
        <v>0</v>
      </c>
      <c r="G1019" s="18">
        <f t="shared" si="38"/>
        <v>57.514099999999999</v>
      </c>
      <c r="H1019" s="18">
        <f t="shared" si="39"/>
        <v>19.409836065573771</v>
      </c>
      <c r="I1019" s="32">
        <v>33.930110621591012</v>
      </c>
      <c r="K1019" s="32">
        <v>1.856531650863475</v>
      </c>
      <c r="L1019" s="32">
        <f t="shared" si="36"/>
        <v>16.438356164383563</v>
      </c>
      <c r="M1019" s="5">
        <f t="shared" si="40"/>
        <v>69.164666022614909</v>
      </c>
      <c r="N1019" s="5">
        <f t="shared" si="35"/>
        <v>14.098901098901099</v>
      </c>
      <c r="O1019" s="32">
        <v>16.816074880236471</v>
      </c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</row>
    <row r="1020" spans="1:38">
      <c r="A1020" s="5">
        <v>377</v>
      </c>
      <c r="B1020" s="11">
        <v>1016</v>
      </c>
      <c r="C1020" s="12">
        <v>46673</v>
      </c>
      <c r="D1020" s="31">
        <f t="shared" si="37"/>
        <v>17</v>
      </c>
      <c r="E1020" s="14"/>
      <c r="F1020" s="5">
        <v>0</v>
      </c>
      <c r="G1020" s="18">
        <f t="shared" si="38"/>
        <v>57.666800000000002</v>
      </c>
      <c r="H1020" s="18">
        <f t="shared" si="39"/>
        <v>19.409836065573771</v>
      </c>
      <c r="I1020" s="32">
        <v>21.232430631591409</v>
      </c>
      <c r="K1020" s="32">
        <v>125.251830789778</v>
      </c>
      <c r="L1020" s="32">
        <f t="shared" si="36"/>
        <v>16.438356164383563</v>
      </c>
      <c r="M1020" s="5">
        <f t="shared" si="40"/>
        <v>67.808673724385073</v>
      </c>
      <c r="N1020" s="5">
        <f t="shared" si="35"/>
        <v>14.098901098901099</v>
      </c>
      <c r="O1020" s="32">
        <v>16.520501429564241</v>
      </c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</row>
    <row r="1021" spans="1:38">
      <c r="A1021" s="5">
        <v>378</v>
      </c>
      <c r="B1021" s="11">
        <v>1017</v>
      </c>
      <c r="C1021" s="12">
        <v>46674</v>
      </c>
      <c r="D1021" s="31">
        <f t="shared" si="37"/>
        <v>30</v>
      </c>
      <c r="E1021" s="14"/>
      <c r="F1021" s="5">
        <v>0</v>
      </c>
      <c r="G1021" s="18">
        <f t="shared" si="38"/>
        <v>57.819499999999998</v>
      </c>
      <c r="H1021" s="18">
        <f t="shared" si="39"/>
        <v>19.409836065573771</v>
      </c>
      <c r="I1021" s="32">
        <v>34.272094290019417</v>
      </c>
      <c r="K1021" s="32">
        <v>125.251830789778</v>
      </c>
      <c r="L1021" s="32">
        <f t="shared" si="36"/>
        <v>16.438356164383563</v>
      </c>
      <c r="M1021" s="5">
        <f t="shared" si="40"/>
        <v>67.808673724385073</v>
      </c>
      <c r="N1021" s="5">
        <f t="shared" si="35"/>
        <v>14.098901098901099</v>
      </c>
      <c r="O1021" s="32">
        <v>15.79823665660906</v>
      </c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</row>
    <row r="1022" spans="1:38">
      <c r="A1022" s="5">
        <v>379</v>
      </c>
      <c r="B1022" s="11">
        <v>1018</v>
      </c>
      <c r="C1022" s="12">
        <v>46675</v>
      </c>
      <c r="D1022" s="31">
        <f t="shared" si="37"/>
        <v>30</v>
      </c>
      <c r="E1022" s="14"/>
      <c r="F1022" s="5">
        <v>0</v>
      </c>
      <c r="G1022" s="18">
        <f t="shared" si="38"/>
        <v>57.972200000000001</v>
      </c>
      <c r="H1022" s="18">
        <f t="shared" si="39"/>
        <v>19.409836065573771</v>
      </c>
      <c r="I1022" s="32">
        <v>17.194467135689472</v>
      </c>
      <c r="K1022" s="32">
        <v>21.372030235181079</v>
      </c>
      <c r="L1022" s="32">
        <f t="shared" si="36"/>
        <v>16.438356164383563</v>
      </c>
      <c r="M1022" s="5">
        <f t="shared" si="40"/>
        <v>68.950209994215797</v>
      </c>
      <c r="N1022" s="5">
        <f t="shared" si="35"/>
        <v>14.098901098901099</v>
      </c>
      <c r="O1022" s="32">
        <v>18.712481540777819</v>
      </c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</row>
    <row r="1023" spans="1:38">
      <c r="A1023" s="5">
        <v>380</v>
      </c>
      <c r="B1023" s="11">
        <v>1019</v>
      </c>
      <c r="C1023" s="12">
        <v>46676</v>
      </c>
      <c r="D1023" s="31">
        <f t="shared" si="37"/>
        <v>33</v>
      </c>
      <c r="E1023" s="14"/>
      <c r="F1023" s="5">
        <v>0</v>
      </c>
      <c r="G1023" s="18">
        <f t="shared" si="38"/>
        <v>58.124900000000004</v>
      </c>
      <c r="H1023" s="18">
        <f t="shared" si="39"/>
        <v>19.409836065573771</v>
      </c>
      <c r="I1023" s="32">
        <v>26.795625715921929</v>
      </c>
      <c r="K1023" s="32">
        <v>1.856531650863475</v>
      </c>
      <c r="L1023" s="32">
        <f t="shared" si="36"/>
        <v>16.438356164383563</v>
      </c>
      <c r="M1023" s="5">
        <f t="shared" si="40"/>
        <v>69.164666022614909</v>
      </c>
      <c r="N1023" s="5">
        <f t="shared" si="35"/>
        <v>14.098901098901099</v>
      </c>
      <c r="O1023" s="32">
        <v>32.771781411209339</v>
      </c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</row>
    <row r="1024" spans="1:38">
      <c r="A1024" s="5">
        <v>381</v>
      </c>
      <c r="B1024" s="11">
        <v>1020</v>
      </c>
      <c r="C1024" s="12">
        <v>46677</v>
      </c>
      <c r="D1024" s="31">
        <f t="shared" si="37"/>
        <v>29</v>
      </c>
      <c r="E1024" s="14"/>
      <c r="F1024" s="5">
        <v>0</v>
      </c>
      <c r="G1024" s="18">
        <f t="shared" si="38"/>
        <v>58.2776</v>
      </c>
      <c r="H1024" s="18">
        <f t="shared" si="39"/>
        <v>19.409836065573771</v>
      </c>
      <c r="I1024" s="32">
        <v>25.944028324833049</v>
      </c>
      <c r="K1024" s="32">
        <v>125.251830789778</v>
      </c>
      <c r="L1024" s="32">
        <f t="shared" si="36"/>
        <v>16.438356164383563</v>
      </c>
      <c r="M1024" s="5">
        <f t="shared" si="40"/>
        <v>67.808673724385073</v>
      </c>
      <c r="N1024" s="5">
        <f t="shared" si="35"/>
        <v>14.098901098901099</v>
      </c>
      <c r="O1024" s="32">
        <v>16.677689317640311</v>
      </c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</row>
    <row r="1025" spans="1:38">
      <c r="A1025" s="5">
        <v>382</v>
      </c>
      <c r="B1025" s="11">
        <v>1021</v>
      </c>
      <c r="C1025" s="12">
        <v>46678</v>
      </c>
      <c r="D1025" s="31">
        <f t="shared" si="37"/>
        <v>59</v>
      </c>
      <c r="E1025" s="14"/>
      <c r="F1025" s="5">
        <v>0</v>
      </c>
      <c r="G1025" s="18">
        <f t="shared" si="38"/>
        <v>58.430300000000003</v>
      </c>
      <c r="H1025" s="18">
        <f t="shared" si="39"/>
        <v>19.409836065573771</v>
      </c>
      <c r="I1025" s="32">
        <v>12.291875970752431</v>
      </c>
      <c r="K1025" s="32">
        <v>125.251830789778</v>
      </c>
      <c r="L1025" s="32">
        <f t="shared" si="36"/>
        <v>16.438356164383563</v>
      </c>
      <c r="M1025" s="5">
        <f t="shared" si="40"/>
        <v>67.808673724385073</v>
      </c>
      <c r="N1025" s="5">
        <f t="shared" si="35"/>
        <v>14.098901098901099</v>
      </c>
      <c r="O1025" s="32">
        <v>25.499743282845341</v>
      </c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</row>
    <row r="1026" spans="1:38">
      <c r="A1026" s="5">
        <v>383</v>
      </c>
      <c r="B1026" s="11">
        <v>1022</v>
      </c>
      <c r="C1026" s="12">
        <v>46679</v>
      </c>
      <c r="D1026" s="31">
        <f t="shared" si="37"/>
        <v>15</v>
      </c>
      <c r="E1026" s="14"/>
      <c r="F1026" s="5">
        <v>0</v>
      </c>
      <c r="G1026" s="18">
        <f t="shared" si="38"/>
        <v>58.582999999999998</v>
      </c>
      <c r="H1026" s="18">
        <f t="shared" si="39"/>
        <v>19.409836065573771</v>
      </c>
      <c r="I1026" s="32">
        <v>41.182443147471147</v>
      </c>
      <c r="K1026" s="32">
        <v>21.372030235181079</v>
      </c>
      <c r="L1026" s="32">
        <f t="shared" si="36"/>
        <v>16.438356164383563</v>
      </c>
      <c r="M1026" s="5">
        <f t="shared" si="40"/>
        <v>68.950209994215797</v>
      </c>
      <c r="N1026" s="5">
        <f t="shared" si="35"/>
        <v>14.098901098901099</v>
      </c>
      <c r="O1026" s="32">
        <v>15.765763112992831</v>
      </c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</row>
    <row r="1027" spans="1:38">
      <c r="A1027" s="5">
        <v>384</v>
      </c>
      <c r="B1027" s="11">
        <v>1023</v>
      </c>
      <c r="C1027" s="12">
        <v>46680</v>
      </c>
      <c r="D1027" s="31">
        <f t="shared" si="37"/>
        <v>18</v>
      </c>
      <c r="E1027" s="14"/>
      <c r="F1027" s="5">
        <v>0</v>
      </c>
      <c r="G1027" s="18">
        <f t="shared" si="38"/>
        <v>58.735700000000001</v>
      </c>
      <c r="H1027" s="18">
        <f t="shared" si="39"/>
        <v>19.409836065573771</v>
      </c>
      <c r="I1027" s="32">
        <v>34.274774957638563</v>
      </c>
      <c r="K1027" s="32">
        <v>1.856531650863475</v>
      </c>
      <c r="L1027" s="32">
        <f t="shared" si="36"/>
        <v>16.438356164383563</v>
      </c>
      <c r="M1027" s="5">
        <f t="shared" si="40"/>
        <v>69.164666022614909</v>
      </c>
      <c r="N1027" s="5">
        <f t="shared" si="35"/>
        <v>14.098901098901099</v>
      </c>
      <c r="O1027" s="32">
        <v>5.9843332172139911</v>
      </c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</row>
    <row r="1028" spans="1:38">
      <c r="A1028" s="5">
        <v>385</v>
      </c>
      <c r="B1028" s="11">
        <v>1024</v>
      </c>
      <c r="C1028" s="12">
        <v>46681</v>
      </c>
      <c r="D1028" s="31">
        <f t="shared" si="37"/>
        <v>15</v>
      </c>
      <c r="E1028" s="14"/>
      <c r="F1028" s="5">
        <v>0</v>
      </c>
      <c r="G1028" s="18">
        <f t="shared" si="38"/>
        <v>58.888400000000004</v>
      </c>
      <c r="H1028" s="18">
        <f t="shared" si="39"/>
        <v>19.409836065573771</v>
      </c>
      <c r="I1028" s="32">
        <v>33.184745526548603</v>
      </c>
      <c r="K1028" s="32">
        <v>125.251830789778</v>
      </c>
      <c r="L1028" s="32">
        <f t="shared" si="36"/>
        <v>16.438356164383563</v>
      </c>
      <c r="M1028" s="5">
        <f t="shared" si="40"/>
        <v>67.808673724385073</v>
      </c>
      <c r="N1028" s="5">
        <f t="shared" si="35"/>
        <v>14.098901098901099</v>
      </c>
      <c r="O1028" s="32">
        <v>24.713059427947961</v>
      </c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</row>
    <row r="1029" spans="1:38">
      <c r="A1029" s="5">
        <v>386</v>
      </c>
      <c r="B1029" s="11">
        <v>1025</v>
      </c>
      <c r="C1029" s="12">
        <v>46682</v>
      </c>
      <c r="D1029" s="31">
        <f t="shared" si="37"/>
        <v>34</v>
      </c>
      <c r="E1029" s="14"/>
      <c r="F1029" s="5">
        <v>0</v>
      </c>
      <c r="G1029" s="18">
        <f t="shared" si="38"/>
        <v>59.0411</v>
      </c>
      <c r="H1029" s="18">
        <f t="shared" si="39"/>
        <v>19.409836065573771</v>
      </c>
      <c r="I1029" s="32">
        <v>21.784402765708759</v>
      </c>
      <c r="K1029" s="32">
        <v>125.251830789778</v>
      </c>
      <c r="L1029" s="32">
        <f t="shared" si="36"/>
        <v>16.438356164383563</v>
      </c>
      <c r="M1029" s="5">
        <f t="shared" si="40"/>
        <v>67.808673724385073</v>
      </c>
      <c r="N1029" s="5">
        <f t="shared" ref="N1029:N1092" si="41">AVERAGE($O$644:$O$734)</f>
        <v>14.098901098901099</v>
      </c>
      <c r="O1029" s="32">
        <v>13.666369739897171</v>
      </c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</row>
    <row r="1030" spans="1:38">
      <c r="A1030" s="5">
        <v>387</v>
      </c>
      <c r="B1030" s="11">
        <v>1026</v>
      </c>
      <c r="C1030" s="12">
        <v>46683</v>
      </c>
      <c r="D1030" s="31">
        <f t="shared" si="37"/>
        <v>31</v>
      </c>
      <c r="E1030" s="14"/>
      <c r="F1030" s="5">
        <v>0</v>
      </c>
      <c r="G1030" s="18">
        <f t="shared" si="38"/>
        <v>59.193800000000003</v>
      </c>
      <c r="H1030" s="18">
        <f t="shared" si="39"/>
        <v>19.409836065573771</v>
      </c>
      <c r="I1030" s="32">
        <v>22.345010084732738</v>
      </c>
      <c r="K1030" s="32">
        <v>21.372030235181079</v>
      </c>
      <c r="L1030" s="32">
        <f t="shared" si="36"/>
        <v>16.438356164383563</v>
      </c>
      <c r="M1030" s="5">
        <f t="shared" si="40"/>
        <v>68.950209994215797</v>
      </c>
      <c r="N1030" s="5">
        <f t="shared" si="41"/>
        <v>14.098901098901099</v>
      </c>
      <c r="O1030" s="32">
        <v>23.80847000123843</v>
      </c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</row>
    <row r="1031" spans="1:38">
      <c r="A1031" s="5">
        <v>388</v>
      </c>
      <c r="B1031" s="11">
        <v>1027</v>
      </c>
      <c r="C1031" s="12">
        <v>46684</v>
      </c>
      <c r="D1031" s="31">
        <f t="shared" si="37"/>
        <v>8</v>
      </c>
      <c r="E1031" s="14"/>
      <c r="F1031" s="5">
        <v>0</v>
      </c>
      <c r="G1031" s="18">
        <f t="shared" si="38"/>
        <v>59.346499999999999</v>
      </c>
      <c r="H1031" s="18">
        <f t="shared" si="39"/>
        <v>19.409836065573771</v>
      </c>
      <c r="I1031" s="32">
        <v>25.158175433496488</v>
      </c>
      <c r="K1031" s="32">
        <v>1.856531650863475</v>
      </c>
      <c r="L1031" s="32">
        <f t="shared" si="36"/>
        <v>16.438356164383563</v>
      </c>
      <c r="M1031" s="5">
        <f t="shared" si="40"/>
        <v>69.164666022614909</v>
      </c>
      <c r="N1031" s="5">
        <f t="shared" si="41"/>
        <v>14.098901098901099</v>
      </c>
      <c r="O1031" s="32">
        <v>17.547186268290641</v>
      </c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</row>
    <row r="1032" spans="1:38">
      <c r="A1032" s="5">
        <v>389</v>
      </c>
      <c r="B1032" s="11">
        <v>1028</v>
      </c>
      <c r="C1032" s="12">
        <v>46685</v>
      </c>
      <c r="D1032" s="31">
        <f t="shared" si="37"/>
        <v>25</v>
      </c>
      <c r="E1032" s="14"/>
      <c r="F1032" s="5">
        <v>0</v>
      </c>
      <c r="G1032" s="18">
        <f t="shared" si="38"/>
        <v>59.499200000000002</v>
      </c>
      <c r="H1032" s="18">
        <f t="shared" si="39"/>
        <v>19.409836065573771</v>
      </c>
      <c r="I1032" s="32">
        <v>13.985165497441161</v>
      </c>
      <c r="K1032" s="32">
        <v>125.251830789778</v>
      </c>
      <c r="L1032" s="32">
        <f t="shared" si="36"/>
        <v>16.438356164383563</v>
      </c>
      <c r="M1032" s="5">
        <f t="shared" si="40"/>
        <v>67.808673724385073</v>
      </c>
      <c r="N1032" s="5">
        <f t="shared" si="41"/>
        <v>14.098901098901099</v>
      </c>
      <c r="O1032" s="32">
        <v>16.660117283075621</v>
      </c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</row>
    <row r="1033" spans="1:38">
      <c r="A1033" s="5">
        <v>390</v>
      </c>
      <c r="B1033" s="11">
        <v>1029</v>
      </c>
      <c r="C1033" s="12">
        <v>46686</v>
      </c>
      <c r="D1033" s="31">
        <f t="shared" si="37"/>
        <v>9</v>
      </c>
      <c r="E1033" s="14"/>
      <c r="F1033" s="5">
        <v>0</v>
      </c>
      <c r="G1033" s="18">
        <f t="shared" si="38"/>
        <v>59.651900000000005</v>
      </c>
      <c r="H1033" s="18">
        <f t="shared" si="39"/>
        <v>19.409836065573771</v>
      </c>
      <c r="I1033" s="32">
        <v>31.116477577766631</v>
      </c>
      <c r="K1033" s="32">
        <v>125.251830789778</v>
      </c>
      <c r="L1033" s="32">
        <f t="shared" si="36"/>
        <v>16.438356164383563</v>
      </c>
      <c r="M1033" s="5">
        <f t="shared" si="40"/>
        <v>67.808673724385073</v>
      </c>
      <c r="N1033" s="5">
        <f t="shared" si="41"/>
        <v>14.098901098901099</v>
      </c>
      <c r="O1033" s="32">
        <v>13.904857359131469</v>
      </c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</row>
    <row r="1034" spans="1:38">
      <c r="A1034" s="5">
        <v>391</v>
      </c>
      <c r="B1034" s="11">
        <v>1030</v>
      </c>
      <c r="C1034" s="12">
        <v>46687</v>
      </c>
      <c r="D1034" s="31">
        <f t="shared" si="37"/>
        <v>21</v>
      </c>
      <c r="E1034" s="14"/>
      <c r="F1034" s="5">
        <v>0</v>
      </c>
      <c r="G1034" s="18">
        <f t="shared" si="38"/>
        <v>59.804600000000001</v>
      </c>
      <c r="H1034" s="18">
        <f t="shared" si="39"/>
        <v>19.409836065573771</v>
      </c>
      <c r="I1034" s="32">
        <v>26.804989248595881</v>
      </c>
      <c r="K1034" s="32">
        <v>21.372030235181079</v>
      </c>
      <c r="L1034" s="32">
        <f t="shared" si="36"/>
        <v>16.438356164383563</v>
      </c>
      <c r="M1034" s="5">
        <f t="shared" si="40"/>
        <v>68.950209994215797</v>
      </c>
      <c r="N1034" s="5">
        <f t="shared" si="41"/>
        <v>14.098901098901099</v>
      </c>
      <c r="O1034" s="32">
        <v>29.908416848720421</v>
      </c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</row>
    <row r="1035" spans="1:38">
      <c r="A1035" s="5">
        <v>392</v>
      </c>
      <c r="B1035" s="11">
        <v>1031</v>
      </c>
      <c r="C1035" s="12">
        <v>46688</v>
      </c>
      <c r="D1035" s="31">
        <f t="shared" si="37"/>
        <v>13</v>
      </c>
      <c r="E1035" s="14"/>
      <c r="F1035" s="5">
        <v>0</v>
      </c>
      <c r="G1035" s="18">
        <f t="shared" si="38"/>
        <v>59.957300000000004</v>
      </c>
      <c r="H1035" s="18">
        <f t="shared" si="39"/>
        <v>19.409836065573771</v>
      </c>
      <c r="I1035" s="32">
        <v>37.052403952131883</v>
      </c>
      <c r="K1035" s="32">
        <v>1.856531650863475</v>
      </c>
      <c r="L1035" s="32">
        <f t="shared" si="36"/>
        <v>16.438356164383563</v>
      </c>
      <c r="M1035" s="5">
        <f t="shared" si="40"/>
        <v>69.164666022614909</v>
      </c>
      <c r="N1035" s="5">
        <f t="shared" si="41"/>
        <v>14.098901098901099</v>
      </c>
      <c r="O1035" s="32">
        <v>13.32821197019118</v>
      </c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</row>
    <row r="1036" spans="1:38">
      <c r="A1036" s="5">
        <v>393</v>
      </c>
      <c r="B1036" s="11">
        <v>1032</v>
      </c>
      <c r="C1036" s="12">
        <v>46689</v>
      </c>
      <c r="D1036" s="31">
        <f t="shared" si="37"/>
        <v>10</v>
      </c>
      <c r="E1036" s="14"/>
      <c r="F1036" s="5">
        <v>0</v>
      </c>
      <c r="G1036" s="18">
        <f t="shared" si="38"/>
        <v>60.11</v>
      </c>
      <c r="H1036" s="18">
        <f t="shared" si="39"/>
        <v>19.409836065573771</v>
      </c>
      <c r="I1036" s="32">
        <v>32.72311628321021</v>
      </c>
      <c r="K1036" s="32">
        <v>125.251830789778</v>
      </c>
      <c r="L1036" s="32">
        <f t="shared" si="36"/>
        <v>16.438356164383563</v>
      </c>
      <c r="M1036" s="5">
        <f t="shared" si="40"/>
        <v>67.808673724385073</v>
      </c>
      <c r="N1036" s="5">
        <f t="shared" si="41"/>
        <v>14.098901098901099</v>
      </c>
      <c r="O1036" s="32">
        <v>30.086817384569041</v>
      </c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</row>
    <row r="1037" spans="1:38">
      <c r="A1037" s="5">
        <v>394</v>
      </c>
      <c r="B1037" s="11">
        <v>1033</v>
      </c>
      <c r="C1037" s="12">
        <v>46690</v>
      </c>
      <c r="D1037" s="31">
        <f t="shared" si="37"/>
        <v>16</v>
      </c>
      <c r="E1037" s="14"/>
      <c r="F1037" s="5">
        <v>0</v>
      </c>
      <c r="G1037" s="18">
        <f t="shared" si="38"/>
        <v>60.262700000000002</v>
      </c>
      <c r="H1037" s="18">
        <f t="shared" si="39"/>
        <v>19.409836065573771</v>
      </c>
      <c r="I1037" s="32">
        <v>35.782913993705449</v>
      </c>
      <c r="K1037" s="32">
        <v>125.251830789778</v>
      </c>
      <c r="L1037" s="32">
        <f t="shared" si="36"/>
        <v>16.438356164383563</v>
      </c>
      <c r="M1037" s="5">
        <f t="shared" si="40"/>
        <v>67.808673724385073</v>
      </c>
      <c r="N1037" s="5">
        <f t="shared" si="41"/>
        <v>14.098901098901099</v>
      </c>
      <c r="O1037" s="32">
        <v>19.9473001999872</v>
      </c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</row>
    <row r="1038" spans="1:38">
      <c r="A1038" s="5">
        <v>395</v>
      </c>
      <c r="B1038" s="11">
        <v>1034</v>
      </c>
      <c r="C1038" s="12">
        <v>46691</v>
      </c>
      <c r="D1038" s="31">
        <f t="shared" si="37"/>
        <v>14</v>
      </c>
      <c r="E1038" s="14"/>
      <c r="F1038" s="5">
        <v>0</v>
      </c>
      <c r="G1038" s="18">
        <f t="shared" si="38"/>
        <v>60.415399999999998</v>
      </c>
      <c r="H1038" s="18">
        <f t="shared" si="39"/>
        <v>19.409836065573771</v>
      </c>
      <c r="I1038" s="32">
        <v>28.681673642404569</v>
      </c>
      <c r="K1038" s="32">
        <v>21.372030235181079</v>
      </c>
      <c r="L1038" s="32">
        <f t="shared" si="36"/>
        <v>16.438356164383563</v>
      </c>
      <c r="M1038" s="5">
        <f t="shared" si="40"/>
        <v>68.950209994215797</v>
      </c>
      <c r="N1038" s="5">
        <f t="shared" si="41"/>
        <v>14.098901098901099</v>
      </c>
      <c r="O1038" s="32">
        <v>15.266335016531031</v>
      </c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</row>
    <row r="1039" spans="1:38">
      <c r="A1039" s="5">
        <v>396</v>
      </c>
      <c r="B1039" s="11">
        <v>1035</v>
      </c>
      <c r="C1039" s="12">
        <v>46692</v>
      </c>
      <c r="D1039" s="31">
        <f t="shared" si="37"/>
        <v>7</v>
      </c>
      <c r="E1039" s="14"/>
      <c r="F1039" s="5">
        <v>0</v>
      </c>
      <c r="G1039" s="18">
        <f t="shared" si="38"/>
        <v>60.568100000000001</v>
      </c>
      <c r="H1039" s="18">
        <f t="shared" si="39"/>
        <v>19.409836065573771</v>
      </c>
      <c r="I1039" s="32">
        <v>27.487036875067499</v>
      </c>
      <c r="K1039" s="32">
        <v>1.856531650863475</v>
      </c>
      <c r="L1039" s="32">
        <f t="shared" si="36"/>
        <v>16.438356164383563</v>
      </c>
      <c r="M1039" s="5">
        <f t="shared" si="40"/>
        <v>69.164666022614909</v>
      </c>
      <c r="N1039" s="5">
        <f t="shared" si="41"/>
        <v>14.098901098901099</v>
      </c>
      <c r="O1039" s="32">
        <v>5.3080738796656144</v>
      </c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</row>
    <row r="1040" spans="1:38">
      <c r="A1040" s="5">
        <v>397</v>
      </c>
      <c r="B1040" s="11">
        <v>1036</v>
      </c>
      <c r="C1040" s="12">
        <v>46693</v>
      </c>
      <c r="D1040" s="31">
        <f t="shared" si="37"/>
        <v>19</v>
      </c>
      <c r="E1040" s="14"/>
      <c r="F1040" s="5">
        <v>0</v>
      </c>
      <c r="G1040" s="18">
        <f t="shared" si="38"/>
        <v>60.720800000000004</v>
      </c>
      <c r="H1040" s="18">
        <f t="shared" si="39"/>
        <v>19.409836065573771</v>
      </c>
      <c r="I1040" s="32">
        <v>27.031563755888111</v>
      </c>
      <c r="K1040" s="32">
        <v>125.251830789778</v>
      </c>
      <c r="L1040" s="32">
        <f t="shared" si="36"/>
        <v>16.438356164383563</v>
      </c>
      <c r="M1040" s="5">
        <f t="shared" si="40"/>
        <v>67.808673724385073</v>
      </c>
      <c r="N1040" s="5">
        <f t="shared" si="41"/>
        <v>14.098901098901099</v>
      </c>
      <c r="O1040" s="32">
        <v>20.084314568954682</v>
      </c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</row>
    <row r="1041" spans="1:38">
      <c r="A1041" s="5">
        <v>398</v>
      </c>
      <c r="B1041" s="11">
        <v>1037</v>
      </c>
      <c r="C1041" s="12">
        <v>46694</v>
      </c>
      <c r="D1041" s="31">
        <f t="shared" si="37"/>
        <v>23</v>
      </c>
      <c r="E1041" s="14"/>
      <c r="F1041" s="5">
        <v>0</v>
      </c>
      <c r="G1041" s="18">
        <f t="shared" si="38"/>
        <v>60.8735</v>
      </c>
      <c r="H1041" s="18">
        <f t="shared" si="39"/>
        <v>19.409836065573771</v>
      </c>
      <c r="I1041" s="32">
        <v>19.67823453231556</v>
      </c>
      <c r="K1041" s="32">
        <v>125.251830789778</v>
      </c>
      <c r="L1041" s="32">
        <f t="shared" si="36"/>
        <v>16.438356164383563</v>
      </c>
      <c r="M1041" s="5">
        <f t="shared" si="40"/>
        <v>67.808673724385073</v>
      </c>
      <c r="N1041" s="5">
        <f t="shared" si="41"/>
        <v>14.098901098901099</v>
      </c>
      <c r="O1041" s="32">
        <v>22.00652477292131</v>
      </c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</row>
    <row r="1042" spans="1:38">
      <c r="A1042" s="5">
        <v>399</v>
      </c>
      <c r="B1042" s="11">
        <v>1038</v>
      </c>
      <c r="C1042" s="12">
        <v>46695</v>
      </c>
      <c r="D1042" s="31">
        <f t="shared" si="37"/>
        <v>25</v>
      </c>
      <c r="E1042" s="14"/>
      <c r="F1042" s="5">
        <v>0</v>
      </c>
      <c r="G1042" s="18">
        <f t="shared" si="38"/>
        <v>61.026200000000003</v>
      </c>
      <c r="H1042" s="18">
        <f t="shared" si="39"/>
        <v>19.409836065573771</v>
      </c>
      <c r="I1042" s="32">
        <v>31.578137315690149</v>
      </c>
      <c r="K1042" s="32">
        <v>21.372030235181079</v>
      </c>
      <c r="L1042" s="32">
        <f t="shared" si="36"/>
        <v>16.438356164383563</v>
      </c>
      <c r="M1042" s="5">
        <f t="shared" si="40"/>
        <v>68.950209994215797</v>
      </c>
      <c r="N1042" s="5">
        <f t="shared" si="41"/>
        <v>14.098901098901099</v>
      </c>
      <c r="O1042" s="32">
        <v>19.843814082436609</v>
      </c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</row>
    <row r="1043" spans="1:38">
      <c r="A1043" s="5">
        <v>400</v>
      </c>
      <c r="B1043" s="11">
        <v>1039</v>
      </c>
      <c r="C1043" s="12">
        <v>46696</v>
      </c>
      <c r="D1043" s="31">
        <f t="shared" si="37"/>
        <v>14</v>
      </c>
      <c r="E1043" s="14"/>
      <c r="F1043" s="5">
        <v>0</v>
      </c>
      <c r="G1043" s="18">
        <f t="shared" si="38"/>
        <v>61.178899999999999</v>
      </c>
      <c r="H1043" s="18">
        <f t="shared" si="39"/>
        <v>19.409836065573771</v>
      </c>
      <c r="I1043" s="32">
        <v>28.921959201570861</v>
      </c>
      <c r="K1043" s="32">
        <v>1.856531650863475</v>
      </c>
      <c r="L1043" s="32">
        <f t="shared" si="36"/>
        <v>16.438356164383563</v>
      </c>
      <c r="M1043" s="5">
        <f t="shared" si="40"/>
        <v>69.164666022614909</v>
      </c>
      <c r="N1043" s="5">
        <f t="shared" si="41"/>
        <v>14.098901098901099</v>
      </c>
      <c r="O1043" s="32">
        <v>21.616997937749879</v>
      </c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</row>
    <row r="1044" spans="1:38">
      <c r="A1044" s="5">
        <v>401</v>
      </c>
      <c r="B1044" s="11">
        <v>1040</v>
      </c>
      <c r="C1044" s="12">
        <v>46697</v>
      </c>
      <c r="D1044" s="31">
        <f t="shared" si="37"/>
        <v>7</v>
      </c>
      <c r="E1044" s="14"/>
      <c r="F1044" s="5">
        <v>0</v>
      </c>
      <c r="G1044" s="18">
        <f t="shared" si="38"/>
        <v>61.331600000000002</v>
      </c>
      <c r="H1044" s="18">
        <f t="shared" si="39"/>
        <v>19.409836065573771</v>
      </c>
      <c r="I1044" s="32">
        <v>35.154470066455403</v>
      </c>
      <c r="K1044" s="32">
        <v>125.251830789778</v>
      </c>
      <c r="L1044" s="32">
        <f t="shared" si="36"/>
        <v>16.438356164383563</v>
      </c>
      <c r="M1044" s="5">
        <f t="shared" si="40"/>
        <v>67.808673724385073</v>
      </c>
      <c r="N1044" s="5">
        <f t="shared" si="41"/>
        <v>14.098901098901099</v>
      </c>
      <c r="O1044" s="32">
        <v>17.714265748307159</v>
      </c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</row>
    <row r="1045" spans="1:38">
      <c r="A1045" s="5">
        <v>402</v>
      </c>
      <c r="B1045" s="11">
        <v>1041</v>
      </c>
      <c r="C1045" s="12">
        <v>46698</v>
      </c>
      <c r="D1045" s="31">
        <f t="shared" si="37"/>
        <v>16</v>
      </c>
      <c r="E1045" s="14"/>
      <c r="F1045" s="5">
        <v>0</v>
      </c>
      <c r="G1045" s="18">
        <f t="shared" si="38"/>
        <v>61.484300000000005</v>
      </c>
      <c r="H1045" s="18">
        <f t="shared" si="39"/>
        <v>19.409836065573771</v>
      </c>
      <c r="I1045" s="32">
        <v>36.744147897277301</v>
      </c>
      <c r="K1045" s="32">
        <v>125.251830789778</v>
      </c>
      <c r="L1045" s="32">
        <f t="shared" si="36"/>
        <v>16.438356164383563</v>
      </c>
      <c r="M1045" s="5">
        <f t="shared" si="40"/>
        <v>67.808673724385073</v>
      </c>
      <c r="N1045" s="5">
        <f t="shared" si="41"/>
        <v>14.098901098901099</v>
      </c>
      <c r="O1045" s="32">
        <v>11.422637663580479</v>
      </c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</row>
    <row r="1046" spans="1:38">
      <c r="A1046" s="5">
        <v>403</v>
      </c>
      <c r="B1046" s="11">
        <v>1042</v>
      </c>
      <c r="C1046" s="12">
        <v>46699</v>
      </c>
      <c r="D1046" s="31">
        <f t="shared" si="37"/>
        <v>16</v>
      </c>
      <c r="E1046" s="14"/>
      <c r="F1046" s="5">
        <v>0</v>
      </c>
      <c r="G1046" s="18">
        <f t="shared" si="38"/>
        <v>61.637</v>
      </c>
      <c r="H1046" s="18">
        <f t="shared" si="39"/>
        <v>19.409836065573771</v>
      </c>
      <c r="I1046" s="32">
        <v>37.252634589060612</v>
      </c>
      <c r="K1046" s="32">
        <v>21.372030235181079</v>
      </c>
      <c r="L1046" s="32">
        <f t="shared" si="36"/>
        <v>16.438356164383563</v>
      </c>
      <c r="M1046" s="5">
        <f t="shared" si="40"/>
        <v>68.950209994215797</v>
      </c>
      <c r="N1046" s="5">
        <f t="shared" si="41"/>
        <v>14.098901098901099</v>
      </c>
      <c r="O1046" s="32">
        <v>29.065452352334059</v>
      </c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</row>
    <row r="1047" spans="1:38">
      <c r="A1047" s="5">
        <v>404</v>
      </c>
      <c r="B1047" s="11">
        <v>1043</v>
      </c>
      <c r="C1047" s="12">
        <v>46700</v>
      </c>
      <c r="D1047" s="31">
        <f t="shared" si="37"/>
        <v>16</v>
      </c>
      <c r="E1047" s="14"/>
      <c r="F1047" s="5">
        <v>0</v>
      </c>
      <c r="G1047" s="18">
        <f t="shared" si="38"/>
        <v>61.789700000000003</v>
      </c>
      <c r="H1047" s="18">
        <f t="shared" si="39"/>
        <v>19.409836065573771</v>
      </c>
      <c r="I1047" s="32">
        <v>50.346347907974511</v>
      </c>
      <c r="K1047" s="32">
        <v>1.856531650863475</v>
      </c>
      <c r="L1047" s="32">
        <f t="shared" si="36"/>
        <v>16.438356164383563</v>
      </c>
      <c r="M1047" s="5">
        <f t="shared" si="40"/>
        <v>69.164666022614909</v>
      </c>
      <c r="N1047" s="5">
        <f t="shared" si="41"/>
        <v>14.098901098901099</v>
      </c>
      <c r="O1047" s="32">
        <v>25.392807000139669</v>
      </c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</row>
    <row r="1048" spans="1:38">
      <c r="A1048" s="5">
        <v>405</v>
      </c>
      <c r="B1048" s="11">
        <v>1044</v>
      </c>
      <c r="C1048" s="12">
        <v>46701</v>
      </c>
      <c r="D1048" s="31">
        <f t="shared" si="37"/>
        <v>3</v>
      </c>
      <c r="E1048" s="14"/>
      <c r="F1048" s="5">
        <v>0</v>
      </c>
      <c r="G1048" s="18">
        <f t="shared" si="38"/>
        <v>61.942399999999999</v>
      </c>
      <c r="H1048" s="18">
        <f t="shared" si="39"/>
        <v>19.409836065573771</v>
      </c>
      <c r="I1048" s="32">
        <v>20.12738197969853</v>
      </c>
      <c r="K1048" s="32">
        <v>125.251830789778</v>
      </c>
      <c r="L1048" s="32">
        <f t="shared" si="36"/>
        <v>16.438356164383563</v>
      </c>
      <c r="M1048" s="5">
        <f t="shared" si="40"/>
        <v>67.808673724385073</v>
      </c>
      <c r="N1048" s="5">
        <f t="shared" si="41"/>
        <v>14.098901098901099</v>
      </c>
      <c r="O1048" s="32">
        <v>29.502023792251599</v>
      </c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</row>
    <row r="1049" spans="1:38">
      <c r="A1049" s="5">
        <v>406</v>
      </c>
      <c r="B1049" s="11">
        <v>1045</v>
      </c>
      <c r="C1049" s="12">
        <v>46702</v>
      </c>
      <c r="D1049" s="31">
        <f t="shared" si="37"/>
        <v>16</v>
      </c>
      <c r="E1049" s="14"/>
      <c r="F1049" s="5">
        <v>0</v>
      </c>
      <c r="G1049" s="18">
        <f t="shared" si="38"/>
        <v>62.095100000000002</v>
      </c>
      <c r="H1049" s="18">
        <f t="shared" si="39"/>
        <v>19.409836065573771</v>
      </c>
      <c r="I1049" s="32">
        <v>20.65037063016646</v>
      </c>
      <c r="K1049" s="32">
        <v>125.251830789778</v>
      </c>
      <c r="L1049" s="32">
        <f t="shared" si="36"/>
        <v>16.438356164383563</v>
      </c>
      <c r="M1049" s="5">
        <f t="shared" si="40"/>
        <v>67.808673724385073</v>
      </c>
      <c r="N1049" s="5">
        <f t="shared" si="41"/>
        <v>14.098901098901099</v>
      </c>
      <c r="O1049" s="32">
        <v>15.465168866650011</v>
      </c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</row>
    <row r="1050" spans="1:38">
      <c r="A1050" s="5">
        <v>407</v>
      </c>
      <c r="B1050" s="11">
        <v>1046</v>
      </c>
      <c r="C1050" s="12">
        <v>46703</v>
      </c>
      <c r="D1050" s="31">
        <f t="shared" si="37"/>
        <v>24</v>
      </c>
      <c r="E1050" s="14"/>
      <c r="F1050" s="5">
        <v>0</v>
      </c>
      <c r="G1050" s="18">
        <f t="shared" si="38"/>
        <v>62.247799999999998</v>
      </c>
      <c r="H1050" s="18">
        <f t="shared" si="39"/>
        <v>19.409836065573771</v>
      </c>
      <c r="I1050" s="32">
        <v>8.3150519509440688</v>
      </c>
      <c r="K1050" s="32">
        <v>21.372030235181079</v>
      </c>
      <c r="L1050" s="32">
        <f t="shared" si="36"/>
        <v>16.438356164383563</v>
      </c>
      <c r="M1050" s="5">
        <f t="shared" si="40"/>
        <v>68.950209994215797</v>
      </c>
      <c r="N1050" s="5">
        <f t="shared" si="41"/>
        <v>14.098901098901099</v>
      </c>
      <c r="O1050" s="32">
        <v>19.36438992172971</v>
      </c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</row>
    <row r="1051" spans="1:38">
      <c r="A1051" s="5">
        <v>408</v>
      </c>
      <c r="B1051" s="11">
        <v>1047</v>
      </c>
      <c r="C1051" s="12">
        <v>46704</v>
      </c>
      <c r="D1051" s="31">
        <f t="shared" si="37"/>
        <v>6</v>
      </c>
      <c r="E1051" s="14"/>
      <c r="F1051" s="5">
        <v>0</v>
      </c>
      <c r="G1051" s="18">
        <f t="shared" si="38"/>
        <v>62.400500000000001</v>
      </c>
      <c r="H1051" s="18">
        <f t="shared" si="39"/>
        <v>19.409836065573771</v>
      </c>
      <c r="I1051" s="32">
        <v>9.0891552970826801</v>
      </c>
      <c r="K1051" s="32">
        <v>1.856531650863475</v>
      </c>
      <c r="L1051" s="32">
        <f t="shared" si="36"/>
        <v>16.438356164383563</v>
      </c>
      <c r="M1051" s="5">
        <f t="shared" si="40"/>
        <v>69.164666022614909</v>
      </c>
      <c r="N1051" s="5">
        <f t="shared" si="41"/>
        <v>14.098901098901099</v>
      </c>
      <c r="O1051" s="32">
        <v>9.1524792737185372</v>
      </c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</row>
    <row r="1052" spans="1:38">
      <c r="A1052" s="5">
        <v>409</v>
      </c>
      <c r="B1052" s="11">
        <v>1048</v>
      </c>
      <c r="C1052" s="12">
        <v>46705</v>
      </c>
      <c r="D1052" s="31">
        <f t="shared" si="37"/>
        <v>13</v>
      </c>
      <c r="E1052" s="14"/>
      <c r="F1052" s="5">
        <v>0</v>
      </c>
      <c r="G1052" s="18">
        <f t="shared" si="38"/>
        <v>62.553200000000004</v>
      </c>
      <c r="H1052" s="18">
        <f t="shared" si="39"/>
        <v>19.409836065573771</v>
      </c>
      <c r="I1052" s="32">
        <v>16.346524840524449</v>
      </c>
      <c r="K1052" s="32">
        <v>125.251830789778</v>
      </c>
      <c r="L1052" s="32">
        <f t="shared" si="36"/>
        <v>16.438356164383563</v>
      </c>
      <c r="M1052" s="5">
        <f t="shared" si="40"/>
        <v>67.808673724385073</v>
      </c>
      <c r="N1052" s="5">
        <f t="shared" si="41"/>
        <v>14.098901098901099</v>
      </c>
      <c r="O1052" s="32">
        <v>23.33536362992432</v>
      </c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</row>
    <row r="1053" spans="1:38">
      <c r="A1053" s="5">
        <v>410</v>
      </c>
      <c r="B1053" s="11">
        <v>1049</v>
      </c>
      <c r="C1053" s="12">
        <v>46706</v>
      </c>
      <c r="D1053" s="31">
        <f t="shared" si="37"/>
        <v>5</v>
      </c>
      <c r="E1053" s="14"/>
      <c r="F1053" s="5">
        <v>0</v>
      </c>
      <c r="G1053" s="18">
        <f t="shared" si="38"/>
        <v>62.7059</v>
      </c>
      <c r="H1053" s="18">
        <f t="shared" si="39"/>
        <v>19.409836065573771</v>
      </c>
      <c r="I1053" s="32">
        <v>19.05238289900289</v>
      </c>
      <c r="K1053" s="32">
        <v>125.251830789778</v>
      </c>
      <c r="L1053" s="32">
        <f t="shared" si="36"/>
        <v>16.438356164383563</v>
      </c>
      <c r="M1053" s="5">
        <f t="shared" si="40"/>
        <v>67.808673724385073</v>
      </c>
      <c r="N1053" s="5">
        <f t="shared" si="41"/>
        <v>14.098901098901099</v>
      </c>
      <c r="O1053" s="32">
        <v>26.070888771064521</v>
      </c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</row>
    <row r="1054" spans="1:38">
      <c r="A1054" s="5">
        <v>411</v>
      </c>
      <c r="B1054" s="11">
        <v>1050</v>
      </c>
      <c r="C1054" s="12">
        <v>46707</v>
      </c>
      <c r="D1054" s="31">
        <f t="shared" si="37"/>
        <v>5</v>
      </c>
      <c r="E1054" s="14"/>
      <c r="F1054" s="5">
        <v>0</v>
      </c>
      <c r="G1054" s="18">
        <f t="shared" si="38"/>
        <v>62.858600000000003</v>
      </c>
      <c r="H1054" s="18">
        <f t="shared" si="39"/>
        <v>19.409836065573771</v>
      </c>
      <c r="I1054" s="32">
        <v>25.23275802095193</v>
      </c>
      <c r="K1054" s="32">
        <v>21.372030235181079</v>
      </c>
      <c r="L1054" s="32">
        <f t="shared" si="36"/>
        <v>16.438356164383563</v>
      </c>
      <c r="M1054" s="5">
        <f t="shared" si="40"/>
        <v>68.950209994215797</v>
      </c>
      <c r="N1054" s="5">
        <f t="shared" si="41"/>
        <v>14.098901098901099</v>
      </c>
      <c r="O1054" s="32">
        <v>20.94392948607361</v>
      </c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</row>
    <row r="1055" spans="1:38">
      <c r="A1055" s="5">
        <v>412</v>
      </c>
      <c r="B1055" s="11">
        <v>1051</v>
      </c>
      <c r="C1055" s="12">
        <v>46708</v>
      </c>
      <c r="D1055" s="31">
        <f t="shared" si="37"/>
        <v>21</v>
      </c>
      <c r="E1055" s="14"/>
      <c r="F1055" s="5">
        <v>0</v>
      </c>
      <c r="G1055" s="18">
        <f t="shared" si="38"/>
        <v>63.011299999999999</v>
      </c>
      <c r="H1055" s="18">
        <f t="shared" si="39"/>
        <v>19.409836065573771</v>
      </c>
      <c r="I1055" s="32">
        <v>9.8662220258647917</v>
      </c>
      <c r="K1055" s="32">
        <v>1.856531650863475</v>
      </c>
      <c r="L1055" s="32">
        <f t="shared" ref="L1055:L1118" si="42">12000/730</f>
        <v>16.438356164383563</v>
      </c>
      <c r="M1055" s="5">
        <f t="shared" si="40"/>
        <v>69.164666022614909</v>
      </c>
      <c r="N1055" s="5">
        <f t="shared" si="41"/>
        <v>14.098901098901099</v>
      </c>
      <c r="O1055" s="32">
        <v>6.8480288897320278</v>
      </c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</row>
    <row r="1056" spans="1:38">
      <c r="A1056" s="5">
        <v>413</v>
      </c>
      <c r="B1056" s="11">
        <v>1052</v>
      </c>
      <c r="C1056" s="12">
        <v>46709</v>
      </c>
      <c r="D1056" s="31">
        <f t="shared" ref="D1056:D1119" si="43">ROUNDUP(_xlfn.FORECAST.ETS(B1056,$D$5:$D$734,$B$5:$B$734,365,0,1),0)</f>
        <v>10</v>
      </c>
      <c r="E1056" s="14"/>
      <c r="F1056" s="5">
        <v>0</v>
      </c>
      <c r="G1056" s="18">
        <f t="shared" ref="G1056:G1119" si="44">0.1527*A1056+0.0989</f>
        <v>63.164000000000001</v>
      </c>
      <c r="H1056" s="18">
        <f t="shared" ref="H1056:H1119" si="45">AVERAGE($I$674:$I$734)</f>
        <v>19.409836065573771</v>
      </c>
      <c r="I1056" s="32">
        <v>10.811331675873211</v>
      </c>
      <c r="K1056" s="32">
        <v>125.251830789778</v>
      </c>
      <c r="L1056" s="32">
        <f t="shared" si="42"/>
        <v>16.438356164383563</v>
      </c>
      <c r="M1056" s="5">
        <f t="shared" ref="M1056:M1119" si="46">AVERAGE(K965:K1055)</f>
        <v>67.808673724385073</v>
      </c>
      <c r="N1056" s="5">
        <f t="shared" si="41"/>
        <v>14.098901098901099</v>
      </c>
      <c r="O1056" s="32">
        <v>20.435850350063639</v>
      </c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</row>
    <row r="1057" spans="1:38">
      <c r="A1057" s="5">
        <v>414</v>
      </c>
      <c r="B1057" s="11">
        <v>1053</v>
      </c>
      <c r="C1057" s="12">
        <v>46710</v>
      </c>
      <c r="D1057" s="31">
        <f t="shared" si="43"/>
        <v>29</v>
      </c>
      <c r="E1057" s="14"/>
      <c r="F1057" s="5">
        <v>0</v>
      </c>
      <c r="G1057" s="18">
        <f t="shared" si="44"/>
        <v>63.316700000000004</v>
      </c>
      <c r="H1057" s="18">
        <f t="shared" si="45"/>
        <v>19.409836065573771</v>
      </c>
      <c r="I1057" s="32">
        <v>19.81116487399138</v>
      </c>
      <c r="K1057" s="32">
        <v>125.251830789778</v>
      </c>
      <c r="L1057" s="32">
        <f t="shared" si="42"/>
        <v>16.438356164383563</v>
      </c>
      <c r="M1057" s="5">
        <f t="shared" si="46"/>
        <v>67.808673724385073</v>
      </c>
      <c r="N1057" s="5">
        <f t="shared" si="41"/>
        <v>14.098901098901099</v>
      </c>
      <c r="O1057" s="32">
        <v>16.900319975805569</v>
      </c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</row>
    <row r="1058" spans="1:38">
      <c r="A1058" s="5">
        <v>415</v>
      </c>
      <c r="B1058" s="11">
        <v>1054</v>
      </c>
      <c r="C1058" s="12">
        <v>46711</v>
      </c>
      <c r="D1058" s="31">
        <f t="shared" si="43"/>
        <v>20</v>
      </c>
      <c r="E1058" s="14"/>
      <c r="F1058" s="5">
        <v>0</v>
      </c>
      <c r="G1058" s="18">
        <f t="shared" si="44"/>
        <v>63.4694</v>
      </c>
      <c r="H1058" s="18">
        <f t="shared" si="45"/>
        <v>19.409836065573771</v>
      </c>
      <c r="I1058" s="32">
        <v>20.601436535393439</v>
      </c>
      <c r="K1058" s="32">
        <v>21.372030235181079</v>
      </c>
      <c r="L1058" s="32">
        <f t="shared" si="42"/>
        <v>16.438356164383563</v>
      </c>
      <c r="M1058" s="5">
        <f t="shared" si="46"/>
        <v>68.950209994215797</v>
      </c>
      <c r="N1058" s="5">
        <f t="shared" si="41"/>
        <v>14.098901098901099</v>
      </c>
      <c r="O1058" s="32">
        <v>26.454064944901809</v>
      </c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</row>
    <row r="1059" spans="1:38">
      <c r="A1059" s="5">
        <v>416</v>
      </c>
      <c r="B1059" s="11">
        <v>1055</v>
      </c>
      <c r="C1059" s="12">
        <v>46712</v>
      </c>
      <c r="D1059" s="31">
        <f t="shared" si="43"/>
        <v>15</v>
      </c>
      <c r="E1059" s="14"/>
      <c r="F1059" s="5">
        <v>0</v>
      </c>
      <c r="G1059" s="18">
        <f t="shared" si="44"/>
        <v>63.622100000000003</v>
      </c>
      <c r="H1059" s="18">
        <f t="shared" si="45"/>
        <v>19.409836065573771</v>
      </c>
      <c r="I1059" s="32">
        <v>12.59045011285049</v>
      </c>
      <c r="K1059" s="32">
        <v>1.856531650863475</v>
      </c>
      <c r="L1059" s="32">
        <f t="shared" si="42"/>
        <v>16.438356164383563</v>
      </c>
      <c r="M1059" s="5">
        <f t="shared" si="46"/>
        <v>69.164666022614909</v>
      </c>
      <c r="N1059" s="5">
        <f t="shared" si="41"/>
        <v>14.098901098901099</v>
      </c>
      <c r="O1059" s="32">
        <v>27.944948952604641</v>
      </c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</row>
    <row r="1060" spans="1:38">
      <c r="A1060" s="5">
        <v>417</v>
      </c>
      <c r="B1060" s="11">
        <v>1056</v>
      </c>
      <c r="C1060" s="12">
        <v>46713</v>
      </c>
      <c r="D1060" s="31">
        <f t="shared" si="43"/>
        <v>6</v>
      </c>
      <c r="E1060" s="14"/>
      <c r="F1060" s="5">
        <v>0</v>
      </c>
      <c r="G1060" s="18">
        <f t="shared" si="44"/>
        <v>63.774799999999999</v>
      </c>
      <c r="H1060" s="18">
        <f t="shared" si="45"/>
        <v>19.409836065573771</v>
      </c>
      <c r="I1060" s="32">
        <v>9.2469859048730019</v>
      </c>
      <c r="K1060" s="32">
        <v>125.251830789778</v>
      </c>
      <c r="L1060" s="32">
        <f t="shared" si="42"/>
        <v>16.438356164383563</v>
      </c>
      <c r="M1060" s="5">
        <f t="shared" si="46"/>
        <v>67.808673724385073</v>
      </c>
      <c r="N1060" s="5">
        <f t="shared" si="41"/>
        <v>14.098901098901099</v>
      </c>
      <c r="O1060" s="32">
        <v>26.75104018827183</v>
      </c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</row>
    <row r="1061" spans="1:38">
      <c r="A1061" s="5">
        <v>418</v>
      </c>
      <c r="B1061" s="11">
        <v>1057</v>
      </c>
      <c r="C1061" s="12">
        <v>46714</v>
      </c>
      <c r="D1061" s="31">
        <f t="shared" si="43"/>
        <v>13</v>
      </c>
      <c r="E1061" s="14"/>
      <c r="F1061" s="5">
        <v>0</v>
      </c>
      <c r="G1061" s="18">
        <f t="shared" si="44"/>
        <v>63.927500000000002</v>
      </c>
      <c r="H1061" s="18">
        <f t="shared" si="45"/>
        <v>19.409836065573771</v>
      </c>
      <c r="I1061" s="32">
        <v>28.067439008200651</v>
      </c>
      <c r="K1061" s="32">
        <v>125.251830789778</v>
      </c>
      <c r="L1061" s="32">
        <f t="shared" si="42"/>
        <v>16.438356164383563</v>
      </c>
      <c r="M1061" s="5">
        <f t="shared" si="46"/>
        <v>67.808673724385073</v>
      </c>
      <c r="N1061" s="5">
        <f t="shared" si="41"/>
        <v>14.098901098901099</v>
      </c>
      <c r="O1061" s="32">
        <v>23.996819750146969</v>
      </c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</row>
    <row r="1062" spans="1:38">
      <c r="A1062" s="5">
        <v>419</v>
      </c>
      <c r="B1062" s="11">
        <v>1058</v>
      </c>
      <c r="C1062" s="12">
        <v>46715</v>
      </c>
      <c r="D1062" s="31">
        <f t="shared" si="43"/>
        <v>5</v>
      </c>
      <c r="E1062" s="14"/>
      <c r="F1062" s="5">
        <v>0</v>
      </c>
      <c r="G1062" s="18">
        <f t="shared" si="44"/>
        <v>64.080200000000005</v>
      </c>
      <c r="H1062" s="18">
        <f t="shared" si="45"/>
        <v>19.409836065573771</v>
      </c>
      <c r="I1062" s="32">
        <v>26.03744705557229</v>
      </c>
      <c r="K1062" s="32">
        <v>21.372030235181079</v>
      </c>
      <c r="L1062" s="32">
        <f t="shared" si="42"/>
        <v>16.438356164383563</v>
      </c>
      <c r="M1062" s="5">
        <f t="shared" si="46"/>
        <v>68.950209994215797</v>
      </c>
      <c r="N1062" s="5">
        <f t="shared" si="41"/>
        <v>14.098901098901099</v>
      </c>
      <c r="O1062" s="32">
        <v>12.820618300050111</v>
      </c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</row>
    <row r="1063" spans="1:38">
      <c r="A1063" s="5">
        <v>420</v>
      </c>
      <c r="B1063" s="11">
        <v>1059</v>
      </c>
      <c r="C1063" s="12">
        <v>46716</v>
      </c>
      <c r="D1063" s="31">
        <f t="shared" si="43"/>
        <v>14</v>
      </c>
      <c r="E1063" s="14"/>
      <c r="F1063" s="5">
        <v>0</v>
      </c>
      <c r="G1063" s="18">
        <f t="shared" si="44"/>
        <v>64.232900000000001</v>
      </c>
      <c r="H1063" s="18">
        <f t="shared" si="45"/>
        <v>19.409836065573771</v>
      </c>
      <c r="I1063" s="32">
        <v>17.523751435180071</v>
      </c>
      <c r="K1063" s="32">
        <v>1.856531650863475</v>
      </c>
      <c r="L1063" s="32">
        <f t="shared" si="42"/>
        <v>16.438356164383563</v>
      </c>
      <c r="M1063" s="5">
        <f t="shared" si="46"/>
        <v>69.164666022614909</v>
      </c>
      <c r="N1063" s="5">
        <f t="shared" si="41"/>
        <v>14.098901098901099</v>
      </c>
      <c r="O1063" s="32">
        <v>10.30177456282221</v>
      </c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</row>
    <row r="1064" spans="1:38">
      <c r="A1064" s="5">
        <v>421</v>
      </c>
      <c r="B1064" s="11">
        <v>1060</v>
      </c>
      <c r="C1064" s="12">
        <v>46717</v>
      </c>
      <c r="D1064" s="31">
        <f t="shared" si="43"/>
        <v>10</v>
      </c>
      <c r="E1064" s="14"/>
      <c r="F1064" s="5">
        <v>0</v>
      </c>
      <c r="G1064" s="18">
        <f t="shared" si="44"/>
        <v>64.385599999999997</v>
      </c>
      <c r="H1064" s="18">
        <f t="shared" si="45"/>
        <v>19.409836065573771</v>
      </c>
      <c r="I1064" s="32">
        <v>24.209273218985381</v>
      </c>
      <c r="K1064" s="32">
        <v>125.251830789778</v>
      </c>
      <c r="L1064" s="32">
        <f t="shared" si="42"/>
        <v>16.438356164383563</v>
      </c>
      <c r="M1064" s="5">
        <f t="shared" si="46"/>
        <v>67.808673724385073</v>
      </c>
      <c r="N1064" s="5">
        <f t="shared" si="41"/>
        <v>14.098901098901099</v>
      </c>
      <c r="O1064" s="32">
        <v>20.700717523674321</v>
      </c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</row>
    <row r="1065" spans="1:38">
      <c r="A1065" s="5">
        <v>422</v>
      </c>
      <c r="B1065" s="11">
        <v>1061</v>
      </c>
      <c r="C1065" s="12">
        <v>46718</v>
      </c>
      <c r="D1065" s="31">
        <f t="shared" si="43"/>
        <v>14</v>
      </c>
      <c r="E1065" s="14"/>
      <c r="F1065" s="5">
        <v>0</v>
      </c>
      <c r="G1065" s="18">
        <f t="shared" si="44"/>
        <v>64.538300000000007</v>
      </c>
      <c r="H1065" s="18">
        <f t="shared" si="45"/>
        <v>19.409836065573771</v>
      </c>
      <c r="I1065" s="32">
        <v>22.084393558448301</v>
      </c>
      <c r="K1065" s="32">
        <v>125.251830789778</v>
      </c>
      <c r="L1065" s="32">
        <f t="shared" si="42"/>
        <v>16.438356164383563</v>
      </c>
      <c r="M1065" s="5">
        <f t="shared" si="46"/>
        <v>67.808673724385073</v>
      </c>
      <c r="N1065" s="5">
        <f t="shared" si="41"/>
        <v>14.098901098901099</v>
      </c>
      <c r="O1065" s="32">
        <v>29.343644488426989</v>
      </c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</row>
    <row r="1066" spans="1:38">
      <c r="A1066" s="5">
        <v>423</v>
      </c>
      <c r="B1066" s="11">
        <v>1062</v>
      </c>
      <c r="C1066" s="12">
        <v>46719</v>
      </c>
      <c r="D1066" s="31">
        <f t="shared" si="43"/>
        <v>3</v>
      </c>
      <c r="E1066" s="14"/>
      <c r="F1066" s="5">
        <v>0</v>
      </c>
      <c r="G1066" s="18">
        <f t="shared" si="44"/>
        <v>64.691000000000003</v>
      </c>
      <c r="H1066" s="18">
        <f t="shared" si="45"/>
        <v>19.409836065573771</v>
      </c>
      <c r="I1066" s="32">
        <v>16.442438578996448</v>
      </c>
      <c r="K1066" s="32">
        <v>21.372030235181079</v>
      </c>
      <c r="L1066" s="32">
        <f t="shared" si="42"/>
        <v>16.438356164383563</v>
      </c>
      <c r="M1066" s="5">
        <f t="shared" si="46"/>
        <v>68.950209994215797</v>
      </c>
      <c r="N1066" s="5">
        <f t="shared" si="41"/>
        <v>14.098901098901099</v>
      </c>
      <c r="O1066" s="32">
        <v>30.5185834025588</v>
      </c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</row>
    <row r="1067" spans="1:38">
      <c r="A1067" s="5">
        <v>424</v>
      </c>
      <c r="B1067" s="11">
        <v>1063</v>
      </c>
      <c r="C1067" s="12">
        <v>46720</v>
      </c>
      <c r="D1067" s="31">
        <f t="shared" si="43"/>
        <v>10</v>
      </c>
      <c r="E1067" s="14"/>
      <c r="F1067" s="5">
        <v>0</v>
      </c>
      <c r="G1067" s="18">
        <f t="shared" si="44"/>
        <v>64.843699999999998</v>
      </c>
      <c r="H1067" s="18">
        <f t="shared" si="45"/>
        <v>19.409836065573771</v>
      </c>
      <c r="I1067" s="32">
        <v>13.98827956581367</v>
      </c>
      <c r="K1067" s="32">
        <v>1.856531650863475</v>
      </c>
      <c r="L1067" s="32">
        <f t="shared" si="42"/>
        <v>16.438356164383563</v>
      </c>
      <c r="M1067" s="5">
        <f t="shared" si="46"/>
        <v>69.164666022614909</v>
      </c>
      <c r="N1067" s="5">
        <f t="shared" si="41"/>
        <v>14.098901098901099</v>
      </c>
      <c r="O1067" s="32">
        <v>31.93514549402985</v>
      </c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</row>
    <row r="1068" spans="1:38">
      <c r="A1068" s="5">
        <v>425</v>
      </c>
      <c r="B1068" s="11">
        <v>1064</v>
      </c>
      <c r="C1068" s="12">
        <v>46721</v>
      </c>
      <c r="D1068" s="31">
        <f t="shared" si="43"/>
        <v>3</v>
      </c>
      <c r="E1068" s="14"/>
      <c r="F1068" s="5">
        <v>0</v>
      </c>
      <c r="G1068" s="18">
        <f t="shared" si="44"/>
        <v>64.996400000000008</v>
      </c>
      <c r="H1068" s="18">
        <f t="shared" si="45"/>
        <v>19.409836065573771</v>
      </c>
      <c r="I1068" s="32">
        <v>39.775163145060027</v>
      </c>
      <c r="K1068" s="32">
        <v>125.251830789778</v>
      </c>
      <c r="L1068" s="32">
        <f t="shared" si="42"/>
        <v>16.438356164383563</v>
      </c>
      <c r="M1068" s="5">
        <f t="shared" si="46"/>
        <v>67.808673724385073</v>
      </c>
      <c r="N1068" s="5">
        <f t="shared" si="41"/>
        <v>14.098901098901099</v>
      </c>
      <c r="O1068" s="32">
        <v>13.374663437188911</v>
      </c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</row>
    <row r="1069" spans="1:38">
      <c r="A1069" s="5">
        <v>426</v>
      </c>
      <c r="B1069" s="11">
        <v>1065</v>
      </c>
      <c r="C1069" s="12">
        <v>46722</v>
      </c>
      <c r="D1069" s="31">
        <f t="shared" si="43"/>
        <v>8</v>
      </c>
      <c r="E1069" s="14"/>
      <c r="F1069" s="5">
        <v>0</v>
      </c>
      <c r="G1069" s="18">
        <f t="shared" si="44"/>
        <v>65.149100000000004</v>
      </c>
      <c r="H1069" s="18">
        <f t="shared" si="45"/>
        <v>19.409836065573771</v>
      </c>
      <c r="I1069" s="32">
        <v>31.542491878540631</v>
      </c>
      <c r="K1069" s="32">
        <v>125.251830789778</v>
      </c>
      <c r="L1069" s="32">
        <f t="shared" si="42"/>
        <v>16.438356164383563</v>
      </c>
      <c r="M1069" s="5">
        <f t="shared" si="46"/>
        <v>67.808673724385073</v>
      </c>
      <c r="N1069" s="5">
        <f t="shared" si="41"/>
        <v>14.098901098901099</v>
      </c>
      <c r="O1069" s="32">
        <v>4.841228147427155</v>
      </c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</row>
    <row r="1070" spans="1:38">
      <c r="A1070" s="5">
        <v>427</v>
      </c>
      <c r="B1070" s="11">
        <v>1066</v>
      </c>
      <c r="C1070" s="12">
        <v>46723</v>
      </c>
      <c r="D1070" s="31">
        <f t="shared" si="43"/>
        <v>4</v>
      </c>
      <c r="E1070" s="14"/>
      <c r="F1070" s="5">
        <v>0</v>
      </c>
      <c r="G1070" s="18">
        <f t="shared" si="44"/>
        <v>65.3018</v>
      </c>
      <c r="H1070" s="18">
        <f t="shared" si="45"/>
        <v>19.409836065573771</v>
      </c>
      <c r="I1070" s="32">
        <v>29.740780349910182</v>
      </c>
      <c r="K1070" s="32">
        <v>21.372030235181079</v>
      </c>
      <c r="L1070" s="32">
        <f t="shared" si="42"/>
        <v>16.438356164383563</v>
      </c>
      <c r="M1070" s="5">
        <f t="shared" si="46"/>
        <v>68.950209994215797</v>
      </c>
      <c r="N1070" s="5">
        <f t="shared" si="41"/>
        <v>14.098901098901099</v>
      </c>
      <c r="O1070" s="32">
        <v>19.224415716757491</v>
      </c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</row>
    <row r="1071" spans="1:38">
      <c r="A1071" s="5">
        <v>428</v>
      </c>
      <c r="B1071" s="11">
        <v>1067</v>
      </c>
      <c r="C1071" s="12">
        <v>46724</v>
      </c>
      <c r="D1071" s="31">
        <f t="shared" si="43"/>
        <v>22</v>
      </c>
      <c r="E1071" s="14"/>
      <c r="F1071" s="5">
        <v>0</v>
      </c>
      <c r="G1071" s="18">
        <f t="shared" si="44"/>
        <v>65.454499999999996</v>
      </c>
      <c r="H1071" s="18">
        <f t="shared" si="45"/>
        <v>19.409836065573771</v>
      </c>
      <c r="I1071" s="32">
        <v>21.412927348402249</v>
      </c>
      <c r="K1071" s="32">
        <v>1.856531650863475</v>
      </c>
      <c r="L1071" s="32">
        <f t="shared" si="42"/>
        <v>16.438356164383563</v>
      </c>
      <c r="M1071" s="5">
        <f t="shared" si="46"/>
        <v>69.164666022614909</v>
      </c>
      <c r="N1071" s="5">
        <f t="shared" si="41"/>
        <v>14.098901098901099</v>
      </c>
      <c r="O1071" s="32">
        <v>21.787613064648621</v>
      </c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</row>
    <row r="1072" spans="1:38">
      <c r="A1072" s="5">
        <v>429</v>
      </c>
      <c r="B1072" s="11">
        <v>1068</v>
      </c>
      <c r="C1072" s="12">
        <v>46725</v>
      </c>
      <c r="D1072" s="31">
        <f t="shared" si="43"/>
        <v>5</v>
      </c>
      <c r="E1072" s="14"/>
      <c r="F1072" s="5">
        <v>0</v>
      </c>
      <c r="G1072" s="18">
        <f t="shared" si="44"/>
        <v>65.607200000000006</v>
      </c>
      <c r="H1072" s="18">
        <f t="shared" si="45"/>
        <v>19.409836065573771</v>
      </c>
      <c r="I1072" s="32">
        <v>22.39199854172314</v>
      </c>
      <c r="K1072" s="32">
        <v>125.251830789778</v>
      </c>
      <c r="L1072" s="32">
        <f t="shared" si="42"/>
        <v>16.438356164383563</v>
      </c>
      <c r="M1072" s="5">
        <f t="shared" si="46"/>
        <v>67.808673724385073</v>
      </c>
      <c r="N1072" s="5">
        <f t="shared" si="41"/>
        <v>14.098901098901099</v>
      </c>
      <c r="O1072" s="32">
        <v>25.27552296750638</v>
      </c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</row>
    <row r="1073" spans="1:38">
      <c r="A1073" s="5">
        <v>430</v>
      </c>
      <c r="B1073" s="11">
        <v>1069</v>
      </c>
      <c r="C1073" s="12">
        <v>46726</v>
      </c>
      <c r="D1073" s="31">
        <f t="shared" si="43"/>
        <v>5</v>
      </c>
      <c r="E1073" s="14"/>
      <c r="F1073" s="5">
        <v>0</v>
      </c>
      <c r="G1073" s="18">
        <f t="shared" si="44"/>
        <v>65.759900000000002</v>
      </c>
      <c r="H1073" s="18">
        <f t="shared" si="45"/>
        <v>19.409836065573771</v>
      </c>
      <c r="I1073" s="32">
        <v>18.2317156886599</v>
      </c>
      <c r="K1073" s="32">
        <v>125.251830789778</v>
      </c>
      <c r="L1073" s="32">
        <f t="shared" si="42"/>
        <v>16.438356164383563</v>
      </c>
      <c r="M1073" s="5">
        <f t="shared" si="46"/>
        <v>67.808673724385073</v>
      </c>
      <c r="N1073" s="5">
        <f t="shared" si="41"/>
        <v>14.098901098901099</v>
      </c>
      <c r="O1073" s="32">
        <v>14.239782585025869</v>
      </c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</row>
    <row r="1074" spans="1:38">
      <c r="A1074" s="5">
        <v>431</v>
      </c>
      <c r="B1074" s="11">
        <v>1070</v>
      </c>
      <c r="C1074" s="12">
        <v>46727</v>
      </c>
      <c r="D1074" s="31">
        <f t="shared" si="43"/>
        <v>10</v>
      </c>
      <c r="E1074" s="14"/>
      <c r="F1074" s="5">
        <v>0</v>
      </c>
      <c r="G1074" s="18">
        <f t="shared" si="44"/>
        <v>65.912599999999998</v>
      </c>
      <c r="H1074" s="18">
        <f t="shared" si="45"/>
        <v>19.409836065573771</v>
      </c>
      <c r="I1074" s="32">
        <v>16.186867411908651</v>
      </c>
      <c r="K1074" s="32">
        <v>21.372030235181079</v>
      </c>
      <c r="L1074" s="32">
        <f t="shared" si="42"/>
        <v>16.438356164383563</v>
      </c>
      <c r="M1074" s="5">
        <f t="shared" si="46"/>
        <v>68.950209994215797</v>
      </c>
      <c r="N1074" s="5">
        <f t="shared" si="41"/>
        <v>14.098901098901099</v>
      </c>
      <c r="O1074" s="32">
        <v>19.673378863084061</v>
      </c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</row>
    <row r="1075" spans="1:38">
      <c r="A1075" s="5">
        <v>432</v>
      </c>
      <c r="B1075" s="11">
        <v>1071</v>
      </c>
      <c r="C1075" s="12">
        <v>46728</v>
      </c>
      <c r="D1075" s="31">
        <f t="shared" si="43"/>
        <v>10</v>
      </c>
      <c r="E1075" s="14"/>
      <c r="F1075" s="5">
        <v>0</v>
      </c>
      <c r="G1075" s="18">
        <f t="shared" si="44"/>
        <v>66.065300000000008</v>
      </c>
      <c r="H1075" s="18">
        <f t="shared" si="45"/>
        <v>19.409836065573771</v>
      </c>
      <c r="I1075" s="32">
        <v>28.71339691539486</v>
      </c>
      <c r="K1075" s="32">
        <v>1.856531650863475</v>
      </c>
      <c r="L1075" s="32">
        <f t="shared" si="42"/>
        <v>16.438356164383563</v>
      </c>
      <c r="M1075" s="5">
        <f t="shared" si="46"/>
        <v>69.164666022614909</v>
      </c>
      <c r="N1075" s="5">
        <f t="shared" si="41"/>
        <v>14.098901098901099</v>
      </c>
      <c r="O1075" s="32">
        <v>15.54287421108808</v>
      </c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</row>
    <row r="1076" spans="1:38">
      <c r="A1076" s="5">
        <v>433</v>
      </c>
      <c r="B1076" s="11">
        <v>1072</v>
      </c>
      <c r="C1076" s="12">
        <v>46729</v>
      </c>
      <c r="D1076" s="31">
        <f t="shared" si="43"/>
        <v>8</v>
      </c>
      <c r="E1076" s="14"/>
      <c r="F1076" s="5">
        <v>0</v>
      </c>
      <c r="G1076" s="18">
        <f t="shared" si="44"/>
        <v>66.218000000000004</v>
      </c>
      <c r="H1076" s="18">
        <f t="shared" si="45"/>
        <v>19.409836065573771</v>
      </c>
      <c r="I1076" s="32">
        <v>29.753869030373028</v>
      </c>
      <c r="K1076" s="32">
        <v>125.251830789778</v>
      </c>
      <c r="L1076" s="32">
        <f t="shared" si="42"/>
        <v>16.438356164383563</v>
      </c>
      <c r="M1076" s="5">
        <f t="shared" si="46"/>
        <v>67.808673724385073</v>
      </c>
      <c r="N1076" s="5">
        <f t="shared" si="41"/>
        <v>14.098901098901099</v>
      </c>
      <c r="O1076" s="32">
        <v>19.19907810041617</v>
      </c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</row>
    <row r="1077" spans="1:38">
      <c r="A1077" s="5">
        <v>434</v>
      </c>
      <c r="B1077" s="11">
        <v>1073</v>
      </c>
      <c r="C1077" s="12">
        <v>46730</v>
      </c>
      <c r="D1077" s="31">
        <f t="shared" si="43"/>
        <v>14</v>
      </c>
      <c r="E1077" s="14"/>
      <c r="F1077" s="5">
        <v>0</v>
      </c>
      <c r="G1077" s="18">
        <f t="shared" si="44"/>
        <v>66.370699999999999</v>
      </c>
      <c r="H1077" s="18">
        <f t="shared" si="45"/>
        <v>19.409836065573771</v>
      </c>
      <c r="I1077" s="32">
        <v>33.309041830717433</v>
      </c>
      <c r="K1077" s="32">
        <v>125.251830789778</v>
      </c>
      <c r="L1077" s="32">
        <f t="shared" si="42"/>
        <v>16.438356164383563</v>
      </c>
      <c r="M1077" s="5">
        <f t="shared" si="46"/>
        <v>67.808673724385073</v>
      </c>
      <c r="N1077" s="5">
        <f t="shared" si="41"/>
        <v>14.098901098901099</v>
      </c>
      <c r="O1077" s="32">
        <v>25.120393899514639</v>
      </c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</row>
    <row r="1078" spans="1:38">
      <c r="A1078" s="5">
        <v>435</v>
      </c>
      <c r="B1078" s="11">
        <v>1074</v>
      </c>
      <c r="C1078" s="12">
        <v>46731</v>
      </c>
      <c r="D1078" s="31">
        <f t="shared" si="43"/>
        <v>16</v>
      </c>
      <c r="E1078" s="14"/>
      <c r="F1078" s="5">
        <v>0</v>
      </c>
      <c r="G1078" s="18">
        <f t="shared" si="44"/>
        <v>66.523399999999995</v>
      </c>
      <c r="H1078" s="18">
        <f t="shared" si="45"/>
        <v>19.409836065573771</v>
      </c>
      <c r="I1078" s="32">
        <v>38.138238711770889</v>
      </c>
      <c r="K1078" s="32">
        <v>21.372030235181079</v>
      </c>
      <c r="L1078" s="32">
        <f t="shared" si="42"/>
        <v>16.438356164383563</v>
      </c>
      <c r="M1078" s="5">
        <f t="shared" si="46"/>
        <v>68.950209994215797</v>
      </c>
      <c r="N1078" s="5">
        <f t="shared" si="41"/>
        <v>14.098901098901099</v>
      </c>
      <c r="O1078" s="32">
        <v>27.8746035916861</v>
      </c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</row>
    <row r="1079" spans="1:38">
      <c r="A1079" s="5">
        <v>436</v>
      </c>
      <c r="B1079" s="11">
        <v>1075</v>
      </c>
      <c r="C1079" s="12">
        <v>46732</v>
      </c>
      <c r="D1079" s="31">
        <f t="shared" si="43"/>
        <v>4</v>
      </c>
      <c r="E1079" s="14"/>
      <c r="F1079" s="5">
        <v>0</v>
      </c>
      <c r="G1079" s="18">
        <f t="shared" si="44"/>
        <v>66.676100000000005</v>
      </c>
      <c r="H1079" s="18">
        <f t="shared" si="45"/>
        <v>19.409836065573771</v>
      </c>
      <c r="I1079" s="32">
        <v>37.376362819020578</v>
      </c>
      <c r="K1079" s="32">
        <v>1.856531650863475</v>
      </c>
      <c r="L1079" s="32">
        <f t="shared" si="42"/>
        <v>16.438356164383563</v>
      </c>
      <c r="M1079" s="5">
        <f t="shared" si="46"/>
        <v>69.164666022614909</v>
      </c>
      <c r="N1079" s="5">
        <f t="shared" si="41"/>
        <v>14.098901098901099</v>
      </c>
      <c r="O1079" s="32">
        <v>14.16113721090956</v>
      </c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</row>
    <row r="1080" spans="1:38">
      <c r="A1080" s="5">
        <v>437</v>
      </c>
      <c r="B1080" s="11">
        <v>1076</v>
      </c>
      <c r="C1080" s="12">
        <v>46733</v>
      </c>
      <c r="D1080" s="31">
        <f t="shared" si="43"/>
        <v>4</v>
      </c>
      <c r="E1080" s="14"/>
      <c r="F1080" s="5">
        <v>0</v>
      </c>
      <c r="G1080" s="18">
        <f t="shared" si="44"/>
        <v>66.828800000000001</v>
      </c>
      <c r="H1080" s="18">
        <f t="shared" si="45"/>
        <v>19.409836065573771</v>
      </c>
      <c r="I1080" s="32">
        <v>37.337844408782338</v>
      </c>
      <c r="K1080" s="32">
        <v>125.251830789778</v>
      </c>
      <c r="L1080" s="32">
        <f t="shared" si="42"/>
        <v>16.438356164383563</v>
      </c>
      <c r="M1080" s="5">
        <f t="shared" si="46"/>
        <v>67.808673724385073</v>
      </c>
      <c r="N1080" s="5">
        <f t="shared" si="41"/>
        <v>14.098901098901099</v>
      </c>
      <c r="O1080" s="32">
        <v>20.875603491448281</v>
      </c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</row>
    <row r="1081" spans="1:38">
      <c r="A1081" s="5">
        <v>438</v>
      </c>
      <c r="B1081" s="11">
        <v>1077</v>
      </c>
      <c r="C1081" s="12">
        <v>46734</v>
      </c>
      <c r="D1081" s="31">
        <f t="shared" si="43"/>
        <v>4</v>
      </c>
      <c r="E1081" s="14"/>
      <c r="F1081" s="5">
        <v>0</v>
      </c>
      <c r="G1081" s="18">
        <f t="shared" si="44"/>
        <v>66.981499999999997</v>
      </c>
      <c r="H1081" s="18">
        <f t="shared" si="45"/>
        <v>19.409836065573771</v>
      </c>
      <c r="I1081" s="32">
        <v>15.772284625595219</v>
      </c>
      <c r="K1081" s="32">
        <v>125.251830789778</v>
      </c>
      <c r="L1081" s="32">
        <f t="shared" si="42"/>
        <v>16.438356164383563</v>
      </c>
      <c r="M1081" s="5">
        <f t="shared" si="46"/>
        <v>67.808673724385073</v>
      </c>
      <c r="N1081" s="5">
        <f t="shared" si="41"/>
        <v>14.098901098901099</v>
      </c>
      <c r="O1081" s="32">
        <v>11.860783375628721</v>
      </c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</row>
    <row r="1082" spans="1:38">
      <c r="A1082" s="5">
        <v>439</v>
      </c>
      <c r="B1082" s="11">
        <v>1078</v>
      </c>
      <c r="C1082" s="12">
        <v>46735</v>
      </c>
      <c r="D1082" s="31">
        <f t="shared" si="43"/>
        <v>3</v>
      </c>
      <c r="E1082" s="14"/>
      <c r="F1082" s="5">
        <v>0</v>
      </c>
      <c r="G1082" s="18">
        <f t="shared" si="44"/>
        <v>67.134200000000007</v>
      </c>
      <c r="H1082" s="18">
        <f t="shared" si="45"/>
        <v>19.409836065573771</v>
      </c>
      <c r="I1082" s="32">
        <v>21.52138760362708</v>
      </c>
      <c r="K1082" s="32">
        <v>21.372030235181079</v>
      </c>
      <c r="L1082" s="32">
        <f t="shared" si="42"/>
        <v>16.438356164383563</v>
      </c>
      <c r="M1082" s="5">
        <f t="shared" si="46"/>
        <v>68.950209994215797</v>
      </c>
      <c r="N1082" s="5">
        <f t="shared" si="41"/>
        <v>14.098901098901099</v>
      </c>
      <c r="O1082" s="32">
        <v>16.485540097186671</v>
      </c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</row>
    <row r="1083" spans="1:38">
      <c r="A1083" s="5">
        <v>440</v>
      </c>
      <c r="B1083" s="11">
        <v>1079</v>
      </c>
      <c r="C1083" s="12">
        <v>46736</v>
      </c>
      <c r="D1083" s="31">
        <f t="shared" si="43"/>
        <v>4</v>
      </c>
      <c r="E1083" s="14"/>
      <c r="F1083" s="5">
        <v>0</v>
      </c>
      <c r="G1083" s="18">
        <f t="shared" si="44"/>
        <v>67.286900000000003</v>
      </c>
      <c r="H1083" s="18">
        <f t="shared" si="45"/>
        <v>19.409836065573771</v>
      </c>
      <c r="I1083" s="32">
        <v>9.3564400794553091</v>
      </c>
      <c r="K1083" s="32">
        <v>1.856531650863475</v>
      </c>
      <c r="L1083" s="32">
        <f t="shared" si="42"/>
        <v>16.438356164383563</v>
      </c>
      <c r="M1083" s="5">
        <f t="shared" si="46"/>
        <v>69.164666022614909</v>
      </c>
      <c r="N1083" s="5">
        <f t="shared" si="41"/>
        <v>14.098901098901099</v>
      </c>
      <c r="O1083" s="32">
        <v>27.704540795491049</v>
      </c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</row>
    <row r="1084" spans="1:38">
      <c r="A1084" s="5">
        <v>441</v>
      </c>
      <c r="B1084" s="11">
        <v>1080</v>
      </c>
      <c r="C1084" s="12">
        <v>46737</v>
      </c>
      <c r="D1084" s="31">
        <f t="shared" si="43"/>
        <v>1</v>
      </c>
      <c r="E1084" s="14"/>
      <c r="F1084" s="5">
        <v>0</v>
      </c>
      <c r="G1084" s="18">
        <f t="shared" si="44"/>
        <v>67.439599999999999</v>
      </c>
      <c r="H1084" s="18">
        <f t="shared" si="45"/>
        <v>19.409836065573771</v>
      </c>
      <c r="I1084" s="32">
        <v>8.5902802260827116</v>
      </c>
      <c r="K1084" s="32">
        <v>125.251830789778</v>
      </c>
      <c r="L1084" s="32">
        <f t="shared" si="42"/>
        <v>16.438356164383563</v>
      </c>
      <c r="M1084" s="5">
        <f t="shared" si="46"/>
        <v>67.808673724385073</v>
      </c>
      <c r="N1084" s="5">
        <f t="shared" si="41"/>
        <v>14.098901098901099</v>
      </c>
      <c r="O1084" s="32">
        <v>37.843377278963303</v>
      </c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</row>
    <row r="1085" spans="1:38">
      <c r="A1085" s="5">
        <v>442</v>
      </c>
      <c r="B1085" s="11">
        <v>1081</v>
      </c>
      <c r="C1085" s="12">
        <v>46738</v>
      </c>
      <c r="D1085" s="31">
        <f t="shared" si="43"/>
        <v>12</v>
      </c>
      <c r="E1085" s="14"/>
      <c r="F1085" s="5">
        <v>0</v>
      </c>
      <c r="G1085" s="18">
        <f t="shared" si="44"/>
        <v>67.592299999999994</v>
      </c>
      <c r="H1085" s="18">
        <f t="shared" si="45"/>
        <v>19.409836065573771</v>
      </c>
      <c r="I1085" s="32">
        <v>22.490158702045179</v>
      </c>
      <c r="K1085" s="32">
        <v>125.251830789778</v>
      </c>
      <c r="L1085" s="32">
        <f t="shared" si="42"/>
        <v>16.438356164383563</v>
      </c>
      <c r="M1085" s="5">
        <f t="shared" si="46"/>
        <v>67.808673724385073</v>
      </c>
      <c r="N1085" s="5">
        <f t="shared" si="41"/>
        <v>14.098901098901099</v>
      </c>
      <c r="O1085" s="32">
        <v>17.576205366881059</v>
      </c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</row>
    <row r="1086" spans="1:38">
      <c r="A1086" s="5">
        <v>443</v>
      </c>
      <c r="B1086" s="11">
        <v>1082</v>
      </c>
      <c r="C1086" s="12">
        <v>46739</v>
      </c>
      <c r="D1086" s="31">
        <f t="shared" si="43"/>
        <v>-2</v>
      </c>
      <c r="E1086" s="14"/>
      <c r="F1086" s="5">
        <v>0</v>
      </c>
      <c r="G1086" s="18">
        <f t="shared" si="44"/>
        <v>67.745000000000005</v>
      </c>
      <c r="H1086" s="18">
        <f t="shared" si="45"/>
        <v>19.409836065573771</v>
      </c>
      <c r="I1086" s="32">
        <v>20.794974644481659</v>
      </c>
      <c r="K1086" s="32">
        <v>21.372030235181079</v>
      </c>
      <c r="L1086" s="32">
        <f t="shared" si="42"/>
        <v>16.438356164383563</v>
      </c>
      <c r="M1086" s="5">
        <f t="shared" si="46"/>
        <v>68.950209994215797</v>
      </c>
      <c r="N1086" s="5">
        <f t="shared" si="41"/>
        <v>14.098901098901099</v>
      </c>
      <c r="O1086" s="32">
        <v>22.392140536041541</v>
      </c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</row>
    <row r="1087" spans="1:38">
      <c r="A1087" s="5">
        <v>444</v>
      </c>
      <c r="B1087" s="11">
        <v>1083</v>
      </c>
      <c r="C1087" s="12">
        <v>46740</v>
      </c>
      <c r="D1087" s="31">
        <f t="shared" si="43"/>
        <v>11</v>
      </c>
      <c r="E1087" s="14"/>
      <c r="F1087" s="5">
        <v>0</v>
      </c>
      <c r="G1087" s="18">
        <f t="shared" si="44"/>
        <v>67.8977</v>
      </c>
      <c r="H1087" s="18">
        <f t="shared" si="45"/>
        <v>19.409836065573771</v>
      </c>
      <c r="I1087" s="32">
        <v>21.901550328203381</v>
      </c>
      <c r="K1087" s="32">
        <v>1.856531650863475</v>
      </c>
      <c r="L1087" s="32">
        <f t="shared" si="42"/>
        <v>16.438356164383563</v>
      </c>
      <c r="M1087" s="5">
        <f t="shared" si="46"/>
        <v>69.164666022614909</v>
      </c>
      <c r="N1087" s="5">
        <f t="shared" si="41"/>
        <v>14.098901098901099</v>
      </c>
      <c r="O1087" s="32">
        <v>14.646063712182951</v>
      </c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</row>
    <row r="1088" spans="1:38">
      <c r="A1088" s="5">
        <v>445</v>
      </c>
      <c r="B1088" s="11">
        <v>1084</v>
      </c>
      <c r="C1088" s="12">
        <v>46741</v>
      </c>
      <c r="D1088" s="31">
        <f t="shared" si="43"/>
        <v>6</v>
      </c>
      <c r="E1088" s="14"/>
      <c r="F1088" s="5">
        <v>0</v>
      </c>
      <c r="G1088" s="18">
        <f t="shared" si="44"/>
        <v>68.050399999999996</v>
      </c>
      <c r="H1088" s="18">
        <f t="shared" si="45"/>
        <v>19.409836065573771</v>
      </c>
      <c r="I1088" s="32">
        <v>19.64378424658446</v>
      </c>
      <c r="K1088" s="32">
        <v>125.251830789778</v>
      </c>
      <c r="L1088" s="32">
        <f t="shared" si="42"/>
        <v>16.438356164383563</v>
      </c>
      <c r="M1088" s="5">
        <f t="shared" si="46"/>
        <v>67.808673724385073</v>
      </c>
      <c r="N1088" s="5">
        <f t="shared" si="41"/>
        <v>14.098901098901099</v>
      </c>
      <c r="O1088" s="32">
        <v>5.2718783795223452</v>
      </c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</row>
    <row r="1089" spans="1:38">
      <c r="A1089" s="5">
        <v>446</v>
      </c>
      <c r="B1089" s="11">
        <v>1085</v>
      </c>
      <c r="C1089" s="12">
        <v>46742</v>
      </c>
      <c r="D1089" s="31">
        <f t="shared" si="43"/>
        <v>13</v>
      </c>
      <c r="E1089" s="14"/>
      <c r="F1089" s="5">
        <v>0</v>
      </c>
      <c r="G1089" s="18">
        <f t="shared" si="44"/>
        <v>68.203100000000006</v>
      </c>
      <c r="H1089" s="18">
        <f t="shared" si="45"/>
        <v>19.409836065573771</v>
      </c>
      <c r="I1089" s="32">
        <v>14.31005301473267</v>
      </c>
      <c r="K1089" s="32">
        <v>125.251830789778</v>
      </c>
      <c r="L1089" s="32">
        <f t="shared" si="42"/>
        <v>16.438356164383563</v>
      </c>
      <c r="M1089" s="5">
        <f t="shared" si="46"/>
        <v>67.808673724385073</v>
      </c>
      <c r="N1089" s="5">
        <f t="shared" si="41"/>
        <v>14.098901098901099</v>
      </c>
      <c r="O1089" s="32">
        <v>33.501607438634679</v>
      </c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</row>
    <row r="1090" spans="1:38">
      <c r="A1090" s="5">
        <v>447</v>
      </c>
      <c r="B1090" s="11">
        <v>1086</v>
      </c>
      <c r="C1090" s="12">
        <v>46743</v>
      </c>
      <c r="D1090" s="31">
        <f t="shared" si="43"/>
        <v>-1</v>
      </c>
      <c r="E1090" s="14"/>
      <c r="F1090" s="5">
        <v>0</v>
      </c>
      <c r="G1090" s="18">
        <f t="shared" si="44"/>
        <v>68.355800000000002</v>
      </c>
      <c r="H1090" s="18">
        <f t="shared" si="45"/>
        <v>19.409836065573771</v>
      </c>
      <c r="I1090" s="32">
        <v>8.0661473426409742</v>
      </c>
      <c r="K1090" s="32">
        <v>21.372030235181079</v>
      </c>
      <c r="L1090" s="32">
        <f t="shared" si="42"/>
        <v>16.438356164383563</v>
      </c>
      <c r="M1090" s="5">
        <f t="shared" si="46"/>
        <v>68.950209994215797</v>
      </c>
      <c r="N1090" s="5">
        <f t="shared" si="41"/>
        <v>14.098901098901099</v>
      </c>
      <c r="O1090" s="32">
        <v>15.16635862450264</v>
      </c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</row>
    <row r="1091" spans="1:38">
      <c r="A1091" s="5">
        <v>448</v>
      </c>
      <c r="B1091" s="11">
        <v>1087</v>
      </c>
      <c r="C1091" s="12">
        <v>46744</v>
      </c>
      <c r="D1091" s="31">
        <f t="shared" si="43"/>
        <v>7</v>
      </c>
      <c r="E1091" s="14"/>
      <c r="F1091" s="5">
        <v>0</v>
      </c>
      <c r="G1091" s="18">
        <f t="shared" si="44"/>
        <v>68.508499999999998</v>
      </c>
      <c r="H1091" s="18">
        <f t="shared" si="45"/>
        <v>19.409836065573771</v>
      </c>
      <c r="I1091" s="32">
        <v>24.710116848878091</v>
      </c>
      <c r="K1091" s="32">
        <v>1.856531650863475</v>
      </c>
      <c r="L1091" s="32">
        <f t="shared" si="42"/>
        <v>16.438356164383563</v>
      </c>
      <c r="M1091" s="5">
        <f t="shared" si="46"/>
        <v>69.164666022614909</v>
      </c>
      <c r="N1091" s="5">
        <f t="shared" si="41"/>
        <v>14.098901098901099</v>
      </c>
      <c r="O1091" s="32">
        <v>31.433048157218241</v>
      </c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</row>
    <row r="1092" spans="1:38">
      <c r="A1092" s="5">
        <v>449</v>
      </c>
      <c r="B1092" s="11">
        <v>1088</v>
      </c>
      <c r="C1092" s="12">
        <v>46745</v>
      </c>
      <c r="D1092" s="31">
        <f t="shared" si="43"/>
        <v>-3</v>
      </c>
      <c r="E1092" s="14"/>
      <c r="F1092" s="5">
        <v>0</v>
      </c>
      <c r="G1092" s="18">
        <f t="shared" si="44"/>
        <v>68.661200000000008</v>
      </c>
      <c r="H1092" s="18">
        <f t="shared" si="45"/>
        <v>19.409836065573771</v>
      </c>
      <c r="I1092" s="32">
        <v>25.635923884467442</v>
      </c>
      <c r="K1092" s="32">
        <v>125.251830789778</v>
      </c>
      <c r="L1092" s="32">
        <f t="shared" si="42"/>
        <v>16.438356164383563</v>
      </c>
      <c r="M1092" s="5">
        <f t="shared" si="46"/>
        <v>67.808673724385073</v>
      </c>
      <c r="N1092" s="5">
        <f t="shared" si="41"/>
        <v>14.098901098901099</v>
      </c>
      <c r="O1092" s="32">
        <v>13.967914227652381</v>
      </c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</row>
    <row r="1093" spans="1:38">
      <c r="A1093" s="5">
        <v>450</v>
      </c>
      <c r="B1093" s="11">
        <v>1089</v>
      </c>
      <c r="C1093" s="12">
        <v>46746</v>
      </c>
      <c r="D1093" s="31">
        <f t="shared" si="43"/>
        <v>30</v>
      </c>
      <c r="E1093" s="14"/>
      <c r="F1093" s="5">
        <v>0</v>
      </c>
      <c r="G1093" s="18">
        <f t="shared" si="44"/>
        <v>68.813900000000004</v>
      </c>
      <c r="H1093" s="18">
        <f t="shared" si="45"/>
        <v>19.409836065573771</v>
      </c>
      <c r="I1093" s="32">
        <v>15.46490701363386</v>
      </c>
      <c r="K1093" s="32">
        <v>125.251830789778</v>
      </c>
      <c r="L1093" s="32">
        <f t="shared" si="42"/>
        <v>16.438356164383563</v>
      </c>
      <c r="M1093" s="5">
        <f t="shared" si="46"/>
        <v>67.808673724385073</v>
      </c>
      <c r="N1093" s="5">
        <f t="shared" ref="N1093:N1156" si="47">AVERAGE($O$644:$O$734)</f>
        <v>14.098901098901099</v>
      </c>
      <c r="O1093" s="32">
        <v>18.798199341328122</v>
      </c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</row>
    <row r="1094" spans="1:38">
      <c r="A1094" s="5">
        <v>451</v>
      </c>
      <c r="B1094" s="11">
        <v>1090</v>
      </c>
      <c r="C1094" s="12">
        <v>46747</v>
      </c>
      <c r="D1094" s="31">
        <f t="shared" si="43"/>
        <v>-1</v>
      </c>
      <c r="E1094" s="14"/>
      <c r="F1094" s="5">
        <v>0</v>
      </c>
      <c r="G1094" s="18">
        <f t="shared" si="44"/>
        <v>68.9666</v>
      </c>
      <c r="H1094" s="18">
        <f t="shared" si="45"/>
        <v>19.409836065573771</v>
      </c>
      <c r="I1094" s="32">
        <v>26.09154246733808</v>
      </c>
      <c r="K1094" s="32">
        <v>21.372030235181079</v>
      </c>
      <c r="L1094" s="32">
        <f t="shared" si="42"/>
        <v>16.438356164383563</v>
      </c>
      <c r="M1094" s="5">
        <f t="shared" si="46"/>
        <v>68.950209994215797</v>
      </c>
      <c r="N1094" s="5">
        <f t="shared" si="47"/>
        <v>14.098901098901099</v>
      </c>
      <c r="O1094" s="32">
        <v>9.5701650166731369</v>
      </c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</row>
    <row r="1095" spans="1:38">
      <c r="A1095" s="5">
        <v>452</v>
      </c>
      <c r="B1095" s="11">
        <v>1091</v>
      </c>
      <c r="C1095" s="12">
        <v>46748</v>
      </c>
      <c r="D1095" s="31">
        <f t="shared" si="43"/>
        <v>7</v>
      </c>
      <c r="E1095" s="14"/>
      <c r="F1095" s="5">
        <v>0</v>
      </c>
      <c r="G1095" s="18">
        <f t="shared" si="44"/>
        <v>69.119299999999996</v>
      </c>
      <c r="H1095" s="18">
        <f t="shared" si="45"/>
        <v>19.409836065573771</v>
      </c>
      <c r="I1095" s="32">
        <v>23.523960165558449</v>
      </c>
      <c r="K1095" s="32">
        <v>1.856531650863475</v>
      </c>
      <c r="L1095" s="32">
        <f t="shared" si="42"/>
        <v>16.438356164383563</v>
      </c>
      <c r="M1095" s="5">
        <f t="shared" si="46"/>
        <v>69.164666022614909</v>
      </c>
      <c r="N1095" s="5">
        <f t="shared" si="47"/>
        <v>14.098901098901099</v>
      </c>
      <c r="O1095" s="32">
        <v>13.544793016613751</v>
      </c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</row>
    <row r="1096" spans="1:38">
      <c r="A1096" s="5">
        <v>453</v>
      </c>
      <c r="B1096" s="11">
        <v>1092</v>
      </c>
      <c r="C1096" s="12">
        <v>46749</v>
      </c>
      <c r="D1096" s="31">
        <f t="shared" si="43"/>
        <v>-1</v>
      </c>
      <c r="E1096" s="14"/>
      <c r="F1096" s="5">
        <v>0</v>
      </c>
      <c r="G1096" s="18">
        <f t="shared" si="44"/>
        <v>69.272000000000006</v>
      </c>
      <c r="H1096" s="18">
        <f t="shared" si="45"/>
        <v>19.409836065573771</v>
      </c>
      <c r="I1096" s="32">
        <v>17.576882497370072</v>
      </c>
      <c r="K1096" s="32">
        <v>125.251830789778</v>
      </c>
      <c r="L1096" s="32">
        <f t="shared" si="42"/>
        <v>16.438356164383563</v>
      </c>
      <c r="M1096" s="5">
        <f t="shared" si="46"/>
        <v>67.808673724385073</v>
      </c>
      <c r="N1096" s="5">
        <f t="shared" si="47"/>
        <v>14.098901098901099</v>
      </c>
      <c r="O1096" s="32">
        <v>12.946985232529711</v>
      </c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</row>
    <row r="1097" spans="1:38">
      <c r="A1097" s="5">
        <v>454</v>
      </c>
      <c r="B1097" s="11">
        <v>1093</v>
      </c>
      <c r="C1097" s="12">
        <v>46750</v>
      </c>
      <c r="D1097" s="31">
        <f t="shared" si="43"/>
        <v>7</v>
      </c>
      <c r="E1097" s="14"/>
      <c r="F1097" s="5">
        <v>0</v>
      </c>
      <c r="G1097" s="18">
        <f t="shared" si="44"/>
        <v>69.424700000000001</v>
      </c>
      <c r="H1097" s="18">
        <f t="shared" si="45"/>
        <v>19.409836065573771</v>
      </c>
      <c r="I1097" s="32">
        <v>7.0133272386071912</v>
      </c>
      <c r="K1097" s="32">
        <v>125.251830789778</v>
      </c>
      <c r="L1097" s="32">
        <f t="shared" si="42"/>
        <v>16.438356164383563</v>
      </c>
      <c r="M1097" s="5">
        <f t="shared" si="46"/>
        <v>67.808673724385073</v>
      </c>
      <c r="N1097" s="5">
        <f t="shared" si="47"/>
        <v>14.098901098901099</v>
      </c>
      <c r="O1097" s="32">
        <v>19.6608959298309</v>
      </c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</row>
    <row r="1098" spans="1:38">
      <c r="A1098" s="5">
        <v>455</v>
      </c>
      <c r="B1098" s="11">
        <v>1094</v>
      </c>
      <c r="C1098" s="12">
        <v>46751</v>
      </c>
      <c r="D1098" s="31">
        <f t="shared" si="43"/>
        <v>4</v>
      </c>
      <c r="E1098" s="14"/>
      <c r="F1098" s="5">
        <v>0</v>
      </c>
      <c r="G1098" s="18">
        <f t="shared" si="44"/>
        <v>69.577399999999997</v>
      </c>
      <c r="H1098" s="18">
        <f t="shared" si="45"/>
        <v>19.409836065573771</v>
      </c>
      <c r="I1098" s="32">
        <v>23.18673761129444</v>
      </c>
      <c r="K1098" s="32">
        <v>21.372030235181079</v>
      </c>
      <c r="L1098" s="32">
        <f t="shared" si="42"/>
        <v>16.438356164383563</v>
      </c>
      <c r="M1098" s="5">
        <f t="shared" si="46"/>
        <v>68.950209994215797</v>
      </c>
      <c r="N1098" s="5">
        <f t="shared" si="47"/>
        <v>14.098901098901099</v>
      </c>
      <c r="O1098" s="32">
        <v>16.428350510963099</v>
      </c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</row>
    <row r="1099" spans="1:38">
      <c r="A1099" s="5">
        <v>456</v>
      </c>
      <c r="B1099" s="11">
        <v>1095</v>
      </c>
      <c r="C1099" s="12">
        <v>46752</v>
      </c>
      <c r="D1099" s="31">
        <f t="shared" si="43"/>
        <v>10</v>
      </c>
      <c r="E1099" s="14"/>
      <c r="F1099" s="5">
        <v>0</v>
      </c>
      <c r="G1099" s="18">
        <f t="shared" si="44"/>
        <v>69.730100000000007</v>
      </c>
      <c r="H1099" s="18">
        <f t="shared" si="45"/>
        <v>19.409836065573771</v>
      </c>
      <c r="I1099" s="32">
        <v>25.79363917869874</v>
      </c>
      <c r="K1099" s="32">
        <v>1.856531650863475</v>
      </c>
      <c r="L1099" s="32">
        <f t="shared" si="42"/>
        <v>16.438356164383563</v>
      </c>
      <c r="M1099" s="5">
        <f t="shared" si="46"/>
        <v>69.164666022614909</v>
      </c>
      <c r="N1099" s="5">
        <f t="shared" si="47"/>
        <v>14.098901098901099</v>
      </c>
      <c r="O1099" s="32">
        <v>24.831759939468309</v>
      </c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</row>
    <row r="1100" spans="1:38">
      <c r="A1100" s="5">
        <v>457</v>
      </c>
      <c r="B1100" s="11">
        <v>1096</v>
      </c>
      <c r="C1100" s="12">
        <v>46753</v>
      </c>
      <c r="D1100" s="31">
        <f t="shared" si="43"/>
        <v>1</v>
      </c>
      <c r="E1100" s="14"/>
      <c r="F1100" s="5">
        <v>0</v>
      </c>
      <c r="G1100" s="18">
        <f t="shared" si="44"/>
        <v>69.882800000000003</v>
      </c>
      <c r="H1100" s="18">
        <f t="shared" si="45"/>
        <v>19.409836065573771</v>
      </c>
      <c r="I1100" s="32">
        <v>21.724791556494569</v>
      </c>
      <c r="K1100" s="32">
        <v>125.251830789778</v>
      </c>
      <c r="L1100" s="32">
        <f t="shared" si="42"/>
        <v>16.438356164383563</v>
      </c>
      <c r="M1100" s="5">
        <f t="shared" si="46"/>
        <v>67.808673724385073</v>
      </c>
      <c r="N1100" s="5">
        <f t="shared" si="47"/>
        <v>14.098901098901099</v>
      </c>
      <c r="O1100" s="32">
        <v>16.682081697818731</v>
      </c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</row>
    <row r="1101" spans="1:38">
      <c r="A1101" s="5">
        <v>458</v>
      </c>
      <c r="B1101" s="11">
        <v>1097</v>
      </c>
      <c r="C1101" s="12">
        <v>46754</v>
      </c>
      <c r="D1101" s="31">
        <f t="shared" si="43"/>
        <v>-1</v>
      </c>
      <c r="E1101" s="14"/>
      <c r="F1101" s="5">
        <v>0</v>
      </c>
      <c r="G1101" s="18">
        <f t="shared" si="44"/>
        <v>70.035499999999999</v>
      </c>
      <c r="H1101" s="18">
        <f t="shared" si="45"/>
        <v>19.409836065573771</v>
      </c>
      <c r="I1101" s="32">
        <v>29.56511952372103</v>
      </c>
      <c r="K1101" s="32">
        <v>125.251830789778</v>
      </c>
      <c r="L1101" s="32">
        <f t="shared" si="42"/>
        <v>16.438356164383563</v>
      </c>
      <c r="M1101" s="5">
        <f t="shared" si="46"/>
        <v>67.808673724385073</v>
      </c>
      <c r="N1101" s="5">
        <f t="shared" si="47"/>
        <v>14.098901098901099</v>
      </c>
      <c r="O1101" s="32">
        <v>12.04952608330909</v>
      </c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</row>
    <row r="1102" spans="1:38">
      <c r="A1102" s="5">
        <v>459</v>
      </c>
      <c r="B1102" s="11">
        <v>1098</v>
      </c>
      <c r="C1102" s="12">
        <v>46755</v>
      </c>
      <c r="D1102" s="31">
        <f t="shared" si="43"/>
        <v>3</v>
      </c>
      <c r="E1102" s="14"/>
      <c r="F1102" s="5">
        <v>0</v>
      </c>
      <c r="G1102" s="18">
        <f t="shared" si="44"/>
        <v>70.188199999999995</v>
      </c>
      <c r="H1102" s="18">
        <f t="shared" si="45"/>
        <v>19.409836065573771</v>
      </c>
      <c r="I1102" s="32">
        <v>29.746640304744108</v>
      </c>
      <c r="K1102" s="32">
        <v>21.372030235181079</v>
      </c>
      <c r="L1102" s="32">
        <f t="shared" si="42"/>
        <v>16.438356164383563</v>
      </c>
      <c r="M1102" s="5">
        <f t="shared" si="46"/>
        <v>68.950209994215797</v>
      </c>
      <c r="N1102" s="5">
        <f t="shared" si="47"/>
        <v>14.098901098901099</v>
      </c>
      <c r="O1102" s="32">
        <v>15.509439764756349</v>
      </c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</row>
    <row r="1103" spans="1:38">
      <c r="A1103" s="5">
        <v>460</v>
      </c>
      <c r="B1103" s="11">
        <v>1099</v>
      </c>
      <c r="C1103" s="12">
        <v>46756</v>
      </c>
      <c r="D1103" s="31">
        <f t="shared" si="43"/>
        <v>4</v>
      </c>
      <c r="E1103" s="14"/>
      <c r="F1103" s="5">
        <v>0</v>
      </c>
      <c r="G1103" s="18">
        <f t="shared" si="44"/>
        <v>70.340900000000005</v>
      </c>
      <c r="H1103" s="18">
        <f t="shared" si="45"/>
        <v>19.409836065573771</v>
      </c>
      <c r="I1103" s="32">
        <v>24.884174104382499</v>
      </c>
      <c r="K1103" s="32">
        <v>1.856531650863475</v>
      </c>
      <c r="L1103" s="32">
        <f t="shared" si="42"/>
        <v>16.438356164383563</v>
      </c>
      <c r="M1103" s="5">
        <f t="shared" si="46"/>
        <v>69.164666022614909</v>
      </c>
      <c r="N1103" s="5">
        <f t="shared" si="47"/>
        <v>14.098901098901099</v>
      </c>
      <c r="O1103" s="32">
        <v>26.323465668970389</v>
      </c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</row>
    <row r="1104" spans="1:38">
      <c r="A1104" s="5">
        <v>461</v>
      </c>
      <c r="B1104" s="11">
        <v>1100</v>
      </c>
      <c r="C1104" s="12">
        <v>46757</v>
      </c>
      <c r="D1104" s="31">
        <f t="shared" si="43"/>
        <v>-4</v>
      </c>
      <c r="E1104" s="14"/>
      <c r="F1104" s="5">
        <v>0</v>
      </c>
      <c r="G1104" s="18">
        <f t="shared" si="44"/>
        <v>70.493600000000001</v>
      </c>
      <c r="H1104" s="18">
        <f t="shared" si="45"/>
        <v>19.409836065573771</v>
      </c>
      <c r="I1104" s="32">
        <v>21.24286004886687</v>
      </c>
      <c r="K1104" s="32">
        <v>125.251830789778</v>
      </c>
      <c r="L1104" s="32">
        <f t="shared" si="42"/>
        <v>16.438356164383563</v>
      </c>
      <c r="M1104" s="5">
        <f t="shared" si="46"/>
        <v>67.808673724385073</v>
      </c>
      <c r="N1104" s="5">
        <f t="shared" si="47"/>
        <v>14.098901098901099</v>
      </c>
      <c r="O1104" s="32">
        <v>24.386633718183472</v>
      </c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</row>
    <row r="1105" spans="1:38">
      <c r="A1105" s="5">
        <v>462</v>
      </c>
      <c r="B1105" s="11">
        <v>1101</v>
      </c>
      <c r="C1105" s="12">
        <v>46758</v>
      </c>
      <c r="D1105" s="31">
        <f t="shared" si="43"/>
        <v>21</v>
      </c>
      <c r="E1105" s="14"/>
      <c r="F1105" s="5">
        <v>0</v>
      </c>
      <c r="G1105" s="18">
        <f t="shared" si="44"/>
        <v>70.646299999999997</v>
      </c>
      <c r="H1105" s="18">
        <f t="shared" si="45"/>
        <v>19.409836065573771</v>
      </c>
      <c r="I1105" s="32">
        <v>26.39684872735431</v>
      </c>
      <c r="K1105" s="32">
        <v>125.251830789778</v>
      </c>
      <c r="L1105" s="32">
        <f t="shared" si="42"/>
        <v>16.438356164383563</v>
      </c>
      <c r="M1105" s="5">
        <f t="shared" si="46"/>
        <v>67.808673724385073</v>
      </c>
      <c r="N1105" s="5">
        <f t="shared" si="47"/>
        <v>14.098901098901099</v>
      </c>
      <c r="O1105" s="32">
        <v>24.509101480159849</v>
      </c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</row>
    <row r="1106" spans="1:38">
      <c r="A1106" s="5">
        <v>463</v>
      </c>
      <c r="B1106" s="11">
        <v>1102</v>
      </c>
      <c r="C1106" s="12">
        <v>46759</v>
      </c>
      <c r="D1106" s="31">
        <f t="shared" si="43"/>
        <v>4</v>
      </c>
      <c r="E1106" s="14"/>
      <c r="F1106" s="5">
        <v>0</v>
      </c>
      <c r="G1106" s="18">
        <f t="shared" si="44"/>
        <v>70.799000000000007</v>
      </c>
      <c r="H1106" s="18">
        <f t="shared" si="45"/>
        <v>19.409836065573771</v>
      </c>
      <c r="I1106" s="32">
        <v>33.954460908651207</v>
      </c>
      <c r="K1106" s="32">
        <v>21.372030235181079</v>
      </c>
      <c r="L1106" s="32">
        <f t="shared" si="42"/>
        <v>16.438356164383563</v>
      </c>
      <c r="M1106" s="5">
        <f t="shared" si="46"/>
        <v>68.950209994215797</v>
      </c>
      <c r="N1106" s="5">
        <f t="shared" si="47"/>
        <v>14.098901098901099</v>
      </c>
      <c r="O1106" s="32">
        <v>21.59771838320604</v>
      </c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</row>
    <row r="1107" spans="1:38">
      <c r="A1107" s="5">
        <v>464</v>
      </c>
      <c r="B1107" s="11">
        <v>1103</v>
      </c>
      <c r="C1107" s="12">
        <v>46760</v>
      </c>
      <c r="D1107" s="31">
        <f t="shared" si="43"/>
        <v>1</v>
      </c>
      <c r="E1107" s="14"/>
      <c r="F1107" s="5">
        <v>0</v>
      </c>
      <c r="G1107" s="18">
        <f t="shared" si="44"/>
        <v>70.951700000000002</v>
      </c>
      <c r="H1107" s="18">
        <f t="shared" si="45"/>
        <v>19.409836065573771</v>
      </c>
      <c r="I1107" s="32">
        <v>30.40634851115469</v>
      </c>
      <c r="K1107" s="32">
        <v>1.856531650863475</v>
      </c>
      <c r="L1107" s="32">
        <f t="shared" si="42"/>
        <v>16.438356164383563</v>
      </c>
      <c r="M1107" s="5">
        <f t="shared" si="46"/>
        <v>69.164666022614909</v>
      </c>
      <c r="N1107" s="5">
        <f t="shared" si="47"/>
        <v>14.098901098901099</v>
      </c>
      <c r="O1107" s="32">
        <v>8.0589269475688798</v>
      </c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</row>
    <row r="1108" spans="1:38">
      <c r="A1108" s="5">
        <v>465</v>
      </c>
      <c r="B1108" s="11">
        <v>1104</v>
      </c>
      <c r="C1108" s="12">
        <v>46761</v>
      </c>
      <c r="D1108" s="31">
        <f t="shared" si="43"/>
        <v>3</v>
      </c>
      <c r="E1108" s="14"/>
      <c r="F1108" s="5">
        <v>0</v>
      </c>
      <c r="G1108" s="18">
        <f t="shared" si="44"/>
        <v>71.104399999999998</v>
      </c>
      <c r="H1108" s="18">
        <f t="shared" si="45"/>
        <v>19.409836065573771</v>
      </c>
      <c r="I1108" s="32">
        <v>36.471503456613362</v>
      </c>
      <c r="K1108" s="32">
        <v>125.251830789778</v>
      </c>
      <c r="L1108" s="32">
        <f t="shared" si="42"/>
        <v>16.438356164383563</v>
      </c>
      <c r="M1108" s="5">
        <f t="shared" si="46"/>
        <v>67.808673724385073</v>
      </c>
      <c r="N1108" s="5">
        <f t="shared" si="47"/>
        <v>14.098901098901099</v>
      </c>
      <c r="O1108" s="32">
        <v>7.6239806691244469</v>
      </c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</row>
    <row r="1109" spans="1:38">
      <c r="A1109" s="5">
        <v>466</v>
      </c>
      <c r="B1109" s="11">
        <v>1105</v>
      </c>
      <c r="C1109" s="12">
        <v>46762</v>
      </c>
      <c r="D1109" s="31">
        <f t="shared" si="43"/>
        <v>7</v>
      </c>
      <c r="E1109" s="14"/>
      <c r="F1109" s="5">
        <v>0</v>
      </c>
      <c r="G1109" s="18">
        <f t="shared" si="44"/>
        <v>71.257100000000008</v>
      </c>
      <c r="H1109" s="18">
        <f t="shared" si="45"/>
        <v>19.409836065573771</v>
      </c>
      <c r="I1109" s="32">
        <v>41.659027642460678</v>
      </c>
      <c r="K1109" s="32">
        <v>125.251830789778</v>
      </c>
      <c r="L1109" s="32">
        <f t="shared" si="42"/>
        <v>16.438356164383563</v>
      </c>
      <c r="M1109" s="5">
        <f t="shared" si="46"/>
        <v>67.808673724385073</v>
      </c>
      <c r="N1109" s="5">
        <f t="shared" si="47"/>
        <v>14.098901098901099</v>
      </c>
      <c r="O1109" s="32">
        <v>21.095043210658812</v>
      </c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</row>
    <row r="1110" spans="1:38">
      <c r="A1110" s="5">
        <v>467</v>
      </c>
      <c r="B1110" s="11">
        <v>1106</v>
      </c>
      <c r="C1110" s="12">
        <v>46763</v>
      </c>
      <c r="D1110" s="31">
        <f t="shared" si="43"/>
        <v>-2</v>
      </c>
      <c r="E1110" s="14"/>
      <c r="F1110" s="5">
        <v>0</v>
      </c>
      <c r="G1110" s="18">
        <f t="shared" si="44"/>
        <v>71.409800000000004</v>
      </c>
      <c r="H1110" s="18">
        <f t="shared" si="45"/>
        <v>19.409836065573771</v>
      </c>
      <c r="I1110" s="32">
        <v>33.381996227244692</v>
      </c>
      <c r="K1110" s="32">
        <v>21.372030235181079</v>
      </c>
      <c r="L1110" s="32">
        <f t="shared" si="42"/>
        <v>16.438356164383563</v>
      </c>
      <c r="M1110" s="5">
        <f t="shared" si="46"/>
        <v>68.950209994215797</v>
      </c>
      <c r="N1110" s="5">
        <f t="shared" si="47"/>
        <v>14.098901098901099</v>
      </c>
      <c r="O1110" s="32">
        <v>30.23283278210512</v>
      </c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</row>
    <row r="1111" spans="1:38">
      <c r="A1111" s="5">
        <v>468</v>
      </c>
      <c r="B1111" s="11">
        <v>1107</v>
      </c>
      <c r="C1111" s="12">
        <v>46764</v>
      </c>
      <c r="D1111" s="31">
        <f t="shared" si="43"/>
        <v>1</v>
      </c>
      <c r="E1111" s="14"/>
      <c r="F1111" s="5">
        <v>0</v>
      </c>
      <c r="G1111" s="18">
        <f t="shared" si="44"/>
        <v>71.5625</v>
      </c>
      <c r="H1111" s="18">
        <f t="shared" si="45"/>
        <v>19.409836065573771</v>
      </c>
      <c r="I1111" s="32">
        <v>42.080680311379297</v>
      </c>
      <c r="K1111" s="32">
        <v>1.856531650863475</v>
      </c>
      <c r="L1111" s="32">
        <f t="shared" si="42"/>
        <v>16.438356164383563</v>
      </c>
      <c r="M1111" s="5">
        <f t="shared" si="46"/>
        <v>69.164666022614909</v>
      </c>
      <c r="N1111" s="5">
        <f t="shared" si="47"/>
        <v>14.098901098901099</v>
      </c>
      <c r="O1111" s="32">
        <v>30.076716845198028</v>
      </c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</row>
    <row r="1112" spans="1:38">
      <c r="A1112" s="5">
        <v>469</v>
      </c>
      <c r="B1112" s="11">
        <v>1108</v>
      </c>
      <c r="C1112" s="12">
        <v>46765</v>
      </c>
      <c r="D1112" s="31">
        <f t="shared" si="43"/>
        <v>17</v>
      </c>
      <c r="E1112" s="14"/>
      <c r="F1112" s="5">
        <v>0</v>
      </c>
      <c r="G1112" s="18">
        <f t="shared" si="44"/>
        <v>71.715199999999996</v>
      </c>
      <c r="H1112" s="18">
        <f t="shared" si="45"/>
        <v>19.409836065573771</v>
      </c>
      <c r="I1112" s="32">
        <v>10.724716203976991</v>
      </c>
      <c r="K1112" s="32">
        <v>125.251830789778</v>
      </c>
      <c r="L1112" s="32">
        <f t="shared" si="42"/>
        <v>16.438356164383563</v>
      </c>
      <c r="M1112" s="5">
        <f t="shared" si="46"/>
        <v>67.808673724385073</v>
      </c>
      <c r="N1112" s="5">
        <f t="shared" si="47"/>
        <v>14.098901098901099</v>
      </c>
      <c r="O1112" s="32">
        <v>29.963441054994409</v>
      </c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</row>
    <row r="1113" spans="1:38">
      <c r="A1113" s="5">
        <v>470</v>
      </c>
      <c r="B1113" s="11">
        <v>1109</v>
      </c>
      <c r="C1113" s="12">
        <v>46766</v>
      </c>
      <c r="D1113" s="31">
        <f t="shared" si="43"/>
        <v>2</v>
      </c>
      <c r="E1113" s="14"/>
      <c r="F1113" s="5">
        <v>0</v>
      </c>
      <c r="G1113" s="18">
        <f t="shared" si="44"/>
        <v>71.867900000000006</v>
      </c>
      <c r="H1113" s="18">
        <f t="shared" si="45"/>
        <v>19.409836065573771</v>
      </c>
      <c r="I1113" s="32">
        <v>31.77859241711726</v>
      </c>
      <c r="K1113" s="32">
        <v>125.251830789778</v>
      </c>
      <c r="L1113" s="32">
        <f t="shared" si="42"/>
        <v>16.438356164383563</v>
      </c>
      <c r="M1113" s="5">
        <f t="shared" si="46"/>
        <v>67.808673724385073</v>
      </c>
      <c r="N1113" s="5">
        <f t="shared" si="47"/>
        <v>14.098901098901099</v>
      </c>
      <c r="O1113" s="32">
        <v>22.120307500810281</v>
      </c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</row>
    <row r="1114" spans="1:38">
      <c r="A1114" s="5">
        <v>471</v>
      </c>
      <c r="B1114" s="11">
        <v>1110</v>
      </c>
      <c r="C1114" s="12">
        <v>46767</v>
      </c>
      <c r="D1114" s="31">
        <f t="shared" si="43"/>
        <v>-2</v>
      </c>
      <c r="E1114" s="14"/>
      <c r="F1114" s="5">
        <v>0</v>
      </c>
      <c r="G1114" s="18">
        <f t="shared" si="44"/>
        <v>72.020600000000002</v>
      </c>
      <c r="H1114" s="18">
        <f t="shared" si="45"/>
        <v>19.409836065573771</v>
      </c>
      <c r="I1114" s="32">
        <v>8.5169828016819231</v>
      </c>
      <c r="K1114" s="32">
        <v>21.372030235181079</v>
      </c>
      <c r="L1114" s="32">
        <f t="shared" si="42"/>
        <v>16.438356164383563</v>
      </c>
      <c r="M1114" s="5">
        <f t="shared" si="46"/>
        <v>68.950209994215797</v>
      </c>
      <c r="N1114" s="5">
        <f t="shared" si="47"/>
        <v>14.098901098901099</v>
      </c>
      <c r="O1114" s="32">
        <v>13.557847399829971</v>
      </c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</row>
    <row r="1115" spans="1:38">
      <c r="A1115" s="5">
        <v>472</v>
      </c>
      <c r="B1115" s="11">
        <v>1111</v>
      </c>
      <c r="C1115" s="12">
        <v>46768</v>
      </c>
      <c r="D1115" s="31">
        <f t="shared" si="43"/>
        <v>12</v>
      </c>
      <c r="E1115" s="14"/>
      <c r="F1115" s="5">
        <v>0</v>
      </c>
      <c r="G1115" s="18">
        <f t="shared" si="44"/>
        <v>72.173299999999998</v>
      </c>
      <c r="H1115" s="18">
        <f t="shared" si="45"/>
        <v>19.409836065573771</v>
      </c>
      <c r="I1115" s="32">
        <v>14.23930656281849</v>
      </c>
      <c r="K1115" s="32">
        <v>1.856531650863475</v>
      </c>
      <c r="L1115" s="32">
        <f t="shared" si="42"/>
        <v>16.438356164383563</v>
      </c>
      <c r="M1115" s="5">
        <f t="shared" si="46"/>
        <v>69.164666022614909</v>
      </c>
      <c r="N1115" s="5">
        <f t="shared" si="47"/>
        <v>14.098901098901099</v>
      </c>
      <c r="O1115" s="32">
        <v>9.891546068450733</v>
      </c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</row>
    <row r="1116" spans="1:38">
      <c r="A1116" s="5">
        <v>473</v>
      </c>
      <c r="B1116" s="11">
        <v>1112</v>
      </c>
      <c r="C1116" s="12">
        <v>46769</v>
      </c>
      <c r="D1116" s="31">
        <f t="shared" si="43"/>
        <v>8</v>
      </c>
      <c r="E1116" s="14"/>
      <c r="F1116" s="5">
        <v>0</v>
      </c>
      <c r="G1116" s="18">
        <f t="shared" si="44"/>
        <v>72.326000000000008</v>
      </c>
      <c r="H1116" s="18">
        <f t="shared" si="45"/>
        <v>19.409836065573771</v>
      </c>
      <c r="I1116" s="32">
        <v>13.641249297485761</v>
      </c>
      <c r="K1116" s="32">
        <v>125.251830789778</v>
      </c>
      <c r="L1116" s="32">
        <f t="shared" si="42"/>
        <v>16.438356164383563</v>
      </c>
      <c r="M1116" s="5">
        <f t="shared" si="46"/>
        <v>67.808673724385073</v>
      </c>
      <c r="N1116" s="5">
        <f t="shared" si="47"/>
        <v>14.098901098901099</v>
      </c>
      <c r="O1116" s="32">
        <v>17.48560713297929</v>
      </c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</row>
    <row r="1117" spans="1:38">
      <c r="A1117" s="5">
        <v>474</v>
      </c>
      <c r="B1117" s="11">
        <v>1113</v>
      </c>
      <c r="C1117" s="12">
        <v>46770</v>
      </c>
      <c r="D1117" s="31">
        <f t="shared" si="43"/>
        <v>8</v>
      </c>
      <c r="E1117" s="14"/>
      <c r="F1117" s="5">
        <v>0</v>
      </c>
      <c r="G1117" s="18">
        <f t="shared" si="44"/>
        <v>72.478700000000003</v>
      </c>
      <c r="H1117" s="18">
        <f t="shared" si="45"/>
        <v>19.409836065573771</v>
      </c>
      <c r="I1117" s="32">
        <v>17.742047412031379</v>
      </c>
      <c r="K1117" s="32">
        <v>125.251830789778</v>
      </c>
      <c r="L1117" s="32">
        <f t="shared" si="42"/>
        <v>16.438356164383563</v>
      </c>
      <c r="M1117" s="5">
        <f t="shared" si="46"/>
        <v>67.808673724385073</v>
      </c>
      <c r="N1117" s="5">
        <f t="shared" si="47"/>
        <v>14.098901098901099</v>
      </c>
      <c r="O1117" s="32">
        <v>16.915545270577891</v>
      </c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</row>
    <row r="1118" spans="1:38">
      <c r="A1118" s="5">
        <v>475</v>
      </c>
      <c r="B1118" s="11">
        <v>1114</v>
      </c>
      <c r="C1118" s="12">
        <v>46771</v>
      </c>
      <c r="D1118" s="31">
        <f t="shared" si="43"/>
        <v>2</v>
      </c>
      <c r="E1118" s="14"/>
      <c r="F1118" s="5">
        <v>0</v>
      </c>
      <c r="G1118" s="18">
        <f t="shared" si="44"/>
        <v>72.631399999999999</v>
      </c>
      <c r="H1118" s="18">
        <f t="shared" si="45"/>
        <v>19.409836065573771</v>
      </c>
      <c r="I1118" s="32">
        <v>19.80807514859843</v>
      </c>
      <c r="K1118" s="32">
        <v>21.372030235181079</v>
      </c>
      <c r="L1118" s="32">
        <f t="shared" si="42"/>
        <v>16.438356164383563</v>
      </c>
      <c r="M1118" s="5">
        <f t="shared" si="46"/>
        <v>68.950209994215797</v>
      </c>
      <c r="N1118" s="5">
        <f t="shared" si="47"/>
        <v>14.098901098901099</v>
      </c>
      <c r="O1118" s="32">
        <v>25.036260484983249</v>
      </c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</row>
    <row r="1119" spans="1:38">
      <c r="A1119" s="5">
        <v>476</v>
      </c>
      <c r="B1119" s="11">
        <v>1115</v>
      </c>
      <c r="C1119" s="12">
        <v>46772</v>
      </c>
      <c r="D1119" s="31">
        <f t="shared" si="43"/>
        <v>22</v>
      </c>
      <c r="E1119" s="14"/>
      <c r="F1119" s="5">
        <v>0</v>
      </c>
      <c r="G1119" s="18">
        <f t="shared" si="44"/>
        <v>72.784099999999995</v>
      </c>
      <c r="H1119" s="18">
        <f t="shared" si="45"/>
        <v>19.409836065573771</v>
      </c>
      <c r="I1119" s="32">
        <v>7.7869854915754892</v>
      </c>
      <c r="K1119" s="32">
        <v>1.856531650863475</v>
      </c>
      <c r="L1119" s="32">
        <f t="shared" ref="L1119:L1182" si="48">12000/730</f>
        <v>16.438356164383563</v>
      </c>
      <c r="M1119" s="5">
        <f t="shared" si="46"/>
        <v>69.164666022614909</v>
      </c>
      <c r="N1119" s="5">
        <f t="shared" si="47"/>
        <v>14.098901098901099</v>
      </c>
      <c r="O1119" s="32">
        <v>28.333680493572</v>
      </c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</row>
    <row r="1120" spans="1:38">
      <c r="A1120" s="5">
        <v>477</v>
      </c>
      <c r="B1120" s="11">
        <v>1116</v>
      </c>
      <c r="C1120" s="12">
        <v>46773</v>
      </c>
      <c r="D1120" s="31">
        <f t="shared" ref="D1120:D1183" si="49">ROUNDUP(_xlfn.FORECAST.ETS(B1120,$D$5:$D$734,$B$5:$B$734,365,0,1),0)</f>
        <v>14</v>
      </c>
      <c r="E1120" s="14"/>
      <c r="F1120" s="5">
        <v>0</v>
      </c>
      <c r="G1120" s="18">
        <f t="shared" ref="G1120:G1183" si="50">0.1527*A1120+0.0989</f>
        <v>72.936800000000005</v>
      </c>
      <c r="H1120" s="18">
        <f t="shared" ref="H1120:H1183" si="51">AVERAGE($I$674:$I$734)</f>
        <v>19.409836065573771</v>
      </c>
      <c r="I1120" s="32">
        <v>12.7085222750658</v>
      </c>
      <c r="K1120" s="32">
        <v>125.251830789778</v>
      </c>
      <c r="L1120" s="32">
        <f t="shared" si="48"/>
        <v>16.438356164383563</v>
      </c>
      <c r="M1120" s="5">
        <f t="shared" ref="M1120:M1183" si="52">AVERAGE(K1029:K1119)</f>
        <v>67.808673724385073</v>
      </c>
      <c r="N1120" s="5">
        <f t="shared" si="47"/>
        <v>14.098901098901099</v>
      </c>
      <c r="O1120" s="32">
        <v>16.349288751097021</v>
      </c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</row>
    <row r="1121" spans="1:38">
      <c r="A1121" s="5">
        <v>478</v>
      </c>
      <c r="B1121" s="11">
        <v>1117</v>
      </c>
      <c r="C1121" s="12">
        <v>46774</v>
      </c>
      <c r="D1121" s="31">
        <f t="shared" si="49"/>
        <v>26</v>
      </c>
      <c r="E1121" s="14"/>
      <c r="F1121" s="5">
        <v>0</v>
      </c>
      <c r="G1121" s="18">
        <f t="shared" si="50"/>
        <v>73.089500000000001</v>
      </c>
      <c r="H1121" s="18">
        <f t="shared" si="51"/>
        <v>19.409836065573771</v>
      </c>
      <c r="I1121" s="32">
        <v>19.320254233330111</v>
      </c>
      <c r="K1121" s="32">
        <v>125.251830789778</v>
      </c>
      <c r="L1121" s="32">
        <f t="shared" si="48"/>
        <v>16.438356164383563</v>
      </c>
      <c r="M1121" s="5">
        <f t="shared" si="52"/>
        <v>67.808673724385073</v>
      </c>
      <c r="N1121" s="5">
        <f t="shared" si="47"/>
        <v>14.098901098901099</v>
      </c>
      <c r="O1121" s="32">
        <v>14.91843881657234</v>
      </c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</row>
    <row r="1122" spans="1:38">
      <c r="A1122" s="5">
        <v>479</v>
      </c>
      <c r="B1122" s="11">
        <v>1118</v>
      </c>
      <c r="C1122" s="12">
        <v>46775</v>
      </c>
      <c r="D1122" s="31">
        <f t="shared" si="49"/>
        <v>-1</v>
      </c>
      <c r="E1122" s="14"/>
      <c r="F1122" s="5">
        <v>0</v>
      </c>
      <c r="G1122" s="18">
        <f t="shared" si="50"/>
        <v>73.242199999999997</v>
      </c>
      <c r="H1122" s="18">
        <f t="shared" si="51"/>
        <v>19.409836065573771</v>
      </c>
      <c r="I1122" s="32">
        <v>27.228205875746522</v>
      </c>
      <c r="K1122" s="32">
        <v>21.372030235181079</v>
      </c>
      <c r="L1122" s="32">
        <f t="shared" si="48"/>
        <v>16.438356164383563</v>
      </c>
      <c r="M1122" s="5">
        <f t="shared" si="52"/>
        <v>68.950209994215797</v>
      </c>
      <c r="N1122" s="5">
        <f t="shared" si="47"/>
        <v>14.098901098901099</v>
      </c>
      <c r="O1122" s="32">
        <v>17.293440298385079</v>
      </c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</row>
    <row r="1123" spans="1:38">
      <c r="A1123" s="5">
        <v>480</v>
      </c>
      <c r="B1123" s="11">
        <v>1119</v>
      </c>
      <c r="C1123" s="12">
        <v>46776</v>
      </c>
      <c r="D1123" s="31">
        <f t="shared" si="49"/>
        <v>5</v>
      </c>
      <c r="E1123" s="14"/>
      <c r="F1123" s="5">
        <v>0</v>
      </c>
      <c r="G1123" s="18">
        <f t="shared" si="50"/>
        <v>73.394900000000007</v>
      </c>
      <c r="H1123" s="18">
        <f t="shared" si="51"/>
        <v>19.409836065573771</v>
      </c>
      <c r="I1123" s="32">
        <v>16.01310045288518</v>
      </c>
      <c r="K1123" s="32">
        <v>1.856531650863475</v>
      </c>
      <c r="L1123" s="32">
        <f t="shared" si="48"/>
        <v>16.438356164383563</v>
      </c>
      <c r="M1123" s="5">
        <f t="shared" si="52"/>
        <v>69.164666022614909</v>
      </c>
      <c r="N1123" s="5">
        <f t="shared" si="47"/>
        <v>14.098901098901099</v>
      </c>
      <c r="O1123" s="32">
        <v>21.708371651522359</v>
      </c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</row>
    <row r="1124" spans="1:38">
      <c r="A1124" s="5">
        <v>481</v>
      </c>
      <c r="B1124" s="11">
        <v>1120</v>
      </c>
      <c r="C1124" s="12">
        <v>46777</v>
      </c>
      <c r="D1124" s="31">
        <f t="shared" si="49"/>
        <v>11</v>
      </c>
      <c r="E1124" s="14"/>
      <c r="F1124" s="5">
        <v>0</v>
      </c>
      <c r="G1124" s="18">
        <f t="shared" si="50"/>
        <v>73.547600000000003</v>
      </c>
      <c r="H1124" s="18">
        <f t="shared" si="51"/>
        <v>19.409836065573771</v>
      </c>
      <c r="I1124" s="32">
        <v>12.60353608158692</v>
      </c>
      <c r="K1124" s="32">
        <v>125.251830789778</v>
      </c>
      <c r="L1124" s="32">
        <f t="shared" si="48"/>
        <v>16.438356164383563</v>
      </c>
      <c r="M1124" s="5">
        <f t="shared" si="52"/>
        <v>67.808673724385073</v>
      </c>
      <c r="N1124" s="5">
        <f t="shared" si="47"/>
        <v>14.098901098901099</v>
      </c>
      <c r="O1124" s="32">
        <v>32.585242189631721</v>
      </c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</row>
    <row r="1125" spans="1:38">
      <c r="A1125" s="5">
        <v>482</v>
      </c>
      <c r="B1125" s="11">
        <v>1121</v>
      </c>
      <c r="C1125" s="12">
        <v>46778</v>
      </c>
      <c r="D1125" s="31">
        <f t="shared" si="49"/>
        <v>21</v>
      </c>
      <c r="E1125" s="14"/>
      <c r="F1125" s="5">
        <v>0</v>
      </c>
      <c r="G1125" s="18">
        <f t="shared" si="50"/>
        <v>73.700299999999999</v>
      </c>
      <c r="H1125" s="18">
        <f t="shared" si="51"/>
        <v>19.409836065573771</v>
      </c>
      <c r="I1125" s="32">
        <v>18.72648278629687</v>
      </c>
      <c r="K1125" s="32">
        <v>125.251830789778</v>
      </c>
      <c r="L1125" s="32">
        <f t="shared" si="48"/>
        <v>16.438356164383563</v>
      </c>
      <c r="M1125" s="5">
        <f t="shared" si="52"/>
        <v>67.808673724385073</v>
      </c>
      <c r="N1125" s="5">
        <f t="shared" si="47"/>
        <v>14.098901098901099</v>
      </c>
      <c r="O1125" s="32">
        <v>28.947958933048142</v>
      </c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</row>
    <row r="1126" spans="1:38">
      <c r="A1126" s="5">
        <v>483</v>
      </c>
      <c r="B1126" s="11">
        <v>1122</v>
      </c>
      <c r="C1126" s="12">
        <v>46779</v>
      </c>
      <c r="D1126" s="31">
        <f t="shared" si="49"/>
        <v>5</v>
      </c>
      <c r="E1126" s="14"/>
      <c r="F1126" s="5">
        <v>0</v>
      </c>
      <c r="G1126" s="18">
        <f t="shared" si="50"/>
        <v>73.853000000000009</v>
      </c>
      <c r="H1126" s="18">
        <f t="shared" si="51"/>
        <v>19.409836065573771</v>
      </c>
      <c r="I1126" s="32">
        <v>19.254018119637209</v>
      </c>
      <c r="K1126" s="32">
        <v>21.372030235181079</v>
      </c>
      <c r="L1126" s="32">
        <f t="shared" si="48"/>
        <v>16.438356164383563</v>
      </c>
      <c r="M1126" s="5">
        <f t="shared" si="52"/>
        <v>68.950209994215797</v>
      </c>
      <c r="N1126" s="5">
        <f t="shared" si="47"/>
        <v>14.098901098901099</v>
      </c>
      <c r="O1126" s="32">
        <v>22.733767958312999</v>
      </c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</row>
    <row r="1127" spans="1:38">
      <c r="A1127" s="5">
        <v>484</v>
      </c>
      <c r="B1127" s="11">
        <v>1123</v>
      </c>
      <c r="C1127" s="12">
        <v>46780</v>
      </c>
      <c r="D1127" s="31">
        <f t="shared" si="49"/>
        <v>12</v>
      </c>
      <c r="E1127" s="14"/>
      <c r="F1127" s="5">
        <v>0</v>
      </c>
      <c r="G1127" s="18">
        <f t="shared" si="50"/>
        <v>74.005700000000004</v>
      </c>
      <c r="H1127" s="18">
        <f t="shared" si="51"/>
        <v>19.409836065573771</v>
      </c>
      <c r="I1127" s="32">
        <v>14.535874144048091</v>
      </c>
      <c r="K1127" s="32">
        <v>1.856531650863475</v>
      </c>
      <c r="L1127" s="32">
        <f t="shared" si="48"/>
        <v>16.438356164383563</v>
      </c>
      <c r="M1127" s="5">
        <f t="shared" si="52"/>
        <v>69.164666022614909</v>
      </c>
      <c r="N1127" s="5">
        <f t="shared" si="47"/>
        <v>14.098901098901099</v>
      </c>
      <c r="O1127" s="32">
        <v>8.4139949392883686</v>
      </c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</row>
    <row r="1128" spans="1:38">
      <c r="A1128" s="5">
        <v>485</v>
      </c>
      <c r="B1128" s="11">
        <v>1124</v>
      </c>
      <c r="C1128" s="12">
        <v>46781</v>
      </c>
      <c r="D1128" s="31">
        <f t="shared" si="49"/>
        <v>9</v>
      </c>
      <c r="E1128" s="14"/>
      <c r="F1128" s="5">
        <v>0</v>
      </c>
      <c r="G1128" s="18">
        <f t="shared" si="50"/>
        <v>74.1584</v>
      </c>
      <c r="H1128" s="18">
        <f t="shared" si="51"/>
        <v>19.409836065573771</v>
      </c>
      <c r="I1128" s="32">
        <v>9.7714390404548386</v>
      </c>
      <c r="K1128" s="32">
        <v>125.251830789778</v>
      </c>
      <c r="L1128" s="32">
        <f t="shared" si="48"/>
        <v>16.438356164383563</v>
      </c>
      <c r="M1128" s="5">
        <f t="shared" si="52"/>
        <v>67.808673724385073</v>
      </c>
      <c r="N1128" s="5">
        <f t="shared" si="47"/>
        <v>14.098901098901099</v>
      </c>
      <c r="O1128" s="32">
        <v>3.3391670583357249</v>
      </c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</row>
    <row r="1129" spans="1:38">
      <c r="A1129" s="5">
        <v>486</v>
      </c>
      <c r="B1129" s="11">
        <v>1125</v>
      </c>
      <c r="C1129" s="12">
        <v>46782</v>
      </c>
      <c r="D1129" s="31">
        <f t="shared" si="49"/>
        <v>6</v>
      </c>
      <c r="E1129" s="14"/>
      <c r="F1129" s="5">
        <v>0</v>
      </c>
      <c r="G1129" s="18">
        <f t="shared" si="50"/>
        <v>74.311099999999996</v>
      </c>
      <c r="H1129" s="18">
        <f t="shared" si="51"/>
        <v>19.409836065573771</v>
      </c>
      <c r="I1129" s="32">
        <v>34.432510372181291</v>
      </c>
      <c r="K1129" s="32">
        <v>125.251830789778</v>
      </c>
      <c r="L1129" s="32">
        <f t="shared" si="48"/>
        <v>16.438356164383563</v>
      </c>
      <c r="M1129" s="5">
        <f t="shared" si="52"/>
        <v>67.808673724385073</v>
      </c>
      <c r="N1129" s="5">
        <f t="shared" si="47"/>
        <v>14.098901098901099</v>
      </c>
      <c r="O1129" s="32">
        <v>16.47712301083066</v>
      </c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</row>
    <row r="1130" spans="1:38">
      <c r="A1130" s="5">
        <v>487</v>
      </c>
      <c r="B1130" s="11">
        <v>1126</v>
      </c>
      <c r="C1130" s="12">
        <v>46783</v>
      </c>
      <c r="D1130" s="31">
        <f t="shared" si="49"/>
        <v>5</v>
      </c>
      <c r="E1130" s="14"/>
      <c r="F1130" s="5">
        <v>0</v>
      </c>
      <c r="G1130" s="18">
        <f t="shared" si="50"/>
        <v>74.463800000000006</v>
      </c>
      <c r="H1130" s="18">
        <f t="shared" si="51"/>
        <v>19.409836065573771</v>
      </c>
      <c r="I1130" s="32">
        <v>24.2504804321877</v>
      </c>
      <c r="K1130" s="32">
        <v>21.372030235181079</v>
      </c>
      <c r="L1130" s="32">
        <f t="shared" si="48"/>
        <v>16.438356164383563</v>
      </c>
      <c r="M1130" s="5">
        <f t="shared" si="52"/>
        <v>68.950209994215797</v>
      </c>
      <c r="N1130" s="5">
        <f t="shared" si="47"/>
        <v>14.098901098901099</v>
      </c>
      <c r="O1130" s="32">
        <v>19.433563630068729</v>
      </c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</row>
    <row r="1131" spans="1:38">
      <c r="A1131" s="5">
        <v>488</v>
      </c>
      <c r="B1131" s="11">
        <v>1127</v>
      </c>
      <c r="C1131" s="12">
        <v>46784</v>
      </c>
      <c r="D1131" s="31">
        <f t="shared" si="49"/>
        <v>14</v>
      </c>
      <c r="E1131" s="14"/>
      <c r="F1131" s="5">
        <v>0</v>
      </c>
      <c r="G1131" s="18">
        <f t="shared" si="50"/>
        <v>74.616500000000002</v>
      </c>
      <c r="H1131" s="18">
        <f t="shared" si="51"/>
        <v>19.409836065573771</v>
      </c>
      <c r="I1131" s="32">
        <v>21.85187088236172</v>
      </c>
      <c r="K1131" s="32">
        <v>1.856531650863475</v>
      </c>
      <c r="L1131" s="32">
        <f t="shared" si="48"/>
        <v>16.438356164383563</v>
      </c>
      <c r="M1131" s="5">
        <f t="shared" si="52"/>
        <v>69.164666022614909</v>
      </c>
      <c r="N1131" s="5">
        <f t="shared" si="47"/>
        <v>14.098901098901099</v>
      </c>
      <c r="O1131" s="32">
        <v>21.076411653185509</v>
      </c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</row>
    <row r="1132" spans="1:38">
      <c r="A1132" s="5">
        <v>489</v>
      </c>
      <c r="B1132" s="11">
        <v>1128</v>
      </c>
      <c r="C1132" s="12">
        <v>46785</v>
      </c>
      <c r="D1132" s="31">
        <f t="shared" si="49"/>
        <v>8</v>
      </c>
      <c r="E1132" s="14"/>
      <c r="F1132" s="5">
        <v>0</v>
      </c>
      <c r="G1132" s="18">
        <f t="shared" si="50"/>
        <v>74.769199999999998</v>
      </c>
      <c r="H1132" s="18">
        <f t="shared" si="51"/>
        <v>19.409836065573771</v>
      </c>
      <c r="I1132" s="32">
        <v>19.59313364409952</v>
      </c>
      <c r="K1132" s="32">
        <v>125.251830789778</v>
      </c>
      <c r="L1132" s="32">
        <f t="shared" si="48"/>
        <v>16.438356164383563</v>
      </c>
      <c r="M1132" s="5">
        <f t="shared" si="52"/>
        <v>67.808673724385073</v>
      </c>
      <c r="N1132" s="5">
        <f t="shared" si="47"/>
        <v>14.098901098901099</v>
      </c>
      <c r="O1132" s="32">
        <v>20.673245423032991</v>
      </c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</row>
    <row r="1133" spans="1:38">
      <c r="A1133" s="5">
        <v>490</v>
      </c>
      <c r="B1133" s="11">
        <v>1129</v>
      </c>
      <c r="C1133" s="12">
        <v>46786</v>
      </c>
      <c r="D1133" s="31">
        <f t="shared" si="49"/>
        <v>3</v>
      </c>
      <c r="E1133" s="14"/>
      <c r="F1133" s="5">
        <v>0</v>
      </c>
      <c r="G1133" s="18">
        <f t="shared" si="50"/>
        <v>74.921900000000008</v>
      </c>
      <c r="H1133" s="18">
        <f t="shared" si="51"/>
        <v>19.409836065573771</v>
      </c>
      <c r="I1133" s="32">
        <v>12.451136997158891</v>
      </c>
      <c r="K1133" s="32">
        <v>125.251830789778</v>
      </c>
      <c r="L1133" s="32">
        <f t="shared" si="48"/>
        <v>16.438356164383563</v>
      </c>
      <c r="M1133" s="5">
        <f t="shared" si="52"/>
        <v>67.808673724385073</v>
      </c>
      <c r="N1133" s="5">
        <f t="shared" si="47"/>
        <v>14.098901098901099</v>
      </c>
      <c r="O1133" s="32">
        <v>30.42512315908143</v>
      </c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</row>
    <row r="1134" spans="1:38">
      <c r="A1134" s="5">
        <v>491</v>
      </c>
      <c r="B1134" s="11">
        <v>1130</v>
      </c>
      <c r="C1134" s="12">
        <v>46787</v>
      </c>
      <c r="D1134" s="31">
        <f t="shared" si="49"/>
        <v>4</v>
      </c>
      <c r="E1134" s="14"/>
      <c r="F1134" s="5">
        <v>0</v>
      </c>
      <c r="G1134" s="18">
        <f t="shared" si="50"/>
        <v>75.074600000000004</v>
      </c>
      <c r="H1134" s="18">
        <f t="shared" si="51"/>
        <v>19.409836065573771</v>
      </c>
      <c r="I1134" s="32">
        <v>25.735564270996271</v>
      </c>
      <c r="K1134" s="32">
        <v>21.372030235181079</v>
      </c>
      <c r="L1134" s="32">
        <f t="shared" si="48"/>
        <v>16.438356164383563</v>
      </c>
      <c r="M1134" s="5">
        <f t="shared" si="52"/>
        <v>68.950209994215797</v>
      </c>
      <c r="N1134" s="5">
        <f t="shared" si="47"/>
        <v>14.098901098901099</v>
      </c>
      <c r="O1134" s="32">
        <v>18.338178034923349</v>
      </c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</row>
    <row r="1135" spans="1:38">
      <c r="A1135" s="5">
        <v>492</v>
      </c>
      <c r="B1135" s="11">
        <v>1131</v>
      </c>
      <c r="C1135" s="12">
        <v>46788</v>
      </c>
      <c r="D1135" s="31">
        <f t="shared" si="49"/>
        <v>13</v>
      </c>
      <c r="E1135" s="14"/>
      <c r="F1135" s="5">
        <v>0</v>
      </c>
      <c r="G1135" s="18">
        <f t="shared" si="50"/>
        <v>75.2273</v>
      </c>
      <c r="H1135" s="18">
        <f t="shared" si="51"/>
        <v>19.409836065573771</v>
      </c>
      <c r="I1135" s="32">
        <v>12.573892740858049</v>
      </c>
      <c r="K1135" s="32">
        <v>1.856531650863475</v>
      </c>
      <c r="L1135" s="32">
        <f t="shared" si="48"/>
        <v>16.438356164383563</v>
      </c>
      <c r="M1135" s="5">
        <f t="shared" si="52"/>
        <v>69.164666022614909</v>
      </c>
      <c r="N1135" s="5">
        <f t="shared" si="47"/>
        <v>14.098901098901099</v>
      </c>
      <c r="O1135" s="32">
        <v>15.44668740084288</v>
      </c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</row>
    <row r="1136" spans="1:38">
      <c r="A1136" s="5">
        <v>493</v>
      </c>
      <c r="B1136" s="11">
        <v>1132</v>
      </c>
      <c r="C1136" s="12">
        <v>46789</v>
      </c>
      <c r="D1136" s="31">
        <f t="shared" si="49"/>
        <v>14</v>
      </c>
      <c r="E1136" s="14"/>
      <c r="F1136" s="5">
        <v>0</v>
      </c>
      <c r="G1136" s="18">
        <f t="shared" si="50"/>
        <v>75.38</v>
      </c>
      <c r="H1136" s="18">
        <f t="shared" si="51"/>
        <v>19.409836065573771</v>
      </c>
      <c r="I1136" s="32">
        <v>28.13657939608434</v>
      </c>
      <c r="K1136" s="32">
        <v>125.251830789778</v>
      </c>
      <c r="L1136" s="32">
        <f t="shared" si="48"/>
        <v>16.438356164383563</v>
      </c>
      <c r="M1136" s="5">
        <f t="shared" si="52"/>
        <v>67.808673724385073</v>
      </c>
      <c r="N1136" s="5">
        <f t="shared" si="47"/>
        <v>14.098901098901099</v>
      </c>
      <c r="O1136" s="32">
        <v>15.42438176468089</v>
      </c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</row>
    <row r="1137" spans="1:38">
      <c r="A1137" s="5">
        <v>494</v>
      </c>
      <c r="B1137" s="11">
        <v>1133</v>
      </c>
      <c r="C1137" s="12">
        <v>46790</v>
      </c>
      <c r="D1137" s="31">
        <f t="shared" si="49"/>
        <v>19</v>
      </c>
      <c r="E1137" s="14"/>
      <c r="F1137" s="5">
        <v>0</v>
      </c>
      <c r="G1137" s="18">
        <f t="shared" si="50"/>
        <v>75.532700000000006</v>
      </c>
      <c r="H1137" s="18">
        <f t="shared" si="51"/>
        <v>19.409836065573771</v>
      </c>
      <c r="I1137" s="32">
        <v>34.64206936552754</v>
      </c>
      <c r="K1137" s="32">
        <v>125.251830789778</v>
      </c>
      <c r="L1137" s="32">
        <f t="shared" si="48"/>
        <v>16.438356164383563</v>
      </c>
      <c r="M1137" s="5">
        <f t="shared" si="52"/>
        <v>67.808673724385073</v>
      </c>
      <c r="N1137" s="5">
        <f t="shared" si="47"/>
        <v>14.098901098901099</v>
      </c>
      <c r="O1137" s="32">
        <v>24.522298176908659</v>
      </c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</row>
    <row r="1138" spans="1:38">
      <c r="A1138" s="5">
        <v>495</v>
      </c>
      <c r="B1138" s="11">
        <v>1134</v>
      </c>
      <c r="C1138" s="12">
        <v>46791</v>
      </c>
      <c r="D1138" s="31">
        <f t="shared" si="49"/>
        <v>4</v>
      </c>
      <c r="E1138" s="14"/>
      <c r="F1138" s="5">
        <v>0</v>
      </c>
      <c r="G1138" s="18">
        <f t="shared" si="50"/>
        <v>75.685400000000001</v>
      </c>
      <c r="H1138" s="18">
        <f t="shared" si="51"/>
        <v>19.409836065573771</v>
      </c>
      <c r="I1138" s="32">
        <v>26.12727102410485</v>
      </c>
      <c r="K1138" s="32">
        <v>21.372030235181079</v>
      </c>
      <c r="L1138" s="32">
        <f t="shared" si="48"/>
        <v>16.438356164383563</v>
      </c>
      <c r="M1138" s="5">
        <f t="shared" si="52"/>
        <v>68.950209994215797</v>
      </c>
      <c r="N1138" s="5">
        <f t="shared" si="47"/>
        <v>14.098901098901099</v>
      </c>
      <c r="O1138" s="32">
        <v>34.472458571722179</v>
      </c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</row>
    <row r="1139" spans="1:38">
      <c r="A1139" s="5">
        <v>496</v>
      </c>
      <c r="B1139" s="11">
        <v>1135</v>
      </c>
      <c r="C1139" s="12">
        <v>46792</v>
      </c>
      <c r="D1139" s="31">
        <f t="shared" si="49"/>
        <v>1</v>
      </c>
      <c r="E1139" s="14"/>
      <c r="F1139" s="5">
        <v>0</v>
      </c>
      <c r="G1139" s="18">
        <f t="shared" si="50"/>
        <v>75.838099999999997</v>
      </c>
      <c r="H1139" s="18">
        <f t="shared" si="51"/>
        <v>19.409836065573771</v>
      </c>
      <c r="I1139" s="32">
        <v>24.254975589814951</v>
      </c>
      <c r="K1139" s="32">
        <v>1.856531650863475</v>
      </c>
      <c r="L1139" s="32">
        <f t="shared" si="48"/>
        <v>16.438356164383563</v>
      </c>
      <c r="M1139" s="5">
        <f t="shared" si="52"/>
        <v>69.164666022614909</v>
      </c>
      <c r="N1139" s="5">
        <f t="shared" si="47"/>
        <v>14.098901098901099</v>
      </c>
      <c r="O1139" s="32">
        <v>18.48962555097178</v>
      </c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</row>
    <row r="1140" spans="1:38">
      <c r="A1140" s="5">
        <v>497</v>
      </c>
      <c r="B1140" s="11">
        <v>1136</v>
      </c>
      <c r="C1140" s="12">
        <v>46793</v>
      </c>
      <c r="D1140" s="31">
        <f t="shared" si="49"/>
        <v>9</v>
      </c>
      <c r="E1140" s="14"/>
      <c r="F1140" s="5">
        <v>0</v>
      </c>
      <c r="G1140" s="18">
        <f t="shared" si="50"/>
        <v>75.990800000000007</v>
      </c>
      <c r="H1140" s="18">
        <f t="shared" si="51"/>
        <v>19.409836065573771</v>
      </c>
      <c r="I1140" s="32">
        <v>23.892050791716581</v>
      </c>
      <c r="K1140" s="32">
        <v>125.251830789778</v>
      </c>
      <c r="L1140" s="32">
        <f t="shared" si="48"/>
        <v>16.438356164383563</v>
      </c>
      <c r="M1140" s="5">
        <f t="shared" si="52"/>
        <v>67.808673724385073</v>
      </c>
      <c r="N1140" s="5">
        <f t="shared" si="47"/>
        <v>14.098901098901099</v>
      </c>
      <c r="O1140" s="32">
        <v>21.67247162844124</v>
      </c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</row>
    <row r="1141" spans="1:38">
      <c r="A1141" s="5">
        <v>498</v>
      </c>
      <c r="B1141" s="11">
        <v>1137</v>
      </c>
      <c r="C1141" s="12">
        <v>46794</v>
      </c>
      <c r="D1141" s="31">
        <f t="shared" si="49"/>
        <v>17</v>
      </c>
      <c r="E1141" s="14"/>
      <c r="F1141" s="5">
        <v>0</v>
      </c>
      <c r="G1141" s="18">
        <f t="shared" si="50"/>
        <v>76.143500000000003</v>
      </c>
      <c r="H1141" s="18">
        <f t="shared" si="51"/>
        <v>19.409836065573771</v>
      </c>
      <c r="I1141" s="32">
        <v>21.258612297861902</v>
      </c>
      <c r="K1141" s="32">
        <v>125.251830789778</v>
      </c>
      <c r="L1141" s="32">
        <f t="shared" si="48"/>
        <v>16.438356164383563</v>
      </c>
      <c r="M1141" s="5">
        <f t="shared" si="52"/>
        <v>67.808673724385073</v>
      </c>
      <c r="N1141" s="5">
        <f t="shared" si="47"/>
        <v>14.098901098901099</v>
      </c>
      <c r="O1141" s="32">
        <v>10.98247452636539</v>
      </c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</row>
    <row r="1142" spans="1:38">
      <c r="A1142" s="5">
        <v>499</v>
      </c>
      <c r="B1142" s="11">
        <v>1138</v>
      </c>
      <c r="C1142" s="12">
        <v>46795</v>
      </c>
      <c r="D1142" s="31">
        <f t="shared" si="49"/>
        <v>5</v>
      </c>
      <c r="E1142" s="14"/>
      <c r="F1142" s="5">
        <v>0</v>
      </c>
      <c r="G1142" s="18">
        <f t="shared" si="50"/>
        <v>76.296199999999999</v>
      </c>
      <c r="H1142" s="18">
        <f t="shared" si="51"/>
        <v>19.409836065573771</v>
      </c>
      <c r="I1142" s="32">
        <v>32.092909680603682</v>
      </c>
      <c r="K1142" s="32">
        <v>21.372030235181079</v>
      </c>
      <c r="L1142" s="32">
        <f t="shared" si="48"/>
        <v>16.438356164383563</v>
      </c>
      <c r="M1142" s="5">
        <f t="shared" si="52"/>
        <v>68.950209994215797</v>
      </c>
      <c r="N1142" s="5">
        <f t="shared" si="47"/>
        <v>14.098901098901099</v>
      </c>
      <c r="O1142" s="32">
        <v>2.4202917691509098</v>
      </c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</row>
    <row r="1143" spans="1:38">
      <c r="A1143" s="5">
        <v>500</v>
      </c>
      <c r="B1143" s="11">
        <v>1139</v>
      </c>
      <c r="C1143" s="12">
        <v>46796</v>
      </c>
      <c r="D1143" s="31">
        <f t="shared" si="49"/>
        <v>6</v>
      </c>
      <c r="E1143" s="14"/>
      <c r="F1143" s="5">
        <v>0</v>
      </c>
      <c r="G1143" s="18">
        <f t="shared" si="50"/>
        <v>76.448899999999995</v>
      </c>
      <c r="H1143" s="18">
        <f t="shared" si="51"/>
        <v>19.409836065573771</v>
      </c>
      <c r="I1143" s="32">
        <v>28.298373804940368</v>
      </c>
      <c r="K1143" s="32">
        <v>1.856531650863475</v>
      </c>
      <c r="L1143" s="32">
        <f t="shared" si="48"/>
        <v>16.438356164383563</v>
      </c>
      <c r="M1143" s="5">
        <f t="shared" si="52"/>
        <v>69.164666022614909</v>
      </c>
      <c r="N1143" s="5">
        <f t="shared" si="47"/>
        <v>14.098901098901099</v>
      </c>
      <c r="O1143" s="32">
        <v>23.589585193097601</v>
      </c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</row>
    <row r="1144" spans="1:38">
      <c r="A1144" s="5">
        <v>501</v>
      </c>
      <c r="B1144" s="11">
        <v>1140</v>
      </c>
      <c r="C1144" s="12">
        <v>46797</v>
      </c>
      <c r="D1144" s="31">
        <f t="shared" si="49"/>
        <v>25</v>
      </c>
      <c r="E1144" s="14"/>
      <c r="F1144" s="5">
        <v>0</v>
      </c>
      <c r="G1144" s="18">
        <f t="shared" si="50"/>
        <v>76.601600000000005</v>
      </c>
      <c r="H1144" s="18">
        <f t="shared" si="51"/>
        <v>19.409836065573771</v>
      </c>
      <c r="I1144" s="32">
        <v>33.696034836521008</v>
      </c>
      <c r="K1144" s="32">
        <v>125.251830789778</v>
      </c>
      <c r="L1144" s="32">
        <f t="shared" si="48"/>
        <v>16.438356164383563</v>
      </c>
      <c r="M1144" s="5">
        <f t="shared" si="52"/>
        <v>67.808673724385073</v>
      </c>
      <c r="N1144" s="5">
        <f t="shared" si="47"/>
        <v>14.098901098901099</v>
      </c>
      <c r="O1144" s="32">
        <v>17.119196227827342</v>
      </c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</row>
    <row r="1145" spans="1:38">
      <c r="A1145" s="5">
        <v>502</v>
      </c>
      <c r="B1145" s="11">
        <v>1141</v>
      </c>
      <c r="C1145" s="12">
        <v>46798</v>
      </c>
      <c r="D1145" s="31">
        <f t="shared" si="49"/>
        <v>15</v>
      </c>
      <c r="E1145" s="14"/>
      <c r="F1145" s="5">
        <v>0</v>
      </c>
      <c r="G1145" s="18">
        <f t="shared" si="50"/>
        <v>76.754300000000001</v>
      </c>
      <c r="H1145" s="18">
        <f t="shared" si="51"/>
        <v>19.409836065573771</v>
      </c>
      <c r="I1145" s="32">
        <v>43.063701464336063</v>
      </c>
      <c r="K1145" s="32">
        <v>125.251830789778</v>
      </c>
      <c r="L1145" s="32">
        <f t="shared" si="48"/>
        <v>16.438356164383563</v>
      </c>
      <c r="M1145" s="5">
        <f t="shared" si="52"/>
        <v>67.808673724385073</v>
      </c>
      <c r="N1145" s="5">
        <f t="shared" si="47"/>
        <v>14.098901098901099</v>
      </c>
      <c r="O1145" s="32">
        <v>11.75598203553262</v>
      </c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</row>
    <row r="1146" spans="1:38">
      <c r="A1146" s="5">
        <v>503</v>
      </c>
      <c r="B1146" s="11">
        <v>1142</v>
      </c>
      <c r="C1146" s="12">
        <v>46799</v>
      </c>
      <c r="D1146" s="31">
        <f t="shared" si="49"/>
        <v>49</v>
      </c>
      <c r="E1146" s="14"/>
      <c r="F1146" s="5">
        <v>0</v>
      </c>
      <c r="G1146" s="18">
        <f t="shared" si="50"/>
        <v>76.906999999999996</v>
      </c>
      <c r="H1146" s="18">
        <f t="shared" si="51"/>
        <v>19.409836065573771</v>
      </c>
      <c r="I1146" s="32">
        <v>38.840606237914599</v>
      </c>
      <c r="K1146" s="32">
        <v>21.372030235181079</v>
      </c>
      <c r="L1146" s="32">
        <f t="shared" si="48"/>
        <v>16.438356164383563</v>
      </c>
      <c r="M1146" s="5">
        <f t="shared" si="52"/>
        <v>68.950209994215797</v>
      </c>
      <c r="N1146" s="5">
        <f t="shared" si="47"/>
        <v>14.098901098901099</v>
      </c>
      <c r="O1146" s="32">
        <v>19.024911477747018</v>
      </c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</row>
    <row r="1147" spans="1:38">
      <c r="A1147" s="5">
        <v>504</v>
      </c>
      <c r="B1147" s="11">
        <v>1143</v>
      </c>
      <c r="C1147" s="12">
        <v>46800</v>
      </c>
      <c r="D1147" s="31">
        <f t="shared" si="49"/>
        <v>24</v>
      </c>
      <c r="E1147" s="14"/>
      <c r="F1147" s="5">
        <v>0</v>
      </c>
      <c r="G1147" s="18">
        <f t="shared" si="50"/>
        <v>77.059700000000007</v>
      </c>
      <c r="H1147" s="18">
        <f t="shared" si="51"/>
        <v>19.409836065573771</v>
      </c>
      <c r="I1147" s="32">
        <v>42.414057207177628</v>
      </c>
      <c r="K1147" s="32">
        <v>1.856531650863475</v>
      </c>
      <c r="L1147" s="32">
        <f t="shared" si="48"/>
        <v>16.438356164383563</v>
      </c>
      <c r="M1147" s="5">
        <f t="shared" si="52"/>
        <v>69.164666022614909</v>
      </c>
      <c r="N1147" s="5">
        <f t="shared" si="47"/>
        <v>14.098901098901099</v>
      </c>
      <c r="O1147" s="32">
        <v>23.219016510194798</v>
      </c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</row>
    <row r="1148" spans="1:38">
      <c r="A1148" s="5">
        <v>505</v>
      </c>
      <c r="B1148" s="11">
        <v>1144</v>
      </c>
      <c r="C1148" s="12">
        <v>46801</v>
      </c>
      <c r="D1148" s="31">
        <f t="shared" si="49"/>
        <v>17</v>
      </c>
      <c r="E1148" s="14"/>
      <c r="F1148" s="5">
        <v>0</v>
      </c>
      <c r="G1148" s="18">
        <f t="shared" si="50"/>
        <v>77.212400000000002</v>
      </c>
      <c r="H1148" s="18">
        <f t="shared" si="51"/>
        <v>19.409836065573771</v>
      </c>
      <c r="I1148" s="32">
        <v>15.52617484662815</v>
      </c>
      <c r="K1148" s="32">
        <v>125.251830789778</v>
      </c>
      <c r="L1148" s="32">
        <f t="shared" si="48"/>
        <v>16.438356164383563</v>
      </c>
      <c r="M1148" s="5">
        <f t="shared" si="52"/>
        <v>67.808673724385073</v>
      </c>
      <c r="N1148" s="5">
        <f t="shared" si="47"/>
        <v>14.098901098901099</v>
      </c>
      <c r="O1148" s="32">
        <v>19.248693468500221</v>
      </c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</row>
    <row r="1149" spans="1:38">
      <c r="A1149" s="5">
        <v>506</v>
      </c>
      <c r="B1149" s="11">
        <v>1145</v>
      </c>
      <c r="C1149" s="12">
        <v>46802</v>
      </c>
      <c r="D1149" s="31">
        <f t="shared" si="49"/>
        <v>22</v>
      </c>
      <c r="E1149" s="14"/>
      <c r="F1149" s="5">
        <v>0</v>
      </c>
      <c r="G1149" s="18">
        <f t="shared" si="50"/>
        <v>77.365099999999998</v>
      </c>
      <c r="H1149" s="18">
        <f t="shared" si="51"/>
        <v>19.409836065573771</v>
      </c>
      <c r="I1149" s="32">
        <v>20.242414832256969</v>
      </c>
      <c r="K1149" s="32">
        <v>125.251830789778</v>
      </c>
      <c r="L1149" s="32">
        <f t="shared" si="48"/>
        <v>16.438356164383563</v>
      </c>
      <c r="M1149" s="5">
        <f t="shared" si="52"/>
        <v>67.808673724385073</v>
      </c>
      <c r="N1149" s="5">
        <f t="shared" si="47"/>
        <v>14.098901098901099</v>
      </c>
      <c r="O1149" s="32">
        <v>29.506546325099372</v>
      </c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</row>
    <row r="1150" spans="1:38">
      <c r="A1150" s="5">
        <v>507</v>
      </c>
      <c r="B1150" s="11">
        <v>1146</v>
      </c>
      <c r="C1150" s="12">
        <v>46803</v>
      </c>
      <c r="D1150" s="31">
        <f t="shared" si="49"/>
        <v>15</v>
      </c>
      <c r="E1150" s="14"/>
      <c r="F1150" s="5">
        <v>0</v>
      </c>
      <c r="G1150" s="18">
        <f t="shared" si="50"/>
        <v>77.517800000000008</v>
      </c>
      <c r="H1150" s="18">
        <f t="shared" si="51"/>
        <v>19.409836065573771</v>
      </c>
      <c r="I1150" s="32">
        <v>8.6475779314428749</v>
      </c>
      <c r="K1150" s="32">
        <v>21.372030235181079</v>
      </c>
      <c r="L1150" s="32">
        <f t="shared" si="48"/>
        <v>16.438356164383563</v>
      </c>
      <c r="M1150" s="5">
        <f t="shared" si="52"/>
        <v>68.950209994215797</v>
      </c>
      <c r="N1150" s="5">
        <f t="shared" si="47"/>
        <v>14.098901098901099</v>
      </c>
      <c r="O1150" s="32">
        <v>16.654483384780089</v>
      </c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</row>
    <row r="1151" spans="1:38">
      <c r="A1151" s="5">
        <v>508</v>
      </c>
      <c r="B1151" s="11">
        <v>1147</v>
      </c>
      <c r="C1151" s="12">
        <v>46804</v>
      </c>
      <c r="D1151" s="31">
        <f t="shared" si="49"/>
        <v>18</v>
      </c>
      <c r="E1151" s="14"/>
      <c r="F1151" s="5">
        <v>0</v>
      </c>
      <c r="G1151" s="18">
        <f t="shared" si="50"/>
        <v>77.670500000000004</v>
      </c>
      <c r="H1151" s="18">
        <f t="shared" si="51"/>
        <v>19.409836065573771</v>
      </c>
      <c r="I1151" s="32">
        <v>10.357400467574619</v>
      </c>
      <c r="K1151" s="32">
        <v>1.856531650863475</v>
      </c>
      <c r="L1151" s="32">
        <f t="shared" si="48"/>
        <v>16.438356164383563</v>
      </c>
      <c r="M1151" s="5">
        <f t="shared" si="52"/>
        <v>69.164666022614909</v>
      </c>
      <c r="N1151" s="5">
        <f t="shared" si="47"/>
        <v>14.098901098901099</v>
      </c>
      <c r="O1151" s="32">
        <v>10.59230260920563</v>
      </c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</row>
    <row r="1152" spans="1:38">
      <c r="A1152" s="5">
        <v>509</v>
      </c>
      <c r="B1152" s="11">
        <v>1148</v>
      </c>
      <c r="C1152" s="12">
        <v>46805</v>
      </c>
      <c r="D1152" s="31">
        <f t="shared" si="49"/>
        <v>18</v>
      </c>
      <c r="E1152" s="14"/>
      <c r="F1152" s="5">
        <v>0</v>
      </c>
      <c r="G1152" s="18">
        <f t="shared" si="50"/>
        <v>77.8232</v>
      </c>
      <c r="H1152" s="18">
        <f t="shared" si="51"/>
        <v>19.409836065573771</v>
      </c>
      <c r="I1152" s="32">
        <v>13.46349462567407</v>
      </c>
      <c r="K1152" s="32">
        <v>125.251830789778</v>
      </c>
      <c r="L1152" s="32">
        <f t="shared" si="48"/>
        <v>16.438356164383563</v>
      </c>
      <c r="M1152" s="5">
        <f t="shared" si="52"/>
        <v>67.808673724385073</v>
      </c>
      <c r="N1152" s="5">
        <f t="shared" si="47"/>
        <v>14.098901098901099</v>
      </c>
      <c r="O1152" s="32">
        <v>17.35686106254321</v>
      </c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</row>
    <row r="1153" spans="1:38">
      <c r="A1153" s="5">
        <v>510</v>
      </c>
      <c r="B1153" s="11">
        <v>1149</v>
      </c>
      <c r="C1153" s="12">
        <v>46806</v>
      </c>
      <c r="D1153" s="31">
        <f t="shared" si="49"/>
        <v>13</v>
      </c>
      <c r="E1153" s="14"/>
      <c r="F1153" s="5">
        <v>0</v>
      </c>
      <c r="G1153" s="18">
        <f t="shared" si="50"/>
        <v>77.975899999999996</v>
      </c>
      <c r="H1153" s="18">
        <f t="shared" si="51"/>
        <v>19.409836065573771</v>
      </c>
      <c r="I1153" s="32">
        <v>15.365255524656909</v>
      </c>
      <c r="K1153" s="32">
        <v>125.251830789778</v>
      </c>
      <c r="L1153" s="32">
        <f t="shared" si="48"/>
        <v>16.438356164383563</v>
      </c>
      <c r="M1153" s="5">
        <f t="shared" si="52"/>
        <v>67.808673724385073</v>
      </c>
      <c r="N1153" s="5">
        <f t="shared" si="47"/>
        <v>14.098901098901099</v>
      </c>
      <c r="O1153" s="32">
        <v>23.467932694857382</v>
      </c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</row>
    <row r="1154" spans="1:38">
      <c r="A1154" s="5">
        <v>511</v>
      </c>
      <c r="B1154" s="11">
        <v>1150</v>
      </c>
      <c r="C1154" s="12">
        <v>46807</v>
      </c>
      <c r="D1154" s="31">
        <f t="shared" si="49"/>
        <v>17</v>
      </c>
      <c r="E1154" s="14"/>
      <c r="F1154" s="5">
        <v>0</v>
      </c>
      <c r="G1154" s="18">
        <f t="shared" si="50"/>
        <v>78.128600000000006</v>
      </c>
      <c r="H1154" s="18">
        <f t="shared" si="51"/>
        <v>19.409836065573771</v>
      </c>
      <c r="I1154" s="32">
        <v>25.21540689504528</v>
      </c>
      <c r="K1154" s="32">
        <v>21.372030235181079</v>
      </c>
      <c r="L1154" s="32">
        <f t="shared" si="48"/>
        <v>16.438356164383563</v>
      </c>
      <c r="M1154" s="5">
        <f t="shared" si="52"/>
        <v>68.950209994215797</v>
      </c>
      <c r="N1154" s="5">
        <f t="shared" si="47"/>
        <v>14.098901098901099</v>
      </c>
      <c r="O1154" s="32">
        <v>37.563893188696817</v>
      </c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</row>
    <row r="1155" spans="1:38">
      <c r="A1155" s="5">
        <v>512</v>
      </c>
      <c r="B1155" s="11">
        <v>1151</v>
      </c>
      <c r="C1155" s="12">
        <v>46808</v>
      </c>
      <c r="D1155" s="31">
        <f t="shared" si="49"/>
        <v>12</v>
      </c>
      <c r="E1155" s="14"/>
      <c r="F1155" s="5">
        <v>0</v>
      </c>
      <c r="G1155" s="18">
        <f t="shared" si="50"/>
        <v>78.281300000000002</v>
      </c>
      <c r="H1155" s="18">
        <f t="shared" si="51"/>
        <v>19.409836065573771</v>
      </c>
      <c r="I1155" s="32">
        <v>14.13328916492557</v>
      </c>
      <c r="K1155" s="32">
        <v>1.856531650863475</v>
      </c>
      <c r="L1155" s="32">
        <f t="shared" si="48"/>
        <v>16.438356164383563</v>
      </c>
      <c r="M1155" s="5">
        <f t="shared" si="52"/>
        <v>69.164666022614909</v>
      </c>
      <c r="N1155" s="5">
        <f t="shared" si="47"/>
        <v>14.098901098901099</v>
      </c>
      <c r="O1155" s="32">
        <v>17.769764257191639</v>
      </c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</row>
    <row r="1156" spans="1:38">
      <c r="A1156" s="5">
        <v>513</v>
      </c>
      <c r="B1156" s="11">
        <v>1152</v>
      </c>
      <c r="C1156" s="12">
        <v>46809</v>
      </c>
      <c r="D1156" s="31">
        <f t="shared" si="49"/>
        <v>15</v>
      </c>
      <c r="E1156" s="14"/>
      <c r="F1156" s="5">
        <v>0</v>
      </c>
      <c r="G1156" s="18">
        <f t="shared" si="50"/>
        <v>78.433999999999997</v>
      </c>
      <c r="H1156" s="18">
        <f t="shared" si="51"/>
        <v>19.409836065573771</v>
      </c>
      <c r="I1156" s="32">
        <v>3.4744275224760748</v>
      </c>
      <c r="K1156" s="32">
        <v>125.251830789778</v>
      </c>
      <c r="L1156" s="32">
        <f t="shared" si="48"/>
        <v>16.438356164383563</v>
      </c>
      <c r="M1156" s="5">
        <f t="shared" si="52"/>
        <v>67.808673724385073</v>
      </c>
      <c r="N1156" s="5">
        <f t="shared" si="47"/>
        <v>14.098901098901099</v>
      </c>
      <c r="O1156" s="32">
        <v>22.35502165467209</v>
      </c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</row>
    <row r="1157" spans="1:38">
      <c r="A1157" s="5">
        <v>514</v>
      </c>
      <c r="B1157" s="11">
        <v>1153</v>
      </c>
      <c r="C1157" s="12">
        <v>46810</v>
      </c>
      <c r="D1157" s="31">
        <f t="shared" si="49"/>
        <v>16</v>
      </c>
      <c r="E1157" s="14"/>
      <c r="F1157" s="5">
        <v>0</v>
      </c>
      <c r="G1157" s="18">
        <f t="shared" si="50"/>
        <v>78.586700000000008</v>
      </c>
      <c r="H1157" s="18">
        <f t="shared" si="51"/>
        <v>19.409836065573771</v>
      </c>
      <c r="I1157" s="32">
        <v>9.7238289497517254</v>
      </c>
      <c r="K1157" s="32">
        <v>125.251830789778</v>
      </c>
      <c r="L1157" s="32">
        <f t="shared" si="48"/>
        <v>16.438356164383563</v>
      </c>
      <c r="M1157" s="5">
        <f t="shared" si="52"/>
        <v>67.808673724385073</v>
      </c>
      <c r="N1157" s="5">
        <f t="shared" ref="N1157:N1220" si="53">AVERAGE($O$644:$O$734)</f>
        <v>14.098901098901099</v>
      </c>
      <c r="O1157" s="32">
        <v>12.9948586077413</v>
      </c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</row>
    <row r="1158" spans="1:38">
      <c r="A1158" s="5">
        <v>515</v>
      </c>
      <c r="B1158" s="11">
        <v>1154</v>
      </c>
      <c r="C1158" s="12">
        <v>46811</v>
      </c>
      <c r="D1158" s="31">
        <f t="shared" si="49"/>
        <v>22</v>
      </c>
      <c r="E1158" s="14"/>
      <c r="F1158" s="5">
        <v>0</v>
      </c>
      <c r="G1158" s="18">
        <f t="shared" si="50"/>
        <v>78.739400000000003</v>
      </c>
      <c r="H1158" s="18">
        <f t="shared" si="51"/>
        <v>19.409836065573771</v>
      </c>
      <c r="I1158" s="32">
        <v>34.157573005668439</v>
      </c>
      <c r="K1158" s="32">
        <v>21.372030235181079</v>
      </c>
      <c r="L1158" s="32">
        <f t="shared" si="48"/>
        <v>16.438356164383563</v>
      </c>
      <c r="M1158" s="5">
        <f t="shared" si="52"/>
        <v>68.950209994215797</v>
      </c>
      <c r="N1158" s="5">
        <f t="shared" si="53"/>
        <v>14.098901098901099</v>
      </c>
      <c r="O1158" s="32">
        <v>11.24915780894173</v>
      </c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</row>
    <row r="1159" spans="1:38">
      <c r="A1159" s="5">
        <v>516</v>
      </c>
      <c r="B1159" s="11">
        <v>1155</v>
      </c>
      <c r="C1159" s="12">
        <v>46812</v>
      </c>
      <c r="D1159" s="31">
        <f t="shared" si="49"/>
        <v>18</v>
      </c>
      <c r="E1159" s="14"/>
      <c r="F1159" s="5">
        <v>0</v>
      </c>
      <c r="G1159" s="18">
        <f t="shared" si="50"/>
        <v>78.892099999999999</v>
      </c>
      <c r="H1159" s="18">
        <f t="shared" si="51"/>
        <v>19.409836065573771</v>
      </c>
      <c r="I1159" s="32">
        <v>12.08149369735211</v>
      </c>
      <c r="K1159" s="32">
        <v>1.856531650863475</v>
      </c>
      <c r="L1159" s="32">
        <f t="shared" si="48"/>
        <v>16.438356164383563</v>
      </c>
      <c r="M1159" s="5">
        <f t="shared" si="52"/>
        <v>69.164666022614909</v>
      </c>
      <c r="N1159" s="5">
        <f t="shared" si="53"/>
        <v>14.098901098901099</v>
      </c>
      <c r="O1159" s="32">
        <v>28.647449183292771</v>
      </c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</row>
    <row r="1160" spans="1:38">
      <c r="A1160" s="5">
        <v>517</v>
      </c>
      <c r="B1160" s="11">
        <v>1156</v>
      </c>
      <c r="C1160" s="12">
        <v>46813</v>
      </c>
      <c r="D1160" s="31">
        <f t="shared" si="49"/>
        <v>21</v>
      </c>
      <c r="E1160" s="14"/>
      <c r="F1160" s="5">
        <v>0</v>
      </c>
      <c r="G1160" s="18">
        <f t="shared" si="50"/>
        <v>79.044799999999995</v>
      </c>
      <c r="H1160" s="18">
        <f t="shared" si="51"/>
        <v>19.409836065573771</v>
      </c>
      <c r="I1160" s="32">
        <v>20.394423285599409</v>
      </c>
      <c r="K1160" s="32">
        <v>125.251830789778</v>
      </c>
      <c r="L1160" s="32">
        <f t="shared" si="48"/>
        <v>16.438356164383563</v>
      </c>
      <c r="M1160" s="5">
        <f t="shared" si="52"/>
        <v>67.808673724385073</v>
      </c>
      <c r="N1160" s="5">
        <f t="shared" si="53"/>
        <v>14.098901098901099</v>
      </c>
      <c r="O1160" s="32">
        <v>14.848837556400889</v>
      </c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</row>
    <row r="1161" spans="1:38">
      <c r="A1161" s="5">
        <v>518</v>
      </c>
      <c r="B1161" s="11">
        <v>1157</v>
      </c>
      <c r="C1161" s="12">
        <v>46814</v>
      </c>
      <c r="D1161" s="31">
        <f t="shared" si="49"/>
        <v>20</v>
      </c>
      <c r="E1161" s="14"/>
      <c r="F1161" s="5">
        <v>0</v>
      </c>
      <c r="G1161" s="18">
        <f t="shared" si="50"/>
        <v>79.197500000000005</v>
      </c>
      <c r="H1161" s="18">
        <f t="shared" si="51"/>
        <v>19.409836065573771</v>
      </c>
      <c r="I1161" s="32">
        <v>29.399255030871831</v>
      </c>
      <c r="K1161" s="32">
        <v>125.251830789778</v>
      </c>
      <c r="L1161" s="32">
        <f t="shared" si="48"/>
        <v>16.438356164383563</v>
      </c>
      <c r="M1161" s="5">
        <f t="shared" si="52"/>
        <v>67.808673724385073</v>
      </c>
      <c r="N1161" s="5">
        <f t="shared" si="53"/>
        <v>14.098901098901099</v>
      </c>
      <c r="O1161" s="32">
        <v>33.342540874105772</v>
      </c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</row>
    <row r="1162" spans="1:38">
      <c r="A1162" s="5">
        <v>519</v>
      </c>
      <c r="B1162" s="11">
        <v>1158</v>
      </c>
      <c r="C1162" s="12">
        <v>46815</v>
      </c>
      <c r="D1162" s="31">
        <f t="shared" si="49"/>
        <v>40</v>
      </c>
      <c r="E1162" s="14"/>
      <c r="F1162" s="5">
        <v>0</v>
      </c>
      <c r="G1162" s="18">
        <f t="shared" si="50"/>
        <v>79.350200000000001</v>
      </c>
      <c r="H1162" s="18">
        <f t="shared" si="51"/>
        <v>19.409836065573771</v>
      </c>
      <c r="I1162" s="32">
        <v>13.80058628039969</v>
      </c>
      <c r="K1162" s="32">
        <v>21.372030235181079</v>
      </c>
      <c r="L1162" s="32">
        <f t="shared" si="48"/>
        <v>16.438356164383563</v>
      </c>
      <c r="M1162" s="5">
        <f t="shared" si="52"/>
        <v>68.950209994215797</v>
      </c>
      <c r="N1162" s="5">
        <f t="shared" si="53"/>
        <v>14.098901098901099</v>
      </c>
      <c r="O1162" s="32">
        <v>17.565057539404791</v>
      </c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</row>
    <row r="1163" spans="1:38">
      <c r="A1163" s="5">
        <v>520</v>
      </c>
      <c r="B1163" s="11">
        <v>1159</v>
      </c>
      <c r="C1163" s="12">
        <v>46816</v>
      </c>
      <c r="D1163" s="31">
        <f t="shared" si="49"/>
        <v>13</v>
      </c>
      <c r="E1163" s="14"/>
      <c r="F1163" s="5">
        <v>0</v>
      </c>
      <c r="G1163" s="18">
        <f t="shared" si="50"/>
        <v>79.502899999999997</v>
      </c>
      <c r="H1163" s="18">
        <f t="shared" si="51"/>
        <v>19.409836065573771</v>
      </c>
      <c r="I1163" s="32">
        <v>5.0873589388202127</v>
      </c>
      <c r="K1163" s="32">
        <v>1.856531650863475</v>
      </c>
      <c r="L1163" s="32">
        <f t="shared" si="48"/>
        <v>16.438356164383563</v>
      </c>
      <c r="M1163" s="5">
        <f t="shared" si="52"/>
        <v>69.164666022614909</v>
      </c>
      <c r="N1163" s="5">
        <f t="shared" si="53"/>
        <v>14.098901098901099</v>
      </c>
      <c r="O1163" s="32">
        <v>14.01319780404712</v>
      </c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</row>
    <row r="1164" spans="1:38">
      <c r="A1164" s="5">
        <v>521</v>
      </c>
      <c r="B1164" s="11">
        <v>1160</v>
      </c>
      <c r="C1164" s="12">
        <v>46817</v>
      </c>
      <c r="D1164" s="31">
        <f t="shared" si="49"/>
        <v>4</v>
      </c>
      <c r="E1164" s="14"/>
      <c r="F1164" s="5">
        <v>0</v>
      </c>
      <c r="G1164" s="18">
        <f t="shared" si="50"/>
        <v>79.655600000000007</v>
      </c>
      <c r="H1164" s="18">
        <f t="shared" si="51"/>
        <v>19.409836065573771</v>
      </c>
      <c r="I1164" s="32">
        <v>25.133979017858518</v>
      </c>
      <c r="K1164" s="32">
        <v>125.251830789778</v>
      </c>
      <c r="L1164" s="32">
        <f t="shared" si="48"/>
        <v>16.438356164383563</v>
      </c>
      <c r="M1164" s="5">
        <f t="shared" si="52"/>
        <v>67.808673724385073</v>
      </c>
      <c r="N1164" s="5">
        <f t="shared" si="53"/>
        <v>14.098901098901099</v>
      </c>
      <c r="O1164" s="32">
        <v>9.3887216703554319</v>
      </c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</row>
    <row r="1165" spans="1:38">
      <c r="A1165" s="5">
        <v>522</v>
      </c>
      <c r="B1165" s="11">
        <v>1161</v>
      </c>
      <c r="C1165" s="12">
        <v>46818</v>
      </c>
      <c r="D1165" s="31">
        <f t="shared" si="49"/>
        <v>15</v>
      </c>
      <c r="E1165" s="14"/>
      <c r="F1165" s="5">
        <v>0</v>
      </c>
      <c r="G1165" s="18">
        <f t="shared" si="50"/>
        <v>79.808300000000003</v>
      </c>
      <c r="H1165" s="18">
        <f t="shared" si="51"/>
        <v>19.409836065573771</v>
      </c>
      <c r="I1165" s="32">
        <v>32.408593058703403</v>
      </c>
      <c r="K1165" s="32">
        <v>125.251830789778</v>
      </c>
      <c r="L1165" s="32">
        <f t="shared" si="48"/>
        <v>16.438356164383563</v>
      </c>
      <c r="M1165" s="5">
        <f t="shared" si="52"/>
        <v>67.808673724385073</v>
      </c>
      <c r="N1165" s="5">
        <f t="shared" si="53"/>
        <v>14.098901098901099</v>
      </c>
      <c r="O1165" s="32">
        <v>28.415423495525161</v>
      </c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</row>
    <row r="1166" spans="1:38">
      <c r="A1166" s="5">
        <v>523</v>
      </c>
      <c r="B1166" s="11">
        <v>1162</v>
      </c>
      <c r="C1166" s="12">
        <v>46819</v>
      </c>
      <c r="D1166" s="31">
        <f t="shared" si="49"/>
        <v>34</v>
      </c>
      <c r="E1166" s="14"/>
      <c r="F1166" s="5">
        <v>0</v>
      </c>
      <c r="G1166" s="18">
        <f t="shared" si="50"/>
        <v>79.960999999999999</v>
      </c>
      <c r="H1166" s="18">
        <f t="shared" si="51"/>
        <v>19.409836065573771</v>
      </c>
      <c r="I1166" s="32">
        <v>28.19256475689437</v>
      </c>
      <c r="K1166" s="32">
        <v>21.372030235181079</v>
      </c>
      <c r="L1166" s="32">
        <f t="shared" si="48"/>
        <v>16.438356164383563</v>
      </c>
      <c r="M1166" s="5">
        <f t="shared" si="52"/>
        <v>68.950209994215797</v>
      </c>
      <c r="N1166" s="5">
        <f t="shared" si="53"/>
        <v>14.098901098901099</v>
      </c>
      <c r="O1166" s="32">
        <v>17.407555696242792</v>
      </c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</row>
    <row r="1167" spans="1:38">
      <c r="A1167" s="5">
        <v>524</v>
      </c>
      <c r="B1167" s="11">
        <v>1163</v>
      </c>
      <c r="C1167" s="12">
        <v>46820</v>
      </c>
      <c r="D1167" s="31">
        <f t="shared" si="49"/>
        <v>14</v>
      </c>
      <c r="E1167" s="14"/>
      <c r="F1167" s="5">
        <v>0</v>
      </c>
      <c r="G1167" s="18">
        <f t="shared" si="50"/>
        <v>80.113700000000009</v>
      </c>
      <c r="H1167" s="18">
        <f t="shared" si="51"/>
        <v>19.409836065573771</v>
      </c>
      <c r="I1167" s="32">
        <v>21.31792897218963</v>
      </c>
      <c r="K1167" s="32">
        <v>1.856531650863475</v>
      </c>
      <c r="L1167" s="32">
        <f t="shared" si="48"/>
        <v>16.438356164383563</v>
      </c>
      <c r="M1167" s="5">
        <f t="shared" si="52"/>
        <v>69.164666022614909</v>
      </c>
      <c r="N1167" s="5">
        <f t="shared" si="53"/>
        <v>14.098901098901099</v>
      </c>
      <c r="O1167" s="32">
        <v>18.99918843061203</v>
      </c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</row>
    <row r="1168" spans="1:38">
      <c r="A1168" s="5">
        <v>525</v>
      </c>
      <c r="B1168" s="11">
        <v>1164</v>
      </c>
      <c r="C1168" s="12">
        <v>46821</v>
      </c>
      <c r="D1168" s="31">
        <f t="shared" si="49"/>
        <v>34</v>
      </c>
      <c r="E1168" s="14"/>
      <c r="F1168" s="5">
        <v>0</v>
      </c>
      <c r="G1168" s="18">
        <f t="shared" si="50"/>
        <v>80.266400000000004</v>
      </c>
      <c r="H1168" s="18">
        <f t="shared" si="51"/>
        <v>19.409836065573771</v>
      </c>
      <c r="I1168" s="32">
        <v>29.58575982891184</v>
      </c>
      <c r="K1168" s="32">
        <v>125.251830789778</v>
      </c>
      <c r="L1168" s="32">
        <f t="shared" si="48"/>
        <v>16.438356164383563</v>
      </c>
      <c r="M1168" s="5">
        <f t="shared" si="52"/>
        <v>67.808673724385073</v>
      </c>
      <c r="N1168" s="5">
        <f t="shared" si="53"/>
        <v>14.098901098901099</v>
      </c>
      <c r="O1168" s="32">
        <v>16.721030687987771</v>
      </c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</row>
    <row r="1169" spans="1:38">
      <c r="A1169" s="5">
        <v>526</v>
      </c>
      <c r="B1169" s="11">
        <v>1165</v>
      </c>
      <c r="C1169" s="12">
        <v>46822</v>
      </c>
      <c r="D1169" s="31">
        <f t="shared" si="49"/>
        <v>22</v>
      </c>
      <c r="E1169" s="14"/>
      <c r="F1169" s="5">
        <v>0</v>
      </c>
      <c r="G1169" s="18">
        <f t="shared" si="50"/>
        <v>80.4191</v>
      </c>
      <c r="H1169" s="18">
        <f t="shared" si="51"/>
        <v>19.409836065573771</v>
      </c>
      <c r="I1169" s="32">
        <v>28.716974740392381</v>
      </c>
      <c r="K1169" s="32">
        <v>125.251830789778</v>
      </c>
      <c r="L1169" s="32">
        <f t="shared" si="48"/>
        <v>16.438356164383563</v>
      </c>
      <c r="M1169" s="5">
        <f t="shared" si="52"/>
        <v>67.808673724385073</v>
      </c>
      <c r="N1169" s="5">
        <f t="shared" si="53"/>
        <v>14.098901098901099</v>
      </c>
      <c r="O1169" s="32">
        <v>4.7871708624876144</v>
      </c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</row>
    <row r="1170" spans="1:38">
      <c r="A1170" s="5">
        <v>527</v>
      </c>
      <c r="B1170" s="11">
        <v>1166</v>
      </c>
      <c r="C1170" s="12">
        <v>46823</v>
      </c>
      <c r="D1170" s="31">
        <f t="shared" si="49"/>
        <v>40</v>
      </c>
      <c r="E1170" s="14"/>
      <c r="F1170" s="5">
        <v>0</v>
      </c>
      <c r="G1170" s="18">
        <f t="shared" si="50"/>
        <v>80.571799999999996</v>
      </c>
      <c r="H1170" s="18">
        <f t="shared" si="51"/>
        <v>19.409836065573771</v>
      </c>
      <c r="I1170" s="32">
        <v>15.430884674209381</v>
      </c>
      <c r="K1170" s="32">
        <v>21.372030235181079</v>
      </c>
      <c r="L1170" s="32">
        <f t="shared" si="48"/>
        <v>16.438356164383563</v>
      </c>
      <c r="M1170" s="5">
        <f t="shared" si="52"/>
        <v>68.950209994215797</v>
      </c>
      <c r="N1170" s="5">
        <f t="shared" si="53"/>
        <v>14.098901098901099</v>
      </c>
      <c r="O1170" s="32">
        <v>17.606169271402671</v>
      </c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</row>
    <row r="1171" spans="1:38">
      <c r="A1171" s="5">
        <v>528</v>
      </c>
      <c r="B1171" s="11">
        <v>1167</v>
      </c>
      <c r="C1171" s="12">
        <v>46824</v>
      </c>
      <c r="D1171" s="31">
        <f t="shared" si="49"/>
        <v>25</v>
      </c>
      <c r="E1171" s="14"/>
      <c r="F1171" s="5">
        <v>0</v>
      </c>
      <c r="G1171" s="18">
        <f t="shared" si="50"/>
        <v>80.724500000000006</v>
      </c>
      <c r="H1171" s="18">
        <f t="shared" si="51"/>
        <v>19.409836065573771</v>
      </c>
      <c r="I1171" s="32">
        <v>25.147157785868679</v>
      </c>
      <c r="K1171" s="32">
        <v>1.856531650863475</v>
      </c>
      <c r="L1171" s="32">
        <f t="shared" si="48"/>
        <v>16.438356164383563</v>
      </c>
      <c r="M1171" s="5">
        <f t="shared" si="52"/>
        <v>69.164666022614909</v>
      </c>
      <c r="N1171" s="5">
        <f t="shared" si="53"/>
        <v>14.098901098901099</v>
      </c>
      <c r="O1171" s="32">
        <v>30.377460258646838</v>
      </c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</row>
    <row r="1172" spans="1:38">
      <c r="A1172" s="5">
        <v>529</v>
      </c>
      <c r="B1172" s="11">
        <v>1168</v>
      </c>
      <c r="C1172" s="12">
        <v>46825</v>
      </c>
      <c r="D1172" s="31">
        <f t="shared" si="49"/>
        <v>29</v>
      </c>
      <c r="E1172" s="14"/>
      <c r="F1172" s="5">
        <v>0</v>
      </c>
      <c r="G1172" s="18">
        <f t="shared" si="50"/>
        <v>80.877200000000002</v>
      </c>
      <c r="H1172" s="18">
        <f t="shared" si="51"/>
        <v>19.409836065573771</v>
      </c>
      <c r="I1172" s="32">
        <v>41.897295080177557</v>
      </c>
      <c r="K1172" s="32">
        <v>125.251830789778</v>
      </c>
      <c r="L1172" s="32">
        <f t="shared" si="48"/>
        <v>16.438356164383563</v>
      </c>
      <c r="M1172" s="5">
        <f t="shared" si="52"/>
        <v>67.808673724385073</v>
      </c>
      <c r="N1172" s="5">
        <f t="shared" si="53"/>
        <v>14.098901098901099</v>
      </c>
      <c r="O1172" s="32">
        <v>30.094861914620761</v>
      </c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</row>
    <row r="1173" spans="1:38">
      <c r="A1173" s="5">
        <v>530</v>
      </c>
      <c r="B1173" s="11">
        <v>1169</v>
      </c>
      <c r="C1173" s="12">
        <v>46826</v>
      </c>
      <c r="D1173" s="31">
        <f t="shared" si="49"/>
        <v>42</v>
      </c>
      <c r="E1173" s="14"/>
      <c r="F1173" s="5">
        <v>0</v>
      </c>
      <c r="G1173" s="18">
        <f t="shared" si="50"/>
        <v>81.029899999999998</v>
      </c>
      <c r="H1173" s="18">
        <f t="shared" si="51"/>
        <v>19.409836065573771</v>
      </c>
      <c r="I1173" s="32">
        <v>34.26514825750769</v>
      </c>
      <c r="K1173" s="32">
        <v>125.251830789778</v>
      </c>
      <c r="L1173" s="32">
        <f t="shared" si="48"/>
        <v>16.438356164383563</v>
      </c>
      <c r="M1173" s="5">
        <f t="shared" si="52"/>
        <v>67.808673724385073</v>
      </c>
      <c r="N1173" s="5">
        <f t="shared" si="53"/>
        <v>14.098901098901099</v>
      </c>
      <c r="O1173" s="32">
        <v>24.56843318062737</v>
      </c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</row>
    <row r="1174" spans="1:38">
      <c r="A1174" s="5">
        <v>531</v>
      </c>
      <c r="B1174" s="11">
        <v>1170</v>
      </c>
      <c r="C1174" s="12">
        <v>46827</v>
      </c>
      <c r="D1174" s="31">
        <f t="shared" si="49"/>
        <v>17</v>
      </c>
      <c r="E1174" s="14"/>
      <c r="F1174" s="5">
        <v>0</v>
      </c>
      <c r="G1174" s="18">
        <f t="shared" si="50"/>
        <v>81.182600000000008</v>
      </c>
      <c r="H1174" s="18">
        <f t="shared" si="51"/>
        <v>19.409836065573771</v>
      </c>
      <c r="I1174" s="32">
        <v>33.311062710504913</v>
      </c>
      <c r="K1174" s="32">
        <v>21.372030235181079</v>
      </c>
      <c r="L1174" s="32">
        <f t="shared" si="48"/>
        <v>16.438356164383563</v>
      </c>
      <c r="M1174" s="5">
        <f t="shared" si="52"/>
        <v>68.950209994215797</v>
      </c>
      <c r="N1174" s="5">
        <f t="shared" si="53"/>
        <v>14.098901098901099</v>
      </c>
      <c r="O1174" s="32">
        <v>22.148718793489579</v>
      </c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</row>
    <row r="1175" spans="1:38">
      <c r="A1175" s="5">
        <v>532</v>
      </c>
      <c r="B1175" s="11">
        <v>1171</v>
      </c>
      <c r="C1175" s="12">
        <v>46828</v>
      </c>
      <c r="D1175" s="31">
        <f t="shared" si="49"/>
        <v>23</v>
      </c>
      <c r="E1175" s="14"/>
      <c r="F1175" s="5">
        <v>0</v>
      </c>
      <c r="G1175" s="18">
        <f t="shared" si="50"/>
        <v>81.335300000000004</v>
      </c>
      <c r="H1175" s="18">
        <f t="shared" si="51"/>
        <v>19.409836065573771</v>
      </c>
      <c r="I1175" s="32">
        <v>31.92016135481396</v>
      </c>
      <c r="K1175" s="32">
        <v>1.856531650863475</v>
      </c>
      <c r="L1175" s="32">
        <f t="shared" si="48"/>
        <v>16.438356164383563</v>
      </c>
      <c r="M1175" s="5">
        <f t="shared" si="52"/>
        <v>69.164666022614909</v>
      </c>
      <c r="N1175" s="5">
        <f t="shared" si="53"/>
        <v>14.098901098901099</v>
      </c>
      <c r="O1175" s="32">
        <v>8.5521578977738741</v>
      </c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</row>
    <row r="1176" spans="1:38">
      <c r="A1176" s="5">
        <v>533</v>
      </c>
      <c r="B1176" s="11">
        <v>1172</v>
      </c>
      <c r="C1176" s="12">
        <v>46829</v>
      </c>
      <c r="D1176" s="31">
        <f t="shared" si="49"/>
        <v>41</v>
      </c>
      <c r="E1176" s="14"/>
      <c r="F1176" s="5">
        <v>0</v>
      </c>
      <c r="G1176" s="18">
        <f t="shared" si="50"/>
        <v>81.488</v>
      </c>
      <c r="H1176" s="18">
        <f t="shared" si="51"/>
        <v>19.409836065573771</v>
      </c>
      <c r="I1176" s="32">
        <v>26.94217404601838</v>
      </c>
      <c r="K1176" s="32">
        <v>125.251830789778</v>
      </c>
      <c r="L1176" s="32">
        <f t="shared" si="48"/>
        <v>16.438356164383563</v>
      </c>
      <c r="M1176" s="5">
        <f t="shared" si="52"/>
        <v>67.808673724385073</v>
      </c>
      <c r="N1176" s="5">
        <f t="shared" si="53"/>
        <v>14.098901098901099</v>
      </c>
      <c r="O1176" s="32">
        <v>9.3876893385362834</v>
      </c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</row>
    <row r="1177" spans="1:38">
      <c r="A1177" s="5">
        <v>534</v>
      </c>
      <c r="B1177" s="11">
        <v>1173</v>
      </c>
      <c r="C1177" s="12">
        <v>46830</v>
      </c>
      <c r="D1177" s="31">
        <f t="shared" si="49"/>
        <v>39</v>
      </c>
      <c r="E1177" s="14"/>
      <c r="F1177" s="5">
        <v>0</v>
      </c>
      <c r="G1177" s="18">
        <f t="shared" si="50"/>
        <v>81.640699999999995</v>
      </c>
      <c r="H1177" s="18">
        <f t="shared" si="51"/>
        <v>19.409836065573771</v>
      </c>
      <c r="I1177" s="32">
        <v>25.715830555286999</v>
      </c>
      <c r="K1177" s="32">
        <v>125.251830789778</v>
      </c>
      <c r="L1177" s="32">
        <f t="shared" si="48"/>
        <v>16.438356164383563</v>
      </c>
      <c r="M1177" s="5">
        <f t="shared" si="52"/>
        <v>67.808673724385073</v>
      </c>
      <c r="N1177" s="5">
        <f t="shared" si="53"/>
        <v>14.098901098901099</v>
      </c>
      <c r="O1177" s="32">
        <v>8.1661655652064553</v>
      </c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</row>
    <row r="1178" spans="1:38">
      <c r="A1178" s="5">
        <v>535</v>
      </c>
      <c r="B1178" s="11">
        <v>1174</v>
      </c>
      <c r="C1178" s="12">
        <v>46831</v>
      </c>
      <c r="D1178" s="31">
        <f t="shared" si="49"/>
        <v>12</v>
      </c>
      <c r="E1178" s="14"/>
      <c r="F1178" s="5">
        <v>0</v>
      </c>
      <c r="G1178" s="18">
        <f t="shared" si="50"/>
        <v>81.793400000000005</v>
      </c>
      <c r="H1178" s="18">
        <f t="shared" si="51"/>
        <v>19.409836065573771</v>
      </c>
      <c r="I1178" s="32">
        <v>23.638971046323149</v>
      </c>
      <c r="K1178" s="32">
        <v>21.372030235181079</v>
      </c>
      <c r="L1178" s="32">
        <f t="shared" si="48"/>
        <v>16.438356164383563</v>
      </c>
      <c r="M1178" s="5">
        <f t="shared" si="52"/>
        <v>68.950209994215797</v>
      </c>
      <c r="N1178" s="5">
        <f t="shared" si="53"/>
        <v>14.098901098901099</v>
      </c>
      <c r="O1178" s="32">
        <v>16.70150195672214</v>
      </c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</row>
    <row r="1179" spans="1:38">
      <c r="A1179" s="5">
        <v>536</v>
      </c>
      <c r="B1179" s="11">
        <v>1175</v>
      </c>
      <c r="C1179" s="12">
        <v>46832</v>
      </c>
      <c r="D1179" s="31">
        <f t="shared" si="49"/>
        <v>14</v>
      </c>
      <c r="E1179" s="14"/>
      <c r="F1179" s="5">
        <v>0</v>
      </c>
      <c r="G1179" s="18">
        <f t="shared" si="50"/>
        <v>81.946100000000001</v>
      </c>
      <c r="H1179" s="18">
        <f t="shared" si="51"/>
        <v>19.409836065573771</v>
      </c>
      <c r="I1179" s="32">
        <v>25.47510156885064</v>
      </c>
      <c r="K1179" s="32">
        <v>1.856531650863475</v>
      </c>
      <c r="L1179" s="32">
        <f t="shared" si="48"/>
        <v>16.438356164383563</v>
      </c>
      <c r="M1179" s="5">
        <f t="shared" si="52"/>
        <v>69.164666022614909</v>
      </c>
      <c r="N1179" s="5">
        <f t="shared" si="53"/>
        <v>14.098901098901099</v>
      </c>
      <c r="O1179" s="32">
        <v>22.68276491907017</v>
      </c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</row>
    <row r="1180" spans="1:38">
      <c r="A1180" s="5">
        <v>537</v>
      </c>
      <c r="B1180" s="11">
        <v>1176</v>
      </c>
      <c r="C1180" s="12">
        <v>46833</v>
      </c>
      <c r="D1180" s="31">
        <f t="shared" si="49"/>
        <v>37</v>
      </c>
      <c r="E1180" s="14"/>
      <c r="F1180" s="5">
        <v>0</v>
      </c>
      <c r="G1180" s="18">
        <f t="shared" si="50"/>
        <v>82.098799999999997</v>
      </c>
      <c r="H1180" s="18">
        <f t="shared" si="51"/>
        <v>19.409836065573771</v>
      </c>
      <c r="I1180" s="32">
        <v>25.274574645063701</v>
      </c>
      <c r="K1180" s="32">
        <v>125.251830789778</v>
      </c>
      <c r="L1180" s="32">
        <f t="shared" si="48"/>
        <v>16.438356164383563</v>
      </c>
      <c r="M1180" s="5">
        <f t="shared" si="52"/>
        <v>67.808673724385073</v>
      </c>
      <c r="N1180" s="5">
        <f t="shared" si="53"/>
        <v>14.098901098901099</v>
      </c>
      <c r="O1180" s="32">
        <v>32.858451927935249</v>
      </c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</row>
    <row r="1181" spans="1:38">
      <c r="A1181" s="5">
        <v>538</v>
      </c>
      <c r="B1181" s="11">
        <v>1177</v>
      </c>
      <c r="C1181" s="12">
        <v>46834</v>
      </c>
      <c r="D1181" s="31">
        <f t="shared" si="49"/>
        <v>33</v>
      </c>
      <c r="E1181" s="14"/>
      <c r="F1181" s="5">
        <v>0</v>
      </c>
      <c r="G1181" s="18">
        <f t="shared" si="50"/>
        <v>82.251500000000007</v>
      </c>
      <c r="H1181" s="18">
        <f t="shared" si="51"/>
        <v>19.409836065573771</v>
      </c>
      <c r="I1181" s="32">
        <v>41.693898582144662</v>
      </c>
      <c r="K1181" s="32">
        <v>125.251830789778</v>
      </c>
      <c r="L1181" s="32">
        <f t="shared" si="48"/>
        <v>16.438356164383563</v>
      </c>
      <c r="M1181" s="5">
        <f t="shared" si="52"/>
        <v>67.808673724385073</v>
      </c>
      <c r="N1181" s="5">
        <f t="shared" si="53"/>
        <v>14.098901098901099</v>
      </c>
      <c r="O1181" s="32">
        <v>15.04962886382717</v>
      </c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</row>
    <row r="1182" spans="1:38">
      <c r="A1182" s="5">
        <v>539</v>
      </c>
      <c r="B1182" s="11">
        <v>1178</v>
      </c>
      <c r="C1182" s="12">
        <v>46835</v>
      </c>
      <c r="D1182" s="31">
        <f t="shared" si="49"/>
        <v>43</v>
      </c>
      <c r="E1182" s="14"/>
      <c r="F1182" s="5">
        <v>0</v>
      </c>
      <c r="G1182" s="18">
        <f t="shared" si="50"/>
        <v>82.404200000000003</v>
      </c>
      <c r="H1182" s="18">
        <f t="shared" si="51"/>
        <v>19.409836065573771</v>
      </c>
      <c r="I1182" s="32">
        <v>41.119022590853383</v>
      </c>
      <c r="K1182" s="32">
        <v>21.372030235181079</v>
      </c>
      <c r="L1182" s="32">
        <f t="shared" si="48"/>
        <v>16.438356164383563</v>
      </c>
      <c r="M1182" s="5">
        <f t="shared" si="52"/>
        <v>68.950209994215797</v>
      </c>
      <c r="N1182" s="5">
        <f t="shared" si="53"/>
        <v>14.098901098901099</v>
      </c>
      <c r="O1182" s="32">
        <v>25.189225309339001</v>
      </c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</row>
    <row r="1183" spans="1:38">
      <c r="A1183" s="5">
        <v>540</v>
      </c>
      <c r="B1183" s="11">
        <v>1179</v>
      </c>
      <c r="C1183" s="12">
        <v>46836</v>
      </c>
      <c r="D1183" s="31">
        <f t="shared" si="49"/>
        <v>33</v>
      </c>
      <c r="E1183" s="14"/>
      <c r="F1183" s="5">
        <v>0</v>
      </c>
      <c r="G1183" s="18">
        <f t="shared" si="50"/>
        <v>82.556899999999999</v>
      </c>
      <c r="H1183" s="18">
        <f t="shared" si="51"/>
        <v>19.409836065573771</v>
      </c>
      <c r="I1183" s="32">
        <v>43.381922564071402</v>
      </c>
      <c r="K1183" s="32">
        <v>1.856531650863475</v>
      </c>
      <c r="L1183" s="32">
        <f t="shared" ref="L1183:L1246" si="54">12000/730</f>
        <v>16.438356164383563</v>
      </c>
      <c r="M1183" s="5">
        <f t="shared" si="52"/>
        <v>69.164666022614909</v>
      </c>
      <c r="N1183" s="5">
        <f t="shared" si="53"/>
        <v>14.098901098901099</v>
      </c>
      <c r="O1183" s="32">
        <v>18.437345076377529</v>
      </c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</row>
    <row r="1184" spans="1:38">
      <c r="A1184" s="5">
        <v>541</v>
      </c>
      <c r="B1184" s="11">
        <v>1180</v>
      </c>
      <c r="C1184" s="12">
        <v>46837</v>
      </c>
      <c r="D1184" s="31">
        <f t="shared" ref="D1184:D1247" si="55">ROUNDUP(_xlfn.FORECAST.ETS(B1184,$D$5:$D$734,$B$5:$B$734,365,0,1),0)</f>
        <v>40</v>
      </c>
      <c r="E1184" s="14"/>
      <c r="F1184" s="5">
        <v>0</v>
      </c>
      <c r="G1184" s="18">
        <f t="shared" ref="G1184:G1247" si="56">0.1527*A1184+0.0989</f>
        <v>82.709599999999995</v>
      </c>
      <c r="H1184" s="18">
        <f t="shared" ref="H1184:H1247" si="57">AVERAGE($I$674:$I$734)</f>
        <v>19.409836065573771</v>
      </c>
      <c r="I1184" s="32">
        <v>37.932848063678144</v>
      </c>
      <c r="K1184" s="32">
        <v>125.251830789778</v>
      </c>
      <c r="L1184" s="32">
        <f t="shared" si="54"/>
        <v>16.438356164383563</v>
      </c>
      <c r="M1184" s="5">
        <f t="shared" ref="M1184:M1247" si="58">AVERAGE(K1093:K1183)</f>
        <v>67.808673724385073</v>
      </c>
      <c r="N1184" s="5">
        <f t="shared" si="53"/>
        <v>14.098901098901099</v>
      </c>
      <c r="O1184" s="32">
        <v>14.630149464027999</v>
      </c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</row>
    <row r="1185" spans="1:38">
      <c r="A1185" s="5">
        <v>542</v>
      </c>
      <c r="B1185" s="11">
        <v>1181</v>
      </c>
      <c r="C1185" s="12">
        <v>46838</v>
      </c>
      <c r="D1185" s="31">
        <f t="shared" si="55"/>
        <v>32</v>
      </c>
      <c r="E1185" s="14"/>
      <c r="F1185" s="5">
        <v>0</v>
      </c>
      <c r="G1185" s="18">
        <f t="shared" si="56"/>
        <v>82.862300000000005</v>
      </c>
      <c r="H1185" s="18">
        <f t="shared" si="57"/>
        <v>19.409836065573771</v>
      </c>
      <c r="I1185" s="32">
        <v>20.544269931742601</v>
      </c>
      <c r="K1185" s="32">
        <v>125.251830789778</v>
      </c>
      <c r="L1185" s="32">
        <f t="shared" si="54"/>
        <v>16.438356164383563</v>
      </c>
      <c r="M1185" s="5">
        <f t="shared" si="58"/>
        <v>67.808673724385073</v>
      </c>
      <c r="N1185" s="5">
        <f t="shared" si="53"/>
        <v>14.098901098901099</v>
      </c>
      <c r="O1185" s="32">
        <v>21.226121556712791</v>
      </c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</row>
    <row r="1186" spans="1:38">
      <c r="A1186" s="5">
        <v>543</v>
      </c>
      <c r="B1186" s="11">
        <v>1182</v>
      </c>
      <c r="C1186" s="12">
        <v>46839</v>
      </c>
      <c r="D1186" s="31">
        <f t="shared" si="55"/>
        <v>35</v>
      </c>
      <c r="E1186" s="14"/>
      <c r="F1186" s="5">
        <v>0</v>
      </c>
      <c r="G1186" s="18">
        <f t="shared" si="56"/>
        <v>83.015000000000001</v>
      </c>
      <c r="H1186" s="18">
        <f t="shared" si="57"/>
        <v>19.409836065573771</v>
      </c>
      <c r="I1186" s="32">
        <v>19.469582005536541</v>
      </c>
      <c r="K1186" s="32">
        <v>21.372030235181079</v>
      </c>
      <c r="L1186" s="32">
        <f t="shared" si="54"/>
        <v>16.438356164383563</v>
      </c>
      <c r="M1186" s="5">
        <f t="shared" si="58"/>
        <v>68.950209994215797</v>
      </c>
      <c r="N1186" s="5">
        <f t="shared" si="53"/>
        <v>14.098901098901099</v>
      </c>
      <c r="O1186" s="32">
        <v>21.22663615629126</v>
      </c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</row>
    <row r="1187" spans="1:38">
      <c r="A1187" s="5">
        <v>544</v>
      </c>
      <c r="B1187" s="11">
        <v>1183</v>
      </c>
      <c r="C1187" s="12">
        <v>46840</v>
      </c>
      <c r="D1187" s="31">
        <f t="shared" si="55"/>
        <v>40</v>
      </c>
      <c r="E1187" s="14"/>
      <c r="F1187" s="5">
        <v>0</v>
      </c>
      <c r="G1187" s="18">
        <f t="shared" si="56"/>
        <v>83.167699999999996</v>
      </c>
      <c r="H1187" s="18">
        <f t="shared" si="57"/>
        <v>19.409836065573771</v>
      </c>
      <c r="I1187" s="32">
        <v>11.38712991823162</v>
      </c>
      <c r="K1187" s="32">
        <v>1.856531650863475</v>
      </c>
      <c r="L1187" s="32">
        <f t="shared" si="54"/>
        <v>16.438356164383563</v>
      </c>
      <c r="M1187" s="5">
        <f t="shared" si="58"/>
        <v>69.164666022614909</v>
      </c>
      <c r="N1187" s="5">
        <f t="shared" si="53"/>
        <v>14.098901098901099</v>
      </c>
      <c r="O1187" s="32">
        <v>12.244451577052629</v>
      </c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</row>
    <row r="1188" spans="1:38">
      <c r="A1188" s="5">
        <v>545</v>
      </c>
      <c r="B1188" s="11">
        <v>1184</v>
      </c>
      <c r="C1188" s="12">
        <v>46841</v>
      </c>
      <c r="D1188" s="31">
        <f t="shared" si="55"/>
        <v>30</v>
      </c>
      <c r="E1188" s="14"/>
      <c r="F1188" s="5">
        <v>0</v>
      </c>
      <c r="G1188" s="18">
        <f t="shared" si="56"/>
        <v>83.320400000000006</v>
      </c>
      <c r="H1188" s="18">
        <f t="shared" si="57"/>
        <v>19.409836065573771</v>
      </c>
      <c r="I1188" s="32">
        <v>9.7038852672101346</v>
      </c>
      <c r="K1188" s="32">
        <v>125.251830789778</v>
      </c>
      <c r="L1188" s="32">
        <f t="shared" si="54"/>
        <v>16.438356164383563</v>
      </c>
      <c r="M1188" s="5">
        <f t="shared" si="58"/>
        <v>67.808673724385073</v>
      </c>
      <c r="N1188" s="5">
        <f t="shared" si="53"/>
        <v>14.098901098901099</v>
      </c>
      <c r="O1188" s="32">
        <v>19.935099197677239</v>
      </c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</row>
    <row r="1189" spans="1:38">
      <c r="A1189" s="5">
        <v>546</v>
      </c>
      <c r="B1189" s="11">
        <v>1185</v>
      </c>
      <c r="C1189" s="12">
        <v>46842</v>
      </c>
      <c r="D1189" s="31">
        <f t="shared" si="55"/>
        <v>40</v>
      </c>
      <c r="E1189" s="14"/>
      <c r="F1189" s="5">
        <v>0</v>
      </c>
      <c r="G1189" s="18">
        <f t="shared" si="56"/>
        <v>83.473100000000002</v>
      </c>
      <c r="H1189" s="18">
        <f t="shared" si="57"/>
        <v>19.409836065573771</v>
      </c>
      <c r="I1189" s="32">
        <v>11.00720716448928</v>
      </c>
      <c r="K1189" s="32">
        <v>125.251830789778</v>
      </c>
      <c r="L1189" s="32">
        <f t="shared" si="54"/>
        <v>16.438356164383563</v>
      </c>
      <c r="M1189" s="5">
        <f t="shared" si="58"/>
        <v>67.808673724385073</v>
      </c>
      <c r="N1189" s="5">
        <f t="shared" si="53"/>
        <v>14.098901098901099</v>
      </c>
      <c r="O1189" s="32">
        <v>29.038569768630129</v>
      </c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</row>
    <row r="1190" spans="1:38">
      <c r="A1190" s="5">
        <v>547</v>
      </c>
      <c r="B1190" s="11">
        <v>1186</v>
      </c>
      <c r="C1190" s="12">
        <v>46843</v>
      </c>
      <c r="D1190" s="31">
        <f t="shared" si="55"/>
        <v>15</v>
      </c>
      <c r="E1190" s="14"/>
      <c r="F1190" s="5">
        <v>0</v>
      </c>
      <c r="G1190" s="18">
        <f t="shared" si="56"/>
        <v>83.625799999999998</v>
      </c>
      <c r="H1190" s="18">
        <f t="shared" si="57"/>
        <v>19.409836065573771</v>
      </c>
      <c r="I1190" s="32">
        <v>11.459628659630001</v>
      </c>
      <c r="K1190" s="32">
        <v>21.372030235181079</v>
      </c>
      <c r="L1190" s="32">
        <f t="shared" si="54"/>
        <v>16.438356164383563</v>
      </c>
      <c r="M1190" s="5">
        <f t="shared" si="58"/>
        <v>68.950209994215797</v>
      </c>
      <c r="N1190" s="5">
        <f t="shared" si="53"/>
        <v>14.098901098901099</v>
      </c>
      <c r="O1190" s="32">
        <v>10.685836851555219</v>
      </c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</row>
    <row r="1191" spans="1:38">
      <c r="A1191" s="5">
        <v>548</v>
      </c>
      <c r="B1191" s="11">
        <v>1187</v>
      </c>
      <c r="C1191" s="12">
        <v>46844</v>
      </c>
      <c r="D1191" s="31">
        <f t="shared" si="55"/>
        <v>26</v>
      </c>
      <c r="E1191" s="14"/>
      <c r="F1191" s="5">
        <v>0</v>
      </c>
      <c r="G1191" s="18">
        <f t="shared" si="56"/>
        <v>83.778500000000008</v>
      </c>
      <c r="H1191" s="18">
        <f t="shared" si="57"/>
        <v>19.409836065573771</v>
      </c>
      <c r="I1191" s="32">
        <v>18.67720800749942</v>
      </c>
      <c r="K1191" s="32">
        <v>1.856531650863475</v>
      </c>
      <c r="L1191" s="32">
        <f t="shared" si="54"/>
        <v>16.438356164383563</v>
      </c>
      <c r="M1191" s="5">
        <f t="shared" si="58"/>
        <v>69.164666022614909</v>
      </c>
      <c r="N1191" s="5">
        <f t="shared" si="53"/>
        <v>14.098901098901099</v>
      </c>
      <c r="O1191" s="32">
        <v>27.280676710651061</v>
      </c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</row>
    <row r="1192" spans="1:38">
      <c r="A1192" s="5">
        <v>549</v>
      </c>
      <c r="B1192" s="11">
        <v>1188</v>
      </c>
      <c r="C1192" s="12">
        <v>46845</v>
      </c>
      <c r="D1192" s="31">
        <f t="shared" si="55"/>
        <v>25</v>
      </c>
      <c r="E1192" s="14"/>
      <c r="F1192" s="5">
        <v>0</v>
      </c>
      <c r="G1192" s="18">
        <f t="shared" si="56"/>
        <v>83.931200000000004</v>
      </c>
      <c r="H1192" s="18">
        <f t="shared" si="57"/>
        <v>19.409836065573771</v>
      </c>
      <c r="I1192" s="32">
        <v>22.9267985971684</v>
      </c>
      <c r="K1192" s="32">
        <v>125.251830789778</v>
      </c>
      <c r="L1192" s="32">
        <f t="shared" si="54"/>
        <v>16.438356164383563</v>
      </c>
      <c r="M1192" s="5">
        <f t="shared" si="58"/>
        <v>67.808673724385073</v>
      </c>
      <c r="N1192" s="5">
        <f t="shared" si="53"/>
        <v>14.098901098901099</v>
      </c>
      <c r="O1192" s="32">
        <v>23.28997621741895</v>
      </c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</row>
    <row r="1193" spans="1:38">
      <c r="A1193" s="5">
        <v>550</v>
      </c>
      <c r="B1193" s="11">
        <v>1189</v>
      </c>
      <c r="C1193" s="12">
        <v>46846</v>
      </c>
      <c r="D1193" s="31">
        <f t="shared" si="55"/>
        <v>35</v>
      </c>
      <c r="E1193" s="14"/>
      <c r="F1193" s="5">
        <v>0</v>
      </c>
      <c r="G1193" s="18">
        <f t="shared" si="56"/>
        <v>84.0839</v>
      </c>
      <c r="H1193" s="18">
        <f t="shared" si="57"/>
        <v>19.409836065573771</v>
      </c>
      <c r="I1193" s="32">
        <v>1.9231994867129001</v>
      </c>
      <c r="K1193" s="32">
        <v>125.251830789778</v>
      </c>
      <c r="L1193" s="32">
        <f t="shared" si="54"/>
        <v>16.438356164383563</v>
      </c>
      <c r="M1193" s="5">
        <f t="shared" si="58"/>
        <v>67.808673724385073</v>
      </c>
      <c r="N1193" s="5">
        <f t="shared" si="53"/>
        <v>14.098901098901099</v>
      </c>
      <c r="O1193" s="32">
        <v>11.26832065871749</v>
      </c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</row>
    <row r="1194" spans="1:38">
      <c r="A1194" s="5">
        <v>551</v>
      </c>
      <c r="B1194" s="11">
        <v>1190</v>
      </c>
      <c r="C1194" s="12">
        <v>46847</v>
      </c>
      <c r="D1194" s="31">
        <f t="shared" si="55"/>
        <v>41</v>
      </c>
      <c r="E1194" s="14"/>
      <c r="F1194" s="5">
        <v>0</v>
      </c>
      <c r="G1194" s="18">
        <f t="shared" si="56"/>
        <v>84.236599999999996</v>
      </c>
      <c r="H1194" s="18">
        <f t="shared" si="57"/>
        <v>19.409836065573771</v>
      </c>
      <c r="I1194" s="32">
        <v>2.3708479826840039</v>
      </c>
      <c r="K1194" s="32">
        <v>21.372030235181079</v>
      </c>
      <c r="L1194" s="32">
        <f t="shared" si="54"/>
        <v>16.438356164383563</v>
      </c>
      <c r="M1194" s="5">
        <f t="shared" si="58"/>
        <v>68.950209994215797</v>
      </c>
      <c r="N1194" s="5">
        <f t="shared" si="53"/>
        <v>14.098901098901099</v>
      </c>
      <c r="O1194" s="32">
        <v>13.583877907749979</v>
      </c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</row>
    <row r="1195" spans="1:38">
      <c r="A1195" s="5">
        <v>552</v>
      </c>
      <c r="B1195" s="11">
        <v>1191</v>
      </c>
      <c r="C1195" s="12">
        <v>46848</v>
      </c>
      <c r="D1195" s="31">
        <f t="shared" si="55"/>
        <v>27</v>
      </c>
      <c r="E1195" s="14"/>
      <c r="F1195" s="5">
        <v>0</v>
      </c>
      <c r="G1195" s="18">
        <f t="shared" si="56"/>
        <v>84.389300000000006</v>
      </c>
      <c r="H1195" s="18">
        <f t="shared" si="57"/>
        <v>19.409836065573771</v>
      </c>
      <c r="I1195" s="32">
        <v>35.568711464222893</v>
      </c>
      <c r="K1195" s="32">
        <v>1.856531650863475</v>
      </c>
      <c r="L1195" s="32">
        <f t="shared" si="54"/>
        <v>16.438356164383563</v>
      </c>
      <c r="M1195" s="5">
        <f t="shared" si="58"/>
        <v>69.164666022614909</v>
      </c>
      <c r="N1195" s="5">
        <f t="shared" si="53"/>
        <v>14.098901098901099</v>
      </c>
      <c r="O1195" s="32">
        <v>22.428368653951878</v>
      </c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</row>
    <row r="1196" spans="1:38">
      <c r="A1196" s="5">
        <v>553</v>
      </c>
      <c r="B1196" s="11">
        <v>1192</v>
      </c>
      <c r="C1196" s="12">
        <v>46849</v>
      </c>
      <c r="D1196" s="31">
        <f t="shared" si="55"/>
        <v>23</v>
      </c>
      <c r="E1196" s="14"/>
      <c r="F1196" s="5">
        <v>0</v>
      </c>
      <c r="G1196" s="18">
        <f t="shared" si="56"/>
        <v>84.542000000000002</v>
      </c>
      <c r="H1196" s="18">
        <f t="shared" si="57"/>
        <v>19.409836065573771</v>
      </c>
      <c r="I1196" s="32">
        <v>31.33024791614563</v>
      </c>
      <c r="K1196" s="32">
        <v>125.251830789778</v>
      </c>
      <c r="L1196" s="32">
        <f t="shared" si="54"/>
        <v>16.438356164383563</v>
      </c>
      <c r="M1196" s="5">
        <f t="shared" si="58"/>
        <v>67.808673724385073</v>
      </c>
      <c r="N1196" s="5">
        <f t="shared" si="53"/>
        <v>14.098901098901099</v>
      </c>
      <c r="O1196" s="32">
        <v>20.576175238959529</v>
      </c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</row>
    <row r="1197" spans="1:38">
      <c r="A1197" s="5">
        <v>554</v>
      </c>
      <c r="B1197" s="11">
        <v>1193</v>
      </c>
      <c r="C1197" s="12">
        <v>46850</v>
      </c>
      <c r="D1197" s="31">
        <f t="shared" si="55"/>
        <v>42</v>
      </c>
      <c r="E1197" s="14"/>
      <c r="F1197" s="5">
        <v>0</v>
      </c>
      <c r="G1197" s="18">
        <f t="shared" si="56"/>
        <v>84.694699999999997</v>
      </c>
      <c r="H1197" s="18">
        <f t="shared" si="57"/>
        <v>19.409836065573771</v>
      </c>
      <c r="I1197" s="32">
        <v>24.045441531220298</v>
      </c>
      <c r="K1197" s="32">
        <v>125.251830789778</v>
      </c>
      <c r="L1197" s="32">
        <f t="shared" si="54"/>
        <v>16.438356164383563</v>
      </c>
      <c r="M1197" s="5">
        <f t="shared" si="58"/>
        <v>67.808673724385073</v>
      </c>
      <c r="N1197" s="5">
        <f t="shared" si="53"/>
        <v>14.098901098901099</v>
      </c>
      <c r="O1197" s="32">
        <v>25.65674888324104</v>
      </c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</row>
    <row r="1198" spans="1:38">
      <c r="A1198" s="5">
        <v>555</v>
      </c>
      <c r="B1198" s="11">
        <v>1194</v>
      </c>
      <c r="C1198" s="12">
        <v>46851</v>
      </c>
      <c r="D1198" s="31">
        <f t="shared" si="55"/>
        <v>25</v>
      </c>
      <c r="E1198" s="14"/>
      <c r="F1198" s="5">
        <v>0</v>
      </c>
      <c r="G1198" s="18">
        <f t="shared" si="56"/>
        <v>84.847400000000007</v>
      </c>
      <c r="H1198" s="18">
        <f t="shared" si="57"/>
        <v>19.409836065573771</v>
      </c>
      <c r="I1198" s="32">
        <v>21.102733062017538</v>
      </c>
      <c r="K1198" s="32">
        <v>21.372030235181079</v>
      </c>
      <c r="L1198" s="32">
        <f t="shared" si="54"/>
        <v>16.438356164383563</v>
      </c>
      <c r="M1198" s="5">
        <f t="shared" si="58"/>
        <v>68.950209994215797</v>
      </c>
      <c r="N1198" s="5">
        <f t="shared" si="53"/>
        <v>14.098901098901099</v>
      </c>
      <c r="O1198" s="32">
        <v>28.920241827442219</v>
      </c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</row>
    <row r="1199" spans="1:38">
      <c r="A1199" s="5">
        <v>556</v>
      </c>
      <c r="B1199" s="11">
        <v>1195</v>
      </c>
      <c r="C1199" s="12">
        <v>46852</v>
      </c>
      <c r="D1199" s="31">
        <f t="shared" si="55"/>
        <v>40</v>
      </c>
      <c r="E1199" s="14"/>
      <c r="F1199" s="5">
        <v>0</v>
      </c>
      <c r="G1199" s="18">
        <f t="shared" si="56"/>
        <v>85.000100000000003</v>
      </c>
      <c r="H1199" s="18">
        <f t="shared" si="57"/>
        <v>19.409836065573771</v>
      </c>
      <c r="I1199" s="32">
        <v>12.23454999510977</v>
      </c>
      <c r="K1199" s="32">
        <v>1.856531650863475</v>
      </c>
      <c r="L1199" s="32">
        <f t="shared" si="54"/>
        <v>16.438356164383563</v>
      </c>
      <c r="M1199" s="5">
        <f t="shared" si="58"/>
        <v>69.164666022614909</v>
      </c>
      <c r="N1199" s="5">
        <f t="shared" si="53"/>
        <v>14.098901098901099</v>
      </c>
      <c r="O1199" s="32">
        <v>14.78976846406267</v>
      </c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</row>
    <row r="1200" spans="1:38">
      <c r="A1200" s="5">
        <v>557</v>
      </c>
      <c r="B1200" s="11">
        <v>1196</v>
      </c>
      <c r="C1200" s="12">
        <v>46853</v>
      </c>
      <c r="D1200" s="31">
        <f t="shared" si="55"/>
        <v>38</v>
      </c>
      <c r="E1200" s="14"/>
      <c r="F1200" s="5">
        <v>0</v>
      </c>
      <c r="G1200" s="18">
        <f t="shared" si="56"/>
        <v>85.152799999999999</v>
      </c>
      <c r="H1200" s="18">
        <f t="shared" si="57"/>
        <v>19.409836065573771</v>
      </c>
      <c r="I1200" s="32">
        <v>20.578044873593569</v>
      </c>
      <c r="K1200" s="32">
        <v>125.251830789778</v>
      </c>
      <c r="L1200" s="32">
        <f t="shared" si="54"/>
        <v>16.438356164383563</v>
      </c>
      <c r="M1200" s="5">
        <f t="shared" si="58"/>
        <v>67.808673724385073</v>
      </c>
      <c r="N1200" s="5">
        <f t="shared" si="53"/>
        <v>14.098901098901099</v>
      </c>
      <c r="O1200" s="32">
        <v>9.8695915736025466</v>
      </c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</row>
    <row r="1201" spans="1:38">
      <c r="A1201" s="5">
        <v>558</v>
      </c>
      <c r="B1201" s="11">
        <v>1197</v>
      </c>
      <c r="C1201" s="12">
        <v>46854</v>
      </c>
      <c r="D1201" s="31">
        <f t="shared" si="55"/>
        <v>39</v>
      </c>
      <c r="E1201" s="14"/>
      <c r="F1201" s="5">
        <v>0</v>
      </c>
      <c r="G1201" s="18">
        <f t="shared" si="56"/>
        <v>85.305499999999995</v>
      </c>
      <c r="H1201" s="18">
        <f t="shared" si="57"/>
        <v>19.409836065573771</v>
      </c>
      <c r="I1201" s="32">
        <v>13.125013840771629</v>
      </c>
      <c r="K1201" s="32">
        <v>125.251830789778</v>
      </c>
      <c r="L1201" s="32">
        <f t="shared" si="54"/>
        <v>16.438356164383563</v>
      </c>
      <c r="M1201" s="5">
        <f t="shared" si="58"/>
        <v>67.808673724385073</v>
      </c>
      <c r="N1201" s="5">
        <f t="shared" si="53"/>
        <v>14.098901098901099</v>
      </c>
      <c r="O1201" s="32">
        <v>18.962965920461791</v>
      </c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</row>
    <row r="1202" spans="1:38">
      <c r="A1202" s="5">
        <v>559</v>
      </c>
      <c r="B1202" s="11">
        <v>1198</v>
      </c>
      <c r="C1202" s="12">
        <v>46855</v>
      </c>
      <c r="D1202" s="31">
        <f t="shared" si="55"/>
        <v>23</v>
      </c>
      <c r="E1202" s="14"/>
      <c r="F1202" s="5">
        <v>0</v>
      </c>
      <c r="G1202" s="18">
        <f t="shared" si="56"/>
        <v>85.458200000000005</v>
      </c>
      <c r="H1202" s="18">
        <f t="shared" si="57"/>
        <v>19.409836065573771</v>
      </c>
      <c r="I1202" s="32">
        <v>12.48399746872602</v>
      </c>
      <c r="K1202" s="32">
        <v>21.372030235181079</v>
      </c>
      <c r="L1202" s="32">
        <f t="shared" si="54"/>
        <v>16.438356164383563</v>
      </c>
      <c r="M1202" s="5">
        <f t="shared" si="58"/>
        <v>68.950209994215797</v>
      </c>
      <c r="N1202" s="5">
        <f t="shared" si="53"/>
        <v>14.098901098901099</v>
      </c>
      <c r="O1202" s="32">
        <v>28.989646010908871</v>
      </c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</row>
    <row r="1203" spans="1:38">
      <c r="A1203" s="5">
        <v>560</v>
      </c>
      <c r="B1203" s="11">
        <v>1199</v>
      </c>
      <c r="C1203" s="12">
        <v>46856</v>
      </c>
      <c r="D1203" s="31">
        <f t="shared" si="55"/>
        <v>47</v>
      </c>
      <c r="E1203" s="14"/>
      <c r="F1203" s="5">
        <v>0</v>
      </c>
      <c r="G1203" s="18">
        <f t="shared" si="56"/>
        <v>85.610900000000001</v>
      </c>
      <c r="H1203" s="18">
        <f t="shared" si="57"/>
        <v>19.409836065573771</v>
      </c>
      <c r="I1203" s="32">
        <v>24.94687731064791</v>
      </c>
      <c r="K1203" s="32">
        <v>1.856531650863475</v>
      </c>
      <c r="L1203" s="32">
        <f t="shared" si="54"/>
        <v>16.438356164383563</v>
      </c>
      <c r="M1203" s="5">
        <f t="shared" si="58"/>
        <v>69.164666022614909</v>
      </c>
      <c r="N1203" s="5">
        <f t="shared" si="53"/>
        <v>14.098901098901099</v>
      </c>
      <c r="O1203" s="32">
        <v>31.982462676171291</v>
      </c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</row>
    <row r="1204" spans="1:38">
      <c r="A1204" s="5">
        <v>561</v>
      </c>
      <c r="B1204" s="11">
        <v>1200</v>
      </c>
      <c r="C1204" s="12">
        <v>46857</v>
      </c>
      <c r="D1204" s="31">
        <f t="shared" si="55"/>
        <v>22</v>
      </c>
      <c r="E1204" s="14"/>
      <c r="F1204" s="5">
        <v>0</v>
      </c>
      <c r="G1204" s="18">
        <f t="shared" si="56"/>
        <v>85.763599999999997</v>
      </c>
      <c r="H1204" s="18">
        <f t="shared" si="57"/>
        <v>19.409836065573771</v>
      </c>
      <c r="I1204" s="32">
        <v>33.223091240899024</v>
      </c>
      <c r="K1204" s="32">
        <v>125.251830789778</v>
      </c>
      <c r="L1204" s="32">
        <f t="shared" si="54"/>
        <v>16.438356164383563</v>
      </c>
      <c r="M1204" s="5">
        <f t="shared" si="58"/>
        <v>67.808673724385073</v>
      </c>
      <c r="N1204" s="5">
        <f t="shared" si="53"/>
        <v>14.098901098901099</v>
      </c>
      <c r="O1204" s="32">
        <v>34.235275225792009</v>
      </c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</row>
    <row r="1205" spans="1:38">
      <c r="A1205" s="5">
        <v>562</v>
      </c>
      <c r="B1205" s="11">
        <v>1201</v>
      </c>
      <c r="C1205" s="12">
        <v>46858</v>
      </c>
      <c r="D1205" s="31">
        <f t="shared" si="55"/>
        <v>56</v>
      </c>
      <c r="E1205" s="14"/>
      <c r="F1205" s="5">
        <v>0</v>
      </c>
      <c r="G1205" s="18">
        <f t="shared" si="56"/>
        <v>85.916300000000007</v>
      </c>
      <c r="H1205" s="18">
        <f t="shared" si="57"/>
        <v>19.409836065573771</v>
      </c>
      <c r="I1205" s="32">
        <v>15.8376869289488</v>
      </c>
      <c r="K1205" s="32">
        <v>125.251830789778</v>
      </c>
      <c r="L1205" s="32">
        <f t="shared" si="54"/>
        <v>16.438356164383563</v>
      </c>
      <c r="M1205" s="5">
        <f t="shared" si="58"/>
        <v>67.808673724385073</v>
      </c>
      <c r="N1205" s="5">
        <f t="shared" si="53"/>
        <v>14.098901098901099</v>
      </c>
      <c r="O1205" s="32">
        <v>12.62547960208591</v>
      </c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</row>
    <row r="1206" spans="1:38">
      <c r="A1206" s="5">
        <v>563</v>
      </c>
      <c r="B1206" s="11">
        <v>1202</v>
      </c>
      <c r="C1206" s="12">
        <v>46859</v>
      </c>
      <c r="D1206" s="31">
        <f t="shared" si="55"/>
        <v>35</v>
      </c>
      <c r="E1206" s="14"/>
      <c r="F1206" s="5">
        <v>0</v>
      </c>
      <c r="G1206" s="18">
        <f t="shared" si="56"/>
        <v>86.069000000000003</v>
      </c>
      <c r="H1206" s="18">
        <f t="shared" si="57"/>
        <v>19.409836065573771</v>
      </c>
      <c r="I1206" s="32">
        <v>16.659319706561639</v>
      </c>
      <c r="K1206" s="32">
        <v>21.372030235181079</v>
      </c>
      <c r="L1206" s="32">
        <f t="shared" si="54"/>
        <v>16.438356164383563</v>
      </c>
      <c r="M1206" s="5">
        <f t="shared" si="58"/>
        <v>68.950209994215797</v>
      </c>
      <c r="N1206" s="5">
        <f t="shared" si="53"/>
        <v>14.098901098901099</v>
      </c>
      <c r="O1206" s="32">
        <v>5.466371152271968</v>
      </c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</row>
    <row r="1207" spans="1:38">
      <c r="A1207" s="5">
        <v>564</v>
      </c>
      <c r="B1207" s="11">
        <v>1203</v>
      </c>
      <c r="C1207" s="12">
        <v>46860</v>
      </c>
      <c r="D1207" s="31">
        <f t="shared" si="55"/>
        <v>49</v>
      </c>
      <c r="E1207" s="14"/>
      <c r="F1207" s="5">
        <v>0</v>
      </c>
      <c r="G1207" s="18">
        <f t="shared" si="56"/>
        <v>86.221699999999998</v>
      </c>
      <c r="H1207" s="18">
        <f t="shared" si="57"/>
        <v>19.409836065573771</v>
      </c>
      <c r="I1207" s="32">
        <v>31.172696606008671</v>
      </c>
      <c r="K1207" s="32">
        <v>1.856531650863475</v>
      </c>
      <c r="L1207" s="32">
        <f t="shared" si="54"/>
        <v>16.438356164383563</v>
      </c>
      <c r="M1207" s="5">
        <f t="shared" si="58"/>
        <v>69.164666022614909</v>
      </c>
      <c r="N1207" s="5">
        <f t="shared" si="53"/>
        <v>14.098901098901099</v>
      </c>
      <c r="O1207" s="32">
        <v>17.052343149690991</v>
      </c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</row>
    <row r="1208" spans="1:38">
      <c r="A1208" s="5">
        <v>565</v>
      </c>
      <c r="B1208" s="11">
        <v>1204</v>
      </c>
      <c r="C1208" s="12">
        <v>46861</v>
      </c>
      <c r="D1208" s="31">
        <f t="shared" si="55"/>
        <v>37</v>
      </c>
      <c r="E1208" s="14"/>
      <c r="F1208" s="5">
        <v>0</v>
      </c>
      <c r="G1208" s="18">
        <f t="shared" si="56"/>
        <v>86.374400000000009</v>
      </c>
      <c r="H1208" s="18">
        <f t="shared" si="57"/>
        <v>19.409836065573771</v>
      </c>
      <c r="I1208" s="32">
        <v>4.5536872924595659</v>
      </c>
      <c r="K1208" s="32">
        <v>125.251830789778</v>
      </c>
      <c r="L1208" s="32">
        <f t="shared" si="54"/>
        <v>16.438356164383563</v>
      </c>
      <c r="M1208" s="5">
        <f t="shared" si="58"/>
        <v>67.808673724385073</v>
      </c>
      <c r="N1208" s="5">
        <f t="shared" si="53"/>
        <v>14.098901098901099</v>
      </c>
      <c r="O1208" s="32">
        <v>21.368742231755039</v>
      </c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</row>
    <row r="1209" spans="1:38">
      <c r="A1209" s="5">
        <v>566</v>
      </c>
      <c r="B1209" s="11">
        <v>1205</v>
      </c>
      <c r="C1209" s="12">
        <v>46862</v>
      </c>
      <c r="D1209" s="31">
        <f t="shared" si="55"/>
        <v>35</v>
      </c>
      <c r="E1209" s="14"/>
      <c r="F1209" s="5">
        <v>0</v>
      </c>
      <c r="G1209" s="18">
        <f t="shared" si="56"/>
        <v>86.527100000000004</v>
      </c>
      <c r="H1209" s="18">
        <f t="shared" si="57"/>
        <v>19.409836065573771</v>
      </c>
      <c r="I1209" s="32">
        <v>16.014111070779911</v>
      </c>
      <c r="K1209" s="32">
        <v>125.251830789778</v>
      </c>
      <c r="L1209" s="32">
        <f t="shared" si="54"/>
        <v>16.438356164383563</v>
      </c>
      <c r="M1209" s="5">
        <f t="shared" si="58"/>
        <v>67.808673724385073</v>
      </c>
      <c r="N1209" s="5">
        <f t="shared" si="53"/>
        <v>14.098901098901099</v>
      </c>
      <c r="O1209" s="32">
        <v>30.842375276566891</v>
      </c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</row>
    <row r="1210" spans="1:38">
      <c r="A1210" s="5">
        <v>567</v>
      </c>
      <c r="B1210" s="11">
        <v>1206</v>
      </c>
      <c r="C1210" s="12">
        <v>46863</v>
      </c>
      <c r="D1210" s="31">
        <f t="shared" si="55"/>
        <v>40</v>
      </c>
      <c r="E1210" s="14"/>
      <c r="F1210" s="5">
        <v>0</v>
      </c>
      <c r="G1210" s="18">
        <f t="shared" si="56"/>
        <v>86.6798</v>
      </c>
      <c r="H1210" s="18">
        <f t="shared" si="57"/>
        <v>19.409836065573771</v>
      </c>
      <c r="I1210" s="32">
        <v>29.93794682917677</v>
      </c>
      <c r="K1210" s="32">
        <v>21.372030235181079</v>
      </c>
      <c r="L1210" s="32">
        <f t="shared" si="54"/>
        <v>16.438356164383563</v>
      </c>
      <c r="M1210" s="5">
        <f t="shared" si="58"/>
        <v>68.950209994215797</v>
      </c>
      <c r="N1210" s="5">
        <f t="shared" si="53"/>
        <v>14.098901098901099</v>
      </c>
      <c r="O1210" s="32">
        <v>10.258316058822359</v>
      </c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</row>
    <row r="1211" spans="1:38">
      <c r="A1211" s="5">
        <v>568</v>
      </c>
      <c r="B1211" s="11">
        <v>1207</v>
      </c>
      <c r="C1211" s="12">
        <v>46864</v>
      </c>
      <c r="D1211" s="31">
        <f t="shared" si="55"/>
        <v>34</v>
      </c>
      <c r="E1211" s="14"/>
      <c r="F1211" s="5">
        <v>0</v>
      </c>
      <c r="G1211" s="18">
        <f t="shared" si="56"/>
        <v>86.832499999999996</v>
      </c>
      <c r="H1211" s="18">
        <f t="shared" si="57"/>
        <v>19.409836065573771</v>
      </c>
      <c r="I1211" s="32">
        <v>33.315760904966773</v>
      </c>
      <c r="K1211" s="32">
        <v>1.856531650863475</v>
      </c>
      <c r="L1211" s="32">
        <f t="shared" si="54"/>
        <v>16.438356164383563</v>
      </c>
      <c r="M1211" s="5">
        <f t="shared" si="58"/>
        <v>69.164666022614909</v>
      </c>
      <c r="N1211" s="5">
        <f t="shared" si="53"/>
        <v>14.098901098901099</v>
      </c>
      <c r="O1211" s="32">
        <v>26.311092400071821</v>
      </c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</row>
    <row r="1212" spans="1:38">
      <c r="A1212" s="5">
        <v>569</v>
      </c>
      <c r="B1212" s="11">
        <v>1208</v>
      </c>
      <c r="C1212" s="12">
        <v>46865</v>
      </c>
      <c r="D1212" s="31">
        <f t="shared" si="55"/>
        <v>63</v>
      </c>
      <c r="E1212" s="14"/>
      <c r="F1212" s="5">
        <v>0</v>
      </c>
      <c r="G1212" s="18">
        <f t="shared" si="56"/>
        <v>86.985200000000006</v>
      </c>
      <c r="H1212" s="18">
        <f t="shared" si="57"/>
        <v>19.409836065573771</v>
      </c>
      <c r="I1212" s="32">
        <v>23.13796056225879</v>
      </c>
      <c r="K1212" s="32">
        <v>125.251830789778</v>
      </c>
      <c r="L1212" s="32">
        <f t="shared" si="54"/>
        <v>16.438356164383563</v>
      </c>
      <c r="M1212" s="5">
        <f t="shared" si="58"/>
        <v>67.808673724385073</v>
      </c>
      <c r="N1212" s="5">
        <f t="shared" si="53"/>
        <v>14.098901098901099</v>
      </c>
      <c r="O1212" s="32">
        <v>13.985263880777721</v>
      </c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</row>
    <row r="1213" spans="1:38">
      <c r="A1213" s="5">
        <v>570</v>
      </c>
      <c r="B1213" s="11">
        <v>1209</v>
      </c>
      <c r="C1213" s="12">
        <v>46866</v>
      </c>
      <c r="D1213" s="31">
        <f t="shared" si="55"/>
        <v>43</v>
      </c>
      <c r="E1213" s="14"/>
      <c r="F1213" s="5">
        <v>0</v>
      </c>
      <c r="G1213" s="18">
        <f t="shared" si="56"/>
        <v>87.137900000000002</v>
      </c>
      <c r="H1213" s="18">
        <f t="shared" si="57"/>
        <v>19.409836065573771</v>
      </c>
      <c r="I1213" s="32">
        <v>20.240429981397831</v>
      </c>
      <c r="K1213" s="32">
        <v>125.251830789778</v>
      </c>
      <c r="L1213" s="32">
        <f t="shared" si="54"/>
        <v>16.438356164383563</v>
      </c>
      <c r="M1213" s="5">
        <f t="shared" si="58"/>
        <v>67.808673724385073</v>
      </c>
      <c r="N1213" s="5">
        <f t="shared" si="53"/>
        <v>14.098901098901099</v>
      </c>
      <c r="O1213" s="32">
        <v>12.31583815386715</v>
      </c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</row>
    <row r="1214" spans="1:38">
      <c r="A1214" s="5">
        <v>571</v>
      </c>
      <c r="B1214" s="11">
        <v>1210</v>
      </c>
      <c r="C1214" s="12">
        <v>46867</v>
      </c>
      <c r="D1214" s="31">
        <f t="shared" si="55"/>
        <v>43</v>
      </c>
      <c r="E1214" s="14"/>
      <c r="F1214" s="5">
        <v>0</v>
      </c>
      <c r="G1214" s="18">
        <f t="shared" si="56"/>
        <v>87.290599999999998</v>
      </c>
      <c r="H1214" s="18">
        <f t="shared" si="57"/>
        <v>19.409836065573771</v>
      </c>
      <c r="I1214" s="32">
        <v>35.935369803433623</v>
      </c>
      <c r="K1214" s="32">
        <v>21.372030235181079</v>
      </c>
      <c r="L1214" s="32">
        <f t="shared" si="54"/>
        <v>16.438356164383563</v>
      </c>
      <c r="M1214" s="5">
        <f t="shared" si="58"/>
        <v>68.950209994215797</v>
      </c>
      <c r="N1214" s="5">
        <f t="shared" si="53"/>
        <v>14.098901098901099</v>
      </c>
      <c r="O1214" s="32">
        <v>20.171788541927921</v>
      </c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</row>
    <row r="1215" spans="1:38">
      <c r="A1215" s="5">
        <v>572</v>
      </c>
      <c r="B1215" s="11">
        <v>1211</v>
      </c>
      <c r="C1215" s="12">
        <v>46868</v>
      </c>
      <c r="D1215" s="31">
        <f t="shared" si="55"/>
        <v>53</v>
      </c>
      <c r="E1215" s="14"/>
      <c r="F1215" s="5">
        <v>0</v>
      </c>
      <c r="G1215" s="18">
        <f t="shared" si="56"/>
        <v>87.443300000000008</v>
      </c>
      <c r="H1215" s="18">
        <f t="shared" si="57"/>
        <v>19.409836065573771</v>
      </c>
      <c r="I1215" s="32">
        <v>19.20569791163744</v>
      </c>
      <c r="K1215" s="32">
        <v>1.856531650863475</v>
      </c>
      <c r="L1215" s="32">
        <f t="shared" si="54"/>
        <v>16.438356164383563</v>
      </c>
      <c r="M1215" s="5">
        <f t="shared" si="58"/>
        <v>69.164666022614909</v>
      </c>
      <c r="N1215" s="5">
        <f t="shared" si="53"/>
        <v>14.098901098901099</v>
      </c>
      <c r="O1215" s="32">
        <v>17.624354604421441</v>
      </c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</row>
    <row r="1216" spans="1:38">
      <c r="A1216" s="5">
        <v>573</v>
      </c>
      <c r="B1216" s="11">
        <v>1212</v>
      </c>
      <c r="C1216" s="12">
        <v>46869</v>
      </c>
      <c r="D1216" s="31">
        <f t="shared" si="55"/>
        <v>46</v>
      </c>
      <c r="E1216" s="14"/>
      <c r="F1216" s="5">
        <v>0</v>
      </c>
      <c r="G1216" s="18">
        <f t="shared" si="56"/>
        <v>87.596000000000004</v>
      </c>
      <c r="H1216" s="18">
        <f t="shared" si="57"/>
        <v>19.409836065573771</v>
      </c>
      <c r="I1216" s="32">
        <v>20.523364124274391</v>
      </c>
      <c r="K1216" s="32">
        <v>125.251830789778</v>
      </c>
      <c r="L1216" s="32">
        <f t="shared" si="54"/>
        <v>16.438356164383563</v>
      </c>
      <c r="M1216" s="5">
        <f t="shared" si="58"/>
        <v>67.808673724385073</v>
      </c>
      <c r="N1216" s="5">
        <f t="shared" si="53"/>
        <v>14.098901098901099</v>
      </c>
      <c r="O1216" s="32">
        <v>12.95504995919573</v>
      </c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</row>
    <row r="1217" spans="1:38">
      <c r="A1217" s="5">
        <v>574</v>
      </c>
      <c r="B1217" s="11">
        <v>1213</v>
      </c>
      <c r="C1217" s="12">
        <v>46870</v>
      </c>
      <c r="D1217" s="31">
        <f t="shared" si="55"/>
        <v>23</v>
      </c>
      <c r="E1217" s="14"/>
      <c r="F1217" s="5">
        <v>0</v>
      </c>
      <c r="G1217" s="18">
        <f t="shared" si="56"/>
        <v>87.748699999999999</v>
      </c>
      <c r="H1217" s="18">
        <f t="shared" si="57"/>
        <v>19.409836065573771</v>
      </c>
      <c r="I1217" s="32">
        <v>26.572034916379199</v>
      </c>
      <c r="K1217" s="32">
        <v>125.251830789778</v>
      </c>
      <c r="L1217" s="32">
        <f t="shared" si="54"/>
        <v>16.438356164383563</v>
      </c>
      <c r="M1217" s="5">
        <f t="shared" si="58"/>
        <v>67.808673724385073</v>
      </c>
      <c r="N1217" s="5">
        <f t="shared" si="53"/>
        <v>14.098901098901099</v>
      </c>
      <c r="O1217" s="32">
        <v>30.195504965875621</v>
      </c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</row>
    <row r="1218" spans="1:38">
      <c r="A1218" s="5">
        <v>575</v>
      </c>
      <c r="B1218" s="11">
        <v>1214</v>
      </c>
      <c r="C1218" s="12">
        <v>46871</v>
      </c>
      <c r="D1218" s="31">
        <f t="shared" si="55"/>
        <v>35</v>
      </c>
      <c r="E1218" s="14"/>
      <c r="F1218" s="5">
        <v>0</v>
      </c>
      <c r="G1218" s="18">
        <f t="shared" si="56"/>
        <v>87.901399999999995</v>
      </c>
      <c r="H1218" s="18">
        <f t="shared" si="57"/>
        <v>19.409836065573771</v>
      </c>
      <c r="I1218" s="32">
        <v>19.28114347030024</v>
      </c>
      <c r="K1218" s="32">
        <v>21.372030235181079</v>
      </c>
      <c r="L1218" s="32">
        <f t="shared" si="54"/>
        <v>16.438356164383563</v>
      </c>
      <c r="M1218" s="5">
        <f t="shared" si="58"/>
        <v>68.950209994215797</v>
      </c>
      <c r="N1218" s="5">
        <f t="shared" si="53"/>
        <v>14.098901098901099</v>
      </c>
      <c r="O1218" s="32">
        <v>19.346111677289642</v>
      </c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</row>
    <row r="1219" spans="1:38">
      <c r="A1219" s="5">
        <v>576</v>
      </c>
      <c r="B1219" s="11">
        <v>1215</v>
      </c>
      <c r="C1219" s="12">
        <v>46872</v>
      </c>
      <c r="D1219" s="31">
        <f t="shared" si="55"/>
        <v>71</v>
      </c>
      <c r="E1219" s="14"/>
      <c r="F1219" s="5">
        <v>0</v>
      </c>
      <c r="G1219" s="18">
        <f t="shared" si="56"/>
        <v>88.054100000000005</v>
      </c>
      <c r="H1219" s="18">
        <f t="shared" si="57"/>
        <v>19.409836065573771</v>
      </c>
      <c r="I1219" s="32">
        <v>36.909727221102592</v>
      </c>
      <c r="K1219" s="32">
        <v>1.856531650863475</v>
      </c>
      <c r="L1219" s="32">
        <f t="shared" si="54"/>
        <v>16.438356164383563</v>
      </c>
      <c r="M1219" s="5">
        <f t="shared" si="58"/>
        <v>69.164666022614909</v>
      </c>
      <c r="N1219" s="5">
        <f t="shared" si="53"/>
        <v>14.098901098901099</v>
      </c>
      <c r="O1219" s="32">
        <v>14.230911265298269</v>
      </c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</row>
    <row r="1220" spans="1:38">
      <c r="A1220" s="5">
        <v>577</v>
      </c>
      <c r="B1220" s="11">
        <v>1216</v>
      </c>
      <c r="C1220" s="12">
        <v>46873</v>
      </c>
      <c r="D1220" s="31">
        <f t="shared" si="55"/>
        <v>43</v>
      </c>
      <c r="E1220" s="14"/>
      <c r="F1220" s="5">
        <v>0</v>
      </c>
      <c r="G1220" s="18">
        <f t="shared" si="56"/>
        <v>88.206800000000001</v>
      </c>
      <c r="H1220" s="18">
        <f t="shared" si="57"/>
        <v>19.409836065573771</v>
      </c>
      <c r="I1220" s="32">
        <v>21.64674596515092</v>
      </c>
      <c r="K1220" s="32">
        <v>125.251830789778</v>
      </c>
      <c r="L1220" s="32">
        <f t="shared" si="54"/>
        <v>16.438356164383563</v>
      </c>
      <c r="M1220" s="5">
        <f t="shared" si="58"/>
        <v>67.808673724385073</v>
      </c>
      <c r="N1220" s="5">
        <f t="shared" si="53"/>
        <v>14.098901098901099</v>
      </c>
      <c r="O1220" s="32">
        <v>14.1270149986155</v>
      </c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</row>
    <row r="1221" spans="1:38">
      <c r="A1221" s="5">
        <v>578</v>
      </c>
      <c r="B1221" s="11">
        <v>1217</v>
      </c>
      <c r="C1221" s="12">
        <v>46874</v>
      </c>
      <c r="D1221" s="31">
        <f t="shared" si="55"/>
        <v>41</v>
      </c>
      <c r="E1221" s="14"/>
      <c r="F1221" s="5">
        <v>0</v>
      </c>
      <c r="G1221" s="18">
        <f t="shared" si="56"/>
        <v>88.359499999999997</v>
      </c>
      <c r="H1221" s="18">
        <f t="shared" si="57"/>
        <v>19.409836065573771</v>
      </c>
      <c r="I1221" s="32">
        <v>37.556702747610132</v>
      </c>
      <c r="K1221" s="32">
        <v>125.251830789778</v>
      </c>
      <c r="L1221" s="32">
        <f t="shared" si="54"/>
        <v>16.438356164383563</v>
      </c>
      <c r="M1221" s="5">
        <f t="shared" si="58"/>
        <v>67.808673724385073</v>
      </c>
      <c r="N1221" s="5">
        <f t="shared" ref="N1221:N1284" si="59">AVERAGE($O$644:$O$734)</f>
        <v>14.098901098901099</v>
      </c>
      <c r="O1221" s="32">
        <v>24.796845742550449</v>
      </c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</row>
    <row r="1222" spans="1:38">
      <c r="A1222" s="5">
        <v>579</v>
      </c>
      <c r="B1222" s="11">
        <v>1218</v>
      </c>
      <c r="C1222" s="12">
        <v>46875</v>
      </c>
      <c r="D1222" s="31">
        <f t="shared" si="55"/>
        <v>40</v>
      </c>
      <c r="E1222" s="14"/>
      <c r="F1222" s="5">
        <v>0</v>
      </c>
      <c r="G1222" s="18">
        <f t="shared" si="56"/>
        <v>88.512200000000007</v>
      </c>
      <c r="H1222" s="18">
        <f t="shared" si="57"/>
        <v>19.409836065573771</v>
      </c>
      <c r="I1222" s="32">
        <v>23.405455819193939</v>
      </c>
      <c r="K1222" s="32">
        <v>21.372030235181079</v>
      </c>
      <c r="L1222" s="32">
        <f t="shared" si="54"/>
        <v>16.438356164383563</v>
      </c>
      <c r="M1222" s="5">
        <f t="shared" si="58"/>
        <v>68.950209994215797</v>
      </c>
      <c r="N1222" s="5">
        <f t="shared" si="59"/>
        <v>14.098901098901099</v>
      </c>
      <c r="O1222" s="32">
        <v>13.61594132578249</v>
      </c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</row>
    <row r="1223" spans="1:38">
      <c r="A1223" s="5">
        <v>580</v>
      </c>
      <c r="B1223" s="11">
        <v>1219</v>
      </c>
      <c r="C1223" s="12">
        <v>46876</v>
      </c>
      <c r="D1223" s="31">
        <f t="shared" si="55"/>
        <v>53</v>
      </c>
      <c r="E1223" s="14"/>
      <c r="F1223" s="5">
        <v>0</v>
      </c>
      <c r="G1223" s="18">
        <f t="shared" si="56"/>
        <v>88.664900000000003</v>
      </c>
      <c r="H1223" s="18">
        <f t="shared" si="57"/>
        <v>19.409836065573771</v>
      </c>
      <c r="I1223" s="32">
        <v>24.705918812002281</v>
      </c>
      <c r="K1223" s="32">
        <v>1.856531650863475</v>
      </c>
      <c r="L1223" s="32">
        <f t="shared" si="54"/>
        <v>16.438356164383563</v>
      </c>
      <c r="M1223" s="5">
        <f t="shared" si="58"/>
        <v>69.164666022614909</v>
      </c>
      <c r="N1223" s="5">
        <f t="shared" si="59"/>
        <v>14.098901098901099</v>
      </c>
      <c r="O1223" s="32">
        <v>17.655171311722199</v>
      </c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</row>
    <row r="1224" spans="1:38">
      <c r="A1224" s="5">
        <v>581</v>
      </c>
      <c r="B1224" s="11">
        <v>1220</v>
      </c>
      <c r="C1224" s="12">
        <v>46877</v>
      </c>
      <c r="D1224" s="31">
        <f t="shared" si="55"/>
        <v>40</v>
      </c>
      <c r="E1224" s="14"/>
      <c r="F1224" s="5">
        <v>0</v>
      </c>
      <c r="G1224" s="18">
        <f t="shared" si="56"/>
        <v>88.817599999999999</v>
      </c>
      <c r="H1224" s="18">
        <f t="shared" si="57"/>
        <v>19.409836065573771</v>
      </c>
      <c r="I1224" s="32">
        <v>27.09102910740037</v>
      </c>
      <c r="K1224" s="32">
        <v>125.251830789778</v>
      </c>
      <c r="L1224" s="32">
        <f t="shared" si="54"/>
        <v>16.438356164383563</v>
      </c>
      <c r="M1224" s="5">
        <f t="shared" si="58"/>
        <v>67.808673724385073</v>
      </c>
      <c r="N1224" s="5">
        <f t="shared" si="59"/>
        <v>14.098901098901099</v>
      </c>
      <c r="O1224" s="32">
        <v>23.136203571005431</v>
      </c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</row>
    <row r="1225" spans="1:38">
      <c r="A1225" s="5">
        <v>582</v>
      </c>
      <c r="B1225" s="11">
        <v>1221</v>
      </c>
      <c r="C1225" s="12">
        <v>46878</v>
      </c>
      <c r="D1225" s="31">
        <f t="shared" si="55"/>
        <v>43</v>
      </c>
      <c r="E1225" s="14"/>
      <c r="F1225" s="5">
        <v>0</v>
      </c>
      <c r="G1225" s="18">
        <f t="shared" si="56"/>
        <v>88.970300000000009</v>
      </c>
      <c r="H1225" s="18">
        <f t="shared" si="57"/>
        <v>19.409836065573771</v>
      </c>
      <c r="I1225" s="32">
        <v>15.41376076756158</v>
      </c>
      <c r="K1225" s="32">
        <v>125.251830789778</v>
      </c>
      <c r="L1225" s="32">
        <f t="shared" si="54"/>
        <v>16.438356164383563</v>
      </c>
      <c r="M1225" s="5">
        <f t="shared" si="58"/>
        <v>67.808673724385073</v>
      </c>
      <c r="N1225" s="5">
        <f t="shared" si="59"/>
        <v>14.098901098901099</v>
      </c>
      <c r="O1225" s="32">
        <v>15.86892962363499</v>
      </c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</row>
    <row r="1226" spans="1:38">
      <c r="A1226" s="5">
        <v>583</v>
      </c>
      <c r="B1226" s="11">
        <v>1222</v>
      </c>
      <c r="C1226" s="12">
        <v>46879</v>
      </c>
      <c r="D1226" s="31">
        <f t="shared" si="55"/>
        <v>53</v>
      </c>
      <c r="E1226" s="14"/>
      <c r="F1226" s="5">
        <v>0</v>
      </c>
      <c r="G1226" s="18">
        <f t="shared" si="56"/>
        <v>89.123000000000005</v>
      </c>
      <c r="H1226" s="18">
        <f t="shared" si="57"/>
        <v>19.409836065573771</v>
      </c>
      <c r="I1226" s="32">
        <v>37.707003767649432</v>
      </c>
      <c r="K1226" s="32">
        <v>21.372030235181079</v>
      </c>
      <c r="L1226" s="32">
        <f t="shared" si="54"/>
        <v>16.438356164383563</v>
      </c>
      <c r="M1226" s="5">
        <f t="shared" si="58"/>
        <v>68.950209994215797</v>
      </c>
      <c r="N1226" s="5">
        <f t="shared" si="59"/>
        <v>14.098901098901099</v>
      </c>
      <c r="O1226" s="32">
        <v>8.6538660923961945</v>
      </c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</row>
    <row r="1227" spans="1:38">
      <c r="A1227" s="5">
        <v>584</v>
      </c>
      <c r="B1227" s="11">
        <v>1223</v>
      </c>
      <c r="C1227" s="12">
        <v>46880</v>
      </c>
      <c r="D1227" s="31">
        <f t="shared" si="55"/>
        <v>69</v>
      </c>
      <c r="E1227" s="14"/>
      <c r="F1227" s="5">
        <v>0</v>
      </c>
      <c r="G1227" s="18">
        <f t="shared" si="56"/>
        <v>89.275700000000001</v>
      </c>
      <c r="H1227" s="18">
        <f t="shared" si="57"/>
        <v>19.409836065573771</v>
      </c>
      <c r="I1227" s="32">
        <v>27.56461931441806</v>
      </c>
      <c r="K1227" s="32">
        <v>1.856531650863475</v>
      </c>
      <c r="L1227" s="32">
        <f t="shared" si="54"/>
        <v>16.438356164383563</v>
      </c>
      <c r="M1227" s="5">
        <f t="shared" si="58"/>
        <v>69.164666022614909</v>
      </c>
      <c r="N1227" s="5">
        <f t="shared" si="59"/>
        <v>14.098901098901099</v>
      </c>
      <c r="O1227" s="32">
        <v>29.36063003853587</v>
      </c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</row>
    <row r="1228" spans="1:38">
      <c r="A1228" s="5">
        <v>585</v>
      </c>
      <c r="B1228" s="11">
        <v>1224</v>
      </c>
      <c r="C1228" s="12">
        <v>46881</v>
      </c>
      <c r="D1228" s="31">
        <f t="shared" si="55"/>
        <v>46</v>
      </c>
      <c r="E1228" s="14"/>
      <c r="F1228" s="5">
        <v>0</v>
      </c>
      <c r="G1228" s="18">
        <f t="shared" si="56"/>
        <v>89.428399999999996</v>
      </c>
      <c r="H1228" s="18">
        <f t="shared" si="57"/>
        <v>19.409836065573771</v>
      </c>
      <c r="I1228" s="32">
        <v>32.448326939071258</v>
      </c>
      <c r="K1228" s="32">
        <v>125.251830789778</v>
      </c>
      <c r="L1228" s="32">
        <f t="shared" si="54"/>
        <v>16.438356164383563</v>
      </c>
      <c r="M1228" s="5">
        <f t="shared" si="58"/>
        <v>67.808673724385073</v>
      </c>
      <c r="N1228" s="5">
        <f t="shared" si="59"/>
        <v>14.098901098901099</v>
      </c>
      <c r="O1228" s="32">
        <v>16.159298948766072</v>
      </c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</row>
    <row r="1229" spans="1:38">
      <c r="A1229" s="5">
        <v>586</v>
      </c>
      <c r="B1229" s="11">
        <v>1225</v>
      </c>
      <c r="C1229" s="12">
        <v>46882</v>
      </c>
      <c r="D1229" s="31">
        <f t="shared" si="55"/>
        <v>51</v>
      </c>
      <c r="E1229" s="14"/>
      <c r="F1229" s="5">
        <v>0</v>
      </c>
      <c r="G1229" s="18">
        <f t="shared" si="56"/>
        <v>89.581100000000006</v>
      </c>
      <c r="H1229" s="18">
        <f t="shared" si="57"/>
        <v>19.409836065573771</v>
      </c>
      <c r="I1229" s="32">
        <v>22.088847825132628</v>
      </c>
      <c r="K1229" s="32">
        <v>125.251830789778</v>
      </c>
      <c r="L1229" s="32">
        <f t="shared" si="54"/>
        <v>16.438356164383563</v>
      </c>
      <c r="M1229" s="5">
        <f t="shared" si="58"/>
        <v>67.808673724385073</v>
      </c>
      <c r="N1229" s="5">
        <f t="shared" si="59"/>
        <v>14.098901098901099</v>
      </c>
      <c r="O1229" s="32">
        <v>31.864674984138521</v>
      </c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</row>
    <row r="1230" spans="1:38">
      <c r="A1230" s="5">
        <v>587</v>
      </c>
      <c r="B1230" s="11">
        <v>1226</v>
      </c>
      <c r="C1230" s="12">
        <v>46883</v>
      </c>
      <c r="D1230" s="31">
        <f t="shared" si="55"/>
        <v>57</v>
      </c>
      <c r="E1230" s="14"/>
      <c r="F1230" s="5">
        <v>0</v>
      </c>
      <c r="G1230" s="18">
        <f t="shared" si="56"/>
        <v>89.733800000000002</v>
      </c>
      <c r="H1230" s="18">
        <f t="shared" si="57"/>
        <v>19.409836065573771</v>
      </c>
      <c r="I1230" s="32">
        <v>21.943070529119652</v>
      </c>
      <c r="K1230" s="32">
        <v>21.372030235181079</v>
      </c>
      <c r="L1230" s="32">
        <f t="shared" si="54"/>
        <v>16.438356164383563</v>
      </c>
      <c r="M1230" s="5">
        <f t="shared" si="58"/>
        <v>68.950209994215797</v>
      </c>
      <c r="N1230" s="5">
        <f t="shared" si="59"/>
        <v>14.098901098901099</v>
      </c>
      <c r="O1230" s="32">
        <v>18.64502801676884</v>
      </c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</row>
    <row r="1231" spans="1:38">
      <c r="A1231" s="5">
        <v>588</v>
      </c>
      <c r="B1231" s="11">
        <v>1227</v>
      </c>
      <c r="C1231" s="12">
        <v>46884</v>
      </c>
      <c r="D1231" s="31">
        <f t="shared" si="55"/>
        <v>28</v>
      </c>
      <c r="E1231" s="14"/>
      <c r="F1231" s="5">
        <v>0</v>
      </c>
      <c r="G1231" s="18">
        <f t="shared" si="56"/>
        <v>89.886499999999998</v>
      </c>
      <c r="H1231" s="18">
        <f t="shared" si="57"/>
        <v>19.409836065573771</v>
      </c>
      <c r="I1231" s="32">
        <v>38.286047303548678</v>
      </c>
      <c r="K1231" s="32">
        <v>1.856531650863475</v>
      </c>
      <c r="L1231" s="32">
        <f t="shared" si="54"/>
        <v>16.438356164383563</v>
      </c>
      <c r="M1231" s="5">
        <f t="shared" si="58"/>
        <v>69.164666022614909</v>
      </c>
      <c r="N1231" s="5">
        <f t="shared" si="59"/>
        <v>14.098901098901099</v>
      </c>
      <c r="O1231" s="32">
        <v>16.25146787875256</v>
      </c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</row>
    <row r="1232" spans="1:38">
      <c r="A1232" s="5">
        <v>589</v>
      </c>
      <c r="B1232" s="11">
        <v>1228</v>
      </c>
      <c r="C1232" s="12">
        <v>46885</v>
      </c>
      <c r="D1232" s="31">
        <f t="shared" si="55"/>
        <v>45</v>
      </c>
      <c r="E1232" s="14"/>
      <c r="F1232" s="5">
        <v>0</v>
      </c>
      <c r="G1232" s="18">
        <f t="shared" si="56"/>
        <v>90.039200000000008</v>
      </c>
      <c r="H1232" s="18">
        <f t="shared" si="57"/>
        <v>19.409836065573771</v>
      </c>
      <c r="I1232" s="32">
        <v>18.250311036483961</v>
      </c>
      <c r="K1232" s="32">
        <v>125.251830789778</v>
      </c>
      <c r="L1232" s="32">
        <f t="shared" si="54"/>
        <v>16.438356164383563</v>
      </c>
      <c r="M1232" s="5">
        <f t="shared" si="58"/>
        <v>67.808673724385073</v>
      </c>
      <c r="N1232" s="5">
        <f t="shared" si="59"/>
        <v>14.098901098901099</v>
      </c>
      <c r="O1232" s="32">
        <v>14.658660616246911</v>
      </c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</row>
    <row r="1233" spans="1:38">
      <c r="A1233" s="5">
        <v>590</v>
      </c>
      <c r="B1233" s="11">
        <v>1229</v>
      </c>
      <c r="C1233" s="12">
        <v>46886</v>
      </c>
      <c r="D1233" s="31">
        <f t="shared" si="55"/>
        <v>79</v>
      </c>
      <c r="E1233" s="14"/>
      <c r="F1233" s="5">
        <v>0</v>
      </c>
      <c r="G1233" s="18">
        <f t="shared" si="56"/>
        <v>90.191900000000004</v>
      </c>
      <c r="H1233" s="18">
        <f t="shared" si="57"/>
        <v>19.409836065573771</v>
      </c>
      <c r="I1233" s="32">
        <v>40.205073791258023</v>
      </c>
      <c r="K1233" s="32">
        <v>125.251830789778</v>
      </c>
      <c r="L1233" s="32">
        <f t="shared" si="54"/>
        <v>16.438356164383563</v>
      </c>
      <c r="M1233" s="5">
        <f t="shared" si="58"/>
        <v>67.808673724385073</v>
      </c>
      <c r="N1233" s="5">
        <f t="shared" si="59"/>
        <v>14.098901098901099</v>
      </c>
      <c r="O1233" s="32">
        <v>28.845980754664659</v>
      </c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</row>
    <row r="1234" spans="1:38">
      <c r="A1234" s="5">
        <v>591</v>
      </c>
      <c r="B1234" s="11">
        <v>1230</v>
      </c>
      <c r="C1234" s="12">
        <v>46887</v>
      </c>
      <c r="D1234" s="31">
        <f t="shared" si="55"/>
        <v>50</v>
      </c>
      <c r="E1234" s="14"/>
      <c r="F1234" s="5">
        <v>0</v>
      </c>
      <c r="G1234" s="18">
        <f t="shared" si="56"/>
        <v>90.3446</v>
      </c>
      <c r="H1234" s="18">
        <f t="shared" si="57"/>
        <v>19.409836065573771</v>
      </c>
      <c r="I1234" s="32">
        <v>28.640937233378899</v>
      </c>
      <c r="K1234" s="32">
        <v>21.372030235181079</v>
      </c>
      <c r="L1234" s="32">
        <f t="shared" si="54"/>
        <v>16.438356164383563</v>
      </c>
      <c r="M1234" s="5">
        <f t="shared" si="58"/>
        <v>68.950209994215797</v>
      </c>
      <c r="N1234" s="5">
        <f t="shared" si="59"/>
        <v>14.098901098901099</v>
      </c>
      <c r="O1234" s="32">
        <v>19.799928263602538</v>
      </c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</row>
    <row r="1235" spans="1:38">
      <c r="A1235" s="5">
        <v>592</v>
      </c>
      <c r="B1235" s="11">
        <v>1231</v>
      </c>
      <c r="C1235" s="12">
        <v>46888</v>
      </c>
      <c r="D1235" s="31">
        <f t="shared" si="55"/>
        <v>38</v>
      </c>
      <c r="E1235" s="14"/>
      <c r="F1235" s="5">
        <v>0</v>
      </c>
      <c r="G1235" s="18">
        <f t="shared" si="56"/>
        <v>90.497299999999996</v>
      </c>
      <c r="H1235" s="18">
        <f t="shared" si="57"/>
        <v>19.409836065573771</v>
      </c>
      <c r="I1235" s="32">
        <v>24.446934640422889</v>
      </c>
      <c r="K1235" s="32">
        <v>1.856531650863475</v>
      </c>
      <c r="L1235" s="32">
        <f t="shared" si="54"/>
        <v>16.438356164383563</v>
      </c>
      <c r="M1235" s="5">
        <f t="shared" si="58"/>
        <v>69.164666022614909</v>
      </c>
      <c r="N1235" s="5">
        <f t="shared" si="59"/>
        <v>14.098901098901099</v>
      </c>
      <c r="O1235" s="32">
        <v>20.86910304034069</v>
      </c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</row>
    <row r="1236" spans="1:38">
      <c r="A1236" s="5">
        <v>593</v>
      </c>
      <c r="B1236" s="11">
        <v>1232</v>
      </c>
      <c r="C1236" s="12">
        <v>46889</v>
      </c>
      <c r="D1236" s="31">
        <f t="shared" si="55"/>
        <v>21</v>
      </c>
      <c r="E1236" s="14"/>
      <c r="F1236" s="5">
        <v>0</v>
      </c>
      <c r="G1236" s="18">
        <f t="shared" si="56"/>
        <v>90.65</v>
      </c>
      <c r="H1236" s="18">
        <f t="shared" si="57"/>
        <v>19.409836065573771</v>
      </c>
      <c r="I1236" s="32">
        <v>31.175968371029089</v>
      </c>
      <c r="K1236" s="32">
        <v>125.251830789778</v>
      </c>
      <c r="L1236" s="32">
        <f t="shared" si="54"/>
        <v>16.438356164383563</v>
      </c>
      <c r="M1236" s="5">
        <f t="shared" si="58"/>
        <v>67.808673724385073</v>
      </c>
      <c r="N1236" s="5">
        <f t="shared" si="59"/>
        <v>14.098901098901099</v>
      </c>
      <c r="O1236" s="32">
        <v>13.63477886552684</v>
      </c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</row>
    <row r="1237" spans="1:38">
      <c r="A1237" s="5">
        <v>594</v>
      </c>
      <c r="B1237" s="11">
        <v>1233</v>
      </c>
      <c r="C1237" s="12">
        <v>46890</v>
      </c>
      <c r="D1237" s="31">
        <f t="shared" si="55"/>
        <v>59</v>
      </c>
      <c r="E1237" s="14"/>
      <c r="F1237" s="5">
        <v>0</v>
      </c>
      <c r="G1237" s="18">
        <f t="shared" si="56"/>
        <v>90.802700000000002</v>
      </c>
      <c r="H1237" s="18">
        <f t="shared" si="57"/>
        <v>19.409836065573771</v>
      </c>
      <c r="I1237" s="32">
        <v>15.299243271589029</v>
      </c>
      <c r="K1237" s="32">
        <v>125.251830789778</v>
      </c>
      <c r="L1237" s="32">
        <f t="shared" si="54"/>
        <v>16.438356164383563</v>
      </c>
      <c r="M1237" s="5">
        <f t="shared" si="58"/>
        <v>67.808673724385073</v>
      </c>
      <c r="N1237" s="5">
        <f t="shared" si="59"/>
        <v>14.098901098901099</v>
      </c>
      <c r="O1237" s="32">
        <v>11.058315732226211</v>
      </c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</row>
    <row r="1238" spans="1:38">
      <c r="A1238" s="5">
        <v>595</v>
      </c>
      <c r="B1238" s="11">
        <v>1234</v>
      </c>
      <c r="C1238" s="12">
        <v>46891</v>
      </c>
      <c r="D1238" s="31">
        <f t="shared" si="55"/>
        <v>73</v>
      </c>
      <c r="E1238" s="14"/>
      <c r="F1238" s="5">
        <v>0</v>
      </c>
      <c r="G1238" s="18">
        <f t="shared" si="56"/>
        <v>90.955399999999997</v>
      </c>
      <c r="H1238" s="18">
        <f t="shared" si="57"/>
        <v>19.409836065573771</v>
      </c>
      <c r="I1238" s="32">
        <v>37.5194603498379</v>
      </c>
      <c r="K1238" s="32">
        <v>21.372030235181079</v>
      </c>
      <c r="L1238" s="32">
        <f t="shared" si="54"/>
        <v>16.438356164383563</v>
      </c>
      <c r="M1238" s="5">
        <f t="shared" si="58"/>
        <v>68.950209994215797</v>
      </c>
      <c r="N1238" s="5">
        <f t="shared" si="59"/>
        <v>14.098901098901099</v>
      </c>
      <c r="O1238" s="32">
        <v>15.533084719190921</v>
      </c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</row>
    <row r="1239" spans="1:38">
      <c r="A1239" s="5">
        <v>596</v>
      </c>
      <c r="B1239" s="11">
        <v>1235</v>
      </c>
      <c r="C1239" s="12">
        <v>46892</v>
      </c>
      <c r="D1239" s="31">
        <f t="shared" si="55"/>
        <v>38</v>
      </c>
      <c r="E1239" s="14"/>
      <c r="F1239" s="5">
        <v>0</v>
      </c>
      <c r="G1239" s="18">
        <f t="shared" si="56"/>
        <v>91.108100000000007</v>
      </c>
      <c r="H1239" s="18">
        <f t="shared" si="57"/>
        <v>19.409836065573771</v>
      </c>
      <c r="I1239" s="32">
        <v>23.613606536477469</v>
      </c>
      <c r="K1239" s="32">
        <v>1.856531650863475</v>
      </c>
      <c r="L1239" s="32">
        <f t="shared" si="54"/>
        <v>16.438356164383563</v>
      </c>
      <c r="M1239" s="5">
        <f t="shared" si="58"/>
        <v>69.164666022614909</v>
      </c>
      <c r="N1239" s="5">
        <f t="shared" si="59"/>
        <v>14.098901098901099</v>
      </c>
      <c r="O1239" s="32">
        <v>28.473861853801779</v>
      </c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</row>
    <row r="1240" spans="1:38">
      <c r="A1240" s="5">
        <v>597</v>
      </c>
      <c r="B1240" s="11">
        <v>1236</v>
      </c>
      <c r="C1240" s="12">
        <v>46893</v>
      </c>
      <c r="D1240" s="31">
        <f t="shared" si="55"/>
        <v>53</v>
      </c>
      <c r="E1240" s="14"/>
      <c r="F1240" s="5">
        <v>0</v>
      </c>
      <c r="G1240" s="18">
        <f t="shared" si="56"/>
        <v>91.260800000000003</v>
      </c>
      <c r="H1240" s="18">
        <f t="shared" si="57"/>
        <v>19.409836065573771</v>
      </c>
      <c r="I1240" s="32">
        <v>32.295378276400911</v>
      </c>
      <c r="K1240" s="32">
        <v>125.251830789778</v>
      </c>
      <c r="L1240" s="32">
        <f t="shared" si="54"/>
        <v>16.438356164383563</v>
      </c>
      <c r="M1240" s="5">
        <f t="shared" si="58"/>
        <v>67.808673724385073</v>
      </c>
      <c r="N1240" s="5">
        <f t="shared" si="59"/>
        <v>14.098901098901099</v>
      </c>
      <c r="O1240" s="32">
        <v>33.001162022397118</v>
      </c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</row>
    <row r="1241" spans="1:38">
      <c r="A1241" s="5">
        <v>598</v>
      </c>
      <c r="B1241" s="11">
        <v>1237</v>
      </c>
      <c r="C1241" s="12">
        <v>46894</v>
      </c>
      <c r="D1241" s="31">
        <f t="shared" si="55"/>
        <v>49</v>
      </c>
      <c r="E1241" s="14"/>
      <c r="F1241" s="5">
        <v>0</v>
      </c>
      <c r="G1241" s="18">
        <f t="shared" si="56"/>
        <v>91.413499999999999</v>
      </c>
      <c r="H1241" s="18">
        <f t="shared" si="57"/>
        <v>19.409836065573771</v>
      </c>
      <c r="I1241" s="32">
        <v>20.375375624711889</v>
      </c>
      <c r="K1241" s="32">
        <v>125.251830789778</v>
      </c>
      <c r="L1241" s="32">
        <f t="shared" si="54"/>
        <v>16.438356164383563</v>
      </c>
      <c r="M1241" s="5">
        <f t="shared" si="58"/>
        <v>67.808673724385073</v>
      </c>
      <c r="N1241" s="5">
        <f t="shared" si="59"/>
        <v>14.098901098901099</v>
      </c>
      <c r="O1241" s="32">
        <v>29.56652570459633</v>
      </c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</row>
    <row r="1242" spans="1:38">
      <c r="A1242" s="5">
        <v>599</v>
      </c>
      <c r="B1242" s="11">
        <v>1238</v>
      </c>
      <c r="C1242" s="12">
        <v>46895</v>
      </c>
      <c r="D1242" s="31">
        <f t="shared" si="55"/>
        <v>56</v>
      </c>
      <c r="E1242" s="14"/>
      <c r="F1242" s="5">
        <v>0</v>
      </c>
      <c r="G1242" s="18">
        <f t="shared" si="56"/>
        <v>91.566199999999995</v>
      </c>
      <c r="H1242" s="18">
        <f t="shared" si="57"/>
        <v>19.409836065573771</v>
      </c>
      <c r="I1242" s="32">
        <v>25.59360963256005</v>
      </c>
      <c r="K1242" s="32">
        <v>21.372030235181079</v>
      </c>
      <c r="L1242" s="32">
        <f t="shared" si="54"/>
        <v>16.438356164383563</v>
      </c>
      <c r="M1242" s="5">
        <f t="shared" si="58"/>
        <v>68.950209994215797</v>
      </c>
      <c r="N1242" s="5">
        <f t="shared" si="59"/>
        <v>14.098901098901099</v>
      </c>
      <c r="O1242" s="32">
        <v>16.204289231757699</v>
      </c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</row>
    <row r="1243" spans="1:38">
      <c r="A1243" s="5">
        <v>600</v>
      </c>
      <c r="B1243" s="11">
        <v>1239</v>
      </c>
      <c r="C1243" s="12">
        <v>46896</v>
      </c>
      <c r="D1243" s="31">
        <f t="shared" si="55"/>
        <v>65</v>
      </c>
      <c r="E1243" s="14"/>
      <c r="F1243" s="5">
        <v>0</v>
      </c>
      <c r="G1243" s="18">
        <f t="shared" si="56"/>
        <v>91.718900000000005</v>
      </c>
      <c r="H1243" s="18">
        <f t="shared" si="57"/>
        <v>19.409836065573771</v>
      </c>
      <c r="I1243" s="32">
        <v>33.402556992528552</v>
      </c>
      <c r="K1243" s="32">
        <v>1.856531650863475</v>
      </c>
      <c r="L1243" s="32">
        <f t="shared" si="54"/>
        <v>16.438356164383563</v>
      </c>
      <c r="M1243" s="5">
        <f t="shared" si="58"/>
        <v>69.164666022614909</v>
      </c>
      <c r="N1243" s="5">
        <f t="shared" si="59"/>
        <v>14.098901098901099</v>
      </c>
      <c r="O1243" s="32">
        <v>7.0604472817648283</v>
      </c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</row>
    <row r="1244" spans="1:38">
      <c r="A1244" s="5">
        <v>601</v>
      </c>
      <c r="B1244" s="11">
        <v>1240</v>
      </c>
      <c r="C1244" s="12">
        <v>46897</v>
      </c>
      <c r="D1244" s="31">
        <f t="shared" si="55"/>
        <v>27</v>
      </c>
      <c r="E1244" s="14"/>
      <c r="F1244" s="5">
        <v>0</v>
      </c>
      <c r="G1244" s="18">
        <f t="shared" si="56"/>
        <v>91.871600000000001</v>
      </c>
      <c r="H1244" s="18">
        <f t="shared" si="57"/>
        <v>19.409836065573771</v>
      </c>
      <c r="I1244" s="32">
        <v>15.720801431767139</v>
      </c>
      <c r="K1244" s="32">
        <v>125.251830789778</v>
      </c>
      <c r="L1244" s="32">
        <f t="shared" si="54"/>
        <v>16.438356164383563</v>
      </c>
      <c r="M1244" s="5">
        <f t="shared" si="58"/>
        <v>67.808673724385073</v>
      </c>
      <c r="N1244" s="5">
        <f t="shared" si="59"/>
        <v>14.098901098901099</v>
      </c>
      <c r="O1244" s="32">
        <v>10.73026688119015</v>
      </c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</row>
    <row r="1245" spans="1:38">
      <c r="A1245" s="5">
        <v>602</v>
      </c>
      <c r="B1245" s="11">
        <v>1241</v>
      </c>
      <c r="C1245" s="12">
        <v>46898</v>
      </c>
      <c r="D1245" s="31">
        <f t="shared" si="55"/>
        <v>85</v>
      </c>
      <c r="E1245" s="14"/>
      <c r="F1245" s="5">
        <v>0</v>
      </c>
      <c r="G1245" s="18">
        <f t="shared" si="56"/>
        <v>92.024299999999997</v>
      </c>
      <c r="H1245" s="18">
        <f t="shared" si="57"/>
        <v>19.409836065573771</v>
      </c>
      <c r="I1245" s="32">
        <v>35.617122263745628</v>
      </c>
      <c r="K1245" s="32">
        <v>125.251830789778</v>
      </c>
      <c r="L1245" s="32">
        <f t="shared" si="54"/>
        <v>16.438356164383563</v>
      </c>
      <c r="M1245" s="5">
        <f t="shared" si="58"/>
        <v>67.808673724385073</v>
      </c>
      <c r="N1245" s="5">
        <f t="shared" si="59"/>
        <v>14.098901098901099</v>
      </c>
      <c r="O1245" s="32">
        <v>19.907603407958941</v>
      </c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</row>
    <row r="1246" spans="1:38">
      <c r="A1246" s="5">
        <v>603</v>
      </c>
      <c r="B1246" s="11">
        <v>1242</v>
      </c>
      <c r="C1246" s="12">
        <v>46899</v>
      </c>
      <c r="D1246" s="31">
        <f t="shared" si="55"/>
        <v>29</v>
      </c>
      <c r="E1246" s="14"/>
      <c r="F1246" s="5">
        <v>0</v>
      </c>
      <c r="G1246" s="18">
        <f t="shared" si="56"/>
        <v>92.177000000000007</v>
      </c>
      <c r="H1246" s="18">
        <f t="shared" si="57"/>
        <v>19.409836065573771</v>
      </c>
      <c r="I1246" s="32">
        <v>38.915289844744422</v>
      </c>
      <c r="K1246" s="32">
        <v>21.372030235181079</v>
      </c>
      <c r="L1246" s="32">
        <f t="shared" si="54"/>
        <v>16.438356164383563</v>
      </c>
      <c r="M1246" s="5">
        <f t="shared" si="58"/>
        <v>68.950209994215797</v>
      </c>
      <c r="N1246" s="5">
        <f t="shared" si="59"/>
        <v>14.098901098901099</v>
      </c>
      <c r="O1246" s="32">
        <v>17.37903782065808</v>
      </c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</row>
    <row r="1247" spans="1:38">
      <c r="A1247" s="5">
        <v>604</v>
      </c>
      <c r="B1247" s="11">
        <v>1243</v>
      </c>
      <c r="C1247" s="12">
        <v>46900</v>
      </c>
      <c r="D1247" s="31">
        <f t="shared" si="55"/>
        <v>33</v>
      </c>
      <c r="E1247" s="14"/>
      <c r="F1247" s="5">
        <v>0</v>
      </c>
      <c r="G1247" s="18">
        <f t="shared" si="56"/>
        <v>92.329700000000003</v>
      </c>
      <c r="H1247" s="18">
        <f t="shared" si="57"/>
        <v>19.409836065573771</v>
      </c>
      <c r="I1247" s="32">
        <v>19.782204374310211</v>
      </c>
      <c r="K1247" s="32">
        <v>1.856531650863475</v>
      </c>
      <c r="L1247" s="32">
        <f t="shared" ref="L1247:L1310" si="60">12000/730</f>
        <v>16.438356164383563</v>
      </c>
      <c r="M1247" s="5">
        <f t="shared" si="58"/>
        <v>69.164666022614909</v>
      </c>
      <c r="N1247" s="5">
        <f t="shared" si="59"/>
        <v>14.098901098901099</v>
      </c>
      <c r="O1247" s="32">
        <v>22.99448423882107</v>
      </c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</row>
    <row r="1248" spans="1:38">
      <c r="A1248" s="5">
        <v>605</v>
      </c>
      <c r="B1248" s="11">
        <v>1244</v>
      </c>
      <c r="C1248" s="12">
        <v>46901</v>
      </c>
      <c r="D1248" s="31">
        <f t="shared" ref="D1248:D1311" si="61">ROUNDUP(_xlfn.FORECAST.ETS(B1248,$D$5:$D$734,$B$5:$B$734,365,0,1),0)</f>
        <v>57</v>
      </c>
      <c r="E1248" s="14"/>
      <c r="F1248" s="5">
        <v>0</v>
      </c>
      <c r="G1248" s="18">
        <f t="shared" ref="G1248:G1311" si="62">0.1527*A1248+0.0989</f>
        <v>92.482399999999998</v>
      </c>
      <c r="H1248" s="18">
        <f t="shared" ref="H1248:H1311" si="63">AVERAGE($I$674:$I$734)</f>
        <v>19.409836065573771</v>
      </c>
      <c r="I1248" s="32">
        <v>37.549331659464237</v>
      </c>
      <c r="K1248" s="32">
        <v>125.251830789778</v>
      </c>
      <c r="L1248" s="32">
        <f t="shared" si="60"/>
        <v>16.438356164383563</v>
      </c>
      <c r="M1248" s="5">
        <f t="shared" ref="M1248:M1311" si="64">AVERAGE(K1157:K1247)</f>
        <v>67.808673724385073</v>
      </c>
      <c r="N1248" s="5">
        <f t="shared" si="59"/>
        <v>14.098901098901099</v>
      </c>
      <c r="O1248" s="32">
        <v>16.54845167718317</v>
      </c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</row>
    <row r="1249" spans="1:38">
      <c r="A1249" s="5">
        <v>606</v>
      </c>
      <c r="B1249" s="11">
        <v>1245</v>
      </c>
      <c r="C1249" s="12">
        <v>46902</v>
      </c>
      <c r="D1249" s="31">
        <f t="shared" si="61"/>
        <v>69</v>
      </c>
      <c r="E1249" s="14"/>
      <c r="F1249" s="5">
        <v>0</v>
      </c>
      <c r="G1249" s="18">
        <f t="shared" si="62"/>
        <v>92.635100000000008</v>
      </c>
      <c r="H1249" s="18">
        <f t="shared" si="63"/>
        <v>19.409836065573771</v>
      </c>
      <c r="I1249" s="32">
        <v>11.231752730536829</v>
      </c>
      <c r="K1249" s="32">
        <v>125.251830789778</v>
      </c>
      <c r="L1249" s="32">
        <f t="shared" si="60"/>
        <v>16.438356164383563</v>
      </c>
      <c r="M1249" s="5">
        <f t="shared" si="64"/>
        <v>67.808673724385073</v>
      </c>
      <c r="N1249" s="5">
        <f t="shared" si="59"/>
        <v>14.098901098901099</v>
      </c>
      <c r="O1249" s="32">
        <v>14.11547338408355</v>
      </c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</row>
    <row r="1250" spans="1:38">
      <c r="A1250" s="5">
        <v>607</v>
      </c>
      <c r="B1250" s="11">
        <v>1246</v>
      </c>
      <c r="C1250" s="12">
        <v>46903</v>
      </c>
      <c r="D1250" s="31">
        <f t="shared" si="61"/>
        <v>44</v>
      </c>
      <c r="E1250" s="14"/>
      <c r="F1250" s="5">
        <v>0</v>
      </c>
      <c r="G1250" s="18">
        <f t="shared" si="62"/>
        <v>92.787800000000004</v>
      </c>
      <c r="H1250" s="18">
        <f t="shared" si="63"/>
        <v>19.409836065573771</v>
      </c>
      <c r="I1250" s="32">
        <v>26.879542679904429</v>
      </c>
      <c r="K1250" s="32">
        <v>21.372030235181079</v>
      </c>
      <c r="L1250" s="32">
        <f t="shared" si="60"/>
        <v>16.438356164383563</v>
      </c>
      <c r="M1250" s="5">
        <f t="shared" si="64"/>
        <v>68.950209994215797</v>
      </c>
      <c r="N1250" s="5">
        <f t="shared" si="59"/>
        <v>14.098901098901099</v>
      </c>
      <c r="O1250" s="32">
        <v>15.435568559523549</v>
      </c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</row>
    <row r="1251" spans="1:38">
      <c r="A1251" s="5">
        <v>608</v>
      </c>
      <c r="B1251" s="11">
        <v>1247</v>
      </c>
      <c r="C1251" s="12">
        <v>46904</v>
      </c>
      <c r="D1251" s="31">
        <f t="shared" si="61"/>
        <v>87</v>
      </c>
      <c r="E1251" s="14"/>
      <c r="F1251" s="5">
        <v>0</v>
      </c>
      <c r="G1251" s="18">
        <f t="shared" si="62"/>
        <v>92.9405</v>
      </c>
      <c r="H1251" s="18">
        <f t="shared" si="63"/>
        <v>19.409836065573771</v>
      </c>
      <c r="I1251" s="32">
        <v>13.962645842790289</v>
      </c>
      <c r="K1251" s="32">
        <v>1.856531650863475</v>
      </c>
      <c r="L1251" s="32">
        <f t="shared" si="60"/>
        <v>16.438356164383563</v>
      </c>
      <c r="M1251" s="5">
        <f t="shared" si="64"/>
        <v>69.164666022614909</v>
      </c>
      <c r="N1251" s="5">
        <f t="shared" si="59"/>
        <v>14.098901098901099</v>
      </c>
      <c r="O1251" s="32">
        <v>28.84981785912262</v>
      </c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</row>
    <row r="1252" spans="1:38">
      <c r="A1252" s="5">
        <v>609</v>
      </c>
      <c r="B1252" s="11">
        <v>1248</v>
      </c>
      <c r="C1252" s="12">
        <v>46905</v>
      </c>
      <c r="D1252" s="31">
        <f t="shared" si="61"/>
        <v>101</v>
      </c>
      <c r="E1252" s="14"/>
      <c r="F1252" s="5">
        <v>0</v>
      </c>
      <c r="G1252" s="18">
        <f t="shared" si="62"/>
        <v>93.093199999999996</v>
      </c>
      <c r="H1252" s="18">
        <f t="shared" si="63"/>
        <v>19.409836065573771</v>
      </c>
      <c r="I1252" s="32">
        <v>14.390982733604099</v>
      </c>
      <c r="K1252" s="32">
        <v>125.251830789778</v>
      </c>
      <c r="L1252" s="32">
        <f t="shared" si="60"/>
        <v>16.438356164383563</v>
      </c>
      <c r="M1252" s="5">
        <f t="shared" si="64"/>
        <v>67.808673724385073</v>
      </c>
      <c r="N1252" s="5">
        <f t="shared" si="59"/>
        <v>14.098901098901099</v>
      </c>
      <c r="O1252" s="32">
        <v>27.392253061303091</v>
      </c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</row>
    <row r="1253" spans="1:38">
      <c r="A1253" s="5">
        <v>610</v>
      </c>
      <c r="B1253" s="11">
        <v>1249</v>
      </c>
      <c r="C1253" s="12">
        <v>46906</v>
      </c>
      <c r="D1253" s="31">
        <f t="shared" si="61"/>
        <v>55</v>
      </c>
      <c r="E1253" s="14"/>
      <c r="F1253" s="5">
        <v>0</v>
      </c>
      <c r="G1253" s="18">
        <f t="shared" si="62"/>
        <v>93.245900000000006</v>
      </c>
      <c r="H1253" s="18">
        <f t="shared" si="63"/>
        <v>19.409836065573771</v>
      </c>
      <c r="I1253" s="32">
        <v>29.42551615383649</v>
      </c>
      <c r="K1253" s="32">
        <v>125.251830789778</v>
      </c>
      <c r="L1253" s="32">
        <f t="shared" si="60"/>
        <v>16.438356164383563</v>
      </c>
      <c r="M1253" s="5">
        <f t="shared" si="64"/>
        <v>67.808673724385073</v>
      </c>
      <c r="N1253" s="5">
        <f t="shared" si="59"/>
        <v>14.098901098901099</v>
      </c>
      <c r="O1253" s="32">
        <v>29.08246374678669</v>
      </c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</row>
    <row r="1254" spans="1:38">
      <c r="A1254" s="5">
        <v>611</v>
      </c>
      <c r="B1254" s="11">
        <v>1250</v>
      </c>
      <c r="C1254" s="12">
        <v>46907</v>
      </c>
      <c r="D1254" s="31">
        <f t="shared" si="61"/>
        <v>39</v>
      </c>
      <c r="E1254" s="14"/>
      <c r="F1254" s="5">
        <v>0</v>
      </c>
      <c r="G1254" s="18">
        <f t="shared" si="62"/>
        <v>93.398600000000002</v>
      </c>
      <c r="H1254" s="18">
        <f t="shared" si="63"/>
        <v>19.409836065573771</v>
      </c>
      <c r="I1254" s="32">
        <v>19.73623686153049</v>
      </c>
      <c r="K1254" s="32">
        <v>21.372030235181079</v>
      </c>
      <c r="L1254" s="32">
        <f t="shared" si="60"/>
        <v>16.438356164383563</v>
      </c>
      <c r="M1254" s="5">
        <f t="shared" si="64"/>
        <v>68.950209994215797</v>
      </c>
      <c r="N1254" s="5">
        <f t="shared" si="59"/>
        <v>14.098901098901099</v>
      </c>
      <c r="O1254" s="32">
        <v>13.03163234938024</v>
      </c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</row>
    <row r="1255" spans="1:38">
      <c r="A1255" s="5">
        <v>612</v>
      </c>
      <c r="B1255" s="11">
        <v>1251</v>
      </c>
      <c r="C1255" s="12">
        <v>46908</v>
      </c>
      <c r="D1255" s="31">
        <f t="shared" si="61"/>
        <v>56</v>
      </c>
      <c r="E1255" s="14"/>
      <c r="F1255" s="5">
        <v>0</v>
      </c>
      <c r="G1255" s="18">
        <f t="shared" si="62"/>
        <v>93.551299999999998</v>
      </c>
      <c r="H1255" s="18">
        <f t="shared" si="63"/>
        <v>19.409836065573771</v>
      </c>
      <c r="I1255" s="32">
        <v>14.25623544458008</v>
      </c>
      <c r="K1255" s="32">
        <v>1.856531650863475</v>
      </c>
      <c r="L1255" s="32">
        <f t="shared" si="60"/>
        <v>16.438356164383563</v>
      </c>
      <c r="M1255" s="5">
        <f t="shared" si="64"/>
        <v>69.164666022614909</v>
      </c>
      <c r="N1255" s="5">
        <f t="shared" si="59"/>
        <v>14.098901098901099</v>
      </c>
      <c r="O1255" s="32">
        <v>5.6998362593904552</v>
      </c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</row>
    <row r="1256" spans="1:38">
      <c r="A1256" s="5">
        <v>613</v>
      </c>
      <c r="B1256" s="11">
        <v>1252</v>
      </c>
      <c r="C1256" s="12">
        <v>46909</v>
      </c>
      <c r="D1256" s="31">
        <f t="shared" si="61"/>
        <v>35</v>
      </c>
      <c r="E1256" s="14"/>
      <c r="F1256" s="5">
        <v>0</v>
      </c>
      <c r="G1256" s="18">
        <f t="shared" si="62"/>
        <v>93.704000000000008</v>
      </c>
      <c r="H1256" s="18">
        <f t="shared" si="63"/>
        <v>19.409836065573771</v>
      </c>
      <c r="I1256" s="32">
        <v>18.877678701702411</v>
      </c>
      <c r="K1256" s="32">
        <v>125.251830789778</v>
      </c>
      <c r="L1256" s="32">
        <f t="shared" si="60"/>
        <v>16.438356164383563</v>
      </c>
      <c r="M1256" s="5">
        <f t="shared" si="64"/>
        <v>67.808673724385073</v>
      </c>
      <c r="N1256" s="5">
        <f t="shared" si="59"/>
        <v>14.098901098901099</v>
      </c>
      <c r="O1256" s="32">
        <v>9.6611890020517173</v>
      </c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</row>
    <row r="1257" spans="1:38">
      <c r="A1257" s="5">
        <v>614</v>
      </c>
      <c r="B1257" s="11">
        <v>1253</v>
      </c>
      <c r="C1257" s="12">
        <v>46910</v>
      </c>
      <c r="D1257" s="31">
        <f t="shared" si="61"/>
        <v>68</v>
      </c>
      <c r="E1257" s="14"/>
      <c r="F1257" s="5">
        <v>0</v>
      </c>
      <c r="G1257" s="18">
        <f t="shared" si="62"/>
        <v>93.856700000000004</v>
      </c>
      <c r="H1257" s="18">
        <f t="shared" si="63"/>
        <v>19.409836065573771</v>
      </c>
      <c r="I1257" s="32">
        <v>29.936677355487461</v>
      </c>
      <c r="K1257" s="32">
        <v>125.251830789778</v>
      </c>
      <c r="L1257" s="32">
        <f t="shared" si="60"/>
        <v>16.438356164383563</v>
      </c>
      <c r="M1257" s="5">
        <f t="shared" si="64"/>
        <v>67.808673724385073</v>
      </c>
      <c r="N1257" s="5">
        <f t="shared" si="59"/>
        <v>14.098901098901099</v>
      </c>
      <c r="O1257" s="32">
        <v>23.466753625585671</v>
      </c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</row>
    <row r="1258" spans="1:38">
      <c r="A1258" s="5">
        <v>615</v>
      </c>
      <c r="B1258" s="11">
        <v>1254</v>
      </c>
      <c r="C1258" s="12">
        <v>46911</v>
      </c>
      <c r="D1258" s="31">
        <f t="shared" si="61"/>
        <v>61</v>
      </c>
      <c r="E1258" s="14"/>
      <c r="F1258" s="5">
        <v>0</v>
      </c>
      <c r="G1258" s="18">
        <f t="shared" si="62"/>
        <v>94.009399999999999</v>
      </c>
      <c r="H1258" s="18">
        <f t="shared" si="63"/>
        <v>19.409836065573771</v>
      </c>
      <c r="I1258" s="32">
        <v>22.073981784560061</v>
      </c>
      <c r="K1258" s="32">
        <v>21.372030235181079</v>
      </c>
      <c r="L1258" s="32">
        <f t="shared" si="60"/>
        <v>16.438356164383563</v>
      </c>
      <c r="M1258" s="5">
        <f t="shared" si="64"/>
        <v>68.950209994215797</v>
      </c>
      <c r="N1258" s="5">
        <f t="shared" si="59"/>
        <v>14.098901098901099</v>
      </c>
      <c r="O1258" s="32">
        <v>33.802910882509792</v>
      </c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</row>
    <row r="1259" spans="1:38">
      <c r="A1259" s="5">
        <v>616</v>
      </c>
      <c r="B1259" s="11">
        <v>1255</v>
      </c>
      <c r="C1259" s="12">
        <v>46912</v>
      </c>
      <c r="D1259" s="31">
        <f t="shared" si="61"/>
        <v>74</v>
      </c>
      <c r="E1259" s="14"/>
      <c r="F1259" s="5">
        <v>0</v>
      </c>
      <c r="G1259" s="18">
        <f t="shared" si="62"/>
        <v>94.162099999999995</v>
      </c>
      <c r="H1259" s="18">
        <f t="shared" si="63"/>
        <v>19.409836065573771</v>
      </c>
      <c r="I1259" s="32">
        <v>15.8641580398705</v>
      </c>
      <c r="K1259" s="32">
        <v>1.856531650863475</v>
      </c>
      <c r="L1259" s="32">
        <f t="shared" si="60"/>
        <v>16.438356164383563</v>
      </c>
      <c r="M1259" s="5">
        <f t="shared" si="64"/>
        <v>69.164666022614909</v>
      </c>
      <c r="N1259" s="5">
        <f t="shared" si="59"/>
        <v>14.098901098901099</v>
      </c>
      <c r="O1259" s="32">
        <v>34.071229782842529</v>
      </c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</row>
    <row r="1260" spans="1:38">
      <c r="A1260" s="5">
        <v>617</v>
      </c>
      <c r="B1260" s="11">
        <v>1256</v>
      </c>
      <c r="C1260" s="12">
        <v>46913</v>
      </c>
      <c r="D1260" s="31">
        <f t="shared" si="61"/>
        <v>52</v>
      </c>
      <c r="E1260" s="14"/>
      <c r="F1260" s="5">
        <v>0</v>
      </c>
      <c r="G1260" s="18">
        <f t="shared" si="62"/>
        <v>94.314800000000005</v>
      </c>
      <c r="H1260" s="18">
        <f t="shared" si="63"/>
        <v>19.409836065573771</v>
      </c>
      <c r="I1260" s="32">
        <v>33.747990516565423</v>
      </c>
      <c r="K1260" s="32">
        <v>125.251830789778</v>
      </c>
      <c r="L1260" s="32">
        <f t="shared" si="60"/>
        <v>16.438356164383563</v>
      </c>
      <c r="M1260" s="5">
        <f t="shared" si="64"/>
        <v>67.808673724385073</v>
      </c>
      <c r="N1260" s="5">
        <f t="shared" si="59"/>
        <v>14.098901098901099</v>
      </c>
      <c r="O1260" s="32">
        <v>19.136506320044269</v>
      </c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</row>
    <row r="1261" spans="1:38">
      <c r="A1261" s="5">
        <v>618</v>
      </c>
      <c r="B1261" s="11">
        <v>1257</v>
      </c>
      <c r="C1261" s="12">
        <v>46914</v>
      </c>
      <c r="D1261" s="31">
        <f t="shared" si="61"/>
        <v>47</v>
      </c>
      <c r="E1261" s="14"/>
      <c r="F1261" s="5">
        <v>0</v>
      </c>
      <c r="G1261" s="18">
        <f t="shared" si="62"/>
        <v>94.467500000000001</v>
      </c>
      <c r="H1261" s="18">
        <f t="shared" si="63"/>
        <v>19.409836065573771</v>
      </c>
      <c r="I1261" s="32">
        <v>34.635751429527879</v>
      </c>
      <c r="K1261" s="32">
        <v>125.251830789778</v>
      </c>
      <c r="L1261" s="32">
        <f t="shared" si="60"/>
        <v>16.438356164383563</v>
      </c>
      <c r="M1261" s="5">
        <f t="shared" si="64"/>
        <v>67.808673724385073</v>
      </c>
      <c r="N1261" s="5">
        <f t="shared" si="59"/>
        <v>14.098901098901099</v>
      </c>
      <c r="O1261" s="32">
        <v>17.458217581561531</v>
      </c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</row>
    <row r="1262" spans="1:38">
      <c r="A1262" s="5">
        <v>619</v>
      </c>
      <c r="B1262" s="11">
        <v>1258</v>
      </c>
      <c r="C1262" s="12">
        <v>46915</v>
      </c>
      <c r="D1262" s="31">
        <f t="shared" si="61"/>
        <v>57</v>
      </c>
      <c r="E1262" s="14"/>
      <c r="F1262" s="5">
        <v>0</v>
      </c>
      <c r="G1262" s="18">
        <f t="shared" si="62"/>
        <v>94.620199999999997</v>
      </c>
      <c r="H1262" s="18">
        <f t="shared" si="63"/>
        <v>19.409836065573771</v>
      </c>
      <c r="I1262" s="32">
        <v>28.35784711110858</v>
      </c>
      <c r="K1262" s="32">
        <v>21.372030235181079</v>
      </c>
      <c r="L1262" s="32">
        <f t="shared" si="60"/>
        <v>16.438356164383563</v>
      </c>
      <c r="M1262" s="5">
        <f t="shared" si="64"/>
        <v>68.950209994215797</v>
      </c>
      <c r="N1262" s="5">
        <f t="shared" si="59"/>
        <v>14.098901098901099</v>
      </c>
      <c r="O1262" s="32">
        <v>4.7679334797674198</v>
      </c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</row>
    <row r="1263" spans="1:38">
      <c r="A1263" s="5">
        <v>620</v>
      </c>
      <c r="B1263" s="11">
        <v>1259</v>
      </c>
      <c r="C1263" s="12">
        <v>46916</v>
      </c>
      <c r="D1263" s="31">
        <f t="shared" si="61"/>
        <v>62</v>
      </c>
      <c r="E1263" s="14"/>
      <c r="F1263" s="5">
        <v>0</v>
      </c>
      <c r="G1263" s="18">
        <f t="shared" si="62"/>
        <v>94.772900000000007</v>
      </c>
      <c r="H1263" s="18">
        <f t="shared" si="63"/>
        <v>19.409836065573771</v>
      </c>
      <c r="I1263" s="32">
        <v>28.969290805563691</v>
      </c>
      <c r="K1263" s="32">
        <v>1.856531650863475</v>
      </c>
      <c r="L1263" s="32">
        <f t="shared" si="60"/>
        <v>16.438356164383563</v>
      </c>
      <c r="M1263" s="5">
        <f t="shared" si="64"/>
        <v>69.164666022614909</v>
      </c>
      <c r="N1263" s="5">
        <f t="shared" si="59"/>
        <v>14.098901098901099</v>
      </c>
      <c r="O1263" s="32">
        <v>17.56071335411702</v>
      </c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</row>
    <row r="1264" spans="1:38">
      <c r="A1264" s="5">
        <v>621</v>
      </c>
      <c r="B1264" s="11">
        <v>1260</v>
      </c>
      <c r="C1264" s="12">
        <v>46917</v>
      </c>
      <c r="D1264" s="31">
        <f t="shared" si="61"/>
        <v>61</v>
      </c>
      <c r="E1264" s="14"/>
      <c r="F1264" s="5">
        <v>0</v>
      </c>
      <c r="G1264" s="18">
        <f t="shared" si="62"/>
        <v>94.925600000000003</v>
      </c>
      <c r="H1264" s="18">
        <f t="shared" si="63"/>
        <v>19.409836065573771</v>
      </c>
      <c r="I1264" s="32">
        <v>27.766537160605811</v>
      </c>
      <c r="K1264" s="32">
        <v>125.251830789778</v>
      </c>
      <c r="L1264" s="32">
        <f t="shared" si="60"/>
        <v>16.438356164383563</v>
      </c>
      <c r="M1264" s="5">
        <f t="shared" si="64"/>
        <v>67.808673724385073</v>
      </c>
      <c r="N1264" s="5">
        <f t="shared" si="59"/>
        <v>14.098901098901099</v>
      </c>
      <c r="O1264" s="32">
        <v>14.44277396271637</v>
      </c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</row>
    <row r="1265" spans="1:38">
      <c r="A1265" s="5">
        <v>622</v>
      </c>
      <c r="B1265" s="11">
        <v>1261</v>
      </c>
      <c r="C1265" s="12">
        <v>46918</v>
      </c>
      <c r="D1265" s="31">
        <f t="shared" si="61"/>
        <v>59</v>
      </c>
      <c r="E1265" s="14"/>
      <c r="F1265" s="5">
        <v>0</v>
      </c>
      <c r="G1265" s="18">
        <f t="shared" si="62"/>
        <v>95.078299999999999</v>
      </c>
      <c r="H1265" s="18">
        <f t="shared" si="63"/>
        <v>19.409836065573771</v>
      </c>
      <c r="I1265" s="32">
        <v>29.095393826650209</v>
      </c>
      <c r="K1265" s="32">
        <v>125.251830789778</v>
      </c>
      <c r="L1265" s="32">
        <f t="shared" si="60"/>
        <v>16.438356164383563</v>
      </c>
      <c r="M1265" s="5">
        <f t="shared" si="64"/>
        <v>67.808673724385073</v>
      </c>
      <c r="N1265" s="5">
        <f t="shared" si="59"/>
        <v>14.098901098901099</v>
      </c>
      <c r="O1265" s="32">
        <v>25.729093011144059</v>
      </c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</row>
    <row r="1266" spans="1:38">
      <c r="A1266" s="5">
        <v>623</v>
      </c>
      <c r="B1266" s="11">
        <v>1262</v>
      </c>
      <c r="C1266" s="12">
        <v>46919</v>
      </c>
      <c r="D1266" s="31">
        <f t="shared" si="61"/>
        <v>85</v>
      </c>
      <c r="E1266" s="14"/>
      <c r="F1266" s="5">
        <v>0</v>
      </c>
      <c r="G1266" s="18">
        <f t="shared" si="62"/>
        <v>95.231000000000009</v>
      </c>
      <c r="H1266" s="18">
        <f t="shared" si="63"/>
        <v>19.409836065573771</v>
      </c>
      <c r="I1266" s="32">
        <v>26.00303088261348</v>
      </c>
      <c r="K1266" s="32">
        <v>21.372030235181079</v>
      </c>
      <c r="L1266" s="32">
        <f t="shared" si="60"/>
        <v>16.438356164383563</v>
      </c>
      <c r="M1266" s="5">
        <f t="shared" si="64"/>
        <v>68.950209994215797</v>
      </c>
      <c r="N1266" s="5">
        <f t="shared" si="59"/>
        <v>14.098901098901099</v>
      </c>
      <c r="O1266" s="32">
        <v>19.969553154549899</v>
      </c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</row>
    <row r="1267" spans="1:38">
      <c r="A1267" s="5">
        <v>624</v>
      </c>
      <c r="B1267" s="11">
        <v>1263</v>
      </c>
      <c r="C1267" s="12">
        <v>46920</v>
      </c>
      <c r="D1267" s="31">
        <f t="shared" si="61"/>
        <v>79</v>
      </c>
      <c r="E1267" s="14"/>
      <c r="F1267" s="5">
        <v>0</v>
      </c>
      <c r="G1267" s="18">
        <f t="shared" si="62"/>
        <v>95.383700000000005</v>
      </c>
      <c r="H1267" s="18">
        <f t="shared" si="63"/>
        <v>19.409836065573771</v>
      </c>
      <c r="I1267" s="32">
        <v>33.281835352726517</v>
      </c>
      <c r="K1267" s="32">
        <v>1.856531650863475</v>
      </c>
      <c r="L1267" s="32">
        <f t="shared" si="60"/>
        <v>16.438356164383563</v>
      </c>
      <c r="M1267" s="5">
        <f t="shared" si="64"/>
        <v>69.164666022614909</v>
      </c>
      <c r="N1267" s="5">
        <f t="shared" si="59"/>
        <v>14.098901098901099</v>
      </c>
      <c r="O1267" s="32">
        <v>21.735354803107509</v>
      </c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</row>
    <row r="1268" spans="1:38">
      <c r="A1268" s="5">
        <v>625</v>
      </c>
      <c r="B1268" s="11">
        <v>1264</v>
      </c>
      <c r="C1268" s="12">
        <v>46921</v>
      </c>
      <c r="D1268" s="31">
        <f t="shared" si="61"/>
        <v>42</v>
      </c>
      <c r="E1268" s="14"/>
      <c r="F1268" s="5">
        <v>0</v>
      </c>
      <c r="G1268" s="18">
        <f t="shared" si="62"/>
        <v>95.5364</v>
      </c>
      <c r="H1268" s="18">
        <f t="shared" si="63"/>
        <v>19.409836065573771</v>
      </c>
      <c r="I1268" s="32">
        <v>42.910089351123958</v>
      </c>
      <c r="K1268" s="32">
        <v>125.251830789778</v>
      </c>
      <c r="L1268" s="32">
        <f t="shared" si="60"/>
        <v>16.438356164383563</v>
      </c>
      <c r="M1268" s="5">
        <f t="shared" si="64"/>
        <v>67.808673724385073</v>
      </c>
      <c r="N1268" s="5">
        <f t="shared" si="59"/>
        <v>14.098901098901099</v>
      </c>
      <c r="O1268" s="32">
        <v>11.645964293464001</v>
      </c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</row>
    <row r="1269" spans="1:38">
      <c r="A1269" s="5">
        <v>626</v>
      </c>
      <c r="B1269" s="11">
        <v>1265</v>
      </c>
      <c r="C1269" s="12">
        <v>46922</v>
      </c>
      <c r="D1269" s="31">
        <f t="shared" si="61"/>
        <v>68</v>
      </c>
      <c r="E1269" s="14"/>
      <c r="F1269" s="5">
        <v>0</v>
      </c>
      <c r="G1269" s="18">
        <f t="shared" si="62"/>
        <v>95.689099999999996</v>
      </c>
      <c r="H1269" s="18">
        <f t="shared" si="63"/>
        <v>19.409836065573771</v>
      </c>
      <c r="I1269" s="32">
        <v>41.911063234287262</v>
      </c>
      <c r="K1269" s="32">
        <v>125.251830789778</v>
      </c>
      <c r="L1269" s="32">
        <f t="shared" si="60"/>
        <v>16.438356164383563</v>
      </c>
      <c r="M1269" s="5">
        <f t="shared" si="64"/>
        <v>67.808673724385073</v>
      </c>
      <c r="N1269" s="5">
        <f t="shared" si="59"/>
        <v>14.098901098901099</v>
      </c>
      <c r="O1269" s="32">
        <v>17.60260144642146</v>
      </c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</row>
    <row r="1270" spans="1:38">
      <c r="A1270" s="5">
        <v>627</v>
      </c>
      <c r="B1270" s="11">
        <v>1266</v>
      </c>
      <c r="C1270" s="12">
        <v>46923</v>
      </c>
      <c r="D1270" s="31">
        <f t="shared" si="61"/>
        <v>77</v>
      </c>
      <c r="E1270" s="14"/>
      <c r="F1270" s="5">
        <v>0</v>
      </c>
      <c r="G1270" s="18">
        <f t="shared" si="62"/>
        <v>95.841800000000006</v>
      </c>
      <c r="H1270" s="18">
        <f t="shared" si="63"/>
        <v>19.409836065573771</v>
      </c>
      <c r="I1270" s="32">
        <v>45.777940925208988</v>
      </c>
      <c r="K1270" s="32">
        <v>21.372030235181079</v>
      </c>
      <c r="L1270" s="32">
        <f t="shared" si="60"/>
        <v>16.438356164383563</v>
      </c>
      <c r="M1270" s="5">
        <f t="shared" si="64"/>
        <v>68.950209994215797</v>
      </c>
      <c r="N1270" s="5">
        <f t="shared" si="59"/>
        <v>14.098901098901099</v>
      </c>
      <c r="O1270" s="32">
        <v>11.84243421331122</v>
      </c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</row>
    <row r="1271" spans="1:38">
      <c r="A1271" s="5">
        <v>628</v>
      </c>
      <c r="B1271" s="11">
        <v>1267</v>
      </c>
      <c r="C1271" s="12">
        <v>46924</v>
      </c>
      <c r="D1271" s="31">
        <f t="shared" si="61"/>
        <v>80</v>
      </c>
      <c r="E1271" s="14"/>
      <c r="F1271" s="5">
        <v>0</v>
      </c>
      <c r="G1271" s="18">
        <f t="shared" si="62"/>
        <v>95.994500000000002</v>
      </c>
      <c r="H1271" s="18">
        <f t="shared" si="63"/>
        <v>19.409836065573771</v>
      </c>
      <c r="I1271" s="32">
        <v>22.054781193451511</v>
      </c>
      <c r="K1271" s="32">
        <v>1.856531650863475</v>
      </c>
      <c r="L1271" s="32">
        <f t="shared" si="60"/>
        <v>16.438356164383563</v>
      </c>
      <c r="M1271" s="5">
        <f t="shared" si="64"/>
        <v>69.164666022614909</v>
      </c>
      <c r="N1271" s="5">
        <f t="shared" si="59"/>
        <v>14.098901098901099</v>
      </c>
      <c r="O1271" s="32">
        <v>31.140511466442131</v>
      </c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</row>
    <row r="1272" spans="1:38">
      <c r="A1272" s="5">
        <v>629</v>
      </c>
      <c r="B1272" s="11">
        <v>1268</v>
      </c>
      <c r="C1272" s="12">
        <v>46925</v>
      </c>
      <c r="D1272" s="31">
        <f t="shared" si="61"/>
        <v>65</v>
      </c>
      <c r="E1272" s="14"/>
      <c r="F1272" s="5">
        <v>0</v>
      </c>
      <c r="G1272" s="18">
        <f t="shared" si="62"/>
        <v>96.147199999999998</v>
      </c>
      <c r="H1272" s="18">
        <f t="shared" si="63"/>
        <v>19.409836065573771</v>
      </c>
      <c r="I1272" s="32">
        <v>24.069699218895721</v>
      </c>
      <c r="K1272" s="32">
        <v>125.251830789778</v>
      </c>
      <c r="L1272" s="32">
        <f t="shared" si="60"/>
        <v>16.438356164383563</v>
      </c>
      <c r="M1272" s="5">
        <f t="shared" si="64"/>
        <v>67.808673724385073</v>
      </c>
      <c r="N1272" s="5">
        <f t="shared" si="59"/>
        <v>14.098901098901099</v>
      </c>
      <c r="O1272" s="32">
        <v>29.042679017424501</v>
      </c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</row>
    <row r="1273" spans="1:38">
      <c r="A1273" s="5">
        <v>630</v>
      </c>
      <c r="B1273" s="11">
        <v>1269</v>
      </c>
      <c r="C1273" s="12">
        <v>46926</v>
      </c>
      <c r="D1273" s="31">
        <f t="shared" si="61"/>
        <v>81</v>
      </c>
      <c r="E1273" s="14"/>
      <c r="F1273" s="5">
        <v>0</v>
      </c>
      <c r="G1273" s="18">
        <f t="shared" si="62"/>
        <v>96.299900000000008</v>
      </c>
      <c r="H1273" s="18">
        <f t="shared" si="63"/>
        <v>19.409836065573771</v>
      </c>
      <c r="I1273" s="32">
        <v>8.3150519509440688</v>
      </c>
      <c r="K1273" s="32">
        <v>125.251830789778</v>
      </c>
      <c r="L1273" s="32">
        <f t="shared" si="60"/>
        <v>16.438356164383563</v>
      </c>
      <c r="M1273" s="5">
        <f t="shared" si="64"/>
        <v>67.808673724385073</v>
      </c>
      <c r="N1273" s="5">
        <f t="shared" si="59"/>
        <v>14.098901098901099</v>
      </c>
      <c r="O1273" s="32">
        <v>28.928668252538639</v>
      </c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</row>
    <row r="1274" spans="1:38">
      <c r="A1274" s="5">
        <v>631</v>
      </c>
      <c r="B1274" s="11">
        <v>1270</v>
      </c>
      <c r="C1274" s="12">
        <v>46927</v>
      </c>
      <c r="D1274" s="31">
        <f t="shared" si="61"/>
        <v>61</v>
      </c>
      <c r="E1274" s="14"/>
      <c r="F1274" s="5">
        <v>0</v>
      </c>
      <c r="G1274" s="18">
        <f t="shared" si="62"/>
        <v>96.452600000000004</v>
      </c>
      <c r="H1274" s="18">
        <f t="shared" si="63"/>
        <v>19.409836065573771</v>
      </c>
      <c r="I1274" s="32">
        <v>18.08637829742856</v>
      </c>
      <c r="K1274" s="32">
        <v>21.372030235181079</v>
      </c>
      <c r="L1274" s="32">
        <f t="shared" si="60"/>
        <v>16.438356164383563</v>
      </c>
      <c r="M1274" s="5">
        <f t="shared" si="64"/>
        <v>68.950209994215797</v>
      </c>
      <c r="N1274" s="5">
        <f t="shared" si="59"/>
        <v>14.098901098901099</v>
      </c>
      <c r="O1274" s="32">
        <v>12.84908910035838</v>
      </c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</row>
    <row r="1275" spans="1:38">
      <c r="A1275" s="5">
        <v>632</v>
      </c>
      <c r="B1275" s="11">
        <v>1271</v>
      </c>
      <c r="C1275" s="12">
        <v>46928</v>
      </c>
      <c r="D1275" s="31">
        <f t="shared" si="61"/>
        <v>63</v>
      </c>
      <c r="E1275" s="14"/>
      <c r="F1275" s="5">
        <v>0</v>
      </c>
      <c r="G1275" s="18">
        <f t="shared" si="62"/>
        <v>96.6053</v>
      </c>
      <c r="H1275" s="18">
        <f t="shared" si="63"/>
        <v>19.409836065573771</v>
      </c>
      <c r="I1275" s="32">
        <v>26.61155848058409</v>
      </c>
      <c r="K1275" s="32">
        <v>1.856531650863475</v>
      </c>
      <c r="L1275" s="32">
        <f t="shared" si="60"/>
        <v>16.438356164383563</v>
      </c>
      <c r="M1275" s="5">
        <f t="shared" si="64"/>
        <v>69.164666022614909</v>
      </c>
      <c r="N1275" s="5">
        <f t="shared" si="59"/>
        <v>14.098901098901099</v>
      </c>
      <c r="O1275" s="32">
        <v>11.29535397925668</v>
      </c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</row>
    <row r="1276" spans="1:38">
      <c r="A1276" s="5">
        <v>633</v>
      </c>
      <c r="B1276" s="11">
        <v>1272</v>
      </c>
      <c r="C1276" s="12">
        <v>46929</v>
      </c>
      <c r="D1276" s="31">
        <f t="shared" si="61"/>
        <v>100</v>
      </c>
      <c r="E1276" s="14"/>
      <c r="F1276" s="5">
        <v>0</v>
      </c>
      <c r="G1276" s="18">
        <f t="shared" si="62"/>
        <v>96.757999999999996</v>
      </c>
      <c r="H1276" s="18">
        <f t="shared" si="63"/>
        <v>19.409836065573771</v>
      </c>
      <c r="I1276" s="32">
        <v>16.686143018157608</v>
      </c>
      <c r="K1276" s="32">
        <v>125.251830789778</v>
      </c>
      <c r="L1276" s="32">
        <f t="shared" si="60"/>
        <v>16.438356164383563</v>
      </c>
      <c r="M1276" s="5">
        <f t="shared" si="64"/>
        <v>67.808673724385073</v>
      </c>
      <c r="N1276" s="5">
        <f t="shared" si="59"/>
        <v>14.098901098901099</v>
      </c>
      <c r="O1276" s="32">
        <v>8.7890142384021974</v>
      </c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</row>
    <row r="1277" spans="1:38">
      <c r="A1277" s="5">
        <v>634</v>
      </c>
      <c r="B1277" s="11">
        <v>1273</v>
      </c>
      <c r="C1277" s="12">
        <v>46930</v>
      </c>
      <c r="D1277" s="31">
        <f t="shared" si="61"/>
        <v>45</v>
      </c>
      <c r="E1277" s="14"/>
      <c r="F1277" s="5">
        <v>0</v>
      </c>
      <c r="G1277" s="18">
        <f t="shared" si="62"/>
        <v>96.910700000000006</v>
      </c>
      <c r="H1277" s="18">
        <f t="shared" si="63"/>
        <v>19.409836065573771</v>
      </c>
      <c r="I1277" s="32">
        <v>17.654706551934101</v>
      </c>
      <c r="K1277" s="32">
        <v>125.251830789778</v>
      </c>
      <c r="L1277" s="32">
        <f t="shared" si="60"/>
        <v>16.438356164383563</v>
      </c>
      <c r="M1277" s="5">
        <f t="shared" si="64"/>
        <v>67.808673724385073</v>
      </c>
      <c r="N1277" s="5">
        <f t="shared" si="59"/>
        <v>14.098901098901099</v>
      </c>
      <c r="O1277" s="32">
        <v>16.462222807047091</v>
      </c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</row>
    <row r="1278" spans="1:38">
      <c r="A1278" s="5">
        <v>635</v>
      </c>
      <c r="B1278" s="11">
        <v>1274</v>
      </c>
      <c r="C1278" s="12">
        <v>46931</v>
      </c>
      <c r="D1278" s="31">
        <f t="shared" si="61"/>
        <v>72</v>
      </c>
      <c r="E1278" s="14"/>
      <c r="F1278" s="5">
        <v>0</v>
      </c>
      <c r="G1278" s="18">
        <f t="shared" si="62"/>
        <v>97.063400000000001</v>
      </c>
      <c r="H1278" s="18">
        <f t="shared" si="63"/>
        <v>19.409836065573771</v>
      </c>
      <c r="I1278" s="32">
        <v>19.50960936351721</v>
      </c>
      <c r="K1278" s="32">
        <v>21.372030235181079</v>
      </c>
      <c r="L1278" s="32">
        <f t="shared" si="60"/>
        <v>16.438356164383563</v>
      </c>
      <c r="M1278" s="5">
        <f t="shared" si="64"/>
        <v>68.950209994215797</v>
      </c>
      <c r="N1278" s="5">
        <f t="shared" si="59"/>
        <v>14.098901098901099</v>
      </c>
      <c r="O1278" s="32">
        <v>34.792559281900132</v>
      </c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</row>
    <row r="1279" spans="1:38">
      <c r="A1279" s="5">
        <v>636</v>
      </c>
      <c r="B1279" s="11">
        <v>1275</v>
      </c>
      <c r="C1279" s="12">
        <v>46932</v>
      </c>
      <c r="D1279" s="31">
        <f t="shared" si="61"/>
        <v>58</v>
      </c>
      <c r="E1279" s="14"/>
      <c r="F1279" s="5">
        <v>0</v>
      </c>
      <c r="G1279" s="18">
        <f t="shared" si="62"/>
        <v>97.216099999999997</v>
      </c>
      <c r="H1279" s="18">
        <f t="shared" si="63"/>
        <v>19.409836065573771</v>
      </c>
      <c r="I1279" s="32">
        <v>22.878444823567879</v>
      </c>
      <c r="K1279" s="32">
        <v>1.856531650863475</v>
      </c>
      <c r="L1279" s="32">
        <f t="shared" si="60"/>
        <v>16.438356164383563</v>
      </c>
      <c r="M1279" s="5">
        <f t="shared" si="64"/>
        <v>69.164666022614909</v>
      </c>
      <c r="N1279" s="5">
        <f t="shared" si="59"/>
        <v>14.098901098901099</v>
      </c>
      <c r="O1279" s="32">
        <v>36.519892289791883</v>
      </c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</row>
    <row r="1280" spans="1:38">
      <c r="A1280" s="5">
        <v>637</v>
      </c>
      <c r="B1280" s="11">
        <v>1276</v>
      </c>
      <c r="C1280" s="12">
        <v>46933</v>
      </c>
      <c r="D1280" s="31">
        <f t="shared" si="61"/>
        <v>41</v>
      </c>
      <c r="E1280" s="14"/>
      <c r="F1280" s="5">
        <v>0</v>
      </c>
      <c r="G1280" s="18">
        <f t="shared" si="62"/>
        <v>97.368800000000007</v>
      </c>
      <c r="H1280" s="18">
        <f t="shared" si="63"/>
        <v>19.409836065573771</v>
      </c>
      <c r="I1280" s="32">
        <v>8.6057176226811425</v>
      </c>
      <c r="K1280" s="32">
        <v>125.251830789778</v>
      </c>
      <c r="L1280" s="32">
        <f t="shared" si="60"/>
        <v>16.438356164383563</v>
      </c>
      <c r="M1280" s="5">
        <f t="shared" si="64"/>
        <v>67.808673724385073</v>
      </c>
      <c r="N1280" s="5">
        <f t="shared" si="59"/>
        <v>14.098901098901099</v>
      </c>
      <c r="O1280" s="32">
        <v>13.20965786466976</v>
      </c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</row>
    <row r="1281" spans="1:38">
      <c r="A1281" s="5">
        <v>638</v>
      </c>
      <c r="B1281" s="11">
        <v>1277</v>
      </c>
      <c r="C1281" s="12">
        <v>46934</v>
      </c>
      <c r="D1281" s="31">
        <f t="shared" si="61"/>
        <v>53</v>
      </c>
      <c r="E1281" s="14"/>
      <c r="F1281" s="5">
        <v>0</v>
      </c>
      <c r="G1281" s="18">
        <f t="shared" si="62"/>
        <v>97.521500000000003</v>
      </c>
      <c r="H1281" s="18">
        <f t="shared" si="63"/>
        <v>19.409836065573771</v>
      </c>
      <c r="I1281" s="32">
        <v>12.700898009065069</v>
      </c>
      <c r="K1281" s="32">
        <v>125.251830789778</v>
      </c>
      <c r="L1281" s="32">
        <f t="shared" si="60"/>
        <v>16.438356164383563</v>
      </c>
      <c r="M1281" s="5">
        <f t="shared" si="64"/>
        <v>67.808673724385073</v>
      </c>
      <c r="N1281" s="5">
        <f t="shared" si="59"/>
        <v>14.098901098901099</v>
      </c>
      <c r="O1281" s="32">
        <v>16.599685415616289</v>
      </c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</row>
    <row r="1282" spans="1:38">
      <c r="A1282" s="5">
        <v>639</v>
      </c>
      <c r="B1282" s="11">
        <v>1278</v>
      </c>
      <c r="C1282" s="12">
        <v>46935</v>
      </c>
      <c r="D1282" s="31">
        <f t="shared" si="61"/>
        <v>63</v>
      </c>
      <c r="E1282" s="14"/>
      <c r="F1282" s="5">
        <v>0</v>
      </c>
      <c r="G1282" s="18">
        <f t="shared" si="62"/>
        <v>97.674199999999999</v>
      </c>
      <c r="H1282" s="18">
        <f t="shared" si="63"/>
        <v>19.409836065573771</v>
      </c>
      <c r="I1282" s="32">
        <v>37.220350650100272</v>
      </c>
      <c r="K1282" s="32">
        <v>21.372030235181079</v>
      </c>
      <c r="L1282" s="32">
        <f t="shared" si="60"/>
        <v>16.438356164383563</v>
      </c>
      <c r="M1282" s="5">
        <f t="shared" si="64"/>
        <v>68.950209994215797</v>
      </c>
      <c r="N1282" s="5">
        <f t="shared" si="59"/>
        <v>14.098901098901099</v>
      </c>
      <c r="O1282" s="32">
        <v>14.71590246658495</v>
      </c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</row>
    <row r="1283" spans="1:38">
      <c r="A1283" s="5">
        <v>640</v>
      </c>
      <c r="B1283" s="11">
        <v>1279</v>
      </c>
      <c r="C1283" s="12">
        <v>46936</v>
      </c>
      <c r="D1283" s="31">
        <f t="shared" si="61"/>
        <v>77</v>
      </c>
      <c r="E1283" s="14"/>
      <c r="F1283" s="5">
        <v>0</v>
      </c>
      <c r="G1283" s="18">
        <f t="shared" si="62"/>
        <v>97.826900000000009</v>
      </c>
      <c r="H1283" s="18">
        <f t="shared" si="63"/>
        <v>19.409836065573771</v>
      </c>
      <c r="I1283" s="32">
        <v>33.947521910763989</v>
      </c>
      <c r="K1283" s="32">
        <v>1.856531650863475</v>
      </c>
      <c r="L1283" s="32">
        <f t="shared" si="60"/>
        <v>16.438356164383563</v>
      </c>
      <c r="M1283" s="5">
        <f t="shared" si="64"/>
        <v>69.164666022614909</v>
      </c>
      <c r="N1283" s="5">
        <f t="shared" si="59"/>
        <v>14.098901098901099</v>
      </c>
      <c r="O1283" s="32">
        <v>13.4837941113742</v>
      </c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</row>
    <row r="1284" spans="1:38">
      <c r="A1284" s="5">
        <v>641</v>
      </c>
      <c r="B1284" s="11">
        <v>1280</v>
      </c>
      <c r="C1284" s="12">
        <v>46937</v>
      </c>
      <c r="D1284" s="31">
        <f t="shared" si="61"/>
        <v>69</v>
      </c>
      <c r="E1284" s="14"/>
      <c r="F1284" s="5">
        <v>0</v>
      </c>
      <c r="G1284" s="18">
        <f t="shared" si="62"/>
        <v>97.979600000000005</v>
      </c>
      <c r="H1284" s="18">
        <f t="shared" si="63"/>
        <v>19.409836065573771</v>
      </c>
      <c r="I1284" s="32">
        <v>19.546719328914389</v>
      </c>
      <c r="K1284" s="32">
        <v>125.251830789778</v>
      </c>
      <c r="L1284" s="32">
        <f t="shared" si="60"/>
        <v>16.438356164383563</v>
      </c>
      <c r="M1284" s="5">
        <f t="shared" si="64"/>
        <v>67.808673724385073</v>
      </c>
      <c r="N1284" s="5">
        <f t="shared" si="59"/>
        <v>14.098901098901099</v>
      </c>
      <c r="O1284" s="32">
        <v>19.699798355864338</v>
      </c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</row>
    <row r="1285" spans="1:38">
      <c r="A1285" s="5">
        <v>642</v>
      </c>
      <c r="B1285" s="11">
        <v>1281</v>
      </c>
      <c r="C1285" s="12">
        <v>46938</v>
      </c>
      <c r="D1285" s="31">
        <f t="shared" si="61"/>
        <v>80</v>
      </c>
      <c r="E1285" s="14"/>
      <c r="F1285" s="5">
        <v>0</v>
      </c>
      <c r="G1285" s="18">
        <f t="shared" si="62"/>
        <v>98.132300000000001</v>
      </c>
      <c r="H1285" s="18">
        <f t="shared" si="63"/>
        <v>19.409836065573771</v>
      </c>
      <c r="I1285" s="32">
        <v>14.69424900222937</v>
      </c>
      <c r="K1285" s="32">
        <v>125.251830789778</v>
      </c>
      <c r="L1285" s="32">
        <f t="shared" si="60"/>
        <v>16.438356164383563</v>
      </c>
      <c r="M1285" s="5">
        <f t="shared" si="64"/>
        <v>67.808673724385073</v>
      </c>
      <c r="N1285" s="5">
        <f t="shared" ref="N1285:N1348" si="65">AVERAGE($O$644:$O$734)</f>
        <v>14.098901098901099</v>
      </c>
      <c r="O1285" s="32">
        <v>20.93924709145335</v>
      </c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</row>
    <row r="1286" spans="1:38">
      <c r="A1286" s="5">
        <v>643</v>
      </c>
      <c r="B1286" s="11">
        <v>1282</v>
      </c>
      <c r="C1286" s="12">
        <v>46939</v>
      </c>
      <c r="D1286" s="31">
        <f t="shared" si="61"/>
        <v>66</v>
      </c>
      <c r="E1286" s="14"/>
      <c r="F1286" s="5">
        <v>0</v>
      </c>
      <c r="G1286" s="18">
        <f t="shared" si="62"/>
        <v>98.284999999999997</v>
      </c>
      <c r="H1286" s="18">
        <f t="shared" si="63"/>
        <v>19.409836065573771</v>
      </c>
      <c r="I1286" s="32">
        <v>13.596315250952239</v>
      </c>
      <c r="K1286" s="32">
        <v>21.372030235181079</v>
      </c>
      <c r="L1286" s="32">
        <f t="shared" si="60"/>
        <v>16.438356164383563</v>
      </c>
      <c r="M1286" s="5">
        <f t="shared" si="64"/>
        <v>68.950209994215797</v>
      </c>
      <c r="N1286" s="5">
        <f t="shared" si="65"/>
        <v>14.098901098901099</v>
      </c>
      <c r="O1286" s="32">
        <v>10.570286525839821</v>
      </c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</row>
    <row r="1287" spans="1:38">
      <c r="A1287" s="5">
        <v>644</v>
      </c>
      <c r="B1287" s="11">
        <v>1283</v>
      </c>
      <c r="C1287" s="12">
        <v>46940</v>
      </c>
      <c r="D1287" s="31">
        <f t="shared" si="61"/>
        <v>66</v>
      </c>
      <c r="E1287" s="14"/>
      <c r="F1287" s="5">
        <v>0</v>
      </c>
      <c r="G1287" s="18">
        <f t="shared" si="62"/>
        <v>98.437700000000007</v>
      </c>
      <c r="H1287" s="18">
        <f t="shared" si="63"/>
        <v>19.409836065573771</v>
      </c>
      <c r="I1287" s="32">
        <v>1.6437875657457679</v>
      </c>
      <c r="K1287" s="32">
        <v>1.856531650863475</v>
      </c>
      <c r="L1287" s="32">
        <f t="shared" si="60"/>
        <v>16.438356164383563</v>
      </c>
      <c r="M1287" s="5">
        <f t="shared" si="64"/>
        <v>69.164666022614909</v>
      </c>
      <c r="N1287" s="5">
        <f t="shared" si="65"/>
        <v>14.098901098901099</v>
      </c>
      <c r="O1287" s="32">
        <v>15.03436664332701</v>
      </c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</row>
    <row r="1288" spans="1:38">
      <c r="A1288" s="5">
        <v>645</v>
      </c>
      <c r="B1288" s="11">
        <v>1284</v>
      </c>
      <c r="C1288" s="12">
        <v>46941</v>
      </c>
      <c r="D1288" s="31">
        <f t="shared" si="61"/>
        <v>92</v>
      </c>
      <c r="E1288" s="14"/>
      <c r="F1288" s="5">
        <v>0</v>
      </c>
      <c r="G1288" s="18">
        <f t="shared" si="62"/>
        <v>98.590400000000002</v>
      </c>
      <c r="H1288" s="18">
        <f t="shared" si="63"/>
        <v>19.409836065573771</v>
      </c>
      <c r="I1288" s="32">
        <v>13.257010188092959</v>
      </c>
      <c r="K1288" s="32">
        <v>125.251830789778</v>
      </c>
      <c r="L1288" s="32">
        <f t="shared" si="60"/>
        <v>16.438356164383563</v>
      </c>
      <c r="M1288" s="5">
        <f t="shared" si="64"/>
        <v>67.808673724385073</v>
      </c>
      <c r="N1288" s="5">
        <f t="shared" si="65"/>
        <v>14.098901098901099</v>
      </c>
      <c r="O1288" s="32">
        <v>14.76248967908244</v>
      </c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</row>
    <row r="1289" spans="1:38">
      <c r="A1289" s="5">
        <v>646</v>
      </c>
      <c r="B1289" s="11">
        <v>1285</v>
      </c>
      <c r="C1289" s="12">
        <v>46942</v>
      </c>
      <c r="D1289" s="31">
        <f t="shared" si="61"/>
        <v>87</v>
      </c>
      <c r="E1289" s="14"/>
      <c r="F1289" s="5">
        <v>0</v>
      </c>
      <c r="G1289" s="18">
        <f t="shared" si="62"/>
        <v>98.743099999999998</v>
      </c>
      <c r="H1289" s="18">
        <f t="shared" si="63"/>
        <v>19.409836065573771</v>
      </c>
      <c r="I1289" s="32">
        <v>19.52902828893523</v>
      </c>
      <c r="K1289" s="32">
        <v>125.251830789778</v>
      </c>
      <c r="L1289" s="32">
        <f t="shared" si="60"/>
        <v>16.438356164383563</v>
      </c>
      <c r="M1289" s="5">
        <f t="shared" si="64"/>
        <v>67.808673724385073</v>
      </c>
      <c r="N1289" s="5">
        <f t="shared" si="65"/>
        <v>14.098901098901099</v>
      </c>
      <c r="O1289" s="32">
        <v>16.82381658923476</v>
      </c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</row>
    <row r="1290" spans="1:38">
      <c r="A1290" s="5">
        <v>647</v>
      </c>
      <c r="B1290" s="11">
        <v>1286</v>
      </c>
      <c r="C1290" s="12">
        <v>46943</v>
      </c>
      <c r="D1290" s="31">
        <f t="shared" si="61"/>
        <v>48</v>
      </c>
      <c r="E1290" s="14"/>
      <c r="F1290" s="5">
        <v>0</v>
      </c>
      <c r="G1290" s="18">
        <f t="shared" si="62"/>
        <v>98.895800000000008</v>
      </c>
      <c r="H1290" s="18">
        <f t="shared" si="63"/>
        <v>19.409836065573771</v>
      </c>
      <c r="I1290" s="32">
        <v>22.626352252758821</v>
      </c>
      <c r="K1290" s="32">
        <v>21.372030235181079</v>
      </c>
      <c r="L1290" s="32">
        <f t="shared" si="60"/>
        <v>16.438356164383563</v>
      </c>
      <c r="M1290" s="5">
        <f t="shared" si="64"/>
        <v>68.950209994215797</v>
      </c>
      <c r="N1290" s="5">
        <f t="shared" si="65"/>
        <v>14.098901098901099</v>
      </c>
      <c r="O1290" s="32">
        <v>28.610808776824161</v>
      </c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</row>
    <row r="1291" spans="1:38">
      <c r="A1291" s="5">
        <v>648</v>
      </c>
      <c r="B1291" s="11">
        <v>1287</v>
      </c>
      <c r="C1291" s="12">
        <v>46944</v>
      </c>
      <c r="D1291" s="31">
        <f t="shared" si="61"/>
        <v>56</v>
      </c>
      <c r="E1291" s="14"/>
      <c r="F1291" s="5">
        <v>0</v>
      </c>
      <c r="G1291" s="18">
        <f t="shared" si="62"/>
        <v>99.048500000000004</v>
      </c>
      <c r="H1291" s="18">
        <f t="shared" si="63"/>
        <v>19.409836065573771</v>
      </c>
      <c r="I1291" s="32">
        <v>15.02430755240081</v>
      </c>
      <c r="K1291" s="32">
        <v>1.856531650863475</v>
      </c>
      <c r="L1291" s="32">
        <f t="shared" si="60"/>
        <v>16.438356164383563</v>
      </c>
      <c r="M1291" s="5">
        <f t="shared" si="64"/>
        <v>69.164666022614909</v>
      </c>
      <c r="N1291" s="5">
        <f t="shared" si="65"/>
        <v>14.098901098901099</v>
      </c>
      <c r="O1291" s="32">
        <v>32.245976262536821</v>
      </c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</row>
    <row r="1292" spans="1:38">
      <c r="A1292" s="5">
        <v>649</v>
      </c>
      <c r="B1292" s="11">
        <v>1288</v>
      </c>
      <c r="C1292" s="12">
        <v>46945</v>
      </c>
      <c r="D1292" s="31">
        <f t="shared" si="61"/>
        <v>81</v>
      </c>
      <c r="E1292" s="14"/>
      <c r="F1292" s="5">
        <v>0</v>
      </c>
      <c r="G1292" s="18">
        <f t="shared" si="62"/>
        <v>99.2012</v>
      </c>
      <c r="H1292" s="18">
        <f t="shared" si="63"/>
        <v>19.409836065573771</v>
      </c>
      <c r="I1292" s="32">
        <v>10.723711264745839</v>
      </c>
      <c r="K1292" s="32">
        <v>125.251830789778</v>
      </c>
      <c r="L1292" s="32">
        <f t="shared" si="60"/>
        <v>16.438356164383563</v>
      </c>
      <c r="M1292" s="5">
        <f t="shared" si="64"/>
        <v>67.808673724385073</v>
      </c>
      <c r="N1292" s="5">
        <f t="shared" si="65"/>
        <v>14.098901098901099</v>
      </c>
      <c r="O1292" s="32">
        <v>19.794620306920539</v>
      </c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</row>
    <row r="1293" spans="1:38">
      <c r="A1293" s="5">
        <v>650</v>
      </c>
      <c r="B1293" s="11">
        <v>1289</v>
      </c>
      <c r="C1293" s="12">
        <v>46946</v>
      </c>
      <c r="D1293" s="31">
        <f t="shared" si="61"/>
        <v>81</v>
      </c>
      <c r="E1293" s="14"/>
      <c r="F1293" s="5">
        <v>0</v>
      </c>
      <c r="G1293" s="18">
        <f t="shared" si="62"/>
        <v>99.353899999999996</v>
      </c>
      <c r="H1293" s="18">
        <f t="shared" si="63"/>
        <v>19.409836065573771</v>
      </c>
      <c r="I1293" s="32">
        <v>27.511086743153061</v>
      </c>
      <c r="K1293" s="32">
        <v>125.251830789778</v>
      </c>
      <c r="L1293" s="32">
        <f t="shared" si="60"/>
        <v>16.438356164383563</v>
      </c>
      <c r="M1293" s="5">
        <f t="shared" si="64"/>
        <v>67.808673724385073</v>
      </c>
      <c r="N1293" s="5">
        <f t="shared" si="65"/>
        <v>14.098901098901099</v>
      </c>
      <c r="O1293" s="32">
        <v>13.830646064255159</v>
      </c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</row>
    <row r="1294" spans="1:38">
      <c r="A1294" s="5">
        <v>651</v>
      </c>
      <c r="B1294" s="11">
        <v>1290</v>
      </c>
      <c r="C1294" s="12">
        <v>46947</v>
      </c>
      <c r="D1294" s="31">
        <f t="shared" si="61"/>
        <v>50</v>
      </c>
      <c r="E1294" s="14"/>
      <c r="F1294" s="5">
        <v>0</v>
      </c>
      <c r="G1294" s="18">
        <f t="shared" si="62"/>
        <v>99.506600000000006</v>
      </c>
      <c r="H1294" s="18">
        <f t="shared" si="63"/>
        <v>19.409836065573771</v>
      </c>
      <c r="I1294" s="32">
        <v>24.046546058211192</v>
      </c>
      <c r="K1294" s="32">
        <v>21.372030235181079</v>
      </c>
      <c r="L1294" s="32">
        <f t="shared" si="60"/>
        <v>16.438356164383563</v>
      </c>
      <c r="M1294" s="5">
        <f t="shared" si="64"/>
        <v>68.950209994215797</v>
      </c>
      <c r="N1294" s="5">
        <f t="shared" si="65"/>
        <v>14.098901098901099</v>
      </c>
      <c r="O1294" s="32">
        <v>5.4515688959439537</v>
      </c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</row>
    <row r="1295" spans="1:38">
      <c r="A1295" s="5">
        <v>652</v>
      </c>
      <c r="B1295" s="11">
        <v>1291</v>
      </c>
      <c r="C1295" s="12">
        <v>46948</v>
      </c>
      <c r="D1295" s="31">
        <f t="shared" si="61"/>
        <v>63</v>
      </c>
      <c r="E1295" s="14"/>
      <c r="F1295" s="5">
        <v>0</v>
      </c>
      <c r="G1295" s="18">
        <f t="shared" si="62"/>
        <v>99.659300000000002</v>
      </c>
      <c r="H1295" s="18">
        <f t="shared" si="63"/>
        <v>19.409836065573771</v>
      </c>
      <c r="I1295" s="32">
        <v>18.37508097834391</v>
      </c>
      <c r="K1295" s="32">
        <v>1.856531650863475</v>
      </c>
      <c r="L1295" s="32">
        <f t="shared" si="60"/>
        <v>16.438356164383563</v>
      </c>
      <c r="M1295" s="5">
        <f t="shared" si="64"/>
        <v>69.164666022614909</v>
      </c>
      <c r="N1295" s="5">
        <f t="shared" si="65"/>
        <v>14.098901098901099</v>
      </c>
      <c r="O1295" s="32">
        <v>15.887163092169679</v>
      </c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</row>
    <row r="1296" spans="1:38">
      <c r="A1296" s="5">
        <v>653</v>
      </c>
      <c r="B1296" s="11">
        <v>1292</v>
      </c>
      <c r="C1296" s="12">
        <v>46949</v>
      </c>
      <c r="D1296" s="31">
        <f t="shared" si="61"/>
        <v>62</v>
      </c>
      <c r="E1296" s="14"/>
      <c r="F1296" s="5">
        <v>0</v>
      </c>
      <c r="G1296" s="18">
        <f t="shared" si="62"/>
        <v>99.811999999999998</v>
      </c>
      <c r="H1296" s="18">
        <f t="shared" si="63"/>
        <v>19.409836065573771</v>
      </c>
      <c r="I1296" s="32">
        <v>16.268024923607712</v>
      </c>
      <c r="K1296" s="32">
        <v>125.251830789778</v>
      </c>
      <c r="L1296" s="32">
        <f t="shared" si="60"/>
        <v>16.438356164383563</v>
      </c>
      <c r="M1296" s="5">
        <f t="shared" si="64"/>
        <v>67.808673724385073</v>
      </c>
      <c r="N1296" s="5">
        <f t="shared" si="65"/>
        <v>14.098901098901099</v>
      </c>
      <c r="O1296" s="32">
        <v>27.480439950179761</v>
      </c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</row>
    <row r="1297" spans="1:38">
      <c r="A1297" s="5">
        <v>654</v>
      </c>
      <c r="B1297" s="11">
        <v>1293</v>
      </c>
      <c r="C1297" s="12">
        <v>46950</v>
      </c>
      <c r="D1297" s="31">
        <f t="shared" si="61"/>
        <v>70</v>
      </c>
      <c r="E1297" s="14"/>
      <c r="F1297" s="5">
        <v>0</v>
      </c>
      <c r="G1297" s="18">
        <f t="shared" si="62"/>
        <v>99.964700000000008</v>
      </c>
      <c r="H1297" s="18">
        <f t="shared" si="63"/>
        <v>19.409836065573771</v>
      </c>
      <c r="I1297" s="32">
        <v>29.453445587905431</v>
      </c>
      <c r="K1297" s="32">
        <v>125.251830789778</v>
      </c>
      <c r="L1297" s="32">
        <f t="shared" si="60"/>
        <v>16.438356164383563</v>
      </c>
      <c r="M1297" s="5">
        <f t="shared" si="64"/>
        <v>67.808673724385073</v>
      </c>
      <c r="N1297" s="5">
        <f t="shared" si="65"/>
        <v>14.098901098901099</v>
      </c>
      <c r="O1297" s="32">
        <v>26.75925751149666</v>
      </c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</row>
    <row r="1298" spans="1:38">
      <c r="A1298" s="5">
        <v>655</v>
      </c>
      <c r="B1298" s="11">
        <v>1294</v>
      </c>
      <c r="C1298" s="12">
        <v>46951</v>
      </c>
      <c r="D1298" s="31">
        <f t="shared" si="61"/>
        <v>55</v>
      </c>
      <c r="E1298" s="14"/>
      <c r="F1298" s="5">
        <v>0</v>
      </c>
      <c r="G1298" s="18">
        <f t="shared" si="62"/>
        <v>100.1174</v>
      </c>
      <c r="H1298" s="18">
        <f t="shared" si="63"/>
        <v>19.409836065573771</v>
      </c>
      <c r="I1298" s="32">
        <v>18.47381780881841</v>
      </c>
      <c r="K1298" s="32">
        <v>21.372030235181079</v>
      </c>
      <c r="L1298" s="32">
        <f t="shared" si="60"/>
        <v>16.438356164383563</v>
      </c>
      <c r="M1298" s="5">
        <f t="shared" si="64"/>
        <v>68.950209994215797</v>
      </c>
      <c r="N1298" s="5">
        <f t="shared" si="65"/>
        <v>14.098901098901099</v>
      </c>
      <c r="O1298" s="32">
        <v>19.12596125761381</v>
      </c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</row>
    <row r="1299" spans="1:38">
      <c r="A1299" s="5">
        <v>656</v>
      </c>
      <c r="B1299" s="11">
        <v>1295</v>
      </c>
      <c r="C1299" s="12">
        <v>46952</v>
      </c>
      <c r="D1299" s="31">
        <f t="shared" si="61"/>
        <v>40</v>
      </c>
      <c r="E1299" s="14"/>
      <c r="F1299" s="5">
        <v>0</v>
      </c>
      <c r="G1299" s="18">
        <f t="shared" si="62"/>
        <v>100.2701</v>
      </c>
      <c r="H1299" s="18">
        <f t="shared" si="63"/>
        <v>19.409836065573771</v>
      </c>
      <c r="I1299" s="32">
        <v>14.433435398030831</v>
      </c>
      <c r="K1299" s="32">
        <v>1.856531650863475</v>
      </c>
      <c r="L1299" s="32">
        <f t="shared" si="60"/>
        <v>16.438356164383563</v>
      </c>
      <c r="M1299" s="5">
        <f t="shared" si="64"/>
        <v>69.164666022614909</v>
      </c>
      <c r="N1299" s="5">
        <f t="shared" si="65"/>
        <v>14.098901098901099</v>
      </c>
      <c r="O1299" s="32">
        <v>21.54087439709679</v>
      </c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</row>
    <row r="1300" spans="1:38">
      <c r="A1300" s="5">
        <v>657</v>
      </c>
      <c r="B1300" s="11">
        <v>1296</v>
      </c>
      <c r="C1300" s="12">
        <v>46953</v>
      </c>
      <c r="D1300" s="31">
        <f t="shared" si="61"/>
        <v>67</v>
      </c>
      <c r="E1300" s="14"/>
      <c r="F1300" s="5">
        <v>0</v>
      </c>
      <c r="G1300" s="18">
        <f t="shared" si="62"/>
        <v>100.4228</v>
      </c>
      <c r="H1300" s="18">
        <f t="shared" si="63"/>
        <v>19.409836065573771</v>
      </c>
      <c r="I1300" s="32">
        <v>32.998161055222717</v>
      </c>
      <c r="K1300" s="32">
        <v>125.251830789778</v>
      </c>
      <c r="L1300" s="32">
        <f t="shared" si="60"/>
        <v>16.438356164383563</v>
      </c>
      <c r="M1300" s="5">
        <f t="shared" si="64"/>
        <v>67.808673724385073</v>
      </c>
      <c r="N1300" s="5">
        <f t="shared" si="65"/>
        <v>14.098901098901099</v>
      </c>
      <c r="O1300" s="32">
        <v>11.73648012490632</v>
      </c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</row>
    <row r="1301" spans="1:38">
      <c r="A1301" s="5">
        <v>658</v>
      </c>
      <c r="B1301" s="11">
        <v>1297</v>
      </c>
      <c r="C1301" s="12">
        <v>46954</v>
      </c>
      <c r="D1301" s="31">
        <f t="shared" si="61"/>
        <v>56</v>
      </c>
      <c r="E1301" s="14"/>
      <c r="F1301" s="5">
        <v>0</v>
      </c>
      <c r="G1301" s="18">
        <f t="shared" si="62"/>
        <v>100.57550000000001</v>
      </c>
      <c r="H1301" s="18">
        <f t="shared" si="63"/>
        <v>19.409836065573771</v>
      </c>
      <c r="I1301" s="32">
        <v>36.808529108854223</v>
      </c>
      <c r="K1301" s="32">
        <v>125.251830789778</v>
      </c>
      <c r="L1301" s="32">
        <f t="shared" si="60"/>
        <v>16.438356164383563</v>
      </c>
      <c r="M1301" s="5">
        <f t="shared" si="64"/>
        <v>67.808673724385073</v>
      </c>
      <c r="N1301" s="5">
        <f t="shared" si="65"/>
        <v>14.098901098901099</v>
      </c>
      <c r="O1301" s="32">
        <v>9.4159928315546431</v>
      </c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</row>
    <row r="1302" spans="1:38">
      <c r="A1302" s="5">
        <v>659</v>
      </c>
      <c r="B1302" s="11">
        <v>1298</v>
      </c>
      <c r="C1302" s="12">
        <v>46955</v>
      </c>
      <c r="D1302" s="31">
        <f t="shared" si="61"/>
        <v>57</v>
      </c>
      <c r="E1302" s="14"/>
      <c r="F1302" s="5">
        <v>0</v>
      </c>
      <c r="G1302" s="18">
        <f t="shared" si="62"/>
        <v>100.7282</v>
      </c>
      <c r="H1302" s="18">
        <f t="shared" si="63"/>
        <v>19.409836065573771</v>
      </c>
      <c r="I1302" s="32">
        <v>22.61925040491144</v>
      </c>
      <c r="K1302" s="32">
        <v>21.372030235181079</v>
      </c>
      <c r="L1302" s="32">
        <f t="shared" si="60"/>
        <v>16.438356164383563</v>
      </c>
      <c r="M1302" s="5">
        <f t="shared" si="64"/>
        <v>68.950209994215797</v>
      </c>
      <c r="N1302" s="5">
        <f t="shared" si="65"/>
        <v>14.098901098901099</v>
      </c>
      <c r="O1302" s="32">
        <v>24.086013941636828</v>
      </c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</row>
    <row r="1303" spans="1:38">
      <c r="A1303" s="5">
        <v>660</v>
      </c>
      <c r="B1303" s="11">
        <v>1299</v>
      </c>
      <c r="C1303" s="12">
        <v>46956</v>
      </c>
      <c r="D1303" s="31">
        <f t="shared" si="61"/>
        <v>61</v>
      </c>
      <c r="E1303" s="14"/>
      <c r="F1303" s="5">
        <v>0</v>
      </c>
      <c r="G1303" s="18">
        <f t="shared" si="62"/>
        <v>100.8809</v>
      </c>
      <c r="H1303" s="18">
        <f t="shared" si="63"/>
        <v>19.409836065573771</v>
      </c>
      <c r="I1303" s="32">
        <v>26.246953157764501</v>
      </c>
      <c r="K1303" s="32">
        <v>1.856531650863475</v>
      </c>
      <c r="L1303" s="32">
        <f t="shared" si="60"/>
        <v>16.438356164383563</v>
      </c>
      <c r="M1303" s="5">
        <f t="shared" si="64"/>
        <v>69.164666022614909</v>
      </c>
      <c r="N1303" s="5">
        <f t="shared" si="65"/>
        <v>14.098901098901099</v>
      </c>
      <c r="O1303" s="32">
        <v>27.65628877190186</v>
      </c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</row>
    <row r="1304" spans="1:38">
      <c r="A1304" s="5">
        <v>661</v>
      </c>
      <c r="B1304" s="11">
        <v>1300</v>
      </c>
      <c r="C1304" s="12">
        <v>46957</v>
      </c>
      <c r="D1304" s="31">
        <f t="shared" si="61"/>
        <v>75</v>
      </c>
      <c r="E1304" s="14"/>
      <c r="F1304" s="5">
        <v>0</v>
      </c>
      <c r="G1304" s="18">
        <f t="shared" si="62"/>
        <v>101.03360000000001</v>
      </c>
      <c r="H1304" s="18">
        <f t="shared" si="63"/>
        <v>19.409836065573771</v>
      </c>
      <c r="I1304" s="32">
        <v>14.72189991015021</v>
      </c>
      <c r="K1304" s="32">
        <v>125.251830789778</v>
      </c>
      <c r="L1304" s="32">
        <f t="shared" si="60"/>
        <v>16.438356164383563</v>
      </c>
      <c r="M1304" s="5">
        <f t="shared" si="64"/>
        <v>67.808673724385073</v>
      </c>
      <c r="N1304" s="5">
        <f t="shared" si="65"/>
        <v>14.098901098901099</v>
      </c>
      <c r="O1304" s="32">
        <v>30.752091159006891</v>
      </c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</row>
    <row r="1305" spans="1:38">
      <c r="A1305" s="5">
        <v>662</v>
      </c>
      <c r="B1305" s="11">
        <v>1301</v>
      </c>
      <c r="C1305" s="12">
        <v>46958</v>
      </c>
      <c r="D1305" s="31">
        <f t="shared" si="61"/>
        <v>61</v>
      </c>
      <c r="E1305" s="14"/>
      <c r="F1305" s="5">
        <v>0</v>
      </c>
      <c r="G1305" s="18">
        <f t="shared" si="62"/>
        <v>101.1863</v>
      </c>
      <c r="H1305" s="18">
        <f t="shared" si="63"/>
        <v>19.409836065573771</v>
      </c>
      <c r="I1305" s="32">
        <v>22.33665808656594</v>
      </c>
      <c r="K1305" s="32">
        <v>125.251830789778</v>
      </c>
      <c r="L1305" s="32">
        <f t="shared" si="60"/>
        <v>16.438356164383563</v>
      </c>
      <c r="M1305" s="5">
        <f t="shared" si="64"/>
        <v>67.808673724385073</v>
      </c>
      <c r="N1305" s="5">
        <f t="shared" si="65"/>
        <v>14.098901098901099</v>
      </c>
      <c r="O1305" s="32">
        <v>22.196636869365179</v>
      </c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</row>
    <row r="1306" spans="1:38">
      <c r="A1306" s="5">
        <v>663</v>
      </c>
      <c r="B1306" s="11">
        <v>1302</v>
      </c>
      <c r="C1306" s="12">
        <v>46959</v>
      </c>
      <c r="D1306" s="31">
        <f t="shared" si="61"/>
        <v>61</v>
      </c>
      <c r="E1306" s="14"/>
      <c r="F1306" s="5">
        <v>0</v>
      </c>
      <c r="G1306" s="18">
        <f t="shared" si="62"/>
        <v>101.339</v>
      </c>
      <c r="H1306" s="18">
        <f t="shared" si="63"/>
        <v>19.409836065573771</v>
      </c>
      <c r="I1306" s="32">
        <v>22.711746680271681</v>
      </c>
      <c r="K1306" s="32">
        <v>21.372030235181079</v>
      </c>
      <c r="L1306" s="32">
        <f t="shared" si="60"/>
        <v>16.438356164383563</v>
      </c>
      <c r="M1306" s="5">
        <f t="shared" si="64"/>
        <v>68.950209994215797</v>
      </c>
      <c r="N1306" s="5">
        <f t="shared" si="65"/>
        <v>14.098901098901099</v>
      </c>
      <c r="O1306" s="32">
        <v>13.089557752594089</v>
      </c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</row>
    <row r="1307" spans="1:38">
      <c r="A1307" s="5">
        <v>664</v>
      </c>
      <c r="B1307" s="11">
        <v>1303</v>
      </c>
      <c r="C1307" s="12">
        <v>46960</v>
      </c>
      <c r="D1307" s="31">
        <f t="shared" si="61"/>
        <v>74</v>
      </c>
      <c r="E1307" s="14"/>
      <c r="F1307" s="5">
        <v>0</v>
      </c>
      <c r="G1307" s="18">
        <f t="shared" si="62"/>
        <v>101.49170000000001</v>
      </c>
      <c r="H1307" s="18">
        <f t="shared" si="63"/>
        <v>19.409836065573771</v>
      </c>
      <c r="I1307" s="32">
        <v>22.343932630036189</v>
      </c>
      <c r="K1307" s="32">
        <v>1.856531650863475</v>
      </c>
      <c r="L1307" s="32">
        <f t="shared" si="60"/>
        <v>16.438356164383563</v>
      </c>
      <c r="M1307" s="5">
        <f t="shared" si="64"/>
        <v>69.164666022614909</v>
      </c>
      <c r="N1307" s="5">
        <f t="shared" si="65"/>
        <v>14.098901098901099</v>
      </c>
      <c r="O1307" s="32">
        <v>8.8863647712600375</v>
      </c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</row>
    <row r="1308" spans="1:38">
      <c r="A1308" s="5">
        <v>665</v>
      </c>
      <c r="B1308" s="11">
        <v>1304</v>
      </c>
      <c r="C1308" s="12">
        <v>46961</v>
      </c>
      <c r="D1308" s="31">
        <f t="shared" si="61"/>
        <v>55</v>
      </c>
      <c r="E1308" s="14"/>
      <c r="F1308" s="5">
        <v>0</v>
      </c>
      <c r="G1308" s="18">
        <f t="shared" si="62"/>
        <v>101.6444</v>
      </c>
      <c r="H1308" s="18">
        <f t="shared" si="63"/>
        <v>19.409836065573771</v>
      </c>
      <c r="I1308" s="32">
        <v>29.98784068702642</v>
      </c>
      <c r="K1308" s="32">
        <v>125.251830789778</v>
      </c>
      <c r="L1308" s="32">
        <f t="shared" si="60"/>
        <v>16.438356164383563</v>
      </c>
      <c r="M1308" s="5">
        <f t="shared" si="64"/>
        <v>67.808673724385073</v>
      </c>
      <c r="N1308" s="5">
        <f t="shared" si="65"/>
        <v>14.098901098901099</v>
      </c>
      <c r="O1308" s="32">
        <v>24.46036591386417</v>
      </c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</row>
    <row r="1309" spans="1:38">
      <c r="A1309" s="5">
        <v>666</v>
      </c>
      <c r="B1309" s="11">
        <v>1305</v>
      </c>
      <c r="C1309" s="12">
        <v>46962</v>
      </c>
      <c r="D1309" s="31">
        <f t="shared" si="61"/>
        <v>66</v>
      </c>
      <c r="E1309" s="14"/>
      <c r="F1309" s="5">
        <v>0</v>
      </c>
      <c r="G1309" s="18">
        <f t="shared" si="62"/>
        <v>101.7971</v>
      </c>
      <c r="H1309" s="18">
        <f t="shared" si="63"/>
        <v>19.409836065573771</v>
      </c>
      <c r="I1309" s="32">
        <v>32.974708191068757</v>
      </c>
      <c r="K1309" s="32">
        <v>125.251830789778</v>
      </c>
      <c r="L1309" s="32">
        <f t="shared" si="60"/>
        <v>16.438356164383563</v>
      </c>
      <c r="M1309" s="5">
        <f t="shared" si="64"/>
        <v>67.808673724385073</v>
      </c>
      <c r="N1309" s="5">
        <f t="shared" si="65"/>
        <v>14.098901098901099</v>
      </c>
      <c r="O1309" s="32">
        <v>26.934174839671549</v>
      </c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</row>
    <row r="1310" spans="1:38">
      <c r="A1310" s="5">
        <v>667</v>
      </c>
      <c r="B1310" s="11">
        <v>1306</v>
      </c>
      <c r="C1310" s="12">
        <v>46963</v>
      </c>
      <c r="D1310" s="31">
        <f t="shared" si="61"/>
        <v>74</v>
      </c>
      <c r="E1310" s="14"/>
      <c r="F1310" s="5">
        <v>0</v>
      </c>
      <c r="G1310" s="18">
        <f t="shared" si="62"/>
        <v>101.9498</v>
      </c>
      <c r="H1310" s="18">
        <f t="shared" si="63"/>
        <v>19.409836065573771</v>
      </c>
      <c r="I1310" s="32">
        <v>34.588390539582129</v>
      </c>
      <c r="K1310" s="32">
        <v>21.372030235181079</v>
      </c>
      <c r="L1310" s="32">
        <f t="shared" si="60"/>
        <v>16.438356164383563</v>
      </c>
      <c r="M1310" s="5">
        <f t="shared" si="64"/>
        <v>68.950209994215797</v>
      </c>
      <c r="N1310" s="5">
        <f t="shared" si="65"/>
        <v>14.098901098901099</v>
      </c>
      <c r="O1310" s="32">
        <v>23.208678374865499</v>
      </c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</row>
    <row r="1311" spans="1:38">
      <c r="A1311" s="5">
        <v>668</v>
      </c>
      <c r="B1311" s="11">
        <v>1307</v>
      </c>
      <c r="C1311" s="12">
        <v>46964</v>
      </c>
      <c r="D1311" s="31">
        <f t="shared" si="61"/>
        <v>95</v>
      </c>
      <c r="E1311" s="14"/>
      <c r="F1311" s="5">
        <v>0</v>
      </c>
      <c r="G1311" s="18">
        <f t="shared" si="62"/>
        <v>102.10250000000001</v>
      </c>
      <c r="H1311" s="18">
        <f t="shared" si="63"/>
        <v>19.409836065573771</v>
      </c>
      <c r="I1311" s="32">
        <v>38.129134104811222</v>
      </c>
      <c r="K1311" s="32">
        <v>1.856531650863475</v>
      </c>
      <c r="L1311" s="32">
        <f t="shared" ref="L1311:L1374" si="66">12000/730</f>
        <v>16.438356164383563</v>
      </c>
      <c r="M1311" s="5">
        <f t="shared" si="64"/>
        <v>69.164666022614909</v>
      </c>
      <c r="N1311" s="5">
        <f t="shared" si="65"/>
        <v>14.098901098901099</v>
      </c>
      <c r="O1311" s="32">
        <v>19.31292013219165</v>
      </c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</row>
    <row r="1312" spans="1:38">
      <c r="A1312" s="5">
        <v>669</v>
      </c>
      <c r="B1312" s="11">
        <v>1308</v>
      </c>
      <c r="C1312" s="12">
        <v>46965</v>
      </c>
      <c r="D1312" s="31">
        <f t="shared" ref="D1312:D1375" si="67">ROUNDUP(_xlfn.FORECAST.ETS(B1312,$D$5:$D$734,$B$5:$B$734,365,0,1),0)</f>
        <v>44</v>
      </c>
      <c r="E1312" s="14"/>
      <c r="F1312" s="5">
        <v>0</v>
      </c>
      <c r="G1312" s="18">
        <f t="shared" ref="G1312:G1375" si="68">0.1527*A1312+0.0989</f>
        <v>102.2552</v>
      </c>
      <c r="H1312" s="18">
        <f t="shared" ref="H1312:H1375" si="69">AVERAGE($I$674:$I$734)</f>
        <v>19.409836065573771</v>
      </c>
      <c r="I1312" s="32">
        <v>38.634746012879823</v>
      </c>
      <c r="K1312" s="32">
        <v>125.251830789778</v>
      </c>
      <c r="L1312" s="32">
        <f t="shared" si="66"/>
        <v>16.438356164383563</v>
      </c>
      <c r="M1312" s="5">
        <f t="shared" ref="M1312:M1375" si="70">AVERAGE(K1221:K1311)</f>
        <v>67.808673724385073</v>
      </c>
      <c r="N1312" s="5">
        <f t="shared" si="65"/>
        <v>14.098901098901099</v>
      </c>
      <c r="O1312" s="32">
        <v>13.522537466433169</v>
      </c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</row>
    <row r="1313" spans="1:38">
      <c r="A1313" s="5">
        <v>670</v>
      </c>
      <c r="B1313" s="11">
        <v>1309</v>
      </c>
      <c r="C1313" s="12">
        <v>46966</v>
      </c>
      <c r="D1313" s="31">
        <f t="shared" si="67"/>
        <v>88</v>
      </c>
      <c r="E1313" s="14"/>
      <c r="F1313" s="5">
        <v>0</v>
      </c>
      <c r="G1313" s="18">
        <f t="shared" si="68"/>
        <v>102.4079</v>
      </c>
      <c r="H1313" s="18">
        <f t="shared" si="69"/>
        <v>19.409836065573771</v>
      </c>
      <c r="I1313" s="32">
        <v>29.10972687415066</v>
      </c>
      <c r="K1313" s="32">
        <v>125.251830789778</v>
      </c>
      <c r="L1313" s="32">
        <f t="shared" si="66"/>
        <v>16.438356164383563</v>
      </c>
      <c r="M1313" s="5">
        <f t="shared" si="70"/>
        <v>67.808673724385073</v>
      </c>
      <c r="N1313" s="5">
        <f t="shared" si="65"/>
        <v>14.098901098901099</v>
      </c>
      <c r="O1313" s="32">
        <v>10.16345659410687</v>
      </c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</row>
    <row r="1314" spans="1:38">
      <c r="A1314" s="5">
        <v>671</v>
      </c>
      <c r="B1314" s="11">
        <v>1310</v>
      </c>
      <c r="C1314" s="12">
        <v>46967</v>
      </c>
      <c r="D1314" s="31">
        <f t="shared" si="67"/>
        <v>57</v>
      </c>
      <c r="E1314" s="14"/>
      <c r="F1314" s="5">
        <v>0</v>
      </c>
      <c r="G1314" s="18">
        <f t="shared" si="68"/>
        <v>102.56060000000001</v>
      </c>
      <c r="H1314" s="18">
        <f t="shared" si="69"/>
        <v>19.409836065573771</v>
      </c>
      <c r="I1314" s="32">
        <v>17.751079949084819</v>
      </c>
      <c r="K1314" s="32">
        <v>21.372030235181079</v>
      </c>
      <c r="L1314" s="32">
        <f t="shared" si="66"/>
        <v>16.438356164383563</v>
      </c>
      <c r="M1314" s="5">
        <f t="shared" si="70"/>
        <v>68.950209994215797</v>
      </c>
      <c r="N1314" s="5">
        <f t="shared" si="65"/>
        <v>14.098901098901099</v>
      </c>
      <c r="O1314" s="32">
        <v>30.79010191948813</v>
      </c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</row>
    <row r="1315" spans="1:38">
      <c r="A1315" s="5">
        <v>672</v>
      </c>
      <c r="B1315" s="11">
        <v>1311</v>
      </c>
      <c r="C1315" s="12">
        <v>46968</v>
      </c>
      <c r="D1315" s="31">
        <f t="shared" si="67"/>
        <v>56</v>
      </c>
      <c r="E1315" s="14"/>
      <c r="F1315" s="5">
        <v>0</v>
      </c>
      <c r="G1315" s="18">
        <f t="shared" si="68"/>
        <v>102.7133</v>
      </c>
      <c r="H1315" s="18">
        <f t="shared" si="69"/>
        <v>19.409836065573771</v>
      </c>
      <c r="I1315" s="32">
        <v>11.43357835198942</v>
      </c>
      <c r="K1315" s="32">
        <v>1.856531650863475</v>
      </c>
      <c r="L1315" s="32">
        <f t="shared" si="66"/>
        <v>16.438356164383563</v>
      </c>
      <c r="M1315" s="5">
        <f t="shared" si="70"/>
        <v>69.164666022614909</v>
      </c>
      <c r="N1315" s="5">
        <f t="shared" si="65"/>
        <v>14.098901098901099</v>
      </c>
      <c r="O1315" s="32">
        <v>29.757632305969629</v>
      </c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</row>
    <row r="1316" spans="1:38">
      <c r="A1316" s="5">
        <v>673</v>
      </c>
      <c r="B1316" s="11">
        <v>1312</v>
      </c>
      <c r="C1316" s="12">
        <v>46969</v>
      </c>
      <c r="D1316" s="31">
        <f t="shared" si="67"/>
        <v>74</v>
      </c>
      <c r="E1316" s="14"/>
      <c r="F1316" s="5">
        <v>0</v>
      </c>
      <c r="G1316" s="18">
        <f t="shared" si="68"/>
        <v>102.866</v>
      </c>
      <c r="H1316" s="18">
        <f t="shared" si="69"/>
        <v>19.409836065573771</v>
      </c>
      <c r="I1316" s="32">
        <v>16.620040726948812</v>
      </c>
      <c r="K1316" s="32">
        <v>125.251830789778</v>
      </c>
      <c r="L1316" s="32">
        <f t="shared" si="66"/>
        <v>16.438356164383563</v>
      </c>
      <c r="M1316" s="5">
        <f t="shared" si="70"/>
        <v>67.808673724385073</v>
      </c>
      <c r="N1316" s="5">
        <f t="shared" si="65"/>
        <v>14.098901098901099</v>
      </c>
      <c r="O1316" s="32">
        <v>34.303866521631647</v>
      </c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</row>
    <row r="1317" spans="1:38">
      <c r="A1317" s="5">
        <v>674</v>
      </c>
      <c r="B1317" s="11">
        <v>1313</v>
      </c>
      <c r="C1317" s="12">
        <v>46970</v>
      </c>
      <c r="D1317" s="31">
        <f t="shared" si="67"/>
        <v>69</v>
      </c>
      <c r="E1317" s="14"/>
      <c r="F1317" s="5">
        <v>0</v>
      </c>
      <c r="G1317" s="18">
        <f t="shared" si="68"/>
        <v>103.0187</v>
      </c>
      <c r="H1317" s="18">
        <f t="shared" si="69"/>
        <v>19.409836065573771</v>
      </c>
      <c r="I1317" s="32">
        <v>20.601025543053559</v>
      </c>
      <c r="K1317" s="32">
        <v>125.251830789778</v>
      </c>
      <c r="L1317" s="32">
        <f t="shared" si="66"/>
        <v>16.438356164383563</v>
      </c>
      <c r="M1317" s="5">
        <f t="shared" si="70"/>
        <v>67.808673724385073</v>
      </c>
      <c r="N1317" s="5">
        <f t="shared" si="65"/>
        <v>14.098901098901099</v>
      </c>
      <c r="O1317" s="32">
        <v>20.91372843746181</v>
      </c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</row>
    <row r="1318" spans="1:38">
      <c r="A1318" s="5">
        <v>675</v>
      </c>
      <c r="B1318" s="11">
        <v>1314</v>
      </c>
      <c r="C1318" s="12">
        <v>46971</v>
      </c>
      <c r="D1318" s="31">
        <f t="shared" si="67"/>
        <v>53</v>
      </c>
      <c r="E1318" s="14"/>
      <c r="F1318" s="5">
        <v>0</v>
      </c>
      <c r="G1318" s="18">
        <f t="shared" si="68"/>
        <v>103.17140000000001</v>
      </c>
      <c r="H1318" s="18">
        <f t="shared" si="69"/>
        <v>19.409836065573771</v>
      </c>
      <c r="I1318" s="32">
        <v>19.963534650976761</v>
      </c>
      <c r="K1318" s="32">
        <v>21.372030235181079</v>
      </c>
      <c r="L1318" s="32">
        <f t="shared" si="66"/>
        <v>16.438356164383563</v>
      </c>
      <c r="M1318" s="5">
        <f t="shared" si="70"/>
        <v>68.950209994215797</v>
      </c>
      <c r="N1318" s="5">
        <f t="shared" si="65"/>
        <v>14.098901098901099</v>
      </c>
      <c r="O1318" s="32">
        <v>7.6535444798972234</v>
      </c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</row>
    <row r="1319" spans="1:38">
      <c r="A1319" s="5">
        <v>676</v>
      </c>
      <c r="B1319" s="11">
        <v>1315</v>
      </c>
      <c r="C1319" s="12">
        <v>46972</v>
      </c>
      <c r="D1319" s="31">
        <f t="shared" si="67"/>
        <v>54</v>
      </c>
      <c r="E1319" s="14"/>
      <c r="F1319" s="5">
        <v>0</v>
      </c>
      <c r="G1319" s="18">
        <f t="shared" si="68"/>
        <v>103.3241</v>
      </c>
      <c r="H1319" s="18">
        <f t="shared" si="69"/>
        <v>19.409836065573771</v>
      </c>
      <c r="I1319" s="32">
        <v>19.486912038333749</v>
      </c>
      <c r="K1319" s="32">
        <v>1.856531650863475</v>
      </c>
      <c r="L1319" s="32">
        <f t="shared" si="66"/>
        <v>16.438356164383563</v>
      </c>
      <c r="M1319" s="5">
        <f t="shared" si="70"/>
        <v>69.164666022614909</v>
      </c>
      <c r="N1319" s="5">
        <f t="shared" si="65"/>
        <v>14.098901098901099</v>
      </c>
      <c r="O1319" s="32">
        <v>1.8831136082170501</v>
      </c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</row>
    <row r="1320" spans="1:38">
      <c r="A1320" s="5">
        <v>677</v>
      </c>
      <c r="B1320" s="11">
        <v>1316</v>
      </c>
      <c r="C1320" s="12">
        <v>46973</v>
      </c>
      <c r="D1320" s="31">
        <f t="shared" si="67"/>
        <v>56</v>
      </c>
      <c r="E1320" s="14"/>
      <c r="F1320" s="5">
        <v>0</v>
      </c>
      <c r="G1320" s="18">
        <f t="shared" si="68"/>
        <v>103.4768</v>
      </c>
      <c r="H1320" s="18">
        <f t="shared" si="69"/>
        <v>19.409836065573771</v>
      </c>
      <c r="I1320" s="32">
        <v>30.51097823185134</v>
      </c>
      <c r="K1320" s="32">
        <v>125.251830789778</v>
      </c>
      <c r="L1320" s="32">
        <f t="shared" si="66"/>
        <v>16.438356164383563</v>
      </c>
      <c r="M1320" s="5">
        <f t="shared" si="70"/>
        <v>67.808673724385073</v>
      </c>
      <c r="N1320" s="5">
        <f t="shared" si="65"/>
        <v>14.098901098901099</v>
      </c>
      <c r="O1320" s="32">
        <v>11.62780460922165</v>
      </c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</row>
    <row r="1321" spans="1:38">
      <c r="A1321" s="5">
        <v>678</v>
      </c>
      <c r="B1321" s="11">
        <v>1317</v>
      </c>
      <c r="C1321" s="12">
        <v>46974</v>
      </c>
      <c r="D1321" s="31">
        <f t="shared" si="67"/>
        <v>71</v>
      </c>
      <c r="E1321" s="14"/>
      <c r="F1321" s="5">
        <v>0</v>
      </c>
      <c r="G1321" s="18">
        <f t="shared" si="68"/>
        <v>103.62950000000001</v>
      </c>
      <c r="H1321" s="18">
        <f t="shared" si="69"/>
        <v>19.409836065573771</v>
      </c>
      <c r="I1321" s="32">
        <v>21.393550659603779</v>
      </c>
      <c r="K1321" s="32">
        <v>125.251830789778</v>
      </c>
      <c r="L1321" s="32">
        <f t="shared" si="66"/>
        <v>16.438356164383563</v>
      </c>
      <c r="M1321" s="5">
        <f t="shared" si="70"/>
        <v>67.808673724385073</v>
      </c>
      <c r="N1321" s="5">
        <f t="shared" si="65"/>
        <v>14.098901098901099</v>
      </c>
      <c r="O1321" s="32">
        <v>17.46543888331211</v>
      </c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</row>
    <row r="1322" spans="1:38">
      <c r="A1322" s="5">
        <v>679</v>
      </c>
      <c r="B1322" s="11">
        <v>1318</v>
      </c>
      <c r="C1322" s="12">
        <v>46975</v>
      </c>
      <c r="D1322" s="31">
        <f t="shared" si="67"/>
        <v>49</v>
      </c>
      <c r="E1322" s="14"/>
      <c r="F1322" s="5">
        <v>0</v>
      </c>
      <c r="G1322" s="18">
        <f t="shared" si="68"/>
        <v>103.7822</v>
      </c>
      <c r="H1322" s="18">
        <f t="shared" si="69"/>
        <v>19.409836065573771</v>
      </c>
      <c r="I1322" s="32">
        <v>19.746975578525682</v>
      </c>
      <c r="K1322" s="32">
        <v>21.372030235181079</v>
      </c>
      <c r="L1322" s="32">
        <f t="shared" si="66"/>
        <v>16.438356164383563</v>
      </c>
      <c r="M1322" s="5">
        <f t="shared" si="70"/>
        <v>68.950209994215797</v>
      </c>
      <c r="N1322" s="5">
        <f t="shared" si="65"/>
        <v>14.098901098901099</v>
      </c>
      <c r="O1322" s="32">
        <v>7.6917901350567588</v>
      </c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</row>
    <row r="1323" spans="1:38">
      <c r="A1323" s="5">
        <v>680</v>
      </c>
      <c r="B1323" s="11">
        <v>1319</v>
      </c>
      <c r="C1323" s="12">
        <v>46976</v>
      </c>
      <c r="D1323" s="31">
        <f t="shared" si="67"/>
        <v>39</v>
      </c>
      <c r="E1323" s="14"/>
      <c r="F1323" s="5">
        <v>0</v>
      </c>
      <c r="G1323" s="18">
        <f t="shared" si="68"/>
        <v>103.9349</v>
      </c>
      <c r="H1323" s="18">
        <f t="shared" si="69"/>
        <v>19.409836065573771</v>
      </c>
      <c r="I1323" s="32">
        <v>28.77269590775089</v>
      </c>
      <c r="K1323" s="32">
        <v>1.856531650863475</v>
      </c>
      <c r="L1323" s="32">
        <f t="shared" si="66"/>
        <v>16.438356164383563</v>
      </c>
      <c r="M1323" s="5">
        <f t="shared" si="70"/>
        <v>69.164666022614909</v>
      </c>
      <c r="N1323" s="5">
        <f t="shared" si="65"/>
        <v>14.098901098901099</v>
      </c>
      <c r="O1323" s="32">
        <v>29.381875069588471</v>
      </c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</row>
    <row r="1324" spans="1:38">
      <c r="A1324" s="5">
        <v>681</v>
      </c>
      <c r="B1324" s="11">
        <v>1320</v>
      </c>
      <c r="C1324" s="12">
        <v>46977</v>
      </c>
      <c r="D1324" s="31">
        <f t="shared" si="67"/>
        <v>64</v>
      </c>
      <c r="E1324" s="14"/>
      <c r="F1324" s="5">
        <v>0</v>
      </c>
      <c r="G1324" s="18">
        <f t="shared" si="68"/>
        <v>104.08760000000001</v>
      </c>
      <c r="H1324" s="18">
        <f t="shared" si="69"/>
        <v>19.409836065573771</v>
      </c>
      <c r="I1324" s="32">
        <v>28.618569683873591</v>
      </c>
      <c r="K1324" s="32">
        <v>125.251830789778</v>
      </c>
      <c r="L1324" s="32">
        <f t="shared" si="66"/>
        <v>16.438356164383563</v>
      </c>
      <c r="M1324" s="5">
        <f t="shared" si="70"/>
        <v>67.808673724385073</v>
      </c>
      <c r="N1324" s="5">
        <f t="shared" si="65"/>
        <v>14.098901098901099</v>
      </c>
      <c r="O1324" s="32">
        <v>12.95877350001884</v>
      </c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</row>
    <row r="1325" spans="1:38">
      <c r="A1325" s="5">
        <v>682</v>
      </c>
      <c r="B1325" s="11">
        <v>1321</v>
      </c>
      <c r="C1325" s="12">
        <v>46978</v>
      </c>
      <c r="D1325" s="31">
        <f t="shared" si="67"/>
        <v>66</v>
      </c>
      <c r="E1325" s="14"/>
      <c r="F1325" s="5">
        <v>0</v>
      </c>
      <c r="G1325" s="18">
        <f t="shared" si="68"/>
        <v>104.2403</v>
      </c>
      <c r="H1325" s="18">
        <f t="shared" si="69"/>
        <v>19.409836065573771</v>
      </c>
      <c r="I1325" s="32">
        <v>22.812186474633879</v>
      </c>
      <c r="K1325" s="32">
        <v>125.251830789778</v>
      </c>
      <c r="L1325" s="32">
        <f t="shared" si="66"/>
        <v>16.438356164383563</v>
      </c>
      <c r="M1325" s="5">
        <f t="shared" si="70"/>
        <v>67.808673724385073</v>
      </c>
      <c r="N1325" s="5">
        <f t="shared" si="65"/>
        <v>14.098901098901099</v>
      </c>
      <c r="O1325" s="32">
        <v>25.32738041123843</v>
      </c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</row>
    <row r="1326" spans="1:38">
      <c r="A1326" s="5">
        <v>683</v>
      </c>
      <c r="B1326" s="11">
        <v>1322</v>
      </c>
      <c r="C1326" s="12">
        <v>46979</v>
      </c>
      <c r="D1326" s="31">
        <f t="shared" si="67"/>
        <v>45</v>
      </c>
      <c r="E1326" s="14"/>
      <c r="F1326" s="5">
        <v>0</v>
      </c>
      <c r="G1326" s="18">
        <f t="shared" si="68"/>
        <v>104.393</v>
      </c>
      <c r="H1326" s="18">
        <f t="shared" si="69"/>
        <v>19.409836065573771</v>
      </c>
      <c r="I1326" s="32">
        <v>29.541146495895081</v>
      </c>
      <c r="K1326" s="32">
        <v>21.372030235181079</v>
      </c>
      <c r="L1326" s="32">
        <f t="shared" si="66"/>
        <v>16.438356164383563</v>
      </c>
      <c r="M1326" s="5">
        <f t="shared" si="70"/>
        <v>68.950209994215797</v>
      </c>
      <c r="N1326" s="5">
        <f t="shared" si="65"/>
        <v>14.098901098901099</v>
      </c>
      <c r="O1326" s="32">
        <v>8.9936308964573204</v>
      </c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</row>
    <row r="1327" spans="1:38">
      <c r="A1327" s="5">
        <v>684</v>
      </c>
      <c r="B1327" s="11">
        <v>1323</v>
      </c>
      <c r="C1327" s="12">
        <v>46980</v>
      </c>
      <c r="D1327" s="31">
        <f t="shared" si="67"/>
        <v>75</v>
      </c>
      <c r="E1327" s="14"/>
      <c r="F1327" s="5">
        <v>0</v>
      </c>
      <c r="G1327" s="18">
        <f t="shared" si="68"/>
        <v>104.5457</v>
      </c>
      <c r="H1327" s="18">
        <f t="shared" si="69"/>
        <v>19.409836065573771</v>
      </c>
      <c r="I1327" s="32">
        <v>37.824385503791397</v>
      </c>
      <c r="K1327" s="32">
        <v>1.856531650863475</v>
      </c>
      <c r="L1327" s="32">
        <f t="shared" si="66"/>
        <v>16.438356164383563</v>
      </c>
      <c r="M1327" s="5">
        <f t="shared" si="70"/>
        <v>69.164666022614909</v>
      </c>
      <c r="N1327" s="5">
        <f t="shared" si="65"/>
        <v>14.098901098901099</v>
      </c>
      <c r="O1327" s="32">
        <v>10.22614193616929</v>
      </c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</row>
    <row r="1328" spans="1:38">
      <c r="A1328" s="5">
        <v>685</v>
      </c>
      <c r="B1328" s="11">
        <v>1324</v>
      </c>
      <c r="C1328" s="12">
        <v>46981</v>
      </c>
      <c r="D1328" s="31">
        <f t="shared" si="67"/>
        <v>49</v>
      </c>
      <c r="E1328" s="14"/>
      <c r="F1328" s="5">
        <v>0</v>
      </c>
      <c r="G1328" s="18">
        <f t="shared" si="68"/>
        <v>104.69840000000001</v>
      </c>
      <c r="H1328" s="18">
        <f t="shared" si="69"/>
        <v>19.409836065573771</v>
      </c>
      <c r="I1328" s="32">
        <v>41.50603991532423</v>
      </c>
      <c r="K1328" s="32">
        <v>125.251830789778</v>
      </c>
      <c r="L1328" s="32">
        <f t="shared" si="66"/>
        <v>16.438356164383563</v>
      </c>
      <c r="M1328" s="5">
        <f t="shared" si="70"/>
        <v>67.808673724385073</v>
      </c>
      <c r="N1328" s="5">
        <f t="shared" si="65"/>
        <v>14.098901098901099</v>
      </c>
      <c r="O1328" s="32">
        <v>14.611802005386419</v>
      </c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</row>
    <row r="1329" spans="1:38">
      <c r="A1329" s="5">
        <v>686</v>
      </c>
      <c r="B1329" s="11">
        <v>1325</v>
      </c>
      <c r="C1329" s="12">
        <v>46982</v>
      </c>
      <c r="D1329" s="31">
        <f t="shared" si="67"/>
        <v>59</v>
      </c>
      <c r="E1329" s="14"/>
      <c r="F1329" s="5">
        <v>0</v>
      </c>
      <c r="G1329" s="18">
        <f t="shared" si="68"/>
        <v>104.8511</v>
      </c>
      <c r="H1329" s="18">
        <f t="shared" si="69"/>
        <v>19.409836065573771</v>
      </c>
      <c r="I1329" s="32">
        <v>34.232162030107453</v>
      </c>
      <c r="K1329" s="32">
        <v>125.251830789778</v>
      </c>
      <c r="L1329" s="32">
        <f t="shared" si="66"/>
        <v>16.438356164383563</v>
      </c>
      <c r="M1329" s="5">
        <f t="shared" si="70"/>
        <v>67.808673724385073</v>
      </c>
      <c r="N1329" s="5">
        <f t="shared" si="65"/>
        <v>14.098901098901099</v>
      </c>
      <c r="O1329" s="32">
        <v>25.41112949636749</v>
      </c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</row>
    <row r="1330" spans="1:38">
      <c r="A1330" s="5">
        <v>687</v>
      </c>
      <c r="B1330" s="11">
        <v>1326</v>
      </c>
      <c r="C1330" s="12">
        <v>46983</v>
      </c>
      <c r="D1330" s="31">
        <f t="shared" si="67"/>
        <v>84</v>
      </c>
      <c r="E1330" s="14"/>
      <c r="F1330" s="5">
        <v>0</v>
      </c>
      <c r="G1330" s="18">
        <f t="shared" si="68"/>
        <v>105.0038</v>
      </c>
      <c r="H1330" s="18">
        <f t="shared" si="69"/>
        <v>19.409836065573771</v>
      </c>
      <c r="I1330" s="32">
        <v>33.47247615997761</v>
      </c>
      <c r="K1330" s="32">
        <v>21.372030235181079</v>
      </c>
      <c r="L1330" s="32">
        <f t="shared" si="66"/>
        <v>16.438356164383563</v>
      </c>
      <c r="M1330" s="5">
        <f t="shared" si="70"/>
        <v>68.950209994215797</v>
      </c>
      <c r="N1330" s="5">
        <f t="shared" si="65"/>
        <v>14.098901098901099</v>
      </c>
      <c r="O1330" s="32">
        <v>17.772269328245791</v>
      </c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</row>
    <row r="1331" spans="1:38">
      <c r="A1331" s="5">
        <v>688</v>
      </c>
      <c r="B1331" s="11">
        <v>1327</v>
      </c>
      <c r="C1331" s="12">
        <v>46984</v>
      </c>
      <c r="D1331" s="31">
        <f t="shared" si="67"/>
        <v>49</v>
      </c>
      <c r="E1331" s="14"/>
      <c r="F1331" s="5">
        <v>0</v>
      </c>
      <c r="G1331" s="18">
        <f t="shared" si="68"/>
        <v>105.15650000000001</v>
      </c>
      <c r="H1331" s="18">
        <f t="shared" si="69"/>
        <v>19.409836065573771</v>
      </c>
      <c r="I1331" s="32">
        <v>26.436643213680949</v>
      </c>
      <c r="K1331" s="32">
        <v>1.856531650863475</v>
      </c>
      <c r="L1331" s="32">
        <f t="shared" si="66"/>
        <v>16.438356164383563</v>
      </c>
      <c r="M1331" s="5">
        <f t="shared" si="70"/>
        <v>69.164666022614909</v>
      </c>
      <c r="N1331" s="5">
        <f t="shared" si="65"/>
        <v>14.098901098901099</v>
      </c>
      <c r="O1331" s="32">
        <v>27.28749712145288</v>
      </c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</row>
    <row r="1332" spans="1:38">
      <c r="A1332" s="5">
        <v>689</v>
      </c>
      <c r="B1332" s="11">
        <v>1328</v>
      </c>
      <c r="C1332" s="12">
        <v>46985</v>
      </c>
      <c r="D1332" s="31">
        <f t="shared" si="67"/>
        <v>65</v>
      </c>
      <c r="E1332" s="14"/>
      <c r="F1332" s="5">
        <v>0</v>
      </c>
      <c r="G1332" s="18">
        <f t="shared" si="68"/>
        <v>105.3092</v>
      </c>
      <c r="H1332" s="18">
        <f t="shared" si="69"/>
        <v>19.409836065573771</v>
      </c>
      <c r="I1332" s="32">
        <v>27.27940497748839</v>
      </c>
      <c r="K1332" s="32">
        <v>125.251830789778</v>
      </c>
      <c r="L1332" s="32">
        <f t="shared" si="66"/>
        <v>16.438356164383563</v>
      </c>
      <c r="M1332" s="5">
        <f t="shared" si="70"/>
        <v>67.808673724385073</v>
      </c>
      <c r="N1332" s="5">
        <f t="shared" si="65"/>
        <v>14.098901098901099</v>
      </c>
      <c r="O1332" s="32">
        <v>21.99790640731246</v>
      </c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</row>
    <row r="1333" spans="1:38">
      <c r="A1333" s="5">
        <v>690</v>
      </c>
      <c r="B1333" s="11">
        <v>1329</v>
      </c>
      <c r="C1333" s="12">
        <v>46986</v>
      </c>
      <c r="D1333" s="31">
        <f t="shared" si="67"/>
        <v>45</v>
      </c>
      <c r="E1333" s="14"/>
      <c r="F1333" s="5">
        <v>0</v>
      </c>
      <c r="G1333" s="18">
        <f t="shared" si="68"/>
        <v>105.4619</v>
      </c>
      <c r="H1333" s="18">
        <f t="shared" si="69"/>
        <v>19.409836065573771</v>
      </c>
      <c r="I1333" s="32">
        <v>18.599796653544839</v>
      </c>
      <c r="K1333" s="32">
        <v>125.251830789778</v>
      </c>
      <c r="L1333" s="32">
        <f t="shared" si="66"/>
        <v>16.438356164383563</v>
      </c>
      <c r="M1333" s="5">
        <f t="shared" si="70"/>
        <v>67.808673724385073</v>
      </c>
      <c r="N1333" s="5">
        <f t="shared" si="65"/>
        <v>14.098901098901099</v>
      </c>
      <c r="O1333" s="32">
        <v>11.32660067220082</v>
      </c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</row>
    <row r="1334" spans="1:38">
      <c r="A1334" s="5">
        <v>691</v>
      </c>
      <c r="B1334" s="11">
        <v>1330</v>
      </c>
      <c r="C1334" s="12">
        <v>46987</v>
      </c>
      <c r="D1334" s="31">
        <f t="shared" si="67"/>
        <v>33</v>
      </c>
      <c r="E1334" s="14"/>
      <c r="F1334" s="5">
        <v>0</v>
      </c>
      <c r="G1334" s="18">
        <f t="shared" si="68"/>
        <v>105.6146</v>
      </c>
      <c r="H1334" s="18">
        <f t="shared" si="69"/>
        <v>19.409836065573771</v>
      </c>
      <c r="I1334" s="32">
        <v>20.47916954873898</v>
      </c>
      <c r="K1334" s="32">
        <v>21.372030235181079</v>
      </c>
      <c r="L1334" s="32">
        <f t="shared" si="66"/>
        <v>16.438356164383563</v>
      </c>
      <c r="M1334" s="5">
        <f t="shared" si="70"/>
        <v>68.950209994215797</v>
      </c>
      <c r="N1334" s="5">
        <f t="shared" si="65"/>
        <v>14.098901098901099</v>
      </c>
      <c r="O1334" s="32">
        <v>10.08841417232059</v>
      </c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</row>
    <row r="1335" spans="1:38">
      <c r="A1335" s="5">
        <v>692</v>
      </c>
      <c r="B1335" s="11">
        <v>1331</v>
      </c>
      <c r="C1335" s="12">
        <v>46988</v>
      </c>
      <c r="D1335" s="31">
        <f t="shared" si="67"/>
        <v>50</v>
      </c>
      <c r="E1335" s="14"/>
      <c r="F1335" s="5">
        <v>0</v>
      </c>
      <c r="G1335" s="18">
        <f t="shared" si="68"/>
        <v>105.76730000000001</v>
      </c>
      <c r="H1335" s="18">
        <f t="shared" si="69"/>
        <v>19.409836065573771</v>
      </c>
      <c r="I1335" s="32">
        <v>26.641970566721621</v>
      </c>
      <c r="K1335" s="32">
        <v>1.856531650863475</v>
      </c>
      <c r="L1335" s="32">
        <f t="shared" si="66"/>
        <v>16.438356164383563</v>
      </c>
      <c r="M1335" s="5">
        <f t="shared" si="70"/>
        <v>69.164666022614909</v>
      </c>
      <c r="N1335" s="5">
        <f t="shared" si="65"/>
        <v>14.098901098901099</v>
      </c>
      <c r="O1335" s="32">
        <v>21.992525804377511</v>
      </c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</row>
    <row r="1336" spans="1:38">
      <c r="A1336" s="5">
        <v>693</v>
      </c>
      <c r="B1336" s="11">
        <v>1332</v>
      </c>
      <c r="C1336" s="12">
        <v>46989</v>
      </c>
      <c r="D1336" s="31">
        <f t="shared" si="67"/>
        <v>64</v>
      </c>
      <c r="E1336" s="14"/>
      <c r="F1336" s="5">
        <v>0</v>
      </c>
      <c r="G1336" s="18">
        <f t="shared" si="68"/>
        <v>105.92</v>
      </c>
      <c r="H1336" s="18">
        <f t="shared" si="69"/>
        <v>19.409836065573771</v>
      </c>
      <c r="I1336" s="32">
        <v>17.11103494136616</v>
      </c>
      <c r="K1336" s="32">
        <v>125.251830789778</v>
      </c>
      <c r="L1336" s="32">
        <f t="shared" si="66"/>
        <v>16.438356164383563</v>
      </c>
      <c r="M1336" s="5">
        <f t="shared" si="70"/>
        <v>67.808673724385073</v>
      </c>
      <c r="N1336" s="5">
        <f t="shared" si="65"/>
        <v>14.098901098901099</v>
      </c>
      <c r="O1336" s="32">
        <v>30.725637180959762</v>
      </c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</row>
    <row r="1337" spans="1:38">
      <c r="A1337" s="5">
        <v>694</v>
      </c>
      <c r="B1337" s="11">
        <v>1333</v>
      </c>
      <c r="C1337" s="12">
        <v>46990</v>
      </c>
      <c r="D1337" s="31">
        <f t="shared" si="67"/>
        <v>39</v>
      </c>
      <c r="E1337" s="14"/>
      <c r="F1337" s="5">
        <v>0</v>
      </c>
      <c r="G1337" s="18">
        <f t="shared" si="68"/>
        <v>106.0727</v>
      </c>
      <c r="H1337" s="18">
        <f t="shared" si="69"/>
        <v>19.409836065573771</v>
      </c>
      <c r="I1337" s="32">
        <v>31.602767665095602</v>
      </c>
      <c r="K1337" s="32">
        <v>125.251830789778</v>
      </c>
      <c r="L1337" s="32">
        <f t="shared" si="66"/>
        <v>16.438356164383563</v>
      </c>
      <c r="M1337" s="5">
        <f t="shared" si="70"/>
        <v>67.808673724385073</v>
      </c>
      <c r="N1337" s="5">
        <f t="shared" si="65"/>
        <v>14.098901098901099</v>
      </c>
      <c r="O1337" s="32">
        <v>27.950705272972229</v>
      </c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</row>
    <row r="1338" spans="1:38">
      <c r="A1338" s="5">
        <v>695</v>
      </c>
      <c r="B1338" s="11">
        <v>1334</v>
      </c>
      <c r="C1338" s="12">
        <v>46991</v>
      </c>
      <c r="D1338" s="31">
        <f t="shared" si="67"/>
        <v>57</v>
      </c>
      <c r="E1338" s="14"/>
      <c r="F1338" s="5">
        <v>0</v>
      </c>
      <c r="G1338" s="18">
        <f t="shared" si="68"/>
        <v>106.22540000000001</v>
      </c>
      <c r="H1338" s="18">
        <f t="shared" si="69"/>
        <v>19.409836065573771</v>
      </c>
      <c r="I1338" s="32">
        <v>34.360474974058548</v>
      </c>
      <c r="K1338" s="32">
        <v>21.372030235181079</v>
      </c>
      <c r="L1338" s="32">
        <f t="shared" si="66"/>
        <v>16.438356164383563</v>
      </c>
      <c r="M1338" s="5">
        <f t="shared" si="70"/>
        <v>68.950209994215797</v>
      </c>
      <c r="N1338" s="5">
        <f t="shared" si="65"/>
        <v>14.098901098901099</v>
      </c>
      <c r="O1338" s="32">
        <v>32.459902932222377</v>
      </c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</row>
    <row r="1339" spans="1:38">
      <c r="A1339" s="5">
        <v>696</v>
      </c>
      <c r="B1339" s="11">
        <v>1335</v>
      </c>
      <c r="C1339" s="12">
        <v>46992</v>
      </c>
      <c r="D1339" s="31">
        <f t="shared" si="67"/>
        <v>46</v>
      </c>
      <c r="E1339" s="14"/>
      <c r="F1339" s="5">
        <v>0</v>
      </c>
      <c r="G1339" s="18">
        <f t="shared" si="68"/>
        <v>106.3781</v>
      </c>
      <c r="H1339" s="18">
        <f t="shared" si="69"/>
        <v>19.409836065573771</v>
      </c>
      <c r="I1339" s="32">
        <v>36.422528651309293</v>
      </c>
      <c r="K1339" s="32">
        <v>1.856531650863475</v>
      </c>
      <c r="L1339" s="32">
        <f t="shared" si="66"/>
        <v>16.438356164383563</v>
      </c>
      <c r="M1339" s="5">
        <f t="shared" si="70"/>
        <v>69.164666022614909</v>
      </c>
      <c r="N1339" s="5">
        <f t="shared" si="65"/>
        <v>14.098901098901099</v>
      </c>
      <c r="O1339" s="32">
        <v>13.91148985476713</v>
      </c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</row>
    <row r="1340" spans="1:38">
      <c r="A1340" s="5">
        <v>697</v>
      </c>
      <c r="B1340" s="11">
        <v>1336</v>
      </c>
      <c r="C1340" s="12">
        <v>46993</v>
      </c>
      <c r="D1340" s="31">
        <f t="shared" si="67"/>
        <v>52</v>
      </c>
      <c r="E1340" s="14"/>
      <c r="F1340" s="5">
        <v>0</v>
      </c>
      <c r="G1340" s="18">
        <f t="shared" si="68"/>
        <v>106.5308</v>
      </c>
      <c r="H1340" s="18">
        <f t="shared" si="69"/>
        <v>19.409836065573771</v>
      </c>
      <c r="I1340" s="32">
        <v>39.271693270462301</v>
      </c>
      <c r="K1340" s="32">
        <v>125.251830789778</v>
      </c>
      <c r="L1340" s="32">
        <f t="shared" si="66"/>
        <v>16.438356164383563</v>
      </c>
      <c r="M1340" s="5">
        <f t="shared" si="70"/>
        <v>67.808673724385073</v>
      </c>
      <c r="N1340" s="5">
        <f t="shared" si="65"/>
        <v>14.098901098901099</v>
      </c>
      <c r="O1340" s="32">
        <v>6.0727535955114478</v>
      </c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</row>
    <row r="1341" spans="1:38">
      <c r="A1341" s="5">
        <v>698</v>
      </c>
      <c r="B1341" s="11">
        <v>1337</v>
      </c>
      <c r="C1341" s="12">
        <v>46994</v>
      </c>
      <c r="D1341" s="31">
        <f t="shared" si="67"/>
        <v>83</v>
      </c>
      <c r="E1341" s="14"/>
      <c r="F1341" s="5">
        <v>0</v>
      </c>
      <c r="G1341" s="18">
        <f t="shared" si="68"/>
        <v>106.6835</v>
      </c>
      <c r="H1341" s="18">
        <f t="shared" si="69"/>
        <v>19.409836065573771</v>
      </c>
      <c r="I1341" s="32">
        <v>27.469853158350041</v>
      </c>
      <c r="K1341" s="32">
        <v>125.251830789778</v>
      </c>
      <c r="L1341" s="32">
        <f t="shared" si="66"/>
        <v>16.438356164383563</v>
      </c>
      <c r="M1341" s="5">
        <f t="shared" si="70"/>
        <v>67.808673724385073</v>
      </c>
      <c r="N1341" s="5">
        <f t="shared" si="65"/>
        <v>14.098901098901099</v>
      </c>
      <c r="O1341" s="32">
        <v>18.84833209703261</v>
      </c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</row>
    <row r="1342" spans="1:38">
      <c r="A1342" s="5">
        <v>699</v>
      </c>
      <c r="B1342" s="11">
        <v>1338</v>
      </c>
      <c r="C1342" s="12">
        <v>46995</v>
      </c>
      <c r="D1342" s="31">
        <f t="shared" si="67"/>
        <v>26</v>
      </c>
      <c r="E1342" s="14"/>
      <c r="F1342" s="5">
        <v>0</v>
      </c>
      <c r="G1342" s="18">
        <f t="shared" si="68"/>
        <v>106.83620000000001</v>
      </c>
      <c r="H1342" s="18">
        <f t="shared" si="69"/>
        <v>19.409836065573771</v>
      </c>
      <c r="I1342" s="32">
        <v>30.411175742368648</v>
      </c>
      <c r="K1342" s="32">
        <v>21.372030235181079</v>
      </c>
      <c r="L1342" s="32">
        <f t="shared" si="66"/>
        <v>16.438356164383563</v>
      </c>
      <c r="M1342" s="5">
        <f t="shared" si="70"/>
        <v>68.950209994215797</v>
      </c>
      <c r="N1342" s="5">
        <f t="shared" si="65"/>
        <v>14.098901098901099</v>
      </c>
      <c r="O1342" s="32">
        <v>13.99012697030372</v>
      </c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</row>
    <row r="1343" spans="1:38">
      <c r="A1343" s="5">
        <v>700</v>
      </c>
      <c r="B1343" s="11">
        <v>1339</v>
      </c>
      <c r="C1343" s="12">
        <v>46996</v>
      </c>
      <c r="D1343" s="31">
        <f t="shared" si="67"/>
        <v>47</v>
      </c>
      <c r="E1343" s="14"/>
      <c r="F1343" s="5">
        <v>0</v>
      </c>
      <c r="G1343" s="18">
        <f t="shared" si="68"/>
        <v>106.9889</v>
      </c>
      <c r="H1343" s="18">
        <f t="shared" si="69"/>
        <v>19.409836065573771</v>
      </c>
      <c r="I1343" s="32">
        <v>13.722096134114739</v>
      </c>
      <c r="K1343" s="32">
        <v>1.856531650863475</v>
      </c>
      <c r="L1343" s="32">
        <f t="shared" si="66"/>
        <v>16.438356164383563</v>
      </c>
      <c r="M1343" s="5">
        <f t="shared" si="70"/>
        <v>69.164666022614909</v>
      </c>
      <c r="N1343" s="5">
        <f t="shared" si="65"/>
        <v>14.098901098901099</v>
      </c>
      <c r="O1343" s="32">
        <v>34.213376123575387</v>
      </c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</row>
    <row r="1344" spans="1:38">
      <c r="A1344" s="5">
        <v>701</v>
      </c>
      <c r="B1344" s="11">
        <v>1340</v>
      </c>
      <c r="C1344" s="12">
        <v>46997</v>
      </c>
      <c r="D1344" s="31">
        <f t="shared" si="67"/>
        <v>72</v>
      </c>
      <c r="E1344" s="14"/>
      <c r="F1344" s="5">
        <v>0</v>
      </c>
      <c r="G1344" s="18">
        <f t="shared" si="68"/>
        <v>107.1416</v>
      </c>
      <c r="H1344" s="18">
        <f t="shared" si="69"/>
        <v>19.409836065573771</v>
      </c>
      <c r="I1344" s="32">
        <v>19.17995307060179</v>
      </c>
      <c r="K1344" s="32">
        <v>125.251830789778</v>
      </c>
      <c r="L1344" s="32">
        <f t="shared" si="66"/>
        <v>16.438356164383563</v>
      </c>
      <c r="M1344" s="5">
        <f t="shared" si="70"/>
        <v>67.808673724385073</v>
      </c>
      <c r="N1344" s="5">
        <f t="shared" si="65"/>
        <v>14.098901098901099</v>
      </c>
      <c r="O1344" s="32">
        <v>13.83221959730902</v>
      </c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</row>
    <row r="1345" spans="1:38">
      <c r="A1345" s="5">
        <v>702</v>
      </c>
      <c r="B1345" s="11">
        <v>1341</v>
      </c>
      <c r="C1345" s="12">
        <v>46998</v>
      </c>
      <c r="D1345" s="31">
        <f t="shared" si="67"/>
        <v>41</v>
      </c>
      <c r="E1345" s="14"/>
      <c r="F1345" s="5">
        <v>0</v>
      </c>
      <c r="G1345" s="18">
        <f t="shared" si="68"/>
        <v>107.29430000000001</v>
      </c>
      <c r="H1345" s="18">
        <f t="shared" si="69"/>
        <v>19.409836065573771</v>
      </c>
      <c r="I1345" s="32">
        <v>31.160814162035269</v>
      </c>
      <c r="K1345" s="32">
        <v>125.251830789778</v>
      </c>
      <c r="L1345" s="32">
        <f t="shared" si="66"/>
        <v>16.438356164383563</v>
      </c>
      <c r="M1345" s="5">
        <f t="shared" si="70"/>
        <v>67.808673724385073</v>
      </c>
      <c r="N1345" s="5">
        <f t="shared" si="65"/>
        <v>14.098901098901099</v>
      </c>
      <c r="O1345" s="32">
        <v>20.762600721617389</v>
      </c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</row>
    <row r="1346" spans="1:38">
      <c r="A1346" s="5">
        <v>703</v>
      </c>
      <c r="B1346" s="11">
        <v>1342</v>
      </c>
      <c r="C1346" s="12">
        <v>46999</v>
      </c>
      <c r="D1346" s="31">
        <f t="shared" si="67"/>
        <v>56</v>
      </c>
      <c r="E1346" s="14"/>
      <c r="F1346" s="5">
        <v>0</v>
      </c>
      <c r="G1346" s="18">
        <f t="shared" si="68"/>
        <v>107.447</v>
      </c>
      <c r="H1346" s="18">
        <f t="shared" si="69"/>
        <v>19.409836065573771</v>
      </c>
      <c r="I1346" s="32">
        <v>23.604004790295249</v>
      </c>
      <c r="K1346" s="32">
        <v>21.372030235181079</v>
      </c>
      <c r="L1346" s="32">
        <f t="shared" si="66"/>
        <v>16.438356164383563</v>
      </c>
      <c r="M1346" s="5">
        <f t="shared" si="70"/>
        <v>68.950209994215797</v>
      </c>
      <c r="N1346" s="5">
        <f t="shared" si="65"/>
        <v>14.098901098901099</v>
      </c>
      <c r="O1346" s="32">
        <v>8.6085705572084237</v>
      </c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</row>
    <row r="1347" spans="1:38">
      <c r="A1347" s="5">
        <v>704</v>
      </c>
      <c r="B1347" s="11">
        <v>1343</v>
      </c>
      <c r="C1347" s="12">
        <v>47000</v>
      </c>
      <c r="D1347" s="31">
        <f t="shared" si="67"/>
        <v>63</v>
      </c>
      <c r="E1347" s="14"/>
      <c r="F1347" s="5">
        <v>0</v>
      </c>
      <c r="G1347" s="18">
        <f t="shared" si="68"/>
        <v>107.5997</v>
      </c>
      <c r="H1347" s="18">
        <f t="shared" si="69"/>
        <v>19.409836065573771</v>
      </c>
      <c r="I1347" s="32">
        <v>22.64890903510825</v>
      </c>
      <c r="K1347" s="32">
        <v>1.856531650863475</v>
      </c>
      <c r="L1347" s="32">
        <f t="shared" si="66"/>
        <v>16.438356164383563</v>
      </c>
      <c r="M1347" s="5">
        <f t="shared" si="70"/>
        <v>69.164666022614909</v>
      </c>
      <c r="N1347" s="5">
        <f t="shared" si="65"/>
        <v>14.098901098901099</v>
      </c>
      <c r="O1347" s="32">
        <v>19.451760765448999</v>
      </c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</row>
    <row r="1348" spans="1:38">
      <c r="A1348" s="5">
        <v>705</v>
      </c>
      <c r="B1348" s="11">
        <v>1344</v>
      </c>
      <c r="C1348" s="12">
        <v>47001</v>
      </c>
      <c r="D1348" s="31">
        <f t="shared" si="67"/>
        <v>51</v>
      </c>
      <c r="E1348" s="14"/>
      <c r="F1348" s="5">
        <v>0</v>
      </c>
      <c r="G1348" s="18">
        <f t="shared" si="68"/>
        <v>107.75240000000001</v>
      </c>
      <c r="H1348" s="18">
        <f t="shared" si="69"/>
        <v>19.409836065573771</v>
      </c>
      <c r="I1348" s="32">
        <v>29.591775997790791</v>
      </c>
      <c r="K1348" s="32">
        <v>125.251830789778</v>
      </c>
      <c r="L1348" s="32">
        <f t="shared" si="66"/>
        <v>16.438356164383563</v>
      </c>
      <c r="M1348" s="5">
        <f t="shared" si="70"/>
        <v>67.808673724385073</v>
      </c>
      <c r="N1348" s="5">
        <f t="shared" si="65"/>
        <v>14.098901098901099</v>
      </c>
      <c r="O1348" s="32">
        <v>10.01860738381998</v>
      </c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</row>
    <row r="1349" spans="1:38">
      <c r="A1349" s="5">
        <v>706</v>
      </c>
      <c r="B1349" s="11">
        <v>1345</v>
      </c>
      <c r="C1349" s="12">
        <v>47002</v>
      </c>
      <c r="D1349" s="31">
        <f t="shared" si="67"/>
        <v>51</v>
      </c>
      <c r="E1349" s="14"/>
      <c r="F1349" s="5">
        <v>0</v>
      </c>
      <c r="G1349" s="18">
        <f t="shared" si="68"/>
        <v>107.9051</v>
      </c>
      <c r="H1349" s="18">
        <f t="shared" si="69"/>
        <v>19.409836065573771</v>
      </c>
      <c r="I1349" s="32">
        <v>37.148714070466298</v>
      </c>
      <c r="K1349" s="32">
        <v>125.251830789778</v>
      </c>
      <c r="L1349" s="32">
        <f t="shared" si="66"/>
        <v>16.438356164383563</v>
      </c>
      <c r="M1349" s="5">
        <f t="shared" si="70"/>
        <v>67.808673724385073</v>
      </c>
      <c r="N1349" s="5">
        <f t="shared" ref="N1349:N1412" si="71">AVERAGE($O$644:$O$734)</f>
        <v>14.098901098901099</v>
      </c>
      <c r="O1349" s="32">
        <v>16.524803092277949</v>
      </c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</row>
    <row r="1350" spans="1:38">
      <c r="A1350" s="5">
        <v>707</v>
      </c>
      <c r="B1350" s="11">
        <v>1346</v>
      </c>
      <c r="C1350" s="12">
        <v>47003</v>
      </c>
      <c r="D1350" s="31">
        <f t="shared" si="67"/>
        <v>37</v>
      </c>
      <c r="E1350" s="14"/>
      <c r="F1350" s="5">
        <v>0</v>
      </c>
      <c r="G1350" s="18">
        <f t="shared" si="68"/>
        <v>108.0578</v>
      </c>
      <c r="H1350" s="18">
        <f t="shared" si="69"/>
        <v>19.409836065573771</v>
      </c>
      <c r="I1350" s="32">
        <v>40.360521675144021</v>
      </c>
      <c r="K1350" s="32">
        <v>21.372030235181079</v>
      </c>
      <c r="L1350" s="32">
        <f t="shared" si="66"/>
        <v>16.438356164383563</v>
      </c>
      <c r="M1350" s="5">
        <f t="shared" si="70"/>
        <v>68.950209994215797</v>
      </c>
      <c r="N1350" s="5">
        <f t="shared" si="71"/>
        <v>14.098901098901099</v>
      </c>
      <c r="O1350" s="32">
        <v>9.1794988643169741</v>
      </c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</row>
    <row r="1351" spans="1:38">
      <c r="A1351" s="5">
        <v>708</v>
      </c>
      <c r="B1351" s="11">
        <v>1347</v>
      </c>
      <c r="C1351" s="12">
        <v>47004</v>
      </c>
      <c r="D1351" s="31">
        <f t="shared" si="67"/>
        <v>51</v>
      </c>
      <c r="E1351" s="14"/>
      <c r="F1351" s="5">
        <v>0</v>
      </c>
      <c r="G1351" s="18">
        <f t="shared" si="68"/>
        <v>108.2105</v>
      </c>
      <c r="H1351" s="18">
        <f t="shared" si="69"/>
        <v>19.409836065573771</v>
      </c>
      <c r="I1351" s="32">
        <v>33.410607130190463</v>
      </c>
      <c r="K1351" s="32">
        <v>1.856531650863475</v>
      </c>
      <c r="L1351" s="32">
        <f t="shared" si="66"/>
        <v>16.438356164383563</v>
      </c>
      <c r="M1351" s="5">
        <f t="shared" si="70"/>
        <v>69.164666022614909</v>
      </c>
      <c r="N1351" s="5">
        <f t="shared" si="71"/>
        <v>14.098901098901099</v>
      </c>
      <c r="O1351" s="32">
        <v>30.469759526173849</v>
      </c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</row>
    <row r="1352" spans="1:38">
      <c r="A1352" s="5">
        <v>709</v>
      </c>
      <c r="B1352" s="11">
        <v>1348</v>
      </c>
      <c r="C1352" s="12">
        <v>47005</v>
      </c>
      <c r="D1352" s="31">
        <f t="shared" si="67"/>
        <v>52</v>
      </c>
      <c r="E1352" s="14"/>
      <c r="F1352" s="5">
        <v>0</v>
      </c>
      <c r="G1352" s="18">
        <f t="shared" si="68"/>
        <v>108.36320000000001</v>
      </c>
      <c r="H1352" s="18">
        <f t="shared" si="69"/>
        <v>19.409836065573771</v>
      </c>
      <c r="I1352" s="32">
        <v>35.593362817901152</v>
      </c>
      <c r="K1352" s="32">
        <v>125.251830789778</v>
      </c>
      <c r="L1352" s="32">
        <f t="shared" si="66"/>
        <v>16.438356164383563</v>
      </c>
      <c r="M1352" s="5">
        <f t="shared" si="70"/>
        <v>67.808673724385073</v>
      </c>
      <c r="N1352" s="5">
        <f t="shared" si="71"/>
        <v>14.098901098901099</v>
      </c>
      <c r="O1352" s="32">
        <v>16.500532476974769</v>
      </c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</row>
    <row r="1353" spans="1:38">
      <c r="A1353" s="5">
        <v>710</v>
      </c>
      <c r="B1353" s="11">
        <v>1349</v>
      </c>
      <c r="C1353" s="12">
        <v>47006</v>
      </c>
      <c r="D1353" s="31">
        <f t="shared" si="67"/>
        <v>34</v>
      </c>
      <c r="E1353" s="14"/>
      <c r="F1353" s="5">
        <v>0</v>
      </c>
      <c r="G1353" s="18">
        <f t="shared" si="68"/>
        <v>108.5159</v>
      </c>
      <c r="H1353" s="18">
        <f t="shared" si="69"/>
        <v>19.409836065573771</v>
      </c>
      <c r="I1353" s="32">
        <v>22.146575295906931</v>
      </c>
      <c r="K1353" s="32">
        <v>125.251830789778</v>
      </c>
      <c r="L1353" s="32">
        <f t="shared" si="66"/>
        <v>16.438356164383563</v>
      </c>
      <c r="M1353" s="5">
        <f t="shared" si="70"/>
        <v>67.808673724385073</v>
      </c>
      <c r="N1353" s="5">
        <f t="shared" si="71"/>
        <v>14.098901098901099</v>
      </c>
      <c r="O1353" s="32">
        <v>34.470345481595217</v>
      </c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</row>
    <row r="1354" spans="1:38">
      <c r="A1354" s="5">
        <v>711</v>
      </c>
      <c r="B1354" s="11">
        <v>1350</v>
      </c>
      <c r="C1354" s="12">
        <v>47007</v>
      </c>
      <c r="D1354" s="31">
        <f t="shared" si="67"/>
        <v>39</v>
      </c>
      <c r="E1354" s="14"/>
      <c r="F1354" s="5">
        <v>0</v>
      </c>
      <c r="G1354" s="18">
        <f t="shared" si="68"/>
        <v>108.6686</v>
      </c>
      <c r="H1354" s="18">
        <f t="shared" si="69"/>
        <v>19.409836065573771</v>
      </c>
      <c r="I1354" s="32">
        <v>26.19659905419466</v>
      </c>
      <c r="K1354" s="32">
        <v>21.372030235181079</v>
      </c>
      <c r="L1354" s="32">
        <f t="shared" si="66"/>
        <v>16.438356164383563</v>
      </c>
      <c r="M1354" s="5">
        <f t="shared" si="70"/>
        <v>68.950209994215797</v>
      </c>
      <c r="N1354" s="5">
        <f t="shared" si="71"/>
        <v>14.098901098901099</v>
      </c>
      <c r="O1354" s="32">
        <v>8.8543629957320444</v>
      </c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</row>
    <row r="1355" spans="1:38">
      <c r="A1355" s="5">
        <v>712</v>
      </c>
      <c r="B1355" s="11">
        <v>1351</v>
      </c>
      <c r="C1355" s="12">
        <v>47008</v>
      </c>
      <c r="D1355" s="31">
        <f t="shared" si="67"/>
        <v>34</v>
      </c>
      <c r="E1355" s="14"/>
      <c r="F1355" s="5">
        <v>0</v>
      </c>
      <c r="G1355" s="18">
        <f t="shared" si="68"/>
        <v>108.82130000000001</v>
      </c>
      <c r="H1355" s="18">
        <f t="shared" si="69"/>
        <v>19.409836065573771</v>
      </c>
      <c r="I1355" s="32">
        <v>15.541602848178099</v>
      </c>
      <c r="K1355" s="32">
        <v>1.856531650863475</v>
      </c>
      <c r="L1355" s="32">
        <f t="shared" si="66"/>
        <v>16.438356164383563</v>
      </c>
      <c r="M1355" s="5">
        <f t="shared" si="70"/>
        <v>69.164666022614909</v>
      </c>
      <c r="N1355" s="5">
        <f t="shared" si="71"/>
        <v>14.098901098901099</v>
      </c>
      <c r="O1355" s="32">
        <v>17.729703123520469</v>
      </c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</row>
    <row r="1356" spans="1:38">
      <c r="A1356" s="5">
        <v>713</v>
      </c>
      <c r="B1356" s="11">
        <v>1352</v>
      </c>
      <c r="C1356" s="12">
        <v>47009</v>
      </c>
      <c r="D1356" s="31">
        <f t="shared" si="67"/>
        <v>48</v>
      </c>
      <c r="E1356" s="14"/>
      <c r="F1356" s="5">
        <v>0</v>
      </c>
      <c r="G1356" s="18">
        <f t="shared" si="68"/>
        <v>108.974</v>
      </c>
      <c r="H1356" s="18">
        <f t="shared" si="69"/>
        <v>19.409836065573771</v>
      </c>
      <c r="I1356" s="32">
        <v>18.712049307247081</v>
      </c>
      <c r="K1356" s="32">
        <v>125.251830789778</v>
      </c>
      <c r="L1356" s="32">
        <f t="shared" si="66"/>
        <v>16.438356164383563</v>
      </c>
      <c r="M1356" s="5">
        <f t="shared" si="70"/>
        <v>67.808673724385073</v>
      </c>
      <c r="N1356" s="5">
        <f t="shared" si="71"/>
        <v>14.098901098901099</v>
      </c>
      <c r="O1356" s="32">
        <v>15.868675358307661</v>
      </c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</row>
    <row r="1357" spans="1:38">
      <c r="A1357" s="5">
        <v>714</v>
      </c>
      <c r="B1357" s="11">
        <v>1353</v>
      </c>
      <c r="C1357" s="12">
        <v>47010</v>
      </c>
      <c r="D1357" s="31">
        <f t="shared" si="67"/>
        <v>49</v>
      </c>
      <c r="E1357" s="14"/>
      <c r="F1357" s="5">
        <v>0</v>
      </c>
      <c r="G1357" s="18">
        <f t="shared" si="68"/>
        <v>109.1267</v>
      </c>
      <c r="H1357" s="18">
        <f t="shared" si="69"/>
        <v>19.409836065573771</v>
      </c>
      <c r="I1357" s="32">
        <v>27.315205703123748</v>
      </c>
      <c r="K1357" s="32">
        <v>125.251830789778</v>
      </c>
      <c r="L1357" s="32">
        <f t="shared" si="66"/>
        <v>16.438356164383563</v>
      </c>
      <c r="M1357" s="5">
        <f t="shared" si="70"/>
        <v>67.808673724385073</v>
      </c>
      <c r="N1357" s="5">
        <f t="shared" si="71"/>
        <v>14.098901098901099</v>
      </c>
      <c r="O1357" s="32">
        <v>22.7938194006401</v>
      </c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</row>
    <row r="1358" spans="1:38">
      <c r="A1358" s="5">
        <v>715</v>
      </c>
      <c r="B1358" s="11">
        <v>1354</v>
      </c>
      <c r="C1358" s="12">
        <v>47011</v>
      </c>
      <c r="D1358" s="31">
        <f t="shared" si="67"/>
        <v>50</v>
      </c>
      <c r="E1358" s="14"/>
      <c r="F1358" s="5">
        <v>0</v>
      </c>
      <c r="G1358" s="18">
        <f t="shared" si="68"/>
        <v>109.2794</v>
      </c>
      <c r="H1358" s="18">
        <f t="shared" si="69"/>
        <v>19.409836065573771</v>
      </c>
      <c r="I1358" s="32">
        <v>18.242289847579968</v>
      </c>
      <c r="K1358" s="32">
        <v>21.372030235181079</v>
      </c>
      <c r="L1358" s="32">
        <f t="shared" si="66"/>
        <v>16.438356164383563</v>
      </c>
      <c r="M1358" s="5">
        <f t="shared" si="70"/>
        <v>68.950209994215797</v>
      </c>
      <c r="N1358" s="5">
        <f t="shared" si="71"/>
        <v>14.098901098901099</v>
      </c>
      <c r="O1358" s="32">
        <v>24.445488568154261</v>
      </c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</row>
    <row r="1359" spans="1:38">
      <c r="A1359" s="5">
        <v>716</v>
      </c>
      <c r="B1359" s="11">
        <v>1355</v>
      </c>
      <c r="C1359" s="12">
        <v>47012</v>
      </c>
      <c r="D1359" s="31">
        <f t="shared" si="67"/>
        <v>33</v>
      </c>
      <c r="E1359" s="14"/>
      <c r="F1359" s="5">
        <v>0</v>
      </c>
      <c r="G1359" s="18">
        <f t="shared" si="68"/>
        <v>109.43210000000001</v>
      </c>
      <c r="H1359" s="18">
        <f t="shared" si="69"/>
        <v>19.409836065573771</v>
      </c>
      <c r="I1359" s="32">
        <v>33.2389395952491</v>
      </c>
      <c r="K1359" s="32">
        <v>1.856531650863475</v>
      </c>
      <c r="L1359" s="32">
        <f t="shared" si="66"/>
        <v>16.438356164383563</v>
      </c>
      <c r="M1359" s="5">
        <f t="shared" si="70"/>
        <v>69.164666022614909</v>
      </c>
      <c r="N1359" s="5">
        <f t="shared" si="71"/>
        <v>14.098901098901099</v>
      </c>
      <c r="O1359" s="32">
        <v>13.00044542728666</v>
      </c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</row>
    <row r="1360" spans="1:38">
      <c r="A1360" s="5">
        <v>717</v>
      </c>
      <c r="B1360" s="11">
        <v>1356</v>
      </c>
      <c r="C1360" s="12">
        <v>47013</v>
      </c>
      <c r="D1360" s="31">
        <f t="shared" si="67"/>
        <v>33</v>
      </c>
      <c r="E1360" s="14"/>
      <c r="F1360" s="5">
        <v>0</v>
      </c>
      <c r="G1360" s="18">
        <f t="shared" si="68"/>
        <v>109.5848</v>
      </c>
      <c r="H1360" s="18">
        <f t="shared" si="69"/>
        <v>19.409836065573771</v>
      </c>
      <c r="I1360" s="32">
        <v>28.72373592270479</v>
      </c>
      <c r="K1360" s="32">
        <v>125.251830789778</v>
      </c>
      <c r="L1360" s="32">
        <f t="shared" si="66"/>
        <v>16.438356164383563</v>
      </c>
      <c r="M1360" s="5">
        <f t="shared" si="70"/>
        <v>67.808673724385073</v>
      </c>
      <c r="N1360" s="5">
        <f t="shared" si="71"/>
        <v>14.098901098901099</v>
      </c>
      <c r="O1360" s="32">
        <v>19.904534692540022</v>
      </c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</row>
    <row r="1361" spans="1:38">
      <c r="A1361" s="5">
        <v>718</v>
      </c>
      <c r="B1361" s="11">
        <v>1357</v>
      </c>
      <c r="C1361" s="12">
        <v>47014</v>
      </c>
      <c r="D1361" s="31">
        <f t="shared" si="67"/>
        <v>55</v>
      </c>
      <c r="E1361" s="14"/>
      <c r="F1361" s="5">
        <v>0</v>
      </c>
      <c r="G1361" s="18">
        <f t="shared" si="68"/>
        <v>109.7375</v>
      </c>
      <c r="H1361" s="18">
        <f t="shared" si="69"/>
        <v>19.409836065573771</v>
      </c>
      <c r="I1361" s="32">
        <v>31.873514240196162</v>
      </c>
      <c r="K1361" s="32">
        <v>125.251830789778</v>
      </c>
      <c r="L1361" s="32">
        <f t="shared" si="66"/>
        <v>16.438356164383563</v>
      </c>
      <c r="M1361" s="5">
        <f t="shared" si="70"/>
        <v>67.808673724385073</v>
      </c>
      <c r="N1361" s="5">
        <f t="shared" si="71"/>
        <v>14.098901098901099</v>
      </c>
      <c r="O1361" s="32">
        <v>22.17403023585176</v>
      </c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</row>
    <row r="1362" spans="1:38">
      <c r="A1362" s="5">
        <v>719</v>
      </c>
      <c r="B1362" s="11">
        <v>1358</v>
      </c>
      <c r="C1362" s="12">
        <v>47015</v>
      </c>
      <c r="D1362" s="31">
        <f t="shared" si="67"/>
        <v>71</v>
      </c>
      <c r="E1362" s="14"/>
      <c r="F1362" s="5">
        <v>0</v>
      </c>
      <c r="G1362" s="18">
        <f t="shared" si="68"/>
        <v>109.89020000000001</v>
      </c>
      <c r="H1362" s="18">
        <f t="shared" si="69"/>
        <v>19.409836065573771</v>
      </c>
      <c r="I1362" s="32">
        <v>36.008931837311557</v>
      </c>
      <c r="K1362" s="32">
        <v>21.372030235181079</v>
      </c>
      <c r="L1362" s="32">
        <f t="shared" si="66"/>
        <v>16.438356164383563</v>
      </c>
      <c r="M1362" s="5">
        <f t="shared" si="70"/>
        <v>68.950209994215797</v>
      </c>
      <c r="N1362" s="5">
        <f t="shared" si="71"/>
        <v>14.098901098901099</v>
      </c>
      <c r="O1362" s="32">
        <v>10.650091887133559</v>
      </c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</row>
    <row r="1363" spans="1:38">
      <c r="A1363" s="5">
        <v>720</v>
      </c>
      <c r="B1363" s="11">
        <v>1359</v>
      </c>
      <c r="C1363" s="12">
        <v>47016</v>
      </c>
      <c r="D1363" s="31">
        <f t="shared" si="67"/>
        <v>61</v>
      </c>
      <c r="E1363" s="14"/>
      <c r="F1363" s="5">
        <v>0</v>
      </c>
      <c r="G1363" s="18">
        <f t="shared" si="68"/>
        <v>110.0429</v>
      </c>
      <c r="H1363" s="18">
        <f t="shared" si="69"/>
        <v>19.409836065573771</v>
      </c>
      <c r="I1363" s="32">
        <v>19.01825658940875</v>
      </c>
      <c r="K1363" s="32">
        <v>1.856531650863475</v>
      </c>
      <c r="L1363" s="32">
        <f t="shared" si="66"/>
        <v>16.438356164383563</v>
      </c>
      <c r="M1363" s="5">
        <f t="shared" si="70"/>
        <v>69.164666022614909</v>
      </c>
      <c r="N1363" s="5">
        <f t="shared" si="71"/>
        <v>14.098901098901099</v>
      </c>
      <c r="O1363" s="32">
        <v>22.767672633539661</v>
      </c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</row>
    <row r="1364" spans="1:38">
      <c r="A1364" s="5">
        <v>721</v>
      </c>
      <c r="B1364" s="11">
        <v>1360</v>
      </c>
      <c r="C1364" s="12">
        <v>47017</v>
      </c>
      <c r="D1364" s="31">
        <f t="shared" si="67"/>
        <v>38</v>
      </c>
      <c r="E1364" s="14"/>
      <c r="F1364" s="5">
        <v>0</v>
      </c>
      <c r="G1364" s="18">
        <f t="shared" si="68"/>
        <v>110.1956</v>
      </c>
      <c r="H1364" s="18">
        <f t="shared" si="69"/>
        <v>19.409836065573771</v>
      </c>
      <c r="I1364" s="32">
        <v>45.190536435360457</v>
      </c>
      <c r="K1364" s="32">
        <v>125.251830789778</v>
      </c>
      <c r="L1364" s="32">
        <f t="shared" si="66"/>
        <v>16.438356164383563</v>
      </c>
      <c r="M1364" s="5">
        <f t="shared" si="70"/>
        <v>67.808673724385073</v>
      </c>
      <c r="N1364" s="5">
        <f t="shared" si="71"/>
        <v>14.098901098901099</v>
      </c>
      <c r="O1364" s="32">
        <v>29.235693286004189</v>
      </c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</row>
    <row r="1365" spans="1:38">
      <c r="A1365" s="5">
        <v>722</v>
      </c>
      <c r="B1365" s="11">
        <v>1361</v>
      </c>
      <c r="C1365" s="12">
        <v>47018</v>
      </c>
      <c r="D1365" s="31">
        <f t="shared" si="67"/>
        <v>61</v>
      </c>
      <c r="E1365" s="14"/>
      <c r="F1365" s="5">
        <v>0</v>
      </c>
      <c r="G1365" s="18">
        <f t="shared" si="68"/>
        <v>110.34830000000001</v>
      </c>
      <c r="H1365" s="18">
        <f t="shared" si="69"/>
        <v>19.409836065573771</v>
      </c>
      <c r="I1365" s="32">
        <v>17.26247686147628</v>
      </c>
      <c r="K1365" s="32">
        <v>125.251830789778</v>
      </c>
      <c r="L1365" s="32">
        <f t="shared" si="66"/>
        <v>16.438356164383563</v>
      </c>
      <c r="M1365" s="5">
        <f t="shared" si="70"/>
        <v>67.808673724385073</v>
      </c>
      <c r="N1365" s="5">
        <f t="shared" si="71"/>
        <v>14.098901098901099</v>
      </c>
      <c r="O1365" s="32">
        <v>14.72599852762726</v>
      </c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</row>
    <row r="1366" spans="1:38">
      <c r="A1366" s="5">
        <v>723</v>
      </c>
      <c r="B1366" s="11">
        <v>1362</v>
      </c>
      <c r="C1366" s="12">
        <v>47019</v>
      </c>
      <c r="D1366" s="31">
        <f t="shared" si="67"/>
        <v>50</v>
      </c>
      <c r="E1366" s="14"/>
      <c r="F1366" s="5">
        <v>0</v>
      </c>
      <c r="G1366" s="18">
        <f t="shared" si="68"/>
        <v>110.501</v>
      </c>
      <c r="H1366" s="18">
        <f t="shared" si="69"/>
        <v>19.409836065573771</v>
      </c>
      <c r="I1366" s="32">
        <v>20.69119058736559</v>
      </c>
      <c r="K1366" s="32">
        <v>21.372030235181079</v>
      </c>
      <c r="L1366" s="32">
        <f t="shared" si="66"/>
        <v>16.438356164383563</v>
      </c>
      <c r="M1366" s="5">
        <f t="shared" si="70"/>
        <v>68.950209994215797</v>
      </c>
      <c r="N1366" s="5">
        <f t="shared" si="71"/>
        <v>14.098901098901099</v>
      </c>
      <c r="O1366" s="32">
        <v>19.300363969962401</v>
      </c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</row>
    <row r="1367" spans="1:38">
      <c r="A1367" s="5">
        <v>724</v>
      </c>
      <c r="B1367" s="11">
        <v>1363</v>
      </c>
      <c r="C1367" s="12">
        <v>47020</v>
      </c>
      <c r="D1367" s="31">
        <f t="shared" si="67"/>
        <v>43</v>
      </c>
      <c r="E1367" s="14"/>
      <c r="F1367" s="5">
        <v>0</v>
      </c>
      <c r="G1367" s="18">
        <f t="shared" si="68"/>
        <v>110.6537</v>
      </c>
      <c r="H1367" s="18">
        <f t="shared" si="69"/>
        <v>19.409836065573771</v>
      </c>
      <c r="I1367" s="32">
        <v>27.302334775896419</v>
      </c>
      <c r="K1367" s="32">
        <v>1.856531650863475</v>
      </c>
      <c r="L1367" s="32">
        <f t="shared" si="66"/>
        <v>16.438356164383563</v>
      </c>
      <c r="M1367" s="5">
        <f t="shared" si="70"/>
        <v>69.164666022614909</v>
      </c>
      <c r="N1367" s="5">
        <f t="shared" si="71"/>
        <v>14.098901098901099</v>
      </c>
      <c r="O1367" s="32">
        <v>25.40293807519032</v>
      </c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</row>
    <row r="1368" spans="1:38">
      <c r="A1368" s="5">
        <v>725</v>
      </c>
      <c r="B1368" s="11">
        <v>1364</v>
      </c>
      <c r="C1368" s="12">
        <v>47021</v>
      </c>
      <c r="D1368" s="31">
        <f t="shared" si="67"/>
        <v>47</v>
      </c>
      <c r="E1368" s="14"/>
      <c r="F1368" s="5">
        <v>0</v>
      </c>
      <c r="G1368" s="18">
        <f t="shared" si="68"/>
        <v>110.8064</v>
      </c>
      <c r="H1368" s="18">
        <f t="shared" si="69"/>
        <v>19.409836065573771</v>
      </c>
      <c r="I1368" s="32">
        <v>11.97836401023357</v>
      </c>
      <c r="K1368" s="32">
        <v>125.251830789778</v>
      </c>
      <c r="L1368" s="32">
        <f t="shared" si="66"/>
        <v>16.438356164383563</v>
      </c>
      <c r="M1368" s="5">
        <f t="shared" si="70"/>
        <v>67.808673724385073</v>
      </c>
      <c r="N1368" s="5">
        <f t="shared" si="71"/>
        <v>14.098901098901099</v>
      </c>
      <c r="O1368" s="32">
        <v>10.369559957203281</v>
      </c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</row>
    <row r="1369" spans="1:38">
      <c r="A1369" s="5">
        <v>726</v>
      </c>
      <c r="B1369" s="11">
        <v>1365</v>
      </c>
      <c r="C1369" s="12">
        <v>47022</v>
      </c>
      <c r="D1369" s="31">
        <f t="shared" si="67"/>
        <v>31</v>
      </c>
      <c r="E1369" s="14"/>
      <c r="F1369" s="5">
        <v>0</v>
      </c>
      <c r="G1369" s="18">
        <f t="shared" si="68"/>
        <v>110.95910000000001</v>
      </c>
      <c r="H1369" s="18">
        <f t="shared" si="69"/>
        <v>19.409836065573771</v>
      </c>
      <c r="I1369" s="32">
        <v>35.652128963939553</v>
      </c>
      <c r="K1369" s="32">
        <v>125.251830789778</v>
      </c>
      <c r="L1369" s="32">
        <f t="shared" si="66"/>
        <v>16.438356164383563</v>
      </c>
      <c r="M1369" s="5">
        <f t="shared" si="70"/>
        <v>67.808673724385073</v>
      </c>
      <c r="N1369" s="5">
        <f t="shared" si="71"/>
        <v>14.098901098901099</v>
      </c>
      <c r="O1369" s="32">
        <v>23.860727863300191</v>
      </c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</row>
    <row r="1370" spans="1:38">
      <c r="A1370" s="5">
        <v>727</v>
      </c>
      <c r="B1370" s="11">
        <v>1366</v>
      </c>
      <c r="C1370" s="12">
        <v>47023</v>
      </c>
      <c r="D1370" s="31">
        <f t="shared" si="67"/>
        <v>34</v>
      </c>
      <c r="E1370" s="14"/>
      <c r="F1370" s="5">
        <v>0</v>
      </c>
      <c r="G1370" s="18">
        <f t="shared" si="68"/>
        <v>111.1118</v>
      </c>
      <c r="H1370" s="18">
        <f t="shared" si="69"/>
        <v>19.409836065573771</v>
      </c>
      <c r="I1370" s="32">
        <v>23.68670924068504</v>
      </c>
      <c r="K1370" s="32">
        <v>21.372030235181079</v>
      </c>
      <c r="L1370" s="32">
        <f t="shared" si="66"/>
        <v>16.438356164383563</v>
      </c>
      <c r="M1370" s="5">
        <f t="shared" si="70"/>
        <v>68.950209994215797</v>
      </c>
      <c r="N1370" s="5">
        <f t="shared" si="71"/>
        <v>14.098901098901099</v>
      </c>
      <c r="O1370" s="32">
        <v>21.237531014275032</v>
      </c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</row>
    <row r="1371" spans="1:38">
      <c r="A1371" s="5">
        <v>728</v>
      </c>
      <c r="B1371" s="11">
        <v>1367</v>
      </c>
      <c r="C1371" s="12">
        <v>47024</v>
      </c>
      <c r="D1371" s="31">
        <f t="shared" si="67"/>
        <v>38</v>
      </c>
      <c r="E1371" s="14"/>
      <c r="F1371" s="5">
        <v>0</v>
      </c>
      <c r="G1371" s="18">
        <f t="shared" si="68"/>
        <v>111.2645</v>
      </c>
      <c r="H1371" s="18">
        <f t="shared" si="69"/>
        <v>19.409836065573771</v>
      </c>
      <c r="I1371" s="32">
        <v>35.287805037751241</v>
      </c>
      <c r="K1371" s="32">
        <v>1.856531650863475</v>
      </c>
      <c r="L1371" s="32">
        <f t="shared" si="66"/>
        <v>16.438356164383563</v>
      </c>
      <c r="M1371" s="5">
        <f t="shared" si="70"/>
        <v>69.164666022614909</v>
      </c>
      <c r="N1371" s="5">
        <f t="shared" si="71"/>
        <v>14.098901098901099</v>
      </c>
      <c r="O1371" s="32">
        <v>10.29387098777285</v>
      </c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</row>
    <row r="1372" spans="1:38">
      <c r="A1372" s="5">
        <v>729</v>
      </c>
      <c r="B1372" s="11">
        <v>1368</v>
      </c>
      <c r="C1372" s="12">
        <v>47025</v>
      </c>
      <c r="D1372" s="31">
        <f t="shared" si="67"/>
        <v>33</v>
      </c>
      <c r="E1372" s="14"/>
      <c r="F1372" s="5">
        <v>0</v>
      </c>
      <c r="G1372" s="18">
        <f t="shared" si="68"/>
        <v>111.41720000000001</v>
      </c>
      <c r="H1372" s="18">
        <f t="shared" si="69"/>
        <v>19.409836065573771</v>
      </c>
      <c r="I1372" s="32">
        <v>21.130988463292329</v>
      </c>
      <c r="K1372" s="32">
        <v>125.251830789778</v>
      </c>
      <c r="L1372" s="32">
        <f t="shared" si="66"/>
        <v>16.438356164383563</v>
      </c>
      <c r="M1372" s="5">
        <f t="shared" si="70"/>
        <v>67.808673724385073</v>
      </c>
      <c r="N1372" s="5">
        <f t="shared" si="71"/>
        <v>14.098901098901099</v>
      </c>
      <c r="O1372" s="32">
        <v>16.911310556912159</v>
      </c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</row>
    <row r="1373" spans="1:38">
      <c r="A1373" s="5">
        <v>730</v>
      </c>
      <c r="B1373" s="11">
        <v>1369</v>
      </c>
      <c r="C1373" s="12">
        <v>47026</v>
      </c>
      <c r="D1373" s="31">
        <f t="shared" si="67"/>
        <v>42</v>
      </c>
      <c r="E1373" s="14"/>
      <c r="F1373" s="5">
        <v>0</v>
      </c>
      <c r="G1373" s="18">
        <f t="shared" si="68"/>
        <v>111.5699</v>
      </c>
      <c r="H1373" s="18">
        <f t="shared" si="69"/>
        <v>19.409836065573771</v>
      </c>
      <c r="I1373" s="32">
        <v>22.6453373153314</v>
      </c>
      <c r="K1373" s="32">
        <v>125.251830789778</v>
      </c>
      <c r="L1373" s="32">
        <f t="shared" si="66"/>
        <v>16.438356164383563</v>
      </c>
      <c r="M1373" s="5">
        <f t="shared" si="70"/>
        <v>67.808673724385073</v>
      </c>
      <c r="N1373" s="5">
        <f t="shared" si="71"/>
        <v>14.098901098901099</v>
      </c>
      <c r="O1373" s="32">
        <v>23.60233475798622</v>
      </c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</row>
    <row r="1374" spans="1:38">
      <c r="A1374" s="5">
        <v>731</v>
      </c>
      <c r="B1374" s="11">
        <v>1370</v>
      </c>
      <c r="C1374" s="12">
        <v>47027</v>
      </c>
      <c r="D1374" s="31">
        <f t="shared" si="67"/>
        <v>30</v>
      </c>
      <c r="E1374" s="14"/>
      <c r="F1374" s="5">
        <v>0</v>
      </c>
      <c r="G1374" s="18">
        <f t="shared" si="68"/>
        <v>111.7226</v>
      </c>
      <c r="H1374" s="18">
        <f t="shared" si="69"/>
        <v>19.409836065573771</v>
      </c>
      <c r="I1374" s="32">
        <v>34.612925704953462</v>
      </c>
      <c r="K1374" s="32">
        <v>21.372030235181079</v>
      </c>
      <c r="L1374" s="32">
        <f t="shared" si="66"/>
        <v>16.438356164383563</v>
      </c>
      <c r="M1374" s="5">
        <f t="shared" si="70"/>
        <v>68.950209994215797</v>
      </c>
      <c r="N1374" s="5">
        <f t="shared" si="71"/>
        <v>14.098901098901099</v>
      </c>
      <c r="O1374" s="32">
        <v>18.750286414492429</v>
      </c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</row>
    <row r="1375" spans="1:38">
      <c r="A1375" s="5">
        <v>732</v>
      </c>
      <c r="B1375" s="11">
        <v>1371</v>
      </c>
      <c r="C1375" s="12">
        <v>47028</v>
      </c>
      <c r="D1375" s="31">
        <f t="shared" si="67"/>
        <v>27</v>
      </c>
      <c r="E1375" s="14"/>
      <c r="F1375" s="5">
        <v>0</v>
      </c>
      <c r="G1375" s="18">
        <f t="shared" si="68"/>
        <v>111.8753</v>
      </c>
      <c r="H1375" s="18">
        <f t="shared" si="69"/>
        <v>19.409836065573771</v>
      </c>
      <c r="I1375" s="32">
        <v>7.3701684107074552</v>
      </c>
      <c r="K1375" s="32">
        <v>1.856531650863475</v>
      </c>
      <c r="L1375" s="32">
        <f t="shared" ref="L1375:L1438" si="72">12000/730</f>
        <v>16.438356164383563</v>
      </c>
      <c r="M1375" s="5">
        <f t="shared" si="70"/>
        <v>69.164666022614909</v>
      </c>
      <c r="N1375" s="5">
        <f t="shared" si="71"/>
        <v>14.098901098901099</v>
      </c>
      <c r="O1375" s="32">
        <v>23.60239876776695</v>
      </c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</row>
    <row r="1376" spans="1:38">
      <c r="A1376" s="5">
        <v>733</v>
      </c>
      <c r="B1376" s="11">
        <v>1372</v>
      </c>
      <c r="C1376" s="12">
        <v>47029</v>
      </c>
      <c r="D1376" s="31">
        <f t="shared" ref="D1376:D1439" si="73">ROUNDUP(_xlfn.FORECAST.ETS(B1376,$D$5:$D$734,$B$5:$B$734,365,0,1),0)</f>
        <v>25</v>
      </c>
      <c r="E1376" s="14"/>
      <c r="F1376" s="5">
        <v>0</v>
      </c>
      <c r="G1376" s="18">
        <f t="shared" ref="G1376:G1439" si="74">0.1527*A1376+0.0989</f>
        <v>112.02800000000001</v>
      </c>
      <c r="H1376" s="18">
        <f t="shared" ref="H1376:H1439" si="75">AVERAGE($I$674:$I$734)</f>
        <v>19.409836065573771</v>
      </c>
      <c r="I1376" s="32">
        <v>41.65562236499926</v>
      </c>
      <c r="K1376" s="32">
        <v>125.251830789778</v>
      </c>
      <c r="L1376" s="32">
        <f t="shared" si="72"/>
        <v>16.438356164383563</v>
      </c>
      <c r="M1376" s="5">
        <f t="shared" ref="M1376:M1439" si="76">AVERAGE(K1285:K1375)</f>
        <v>67.808673724385073</v>
      </c>
      <c r="N1376" s="5">
        <f t="shared" si="71"/>
        <v>14.098901098901099</v>
      </c>
      <c r="O1376" s="32">
        <v>29.55701907538705</v>
      </c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</row>
    <row r="1377" spans="1:38">
      <c r="A1377" s="5">
        <v>734</v>
      </c>
      <c r="B1377" s="11">
        <v>1373</v>
      </c>
      <c r="C1377" s="12">
        <v>47030</v>
      </c>
      <c r="D1377" s="31">
        <f t="shared" si="73"/>
        <v>26</v>
      </c>
      <c r="E1377" s="14"/>
      <c r="F1377" s="5">
        <v>0</v>
      </c>
      <c r="G1377" s="18">
        <f t="shared" si="74"/>
        <v>112.1807</v>
      </c>
      <c r="H1377" s="18">
        <f t="shared" si="75"/>
        <v>19.409836065573771</v>
      </c>
      <c r="I1377" s="32">
        <v>27.932825289310401</v>
      </c>
      <c r="K1377" s="32">
        <v>125.251830789778</v>
      </c>
      <c r="L1377" s="32">
        <f t="shared" si="72"/>
        <v>16.438356164383563</v>
      </c>
      <c r="M1377" s="5">
        <f t="shared" si="76"/>
        <v>67.808673724385073</v>
      </c>
      <c r="N1377" s="5">
        <f t="shared" si="71"/>
        <v>14.098901098901099</v>
      </c>
      <c r="O1377" s="32">
        <v>13.414280887781141</v>
      </c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</row>
    <row r="1378" spans="1:38">
      <c r="A1378" s="5">
        <v>735</v>
      </c>
      <c r="B1378" s="11">
        <v>1374</v>
      </c>
      <c r="C1378" s="12">
        <v>47031</v>
      </c>
      <c r="D1378" s="31">
        <f t="shared" si="73"/>
        <v>29</v>
      </c>
      <c r="E1378" s="14"/>
      <c r="F1378" s="5">
        <v>0</v>
      </c>
      <c r="G1378" s="18">
        <f t="shared" si="74"/>
        <v>112.3334</v>
      </c>
      <c r="H1378" s="18">
        <f t="shared" si="75"/>
        <v>19.409836065573771</v>
      </c>
      <c r="I1378" s="32">
        <v>18.32832018591154</v>
      </c>
      <c r="K1378" s="32">
        <v>21.372030235181079</v>
      </c>
      <c r="L1378" s="32">
        <f t="shared" si="72"/>
        <v>16.438356164383563</v>
      </c>
      <c r="M1378" s="5">
        <f t="shared" si="76"/>
        <v>68.950209994215797</v>
      </c>
      <c r="N1378" s="5">
        <f t="shared" si="71"/>
        <v>14.098901098901099</v>
      </c>
      <c r="O1378" s="32">
        <v>15.747833248316679</v>
      </c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</row>
    <row r="1379" spans="1:38">
      <c r="A1379" s="5">
        <v>736</v>
      </c>
      <c r="B1379" s="11">
        <v>1375</v>
      </c>
      <c r="C1379" s="12">
        <v>47032</v>
      </c>
      <c r="D1379" s="31">
        <f t="shared" si="73"/>
        <v>16</v>
      </c>
      <c r="E1379" s="14"/>
      <c r="F1379" s="5">
        <v>0</v>
      </c>
      <c r="G1379" s="18">
        <f t="shared" si="74"/>
        <v>112.48610000000001</v>
      </c>
      <c r="H1379" s="18">
        <f t="shared" si="75"/>
        <v>19.409836065573771</v>
      </c>
      <c r="I1379" s="32">
        <v>27.009635925817559</v>
      </c>
      <c r="K1379" s="32">
        <v>1.856531650863475</v>
      </c>
      <c r="L1379" s="32">
        <f t="shared" si="72"/>
        <v>16.438356164383563</v>
      </c>
      <c r="M1379" s="5">
        <f t="shared" si="76"/>
        <v>69.164666022614909</v>
      </c>
      <c r="N1379" s="5">
        <f t="shared" si="71"/>
        <v>14.098901098901099</v>
      </c>
      <c r="O1379" s="32">
        <v>21.688985893888031</v>
      </c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</row>
    <row r="1380" spans="1:38">
      <c r="A1380" s="5">
        <v>737</v>
      </c>
      <c r="B1380" s="11">
        <v>1376</v>
      </c>
      <c r="C1380" s="12">
        <v>47033</v>
      </c>
      <c r="D1380" s="31">
        <f t="shared" si="73"/>
        <v>31</v>
      </c>
      <c r="E1380" s="14"/>
      <c r="F1380" s="5">
        <v>0</v>
      </c>
      <c r="G1380" s="18">
        <f t="shared" si="74"/>
        <v>112.6388</v>
      </c>
      <c r="H1380" s="18">
        <f t="shared" si="75"/>
        <v>19.409836065573771</v>
      </c>
      <c r="I1380" s="32">
        <v>12.66221806248196</v>
      </c>
      <c r="K1380" s="32">
        <v>125.251830789778</v>
      </c>
      <c r="L1380" s="32">
        <f t="shared" si="72"/>
        <v>16.438356164383563</v>
      </c>
      <c r="M1380" s="5">
        <f t="shared" si="76"/>
        <v>67.808673724385073</v>
      </c>
      <c r="N1380" s="5">
        <f t="shared" si="71"/>
        <v>14.098901098901099</v>
      </c>
      <c r="O1380" s="32">
        <v>25.10316004043834</v>
      </c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</row>
    <row r="1381" spans="1:38">
      <c r="A1381" s="5">
        <v>738</v>
      </c>
      <c r="B1381" s="11">
        <v>1377</v>
      </c>
      <c r="C1381" s="12">
        <v>47034</v>
      </c>
      <c r="D1381" s="31">
        <f t="shared" si="73"/>
        <v>27</v>
      </c>
      <c r="E1381" s="14"/>
      <c r="F1381" s="5">
        <v>0</v>
      </c>
      <c r="G1381" s="18">
        <f t="shared" si="74"/>
        <v>112.7915</v>
      </c>
      <c r="H1381" s="18">
        <f t="shared" si="75"/>
        <v>19.409836065573771</v>
      </c>
      <c r="I1381" s="32">
        <v>29.291602860558399</v>
      </c>
      <c r="K1381" s="32">
        <v>125.251830789778</v>
      </c>
      <c r="L1381" s="32">
        <f t="shared" si="72"/>
        <v>16.438356164383563</v>
      </c>
      <c r="M1381" s="5">
        <f t="shared" si="76"/>
        <v>67.808673724385073</v>
      </c>
      <c r="N1381" s="5">
        <f t="shared" si="71"/>
        <v>14.098901098901099</v>
      </c>
      <c r="O1381" s="32">
        <v>26.78241671969953</v>
      </c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</row>
    <row r="1382" spans="1:38">
      <c r="A1382" s="5">
        <v>739</v>
      </c>
      <c r="B1382" s="11">
        <v>1378</v>
      </c>
      <c r="C1382" s="12">
        <v>47035</v>
      </c>
      <c r="D1382" s="31">
        <f t="shared" si="73"/>
        <v>32</v>
      </c>
      <c r="E1382" s="14"/>
      <c r="F1382" s="5">
        <v>0</v>
      </c>
      <c r="G1382" s="18">
        <f t="shared" si="74"/>
        <v>112.94420000000001</v>
      </c>
      <c r="H1382" s="18">
        <f t="shared" si="75"/>
        <v>19.409836065573771</v>
      </c>
      <c r="I1382" s="32">
        <v>21.371215447569451</v>
      </c>
      <c r="K1382" s="32">
        <v>21.372030235181079</v>
      </c>
      <c r="L1382" s="32">
        <f t="shared" si="72"/>
        <v>16.438356164383563</v>
      </c>
      <c r="M1382" s="5">
        <f t="shared" si="76"/>
        <v>68.950209994215797</v>
      </c>
      <c r="N1382" s="5">
        <f t="shared" si="71"/>
        <v>14.098901098901099</v>
      </c>
      <c r="O1382" s="32">
        <v>19.90167964356613</v>
      </c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</row>
    <row r="1383" spans="1:38">
      <c r="A1383" s="5">
        <v>740</v>
      </c>
      <c r="B1383" s="11">
        <v>1379</v>
      </c>
      <c r="C1383" s="12">
        <v>47036</v>
      </c>
      <c r="D1383" s="31">
        <f t="shared" si="73"/>
        <v>37</v>
      </c>
      <c r="E1383" s="14"/>
      <c r="F1383" s="5">
        <v>0</v>
      </c>
      <c r="G1383" s="18">
        <f t="shared" si="74"/>
        <v>113.09690000000001</v>
      </c>
      <c r="H1383" s="18">
        <f t="shared" si="75"/>
        <v>19.409836065573771</v>
      </c>
      <c r="I1383" s="32">
        <v>20.299662288328001</v>
      </c>
      <c r="K1383" s="32">
        <v>1.856531650863475</v>
      </c>
      <c r="L1383" s="32">
        <f t="shared" si="72"/>
        <v>16.438356164383563</v>
      </c>
      <c r="M1383" s="5">
        <f t="shared" si="76"/>
        <v>69.164666022614909</v>
      </c>
      <c r="N1383" s="5">
        <f t="shared" si="71"/>
        <v>14.098901098901099</v>
      </c>
      <c r="O1383" s="32">
        <v>9.7471093116453567</v>
      </c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</row>
    <row r="1384" spans="1:38">
      <c r="A1384" s="5">
        <v>741</v>
      </c>
      <c r="B1384" s="11">
        <v>1380</v>
      </c>
      <c r="C1384" s="12">
        <v>47037</v>
      </c>
      <c r="D1384" s="31">
        <f t="shared" si="73"/>
        <v>25</v>
      </c>
      <c r="E1384" s="14"/>
      <c r="F1384" s="5">
        <v>0</v>
      </c>
      <c r="G1384" s="18">
        <f t="shared" si="74"/>
        <v>113.2496</v>
      </c>
      <c r="H1384" s="18">
        <f t="shared" si="75"/>
        <v>19.409836065573771</v>
      </c>
      <c r="I1384" s="32">
        <v>28.078977023726761</v>
      </c>
      <c r="K1384" s="32">
        <v>125.251830789778</v>
      </c>
      <c r="L1384" s="32">
        <f t="shared" si="72"/>
        <v>16.438356164383563</v>
      </c>
      <c r="M1384" s="5">
        <f t="shared" si="76"/>
        <v>67.808673724385073</v>
      </c>
      <c r="N1384" s="5">
        <f t="shared" si="71"/>
        <v>14.098901098901099</v>
      </c>
      <c r="O1384" s="32">
        <v>3.7357182497114758</v>
      </c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</row>
    <row r="1385" spans="1:38">
      <c r="A1385" s="5">
        <v>742</v>
      </c>
      <c r="B1385" s="11">
        <v>1381</v>
      </c>
      <c r="C1385" s="12">
        <v>47038</v>
      </c>
      <c r="D1385" s="31">
        <f t="shared" si="73"/>
        <v>16</v>
      </c>
      <c r="E1385" s="14"/>
      <c r="F1385" s="5">
        <v>0</v>
      </c>
      <c r="G1385" s="18">
        <f t="shared" si="74"/>
        <v>113.4023</v>
      </c>
      <c r="H1385" s="18">
        <f t="shared" si="75"/>
        <v>19.409836065573771</v>
      </c>
      <c r="I1385" s="32">
        <v>23.635089126793812</v>
      </c>
      <c r="K1385" s="32">
        <v>125.251830789778</v>
      </c>
      <c r="L1385" s="32">
        <f t="shared" si="72"/>
        <v>16.438356164383563</v>
      </c>
      <c r="M1385" s="5">
        <f t="shared" si="76"/>
        <v>67.808673724385073</v>
      </c>
      <c r="N1385" s="5">
        <f t="shared" si="71"/>
        <v>14.098901098901099</v>
      </c>
      <c r="O1385" s="32">
        <v>23.26186201383485</v>
      </c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</row>
    <row r="1386" spans="1:38">
      <c r="A1386" s="5">
        <v>743</v>
      </c>
      <c r="B1386" s="11">
        <v>1382</v>
      </c>
      <c r="C1386" s="12">
        <v>47039</v>
      </c>
      <c r="D1386" s="31">
        <f t="shared" si="73"/>
        <v>29</v>
      </c>
      <c r="E1386" s="14"/>
      <c r="F1386" s="5">
        <v>0</v>
      </c>
      <c r="G1386" s="18">
        <f t="shared" si="74"/>
        <v>113.55500000000001</v>
      </c>
      <c r="H1386" s="18">
        <f t="shared" si="75"/>
        <v>19.409836065573771</v>
      </c>
      <c r="I1386" s="32">
        <v>29.103650664083389</v>
      </c>
      <c r="K1386" s="32">
        <v>21.372030235181079</v>
      </c>
      <c r="L1386" s="32">
        <f t="shared" si="72"/>
        <v>16.438356164383563</v>
      </c>
      <c r="M1386" s="5">
        <f t="shared" si="76"/>
        <v>68.950209994215797</v>
      </c>
      <c r="N1386" s="5">
        <f t="shared" si="71"/>
        <v>14.098901098901099</v>
      </c>
      <c r="O1386" s="32">
        <v>33.594230625746818</v>
      </c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</row>
    <row r="1387" spans="1:38">
      <c r="A1387" s="5">
        <v>744</v>
      </c>
      <c r="B1387" s="11">
        <v>1383</v>
      </c>
      <c r="C1387" s="12">
        <v>47040</v>
      </c>
      <c r="D1387" s="31">
        <f t="shared" si="73"/>
        <v>29</v>
      </c>
      <c r="E1387" s="14"/>
      <c r="F1387" s="5">
        <v>0</v>
      </c>
      <c r="G1387" s="18">
        <f t="shared" si="74"/>
        <v>113.7077</v>
      </c>
      <c r="H1387" s="18">
        <f t="shared" si="75"/>
        <v>19.409836065573771</v>
      </c>
      <c r="I1387" s="32">
        <v>30.782644726359031</v>
      </c>
      <c r="K1387" s="32">
        <v>1.856531650863475</v>
      </c>
      <c r="L1387" s="32">
        <f t="shared" si="72"/>
        <v>16.438356164383563</v>
      </c>
      <c r="M1387" s="5">
        <f t="shared" si="76"/>
        <v>69.164666022614909</v>
      </c>
      <c r="N1387" s="5">
        <f t="shared" si="71"/>
        <v>14.098901098901099</v>
      </c>
      <c r="O1387" s="32">
        <v>19.130850616035929</v>
      </c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</row>
    <row r="1388" spans="1:38">
      <c r="A1388" s="5">
        <v>745</v>
      </c>
      <c r="B1388" s="11">
        <v>1384</v>
      </c>
      <c r="C1388" s="12">
        <v>47041</v>
      </c>
      <c r="D1388" s="31">
        <f t="shared" si="73"/>
        <v>32</v>
      </c>
      <c r="E1388" s="14"/>
      <c r="F1388" s="5">
        <v>0</v>
      </c>
      <c r="G1388" s="18">
        <f t="shared" si="74"/>
        <v>113.8604</v>
      </c>
      <c r="H1388" s="18">
        <f t="shared" si="75"/>
        <v>19.409836065573771</v>
      </c>
      <c r="I1388" s="32">
        <v>40.93872451826347</v>
      </c>
      <c r="K1388" s="32">
        <v>125.251830789778</v>
      </c>
      <c r="L1388" s="32">
        <f t="shared" si="72"/>
        <v>16.438356164383563</v>
      </c>
      <c r="M1388" s="5">
        <f t="shared" si="76"/>
        <v>67.808673724385073</v>
      </c>
      <c r="N1388" s="5">
        <f t="shared" si="71"/>
        <v>14.098901098901099</v>
      </c>
      <c r="O1388" s="32">
        <v>21.89626436034818</v>
      </c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</row>
    <row r="1389" spans="1:38">
      <c r="A1389" s="5">
        <v>746</v>
      </c>
      <c r="B1389" s="11">
        <v>1385</v>
      </c>
      <c r="C1389" s="12">
        <v>47042</v>
      </c>
      <c r="D1389" s="31">
        <f t="shared" si="73"/>
        <v>28</v>
      </c>
      <c r="E1389" s="14"/>
      <c r="F1389" s="5">
        <v>0</v>
      </c>
      <c r="G1389" s="18">
        <f t="shared" si="74"/>
        <v>114.01310000000001</v>
      </c>
      <c r="H1389" s="18">
        <f t="shared" si="75"/>
        <v>19.409836065573771</v>
      </c>
      <c r="I1389" s="32">
        <v>41.634145331076986</v>
      </c>
      <c r="K1389" s="32">
        <v>125.251830789778</v>
      </c>
      <c r="L1389" s="32">
        <f t="shared" si="72"/>
        <v>16.438356164383563</v>
      </c>
      <c r="M1389" s="5">
        <f t="shared" si="76"/>
        <v>67.808673724385073</v>
      </c>
      <c r="N1389" s="5">
        <f t="shared" si="71"/>
        <v>14.098901098901099</v>
      </c>
      <c r="O1389" s="32">
        <v>16.13590329377654</v>
      </c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</row>
    <row r="1390" spans="1:38">
      <c r="A1390" s="5">
        <v>747</v>
      </c>
      <c r="B1390" s="11">
        <v>1386</v>
      </c>
      <c r="C1390" s="12">
        <v>47043</v>
      </c>
      <c r="D1390" s="31">
        <f t="shared" si="73"/>
        <v>58</v>
      </c>
      <c r="E1390" s="14"/>
      <c r="F1390" s="5">
        <v>0</v>
      </c>
      <c r="G1390" s="18">
        <f t="shared" si="74"/>
        <v>114.1658</v>
      </c>
      <c r="H1390" s="18">
        <f t="shared" si="75"/>
        <v>19.409836065573771</v>
      </c>
      <c r="I1390" s="32">
        <v>31.821557779279761</v>
      </c>
      <c r="K1390" s="32">
        <v>21.372030235181079</v>
      </c>
      <c r="L1390" s="32">
        <f t="shared" si="72"/>
        <v>16.438356164383563</v>
      </c>
      <c r="M1390" s="5">
        <f t="shared" si="76"/>
        <v>68.950209994215797</v>
      </c>
      <c r="N1390" s="5">
        <f t="shared" si="71"/>
        <v>14.098901098901099</v>
      </c>
      <c r="O1390" s="32">
        <v>10.98540318149753</v>
      </c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</row>
    <row r="1391" spans="1:38">
      <c r="A1391" s="5">
        <v>748</v>
      </c>
      <c r="B1391" s="11">
        <v>1387</v>
      </c>
      <c r="C1391" s="12">
        <v>47044</v>
      </c>
      <c r="D1391" s="31">
        <f t="shared" si="73"/>
        <v>14</v>
      </c>
      <c r="E1391" s="14"/>
      <c r="F1391" s="5">
        <v>0</v>
      </c>
      <c r="G1391" s="18">
        <f t="shared" si="74"/>
        <v>114.3185</v>
      </c>
      <c r="H1391" s="18">
        <f t="shared" si="75"/>
        <v>19.409836065573771</v>
      </c>
      <c r="I1391" s="32">
        <v>36.424087947255778</v>
      </c>
      <c r="K1391" s="32">
        <v>1.856531650863475</v>
      </c>
      <c r="L1391" s="32">
        <f t="shared" si="72"/>
        <v>16.438356164383563</v>
      </c>
      <c r="M1391" s="5">
        <f t="shared" si="76"/>
        <v>69.164666022614909</v>
      </c>
      <c r="N1391" s="5">
        <f t="shared" si="71"/>
        <v>14.098901098901099</v>
      </c>
      <c r="O1391" s="32">
        <v>29.705700182692159</v>
      </c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</row>
    <row r="1392" spans="1:38">
      <c r="A1392" s="5">
        <v>749</v>
      </c>
      <c r="B1392" s="11">
        <v>1388</v>
      </c>
      <c r="C1392" s="12">
        <v>47045</v>
      </c>
      <c r="D1392" s="31">
        <f t="shared" si="73"/>
        <v>17</v>
      </c>
      <c r="E1392" s="14"/>
      <c r="F1392" s="5">
        <v>0</v>
      </c>
      <c r="G1392" s="18">
        <f t="shared" si="74"/>
        <v>114.4712</v>
      </c>
      <c r="H1392" s="18">
        <f t="shared" si="75"/>
        <v>19.409836065573771</v>
      </c>
      <c r="I1392" s="32">
        <v>18.096029617948929</v>
      </c>
      <c r="K1392" s="32">
        <v>125.251830789778</v>
      </c>
      <c r="L1392" s="32">
        <f t="shared" si="72"/>
        <v>16.438356164383563</v>
      </c>
      <c r="M1392" s="5">
        <f t="shared" si="76"/>
        <v>67.808673724385073</v>
      </c>
      <c r="N1392" s="5">
        <f t="shared" si="71"/>
        <v>14.098901098901099</v>
      </c>
      <c r="O1392" s="32">
        <v>12.138861371705829</v>
      </c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</row>
    <row r="1393" spans="1:38">
      <c r="A1393" s="5">
        <v>750</v>
      </c>
      <c r="B1393" s="11">
        <v>1389</v>
      </c>
      <c r="C1393" s="12">
        <v>47046</v>
      </c>
      <c r="D1393" s="31">
        <f t="shared" si="73"/>
        <v>14</v>
      </c>
      <c r="E1393" s="14"/>
      <c r="F1393" s="5">
        <v>0</v>
      </c>
      <c r="G1393" s="18">
        <f t="shared" si="74"/>
        <v>114.62390000000001</v>
      </c>
      <c r="H1393" s="18">
        <f t="shared" si="75"/>
        <v>19.409836065573771</v>
      </c>
      <c r="I1393" s="32">
        <v>27.683565992980739</v>
      </c>
      <c r="K1393" s="32">
        <v>125.251830789778</v>
      </c>
      <c r="L1393" s="32">
        <f t="shared" si="72"/>
        <v>16.438356164383563</v>
      </c>
      <c r="M1393" s="5">
        <f t="shared" si="76"/>
        <v>67.808673724385073</v>
      </c>
      <c r="N1393" s="5">
        <f t="shared" si="71"/>
        <v>14.098901098901099</v>
      </c>
      <c r="O1393" s="32">
        <v>31.46592369660155</v>
      </c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</row>
    <row r="1394" spans="1:38">
      <c r="A1394" s="5">
        <v>751</v>
      </c>
      <c r="B1394" s="11">
        <v>1390</v>
      </c>
      <c r="C1394" s="12">
        <v>47047</v>
      </c>
      <c r="D1394" s="31">
        <f t="shared" si="73"/>
        <v>33</v>
      </c>
      <c r="E1394" s="14"/>
      <c r="F1394" s="5">
        <v>0</v>
      </c>
      <c r="G1394" s="18">
        <f t="shared" si="74"/>
        <v>114.7766</v>
      </c>
      <c r="H1394" s="18">
        <f t="shared" si="75"/>
        <v>19.409836065573771</v>
      </c>
      <c r="I1394" s="32">
        <v>23.136604756890879</v>
      </c>
      <c r="K1394" s="32">
        <v>21.372030235181079</v>
      </c>
      <c r="L1394" s="32">
        <f t="shared" si="72"/>
        <v>16.438356164383563</v>
      </c>
      <c r="M1394" s="5">
        <f t="shared" si="76"/>
        <v>68.950209994215797</v>
      </c>
      <c r="N1394" s="5">
        <f t="shared" si="71"/>
        <v>14.098901098901099</v>
      </c>
      <c r="O1394" s="32">
        <v>17.651893786689971</v>
      </c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</row>
    <row r="1395" spans="1:38">
      <c r="A1395" s="5">
        <v>752</v>
      </c>
      <c r="B1395" s="11">
        <v>1391</v>
      </c>
      <c r="C1395" s="12">
        <v>47048</v>
      </c>
      <c r="D1395" s="31">
        <f t="shared" si="73"/>
        <v>30</v>
      </c>
      <c r="E1395" s="14"/>
      <c r="F1395" s="5">
        <v>0</v>
      </c>
      <c r="G1395" s="18">
        <f t="shared" si="74"/>
        <v>114.9293</v>
      </c>
      <c r="H1395" s="18">
        <f t="shared" si="75"/>
        <v>19.409836065573771</v>
      </c>
      <c r="I1395" s="32">
        <v>13.946350452329069</v>
      </c>
      <c r="K1395" s="32">
        <v>1.856531650863475</v>
      </c>
      <c r="L1395" s="32">
        <f t="shared" si="72"/>
        <v>16.438356164383563</v>
      </c>
      <c r="M1395" s="5">
        <f t="shared" si="76"/>
        <v>69.164666022614909</v>
      </c>
      <c r="N1395" s="5">
        <f t="shared" si="71"/>
        <v>14.098901098901099</v>
      </c>
      <c r="O1395" s="32">
        <v>13.61403552548825</v>
      </c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</row>
    <row r="1396" spans="1:38">
      <c r="A1396" s="5">
        <v>753</v>
      </c>
      <c r="B1396" s="11">
        <v>1392</v>
      </c>
      <c r="C1396" s="12">
        <v>47049</v>
      </c>
      <c r="D1396" s="31">
        <f t="shared" si="73"/>
        <v>7</v>
      </c>
      <c r="E1396" s="14"/>
      <c r="F1396" s="5">
        <v>0</v>
      </c>
      <c r="G1396" s="18">
        <f t="shared" si="74"/>
        <v>115.08200000000001</v>
      </c>
      <c r="H1396" s="18">
        <f t="shared" si="75"/>
        <v>19.409836065573771</v>
      </c>
      <c r="I1396" s="32">
        <v>28.566728337398079</v>
      </c>
      <c r="K1396" s="32">
        <v>125.251830789778</v>
      </c>
      <c r="L1396" s="32">
        <f t="shared" si="72"/>
        <v>16.438356164383563</v>
      </c>
      <c r="M1396" s="5">
        <f t="shared" si="76"/>
        <v>67.808673724385073</v>
      </c>
      <c r="N1396" s="5">
        <f t="shared" si="71"/>
        <v>14.098901098901099</v>
      </c>
      <c r="O1396" s="32">
        <v>11.578851458853491</v>
      </c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</row>
    <row r="1397" spans="1:38">
      <c r="A1397" s="5">
        <v>754</v>
      </c>
      <c r="B1397" s="11">
        <v>1393</v>
      </c>
      <c r="C1397" s="12">
        <v>47050</v>
      </c>
      <c r="D1397" s="31">
        <f t="shared" si="73"/>
        <v>24</v>
      </c>
      <c r="E1397" s="14"/>
      <c r="F1397" s="5">
        <v>0</v>
      </c>
      <c r="G1397" s="18">
        <f t="shared" si="74"/>
        <v>115.2347</v>
      </c>
      <c r="H1397" s="18">
        <f t="shared" si="75"/>
        <v>19.409836065573771</v>
      </c>
      <c r="I1397" s="32">
        <v>27.73360876901576</v>
      </c>
      <c r="K1397" s="32">
        <v>125.251830789778</v>
      </c>
      <c r="L1397" s="32">
        <f t="shared" si="72"/>
        <v>16.438356164383563</v>
      </c>
      <c r="M1397" s="5">
        <f t="shared" si="76"/>
        <v>67.808673724385073</v>
      </c>
      <c r="N1397" s="5">
        <f t="shared" si="71"/>
        <v>14.098901098901099</v>
      </c>
      <c r="O1397" s="32">
        <v>19.803911926991891</v>
      </c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</row>
    <row r="1398" spans="1:38">
      <c r="A1398" s="5">
        <v>755</v>
      </c>
      <c r="B1398" s="11">
        <v>1394</v>
      </c>
      <c r="C1398" s="12">
        <v>47051</v>
      </c>
      <c r="D1398" s="31">
        <f t="shared" si="73"/>
        <v>9</v>
      </c>
      <c r="E1398" s="14"/>
      <c r="F1398" s="5">
        <v>0</v>
      </c>
      <c r="G1398" s="18">
        <f t="shared" si="74"/>
        <v>115.3874</v>
      </c>
      <c r="H1398" s="18">
        <f t="shared" si="75"/>
        <v>19.409836065573771</v>
      </c>
      <c r="I1398" s="32">
        <v>34.052926427939553</v>
      </c>
      <c r="K1398" s="32">
        <v>21.372030235181079</v>
      </c>
      <c r="L1398" s="32">
        <f t="shared" si="72"/>
        <v>16.438356164383563</v>
      </c>
      <c r="M1398" s="5">
        <f t="shared" si="76"/>
        <v>68.950209994215797</v>
      </c>
      <c r="N1398" s="5">
        <f t="shared" si="71"/>
        <v>14.098901098901099</v>
      </c>
      <c r="O1398" s="32">
        <v>19.828592181340511</v>
      </c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</row>
    <row r="1399" spans="1:38">
      <c r="A1399" s="5">
        <v>756</v>
      </c>
      <c r="B1399" s="11">
        <v>1395</v>
      </c>
      <c r="C1399" s="12">
        <v>47052</v>
      </c>
      <c r="D1399" s="31">
        <f t="shared" si="73"/>
        <v>20</v>
      </c>
      <c r="E1399" s="14"/>
      <c r="F1399" s="5">
        <v>0</v>
      </c>
      <c r="G1399" s="18">
        <f t="shared" si="74"/>
        <v>115.5401</v>
      </c>
      <c r="H1399" s="18">
        <f t="shared" si="75"/>
        <v>19.409836065573771</v>
      </c>
      <c r="I1399" s="32">
        <v>24.651243457985078</v>
      </c>
      <c r="K1399" s="32">
        <v>1.856531650863475</v>
      </c>
      <c r="L1399" s="32">
        <f t="shared" si="72"/>
        <v>16.438356164383563</v>
      </c>
      <c r="M1399" s="5">
        <f t="shared" si="76"/>
        <v>69.164666022614909</v>
      </c>
      <c r="N1399" s="5">
        <f t="shared" si="71"/>
        <v>14.098901098901099</v>
      </c>
      <c r="O1399" s="32">
        <v>18.682247168465281</v>
      </c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</row>
    <row r="1400" spans="1:38">
      <c r="A1400" s="5">
        <v>757</v>
      </c>
      <c r="B1400" s="11">
        <v>1396</v>
      </c>
      <c r="C1400" s="12">
        <v>47053</v>
      </c>
      <c r="D1400" s="31">
        <f t="shared" si="73"/>
        <v>12</v>
      </c>
      <c r="E1400" s="14"/>
      <c r="F1400" s="5">
        <v>0</v>
      </c>
      <c r="G1400" s="18">
        <f t="shared" si="74"/>
        <v>115.69280000000001</v>
      </c>
      <c r="H1400" s="18">
        <f t="shared" si="75"/>
        <v>19.409836065573771</v>
      </c>
      <c r="I1400" s="32">
        <v>42.615594707441844</v>
      </c>
      <c r="K1400" s="32">
        <v>125.251830789778</v>
      </c>
      <c r="L1400" s="32">
        <f t="shared" si="72"/>
        <v>16.438356164383563</v>
      </c>
      <c r="M1400" s="5">
        <f t="shared" si="76"/>
        <v>67.808673724385073</v>
      </c>
      <c r="N1400" s="5">
        <f t="shared" si="71"/>
        <v>14.098901098901099</v>
      </c>
      <c r="O1400" s="32">
        <v>26.01735423647758</v>
      </c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</row>
    <row r="1401" spans="1:38">
      <c r="A1401" s="5">
        <v>758</v>
      </c>
      <c r="B1401" s="11">
        <v>1397</v>
      </c>
      <c r="C1401" s="12">
        <v>47054</v>
      </c>
      <c r="D1401" s="31">
        <f t="shared" si="73"/>
        <v>9</v>
      </c>
      <c r="E1401" s="14"/>
      <c r="F1401" s="5">
        <v>0</v>
      </c>
      <c r="G1401" s="18">
        <f t="shared" si="74"/>
        <v>115.8455</v>
      </c>
      <c r="H1401" s="18">
        <f t="shared" si="75"/>
        <v>19.409836065573771</v>
      </c>
      <c r="I1401" s="32">
        <v>39.827671244840538</v>
      </c>
      <c r="K1401" s="32">
        <v>125.251830789778</v>
      </c>
      <c r="L1401" s="32">
        <f t="shared" si="72"/>
        <v>16.438356164383563</v>
      </c>
      <c r="M1401" s="5">
        <f t="shared" si="76"/>
        <v>67.808673724385073</v>
      </c>
      <c r="N1401" s="5">
        <f t="shared" si="71"/>
        <v>14.098901098901099</v>
      </c>
      <c r="O1401" s="32">
        <v>9.0105781920694188</v>
      </c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</row>
    <row r="1402" spans="1:38">
      <c r="A1402" s="5">
        <v>759</v>
      </c>
      <c r="B1402" s="11">
        <v>1398</v>
      </c>
      <c r="C1402" s="12">
        <v>47055</v>
      </c>
      <c r="D1402" s="31">
        <f t="shared" si="73"/>
        <v>15</v>
      </c>
      <c r="E1402" s="14"/>
      <c r="F1402" s="5">
        <v>0</v>
      </c>
      <c r="G1402" s="18">
        <f t="shared" si="74"/>
        <v>115.9982</v>
      </c>
      <c r="H1402" s="18">
        <f t="shared" si="75"/>
        <v>19.409836065573771</v>
      </c>
      <c r="I1402" s="32">
        <v>20.866304971427169</v>
      </c>
      <c r="K1402" s="32">
        <v>21.372030235181079</v>
      </c>
      <c r="L1402" s="32">
        <f t="shared" si="72"/>
        <v>16.438356164383563</v>
      </c>
      <c r="M1402" s="5">
        <f t="shared" si="76"/>
        <v>68.950209994215797</v>
      </c>
      <c r="N1402" s="5">
        <f t="shared" si="71"/>
        <v>14.098901098901099</v>
      </c>
      <c r="O1402" s="32">
        <v>9.0850474560540437</v>
      </c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</row>
    <row r="1403" spans="1:38">
      <c r="A1403" s="5">
        <v>760</v>
      </c>
      <c r="B1403" s="11">
        <v>1399</v>
      </c>
      <c r="C1403" s="12">
        <v>47056</v>
      </c>
      <c r="D1403" s="31">
        <f t="shared" si="73"/>
        <v>13</v>
      </c>
      <c r="E1403" s="14"/>
      <c r="F1403" s="5">
        <v>0</v>
      </c>
      <c r="G1403" s="18">
        <f t="shared" si="74"/>
        <v>116.15090000000001</v>
      </c>
      <c r="H1403" s="18">
        <f t="shared" si="75"/>
        <v>19.409836065573771</v>
      </c>
      <c r="I1403" s="32">
        <v>33.292493692916601</v>
      </c>
      <c r="K1403" s="32">
        <v>1.856531650863475</v>
      </c>
      <c r="L1403" s="32">
        <f t="shared" si="72"/>
        <v>16.438356164383563</v>
      </c>
      <c r="M1403" s="5">
        <f t="shared" si="76"/>
        <v>69.164666022614909</v>
      </c>
      <c r="N1403" s="5">
        <f t="shared" si="71"/>
        <v>14.098901098901099</v>
      </c>
      <c r="O1403" s="32">
        <v>18.979793407503259</v>
      </c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</row>
    <row r="1404" spans="1:38">
      <c r="A1404" s="5">
        <v>761</v>
      </c>
      <c r="B1404" s="11">
        <v>1400</v>
      </c>
      <c r="C1404" s="12">
        <v>47057</v>
      </c>
      <c r="D1404" s="31">
        <f t="shared" si="73"/>
        <v>6</v>
      </c>
      <c r="E1404" s="14"/>
      <c r="F1404" s="5">
        <v>0</v>
      </c>
      <c r="G1404" s="18">
        <f t="shared" si="74"/>
        <v>116.3036</v>
      </c>
      <c r="H1404" s="18">
        <f t="shared" si="75"/>
        <v>19.409836065573771</v>
      </c>
      <c r="I1404" s="32">
        <v>8.3543190312541409</v>
      </c>
      <c r="K1404" s="32">
        <v>125.251830789778</v>
      </c>
      <c r="L1404" s="32">
        <f t="shared" si="72"/>
        <v>16.438356164383563</v>
      </c>
      <c r="M1404" s="5">
        <f t="shared" si="76"/>
        <v>67.808673724385073</v>
      </c>
      <c r="N1404" s="5">
        <f t="shared" si="71"/>
        <v>14.098901098901099</v>
      </c>
      <c r="O1404" s="32">
        <v>22.76068973180034</v>
      </c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</row>
    <row r="1405" spans="1:38">
      <c r="A1405" s="5">
        <v>762</v>
      </c>
      <c r="B1405" s="11">
        <v>1401</v>
      </c>
      <c r="C1405" s="12">
        <v>47058</v>
      </c>
      <c r="D1405" s="31">
        <f t="shared" si="73"/>
        <v>18</v>
      </c>
      <c r="E1405" s="14"/>
      <c r="F1405" s="5">
        <v>0</v>
      </c>
      <c r="G1405" s="18">
        <f t="shared" si="74"/>
        <v>116.4563</v>
      </c>
      <c r="H1405" s="18">
        <f t="shared" si="75"/>
        <v>19.409836065573771</v>
      </c>
      <c r="I1405" s="32">
        <v>19.801683588470041</v>
      </c>
      <c r="K1405" s="32">
        <v>125.251830789778</v>
      </c>
      <c r="L1405" s="32">
        <f t="shared" si="72"/>
        <v>16.438356164383563</v>
      </c>
      <c r="M1405" s="5">
        <f t="shared" si="76"/>
        <v>67.808673724385073</v>
      </c>
      <c r="N1405" s="5">
        <f t="shared" si="71"/>
        <v>14.098901098901099</v>
      </c>
      <c r="O1405" s="32">
        <v>26.001614565343999</v>
      </c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</row>
    <row r="1406" spans="1:38">
      <c r="A1406" s="5">
        <v>763</v>
      </c>
      <c r="B1406" s="11">
        <v>1402</v>
      </c>
      <c r="C1406" s="12">
        <v>47059</v>
      </c>
      <c r="D1406" s="31">
        <f t="shared" si="73"/>
        <v>22</v>
      </c>
      <c r="E1406" s="14"/>
      <c r="F1406" s="5">
        <v>0</v>
      </c>
      <c r="G1406" s="18">
        <f t="shared" si="74"/>
        <v>116.60900000000001</v>
      </c>
      <c r="H1406" s="18">
        <f t="shared" si="75"/>
        <v>19.409836065573771</v>
      </c>
      <c r="I1406" s="32">
        <v>27.58953900764514</v>
      </c>
      <c r="K1406" s="32">
        <v>21.372030235181079</v>
      </c>
      <c r="L1406" s="32">
        <f t="shared" si="72"/>
        <v>16.438356164383563</v>
      </c>
      <c r="M1406" s="5">
        <f t="shared" si="76"/>
        <v>68.950209994215797</v>
      </c>
      <c r="N1406" s="5">
        <f t="shared" si="71"/>
        <v>14.098901098901099</v>
      </c>
      <c r="O1406" s="32">
        <v>22.56209569971713</v>
      </c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</row>
    <row r="1407" spans="1:38">
      <c r="A1407" s="5">
        <v>764</v>
      </c>
      <c r="B1407" s="11">
        <v>1403</v>
      </c>
      <c r="C1407" s="12">
        <v>47060</v>
      </c>
      <c r="D1407" s="31">
        <f t="shared" si="73"/>
        <v>24</v>
      </c>
      <c r="E1407" s="14"/>
      <c r="F1407" s="5">
        <v>0</v>
      </c>
      <c r="G1407" s="18">
        <f t="shared" si="74"/>
        <v>116.7617</v>
      </c>
      <c r="H1407" s="18">
        <f t="shared" si="75"/>
        <v>19.409836065573771</v>
      </c>
      <c r="I1407" s="32">
        <v>11.35927211428738</v>
      </c>
      <c r="K1407" s="32">
        <v>1.856531650863475</v>
      </c>
      <c r="L1407" s="32">
        <f t="shared" si="72"/>
        <v>16.438356164383563</v>
      </c>
      <c r="M1407" s="5">
        <f t="shared" si="76"/>
        <v>69.164666022614909</v>
      </c>
      <c r="N1407" s="5">
        <f t="shared" si="71"/>
        <v>14.098901098901099</v>
      </c>
      <c r="O1407" s="32">
        <v>21.751384599367292</v>
      </c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</row>
    <row r="1408" spans="1:38">
      <c r="A1408" s="5">
        <v>765</v>
      </c>
      <c r="B1408" s="11">
        <v>1404</v>
      </c>
      <c r="C1408" s="12">
        <v>47061</v>
      </c>
      <c r="D1408" s="31">
        <f t="shared" si="73"/>
        <v>13</v>
      </c>
      <c r="E1408" s="14"/>
      <c r="F1408" s="5">
        <v>0</v>
      </c>
      <c r="G1408" s="18">
        <f t="shared" si="74"/>
        <v>116.9144</v>
      </c>
      <c r="H1408" s="18">
        <f t="shared" si="75"/>
        <v>19.409836065573771</v>
      </c>
      <c r="I1408" s="32">
        <v>22.963174204577729</v>
      </c>
      <c r="K1408" s="32">
        <v>125.251830789778</v>
      </c>
      <c r="L1408" s="32">
        <f t="shared" si="72"/>
        <v>16.438356164383563</v>
      </c>
      <c r="M1408" s="5">
        <f t="shared" si="76"/>
        <v>67.808673724385073</v>
      </c>
      <c r="N1408" s="5">
        <f t="shared" si="71"/>
        <v>14.098901098901099</v>
      </c>
      <c r="O1408" s="32">
        <v>15.25394396785193</v>
      </c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</row>
    <row r="1409" spans="1:38">
      <c r="A1409" s="5">
        <v>766</v>
      </c>
      <c r="B1409" s="11">
        <v>1405</v>
      </c>
      <c r="C1409" s="12">
        <v>47062</v>
      </c>
      <c r="D1409" s="31">
        <f t="shared" si="73"/>
        <v>6</v>
      </c>
      <c r="E1409" s="14"/>
      <c r="F1409" s="5">
        <v>0</v>
      </c>
      <c r="G1409" s="18">
        <f t="shared" si="74"/>
        <v>117.0671</v>
      </c>
      <c r="H1409" s="18">
        <f t="shared" si="75"/>
        <v>19.409836065573771</v>
      </c>
      <c r="I1409" s="32">
        <v>17.58346222312478</v>
      </c>
      <c r="K1409" s="32">
        <v>125.251830789778</v>
      </c>
      <c r="L1409" s="32">
        <f t="shared" si="72"/>
        <v>16.438356164383563</v>
      </c>
      <c r="M1409" s="5">
        <f t="shared" si="76"/>
        <v>67.808673724385073</v>
      </c>
      <c r="N1409" s="5">
        <f t="shared" si="71"/>
        <v>14.098901098901099</v>
      </c>
      <c r="O1409" s="32">
        <v>14.57235457544067</v>
      </c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</row>
    <row r="1410" spans="1:38">
      <c r="A1410" s="5">
        <v>767</v>
      </c>
      <c r="B1410" s="11">
        <v>1406</v>
      </c>
      <c r="C1410" s="12">
        <v>47063</v>
      </c>
      <c r="D1410" s="31">
        <f t="shared" si="73"/>
        <v>15</v>
      </c>
      <c r="E1410" s="14"/>
      <c r="F1410" s="5">
        <v>0</v>
      </c>
      <c r="G1410" s="18">
        <f t="shared" si="74"/>
        <v>117.21980000000001</v>
      </c>
      <c r="H1410" s="18">
        <f t="shared" si="75"/>
        <v>19.409836065573771</v>
      </c>
      <c r="I1410" s="32">
        <v>24.171472586350131</v>
      </c>
      <c r="K1410" s="32">
        <v>21.372030235181079</v>
      </c>
      <c r="L1410" s="32">
        <f t="shared" si="72"/>
        <v>16.438356164383563</v>
      </c>
      <c r="M1410" s="5">
        <f t="shared" si="76"/>
        <v>68.950209994215797</v>
      </c>
      <c r="N1410" s="5">
        <f t="shared" si="71"/>
        <v>14.098901098901099</v>
      </c>
      <c r="O1410" s="32">
        <v>30.41641157314541</v>
      </c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</row>
    <row r="1411" spans="1:38">
      <c r="A1411" s="5">
        <v>768</v>
      </c>
      <c r="B1411" s="11">
        <v>1407</v>
      </c>
      <c r="C1411" s="12">
        <v>47064</v>
      </c>
      <c r="D1411" s="31">
        <f t="shared" si="73"/>
        <v>15</v>
      </c>
      <c r="E1411" s="14"/>
      <c r="F1411" s="5">
        <v>0</v>
      </c>
      <c r="G1411" s="18">
        <f t="shared" si="74"/>
        <v>117.3725</v>
      </c>
      <c r="H1411" s="18">
        <f t="shared" si="75"/>
        <v>19.409836065573771</v>
      </c>
      <c r="I1411" s="32">
        <v>19.989127656170641</v>
      </c>
      <c r="K1411" s="32">
        <v>1.856531650863475</v>
      </c>
      <c r="L1411" s="32">
        <f t="shared" si="72"/>
        <v>16.438356164383563</v>
      </c>
      <c r="M1411" s="5">
        <f t="shared" si="76"/>
        <v>69.164666022614909</v>
      </c>
      <c r="N1411" s="5">
        <f t="shared" si="71"/>
        <v>14.098901098901099</v>
      </c>
      <c r="O1411" s="32">
        <v>34.024750765127713</v>
      </c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</row>
    <row r="1412" spans="1:38">
      <c r="A1412" s="5">
        <v>769</v>
      </c>
      <c r="B1412" s="11">
        <v>1408</v>
      </c>
      <c r="C1412" s="12">
        <v>47065</v>
      </c>
      <c r="D1412" s="31">
        <f t="shared" si="73"/>
        <v>15</v>
      </c>
      <c r="E1412" s="14"/>
      <c r="F1412" s="5">
        <v>0</v>
      </c>
      <c r="G1412" s="18">
        <f t="shared" si="74"/>
        <v>117.5252</v>
      </c>
      <c r="H1412" s="18">
        <f t="shared" si="75"/>
        <v>19.409836065573771</v>
      </c>
      <c r="I1412" s="32">
        <v>14.5769736352678</v>
      </c>
      <c r="K1412" s="32">
        <v>125.251830789778</v>
      </c>
      <c r="L1412" s="32">
        <f t="shared" si="72"/>
        <v>16.438356164383563</v>
      </c>
      <c r="M1412" s="5">
        <f t="shared" si="76"/>
        <v>67.808673724385073</v>
      </c>
      <c r="N1412" s="5">
        <f t="shared" si="71"/>
        <v>14.098901098901099</v>
      </c>
      <c r="O1412" s="32">
        <v>30.410369545239011</v>
      </c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</row>
    <row r="1413" spans="1:38">
      <c r="A1413" s="5">
        <v>770</v>
      </c>
      <c r="B1413" s="11">
        <v>1409</v>
      </c>
      <c r="C1413" s="12">
        <v>47066</v>
      </c>
      <c r="D1413" s="31">
        <f t="shared" si="73"/>
        <v>2</v>
      </c>
      <c r="E1413" s="14"/>
      <c r="F1413" s="5">
        <v>0</v>
      </c>
      <c r="G1413" s="18">
        <f t="shared" si="74"/>
        <v>117.67790000000001</v>
      </c>
      <c r="H1413" s="18">
        <f t="shared" si="75"/>
        <v>19.409836065573771</v>
      </c>
      <c r="I1413" s="32">
        <v>27.830288375569179</v>
      </c>
      <c r="K1413" s="32">
        <v>125.251830789778</v>
      </c>
      <c r="L1413" s="32">
        <f t="shared" si="72"/>
        <v>16.438356164383563</v>
      </c>
      <c r="M1413" s="5">
        <f t="shared" si="76"/>
        <v>67.808673724385073</v>
      </c>
      <c r="N1413" s="5">
        <f t="shared" ref="N1413:N1464" si="77">AVERAGE($O$644:$O$734)</f>
        <v>14.098901098901099</v>
      </c>
      <c r="O1413" s="32">
        <v>20.675411343935611</v>
      </c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</row>
    <row r="1414" spans="1:38">
      <c r="A1414" s="5">
        <v>771</v>
      </c>
      <c r="B1414" s="11">
        <v>1410</v>
      </c>
      <c r="C1414" s="12">
        <v>47067</v>
      </c>
      <c r="D1414" s="31">
        <f t="shared" si="73"/>
        <v>15</v>
      </c>
      <c r="E1414" s="14"/>
      <c r="F1414" s="5">
        <v>0</v>
      </c>
      <c r="G1414" s="18">
        <f t="shared" si="74"/>
        <v>117.8306</v>
      </c>
      <c r="H1414" s="18">
        <f t="shared" si="75"/>
        <v>19.409836065573771</v>
      </c>
      <c r="I1414" s="32">
        <v>31.752560670159699</v>
      </c>
      <c r="K1414" s="32">
        <v>21.372030235181079</v>
      </c>
      <c r="L1414" s="32">
        <f t="shared" si="72"/>
        <v>16.438356164383563</v>
      </c>
      <c r="M1414" s="5">
        <f t="shared" si="76"/>
        <v>68.950209994215797</v>
      </c>
      <c r="N1414" s="5">
        <f t="shared" si="77"/>
        <v>14.098901098901099</v>
      </c>
      <c r="O1414" s="32">
        <v>8.2800666565301384</v>
      </c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</row>
    <row r="1415" spans="1:38">
      <c r="A1415" s="5">
        <v>772</v>
      </c>
      <c r="B1415" s="11">
        <v>1411</v>
      </c>
      <c r="C1415" s="12">
        <v>47068</v>
      </c>
      <c r="D1415" s="31">
        <f t="shared" si="73"/>
        <v>23</v>
      </c>
      <c r="E1415" s="14"/>
      <c r="F1415" s="5">
        <v>0</v>
      </c>
      <c r="G1415" s="18">
        <f t="shared" si="74"/>
        <v>117.9833</v>
      </c>
      <c r="H1415" s="18">
        <f t="shared" si="75"/>
        <v>19.409836065573771</v>
      </c>
      <c r="I1415" s="32">
        <v>28.090838908044091</v>
      </c>
      <c r="K1415" s="32">
        <v>1.856531650863475</v>
      </c>
      <c r="L1415" s="32">
        <f t="shared" si="72"/>
        <v>16.438356164383563</v>
      </c>
      <c r="M1415" s="5">
        <f t="shared" si="76"/>
        <v>69.164666022614909</v>
      </c>
      <c r="N1415" s="5">
        <f t="shared" si="77"/>
        <v>14.098901098901099</v>
      </c>
      <c r="O1415" s="32">
        <v>0.337017477144535</v>
      </c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</row>
    <row r="1416" spans="1:38">
      <c r="A1416" s="5">
        <v>773</v>
      </c>
      <c r="B1416" s="11">
        <v>1412</v>
      </c>
      <c r="C1416" s="12">
        <v>47069</v>
      </c>
      <c r="D1416" s="31">
        <f t="shared" si="73"/>
        <v>5</v>
      </c>
      <c r="E1416" s="14"/>
      <c r="F1416" s="5">
        <v>0</v>
      </c>
      <c r="G1416" s="18">
        <f t="shared" si="74"/>
        <v>118.136</v>
      </c>
      <c r="H1416" s="18">
        <f t="shared" si="75"/>
        <v>19.409836065573771</v>
      </c>
      <c r="I1416" s="32">
        <v>23.15396618178627</v>
      </c>
      <c r="K1416" s="32">
        <v>125.251830789778</v>
      </c>
      <c r="L1416" s="32">
        <f t="shared" si="72"/>
        <v>16.438356164383563</v>
      </c>
      <c r="M1416" s="5">
        <f t="shared" si="76"/>
        <v>67.808673724385073</v>
      </c>
      <c r="N1416" s="5">
        <f t="shared" si="77"/>
        <v>14.098901098901099</v>
      </c>
      <c r="O1416" s="32">
        <v>10.331646444436821</v>
      </c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</row>
    <row r="1417" spans="1:38">
      <c r="A1417" s="5">
        <v>774</v>
      </c>
      <c r="B1417" s="11">
        <v>1413</v>
      </c>
      <c r="C1417" s="12">
        <v>47070</v>
      </c>
      <c r="D1417" s="31">
        <f t="shared" si="73"/>
        <v>12</v>
      </c>
      <c r="E1417" s="14"/>
      <c r="F1417" s="5">
        <v>0</v>
      </c>
      <c r="G1417" s="18">
        <f t="shared" si="74"/>
        <v>118.28870000000001</v>
      </c>
      <c r="H1417" s="18">
        <f t="shared" si="75"/>
        <v>19.409836065573771</v>
      </c>
      <c r="I1417" s="32">
        <v>38.345795250670527</v>
      </c>
      <c r="K1417" s="32">
        <v>125.251830789778</v>
      </c>
      <c r="L1417" s="32">
        <f t="shared" si="72"/>
        <v>16.438356164383563</v>
      </c>
      <c r="M1417" s="5">
        <f t="shared" si="76"/>
        <v>67.808673724385073</v>
      </c>
      <c r="N1417" s="5">
        <f t="shared" si="77"/>
        <v>14.098901098901099</v>
      </c>
      <c r="O1417" s="32">
        <v>15.205304690744031</v>
      </c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</row>
    <row r="1418" spans="1:38">
      <c r="A1418" s="5">
        <v>775</v>
      </c>
      <c r="B1418" s="11">
        <v>1414</v>
      </c>
      <c r="C1418" s="12">
        <v>47071</v>
      </c>
      <c r="D1418" s="31">
        <f t="shared" si="73"/>
        <v>4</v>
      </c>
      <c r="E1418" s="14"/>
      <c r="F1418" s="5">
        <v>0</v>
      </c>
      <c r="G1418" s="18">
        <f t="shared" si="74"/>
        <v>118.4414</v>
      </c>
      <c r="H1418" s="18">
        <f t="shared" si="75"/>
        <v>19.409836065573771</v>
      </c>
      <c r="I1418" s="32">
        <v>17.496838665639348</v>
      </c>
      <c r="K1418" s="32">
        <v>21.372030235181079</v>
      </c>
      <c r="L1418" s="32">
        <f t="shared" si="72"/>
        <v>16.438356164383563</v>
      </c>
      <c r="M1418" s="5">
        <f t="shared" si="76"/>
        <v>68.950209994215797</v>
      </c>
      <c r="N1418" s="5">
        <f t="shared" si="77"/>
        <v>14.098901098901099</v>
      </c>
      <c r="O1418" s="32">
        <v>4.9165351140019924</v>
      </c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</row>
    <row r="1419" spans="1:38">
      <c r="A1419" s="5">
        <v>776</v>
      </c>
      <c r="B1419" s="11">
        <v>1415</v>
      </c>
      <c r="C1419" s="12">
        <v>47072</v>
      </c>
      <c r="D1419" s="31">
        <f t="shared" si="73"/>
        <v>4</v>
      </c>
      <c r="E1419" s="14"/>
      <c r="F1419" s="5">
        <v>0</v>
      </c>
      <c r="G1419" s="18">
        <f t="shared" si="74"/>
        <v>118.5941</v>
      </c>
      <c r="H1419" s="18">
        <f t="shared" si="75"/>
        <v>19.409836065573771</v>
      </c>
      <c r="I1419" s="32">
        <v>34.385539609637092</v>
      </c>
      <c r="K1419" s="32">
        <v>1.856531650863475</v>
      </c>
      <c r="L1419" s="32">
        <f t="shared" si="72"/>
        <v>16.438356164383563</v>
      </c>
      <c r="M1419" s="5">
        <f t="shared" si="76"/>
        <v>69.164666022614909</v>
      </c>
      <c r="N1419" s="5">
        <f t="shared" si="77"/>
        <v>14.098901098901099</v>
      </c>
      <c r="O1419" s="32">
        <v>27.542644537853011</v>
      </c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</row>
    <row r="1420" spans="1:38">
      <c r="A1420" s="5">
        <v>777</v>
      </c>
      <c r="B1420" s="11">
        <v>1416</v>
      </c>
      <c r="C1420" s="12">
        <v>47073</v>
      </c>
      <c r="D1420" s="31">
        <f t="shared" si="73"/>
        <v>20</v>
      </c>
      <c r="E1420" s="14"/>
      <c r="F1420" s="5">
        <v>0</v>
      </c>
      <c r="G1420" s="18">
        <f t="shared" si="74"/>
        <v>118.74680000000001</v>
      </c>
      <c r="H1420" s="18">
        <f t="shared" si="75"/>
        <v>19.409836065573771</v>
      </c>
      <c r="I1420" s="32">
        <v>25.09833027211463</v>
      </c>
      <c r="K1420" s="32">
        <v>125.251830789778</v>
      </c>
      <c r="L1420" s="32">
        <f t="shared" si="72"/>
        <v>16.438356164383563</v>
      </c>
      <c r="M1420" s="5">
        <f t="shared" si="76"/>
        <v>67.808673724385073</v>
      </c>
      <c r="N1420" s="5">
        <f t="shared" si="77"/>
        <v>14.098901098901099</v>
      </c>
      <c r="O1420" s="32">
        <v>33.959229687418272</v>
      </c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</row>
    <row r="1421" spans="1:38">
      <c r="A1421" s="5">
        <v>778</v>
      </c>
      <c r="B1421" s="11">
        <v>1417</v>
      </c>
      <c r="C1421" s="12">
        <v>47074</v>
      </c>
      <c r="D1421" s="31">
        <f t="shared" si="73"/>
        <v>9</v>
      </c>
      <c r="E1421" s="14"/>
      <c r="F1421" s="5">
        <v>0</v>
      </c>
      <c r="G1421" s="18">
        <f t="shared" si="74"/>
        <v>118.8995</v>
      </c>
      <c r="H1421" s="18">
        <f t="shared" si="75"/>
        <v>19.409836065573771</v>
      </c>
      <c r="I1421" s="32">
        <v>22.000125117029238</v>
      </c>
      <c r="K1421" s="32">
        <v>125.251830789778</v>
      </c>
      <c r="L1421" s="32">
        <f t="shared" si="72"/>
        <v>16.438356164383563</v>
      </c>
      <c r="M1421" s="5">
        <f t="shared" si="76"/>
        <v>67.808673724385073</v>
      </c>
      <c r="N1421" s="5">
        <f t="shared" si="77"/>
        <v>14.098901098901099</v>
      </c>
      <c r="O1421" s="32">
        <v>24.66215505431451</v>
      </c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</row>
    <row r="1422" spans="1:38">
      <c r="A1422" s="5">
        <v>779</v>
      </c>
      <c r="B1422" s="11">
        <v>1418</v>
      </c>
      <c r="C1422" s="12">
        <v>47075</v>
      </c>
      <c r="D1422" s="31">
        <f t="shared" si="73"/>
        <v>28</v>
      </c>
      <c r="E1422" s="14"/>
      <c r="F1422" s="5">
        <v>0</v>
      </c>
      <c r="G1422" s="18">
        <f t="shared" si="74"/>
        <v>119.0522</v>
      </c>
      <c r="H1422" s="18">
        <f t="shared" si="75"/>
        <v>19.409836065573771</v>
      </c>
      <c r="I1422" s="32">
        <v>41.267811030812346</v>
      </c>
      <c r="K1422" s="32">
        <v>21.372030235181079</v>
      </c>
      <c r="L1422" s="32">
        <f t="shared" si="72"/>
        <v>16.438356164383563</v>
      </c>
      <c r="M1422" s="5">
        <f t="shared" si="76"/>
        <v>68.950209994215797</v>
      </c>
      <c r="N1422" s="5">
        <f t="shared" si="77"/>
        <v>14.098901098901099</v>
      </c>
      <c r="O1422" s="32">
        <v>9.0285504819631743</v>
      </c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</row>
    <row r="1423" spans="1:38">
      <c r="A1423" s="5">
        <v>780</v>
      </c>
      <c r="B1423" s="11">
        <v>1419</v>
      </c>
      <c r="C1423" s="12">
        <v>47076</v>
      </c>
      <c r="D1423" s="31">
        <f t="shared" si="73"/>
        <v>19</v>
      </c>
      <c r="E1423" s="14"/>
      <c r="F1423" s="5">
        <v>0</v>
      </c>
      <c r="G1423" s="18">
        <f t="shared" si="74"/>
        <v>119.20490000000001</v>
      </c>
      <c r="H1423" s="18">
        <f t="shared" si="75"/>
        <v>19.409836065573771</v>
      </c>
      <c r="I1423" s="32">
        <v>16.85166861732452</v>
      </c>
      <c r="K1423" s="32">
        <v>1.856531650863475</v>
      </c>
      <c r="L1423" s="32">
        <f t="shared" si="72"/>
        <v>16.438356164383563</v>
      </c>
      <c r="M1423" s="5">
        <f t="shared" si="76"/>
        <v>69.164666022614909</v>
      </c>
      <c r="N1423" s="5">
        <f t="shared" si="77"/>
        <v>14.098901098901099</v>
      </c>
      <c r="O1423" s="32">
        <v>11.82337924610416</v>
      </c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</row>
    <row r="1424" spans="1:38">
      <c r="A1424" s="5">
        <v>781</v>
      </c>
      <c r="B1424" s="11">
        <v>1420</v>
      </c>
      <c r="C1424" s="12">
        <v>47077</v>
      </c>
      <c r="D1424" s="31">
        <f t="shared" si="73"/>
        <v>14</v>
      </c>
      <c r="E1424" s="14"/>
      <c r="F1424" s="5">
        <v>0</v>
      </c>
      <c r="G1424" s="18">
        <f t="shared" si="74"/>
        <v>119.35760000000001</v>
      </c>
      <c r="H1424" s="18">
        <f t="shared" si="75"/>
        <v>19.409836065573771</v>
      </c>
      <c r="I1424" s="32">
        <v>42.007126405727817</v>
      </c>
      <c r="K1424" s="32">
        <v>125.251830789778</v>
      </c>
      <c r="L1424" s="32">
        <f t="shared" si="72"/>
        <v>16.438356164383563</v>
      </c>
      <c r="M1424" s="5">
        <f t="shared" si="76"/>
        <v>67.808673724385073</v>
      </c>
      <c r="N1424" s="5">
        <f t="shared" si="77"/>
        <v>14.098901098901099</v>
      </c>
      <c r="O1424" s="32">
        <v>10.907961894855321</v>
      </c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</row>
    <row r="1425" spans="1:38">
      <c r="A1425" s="5">
        <v>782</v>
      </c>
      <c r="B1425" s="11">
        <v>1421</v>
      </c>
      <c r="C1425" s="12">
        <v>47078</v>
      </c>
      <c r="D1425" s="31">
        <f t="shared" si="73"/>
        <v>5</v>
      </c>
      <c r="E1425" s="14"/>
      <c r="F1425" s="5">
        <v>0</v>
      </c>
      <c r="G1425" s="18">
        <f t="shared" si="74"/>
        <v>119.5103</v>
      </c>
      <c r="H1425" s="18">
        <f t="shared" si="75"/>
        <v>19.409836065573771</v>
      </c>
      <c r="I1425" s="32">
        <v>13.6221381977583</v>
      </c>
      <c r="K1425" s="32">
        <v>125.251830789778</v>
      </c>
      <c r="L1425" s="32">
        <f t="shared" si="72"/>
        <v>16.438356164383563</v>
      </c>
      <c r="M1425" s="5">
        <f t="shared" si="76"/>
        <v>67.808673724385073</v>
      </c>
      <c r="N1425" s="5">
        <f t="shared" si="77"/>
        <v>14.098901098901099</v>
      </c>
      <c r="O1425" s="32">
        <v>28.587887698660609</v>
      </c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</row>
    <row r="1426" spans="1:38">
      <c r="A1426" s="5">
        <v>783</v>
      </c>
      <c r="B1426" s="11">
        <v>1422</v>
      </c>
      <c r="C1426" s="12">
        <v>47079</v>
      </c>
      <c r="D1426" s="31">
        <f t="shared" si="73"/>
        <v>12</v>
      </c>
      <c r="E1426" s="14"/>
      <c r="F1426" s="5">
        <v>0</v>
      </c>
      <c r="G1426" s="18">
        <f t="shared" si="74"/>
        <v>119.663</v>
      </c>
      <c r="H1426" s="18">
        <f t="shared" si="75"/>
        <v>19.409836065573771</v>
      </c>
      <c r="I1426" s="32">
        <v>19.151603309998521</v>
      </c>
      <c r="K1426" s="32">
        <v>21.372030235181079</v>
      </c>
      <c r="L1426" s="32">
        <f t="shared" si="72"/>
        <v>16.438356164383563</v>
      </c>
      <c r="M1426" s="5">
        <f t="shared" si="76"/>
        <v>68.950209994215797</v>
      </c>
      <c r="N1426" s="5">
        <f t="shared" si="77"/>
        <v>14.098901098901099</v>
      </c>
      <c r="O1426" s="32">
        <v>8.2624996042543071</v>
      </c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</row>
    <row r="1427" spans="1:38">
      <c r="A1427" s="5">
        <v>784</v>
      </c>
      <c r="B1427" s="11">
        <v>1423</v>
      </c>
      <c r="C1427" s="12">
        <v>47080</v>
      </c>
      <c r="D1427" s="31">
        <f t="shared" si="73"/>
        <v>4</v>
      </c>
      <c r="E1427" s="14"/>
      <c r="F1427" s="5">
        <v>0</v>
      </c>
      <c r="G1427" s="18">
        <f t="shared" si="74"/>
        <v>119.81570000000001</v>
      </c>
      <c r="H1427" s="18">
        <f t="shared" si="75"/>
        <v>19.409836065573771</v>
      </c>
      <c r="I1427" s="32">
        <v>31.500455751604608</v>
      </c>
      <c r="K1427" s="32">
        <v>1.856531650863475</v>
      </c>
      <c r="L1427" s="32">
        <f t="shared" si="72"/>
        <v>16.438356164383563</v>
      </c>
      <c r="M1427" s="5">
        <f t="shared" si="76"/>
        <v>69.164666022614909</v>
      </c>
      <c r="N1427" s="5">
        <f t="shared" si="77"/>
        <v>14.098901098901099</v>
      </c>
      <c r="O1427" s="32">
        <v>34.816051671622908</v>
      </c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</row>
    <row r="1428" spans="1:38">
      <c r="A1428" s="5">
        <v>785</v>
      </c>
      <c r="B1428" s="11">
        <v>1424</v>
      </c>
      <c r="C1428" s="12">
        <v>47081</v>
      </c>
      <c r="D1428" s="31">
        <f t="shared" si="73"/>
        <v>13</v>
      </c>
      <c r="E1428" s="14"/>
      <c r="F1428" s="5">
        <v>0</v>
      </c>
      <c r="G1428" s="18">
        <f t="shared" si="74"/>
        <v>119.9684</v>
      </c>
      <c r="H1428" s="18">
        <f t="shared" si="75"/>
        <v>19.409836065573771</v>
      </c>
      <c r="I1428" s="32">
        <v>8.5630918256753557</v>
      </c>
      <c r="K1428" s="32">
        <v>125.251830789778</v>
      </c>
      <c r="L1428" s="32">
        <f t="shared" si="72"/>
        <v>16.438356164383563</v>
      </c>
      <c r="M1428" s="5">
        <f t="shared" si="76"/>
        <v>67.808673724385073</v>
      </c>
      <c r="N1428" s="5">
        <f t="shared" si="77"/>
        <v>14.098901098901099</v>
      </c>
      <c r="O1428" s="32">
        <v>9.2561469674322101</v>
      </c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</row>
    <row r="1429" spans="1:38">
      <c r="A1429" s="5">
        <v>786</v>
      </c>
      <c r="B1429" s="11">
        <v>1425</v>
      </c>
      <c r="C1429" s="12">
        <v>47082</v>
      </c>
      <c r="D1429" s="31">
        <f t="shared" si="73"/>
        <v>9</v>
      </c>
      <c r="E1429" s="14"/>
      <c r="F1429" s="5">
        <v>0</v>
      </c>
      <c r="G1429" s="18">
        <f t="shared" si="74"/>
        <v>120.1211</v>
      </c>
      <c r="H1429" s="18">
        <f t="shared" si="75"/>
        <v>19.409836065573771</v>
      </c>
      <c r="I1429" s="32">
        <v>21.436777885750232</v>
      </c>
      <c r="K1429" s="32">
        <v>125.251830789778</v>
      </c>
      <c r="L1429" s="32">
        <f t="shared" si="72"/>
        <v>16.438356164383563</v>
      </c>
      <c r="M1429" s="5">
        <f t="shared" si="76"/>
        <v>67.808673724385073</v>
      </c>
      <c r="N1429" s="5">
        <f t="shared" si="77"/>
        <v>14.098901098901099</v>
      </c>
      <c r="O1429" s="32">
        <v>13.880117600835209</v>
      </c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</row>
    <row r="1430" spans="1:38">
      <c r="A1430" s="5">
        <v>787</v>
      </c>
      <c r="B1430" s="11">
        <v>1426</v>
      </c>
      <c r="C1430" s="12">
        <v>47083</v>
      </c>
      <c r="D1430" s="31">
        <f t="shared" si="73"/>
        <v>13</v>
      </c>
      <c r="E1430" s="14"/>
      <c r="F1430" s="5">
        <v>0</v>
      </c>
      <c r="G1430" s="18">
        <f t="shared" si="74"/>
        <v>120.27380000000001</v>
      </c>
      <c r="H1430" s="18">
        <f t="shared" si="75"/>
        <v>19.409836065573771</v>
      </c>
      <c r="I1430" s="32">
        <v>16.995829494547571</v>
      </c>
      <c r="K1430" s="32">
        <v>21.372030235181079</v>
      </c>
      <c r="L1430" s="32">
        <f t="shared" si="72"/>
        <v>16.438356164383563</v>
      </c>
      <c r="M1430" s="5">
        <f t="shared" si="76"/>
        <v>68.950209994215797</v>
      </c>
      <c r="N1430" s="5">
        <f t="shared" si="77"/>
        <v>14.098901098901099</v>
      </c>
      <c r="O1430" s="32">
        <v>4.6670747675077742</v>
      </c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</row>
    <row r="1431" spans="1:38">
      <c r="A1431" s="5">
        <v>788</v>
      </c>
      <c r="B1431" s="11">
        <v>1427</v>
      </c>
      <c r="C1431" s="12">
        <v>47084</v>
      </c>
      <c r="D1431" s="31">
        <f t="shared" si="73"/>
        <v>2</v>
      </c>
      <c r="E1431" s="14"/>
      <c r="F1431" s="5">
        <v>0</v>
      </c>
      <c r="G1431" s="18">
        <f t="shared" si="74"/>
        <v>120.4265</v>
      </c>
      <c r="H1431" s="18">
        <f t="shared" si="75"/>
        <v>19.409836065573771</v>
      </c>
      <c r="I1431" s="32">
        <v>18.548397769228639</v>
      </c>
      <c r="K1431" s="32">
        <v>1.856531650863475</v>
      </c>
      <c r="L1431" s="32">
        <f t="shared" si="72"/>
        <v>16.438356164383563</v>
      </c>
      <c r="M1431" s="5">
        <f t="shared" si="76"/>
        <v>69.164666022614909</v>
      </c>
      <c r="N1431" s="5">
        <f t="shared" si="77"/>
        <v>14.098901098901099</v>
      </c>
      <c r="O1431" s="32">
        <v>30.3586098560484</v>
      </c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</row>
    <row r="1432" spans="1:38">
      <c r="A1432" s="5">
        <v>789</v>
      </c>
      <c r="B1432" s="11">
        <v>1428</v>
      </c>
      <c r="C1432" s="12">
        <v>47085</v>
      </c>
      <c r="D1432" s="31">
        <f t="shared" si="73"/>
        <v>9</v>
      </c>
      <c r="E1432" s="14"/>
      <c r="F1432" s="5">
        <v>0</v>
      </c>
      <c r="G1432" s="18">
        <f t="shared" si="74"/>
        <v>120.5792</v>
      </c>
      <c r="H1432" s="18">
        <f t="shared" si="75"/>
        <v>19.409836065573771</v>
      </c>
      <c r="I1432" s="32">
        <v>17.68171194058527</v>
      </c>
      <c r="K1432" s="32">
        <v>125.251830789778</v>
      </c>
      <c r="L1432" s="32">
        <f t="shared" si="72"/>
        <v>16.438356164383563</v>
      </c>
      <c r="M1432" s="5">
        <f t="shared" si="76"/>
        <v>67.808673724385073</v>
      </c>
      <c r="N1432" s="5">
        <f t="shared" si="77"/>
        <v>14.098901098901099</v>
      </c>
      <c r="O1432" s="32">
        <v>25.334129584215521</v>
      </c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</row>
    <row r="1433" spans="1:38">
      <c r="A1433" s="5">
        <v>790</v>
      </c>
      <c r="B1433" s="11">
        <v>1429</v>
      </c>
      <c r="C1433" s="12">
        <v>47086</v>
      </c>
      <c r="D1433" s="31">
        <f t="shared" si="73"/>
        <v>2</v>
      </c>
      <c r="E1433" s="14"/>
      <c r="F1433" s="5">
        <v>0</v>
      </c>
      <c r="G1433" s="18">
        <f t="shared" si="74"/>
        <v>120.7319</v>
      </c>
      <c r="H1433" s="18">
        <f t="shared" si="75"/>
        <v>19.409836065573771</v>
      </c>
      <c r="I1433" s="32">
        <v>15.31381168784401</v>
      </c>
      <c r="K1433" s="32">
        <v>125.251830789778</v>
      </c>
      <c r="L1433" s="32">
        <f t="shared" si="72"/>
        <v>16.438356164383563</v>
      </c>
      <c r="M1433" s="5">
        <f t="shared" si="76"/>
        <v>67.808673724385073</v>
      </c>
      <c r="N1433" s="5">
        <f t="shared" si="77"/>
        <v>14.098901098901099</v>
      </c>
      <c r="O1433" s="32">
        <v>21.72788301159903</v>
      </c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</row>
    <row r="1434" spans="1:38">
      <c r="A1434" s="5">
        <v>791</v>
      </c>
      <c r="B1434" s="11">
        <v>1430</v>
      </c>
      <c r="C1434" s="12">
        <v>47087</v>
      </c>
      <c r="D1434" s="31">
        <f t="shared" si="73"/>
        <v>7</v>
      </c>
      <c r="E1434" s="14"/>
      <c r="F1434" s="5">
        <v>0</v>
      </c>
      <c r="G1434" s="18">
        <f t="shared" si="74"/>
        <v>120.88460000000001</v>
      </c>
      <c r="H1434" s="18">
        <f t="shared" si="75"/>
        <v>19.409836065573771</v>
      </c>
      <c r="I1434" s="32">
        <v>22.74369330977872</v>
      </c>
      <c r="K1434" s="32">
        <v>21.372030235181079</v>
      </c>
      <c r="L1434" s="32">
        <f t="shared" si="72"/>
        <v>16.438356164383563</v>
      </c>
      <c r="M1434" s="5">
        <f t="shared" si="76"/>
        <v>68.950209994215797</v>
      </c>
      <c r="N1434" s="5">
        <f t="shared" si="77"/>
        <v>14.098901098901099</v>
      </c>
      <c r="O1434" s="32">
        <v>15.116626698121189</v>
      </c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</row>
    <row r="1435" spans="1:38">
      <c r="A1435" s="5">
        <v>792</v>
      </c>
      <c r="B1435" s="11">
        <v>1431</v>
      </c>
      <c r="C1435" s="12">
        <v>47088</v>
      </c>
      <c r="D1435" s="31">
        <f t="shared" si="73"/>
        <v>3</v>
      </c>
      <c r="E1435" s="14"/>
      <c r="F1435" s="5">
        <v>0</v>
      </c>
      <c r="G1435" s="18">
        <f t="shared" si="74"/>
        <v>121.0373</v>
      </c>
      <c r="H1435" s="18">
        <f t="shared" si="75"/>
        <v>19.409836065573771</v>
      </c>
      <c r="I1435" s="32">
        <v>25.475156840019871</v>
      </c>
      <c r="K1435" s="32">
        <v>1.856531650863475</v>
      </c>
      <c r="L1435" s="32">
        <f t="shared" si="72"/>
        <v>16.438356164383563</v>
      </c>
      <c r="M1435" s="5">
        <f t="shared" si="76"/>
        <v>69.164666022614909</v>
      </c>
      <c r="N1435" s="5">
        <f t="shared" si="77"/>
        <v>14.098901098901099</v>
      </c>
      <c r="O1435" s="32">
        <v>9.866581426468974</v>
      </c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</row>
    <row r="1436" spans="1:38">
      <c r="A1436" s="5">
        <v>793</v>
      </c>
      <c r="B1436" s="11">
        <v>1432</v>
      </c>
      <c r="C1436" s="12">
        <v>47089</v>
      </c>
      <c r="D1436" s="31">
        <f t="shared" si="73"/>
        <v>21</v>
      </c>
      <c r="E1436" s="14"/>
      <c r="F1436" s="5">
        <v>0</v>
      </c>
      <c r="G1436" s="18">
        <f t="shared" si="74"/>
        <v>121.19</v>
      </c>
      <c r="H1436" s="18">
        <f t="shared" si="75"/>
        <v>19.409836065573771</v>
      </c>
      <c r="I1436" s="32">
        <v>26.80817989677703</v>
      </c>
      <c r="K1436" s="32">
        <v>125.251830789778</v>
      </c>
      <c r="L1436" s="32">
        <f t="shared" si="72"/>
        <v>16.438356164383563</v>
      </c>
      <c r="M1436" s="5">
        <f t="shared" si="76"/>
        <v>67.808673724385073</v>
      </c>
      <c r="N1436" s="5">
        <f t="shared" si="77"/>
        <v>14.098901098901099</v>
      </c>
      <c r="O1436" s="32">
        <v>13.694642991506591</v>
      </c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</row>
    <row r="1437" spans="1:38">
      <c r="A1437" s="5">
        <v>794</v>
      </c>
      <c r="B1437" s="11">
        <v>1433</v>
      </c>
      <c r="C1437" s="12">
        <v>47090</v>
      </c>
      <c r="D1437" s="31">
        <f t="shared" si="73"/>
        <v>4</v>
      </c>
      <c r="E1437" s="14"/>
      <c r="F1437" s="5">
        <v>0</v>
      </c>
      <c r="G1437" s="18">
        <f t="shared" si="74"/>
        <v>121.34270000000001</v>
      </c>
      <c r="H1437" s="18">
        <f t="shared" si="75"/>
        <v>19.409836065573771</v>
      </c>
      <c r="I1437" s="32">
        <v>22.933554732383339</v>
      </c>
      <c r="K1437" s="32">
        <v>125.251830789778</v>
      </c>
      <c r="L1437" s="32">
        <f t="shared" si="72"/>
        <v>16.438356164383563</v>
      </c>
      <c r="M1437" s="5">
        <f t="shared" si="76"/>
        <v>67.808673724385073</v>
      </c>
      <c r="N1437" s="5">
        <f t="shared" si="77"/>
        <v>14.098901098901099</v>
      </c>
      <c r="O1437" s="32">
        <v>18.776421531674391</v>
      </c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</row>
    <row r="1438" spans="1:38">
      <c r="A1438" s="5">
        <v>795</v>
      </c>
      <c r="B1438" s="11">
        <v>1434</v>
      </c>
      <c r="C1438" s="12">
        <v>47091</v>
      </c>
      <c r="D1438" s="31">
        <f t="shared" si="73"/>
        <v>4</v>
      </c>
      <c r="E1438" s="14"/>
      <c r="F1438" s="5">
        <v>0</v>
      </c>
      <c r="G1438" s="18">
        <f t="shared" si="74"/>
        <v>121.4954</v>
      </c>
      <c r="H1438" s="18">
        <f t="shared" si="75"/>
        <v>19.409836065573771</v>
      </c>
      <c r="I1438" s="32">
        <v>30.183616332978911</v>
      </c>
      <c r="K1438" s="32">
        <v>21.372030235181079</v>
      </c>
      <c r="L1438" s="32">
        <f t="shared" si="72"/>
        <v>16.438356164383563</v>
      </c>
      <c r="M1438" s="5">
        <f t="shared" si="76"/>
        <v>68.950209994215797</v>
      </c>
      <c r="N1438" s="5">
        <f t="shared" si="77"/>
        <v>14.098901098901099</v>
      </c>
      <c r="O1438" s="32">
        <v>26.664564844144969</v>
      </c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</row>
    <row r="1439" spans="1:38">
      <c r="A1439" s="5">
        <v>796</v>
      </c>
      <c r="B1439" s="11">
        <v>1435</v>
      </c>
      <c r="C1439" s="12">
        <v>47092</v>
      </c>
      <c r="D1439" s="31">
        <f t="shared" si="73"/>
        <v>9</v>
      </c>
      <c r="E1439" s="14"/>
      <c r="F1439" s="5">
        <v>0</v>
      </c>
      <c r="G1439" s="18">
        <f t="shared" si="74"/>
        <v>121.6481</v>
      </c>
      <c r="H1439" s="18">
        <f t="shared" si="75"/>
        <v>19.409836065573771</v>
      </c>
      <c r="I1439" s="32">
        <v>24.087294135938048</v>
      </c>
      <c r="K1439" s="32">
        <v>1.856531650863475</v>
      </c>
      <c r="L1439" s="32">
        <f t="shared" ref="L1439:L1464" si="78">12000/730</f>
        <v>16.438356164383563</v>
      </c>
      <c r="M1439" s="5">
        <f t="shared" si="76"/>
        <v>69.164666022614909</v>
      </c>
      <c r="N1439" s="5">
        <f t="shared" si="77"/>
        <v>14.098901098901099</v>
      </c>
      <c r="O1439" s="32">
        <v>26.769553601538469</v>
      </c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</row>
    <row r="1440" spans="1:38">
      <c r="A1440" s="5">
        <v>797</v>
      </c>
      <c r="B1440" s="11">
        <v>1436</v>
      </c>
      <c r="C1440" s="12">
        <v>47093</v>
      </c>
      <c r="D1440" s="31">
        <f t="shared" ref="D1440:D1464" si="79">ROUNDUP(_xlfn.FORECAST.ETS(B1440,$D$5:$D$734,$B$5:$B$734,365,0,1),0)</f>
        <v>9</v>
      </c>
      <c r="E1440" s="14"/>
      <c r="F1440" s="5">
        <v>0</v>
      </c>
      <c r="G1440" s="18">
        <f t="shared" ref="G1440:G1463" si="80">0.1527*A1440+0.0989</f>
        <v>121.8008</v>
      </c>
      <c r="H1440" s="18">
        <f t="shared" ref="H1440:H1464" si="81">AVERAGE($I$674:$I$734)</f>
        <v>19.409836065573771</v>
      </c>
      <c r="I1440" s="32">
        <v>30.86345650606345</v>
      </c>
      <c r="K1440" s="32">
        <v>125.251830789778</v>
      </c>
      <c r="L1440" s="32">
        <f t="shared" si="78"/>
        <v>16.438356164383563</v>
      </c>
      <c r="M1440" s="5">
        <f t="shared" ref="M1440:M1464" si="82">AVERAGE(K1349:K1439)</f>
        <v>67.808673724385073</v>
      </c>
      <c r="N1440" s="5">
        <f t="shared" si="77"/>
        <v>14.098901098901099</v>
      </c>
      <c r="O1440" s="32">
        <v>16.291285631382291</v>
      </c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</row>
    <row r="1441" spans="1:38">
      <c r="A1441" s="5">
        <v>798</v>
      </c>
      <c r="B1441" s="11">
        <v>1437</v>
      </c>
      <c r="C1441" s="12">
        <v>47094</v>
      </c>
      <c r="D1441" s="31">
        <f t="shared" si="79"/>
        <v>7</v>
      </c>
      <c r="E1441" s="14"/>
      <c r="F1441" s="5">
        <v>0</v>
      </c>
      <c r="G1441" s="18">
        <f t="shared" si="80"/>
        <v>121.95350000000001</v>
      </c>
      <c r="H1441" s="18">
        <f t="shared" si="81"/>
        <v>19.409836065573771</v>
      </c>
      <c r="I1441" s="32">
        <v>30.46702840738115</v>
      </c>
      <c r="K1441" s="32">
        <v>125.251830789778</v>
      </c>
      <c r="L1441" s="32">
        <f t="shared" si="78"/>
        <v>16.438356164383563</v>
      </c>
      <c r="M1441" s="5">
        <f t="shared" si="82"/>
        <v>67.808673724385073</v>
      </c>
      <c r="N1441" s="5">
        <f t="shared" si="77"/>
        <v>14.098901098901099</v>
      </c>
      <c r="O1441" s="32">
        <v>9.0446424508119208</v>
      </c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</row>
    <row r="1442" spans="1:38">
      <c r="A1442" s="5">
        <v>799</v>
      </c>
      <c r="B1442" s="11">
        <v>1438</v>
      </c>
      <c r="C1442" s="12">
        <v>47095</v>
      </c>
      <c r="D1442" s="31">
        <f t="shared" si="79"/>
        <v>13</v>
      </c>
      <c r="E1442" s="14"/>
      <c r="F1442" s="5">
        <v>0</v>
      </c>
      <c r="G1442" s="18">
        <f t="shared" si="80"/>
        <v>122.1062</v>
      </c>
      <c r="H1442" s="18">
        <f t="shared" si="81"/>
        <v>19.409836065573771</v>
      </c>
      <c r="I1442" s="32">
        <v>35.089549305794243</v>
      </c>
      <c r="K1442" s="32">
        <v>21.372030235181079</v>
      </c>
      <c r="L1442" s="32">
        <f t="shared" si="78"/>
        <v>16.438356164383563</v>
      </c>
      <c r="M1442" s="5">
        <f t="shared" si="82"/>
        <v>68.950209994215797</v>
      </c>
      <c r="N1442" s="5">
        <f t="shared" si="77"/>
        <v>14.098901098901099</v>
      </c>
      <c r="O1442" s="32">
        <v>12.13877087219959</v>
      </c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</row>
    <row r="1443" spans="1:38">
      <c r="A1443" s="5">
        <v>800</v>
      </c>
      <c r="B1443" s="11">
        <v>1439</v>
      </c>
      <c r="C1443" s="12">
        <v>47096</v>
      </c>
      <c r="D1443" s="31">
        <f t="shared" si="79"/>
        <v>15</v>
      </c>
      <c r="E1443" s="14"/>
      <c r="F1443" s="5">
        <v>0</v>
      </c>
      <c r="G1443" s="18">
        <f t="shared" si="80"/>
        <v>122.2589</v>
      </c>
      <c r="H1443" s="18">
        <f t="shared" si="81"/>
        <v>19.409836065573771</v>
      </c>
      <c r="I1443" s="32">
        <v>43.692376019106</v>
      </c>
      <c r="K1443" s="32">
        <v>1.856531650863475</v>
      </c>
      <c r="L1443" s="32">
        <f t="shared" si="78"/>
        <v>16.438356164383563</v>
      </c>
      <c r="M1443" s="5">
        <f t="shared" si="82"/>
        <v>69.164666022614909</v>
      </c>
      <c r="N1443" s="5">
        <f t="shared" si="77"/>
        <v>14.098901098901099</v>
      </c>
      <c r="O1443" s="32">
        <v>22.408853061525761</v>
      </c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</row>
    <row r="1444" spans="1:38">
      <c r="A1444" s="5">
        <v>801</v>
      </c>
      <c r="B1444" s="11">
        <v>1440</v>
      </c>
      <c r="C1444" s="12">
        <v>47097</v>
      </c>
      <c r="D1444" s="31">
        <f t="shared" si="79"/>
        <v>3</v>
      </c>
      <c r="E1444" s="14"/>
      <c r="F1444" s="5">
        <v>0</v>
      </c>
      <c r="G1444" s="18">
        <f t="shared" si="80"/>
        <v>122.41160000000001</v>
      </c>
      <c r="H1444" s="18">
        <f t="shared" si="81"/>
        <v>19.409836065573771</v>
      </c>
      <c r="I1444" s="32">
        <v>42.575718971386983</v>
      </c>
      <c r="K1444" s="32">
        <v>125.251830789778</v>
      </c>
      <c r="L1444" s="32">
        <f t="shared" si="78"/>
        <v>16.438356164383563</v>
      </c>
      <c r="M1444" s="5">
        <f t="shared" si="82"/>
        <v>67.808673724385073</v>
      </c>
      <c r="N1444" s="5">
        <f t="shared" si="77"/>
        <v>14.098901098901099</v>
      </c>
      <c r="O1444" s="32">
        <v>35.951578695515202</v>
      </c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</row>
    <row r="1445" spans="1:38">
      <c r="A1445" s="5">
        <v>802</v>
      </c>
      <c r="B1445" s="11">
        <v>1441</v>
      </c>
      <c r="C1445" s="12">
        <v>47098</v>
      </c>
      <c r="D1445" s="31">
        <f t="shared" si="79"/>
        <v>3</v>
      </c>
      <c r="E1445" s="14"/>
      <c r="F1445" s="5">
        <v>0</v>
      </c>
      <c r="G1445" s="18">
        <f t="shared" si="80"/>
        <v>122.5643</v>
      </c>
      <c r="H1445" s="18">
        <f t="shared" si="81"/>
        <v>19.409836065573771</v>
      </c>
      <c r="I1445" s="32">
        <v>44.229916660864227</v>
      </c>
      <c r="K1445" s="32">
        <v>125.251830789778</v>
      </c>
      <c r="L1445" s="32">
        <f t="shared" si="78"/>
        <v>16.438356164383563</v>
      </c>
      <c r="M1445" s="5">
        <f t="shared" si="82"/>
        <v>67.808673724385073</v>
      </c>
      <c r="N1445" s="5">
        <f t="shared" si="77"/>
        <v>14.098901098901099</v>
      </c>
      <c r="O1445" s="32">
        <v>27.371484109364971</v>
      </c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</row>
    <row r="1446" spans="1:38">
      <c r="A1446" s="5">
        <v>803</v>
      </c>
      <c r="B1446" s="11">
        <v>1442</v>
      </c>
      <c r="C1446" s="12">
        <v>47099</v>
      </c>
      <c r="D1446" s="31">
        <f t="shared" si="79"/>
        <v>4</v>
      </c>
      <c r="E1446" s="14"/>
      <c r="F1446" s="5">
        <v>0</v>
      </c>
      <c r="G1446" s="18">
        <f t="shared" si="80"/>
        <v>122.717</v>
      </c>
      <c r="H1446" s="18">
        <f t="shared" si="81"/>
        <v>19.409836065573771</v>
      </c>
      <c r="I1446" s="32">
        <v>22.962243792644369</v>
      </c>
      <c r="K1446" s="32">
        <v>21.372030235181079</v>
      </c>
      <c r="L1446" s="32">
        <f t="shared" si="78"/>
        <v>16.438356164383563</v>
      </c>
      <c r="M1446" s="5">
        <f t="shared" si="82"/>
        <v>68.950209994215797</v>
      </c>
      <c r="N1446" s="5">
        <f t="shared" si="77"/>
        <v>14.098901098901099</v>
      </c>
      <c r="O1446" s="32">
        <v>23.916615244237921</v>
      </c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</row>
    <row r="1447" spans="1:38">
      <c r="A1447" s="5">
        <v>804</v>
      </c>
      <c r="B1447" s="11">
        <v>1443</v>
      </c>
      <c r="C1447" s="12">
        <v>47100</v>
      </c>
      <c r="D1447" s="31">
        <f t="shared" si="79"/>
        <v>2</v>
      </c>
      <c r="E1447" s="14"/>
      <c r="F1447" s="5">
        <v>0</v>
      </c>
      <c r="G1447" s="18">
        <f t="shared" si="80"/>
        <v>122.86970000000001</v>
      </c>
      <c r="H1447" s="18">
        <f t="shared" si="81"/>
        <v>19.409836065573771</v>
      </c>
      <c r="I1447" s="32">
        <v>19.941223490757679</v>
      </c>
      <c r="K1447" s="32">
        <v>1.856531650863475</v>
      </c>
      <c r="L1447" s="32">
        <f t="shared" si="78"/>
        <v>16.438356164383563</v>
      </c>
      <c r="M1447" s="5">
        <f t="shared" si="82"/>
        <v>69.164666022614909</v>
      </c>
      <c r="N1447" s="5">
        <f t="shared" si="77"/>
        <v>14.098901098901099</v>
      </c>
      <c r="O1447" s="32">
        <v>15.485607633590419</v>
      </c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</row>
    <row r="1448" spans="1:38">
      <c r="A1448" s="5">
        <v>805</v>
      </c>
      <c r="B1448" s="11">
        <v>1444</v>
      </c>
      <c r="C1448" s="12">
        <v>47101</v>
      </c>
      <c r="D1448" s="31">
        <f t="shared" si="79"/>
        <v>3</v>
      </c>
      <c r="E1448" s="14"/>
      <c r="F1448" s="5">
        <v>0</v>
      </c>
      <c r="G1448" s="18">
        <f t="shared" si="80"/>
        <v>123.0224</v>
      </c>
      <c r="H1448" s="18">
        <f t="shared" si="81"/>
        <v>19.409836065573771</v>
      </c>
      <c r="I1448" s="32">
        <v>8.8139270219440391</v>
      </c>
      <c r="K1448" s="32">
        <v>125.251830789778</v>
      </c>
      <c r="L1448" s="32">
        <f t="shared" si="78"/>
        <v>16.438356164383563</v>
      </c>
      <c r="M1448" s="5">
        <f t="shared" si="82"/>
        <v>67.808673724385073</v>
      </c>
      <c r="N1448" s="5">
        <f t="shared" si="77"/>
        <v>14.098901098901099</v>
      </c>
      <c r="O1448" s="32">
        <v>4.7070490110666476</v>
      </c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</row>
    <row r="1449" spans="1:38">
      <c r="A1449" s="5">
        <v>806</v>
      </c>
      <c r="B1449" s="11">
        <v>1445</v>
      </c>
      <c r="C1449" s="12">
        <v>47102</v>
      </c>
      <c r="D1449" s="31">
        <f t="shared" si="79"/>
        <v>-1</v>
      </c>
      <c r="E1449" s="14"/>
      <c r="F1449" s="5">
        <v>0</v>
      </c>
      <c r="G1449" s="18">
        <f t="shared" si="80"/>
        <v>123.1751</v>
      </c>
      <c r="H1449" s="18">
        <f t="shared" si="81"/>
        <v>19.409836065573771</v>
      </c>
      <c r="I1449" s="32">
        <v>18.08637829742856</v>
      </c>
      <c r="K1449" s="32">
        <v>125.251830789778</v>
      </c>
      <c r="L1449" s="32">
        <f t="shared" si="78"/>
        <v>16.438356164383563</v>
      </c>
      <c r="M1449" s="5">
        <f t="shared" si="82"/>
        <v>67.808673724385073</v>
      </c>
      <c r="N1449" s="5">
        <f t="shared" si="77"/>
        <v>14.098901098901099</v>
      </c>
      <c r="O1449" s="32">
        <v>21.621980775176581</v>
      </c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</row>
    <row r="1450" spans="1:38">
      <c r="A1450" s="5">
        <v>807</v>
      </c>
      <c r="B1450" s="11">
        <v>1446</v>
      </c>
      <c r="C1450" s="12">
        <v>47103</v>
      </c>
      <c r="D1450" s="31">
        <f t="shared" si="79"/>
        <v>11</v>
      </c>
      <c r="E1450" s="14"/>
      <c r="F1450" s="5">
        <v>0</v>
      </c>
      <c r="G1450" s="18">
        <f t="shared" si="80"/>
        <v>123.3278</v>
      </c>
      <c r="H1450" s="18">
        <f t="shared" si="81"/>
        <v>19.409836065573771</v>
      </c>
      <c r="I1450" s="32">
        <v>19.261875298881339</v>
      </c>
      <c r="K1450" s="32">
        <v>21.372030235181079</v>
      </c>
      <c r="L1450" s="32">
        <f t="shared" si="78"/>
        <v>16.438356164383563</v>
      </c>
      <c r="M1450" s="5">
        <f t="shared" si="82"/>
        <v>68.950209994215797</v>
      </c>
      <c r="N1450" s="5">
        <f t="shared" si="77"/>
        <v>14.098901098901099</v>
      </c>
      <c r="O1450" s="32">
        <v>15.677233127707661</v>
      </c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</row>
    <row r="1451" spans="1:38">
      <c r="A1451" s="5">
        <v>808</v>
      </c>
      <c r="B1451" s="11">
        <v>1447</v>
      </c>
      <c r="C1451" s="12">
        <v>47104</v>
      </c>
      <c r="D1451" s="31">
        <f t="shared" si="79"/>
        <v>-3</v>
      </c>
      <c r="E1451" s="14"/>
      <c r="F1451" s="5">
        <v>0</v>
      </c>
      <c r="G1451" s="18">
        <f t="shared" si="80"/>
        <v>123.48050000000001</v>
      </c>
      <c r="H1451" s="18">
        <f t="shared" si="81"/>
        <v>19.409836065573771</v>
      </c>
      <c r="I1451" s="32">
        <v>13.20725023380513</v>
      </c>
      <c r="K1451" s="32">
        <v>1.856531650863475</v>
      </c>
      <c r="L1451" s="32">
        <f t="shared" si="78"/>
        <v>16.438356164383563</v>
      </c>
      <c r="M1451" s="5">
        <f t="shared" si="82"/>
        <v>69.164666022614909</v>
      </c>
      <c r="N1451" s="5">
        <f t="shared" si="77"/>
        <v>14.098901098901099</v>
      </c>
      <c r="O1451" s="32">
        <v>27.973202748492291</v>
      </c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</row>
    <row r="1452" spans="1:38">
      <c r="A1452" s="5">
        <v>809</v>
      </c>
      <c r="B1452" s="11">
        <v>1448</v>
      </c>
      <c r="C1452" s="12">
        <v>47105</v>
      </c>
      <c r="D1452" s="31">
        <f t="shared" si="79"/>
        <v>10</v>
      </c>
      <c r="E1452" s="14"/>
      <c r="F1452" s="5">
        <v>0</v>
      </c>
      <c r="G1452" s="18">
        <f t="shared" si="80"/>
        <v>123.6332</v>
      </c>
      <c r="H1452" s="18">
        <f t="shared" si="81"/>
        <v>19.409836065573771</v>
      </c>
      <c r="I1452" s="32">
        <v>15.4608942518172</v>
      </c>
      <c r="K1452" s="32">
        <v>125.251830789778</v>
      </c>
      <c r="L1452" s="32">
        <f t="shared" si="78"/>
        <v>16.438356164383563</v>
      </c>
      <c r="M1452" s="5">
        <f t="shared" si="82"/>
        <v>67.808673724385073</v>
      </c>
      <c r="N1452" s="5">
        <f t="shared" si="77"/>
        <v>14.098901098901099</v>
      </c>
      <c r="O1452" s="32">
        <v>22.423245068207791</v>
      </c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</row>
    <row r="1453" spans="1:38">
      <c r="A1453" s="5">
        <v>810</v>
      </c>
      <c r="B1453" s="11">
        <v>1449</v>
      </c>
      <c r="C1453" s="12">
        <v>47106</v>
      </c>
      <c r="D1453" s="31">
        <f t="shared" si="79"/>
        <v>5</v>
      </c>
      <c r="E1453" s="14"/>
      <c r="F1453" s="5">
        <v>0</v>
      </c>
      <c r="G1453" s="18">
        <f t="shared" si="80"/>
        <v>123.7859</v>
      </c>
      <c r="H1453" s="18">
        <f t="shared" si="81"/>
        <v>19.409836065573771</v>
      </c>
      <c r="I1453" s="32">
        <v>19.356849033657721</v>
      </c>
      <c r="K1453" s="32">
        <v>125.251830789778</v>
      </c>
      <c r="L1453" s="32">
        <f t="shared" si="78"/>
        <v>16.438356164383563</v>
      </c>
      <c r="M1453" s="5">
        <f t="shared" si="82"/>
        <v>67.808673724385073</v>
      </c>
      <c r="N1453" s="5">
        <f t="shared" si="77"/>
        <v>14.098901098901099</v>
      </c>
      <c r="O1453" s="32">
        <v>23.10044839461327</v>
      </c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</row>
    <row r="1454" spans="1:38">
      <c r="A1454" s="5">
        <v>811</v>
      </c>
      <c r="B1454" s="11">
        <v>1450</v>
      </c>
      <c r="C1454" s="12">
        <v>47107</v>
      </c>
      <c r="D1454" s="31">
        <f t="shared" si="79"/>
        <v>12</v>
      </c>
      <c r="E1454" s="14"/>
      <c r="F1454" s="5">
        <v>0</v>
      </c>
      <c r="G1454" s="18">
        <f t="shared" si="80"/>
        <v>123.93860000000001</v>
      </c>
      <c r="H1454" s="18">
        <f t="shared" si="81"/>
        <v>19.409836065573771</v>
      </c>
      <c r="I1454" s="32">
        <v>21.337378234822701</v>
      </c>
      <c r="K1454" s="32">
        <v>21.372030235181079</v>
      </c>
      <c r="L1454" s="32">
        <f t="shared" si="78"/>
        <v>16.438356164383563</v>
      </c>
      <c r="M1454" s="5">
        <f t="shared" si="82"/>
        <v>68.950209994215797</v>
      </c>
      <c r="N1454" s="5">
        <f t="shared" si="77"/>
        <v>14.098901098901099</v>
      </c>
      <c r="O1454" s="32">
        <v>14.406663118460051</v>
      </c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</row>
    <row r="1455" spans="1:38">
      <c r="A1455" s="5">
        <v>812</v>
      </c>
      <c r="B1455" s="11">
        <v>1451</v>
      </c>
      <c r="C1455" s="12">
        <v>47108</v>
      </c>
      <c r="D1455" s="31">
        <f t="shared" si="79"/>
        <v>-2</v>
      </c>
      <c r="E1455" s="14"/>
      <c r="F1455" s="5">
        <v>0</v>
      </c>
      <c r="G1455" s="18">
        <f t="shared" si="80"/>
        <v>124.0913</v>
      </c>
      <c r="H1455" s="18">
        <f t="shared" si="81"/>
        <v>19.409836065573771</v>
      </c>
      <c r="I1455" s="32">
        <v>4.9415214566031942</v>
      </c>
      <c r="K1455" s="32">
        <v>1.856531650863475</v>
      </c>
      <c r="L1455" s="32">
        <f t="shared" si="78"/>
        <v>16.438356164383563</v>
      </c>
      <c r="M1455" s="5">
        <f t="shared" si="82"/>
        <v>69.164666022614909</v>
      </c>
      <c r="N1455" s="5">
        <f t="shared" si="77"/>
        <v>14.098901098901099</v>
      </c>
      <c r="O1455" s="32">
        <v>19.628423384917959</v>
      </c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</row>
    <row r="1456" spans="1:38">
      <c r="A1456" s="5">
        <v>813</v>
      </c>
      <c r="B1456" s="11">
        <v>1452</v>
      </c>
      <c r="C1456" s="12">
        <v>47109</v>
      </c>
      <c r="D1456" s="31">
        <f t="shared" si="79"/>
        <v>6</v>
      </c>
      <c r="E1456" s="14"/>
      <c r="F1456" s="5">
        <v>0</v>
      </c>
      <c r="G1456" s="18">
        <f t="shared" si="80"/>
        <v>124.244</v>
      </c>
      <c r="H1456" s="18">
        <f t="shared" si="81"/>
        <v>19.409836065573771</v>
      </c>
      <c r="I1456" s="32">
        <v>16.426518503957791</v>
      </c>
      <c r="K1456" s="32">
        <v>125.251830789778</v>
      </c>
      <c r="L1456" s="32">
        <f t="shared" si="78"/>
        <v>16.438356164383563</v>
      </c>
      <c r="M1456" s="5">
        <f t="shared" si="82"/>
        <v>67.808673724385073</v>
      </c>
      <c r="N1456" s="5">
        <f t="shared" si="77"/>
        <v>14.098901098901099</v>
      </c>
      <c r="O1456" s="32">
        <v>15.98755098883032</v>
      </c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</row>
    <row r="1457" spans="1:38">
      <c r="A1457" s="5">
        <v>814</v>
      </c>
      <c r="B1457" s="11">
        <v>1453</v>
      </c>
      <c r="C1457" s="12">
        <v>47110</v>
      </c>
      <c r="D1457" s="31">
        <f t="shared" si="79"/>
        <v>-4</v>
      </c>
      <c r="E1457" s="14"/>
      <c r="F1457" s="5">
        <v>0</v>
      </c>
      <c r="G1457" s="18">
        <f t="shared" si="80"/>
        <v>124.3967</v>
      </c>
      <c r="H1457" s="18">
        <f t="shared" si="81"/>
        <v>19.409836065573771</v>
      </c>
      <c r="I1457" s="32">
        <v>23.119039095645132</v>
      </c>
      <c r="K1457" s="32">
        <v>125.251830789778</v>
      </c>
      <c r="L1457" s="32">
        <f t="shared" si="78"/>
        <v>16.438356164383563</v>
      </c>
      <c r="M1457" s="5">
        <f t="shared" si="82"/>
        <v>67.808673724385073</v>
      </c>
      <c r="N1457" s="5">
        <f t="shared" si="77"/>
        <v>14.098901098901099</v>
      </c>
      <c r="O1457" s="32">
        <v>26.293268851444761</v>
      </c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</row>
    <row r="1458" spans="1:38">
      <c r="A1458" s="5">
        <v>815</v>
      </c>
      <c r="B1458" s="11">
        <v>1454</v>
      </c>
      <c r="C1458" s="12">
        <v>47111</v>
      </c>
      <c r="D1458" s="31">
        <f t="shared" si="79"/>
        <v>29</v>
      </c>
      <c r="E1458" s="14"/>
      <c r="F1458" s="5">
        <v>0</v>
      </c>
      <c r="G1458" s="18">
        <f t="shared" si="80"/>
        <v>124.54940000000001</v>
      </c>
      <c r="H1458" s="18">
        <f t="shared" si="81"/>
        <v>19.409836065573771</v>
      </c>
      <c r="I1458" s="32">
        <v>25.297923648486972</v>
      </c>
      <c r="K1458" s="32">
        <v>21.372030235181079</v>
      </c>
      <c r="L1458" s="32">
        <f t="shared" si="78"/>
        <v>16.438356164383563</v>
      </c>
      <c r="M1458" s="5">
        <f t="shared" si="82"/>
        <v>68.950209994215797</v>
      </c>
      <c r="N1458" s="5">
        <f t="shared" si="77"/>
        <v>14.098901098901099</v>
      </c>
      <c r="O1458" s="32">
        <v>30.4951166213378</v>
      </c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</row>
    <row r="1459" spans="1:38">
      <c r="A1459" s="5">
        <v>816</v>
      </c>
      <c r="B1459" s="11">
        <v>1455</v>
      </c>
      <c r="C1459" s="12">
        <v>47112</v>
      </c>
      <c r="D1459" s="31">
        <f t="shared" si="79"/>
        <v>-2</v>
      </c>
      <c r="E1459" s="14"/>
      <c r="F1459" s="5">
        <v>0</v>
      </c>
      <c r="G1459" s="18">
        <f t="shared" si="80"/>
        <v>124.7021</v>
      </c>
      <c r="H1459" s="18">
        <f t="shared" si="81"/>
        <v>19.409836065573771</v>
      </c>
      <c r="I1459" s="32">
        <v>14.344277885449779</v>
      </c>
      <c r="K1459" s="32">
        <v>1.856531650863475</v>
      </c>
      <c r="L1459" s="32">
        <f t="shared" si="78"/>
        <v>16.438356164383563</v>
      </c>
      <c r="M1459" s="5">
        <f t="shared" si="82"/>
        <v>69.164666022614909</v>
      </c>
      <c r="N1459" s="5">
        <f t="shared" si="77"/>
        <v>14.098901098901099</v>
      </c>
      <c r="O1459" s="32">
        <v>28.365446656301721</v>
      </c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</row>
    <row r="1460" spans="1:38">
      <c r="A1460" s="5">
        <v>817</v>
      </c>
      <c r="B1460" s="11">
        <v>1456</v>
      </c>
      <c r="C1460" s="12">
        <v>47113</v>
      </c>
      <c r="D1460" s="31">
        <f t="shared" si="79"/>
        <v>6</v>
      </c>
      <c r="E1460" s="14"/>
      <c r="F1460" s="5">
        <v>0</v>
      </c>
      <c r="G1460" s="18">
        <f t="shared" si="80"/>
        <v>124.8548</v>
      </c>
      <c r="H1460" s="18">
        <f t="shared" si="81"/>
        <v>19.409836065573771</v>
      </c>
      <c r="I1460" s="32">
        <v>22.467842265442179</v>
      </c>
      <c r="K1460" s="32">
        <v>125.251830789778</v>
      </c>
      <c r="L1460" s="32">
        <f t="shared" si="78"/>
        <v>16.438356164383563</v>
      </c>
      <c r="M1460" s="5">
        <f t="shared" si="82"/>
        <v>67.808673724385073</v>
      </c>
      <c r="N1460" s="5">
        <f t="shared" si="77"/>
        <v>14.098901098901099</v>
      </c>
      <c r="O1460" s="32">
        <v>14.3887117710231</v>
      </c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</row>
    <row r="1461" spans="1:38">
      <c r="A1461" s="5">
        <v>818</v>
      </c>
      <c r="B1461" s="11">
        <v>1457</v>
      </c>
      <c r="C1461" s="12">
        <v>47114</v>
      </c>
      <c r="D1461" s="31">
        <f t="shared" si="79"/>
        <v>-1</v>
      </c>
      <c r="E1461" s="14"/>
      <c r="F1461" s="5">
        <v>0</v>
      </c>
      <c r="G1461" s="18">
        <f t="shared" si="80"/>
        <v>125.00750000000001</v>
      </c>
      <c r="H1461" s="18">
        <f t="shared" si="81"/>
        <v>19.409836065573771</v>
      </c>
      <c r="I1461" s="32">
        <v>39.333473786522859</v>
      </c>
      <c r="K1461" s="32">
        <v>125.251830789778</v>
      </c>
      <c r="L1461" s="32">
        <f t="shared" si="78"/>
        <v>16.438356164383563</v>
      </c>
      <c r="M1461" s="5">
        <f t="shared" si="82"/>
        <v>67.808673724385073</v>
      </c>
      <c r="N1461" s="5">
        <f t="shared" si="77"/>
        <v>14.098901098901099</v>
      </c>
      <c r="O1461" s="32">
        <v>10.43460132223305</v>
      </c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</row>
    <row r="1462" spans="1:38">
      <c r="A1462" s="5">
        <v>819</v>
      </c>
      <c r="B1462" s="11">
        <v>1458</v>
      </c>
      <c r="C1462" s="12">
        <v>47115</v>
      </c>
      <c r="D1462" s="31">
        <f t="shared" si="79"/>
        <v>6</v>
      </c>
      <c r="E1462" s="14"/>
      <c r="F1462" s="5">
        <v>0</v>
      </c>
      <c r="G1462" s="18">
        <f t="shared" si="80"/>
        <v>125.1602</v>
      </c>
      <c r="H1462" s="18">
        <f t="shared" si="81"/>
        <v>19.409836065573771</v>
      </c>
      <c r="I1462" s="32">
        <v>10.210979180688961</v>
      </c>
      <c r="K1462" s="32">
        <v>21.372030235181079</v>
      </c>
      <c r="L1462" s="32">
        <f t="shared" si="78"/>
        <v>16.438356164383563</v>
      </c>
      <c r="M1462" s="5">
        <f t="shared" si="82"/>
        <v>68.950209994215797</v>
      </c>
      <c r="N1462" s="5">
        <f t="shared" si="77"/>
        <v>14.098901098901099</v>
      </c>
      <c r="O1462" s="32">
        <v>10.598717345874681</v>
      </c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</row>
    <row r="1463" spans="1:38">
      <c r="A1463" s="5">
        <v>820</v>
      </c>
      <c r="B1463" s="11">
        <v>1459</v>
      </c>
      <c r="C1463" s="12">
        <v>47116</v>
      </c>
      <c r="D1463" s="31">
        <f t="shared" si="79"/>
        <v>3</v>
      </c>
      <c r="E1463" s="14"/>
      <c r="F1463" s="5">
        <v>0</v>
      </c>
      <c r="G1463" s="18">
        <f t="shared" si="80"/>
        <v>125.3129</v>
      </c>
      <c r="H1463" s="18">
        <f t="shared" si="81"/>
        <v>19.409836065573771</v>
      </c>
      <c r="I1463" s="32">
        <v>25.212963137155342</v>
      </c>
      <c r="K1463" s="32">
        <v>1.856531650863475</v>
      </c>
      <c r="L1463" s="32">
        <f t="shared" si="78"/>
        <v>16.438356164383563</v>
      </c>
      <c r="M1463" s="5">
        <f t="shared" si="82"/>
        <v>69.164666022614909</v>
      </c>
      <c r="N1463" s="5">
        <f t="shared" si="77"/>
        <v>14.098901098901099</v>
      </c>
      <c r="O1463" s="32">
        <v>21.77395088178368</v>
      </c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</row>
    <row r="1464" spans="1:38" ht="14.25" customHeight="1">
      <c r="A1464" s="5">
        <v>821</v>
      </c>
      <c r="B1464" s="33">
        <v>1460</v>
      </c>
      <c r="C1464" s="12">
        <v>47117</v>
      </c>
      <c r="D1464" s="31">
        <f t="shared" si="79"/>
        <v>9</v>
      </c>
      <c r="E1464" s="14"/>
      <c r="F1464" s="5">
        <v>0</v>
      </c>
      <c r="G1464" s="18">
        <f>0.1527*A1464+0.0989</f>
        <v>125.46560000000001</v>
      </c>
      <c r="H1464" s="18">
        <f t="shared" si="81"/>
        <v>19.409836065573771</v>
      </c>
      <c r="I1464" s="32">
        <v>26.39612303252715</v>
      </c>
      <c r="K1464" s="32">
        <v>125.251830789778</v>
      </c>
      <c r="L1464" s="32">
        <f t="shared" si="78"/>
        <v>16.438356164383563</v>
      </c>
      <c r="M1464" s="5">
        <f t="shared" si="82"/>
        <v>67.808673724385073</v>
      </c>
      <c r="N1464" s="5">
        <f t="shared" si="77"/>
        <v>14.098901098901099</v>
      </c>
      <c r="O1464" s="32">
        <v>22.059767130706021</v>
      </c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</row>
  </sheetData>
  <mergeCells count="1">
    <mergeCell ref="B2:F2"/>
  </mergeCells>
  <pageMargins left="0.7" right="0.7" top="0.75" bottom="0.75" header="0.3" footer="0.3"/>
  <drawing r:id="rId4"/>
  <legacyDrawing r:id="rId5"/>
  <tableParts count="1">
    <tablePart r:id="rId6"/>
  </tableParts>
  <extLs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663E-DEC7-403E-B803-43D51F19C8DE}">
  <dimension ref="A1:Y518"/>
  <sheetViews>
    <sheetView workbookViewId="0">
      <selection activeCell="R13" sqref="R13"/>
    </sheetView>
  </sheetViews>
  <sheetFormatPr defaultColWidth="8.7109375" defaultRowHeight="15"/>
  <cols>
    <col min="22" max="22" width="21.85546875" customWidth="1"/>
  </cols>
  <sheetData>
    <row r="1" spans="1:6">
      <c r="A1" s="85" t="s">
        <v>225</v>
      </c>
    </row>
    <row r="2" spans="1:6">
      <c r="A2">
        <v>25</v>
      </c>
      <c r="B2" t="s">
        <v>226</v>
      </c>
      <c r="C2">
        <f>AVERAGE(A:A)</f>
        <v>15.188679245283019</v>
      </c>
      <c r="E2">
        <v>1</v>
      </c>
      <c r="F2">
        <f>$C$4*$D$6^-($C$4*E2)</f>
        <v>6.1643417393735286E-2</v>
      </c>
    </row>
    <row r="3" spans="1:6">
      <c r="A3">
        <v>9</v>
      </c>
      <c r="E3">
        <v>2</v>
      </c>
      <c r="F3">
        <f t="shared" ref="F3:F66" si="0">$C$4*$D$6^-($C$4*E3)</f>
        <v>5.7715627941934043E-2</v>
      </c>
    </row>
    <row r="4" spans="1:6">
      <c r="A4">
        <v>37</v>
      </c>
      <c r="B4" t="s">
        <v>227</v>
      </c>
      <c r="C4">
        <f>1/C2</f>
        <v>6.5838509316770183E-2</v>
      </c>
      <c r="E4">
        <v>3</v>
      </c>
      <c r="F4">
        <f t="shared" si="0"/>
        <v>5.4038109007731469E-2</v>
      </c>
    </row>
    <row r="5" spans="1:6">
      <c r="A5">
        <v>8</v>
      </c>
      <c r="E5">
        <v>4</v>
      </c>
      <c r="F5">
        <f t="shared" si="0"/>
        <v>5.0594913877906871E-2</v>
      </c>
    </row>
    <row r="6" spans="1:6">
      <c r="A6">
        <v>2</v>
      </c>
      <c r="C6" t="s">
        <v>228</v>
      </c>
      <c r="D6" s="86">
        <v>2.71828</v>
      </c>
      <c r="E6">
        <v>5</v>
      </c>
      <c r="F6">
        <f>$C$4*$D$6^-($C$4*E6)</f>
        <v>4.7371111930407592E-2</v>
      </c>
    </row>
    <row r="7" spans="1:6">
      <c r="A7">
        <v>17</v>
      </c>
      <c r="E7">
        <v>6</v>
      </c>
      <c r="F7">
        <f t="shared" si="0"/>
        <v>4.4352723891147777E-2</v>
      </c>
    </row>
    <row r="8" spans="1:6">
      <c r="A8">
        <v>9</v>
      </c>
      <c r="E8">
        <v>7</v>
      </c>
      <c r="F8">
        <f t="shared" si="0"/>
        <v>4.1526661216108485E-2</v>
      </c>
    </row>
    <row r="9" spans="1:6">
      <c r="A9">
        <v>1</v>
      </c>
      <c r="E9">
        <v>8</v>
      </c>
      <c r="F9">
        <f t="shared" si="0"/>
        <v>3.8880669335883307E-2</v>
      </c>
    </row>
    <row r="10" spans="1:6">
      <c r="A10">
        <v>16</v>
      </c>
      <c r="E10">
        <v>9</v>
      </c>
      <c r="F10">
        <f t="shared" si="0"/>
        <v>3.6403274516562743E-2</v>
      </c>
    </row>
    <row r="11" spans="1:6">
      <c r="A11">
        <v>12</v>
      </c>
      <c r="C11">
        <f>AVERAGE(A2:A30)</f>
        <v>15.068965517241379</v>
      </c>
      <c r="E11">
        <v>10</v>
      </c>
      <c r="F11">
        <f t="shared" si="0"/>
        <v>3.4083734106531698E-2</v>
      </c>
    </row>
    <row r="12" spans="1:6">
      <c r="A12">
        <v>45</v>
      </c>
      <c r="E12">
        <v>11</v>
      </c>
      <c r="F12">
        <f t="shared" si="0"/>
        <v>3.1911989953436783E-2</v>
      </c>
    </row>
    <row r="13" spans="1:6">
      <c r="A13">
        <v>1</v>
      </c>
      <c r="E13">
        <v>12</v>
      </c>
      <c r="F13">
        <f t="shared" si="0"/>
        <v>2.9878624789327068E-2</v>
      </c>
    </row>
    <row r="14" spans="1:6">
      <c r="A14">
        <v>5</v>
      </c>
      <c r="E14">
        <v>13</v>
      </c>
      <c r="F14">
        <f t="shared" si="0"/>
        <v>2.7974821394842114E-2</v>
      </c>
    </row>
    <row r="15" spans="1:6">
      <c r="A15">
        <v>5</v>
      </c>
      <c r="E15">
        <v>14</v>
      </c>
      <c r="F15">
        <f t="shared" si="0"/>
        <v>2.6192324365372558E-2</v>
      </c>
    </row>
    <row r="16" spans="1:6">
      <c r="A16">
        <v>31</v>
      </c>
      <c r="E16">
        <v>15</v>
      </c>
      <c r="F16">
        <f t="shared" si="0"/>
        <v>2.4523404313400842E-2</v>
      </c>
    </row>
    <row r="17" spans="1:6">
      <c r="A17">
        <v>21</v>
      </c>
      <c r="C17">
        <f>AVERAGE(A17:A36)</f>
        <v>14.75</v>
      </c>
      <c r="E17">
        <v>16</v>
      </c>
      <c r="F17">
        <f t="shared" si="0"/>
        <v>2.2960824351793748E-2</v>
      </c>
    </row>
    <row r="18" spans="1:6">
      <c r="A18">
        <v>2</v>
      </c>
      <c r="E18">
        <v>17</v>
      </c>
      <c r="F18">
        <f t="shared" si="0"/>
        <v>2.149780871270944E-2</v>
      </c>
    </row>
    <row r="19" spans="1:6">
      <c r="A19">
        <v>52</v>
      </c>
      <c r="E19">
        <v>18</v>
      </c>
      <c r="F19">
        <f t="shared" si="0"/>
        <v>2.0128013366041933E-2</v>
      </c>
    </row>
    <row r="20" spans="1:6">
      <c r="A20">
        <v>11</v>
      </c>
      <c r="E20">
        <v>19</v>
      </c>
      <c r="F20">
        <f t="shared" si="0"/>
        <v>1.8845498509996842E-2</v>
      </c>
    </row>
    <row r="21" spans="1:6">
      <c r="A21">
        <v>11</v>
      </c>
      <c r="E21">
        <v>20</v>
      </c>
      <c r="F21">
        <f t="shared" si="0"/>
        <v>1.7644702814509909E-2</v>
      </c>
    </row>
    <row r="22" spans="1:6">
      <c r="A22">
        <v>18</v>
      </c>
      <c r="E22">
        <v>21</v>
      </c>
      <c r="F22">
        <f t="shared" si="0"/>
        <v>1.6520419305821061E-2</v>
      </c>
    </row>
    <row r="23" spans="1:6">
      <c r="A23">
        <v>14</v>
      </c>
      <c r="E23">
        <v>22</v>
      </c>
      <c r="F23">
        <f t="shared" si="0"/>
        <v>1.5467772787632858E-2</v>
      </c>
    </row>
    <row r="24" spans="1:6">
      <c r="A24">
        <v>5</v>
      </c>
      <c r="E24">
        <v>23</v>
      </c>
      <c r="F24">
        <f t="shared" si="0"/>
        <v>1.4482198700945428E-2</v>
      </c>
    </row>
    <row r="25" spans="1:6">
      <c r="A25">
        <v>9</v>
      </c>
      <c r="E25">
        <v>24</v>
      </c>
      <c r="F25">
        <f t="shared" si="0"/>
        <v>1.3559423330898469E-2</v>
      </c>
    </row>
    <row r="26" spans="1:6">
      <c r="A26">
        <v>33</v>
      </c>
      <c r="E26">
        <v>25</v>
      </c>
      <c r="F26">
        <f t="shared" si="0"/>
        <v>1.2695445274791812E-2</v>
      </c>
    </row>
    <row r="27" spans="1:6">
      <c r="A27">
        <v>3</v>
      </c>
      <c r="E27">
        <v>26</v>
      </c>
      <c r="F27">
        <f t="shared" si="0"/>
        <v>1.1886518090924897E-2</v>
      </c>
    </row>
    <row r="28" spans="1:6">
      <c r="A28">
        <v>6</v>
      </c>
      <c r="E28">
        <v>27</v>
      </c>
      <c r="F28">
        <f t="shared" si="0"/>
        <v>1.112913405301586E-2</v>
      </c>
    </row>
    <row r="29" spans="1:6">
      <c r="A29">
        <v>14</v>
      </c>
      <c r="E29">
        <v>28</v>
      </c>
      <c r="F29">
        <f t="shared" si="0"/>
        <v>1.0420008939755013E-2</v>
      </c>
    </row>
    <row r="30" spans="1:6">
      <c r="A30">
        <v>15</v>
      </c>
      <c r="E30">
        <v>29</v>
      </c>
      <c r="F30">
        <f t="shared" si="0"/>
        <v>9.7560677935361519E-3</v>
      </c>
    </row>
    <row r="31" spans="1:6">
      <c r="A31">
        <v>10</v>
      </c>
      <c r="E31">
        <v>30</v>
      </c>
      <c r="F31">
        <f t="shared" si="0"/>
        <v>9.134431586611591E-3</v>
      </c>
    </row>
    <row r="32" spans="1:6">
      <c r="A32">
        <v>2</v>
      </c>
      <c r="E32">
        <v>31</v>
      </c>
      <c r="F32">
        <f t="shared" si="0"/>
        <v>8.5524047368519731E-3</v>
      </c>
    </row>
    <row r="33" spans="1:25">
      <c r="A33">
        <v>4</v>
      </c>
      <c r="E33">
        <v>32</v>
      </c>
      <c r="F33">
        <f t="shared" si="0"/>
        <v>8.0074634189756504E-3</v>
      </c>
    </row>
    <row r="34" spans="1:25">
      <c r="A34">
        <v>43</v>
      </c>
      <c r="E34">
        <v>33</v>
      </c>
      <c r="F34">
        <f t="shared" si="0"/>
        <v>7.497244620562094E-3</v>
      </c>
    </row>
    <row r="35" spans="1:25">
      <c r="A35">
        <v>7</v>
      </c>
      <c r="E35">
        <v>34</v>
      </c>
      <c r="F35">
        <f t="shared" si="0"/>
        <v>7.019535895393168E-3</v>
      </c>
    </row>
    <row r="36" spans="1:25">
      <c r="A36">
        <v>15</v>
      </c>
      <c r="E36">
        <v>35</v>
      </c>
      <c r="F36">
        <f t="shared" si="0"/>
        <v>6.5722657696900529E-3</v>
      </c>
    </row>
    <row r="37" spans="1:25">
      <c r="A37">
        <v>7</v>
      </c>
      <c r="E37">
        <v>36</v>
      </c>
      <c r="F37">
        <f t="shared" si="0"/>
        <v>6.1534947596446794E-3</v>
      </c>
    </row>
    <row r="38" spans="1:25" ht="18.75">
      <c r="A38">
        <v>7</v>
      </c>
      <c r="E38">
        <v>37</v>
      </c>
      <c r="F38">
        <f t="shared" si="0"/>
        <v>5.7614069612952172E-3</v>
      </c>
      <c r="V38" s="79" t="s">
        <v>229</v>
      </c>
      <c r="W38" s="87">
        <v>54</v>
      </c>
      <c r="X38" s="87"/>
      <c r="Y38" s="87"/>
    </row>
    <row r="39" spans="1:25" ht="18.75">
      <c r="A39">
        <v>11</v>
      </c>
      <c r="E39">
        <v>38</v>
      </c>
      <c r="F39">
        <f t="shared" si="0"/>
        <v>5.3943021762770955E-3</v>
      </c>
      <c r="V39" s="79" t="s">
        <v>230</v>
      </c>
      <c r="W39" s="87">
        <v>3</v>
      </c>
      <c r="X39" s="87"/>
      <c r="Y39" s="87"/>
    </row>
    <row r="40" spans="1:25" ht="18.75">
      <c r="A40">
        <v>13</v>
      </c>
      <c r="E40">
        <v>39</v>
      </c>
      <c r="F40">
        <f t="shared" si="0"/>
        <v>5.0505885393046747E-3</v>
      </c>
      <c r="V40" s="79" t="s">
        <v>231</v>
      </c>
      <c r="W40" s="87">
        <v>791</v>
      </c>
      <c r="X40" s="87"/>
      <c r="Y40" s="87"/>
    </row>
    <row r="41" spans="1:25" ht="18.75">
      <c r="A41">
        <v>55</v>
      </c>
      <c r="E41">
        <v>40</v>
      </c>
      <c r="F41">
        <f t="shared" si="0"/>
        <v>4.7287756154143603E-3</v>
      </c>
      <c r="V41" s="79"/>
      <c r="W41" s="87"/>
      <c r="X41" s="87"/>
      <c r="Y41" s="87"/>
    </row>
    <row r="42" spans="1:25" ht="18.75">
      <c r="A42">
        <v>6</v>
      </c>
      <c r="E42">
        <v>41</v>
      </c>
      <c r="F42">
        <f t="shared" si="0"/>
        <v>4.4274679370368926E-3</v>
      </c>
      <c r="V42" s="79" t="s">
        <v>232</v>
      </c>
      <c r="W42" s="88">
        <v>6.8268015170670035E-2</v>
      </c>
      <c r="X42" s="87"/>
      <c r="Y42" s="87"/>
    </row>
    <row r="43" spans="1:25" ht="18.75">
      <c r="A43">
        <v>1</v>
      </c>
      <c r="E43">
        <v>42</v>
      </c>
      <c r="F43">
        <f t="shared" si="0"/>
        <v>4.1453589528739048E-3</v>
      </c>
      <c r="V43" s="79" t="s">
        <v>233</v>
      </c>
      <c r="W43" s="89">
        <v>3.7926675094816687E-3</v>
      </c>
      <c r="X43" s="87"/>
      <c r="Y43" s="87"/>
    </row>
    <row r="44" spans="1:25">
      <c r="A44">
        <v>5</v>
      </c>
      <c r="E44">
        <v>43</v>
      </c>
      <c r="F44">
        <f t="shared" si="0"/>
        <v>3.8812253623393433E-3</v>
      </c>
    </row>
    <row r="45" spans="1:25">
      <c r="A45">
        <v>42</v>
      </c>
      <c r="E45">
        <v>44</v>
      </c>
      <c r="F45">
        <f t="shared" si="0"/>
        <v>3.6339218109984459E-3</v>
      </c>
    </row>
    <row r="46" spans="1:25" ht="18.75">
      <c r="A46">
        <v>39</v>
      </c>
      <c r="E46">
        <v>45</v>
      </c>
      <c r="F46">
        <f t="shared" si="0"/>
        <v>3.4023759240022346E-3</v>
      </c>
      <c r="V46" s="79" t="s">
        <v>234</v>
      </c>
    </row>
    <row r="47" spans="1:25">
      <c r="A47">
        <v>10</v>
      </c>
      <c r="E47">
        <v>46</v>
      </c>
      <c r="F47">
        <f t="shared" si="0"/>
        <v>3.185583655981144E-3</v>
      </c>
    </row>
    <row r="48" spans="1:25" ht="21">
      <c r="A48">
        <v>19</v>
      </c>
      <c r="E48">
        <v>47</v>
      </c>
      <c r="F48">
        <f t="shared" si="0"/>
        <v>2.9826049372337188E-3</v>
      </c>
      <c r="V48" s="90">
        <f>250*48.062</f>
        <v>12015.5</v>
      </c>
      <c r="W48" s="87" t="s">
        <v>235</v>
      </c>
    </row>
    <row r="49" spans="1:6">
      <c r="A49">
        <v>2</v>
      </c>
      <c r="E49">
        <v>48</v>
      </c>
      <c r="F49">
        <f t="shared" si="0"/>
        <v>2.7925595973310106E-3</v>
      </c>
    </row>
    <row r="50" spans="1:6">
      <c r="A50">
        <v>7</v>
      </c>
      <c r="E50">
        <v>49</v>
      </c>
      <c r="F50">
        <f t="shared" si="0"/>
        <v>2.6146235484604003E-3</v>
      </c>
    </row>
    <row r="51" spans="1:6">
      <c r="A51">
        <v>48</v>
      </c>
      <c r="E51">
        <v>50</v>
      </c>
      <c r="F51">
        <f t="shared" si="0"/>
        <v>2.4480252119587391E-3</v>
      </c>
    </row>
    <row r="52" spans="1:6">
      <c r="A52">
        <v>3</v>
      </c>
      <c r="E52">
        <v>51</v>
      </c>
      <c r="F52">
        <f t="shared" si="0"/>
        <v>2.2920421725393146E-3</v>
      </c>
    </row>
    <row r="53" spans="1:6">
      <c r="A53">
        <v>10</v>
      </c>
      <c r="E53">
        <v>52</v>
      </c>
      <c r="F53">
        <f t="shared" si="0"/>
        <v>2.1459980457044776E-3</v>
      </c>
    </row>
    <row r="54" spans="1:6">
      <c r="A54">
        <v>2</v>
      </c>
      <c r="E54">
        <v>53</v>
      </c>
      <c r="F54">
        <f t="shared" si="0"/>
        <v>2.0092595447601608E-3</v>
      </c>
    </row>
    <row r="55" spans="1:6">
      <c r="E55">
        <v>54</v>
      </c>
      <c r="F55">
        <f t="shared" si="0"/>
        <v>1.8812337347141083E-3</v>
      </c>
    </row>
    <row r="56" spans="1:6">
      <c r="E56">
        <v>55</v>
      </c>
      <c r="F56">
        <f t="shared" si="0"/>
        <v>1.7613654611499355E-3</v>
      </c>
    </row>
    <row r="57" spans="1:6">
      <c r="E57">
        <v>56</v>
      </c>
      <c r="F57">
        <f t="shared" si="0"/>
        <v>1.6491349429279701E-3</v>
      </c>
    </row>
    <row r="58" spans="1:6">
      <c r="E58">
        <v>57</v>
      </c>
      <c r="F58">
        <f t="shared" si="0"/>
        <v>1.5440555182741449E-3</v>
      </c>
    </row>
    <row r="59" spans="1:6">
      <c r="E59">
        <v>58</v>
      </c>
      <c r="F59">
        <f t="shared" si="0"/>
        <v>1.4456715344833785E-3</v>
      </c>
    </row>
    <row r="60" spans="1:6">
      <c r="E60">
        <v>59</v>
      </c>
      <c r="F60">
        <f t="shared" si="0"/>
        <v>1.353556372086652E-3</v>
      </c>
    </row>
    <row r="61" spans="1:6">
      <c r="E61">
        <v>60</v>
      </c>
      <c r="F61">
        <f t="shared" si="0"/>
        <v>1.2673105949140091E-3</v>
      </c>
    </row>
    <row r="62" spans="1:6">
      <c r="E62">
        <v>61</v>
      </c>
      <c r="F62">
        <f t="shared" si="0"/>
        <v>1.1865602180316734E-3</v>
      </c>
    </row>
    <row r="63" spans="1:6">
      <c r="E63">
        <v>62</v>
      </c>
      <c r="F63">
        <f t="shared" si="0"/>
        <v>1.1109550860425867E-3</v>
      </c>
    </row>
    <row r="64" spans="1:6">
      <c r="E64">
        <v>63</v>
      </c>
      <c r="F64">
        <f t="shared" si="0"/>
        <v>1.0401673547182277E-3</v>
      </c>
    </row>
    <row r="65" spans="5:6">
      <c r="E65">
        <v>64</v>
      </c>
      <c r="F65">
        <f t="shared" si="0"/>
        <v>9.7389006937769352E-4</v>
      </c>
    </row>
    <row r="66" spans="5:6">
      <c r="E66">
        <v>65</v>
      </c>
      <c r="F66">
        <f t="shared" si="0"/>
        <v>9.1183583384946555E-4</v>
      </c>
    </row>
    <row r="67" spans="5:6">
      <c r="E67">
        <v>66</v>
      </c>
      <c r="F67">
        <f t="shared" ref="F67:F130" si="1">$C$4*$D$6^-($C$4*E67)</f>
        <v>8.5373556424416148E-4</v>
      </c>
    </row>
    <row r="68" spans="5:6">
      <c r="E68">
        <v>67</v>
      </c>
      <c r="F68">
        <f t="shared" si="1"/>
        <v>7.9933732213426545E-4</v>
      </c>
    </row>
    <row r="69" spans="5:6">
      <c r="E69">
        <v>68</v>
      </c>
      <c r="F69">
        <f t="shared" si="1"/>
        <v>7.484052220812096E-4</v>
      </c>
    </row>
    <row r="70" spans="5:6">
      <c r="E70">
        <v>69</v>
      </c>
      <c r="F70">
        <f t="shared" si="1"/>
        <v>7.0071840877253798E-4</v>
      </c>
    </row>
    <row r="71" spans="5:6">
      <c r="E71">
        <v>70</v>
      </c>
      <c r="F71">
        <f t="shared" si="1"/>
        <v>6.5607009933375219E-4</v>
      </c>
    </row>
    <row r="72" spans="5:6">
      <c r="E72">
        <v>71</v>
      </c>
      <c r="F72">
        <f t="shared" si="1"/>
        <v>6.142666866620339E-4</v>
      </c>
    </row>
    <row r="73" spans="5:6">
      <c r="E73">
        <v>72</v>
      </c>
      <c r="F73">
        <f t="shared" si="1"/>
        <v>5.7512689989366991E-4</v>
      </c>
    </row>
    <row r="74" spans="5:6">
      <c r="E74">
        <v>73</v>
      </c>
      <c r="F74">
        <f t="shared" si="1"/>
        <v>5.3848101836473524E-4</v>
      </c>
    </row>
    <row r="75" spans="5:6">
      <c r="E75">
        <v>74</v>
      </c>
      <c r="F75">
        <f t="shared" si="1"/>
        <v>5.04170135656549E-4</v>
      </c>
    </row>
    <row r="76" spans="5:6">
      <c r="E76">
        <v>75</v>
      </c>
      <c r="F76">
        <f t="shared" si="1"/>
        <v>4.720454705346208E-4</v>
      </c>
    </row>
    <row r="77" spans="5:6">
      <c r="E77">
        <v>76</v>
      </c>
      <c r="F77">
        <f t="shared" si="1"/>
        <v>4.4196772179311668E-4</v>
      </c>
    </row>
    <row r="78" spans="5:6">
      <c r="E78">
        <v>77</v>
      </c>
      <c r="F78">
        <f t="shared" si="1"/>
        <v>4.1380646420728981E-4</v>
      </c>
    </row>
    <row r="79" spans="5:6">
      <c r="E79">
        <v>78</v>
      </c>
      <c r="F79">
        <f t="shared" si="1"/>
        <v>3.87439582974554E-4</v>
      </c>
    </row>
    <row r="80" spans="5:6">
      <c r="E80">
        <v>79</v>
      </c>
      <c r="F80">
        <f t="shared" si="1"/>
        <v>3.6275274419179091E-4</v>
      </c>
    </row>
    <row r="81" spans="5:6">
      <c r="E81">
        <v>80</v>
      </c>
      <c r="F81">
        <f t="shared" si="1"/>
        <v>3.3963889907272931E-4</v>
      </c>
    </row>
    <row r="82" spans="5:6">
      <c r="E82">
        <v>81</v>
      </c>
      <c r="F82">
        <f t="shared" si="1"/>
        <v>3.1799781975555888E-4</v>
      </c>
    </row>
    <row r="83" spans="5:6">
      <c r="E83">
        <v>82</v>
      </c>
      <c r="F83">
        <f t="shared" si="1"/>
        <v>2.9773566468790995E-4</v>
      </c>
    </row>
    <row r="84" spans="5:6">
      <c r="E84">
        <v>83</v>
      </c>
      <c r="F84">
        <f t="shared" si="1"/>
        <v>2.7876457170458897E-4</v>
      </c>
    </row>
    <row r="85" spans="5:6">
      <c r="E85">
        <v>84</v>
      </c>
      <c r="F85">
        <f t="shared" si="1"/>
        <v>2.6100227703355336E-4</v>
      </c>
    </row>
    <row r="86" spans="5:6">
      <c r="E86">
        <v>85</v>
      </c>
      <c r="F86">
        <f t="shared" si="1"/>
        <v>2.4437175857802267E-4</v>
      </c>
    </row>
    <row r="87" spans="5:6">
      <c r="E87">
        <v>86</v>
      </c>
      <c r="F87">
        <f t="shared" si="1"/>
        <v>2.2880090192791064E-4</v>
      </c>
    </row>
    <row r="88" spans="5:6">
      <c r="E88">
        <v>87</v>
      </c>
      <c r="F88">
        <f t="shared" si="1"/>
        <v>2.1422218765230661E-4</v>
      </c>
    </row>
    <row r="89" spans="5:6">
      <c r="E89">
        <v>88</v>
      </c>
      <c r="F89">
        <f t="shared" si="1"/>
        <v>2.0057239851702704E-4</v>
      </c>
    </row>
    <row r="90" spans="5:6">
      <c r="E90">
        <v>89</v>
      </c>
      <c r="F90">
        <f t="shared" si="1"/>
        <v>1.8779234535764905E-4</v>
      </c>
    </row>
    <row r="91" spans="5:6">
      <c r="E91">
        <v>90</v>
      </c>
      <c r="F91">
        <f t="shared" si="1"/>
        <v>1.758266104193434E-4</v>
      </c>
    </row>
    <row r="92" spans="5:6">
      <c r="E92">
        <v>91</v>
      </c>
      <c r="F92">
        <f t="shared" si="1"/>
        <v>1.6462330705055165E-4</v>
      </c>
    </row>
    <row r="93" spans="5:6">
      <c r="E93">
        <v>92</v>
      </c>
      <c r="F93">
        <f t="shared" si="1"/>
        <v>1.541338547084835E-4</v>
      </c>
    </row>
    <row r="94" spans="5:6">
      <c r="E94">
        <v>93</v>
      </c>
      <c r="F94">
        <f t="shared" si="1"/>
        <v>1.4431276830078913E-4</v>
      </c>
    </row>
    <row r="95" spans="5:6">
      <c r="E95">
        <v>94</v>
      </c>
      <c r="F95">
        <f t="shared" si="1"/>
        <v>1.3511746094994003E-4</v>
      </c>
    </row>
    <row r="96" spans="5:6">
      <c r="E96">
        <v>95</v>
      </c>
      <c r="F96">
        <f t="shared" si="1"/>
        <v>1.2650805932505095E-4</v>
      </c>
    </row>
    <row r="97" spans="5:6">
      <c r="E97">
        <v>96</v>
      </c>
      <c r="F97">
        <f t="shared" si="1"/>
        <v>1.1844723074037089E-4</v>
      </c>
    </row>
    <row r="98" spans="5:6">
      <c r="E98">
        <v>97</v>
      </c>
      <c r="F98">
        <f t="shared" si="1"/>
        <v>1.1090002127069641E-4</v>
      </c>
    </row>
    <row r="99" spans="5:6">
      <c r="E99">
        <v>98</v>
      </c>
      <c r="F99">
        <f t="shared" si="1"/>
        <v>1.0383370418173101E-4</v>
      </c>
    </row>
    <row r="100" spans="5:6">
      <c r="E100">
        <v>99</v>
      </c>
      <c r="F100">
        <f t="shared" si="1"/>
        <v>9.7217638018145885E-5</v>
      </c>
    </row>
    <row r="101" spans="5:6">
      <c r="E101">
        <v>100</v>
      </c>
      <c r="F101">
        <f t="shared" si="1"/>
        <v>9.102313373397043E-5</v>
      </c>
    </row>
    <row r="102" spans="5:6">
      <c r="E102">
        <v>101</v>
      </c>
      <c r="F102">
        <f t="shared" si="1"/>
        <v>8.5223330289158159E-5</v>
      </c>
    </row>
    <row r="103" spans="5:6">
      <c r="E103">
        <v>102</v>
      </c>
      <c r="F103">
        <f t="shared" si="1"/>
        <v>7.9793078172877121E-5</v>
      </c>
    </row>
    <row r="104" spans="5:6">
      <c r="E104">
        <v>103</v>
      </c>
      <c r="F104">
        <f t="shared" si="1"/>
        <v>7.4708830348452814E-5</v>
      </c>
    </row>
    <row r="105" spans="5:6">
      <c r="E105">
        <v>104</v>
      </c>
      <c r="F105">
        <f t="shared" si="1"/>
        <v>6.9948540147071427E-5</v>
      </c>
    </row>
    <row r="106" spans="5:6">
      <c r="E106">
        <v>105</v>
      </c>
      <c r="F106">
        <f t="shared" si="1"/>
        <v>6.5491565667481877E-5</v>
      </c>
    </row>
    <row r="107" spans="5:6">
      <c r="E107">
        <v>106</v>
      </c>
      <c r="F107">
        <f t="shared" si="1"/>
        <v>6.1318580267148999E-5</v>
      </c>
    </row>
    <row r="108" spans="5:6">
      <c r="E108">
        <v>107</v>
      </c>
      <c r="F108">
        <f t="shared" si="1"/>
        <v>5.7411488756722536E-5</v>
      </c>
    </row>
    <row r="109" spans="5:6">
      <c r="E109">
        <v>108</v>
      </c>
      <c r="F109">
        <f t="shared" si="1"/>
        <v>5.3753348934419728E-5</v>
      </c>
    </row>
    <row r="110" spans="5:6">
      <c r="E110">
        <v>109</v>
      </c>
      <c r="F110">
        <f t="shared" si="1"/>
        <v>5.0328298120071716E-5</v>
      </c>
    </row>
    <row r="111" spans="5:6">
      <c r="E111">
        <v>110</v>
      </c>
      <c r="F111">
        <f t="shared" si="1"/>
        <v>4.7121484370267912E-5</v>
      </c>
    </row>
    <row r="112" spans="5:6">
      <c r="E112">
        <v>111</v>
      </c>
      <c r="F112">
        <f t="shared" si="1"/>
        <v>4.4119002076326059E-5</v>
      </c>
    </row>
    <row r="113" spans="5:6">
      <c r="E113">
        <v>112</v>
      </c>
      <c r="F113">
        <f t="shared" si="1"/>
        <v>4.1307831665825694E-5</v>
      </c>
    </row>
    <row r="114" spans="5:6">
      <c r="E114">
        <v>113</v>
      </c>
      <c r="F114">
        <f t="shared" si="1"/>
        <v>3.867578314623311E-5</v>
      </c>
    </row>
    <row r="115" spans="5:6">
      <c r="E115">
        <v>114</v>
      </c>
      <c r="F115">
        <f t="shared" si="1"/>
        <v>3.621144324580821E-5</v>
      </c>
    </row>
    <row r="116" spans="5:6">
      <c r="E116">
        <v>115</v>
      </c>
      <c r="F116">
        <f t="shared" si="1"/>
        <v>3.3904125922582731E-5</v>
      </c>
    </row>
    <row r="117" spans="5:6">
      <c r="E117">
        <v>116</v>
      </c>
      <c r="F117">
        <f t="shared" si="1"/>
        <v>3.1743826026801861E-5</v>
      </c>
    </row>
    <row r="118" spans="5:6">
      <c r="E118">
        <v>117</v>
      </c>
      <c r="F118">
        <f t="shared" si="1"/>
        <v>2.9721175915898773E-5</v>
      </c>
    </row>
    <row r="119" spans="5:6">
      <c r="E119">
        <v>118</v>
      </c>
      <c r="F119">
        <f t="shared" si="1"/>
        <v>2.7827404833871426E-5</v>
      </c>
    </row>
    <row r="120" spans="5:6">
      <c r="E120">
        <v>119</v>
      </c>
      <c r="F120">
        <f t="shared" si="1"/>
        <v>2.6054300878921151E-5</v>
      </c>
    </row>
    <row r="121" spans="5:6">
      <c r="E121">
        <v>120</v>
      </c>
      <c r="F121">
        <f t="shared" si="1"/>
        <v>2.4394175394432946E-5</v>
      </c>
    </row>
    <row r="122" spans="5:6">
      <c r="E122">
        <v>121</v>
      </c>
      <c r="F122">
        <f t="shared" si="1"/>
        <v>2.2839829628888459E-5</v>
      </c>
    </row>
    <row r="123" spans="5:6">
      <c r="E123">
        <v>122</v>
      </c>
      <c r="F123">
        <f t="shared" si="1"/>
        <v>2.1384523520139146E-5</v>
      </c>
    </row>
    <row r="124" spans="5:6">
      <c r="E124">
        <v>123</v>
      </c>
      <c r="F124">
        <f t="shared" si="1"/>
        <v>2.0021946468680414E-5</v>
      </c>
    </row>
    <row r="125" spans="5:6">
      <c r="E125">
        <v>124</v>
      </c>
      <c r="F125">
        <f t="shared" si="1"/>
        <v>1.874618997319118E-5</v>
      </c>
    </row>
    <row r="126" spans="5:6">
      <c r="E126">
        <v>125</v>
      </c>
      <c r="F126">
        <f t="shared" si="1"/>
        <v>1.7551722009680011E-5</v>
      </c>
    </row>
    <row r="127" spans="5:6">
      <c r="E127">
        <v>126</v>
      </c>
      <c r="F127">
        <f t="shared" si="1"/>
        <v>1.643336304313811E-5</v>
      </c>
    </row>
    <row r="128" spans="5:6">
      <c r="E128">
        <v>127</v>
      </c>
      <c r="F128">
        <f t="shared" si="1"/>
        <v>1.5386263567679473E-5</v>
      </c>
    </row>
    <row r="129" spans="5:6">
      <c r="E129">
        <v>128</v>
      </c>
      <c r="F129">
        <f t="shared" si="1"/>
        <v>1.440588307777648E-5</v>
      </c>
    </row>
    <row r="130" spans="5:6">
      <c r="E130">
        <v>129</v>
      </c>
      <c r="F130">
        <f t="shared" si="1"/>
        <v>1.3487970379404199E-5</v>
      </c>
    </row>
    <row r="131" spans="5:6">
      <c r="E131">
        <v>130</v>
      </c>
      <c r="F131">
        <f t="shared" ref="F131:F194" si="2">$C$4*$D$6^-($C$4*E131)</f>
        <v>1.2628545155717352E-5</v>
      </c>
    </row>
    <row r="132" spans="5:6">
      <c r="E132">
        <v>131</v>
      </c>
      <c r="F132">
        <f t="shared" si="2"/>
        <v>1.1823880707323823E-5</v>
      </c>
    </row>
    <row r="133" spans="5:6">
      <c r="E133">
        <v>132</v>
      </c>
      <c r="F133">
        <f t="shared" si="2"/>
        <v>1.1070487792311581E-5</v>
      </c>
    </row>
    <row r="134" spans="5:6">
      <c r="E134">
        <v>133</v>
      </c>
      <c r="F134">
        <f t="shared" si="2"/>
        <v>1.0365099495955469E-5</v>
      </c>
    </row>
    <row r="135" spans="5:6">
      <c r="E135">
        <v>134</v>
      </c>
      <c r="F135">
        <f t="shared" si="2"/>
        <v>9.704657064494462E-6</v>
      </c>
    </row>
    <row r="136" spans="5:6">
      <c r="E136">
        <v>135</v>
      </c>
      <c r="F136">
        <f t="shared" si="2"/>
        <v>9.0862966415509997E-6</v>
      </c>
    </row>
    <row r="137" spans="5:6">
      <c r="E137">
        <v>136</v>
      </c>
      <c r="F137">
        <f t="shared" si="2"/>
        <v>8.5073368496779575E-6</v>
      </c>
    </row>
    <row r="138" spans="5:6">
      <c r="E138">
        <v>137</v>
      </c>
      <c r="F138">
        <f t="shared" si="2"/>
        <v>7.9652671631832278E-6</v>
      </c>
    </row>
    <row r="139" spans="5:6">
      <c r="E139">
        <v>138</v>
      </c>
      <c r="F139">
        <f t="shared" si="2"/>
        <v>7.4577370218139192E-6</v>
      </c>
    </row>
    <row r="140" spans="5:6">
      <c r="E140">
        <v>139</v>
      </c>
      <c r="F140">
        <f t="shared" si="2"/>
        <v>6.9825456380934381E-6</v>
      </c>
    </row>
    <row r="141" spans="5:6">
      <c r="E141">
        <v>140</v>
      </c>
      <c r="F141">
        <f t="shared" si="2"/>
        <v>6.537632454113937E-6</v>
      </c>
    </row>
    <row r="142" spans="5:6">
      <c r="E142">
        <v>141</v>
      </c>
      <c r="F142">
        <f t="shared" si="2"/>
        <v>6.1210682064018737E-6</v>
      </c>
    </row>
    <row r="143" spans="5:6">
      <c r="E143">
        <v>142</v>
      </c>
      <c r="F143">
        <f t="shared" si="2"/>
        <v>5.7310465601116324E-6</v>
      </c>
    </row>
    <row r="144" spans="5:6">
      <c r="E144">
        <v>143</v>
      </c>
      <c r="F144">
        <f t="shared" si="2"/>
        <v>5.3658762762708071E-6</v>
      </c>
    </row>
    <row r="145" spans="5:6">
      <c r="E145">
        <v>144</v>
      </c>
      <c r="F145">
        <f t="shared" si="2"/>
        <v>5.0239738781122505E-6</v>
      </c>
    </row>
    <row r="146" spans="5:6">
      <c r="E146">
        <v>145</v>
      </c>
      <c r="F146">
        <f t="shared" si="2"/>
        <v>4.7038567846919945E-6</v>
      </c>
    </row>
    <row r="147" spans="5:6">
      <c r="E147">
        <v>146</v>
      </c>
      <c r="F147">
        <f t="shared" si="2"/>
        <v>4.4041368820187445E-6</v>
      </c>
    </row>
    <row r="148" spans="5:6">
      <c r="E148">
        <v>147</v>
      </c>
      <c r="F148">
        <f t="shared" si="2"/>
        <v>4.1235145038174996E-6</v>
      </c>
    </row>
    <row r="149" spans="5:6">
      <c r="E149">
        <v>148</v>
      </c>
      <c r="F149">
        <f t="shared" si="2"/>
        <v>3.8607727958263044E-6</v>
      </c>
    </row>
    <row r="150" spans="5:6">
      <c r="E150">
        <v>149</v>
      </c>
      <c r="F150">
        <f t="shared" si="2"/>
        <v>3.6147724391882503E-6</v>
      </c>
    </row>
    <row r="151" spans="5:6">
      <c r="E151">
        <v>150</v>
      </c>
      <c r="F151">
        <f t="shared" si="2"/>
        <v>3.3844467100577833E-6</v>
      </c>
    </row>
    <row r="152" spans="5:6">
      <c r="E152">
        <v>151</v>
      </c>
      <c r="F152">
        <f t="shared" si="2"/>
        <v>3.1687968539987111E-6</v>
      </c>
    </row>
    <row r="153" spans="5:6">
      <c r="E153">
        <v>152</v>
      </c>
      <c r="F153">
        <f t="shared" si="2"/>
        <v>2.9668877551157217E-6</v>
      </c>
    </row>
    <row r="154" spans="5:6">
      <c r="E154">
        <v>153</v>
      </c>
      <c r="F154">
        <f t="shared" si="2"/>
        <v>2.7778438811398711E-6</v>
      </c>
    </row>
    <row r="155" spans="5:6">
      <c r="E155">
        <v>154</v>
      </c>
      <c r="F155">
        <f t="shared" si="2"/>
        <v>2.6008454868847151E-6</v>
      </c>
    </row>
    <row r="156" spans="5:6">
      <c r="E156">
        <v>155</v>
      </c>
      <c r="F156">
        <f t="shared" si="2"/>
        <v>2.4351250596102035E-6</v>
      </c>
    </row>
    <row r="157" spans="5:6">
      <c r="E157">
        <v>156</v>
      </c>
      <c r="F157">
        <f t="shared" si="2"/>
        <v>2.2799639908806519E-6</v>
      </c>
    </row>
    <row r="158" spans="5:6">
      <c r="E158">
        <v>157</v>
      </c>
      <c r="F158">
        <f t="shared" si="2"/>
        <v>2.1346894604848446E-6</v>
      </c>
    </row>
    <row r="159" spans="5:6">
      <c r="E159">
        <v>158</v>
      </c>
      <c r="F159">
        <f t="shared" si="2"/>
        <v>1.9986715189062887E-6</v>
      </c>
    </row>
    <row r="160" spans="5:6">
      <c r="E160">
        <v>159</v>
      </c>
      <c r="F160">
        <f t="shared" si="2"/>
        <v>1.8713203556923313E-6</v>
      </c>
    </row>
    <row r="161" spans="5:6">
      <c r="E161">
        <v>160</v>
      </c>
      <c r="F161">
        <f t="shared" si="2"/>
        <v>1.7520837418770782E-6</v>
      </c>
    </row>
    <row r="162" spans="5:6">
      <c r="E162">
        <v>161</v>
      </c>
      <c r="F162">
        <f t="shared" si="2"/>
        <v>1.6404446353677629E-6</v>
      </c>
    </row>
    <row r="163" spans="5:6">
      <c r="E163">
        <v>162</v>
      </c>
      <c r="F163">
        <f t="shared" si="2"/>
        <v>1.5359189389108976E-6</v>
      </c>
    </row>
    <row r="164" spans="5:6">
      <c r="E164">
        <v>163</v>
      </c>
      <c r="F164">
        <f t="shared" si="2"/>
        <v>1.438053400916097E-6</v>
      </c>
    </row>
    <row r="165" spans="5:6">
      <c r="E165">
        <v>164</v>
      </c>
      <c r="F165">
        <f t="shared" si="2"/>
        <v>1.3464236500350379E-6</v>
      </c>
    </row>
    <row r="166" spans="5:6">
      <c r="E166">
        <v>165</v>
      </c>
      <c r="F166">
        <f t="shared" si="2"/>
        <v>1.2606323549729182E-6</v>
      </c>
    </row>
    <row r="167" spans="5:6">
      <c r="E167">
        <v>166</v>
      </c>
      <c r="F167">
        <f t="shared" si="2"/>
        <v>1.1803075015528787E-6</v>
      </c>
    </row>
    <row r="168" spans="5:6">
      <c r="E168">
        <v>167</v>
      </c>
      <c r="F168">
        <f t="shared" si="2"/>
        <v>1.1051007795622791E-6</v>
      </c>
    </row>
    <row r="169" spans="5:6">
      <c r="E169">
        <v>168</v>
      </c>
      <c r="F169">
        <f t="shared" si="2"/>
        <v>1.0346860723857222E-6</v>
      </c>
    </row>
    <row r="170" spans="5:6">
      <c r="E170">
        <v>169</v>
      </c>
      <c r="F170">
        <f t="shared" si="2"/>
        <v>9.6875804287554619E-7</v>
      </c>
    </row>
    <row r="171" spans="5:6">
      <c r="E171">
        <v>170</v>
      </c>
      <c r="F171">
        <f t="shared" si="2"/>
        <v>9.0703080932763966E-7</v>
      </c>
    </row>
    <row r="172" spans="5:6">
      <c r="E172">
        <v>171</v>
      </c>
      <c r="F172">
        <f t="shared" si="2"/>
        <v>8.4923670582133567E-7</v>
      </c>
    </row>
    <row r="173" spans="5:6">
      <c r="E173">
        <v>172</v>
      </c>
      <c r="F173">
        <f t="shared" si="2"/>
        <v>7.9512512154783855E-7</v>
      </c>
    </row>
    <row r="174" spans="5:6">
      <c r="E174">
        <v>173</v>
      </c>
      <c r="F174">
        <f t="shared" si="2"/>
        <v>7.4446141409421445E-7</v>
      </c>
    </row>
    <row r="175" spans="5:6">
      <c r="E175">
        <v>174</v>
      </c>
      <c r="F175">
        <f t="shared" si="2"/>
        <v>6.9702589197065588E-7</v>
      </c>
    </row>
    <row r="176" spans="5:6">
      <c r="E176">
        <v>175</v>
      </c>
      <c r="F176">
        <f t="shared" si="2"/>
        <v>6.5261286196896553E-7</v>
      </c>
    </row>
    <row r="177" spans="5:6">
      <c r="E177">
        <v>176</v>
      </c>
      <c r="F177">
        <f t="shared" si="2"/>
        <v>6.1102973722137453E-7</v>
      </c>
    </row>
    <row r="178" spans="5:6">
      <c r="E178">
        <v>177</v>
      </c>
      <c r="F178">
        <f t="shared" si="2"/>
        <v>5.7209620209197897E-7</v>
      </c>
    </row>
    <row r="179" spans="5:6">
      <c r="E179">
        <v>178</v>
      </c>
      <c r="F179">
        <f t="shared" si="2"/>
        <v>5.3564343027954459E-7</v>
      </c>
    </row>
    <row r="180" spans="5:6">
      <c r="E180">
        <v>179</v>
      </c>
      <c r="F180">
        <f t="shared" si="2"/>
        <v>5.0151335274116921E-7</v>
      </c>
    </row>
    <row r="181" spans="5:6">
      <c r="E181">
        <v>180</v>
      </c>
      <c r="F181">
        <f t="shared" si="2"/>
        <v>4.6955797226230607E-7</v>
      </c>
    </row>
    <row r="182" spans="5:6">
      <c r="E182">
        <v>181</v>
      </c>
      <c r="F182">
        <f t="shared" si="2"/>
        <v>4.3963872170095508E-7</v>
      </c>
    </row>
    <row r="183" spans="5:6">
      <c r="E183">
        <v>182</v>
      </c>
      <c r="F183">
        <f t="shared" si="2"/>
        <v>4.1162586312319752E-7</v>
      </c>
    </row>
    <row r="184" spans="5:6">
      <c r="E184">
        <v>183</v>
      </c>
      <c r="F184">
        <f t="shared" si="2"/>
        <v>3.8539792522454064E-7</v>
      </c>
    </row>
    <row r="185" spans="5:6">
      <c r="E185">
        <v>184</v>
      </c>
      <c r="F185">
        <f t="shared" si="2"/>
        <v>3.608411765976076E-7</v>
      </c>
    </row>
    <row r="186" spans="5:6">
      <c r="E186">
        <v>185</v>
      </c>
      <c r="F186">
        <f t="shared" si="2"/>
        <v>3.3784913256210562E-7</v>
      </c>
    </row>
    <row r="187" spans="5:6">
      <c r="E187">
        <v>186</v>
      </c>
      <c r="F187">
        <f t="shared" si="2"/>
        <v>3.1632209341854692E-7</v>
      </c>
    </row>
    <row r="188" spans="5:6">
      <c r="E188">
        <v>187</v>
      </c>
      <c r="F188">
        <f t="shared" si="2"/>
        <v>2.9616671212349044E-7</v>
      </c>
    </row>
    <row r="189" spans="5:6">
      <c r="E189">
        <v>188</v>
      </c>
      <c r="F189">
        <f t="shared" si="2"/>
        <v>2.7729558951159706E-7</v>
      </c>
    </row>
    <row r="190" spans="5:6">
      <c r="E190">
        <v>189</v>
      </c>
      <c r="F190">
        <f t="shared" si="2"/>
        <v>2.5962689530929695E-7</v>
      </c>
    </row>
    <row r="191" spans="5:6">
      <c r="E191">
        <v>190</v>
      </c>
      <c r="F191">
        <f t="shared" si="2"/>
        <v>2.4308401329666877E-7</v>
      </c>
    </row>
    <row r="192" spans="5:6">
      <c r="E192">
        <v>191</v>
      </c>
      <c r="F192">
        <f t="shared" si="2"/>
        <v>2.2759520907886066E-7</v>
      </c>
    </row>
    <row r="193" spans="5:6">
      <c r="E193">
        <v>192</v>
      </c>
      <c r="F193">
        <f t="shared" si="2"/>
        <v>2.1309331902642349E-7</v>
      </c>
    </row>
    <row r="194" spans="5:6">
      <c r="E194">
        <v>193</v>
      </c>
      <c r="F194">
        <f t="shared" si="2"/>
        <v>1.9951545903570916E-7</v>
      </c>
    </row>
    <row r="195" spans="5:6">
      <c r="E195">
        <v>194</v>
      </c>
      <c r="F195">
        <f t="shared" ref="F195:F258" si="3">$C$4*$D$6^-($C$4*E195)</f>
        <v>1.868027518464517E-7</v>
      </c>
    </row>
    <row r="196" spans="5:6">
      <c r="E196">
        <v>195</v>
      </c>
      <c r="F196">
        <f t="shared" si="3"/>
        <v>1.7490007173409792E-7</v>
      </c>
    </row>
    <row r="197" spans="5:6">
      <c r="E197">
        <v>196</v>
      </c>
      <c r="F197">
        <f t="shared" si="3"/>
        <v>1.6375580546980898E-7</v>
      </c>
    </row>
    <row r="198" spans="5:6">
      <c r="E198">
        <v>197</v>
      </c>
      <c r="F198">
        <f t="shared" si="3"/>
        <v>1.5332162851159093E-7</v>
      </c>
    </row>
    <row r="199" spans="5:6">
      <c r="E199">
        <v>198</v>
      </c>
      <c r="F199">
        <f t="shared" si="3"/>
        <v>1.4355229545605532E-7</v>
      </c>
    </row>
    <row r="200" spans="5:6">
      <c r="E200">
        <v>199</v>
      </c>
      <c r="F200">
        <f t="shared" si="3"/>
        <v>1.344054438421559E-7</v>
      </c>
    </row>
    <row r="201" spans="5:6">
      <c r="E201">
        <v>200</v>
      </c>
      <c r="F201">
        <f t="shared" si="3"/>
        <v>1.2584141045614291E-7</v>
      </c>
    </row>
    <row r="202" spans="5:6">
      <c r="E202">
        <v>201</v>
      </c>
      <c r="F202">
        <f t="shared" si="3"/>
        <v>1.1782305934117584E-7</v>
      </c>
    </row>
    <row r="203" spans="5:6">
      <c r="E203">
        <v>202</v>
      </c>
      <c r="F203">
        <f t="shared" si="3"/>
        <v>1.1031562076580812E-7</v>
      </c>
    </row>
    <row r="204" spans="5:6">
      <c r="E204">
        <v>203</v>
      </c>
      <c r="F204">
        <f t="shared" si="3"/>
        <v>1.0328654045305977E-7</v>
      </c>
    </row>
    <row r="205" spans="5:6">
      <c r="E205">
        <v>204</v>
      </c>
      <c r="F205">
        <f t="shared" si="3"/>
        <v>9.6705338416298416E-8</v>
      </c>
    </row>
    <row r="206" spans="5:6">
      <c r="E206">
        <v>205</v>
      </c>
      <c r="F206">
        <f t="shared" si="3"/>
        <v>9.0543476789804515E-8</v>
      </c>
    </row>
    <row r="207" spans="5:6">
      <c r="E207">
        <v>206</v>
      </c>
      <c r="F207">
        <f t="shared" si="3"/>
        <v>8.4774236080892319E-8</v>
      </c>
    </row>
    <row r="208" spans="5:6">
      <c r="E208">
        <v>207</v>
      </c>
      <c r="F208">
        <f t="shared" si="3"/>
        <v>7.9372599306989589E-8</v>
      </c>
    </row>
    <row r="209" spans="5:6">
      <c r="E209">
        <v>208</v>
      </c>
      <c r="F209">
        <f t="shared" si="3"/>
        <v>7.4315143515258576E-8</v>
      </c>
    </row>
    <row r="210" spans="5:6">
      <c r="E210">
        <v>209</v>
      </c>
      <c r="F210">
        <f t="shared" si="3"/>
        <v>6.9579938214359718E-8</v>
      </c>
    </row>
    <row r="211" spans="5:6">
      <c r="E211">
        <v>210</v>
      </c>
      <c r="F211">
        <f t="shared" si="3"/>
        <v>6.514645027793136E-8</v>
      </c>
    </row>
    <row r="212" spans="5:6">
      <c r="E212">
        <v>211</v>
      </c>
      <c r="F212">
        <f t="shared" si="3"/>
        <v>6.09954549074192E-8</v>
      </c>
    </row>
    <row r="213" spans="5:6">
      <c r="E213">
        <v>212</v>
      </c>
      <c r="F213">
        <f t="shared" si="3"/>
        <v>5.7108952268168484E-8</v>
      </c>
    </row>
    <row r="214" spans="5:6">
      <c r="E214">
        <v>213</v>
      </c>
      <c r="F214">
        <f t="shared" si="3"/>
        <v>5.3470089437290963E-8</v>
      </c>
    </row>
    <row r="215" spans="5:6">
      <c r="E215">
        <v>214</v>
      </c>
      <c r="F215">
        <f t="shared" si="3"/>
        <v>5.0063087324847909E-8</v>
      </c>
    </row>
    <row r="216" spans="5:6">
      <c r="E216">
        <v>215</v>
      </c>
      <c r="F216">
        <f t="shared" si="3"/>
        <v>4.6873172251464502E-8</v>
      </c>
    </row>
    <row r="217" spans="5:6">
      <c r="E217">
        <v>216</v>
      </c>
      <c r="F217">
        <f t="shared" si="3"/>
        <v>4.3886511885673843E-8</v>
      </c>
    </row>
    <row r="218" spans="5:6">
      <c r="E218">
        <v>217</v>
      </c>
      <c r="F218">
        <f t="shared" si="3"/>
        <v>4.1090155263199798E-8</v>
      </c>
    </row>
    <row r="219" spans="5:6">
      <c r="E219">
        <v>218</v>
      </c>
      <c r="F219">
        <f t="shared" si="3"/>
        <v>3.8471976628086141E-8</v>
      </c>
    </row>
    <row r="220" spans="5:6">
      <c r="E220">
        <v>219</v>
      </c>
      <c r="F220">
        <f t="shared" si="3"/>
        <v>3.602062285214994E-8</v>
      </c>
    </row>
    <row r="221" spans="5:6">
      <c r="E221">
        <v>220</v>
      </c>
      <c r="F221">
        <f t="shared" si="3"/>
        <v>3.3725464204758669E-8</v>
      </c>
    </row>
    <row r="222" spans="5:6">
      <c r="E222">
        <v>221</v>
      </c>
      <c r="F222">
        <f t="shared" si="3"/>
        <v>3.1576548259452671E-8</v>
      </c>
    </row>
    <row r="223" spans="5:6">
      <c r="E223">
        <v>222</v>
      </c>
      <c r="F223">
        <f t="shared" si="3"/>
        <v>2.9564556737542363E-8</v>
      </c>
    </row>
    <row r="224" spans="5:6">
      <c r="E224">
        <v>223</v>
      </c>
      <c r="F224">
        <f t="shared" si="3"/>
        <v>2.7680765101540373E-8</v>
      </c>
    </row>
    <row r="225" spans="5:6">
      <c r="E225">
        <v>224</v>
      </c>
      <c r="F225">
        <f t="shared" si="3"/>
        <v>2.5917004723215373E-8</v>
      </c>
    </row>
    <row r="226" spans="5:6">
      <c r="E226">
        <v>225</v>
      </c>
      <c r="F226">
        <f t="shared" si="3"/>
        <v>2.4265627462218955E-8</v>
      </c>
    </row>
    <row r="227" spans="5:6">
      <c r="E227">
        <v>226</v>
      </c>
      <c r="F227">
        <f t="shared" si="3"/>
        <v>2.2719472501687385E-8</v>
      </c>
    </row>
    <row r="228" spans="5:6">
      <c r="E228">
        <v>227</v>
      </c>
      <c r="F228">
        <f t="shared" si="3"/>
        <v>2.1271835297010165E-8</v>
      </c>
    </row>
    <row r="229" spans="5:6">
      <c r="E229">
        <v>228</v>
      </c>
      <c r="F229">
        <f t="shared" si="3"/>
        <v>1.9916438503117608E-8</v>
      </c>
    </row>
    <row r="230" spans="5:6">
      <c r="E230">
        <v>229</v>
      </c>
      <c r="F230">
        <f t="shared" si="3"/>
        <v>1.864740475422066E-8</v>
      </c>
    </row>
    <row r="231" spans="5:6">
      <c r="E231">
        <v>230</v>
      </c>
      <c r="F231">
        <f t="shared" si="3"/>
        <v>1.745923117796884E-8</v>
      </c>
    </row>
    <row r="232" spans="5:6">
      <c r="E232">
        <v>231</v>
      </c>
      <c r="F232">
        <f t="shared" si="3"/>
        <v>1.6346765533512952E-8</v>
      </c>
    </row>
    <row r="233" spans="5:6">
      <c r="E233">
        <v>232</v>
      </c>
      <c r="F233">
        <f t="shared" si="3"/>
        <v>1.5305183869999808E-8</v>
      </c>
    </row>
    <row r="234" spans="5:6">
      <c r="E234">
        <v>233</v>
      </c>
      <c r="F234">
        <f t="shared" si="3"/>
        <v>1.4329969608621547E-8</v>
      </c>
    </row>
    <row r="235" spans="5:6">
      <c r="E235">
        <v>234</v>
      </c>
      <c r="F235">
        <f t="shared" si="3"/>
        <v>1.3416893957512455E-8</v>
      </c>
    </row>
    <row r="236" spans="5:6">
      <c r="E236">
        <v>235</v>
      </c>
      <c r="F236">
        <f t="shared" si="3"/>
        <v>1.2561997574567759E-8</v>
      </c>
    </row>
    <row r="237" spans="5:6">
      <c r="E237">
        <v>236</v>
      </c>
      <c r="F237">
        <f t="shared" si="3"/>
        <v>1.1761573398669388E-8</v>
      </c>
    </row>
    <row r="238" spans="5:6">
      <c r="E238">
        <v>237</v>
      </c>
      <c r="F238">
        <f t="shared" si="3"/>
        <v>1.1012150574869622E-8</v>
      </c>
    </row>
    <row r="239" spans="5:6">
      <c r="E239">
        <v>238</v>
      </c>
      <c r="F239">
        <f t="shared" si="3"/>
        <v>1.0310479403828827E-8</v>
      </c>
    </row>
    <row r="240" spans="5:6">
      <c r="E240">
        <v>239</v>
      </c>
      <c r="F240">
        <f t="shared" si="3"/>
        <v>9.6535172502430926E-9</v>
      </c>
    </row>
    <row r="241" spans="5:6">
      <c r="E241">
        <v>240</v>
      </c>
      <c r="F241">
        <f t="shared" si="3"/>
        <v>9.0384153491576974E-9</v>
      </c>
    </row>
    <row r="242" spans="5:6">
      <c r="E242">
        <v>241</v>
      </c>
      <c r="F242">
        <f t="shared" si="3"/>
        <v>8.4625064529544857E-9</v>
      </c>
    </row>
    <row r="243" spans="5:6">
      <c r="E243">
        <v>242</v>
      </c>
      <c r="F243">
        <f t="shared" si="3"/>
        <v>7.9232932654472464E-9</v>
      </c>
    </row>
    <row r="244" spans="5:6">
      <c r="E244">
        <v>243</v>
      </c>
      <c r="F244">
        <f t="shared" si="3"/>
        <v>7.4184376129325399E-9</v>
      </c>
    </row>
    <row r="245" spans="5:6">
      <c r="E245">
        <v>244</v>
      </c>
      <c r="F245">
        <f t="shared" si="3"/>
        <v>6.9457503052381961E-9</v>
      </c>
    </row>
    <row r="246" spans="5:6">
      <c r="E246">
        <v>245</v>
      </c>
      <c r="F246">
        <f t="shared" si="3"/>
        <v>6.5031816428049717E-9</v>
      </c>
    </row>
    <row r="247" spans="5:6">
      <c r="E247">
        <v>246</v>
      </c>
      <c r="F247">
        <f t="shared" si="3"/>
        <v>6.0888125286365451E-9</v>
      </c>
    </row>
    <row r="248" spans="5:6">
      <c r="E248">
        <v>247</v>
      </c>
      <c r="F248">
        <f t="shared" si="3"/>
        <v>5.7008461465779743E-9</v>
      </c>
    </row>
    <row r="249" spans="5:6">
      <c r="E249">
        <v>248</v>
      </c>
      <c r="F249">
        <f t="shared" si="3"/>
        <v>5.3376001698364862E-9</v>
      </c>
    </row>
    <row r="250" spans="5:6">
      <c r="E250">
        <v>249</v>
      </c>
      <c r="F250">
        <f t="shared" si="3"/>
        <v>4.9974994659590929E-9</v>
      </c>
    </row>
    <row r="251" spans="5:6">
      <c r="E251">
        <v>250</v>
      </c>
      <c r="F251">
        <f t="shared" si="3"/>
        <v>4.6790692666338475E-9</v>
      </c>
    </row>
    <row r="252" spans="5:6">
      <c r="E252">
        <v>251</v>
      </c>
      <c r="F252">
        <f t="shared" si="3"/>
        <v>4.3809287726968667E-9</v>
      </c>
    </row>
    <row r="253" spans="5:6">
      <c r="E253">
        <v>252</v>
      </c>
      <c r="F253">
        <f t="shared" si="3"/>
        <v>4.1017851666150925E-9</v>
      </c>
    </row>
    <row r="254" spans="5:6">
      <c r="E254">
        <v>253</v>
      </c>
      <c r="F254">
        <f t="shared" si="3"/>
        <v>3.8404280064810262E-9</v>
      </c>
    </row>
    <row r="255" spans="5:6">
      <c r="E255">
        <v>254</v>
      </c>
      <c r="F255">
        <f t="shared" si="3"/>
        <v>3.5957239772103971E-9</v>
      </c>
    </row>
    <row r="256" spans="5:6">
      <c r="E256">
        <v>255</v>
      </c>
      <c r="F256">
        <f t="shared" si="3"/>
        <v>3.3666119761825134E-9</v>
      </c>
    </row>
    <row r="257" spans="5:6">
      <c r="E257">
        <v>256</v>
      </c>
      <c r="F257">
        <f t="shared" si="3"/>
        <v>3.1520985120133254E-9</v>
      </c>
    </row>
    <row r="258" spans="5:6">
      <c r="E258">
        <v>257</v>
      </c>
      <c r="F258">
        <f t="shared" si="3"/>
        <v>2.9512533965090285E-9</v>
      </c>
    </row>
    <row r="259" spans="5:6">
      <c r="E259">
        <v>258</v>
      </c>
      <c r="F259">
        <f t="shared" ref="F259:F322" si="4">$C$4*$D$6^-($C$4*E259)</f>
        <v>2.7632057111193674E-9</v>
      </c>
    </row>
    <row r="260" spans="5:6">
      <c r="E260">
        <v>259</v>
      </c>
      <c r="F260">
        <f t="shared" si="4"/>
        <v>2.5871400304000648E-9</v>
      </c>
    </row>
    <row r="261" spans="5:6">
      <c r="E261">
        <v>260</v>
      </c>
      <c r="F261">
        <f t="shared" si="4"/>
        <v>2.4222928861083722E-9</v>
      </c>
    </row>
    <row r="262" spans="5:6">
      <c r="E262">
        <v>261</v>
      </c>
      <c r="F262">
        <f t="shared" si="4"/>
        <v>2.2679494565989541E-9</v>
      </c>
    </row>
    <row r="263" spans="5:6">
      <c r="E263">
        <v>262</v>
      </c>
      <c r="F263">
        <f t="shared" si="4"/>
        <v>2.1234404671646177E-9</v>
      </c>
    </row>
    <row r="264" spans="5:6">
      <c r="E264">
        <v>263</v>
      </c>
      <c r="F264">
        <f t="shared" si="4"/>
        <v>1.9881392878808059E-9</v>
      </c>
    </row>
    <row r="265" spans="5:6">
      <c r="E265">
        <v>264</v>
      </c>
      <c r="F265">
        <f t="shared" si="4"/>
        <v>1.8614592163693282E-9</v>
      </c>
    </row>
    <row r="266" spans="5:6">
      <c r="E266">
        <v>265</v>
      </c>
      <c r="F266">
        <f t="shared" si="4"/>
        <v>1.7428509336987979E-9</v>
      </c>
    </row>
    <row r="267" spans="5:6">
      <c r="E267">
        <v>266</v>
      </c>
      <c r="F267">
        <f t="shared" si="4"/>
        <v>1.6318001223896284E-9</v>
      </c>
    </row>
    <row r="268" spans="5:6">
      <c r="E268">
        <v>267</v>
      </c>
      <c r="F268">
        <f t="shared" si="4"/>
        <v>1.5278252361948651E-9</v>
      </c>
    </row>
    <row r="269" spans="5:6">
      <c r="E269">
        <v>268</v>
      </c>
      <c r="F269">
        <f t="shared" si="4"/>
        <v>1.4304754119858688E-9</v>
      </c>
    </row>
    <row r="270" spans="5:6">
      <c r="E270">
        <v>269</v>
      </c>
      <c r="F270">
        <f t="shared" si="4"/>
        <v>1.3393285146882766E-9</v>
      </c>
    </row>
    <row r="271" spans="5:6">
      <c r="E271">
        <v>270</v>
      </c>
      <c r="F271">
        <f t="shared" si="4"/>
        <v>1.2539893067905675E-9</v>
      </c>
    </row>
    <row r="272" spans="5:6">
      <c r="E272">
        <v>271</v>
      </c>
      <c r="F272">
        <f t="shared" si="4"/>
        <v>1.1740877344876695E-9</v>
      </c>
    </row>
    <row r="273" spans="5:6">
      <c r="E273">
        <v>272</v>
      </c>
      <c r="F273">
        <f t="shared" si="4"/>
        <v>1.0992773230279288E-9</v>
      </c>
    </row>
    <row r="274" spans="5:6">
      <c r="E274">
        <v>273</v>
      </c>
      <c r="F274">
        <f t="shared" si="4"/>
        <v>1.0292336743052319E-9</v>
      </c>
    </row>
    <row r="275" spans="5:6">
      <c r="E275">
        <v>274</v>
      </c>
      <c r="F275">
        <f t="shared" si="4"/>
        <v>9.6365306018136644E-10</v>
      </c>
    </row>
    <row r="276" spans="5:6">
      <c r="E276">
        <v>275</v>
      </c>
      <c r="F276">
        <f t="shared" si="4"/>
        <v>9.0225110543897712E-10</v>
      </c>
    </row>
    <row r="277" spans="5:6">
      <c r="E277">
        <v>276</v>
      </c>
      <c r="F277">
        <f t="shared" si="4"/>
        <v>8.447615546539589E-10</v>
      </c>
    </row>
    <row r="278" spans="5:6">
      <c r="E278">
        <v>277</v>
      </c>
      <c r="F278">
        <f t="shared" si="4"/>
        <v>7.909351176401954E-10</v>
      </c>
    </row>
    <row r="279" spans="5:6">
      <c r="E279">
        <v>278</v>
      </c>
      <c r="F279">
        <f t="shared" si="4"/>
        <v>7.4053838846012168E-10</v>
      </c>
    </row>
    <row r="280" spans="5:6">
      <c r="E280">
        <v>279</v>
      </c>
      <c r="F280">
        <f t="shared" si="4"/>
        <v>6.9335283331367476E-10</v>
      </c>
    </row>
    <row r="281" spans="5:6">
      <c r="E281">
        <v>280</v>
      </c>
      <c r="F281">
        <f t="shared" si="4"/>
        <v>6.4917384291683931E-10</v>
      </c>
    </row>
    <row r="282" spans="5:6">
      <c r="E282">
        <v>281</v>
      </c>
      <c r="F282">
        <f t="shared" si="4"/>
        <v>6.0780984526064908E-10</v>
      </c>
    </row>
    <row r="283" spans="5:6">
      <c r="E283">
        <v>282</v>
      </c>
      <c r="F283">
        <f t="shared" si="4"/>
        <v>5.6908147490332453E-10</v>
      </c>
    </row>
    <row r="284" spans="5:6">
      <c r="E284">
        <v>283</v>
      </c>
      <c r="F284">
        <f t="shared" si="4"/>
        <v>5.3282079519337834E-10</v>
      </c>
    </row>
    <row r="285" spans="5:6">
      <c r="E285">
        <v>284</v>
      </c>
      <c r="F285">
        <f t="shared" si="4"/>
        <v>4.9887057005103271E-10</v>
      </c>
    </row>
    <row r="286" spans="5:6">
      <c r="E286">
        <v>285</v>
      </c>
      <c r="F286">
        <f t="shared" si="4"/>
        <v>4.6708358215020051E-10</v>
      </c>
    </row>
    <row r="287" spans="5:6">
      <c r="E287">
        <v>286</v>
      </c>
      <c r="F287">
        <f t="shared" si="4"/>
        <v>4.37321994544489E-10</v>
      </c>
    </row>
    <row r="288" spans="5:6">
      <c r="E288">
        <v>287</v>
      </c>
      <c r="F288">
        <f t="shared" si="4"/>
        <v>4.0945675296904249E-10</v>
      </c>
    </row>
    <row r="289" spans="5:6">
      <c r="E289">
        <v>288</v>
      </c>
      <c r="F289">
        <f t="shared" si="4"/>
        <v>3.8336702622647494E-10</v>
      </c>
    </row>
    <row r="290" spans="5:6">
      <c r="E290">
        <v>289</v>
      </c>
      <c r="F290">
        <f t="shared" si="4"/>
        <v>3.5893968223023338E-10</v>
      </c>
    </row>
    <row r="291" spans="5:6">
      <c r="E291">
        <v>290</v>
      </c>
      <c r="F291">
        <f t="shared" si="4"/>
        <v>3.3606879743337347E-10</v>
      </c>
    </row>
    <row r="292" spans="5:6">
      <c r="E292">
        <v>291</v>
      </c>
      <c r="F292">
        <f t="shared" si="4"/>
        <v>3.1465519751552596E-10</v>
      </c>
    </row>
    <row r="293" spans="5:6">
      <c r="E293">
        <v>292</v>
      </c>
      <c r="F293">
        <f t="shared" si="4"/>
        <v>2.9460602733630232E-10</v>
      </c>
    </row>
    <row r="294" spans="5:6">
      <c r="E294">
        <v>293</v>
      </c>
      <c r="F294">
        <f t="shared" si="4"/>
        <v>2.75834348290387E-10</v>
      </c>
    </row>
    <row r="295" spans="5:6">
      <c r="E295">
        <v>294</v>
      </c>
      <c r="F295">
        <f t="shared" si="4"/>
        <v>2.5825876131831306E-10</v>
      </c>
    </row>
    <row r="296" spans="5:6">
      <c r="E296">
        <v>295</v>
      </c>
      <c r="F296">
        <f t="shared" si="4"/>
        <v>2.418030539382017E-10</v>
      </c>
    </row>
    <row r="297" spans="5:6">
      <c r="E297">
        <v>296</v>
      </c>
      <c r="F297">
        <f t="shared" si="4"/>
        <v>2.2639586976790431E-10</v>
      </c>
    </row>
    <row r="298" spans="5:6">
      <c r="E298">
        <v>297</v>
      </c>
      <c r="F298">
        <f t="shared" si="4"/>
        <v>2.1197039910449315E-10</v>
      </c>
    </row>
    <row r="299" spans="5:6">
      <c r="E299">
        <v>298</v>
      </c>
      <c r="F299">
        <f t="shared" si="4"/>
        <v>1.984640892193878E-10</v>
      </c>
    </row>
    <row r="300" spans="5:6">
      <c r="E300">
        <v>299</v>
      </c>
      <c r="F300">
        <f t="shared" si="4"/>
        <v>1.8581837311286202E-10</v>
      </c>
    </row>
    <row r="301" spans="5:6">
      <c r="E301">
        <v>300</v>
      </c>
      <c r="F301">
        <f t="shared" si="4"/>
        <v>1.7397841555175222E-10</v>
      </c>
    </row>
    <row r="302" spans="5:6">
      <c r="E302">
        <v>301</v>
      </c>
      <c r="F302">
        <f t="shared" si="4"/>
        <v>1.6289287528910756E-10</v>
      </c>
    </row>
    <row r="303" spans="5:6">
      <c r="E303">
        <v>302</v>
      </c>
      <c r="F303">
        <f t="shared" si="4"/>
        <v>1.5251368243470307E-10</v>
      </c>
    </row>
    <row r="304" spans="5:6">
      <c r="E304">
        <v>303</v>
      </c>
      <c r="F304">
        <f t="shared" si="4"/>
        <v>1.4279583001104319E-10</v>
      </c>
    </row>
    <row r="305" spans="5:6">
      <c r="E305">
        <v>304</v>
      </c>
      <c r="F305">
        <f t="shared" si="4"/>
        <v>1.336971787909767E-10</v>
      </c>
    </row>
    <row r="306" spans="5:6">
      <c r="E306">
        <v>305</v>
      </c>
      <c r="F306">
        <f t="shared" si="4"/>
        <v>1.2517827457065071E-10</v>
      </c>
    </row>
    <row r="307" spans="5:6">
      <c r="E307">
        <v>306</v>
      </c>
      <c r="F307">
        <f t="shared" si="4"/>
        <v>1.1720217708545112E-10</v>
      </c>
    </row>
    <row r="308" spans="5:6">
      <c r="E308">
        <v>307</v>
      </c>
      <c r="F308">
        <f t="shared" si="4"/>
        <v>1.0973429982705735E-10</v>
      </c>
    </row>
    <row r="309" spans="5:6">
      <c r="E309">
        <v>308</v>
      </c>
      <c r="F309">
        <f t="shared" si="4"/>
        <v>1.0274226006702107E-10</v>
      </c>
    </row>
    <row r="310" spans="5:6">
      <c r="E310">
        <v>309</v>
      </c>
      <c r="F310">
        <f t="shared" si="4"/>
        <v>9.6195738436530231E-11</v>
      </c>
    </row>
    <row r="311" spans="5:6">
      <c r="E311">
        <v>310</v>
      </c>
      <c r="F311">
        <f t="shared" si="4"/>
        <v>9.0066347453452576E-11</v>
      </c>
    </row>
    <row r="312" spans="5:6">
      <c r="E312">
        <v>311</v>
      </c>
      <c r="F312">
        <f t="shared" si="4"/>
        <v>8.4327508426564224E-11</v>
      </c>
    </row>
    <row r="313" spans="5:6">
      <c r="E313">
        <v>312</v>
      </c>
      <c r="F313">
        <f t="shared" si="4"/>
        <v>7.8954336203179358E-11</v>
      </c>
    </row>
    <row r="314" spans="5:6">
      <c r="E314">
        <v>313</v>
      </c>
      <c r="F314">
        <f t="shared" si="4"/>
        <v>7.3923531260422685E-11</v>
      </c>
    </row>
    <row r="315" spans="5:6">
      <c r="E315">
        <v>314</v>
      </c>
      <c r="F315">
        <f t="shared" si="4"/>
        <v>6.9213278672218605E-11</v>
      </c>
    </row>
    <row r="316" spans="5:6">
      <c r="E316">
        <v>315</v>
      </c>
      <c r="F316">
        <f t="shared" si="4"/>
        <v>6.4803153513892098E-11</v>
      </c>
    </row>
    <row r="317" spans="5:6">
      <c r="E317">
        <v>316</v>
      </c>
      <c r="F317">
        <f t="shared" si="4"/>
        <v>6.0674032294191913E-11</v>
      </c>
    </row>
    <row r="318" spans="5:6">
      <c r="E318">
        <v>317</v>
      </c>
      <c r="F318">
        <f t="shared" si="4"/>
        <v>5.6808010030676165E-11</v>
      </c>
    </row>
    <row r="319" spans="5:6">
      <c r="E319">
        <v>318</v>
      </c>
      <c r="F319">
        <f t="shared" si="4"/>
        <v>5.3188322608885303E-11</v>
      </c>
    </row>
    <row r="320" spans="5:6">
      <c r="E320">
        <v>319</v>
      </c>
      <c r="F320">
        <f t="shared" si="4"/>
        <v>4.9799274088622508E-11</v>
      </c>
    </row>
    <row r="321" spans="5:6">
      <c r="E321">
        <v>320</v>
      </c>
      <c r="F321">
        <f t="shared" si="4"/>
        <v>4.6626168642127123E-11</v>
      </c>
    </row>
    <row r="322" spans="5:6">
      <c r="E322">
        <v>321</v>
      </c>
      <c r="F322">
        <f t="shared" si="4"/>
        <v>4.3655246829004646E-11</v>
      </c>
    </row>
    <row r="323" spans="5:6">
      <c r="E323">
        <v>322</v>
      </c>
      <c r="F323">
        <f t="shared" ref="F323:F386" si="5">$C$4*$D$6^-($C$4*E323)</f>
        <v>4.0873625931585516E-11</v>
      </c>
    </row>
    <row r="324" spans="5:6">
      <c r="E324">
        <v>323</v>
      </c>
      <c r="F324">
        <f t="shared" si="5"/>
        <v>3.8269244091988375E-11</v>
      </c>
    </row>
    <row r="325" spans="5:6">
      <c r="E325">
        <v>324</v>
      </c>
      <c r="F325">
        <f t="shared" si="5"/>
        <v>3.583080800865412E-11</v>
      </c>
    </row>
    <row r="326" spans="5:6">
      <c r="E326">
        <v>325</v>
      </c>
      <c r="F326">
        <f t="shared" si="5"/>
        <v>3.3547743965546706E-11</v>
      </c>
    </row>
    <row r="327" spans="5:6">
      <c r="E327">
        <v>326</v>
      </c>
      <c r="F327">
        <f t="shared" si="5"/>
        <v>3.141015198167008E-11</v>
      </c>
    </row>
    <row r="328" spans="5:6">
      <c r="E328">
        <v>327</v>
      </c>
      <c r="F328">
        <f t="shared" si="5"/>
        <v>2.9408762882083667E-11</v>
      </c>
    </row>
    <row r="329" spans="5:6">
      <c r="E329">
        <v>328</v>
      </c>
      <c r="F329">
        <f t="shared" si="5"/>
        <v>2.7534898104260518E-11</v>
      </c>
    </row>
    <row r="330" spans="5:6">
      <c r="E330">
        <v>329</v>
      </c>
      <c r="F330">
        <f t="shared" si="5"/>
        <v>2.5780432065501813E-11</v>
      </c>
    </row>
    <row r="331" spans="5:6">
      <c r="E331">
        <v>330</v>
      </c>
      <c r="F331">
        <f t="shared" si="5"/>
        <v>2.4137756928220292E-11</v>
      </c>
    </row>
    <row r="332" spans="5:6">
      <c r="E332">
        <v>331</v>
      </c>
      <c r="F332">
        <f t="shared" si="5"/>
        <v>2.2599749610305991E-11</v>
      </c>
    </row>
    <row r="333" spans="5:6">
      <c r="E333">
        <v>332</v>
      </c>
      <c r="F333">
        <f t="shared" si="5"/>
        <v>2.1159740897522811E-11</v>
      </c>
    </row>
    <row r="334" spans="5:6">
      <c r="E334">
        <v>333</v>
      </c>
      <c r="F334">
        <f t="shared" si="5"/>
        <v>1.9811486523997708E-11</v>
      </c>
    </row>
    <row r="335" spans="5:6">
      <c r="E335">
        <v>334</v>
      </c>
      <c r="F335">
        <f t="shared" si="5"/>
        <v>1.8549140095401349E-11</v>
      </c>
    </row>
    <row r="336" spans="5:6">
      <c r="E336">
        <v>335</v>
      </c>
      <c r="F336">
        <f t="shared" si="5"/>
        <v>1.7367227737406331E-11</v>
      </c>
    </row>
    <row r="337" spans="5:6">
      <c r="E337">
        <v>336</v>
      </c>
      <c r="F337">
        <f t="shared" si="5"/>
        <v>1.6260624359493178E-11</v>
      </c>
    </row>
    <row r="338" spans="5:6">
      <c r="E338">
        <v>337</v>
      </c>
      <c r="F338">
        <f t="shared" si="5"/>
        <v>1.5224531431176549E-11</v>
      </c>
    </row>
    <row r="339" spans="5:6">
      <c r="E339">
        <v>338</v>
      </c>
      <c r="F339">
        <f t="shared" si="5"/>
        <v>1.4254456174283528E-11</v>
      </c>
    </row>
    <row r="340" spans="5:6">
      <c r="E340">
        <v>339</v>
      </c>
      <c r="F340">
        <f t="shared" si="5"/>
        <v>1.3346192081056865E-11</v>
      </c>
    </row>
    <row r="341" spans="5:6">
      <c r="E341">
        <v>340</v>
      </c>
      <c r="F341">
        <f t="shared" si="5"/>
        <v>1.249580067360359E-11</v>
      </c>
    </row>
    <row r="342" spans="5:6">
      <c r="E342">
        <v>341</v>
      </c>
      <c r="F342">
        <f t="shared" si="5"/>
        <v>1.1699594425593376E-11</v>
      </c>
    </row>
    <row r="343" spans="5:6">
      <c r="E343">
        <v>342</v>
      </c>
      <c r="F343">
        <f t="shared" si="5"/>
        <v>1.0954120772150763E-11</v>
      </c>
    </row>
    <row r="344" spans="5:6">
      <c r="E344">
        <v>343</v>
      </c>
      <c r="F344">
        <f t="shared" si="5"/>
        <v>1.025614713860294E-11</v>
      </c>
    </row>
    <row r="345" spans="5:6">
      <c r="E345">
        <v>344</v>
      </c>
      <c r="F345">
        <f t="shared" si="5"/>
        <v>9.6026469231651776E-12</v>
      </c>
    </row>
    <row r="346" spans="5:6">
      <c r="E346">
        <v>345</v>
      </c>
      <c r="F346">
        <f t="shared" si="5"/>
        <v>8.9907863727795841E-12</v>
      </c>
    </row>
    <row r="347" spans="5:6">
      <c r="E347">
        <v>346</v>
      </c>
      <c r="F347">
        <f t="shared" si="5"/>
        <v>8.4179122951981456E-12</v>
      </c>
    </row>
    <row r="348" spans="5:6">
      <c r="E348">
        <v>347</v>
      </c>
      <c r="F348">
        <f t="shared" si="5"/>
        <v>7.8815405540261953E-12</v>
      </c>
    </row>
    <row r="349" spans="5:6">
      <c r="E349">
        <v>348</v>
      </c>
      <c r="F349">
        <f t="shared" si="5"/>
        <v>7.3793452968373264E-12</v>
      </c>
    </row>
    <row r="350" spans="5:6">
      <c r="E350">
        <v>349</v>
      </c>
      <c r="F350">
        <f t="shared" si="5"/>
        <v>6.9091488696505625E-12</v>
      </c>
    </row>
    <row r="351" spans="5:6">
      <c r="E351">
        <v>350</v>
      </c>
      <c r="F351">
        <f t="shared" si="5"/>
        <v>6.4689123740357719E-12</v>
      </c>
    </row>
    <row r="352" spans="5:6">
      <c r="E352">
        <v>351</v>
      </c>
      <c r="F352">
        <f t="shared" si="5"/>
        <v>6.056726825900565E-12</v>
      </c>
    </row>
    <row r="353" spans="5:6">
      <c r="E353">
        <v>352</v>
      </c>
      <c r="F353">
        <f t="shared" si="5"/>
        <v>5.6708048776207885E-12</v>
      </c>
    </row>
    <row r="354" spans="5:6">
      <c r="E354">
        <v>353</v>
      </c>
      <c r="F354">
        <f t="shared" si="5"/>
        <v>5.3094730676195215E-12</v>
      </c>
    </row>
    <row r="355" spans="5:6">
      <c r="E355">
        <v>354</v>
      </c>
      <c r="F355">
        <f t="shared" si="5"/>
        <v>4.9711645637866687E-12</v>
      </c>
    </row>
    <row r="356" spans="5:6">
      <c r="E356">
        <v>355</v>
      </c>
      <c r="F356">
        <f t="shared" si="5"/>
        <v>4.654412369272649E-12</v>
      </c>
    </row>
    <row r="357" spans="5:6">
      <c r="E357">
        <v>356</v>
      </c>
      <c r="F357">
        <f t="shared" si="5"/>
        <v>4.3578429611946808E-12</v>
      </c>
    </row>
    <row r="358" spans="5:6">
      <c r="E358">
        <v>357</v>
      </c>
      <c r="F358">
        <f t="shared" si="5"/>
        <v>4.0801703346714435E-12</v>
      </c>
    </row>
    <row r="359" spans="5:6">
      <c r="E359">
        <v>358</v>
      </c>
      <c r="F359">
        <f t="shared" si="5"/>
        <v>3.8201904263592302E-12</v>
      </c>
    </row>
    <row r="360" spans="5:6">
      <c r="E360">
        <v>359</v>
      </c>
      <c r="F360">
        <f t="shared" si="5"/>
        <v>3.5767758933088493E-12</v>
      </c>
    </row>
    <row r="361" spans="5:6">
      <c r="E361">
        <v>360</v>
      </c>
      <c r="F361">
        <f t="shared" si="5"/>
        <v>3.3488712245027606E-12</v>
      </c>
    </row>
    <row r="362" spans="5:6">
      <c r="E362">
        <v>361</v>
      </c>
      <c r="F362">
        <f t="shared" si="5"/>
        <v>3.1354881638747808E-12</v>
      </c>
    </row>
    <row r="363" spans="5:6">
      <c r="E363">
        <v>362</v>
      </c>
      <c r="F363">
        <f t="shared" si="5"/>
        <v>2.9357014249655489E-12</v>
      </c>
    </row>
    <row r="364" spans="5:6">
      <c r="E364">
        <v>363</v>
      </c>
      <c r="F364">
        <f t="shared" si="5"/>
        <v>2.7486446786309539E-12</v>
      </c>
    </row>
    <row r="365" spans="5:6">
      <c r="E365">
        <v>364</v>
      </c>
      <c r="F365">
        <f t="shared" si="5"/>
        <v>2.5735067964055365E-12</v>
      </c>
    </row>
    <row r="366" spans="5:6">
      <c r="E366">
        <v>365</v>
      </c>
      <c r="F366">
        <f t="shared" si="5"/>
        <v>2.4095283332308506E-12</v>
      </c>
    </row>
    <row r="367" spans="5:6">
      <c r="E367">
        <v>366</v>
      </c>
      <c r="F367">
        <f t="shared" si="5"/>
        <v>2.2559982342970079E-12</v>
      </c>
    </row>
    <row r="368" spans="5:6">
      <c r="E368">
        <v>367</v>
      </c>
      <c r="F368">
        <f t="shared" si="5"/>
        <v>2.1122507517173841E-12</v>
      </c>
    </row>
    <row r="369" spans="5:6">
      <c r="E369">
        <v>368</v>
      </c>
      <c r="F369">
        <f t="shared" si="5"/>
        <v>1.9776625576663852E-12</v>
      </c>
    </row>
    <row r="370" spans="5:6">
      <c r="E370">
        <v>369</v>
      </c>
      <c r="F370">
        <f t="shared" si="5"/>
        <v>1.8516500414619658E-12</v>
      </c>
    </row>
    <row r="371" spans="5:6">
      <c r="E371">
        <v>370</v>
      </c>
      <c r="F371">
        <f t="shared" si="5"/>
        <v>1.733666778872427E-12</v>
      </c>
    </row>
    <row r="372" spans="5:6">
      <c r="E372">
        <v>371</v>
      </c>
      <c r="F372">
        <f t="shared" si="5"/>
        <v>1.6232011626737155E-12</v>
      </c>
    </row>
    <row r="373" spans="5:6">
      <c r="E373">
        <v>372</v>
      </c>
      <c r="F373">
        <f t="shared" si="5"/>
        <v>1.5197741841825848E-12</v>
      </c>
    </row>
    <row r="374" spans="5:6">
      <c r="E374">
        <v>373</v>
      </c>
      <c r="F374">
        <f t="shared" si="5"/>
        <v>1.4229373561458767E-12</v>
      </c>
    </row>
    <row r="375" spans="5:6">
      <c r="E375">
        <v>374</v>
      </c>
      <c r="F375">
        <f t="shared" si="5"/>
        <v>1.3322707679788859E-12</v>
      </c>
    </row>
    <row r="376" spans="5:6">
      <c r="E376">
        <v>375</v>
      </c>
      <c r="F376">
        <f t="shared" si="5"/>
        <v>1.2473812649199203E-12</v>
      </c>
    </row>
    <row r="377" spans="5:6">
      <c r="E377">
        <v>376</v>
      </c>
      <c r="F377">
        <f t="shared" si="5"/>
        <v>1.1679007432052876E-12</v>
      </c>
    </row>
    <row r="378" spans="5:6">
      <c r="E378">
        <v>377</v>
      </c>
      <c r="F378">
        <f t="shared" si="5"/>
        <v>1.093484553872167E-12</v>
      </c>
    </row>
    <row r="379" spans="5:6">
      <c r="E379">
        <v>378</v>
      </c>
      <c r="F379">
        <f t="shared" si="5"/>
        <v>1.0238100082678389E-12</v>
      </c>
    </row>
    <row r="380" spans="5:6">
      <c r="E380">
        <v>379</v>
      </c>
      <c r="F380">
        <f t="shared" si="5"/>
        <v>9.5857497878468075E-13</v>
      </c>
    </row>
    <row r="381" spans="5:6">
      <c r="E381">
        <v>380</v>
      </c>
      <c r="F381">
        <f t="shared" si="5"/>
        <v>8.9749658875347369E-13</v>
      </c>
    </row>
    <row r="382" spans="5:6">
      <c r="E382">
        <v>381</v>
      </c>
      <c r="F382">
        <f t="shared" si="5"/>
        <v>8.4030998581390751E-13</v>
      </c>
    </row>
    <row r="383" spans="5:6">
      <c r="E383">
        <v>382</v>
      </c>
      <c r="F383">
        <f t="shared" si="5"/>
        <v>7.8676719344336801E-13</v>
      </c>
    </row>
    <row r="384" spans="5:6">
      <c r="E384">
        <v>383</v>
      </c>
      <c r="F384">
        <f t="shared" si="5"/>
        <v>7.3663603566391341E-13</v>
      </c>
    </row>
    <row r="385" spans="5:6">
      <c r="E385">
        <v>384</v>
      </c>
      <c r="F385">
        <f t="shared" si="5"/>
        <v>6.896991302646446E-13</v>
      </c>
    </row>
    <row r="386" spans="5:6">
      <c r="E386">
        <v>385</v>
      </c>
      <c r="F386">
        <f t="shared" si="5"/>
        <v>6.4575294617386359E-13</v>
      </c>
    </row>
    <row r="387" spans="5:6">
      <c r="E387">
        <v>386</v>
      </c>
      <c r="F387">
        <f t="shared" ref="F387:F450" si="6">$C$4*$D$6^-($C$4*E387)</f>
        <v>6.0460692089348964E-13</v>
      </c>
    </row>
    <row r="388" spans="5:6">
      <c r="E388">
        <v>387</v>
      </c>
      <c r="F388">
        <f t="shared" si="6"/>
        <v>5.6608263416871098E-13</v>
      </c>
    </row>
    <row r="389" spans="5:6">
      <c r="E389">
        <v>388</v>
      </c>
      <c r="F389">
        <f t="shared" si="6"/>
        <v>5.3001303430967264E-13</v>
      </c>
    </row>
    <row r="390" spans="5:6">
      <c r="E390">
        <v>389</v>
      </c>
      <c r="F390">
        <f t="shared" si="6"/>
        <v>4.962417138103282E-13</v>
      </c>
    </row>
    <row r="391" spans="5:6">
      <c r="E391">
        <v>390</v>
      </c>
      <c r="F391">
        <f t="shared" si="6"/>
        <v>4.6462223112334046E-13</v>
      </c>
    </row>
    <row r="392" spans="5:6">
      <c r="E392">
        <v>391</v>
      </c>
      <c r="F392">
        <f t="shared" si="6"/>
        <v>4.3501747565006461E-13</v>
      </c>
    </row>
    <row r="393" spans="5:6">
      <c r="E393">
        <v>392</v>
      </c>
      <c r="F393">
        <f t="shared" si="6"/>
        <v>4.0729907319203906E-13</v>
      </c>
    </row>
    <row r="394" spans="5:6">
      <c r="E394">
        <v>393</v>
      </c>
      <c r="F394">
        <f t="shared" si="6"/>
        <v>3.8134682928586829E-13</v>
      </c>
    </row>
    <row r="395" spans="5:6">
      <c r="E395">
        <v>394</v>
      </c>
      <c r="F395">
        <f t="shared" si="6"/>
        <v>3.5704820800762774E-13</v>
      </c>
    </row>
    <row r="396" spans="5:6">
      <c r="E396">
        <v>395</v>
      </c>
      <c r="F396">
        <f t="shared" si="6"/>
        <v>3.3429784398677426E-13</v>
      </c>
    </row>
    <row r="397" spans="5:6">
      <c r="E397">
        <v>396</v>
      </c>
      <c r="F397">
        <f t="shared" si="6"/>
        <v>3.1299708551350179E-13</v>
      </c>
    </row>
    <row r="398" spans="5:6">
      <c r="E398">
        <v>397</v>
      </c>
      <c r="F398">
        <f t="shared" si="6"/>
        <v>2.9305356675833517E-13</v>
      </c>
    </row>
    <row r="399" spans="5:6">
      <c r="E399">
        <v>398</v>
      </c>
      <c r="F399">
        <f t="shared" si="6"/>
        <v>2.7438080724901087E-13</v>
      </c>
    </row>
    <row r="400" spans="5:6">
      <c r="E400">
        <v>399</v>
      </c>
      <c r="F400">
        <f t="shared" si="6"/>
        <v>2.5689783686783122E-13</v>
      </c>
    </row>
    <row r="401" spans="5:6">
      <c r="E401">
        <v>400</v>
      </c>
      <c r="F401">
        <f t="shared" si="6"/>
        <v>2.4052884474341713E-13</v>
      </c>
    </row>
    <row r="402" spans="5:6">
      <c r="E402">
        <v>401</v>
      </c>
      <c r="F402">
        <f t="shared" si="6"/>
        <v>2.2520285051433761E-13</v>
      </c>
    </row>
    <row r="403" spans="5:6">
      <c r="E403">
        <v>402</v>
      </c>
      <c r="F403">
        <f t="shared" si="6"/>
        <v>2.108533965391314E-13</v>
      </c>
    </row>
    <row r="404" spans="5:6">
      <c r="E404">
        <v>403</v>
      </c>
      <c r="F404">
        <f t="shared" si="6"/>
        <v>1.974182597180662E-13</v>
      </c>
    </row>
    <row r="405" spans="5:6">
      <c r="E405">
        <v>404</v>
      </c>
      <c r="F405">
        <f t="shared" si="6"/>
        <v>1.848391816770039E-13</v>
      </c>
    </row>
    <row r="406" spans="5:6">
      <c r="E406">
        <v>405</v>
      </c>
      <c r="F406">
        <f t="shared" si="6"/>
        <v>1.7306161614339263E-13</v>
      </c>
    </row>
    <row r="407" spans="5:6">
      <c r="E407">
        <v>406</v>
      </c>
      <c r="F407">
        <f t="shared" si="6"/>
        <v>1.6203449241892547E-13</v>
      </c>
    </row>
    <row r="408" spans="5:6">
      <c r="E408">
        <v>407</v>
      </c>
      <c r="F408">
        <f t="shared" si="6"/>
        <v>1.5170999392323205E-13</v>
      </c>
    </row>
    <row r="409" spans="5:6">
      <c r="E409">
        <v>408</v>
      </c>
      <c r="F409">
        <f t="shared" si="6"/>
        <v>1.4204335084829619E-13</v>
      </c>
    </row>
    <row r="410" spans="5:6">
      <c r="E410">
        <v>409</v>
      </c>
      <c r="F410">
        <f t="shared" si="6"/>
        <v>1.3299264602450524E-13</v>
      </c>
    </row>
    <row r="411" spans="5:6">
      <c r="E411">
        <v>410</v>
      </c>
      <c r="F411">
        <f t="shared" si="6"/>
        <v>1.2451863315650233E-13</v>
      </c>
    </row>
    <row r="412" spans="5:6">
      <c r="E412">
        <v>411</v>
      </c>
      <c r="F412">
        <f t="shared" si="6"/>
        <v>1.165845666406748E-13</v>
      </c>
    </row>
    <row r="413" spans="5:6">
      <c r="E413">
        <v>412</v>
      </c>
      <c r="F413">
        <f t="shared" si="6"/>
        <v>1.0915604222631296E-13</v>
      </c>
    </row>
    <row r="414" spans="5:6">
      <c r="E414">
        <v>413</v>
      </c>
      <c r="F414">
        <f t="shared" si="6"/>
        <v>1.0220084782950659E-13</v>
      </c>
    </row>
    <row r="415" spans="5:6">
      <c r="E415">
        <v>414</v>
      </c>
      <c r="F415">
        <f t="shared" si="6"/>
        <v>9.5688823852869418E-14</v>
      </c>
    </row>
    <row r="416" spans="5:6">
      <c r="E416">
        <v>415</v>
      </c>
      <c r="F416">
        <f t="shared" si="6"/>
        <v>8.9591732405392934E-14</v>
      </c>
    </row>
    <row r="417" spans="5:6">
      <c r="E417">
        <v>416</v>
      </c>
      <c r="F417">
        <f t="shared" si="6"/>
        <v>8.3883134855344318E-14</v>
      </c>
    </row>
    <row r="418" spans="5:6">
      <c r="E418">
        <v>417</v>
      </c>
      <c r="F418">
        <f t="shared" si="6"/>
        <v>7.8538277185232013E-14</v>
      </c>
    </row>
    <row r="419" spans="5:6">
      <c r="E419">
        <v>418</v>
      </c>
      <c r="F419">
        <f t="shared" si="6"/>
        <v>7.3533982651714426E-14</v>
      </c>
    </row>
    <row r="420" spans="5:6">
      <c r="E420">
        <v>419</v>
      </c>
      <c r="F420">
        <f t="shared" si="6"/>
        <v>6.8848551284995762E-14</v>
      </c>
    </row>
    <row r="421" spans="5:6">
      <c r="E421">
        <v>420</v>
      </c>
      <c r="F421">
        <f t="shared" si="6"/>
        <v>6.4461665791906837E-14</v>
      </c>
    </row>
    <row r="422" spans="5:6">
      <c r="E422">
        <v>421</v>
      </c>
      <c r="F422">
        <f t="shared" si="6"/>
        <v>6.0354303454647466E-14</v>
      </c>
    </row>
    <row r="423" spans="5:6">
      <c r="E423">
        <v>422</v>
      </c>
      <c r="F423">
        <f t="shared" si="6"/>
        <v>5.6508653643155109E-14</v>
      </c>
    </row>
    <row r="424" spans="5:6">
      <c r="E424">
        <v>423</v>
      </c>
      <c r="F424">
        <f t="shared" si="6"/>
        <v>5.29080405834119E-14</v>
      </c>
    </row>
    <row r="425" spans="5:6">
      <c r="E425">
        <v>424</v>
      </c>
      <c r="F425">
        <f t="shared" si="6"/>
        <v>4.9536851046796171E-14</v>
      </c>
    </row>
    <row r="426" spans="5:6">
      <c r="E426">
        <v>425</v>
      </c>
      <c r="F426">
        <f t="shared" si="6"/>
        <v>4.6380466646913298E-14</v>
      </c>
    </row>
    <row r="427" spans="5:6">
      <c r="E427">
        <v>426</v>
      </c>
      <c r="F427">
        <f t="shared" si="6"/>
        <v>4.3425200450333501E-14</v>
      </c>
    </row>
    <row r="428" spans="5:6">
      <c r="E428">
        <v>427</v>
      </c>
      <c r="F428">
        <f t="shared" si="6"/>
        <v>4.0658237626359568E-14</v>
      </c>
    </row>
    <row r="429" spans="5:6">
      <c r="E429">
        <v>428</v>
      </c>
      <c r="F429">
        <f t="shared" si="6"/>
        <v>3.8067579878467069E-14</v>
      </c>
    </row>
    <row r="430" spans="5:6">
      <c r="E430">
        <v>429</v>
      </c>
      <c r="F430">
        <f t="shared" si="6"/>
        <v>3.5641993416457596E-14</v>
      </c>
    </row>
    <row r="431" spans="5:6">
      <c r="E431">
        <v>430</v>
      </c>
      <c r="F431">
        <f t="shared" si="6"/>
        <v>3.3370960243715969E-14</v>
      </c>
    </row>
    <row r="432" spans="5:6">
      <c r="E432">
        <v>431</v>
      </c>
      <c r="F432">
        <f t="shared" si="6"/>
        <v>3.1244632548342939E-14</v>
      </c>
    </row>
    <row r="433" spans="5:6">
      <c r="E433">
        <v>432</v>
      </c>
      <c r="F433">
        <f t="shared" si="6"/>
        <v>2.9253790000388114E-14</v>
      </c>
    </row>
    <row r="434" spans="5:6">
      <c r="E434">
        <v>433</v>
      </c>
      <c r="F434">
        <f t="shared" si="6"/>
        <v>2.7389799770014932E-14</v>
      </c>
    </row>
    <row r="435" spans="5:6">
      <c r="E435">
        <v>434</v>
      </c>
      <c r="F435">
        <f t="shared" si="6"/>
        <v>2.5644579093223812E-14</v>
      </c>
    </row>
    <row r="436" spans="5:6">
      <c r="E436">
        <v>435</v>
      </c>
      <c r="F436">
        <f t="shared" si="6"/>
        <v>2.4010560222808566E-14</v>
      </c>
    </row>
    <row r="437" spans="5:6">
      <c r="E437">
        <v>436</v>
      </c>
      <c r="F437">
        <f t="shared" si="6"/>
        <v>2.2480657612565381E-14</v>
      </c>
    </row>
    <row r="438" spans="5:6">
      <c r="E438">
        <v>437</v>
      </c>
      <c r="F438">
        <f t="shared" si="6"/>
        <v>2.1048237192454749E-14</v>
      </c>
    </row>
    <row r="439" spans="5:6">
      <c r="E439">
        <v>438</v>
      </c>
      <c r="F439">
        <f t="shared" si="6"/>
        <v>1.9707087601485768E-14</v>
      </c>
    </row>
    <row r="440" spans="5:6">
      <c r="E440">
        <v>439</v>
      </c>
      <c r="F440">
        <f t="shared" si="6"/>
        <v>1.845139325358115E-14</v>
      </c>
    </row>
    <row r="441" spans="5:6">
      <c r="E441">
        <v>440</v>
      </c>
      <c r="F441">
        <f t="shared" si="6"/>
        <v>1.7275709119628285E-14</v>
      </c>
    </row>
    <row r="442" spans="5:6">
      <c r="E442">
        <v>441</v>
      </c>
      <c r="F442">
        <f t="shared" si="6"/>
        <v>1.617493711636556E-14</v>
      </c>
    </row>
    <row r="443" spans="5:6">
      <c r="E443">
        <v>442</v>
      </c>
      <c r="F443">
        <f t="shared" si="6"/>
        <v>1.5144303999719671E-14</v>
      </c>
    </row>
    <row r="444" spans="5:6">
      <c r="E444">
        <v>443</v>
      </c>
      <c r="F444">
        <f t="shared" si="6"/>
        <v>1.417934066673258E-14</v>
      </c>
    </row>
    <row r="445" spans="5:6">
      <c r="E445">
        <v>444</v>
      </c>
      <c r="F445">
        <f t="shared" si="6"/>
        <v>1.3275862776326904E-14</v>
      </c>
    </row>
    <row r="446" spans="5:6">
      <c r="E446">
        <v>445</v>
      </c>
      <c r="F446">
        <f t="shared" si="6"/>
        <v>1.2429952604874977E-14</v>
      </c>
    </row>
    <row r="447" spans="5:6">
      <c r="E447">
        <v>446</v>
      </c>
      <c r="F447">
        <f t="shared" si="6"/>
        <v>1.1637942057893542E-14</v>
      </c>
    </row>
    <row r="448" spans="5:6">
      <c r="E448">
        <v>447</v>
      </c>
      <c r="F448">
        <f t="shared" si="6"/>
        <v>1.0896396764197451E-14</v>
      </c>
    </row>
    <row r="449" spans="5:6">
      <c r="E449">
        <v>448</v>
      </c>
      <c r="F449">
        <f t="shared" si="6"/>
        <v>1.0202101183540568E-14</v>
      </c>
    </row>
    <row r="450" spans="5:6">
      <c r="E450">
        <v>449</v>
      </c>
      <c r="F450">
        <f t="shared" si="6"/>
        <v>9.5520446631668321E-15</v>
      </c>
    </row>
    <row r="451" spans="5:6">
      <c r="E451">
        <v>450</v>
      </c>
      <c r="F451">
        <f t="shared" ref="F451:F514" si="7">$C$4*$D$6^-($C$4*E451)</f>
        <v>8.9434083828081486E-15</v>
      </c>
    </row>
    <row r="452" spans="5:6">
      <c r="E452">
        <v>451</v>
      </c>
      <c r="F452">
        <f t="shared" si="7"/>
        <v>8.3735531315203677E-15</v>
      </c>
    </row>
    <row r="453" spans="5:6">
      <c r="E453">
        <v>452</v>
      </c>
      <c r="F453">
        <f t="shared" si="7"/>
        <v>7.8400078633531729E-15</v>
      </c>
    </row>
    <row r="454" spans="5:6">
      <c r="E454">
        <v>453</v>
      </c>
      <c r="F454">
        <f t="shared" si="7"/>
        <v>7.3404589822288945E-15</v>
      </c>
    </row>
    <row r="455" spans="5:6">
      <c r="E455">
        <v>454</v>
      </c>
      <c r="F455">
        <f t="shared" si="7"/>
        <v>6.8727403095663723E-15</v>
      </c>
    </row>
    <row r="456" spans="5:6">
      <c r="E456">
        <v>455</v>
      </c>
      <c r="F456">
        <f t="shared" si="7"/>
        <v>6.4348236911469115E-15</v>
      </c>
    </row>
    <row r="457" spans="5:6">
      <c r="E457">
        <v>456</v>
      </c>
      <c r="F457">
        <f t="shared" si="7"/>
        <v>6.0248102024908442E-15</v>
      </c>
    </row>
    <row r="458" spans="5:6">
      <c r="E458">
        <v>457</v>
      </c>
      <c r="F458">
        <f t="shared" si="7"/>
        <v>5.6409219146093078E-15</v>
      </c>
    </row>
    <row r="459" spans="5:6">
      <c r="E459">
        <v>458</v>
      </c>
      <c r="F459">
        <f t="shared" si="7"/>
        <v>5.2814941844249754E-15</v>
      </c>
    </row>
    <row r="460" spans="5:6">
      <c r="E460">
        <v>459</v>
      </c>
      <c r="F460">
        <f t="shared" si="7"/>
        <v>4.9449684364309438E-15</v>
      </c>
    </row>
    <row r="461" spans="5:6">
      <c r="E461">
        <v>460</v>
      </c>
      <c r="F461">
        <f t="shared" si="7"/>
        <v>4.6298854042874772E-15</v>
      </c>
    </row>
    <row r="462" spans="5:6">
      <c r="E462">
        <v>461</v>
      </c>
      <c r="F462">
        <f t="shared" si="7"/>
        <v>4.3348788030496788E-15</v>
      </c>
    </row>
    <row r="463" spans="5:6">
      <c r="E463">
        <v>462</v>
      </c>
      <c r="F463">
        <f t="shared" si="7"/>
        <v>4.0586694045878465E-15</v>
      </c>
    </row>
    <row r="464" spans="5:6">
      <c r="E464">
        <v>463</v>
      </c>
      <c r="F464">
        <f t="shared" si="7"/>
        <v>3.8000594905095156E-15</v>
      </c>
    </row>
    <row r="465" spans="5:6">
      <c r="E465">
        <v>464</v>
      </c>
      <c r="F465">
        <f t="shared" si="7"/>
        <v>3.5579276585297063E-15</v>
      </c>
    </row>
    <row r="466" spans="5:6">
      <c r="E466">
        <v>465</v>
      </c>
      <c r="F466">
        <f t="shared" si="7"/>
        <v>3.3312239597684324E-15</v>
      </c>
    </row>
    <row r="467" spans="5:6">
      <c r="E467">
        <v>466</v>
      </c>
      <c r="F467">
        <f t="shared" si="7"/>
        <v>3.1189653458893179E-15</v>
      </c>
    </row>
    <row r="468" spans="5:6">
      <c r="E468">
        <v>467</v>
      </c>
      <c r="F468">
        <f t="shared" si="7"/>
        <v>2.9202314063371278E-15</v>
      </c>
    </row>
    <row r="469" spans="5:6">
      <c r="E469">
        <v>468</v>
      </c>
      <c r="F469">
        <f t="shared" si="7"/>
        <v>2.7341603771894915E-15</v>
      </c>
    </row>
    <row r="470" spans="5:6">
      <c r="E470">
        <v>469</v>
      </c>
      <c r="F470">
        <f t="shared" si="7"/>
        <v>2.5599454043163338E-15</v>
      </c>
    </row>
    <row r="471" spans="5:6">
      <c r="E471">
        <v>470</v>
      </c>
      <c r="F471">
        <f t="shared" si="7"/>
        <v>2.3968310446429096E-15</v>
      </c>
    </row>
    <row r="472" spans="5:6">
      <c r="E472">
        <v>471</v>
      </c>
      <c r="F472">
        <f t="shared" si="7"/>
        <v>2.2441099903449875E-15</v>
      </c>
    </row>
    <row r="473" spans="5:6">
      <c r="E473">
        <v>472</v>
      </c>
      <c r="F473">
        <f t="shared" si="7"/>
        <v>2.1011200017715344E-15</v>
      </c>
    </row>
    <row r="474" spans="5:6">
      <c r="E474">
        <v>473</v>
      </c>
      <c r="F474">
        <f t="shared" si="7"/>
        <v>1.9672410357951038E-15</v>
      </c>
    </row>
    <row r="475" spans="5:6">
      <c r="E475">
        <v>474</v>
      </c>
      <c r="F475">
        <f t="shared" si="7"/>
        <v>1.8418925571377184E-15</v>
      </c>
    </row>
    <row r="476" spans="5:6">
      <c r="E476">
        <v>475</v>
      </c>
      <c r="F476">
        <f t="shared" si="7"/>
        <v>1.7245310210134741E-15</v>
      </c>
    </row>
    <row r="477" spans="5:6">
      <c r="E477">
        <v>476</v>
      </c>
      <c r="F477">
        <f t="shared" si="7"/>
        <v>1.6146475161718237E-15</v>
      </c>
    </row>
    <row r="478" spans="5:6">
      <c r="E478">
        <v>477</v>
      </c>
      <c r="F478">
        <f t="shared" si="7"/>
        <v>1.5117655581212427E-15</v>
      </c>
    </row>
    <row r="479" spans="5:6">
      <c r="E479">
        <v>478</v>
      </c>
      <c r="F479">
        <f t="shared" si="7"/>
        <v>1.4154390229640845E-15</v>
      </c>
    </row>
    <row r="480" spans="5:6">
      <c r="E480">
        <v>479</v>
      </c>
      <c r="F480">
        <f t="shared" si="7"/>
        <v>1.3252502128831E-15</v>
      </c>
    </row>
    <row r="481" spans="5:6">
      <c r="E481">
        <v>480</v>
      </c>
      <c r="F481">
        <f t="shared" si="7"/>
        <v>1.2408080448911517E-15</v>
      </c>
    </row>
    <row r="482" spans="5:6">
      <c r="E482">
        <v>481</v>
      </c>
      <c r="F482">
        <f t="shared" si="7"/>
        <v>1.1617463549899545E-15</v>
      </c>
    </row>
    <row r="483" spans="5:6">
      <c r="E483">
        <v>482</v>
      </c>
      <c r="F483">
        <f t="shared" si="7"/>
        <v>1.0877223103843122E-15</v>
      </c>
    </row>
    <row r="484" spans="5:6">
      <c r="E484">
        <v>483</v>
      </c>
      <c r="F484">
        <f t="shared" si="7"/>
        <v>1.018414922866719E-15</v>
      </c>
    </row>
    <row r="485" spans="5:6">
      <c r="E485">
        <v>484</v>
      </c>
      <c r="F485">
        <f t="shared" si="7"/>
        <v>9.5352365692597658E-16</v>
      </c>
    </row>
    <row r="486" spans="5:6">
      <c r="E486">
        <v>485</v>
      </c>
      <c r="F486">
        <f t="shared" si="7"/>
        <v>8.9276712654423924E-16</v>
      </c>
    </row>
    <row r="487" spans="5:6">
      <c r="E487">
        <v>486</v>
      </c>
      <c r="F487">
        <f t="shared" si="7"/>
        <v>8.3588187503137087E-16</v>
      </c>
    </row>
    <row r="488" spans="5:6">
      <c r="E488">
        <v>487</v>
      </c>
      <c r="F488">
        <f t="shared" si="7"/>
        <v>7.8262123260576027E-16</v>
      </c>
    </row>
    <row r="489" spans="5:6">
      <c r="E489">
        <v>488</v>
      </c>
      <c r="F489">
        <f t="shared" si="7"/>
        <v>7.3275424676767503E-16</v>
      </c>
    </row>
    <row r="490" spans="5:6">
      <c r="E490">
        <v>489</v>
      </c>
      <c r="F490">
        <f t="shared" si="7"/>
        <v>6.8606468082695174E-16</v>
      </c>
    </row>
    <row r="491" spans="5:6">
      <c r="E491">
        <v>490</v>
      </c>
      <c r="F491">
        <f t="shared" si="7"/>
        <v>6.4235007624243479E-16</v>
      </c>
    </row>
    <row r="492" spans="5:6">
      <c r="E492">
        <v>491</v>
      </c>
      <c r="F492">
        <f t="shared" si="7"/>
        <v>6.0142087470720063E-16</v>
      </c>
    </row>
    <row r="493" spans="5:6">
      <c r="E493">
        <v>492</v>
      </c>
      <c r="F493">
        <f t="shared" si="7"/>
        <v>5.6309959617263177E-16</v>
      </c>
    </row>
    <row r="494" spans="5:6">
      <c r="E494">
        <v>493</v>
      </c>
      <c r="F494">
        <f t="shared" si="7"/>
        <v>5.2722006924709873E-16</v>
      </c>
    </row>
    <row r="495" spans="5:6">
      <c r="E495">
        <v>494</v>
      </c>
      <c r="F495">
        <f t="shared" si="7"/>
        <v>4.9362671063202106E-16</v>
      </c>
    </row>
    <row r="496" spans="5:6">
      <c r="E496">
        <v>495</v>
      </c>
      <c r="F496">
        <f t="shared" si="7"/>
        <v>4.621738504707538E-16</v>
      </c>
    </row>
    <row r="497" spans="5:6">
      <c r="E497">
        <v>496</v>
      </c>
      <c r="F497">
        <f t="shared" si="7"/>
        <v>4.3272510068482975E-16</v>
      </c>
    </row>
    <row r="498" spans="5:6">
      <c r="E498">
        <v>497</v>
      </c>
      <c r="F498">
        <f t="shared" si="7"/>
        <v>4.0515276355849113E-16</v>
      </c>
    </row>
    <row r="499" spans="5:6">
      <c r="E499">
        <v>498</v>
      </c>
      <c r="F499">
        <f t="shared" si="7"/>
        <v>3.7933727800698948E-16</v>
      </c>
    </row>
    <row r="500" spans="5:6">
      <c r="E500">
        <v>499</v>
      </c>
      <c r="F500">
        <f t="shared" si="7"/>
        <v>3.5516670112748203E-16</v>
      </c>
    </row>
    <row r="501" spans="5:6">
      <c r="E501">
        <v>500</v>
      </c>
      <c r="F501">
        <f t="shared" si="7"/>
        <v>3.3253622278444753E-16</v>
      </c>
    </row>
    <row r="502" spans="5:6">
      <c r="E502">
        <v>501</v>
      </c>
      <c r="F502">
        <f t="shared" si="7"/>
        <v>3.1134771112468815E-16</v>
      </c>
    </row>
    <row r="503" spans="5:6">
      <c r="E503">
        <v>502</v>
      </c>
      <c r="F503">
        <f t="shared" si="7"/>
        <v>2.915092870511667E-16</v>
      </c>
    </row>
    <row r="504" spans="5:6">
      <c r="E504">
        <v>503</v>
      </c>
      <c r="F504">
        <f t="shared" si="7"/>
        <v>2.7293492581048001E-16</v>
      </c>
    </row>
    <row r="505" spans="5:6">
      <c r="E505">
        <v>504</v>
      </c>
      <c r="F505">
        <f t="shared" si="7"/>
        <v>2.5554408396634334E-16</v>
      </c>
    </row>
    <row r="506" spans="5:6">
      <c r="E506">
        <v>505</v>
      </c>
      <c r="F506">
        <f t="shared" si="7"/>
        <v>2.392613501415438E-16</v>
      </c>
    </row>
    <row r="507" spans="5:6">
      <c r="E507">
        <v>506</v>
      </c>
      <c r="F507">
        <f t="shared" si="7"/>
        <v>2.2401611801388465E-16</v>
      </c>
    </row>
    <row r="508" spans="5:6">
      <c r="E508">
        <v>507</v>
      </c>
      <c r="F508">
        <f t="shared" si="7"/>
        <v>2.0974228014814329E-16</v>
      </c>
    </row>
    <row r="509" spans="5:6">
      <c r="E509">
        <v>508</v>
      </c>
      <c r="F509">
        <f t="shared" si="7"/>
        <v>1.9637794133641579E-16</v>
      </c>
    </row>
    <row r="510" spans="5:6">
      <c r="E510">
        <v>509</v>
      </c>
      <c r="F510">
        <f t="shared" si="7"/>
        <v>1.838651502038138E-16</v>
      </c>
    </row>
    <row r="511" spans="5:6">
      <c r="E511">
        <v>510</v>
      </c>
      <c r="F511">
        <f t="shared" si="7"/>
        <v>1.7214964791568492E-16</v>
      </c>
    </row>
    <row r="512" spans="5:6">
      <c r="E512">
        <v>511</v>
      </c>
      <c r="F512">
        <f t="shared" si="7"/>
        <v>1.6118063289668243E-16</v>
      </c>
    </row>
    <row r="513" spans="5:6">
      <c r="E513">
        <v>512</v>
      </c>
      <c r="F513">
        <f t="shared" si="7"/>
        <v>1.5091054054144296E-16</v>
      </c>
    </row>
    <row r="514" spans="5:6">
      <c r="E514">
        <v>513</v>
      </c>
      <c r="F514">
        <f t="shared" si="7"/>
        <v>1.4129483696163883E-16</v>
      </c>
    </row>
    <row r="515" spans="5:6">
      <c r="E515">
        <v>514</v>
      </c>
      <c r="F515">
        <f t="shared" ref="F515:F518" si="8">$C$4*$D$6^-($C$4*E515)</f>
        <v>1.3229182587503577E-16</v>
      </c>
    </row>
    <row r="516" spans="5:6">
      <c r="E516">
        <v>515</v>
      </c>
      <c r="F516">
        <f t="shared" si="8"/>
        <v>1.238624677991758E-16</v>
      </c>
    </row>
    <row r="517" spans="5:6">
      <c r="E517">
        <v>516</v>
      </c>
      <c r="F517">
        <f t="shared" si="8"/>
        <v>1.1597021076565974E-16</v>
      </c>
    </row>
    <row r="518" spans="5:6">
      <c r="E518">
        <v>517</v>
      </c>
      <c r="F518">
        <f t="shared" si="8"/>
        <v>1.0858083182096132E-16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B1E028A653F74FABAD470A1910E4B7" ma:contentTypeVersion="10" ma:contentTypeDescription="Crear nuevo documento." ma:contentTypeScope="" ma:versionID="4c7b4d887f030f6cdd59f2484b089f72">
  <xsd:schema xmlns:xsd="http://www.w3.org/2001/XMLSchema" xmlns:xs="http://www.w3.org/2001/XMLSchema" xmlns:p="http://schemas.microsoft.com/office/2006/metadata/properties" xmlns:ns3="95d06d44-b39a-4a50-941d-0173458521b8" xmlns:ns4="96698030-bba5-4881-8383-af4774841cb6" targetNamespace="http://schemas.microsoft.com/office/2006/metadata/properties" ma:root="true" ma:fieldsID="3636843691f86f3dd4a6738f6fb18341" ns3:_="" ns4:_="">
    <xsd:import namespace="95d06d44-b39a-4a50-941d-0173458521b8"/>
    <xsd:import namespace="96698030-bba5-4881-8383-af4774841c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06d44-b39a-4a50-941d-0173458521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98030-bba5-4881-8383-af4774841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d06d44-b39a-4a50-941d-0173458521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8953C0-1554-4843-AE67-FCC60761D9E3}"/>
</file>

<file path=customXml/itemProps2.xml><?xml version="1.0" encoding="utf-8"?>
<ds:datastoreItem xmlns:ds="http://schemas.openxmlformats.org/officeDocument/2006/customXml" ds:itemID="{1AFC45DC-FBE9-4693-B9C2-751072BCAA53}"/>
</file>

<file path=customXml/itemProps3.xml><?xml version="1.0" encoding="utf-8"?>
<ds:datastoreItem xmlns:ds="http://schemas.openxmlformats.org/officeDocument/2006/customXml" ds:itemID="{A0528B9A-2E86-431E-808C-91CD091AD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 CAJALEON ERIC BEKIM</dc:creator>
  <cp:keywords/>
  <dc:description/>
  <cp:lastModifiedBy/>
  <cp:revision/>
  <dcterms:created xsi:type="dcterms:W3CDTF">2025-11-18T09:02:27Z</dcterms:created>
  <dcterms:modified xsi:type="dcterms:W3CDTF">2026-03-13T00:43:13Z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0x01010026B1E028A653F74FABAD470A1910E4B7</vt:lpwstr>
  </property>
</Properties>
</file>