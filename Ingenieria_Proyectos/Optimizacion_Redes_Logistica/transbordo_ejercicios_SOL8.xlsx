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PROYECTOS\Nueva carpeta (2)\"/>
    </mc:Choice>
  </mc:AlternateContent>
  <xr:revisionPtr revIDLastSave="0" documentId="8_{DD0888EE-A92A-492B-B1BD-0F48F6ADAE7E}" xr6:coauthVersionLast="47" xr6:coauthVersionMax="47" xr10:uidLastSave="{00000000-0000-0000-0000-000000000000}"/>
  <bookViews>
    <workbookView xWindow="-103" yWindow="-103" windowWidth="33120" windowHeight="18000" activeTab="2" xr2:uid="{00000000-000D-0000-FFFF-FFFF00000000}"/>
  </bookViews>
  <sheets>
    <sheet name="Ejercio 1" sheetId="5" r:id="rId1"/>
    <sheet name="sol Ejercicio1" sheetId="3" r:id="rId2"/>
    <sheet name="EJERCIO 2" sheetId="6" r:id="rId3"/>
    <sheet name="Ejercicio2" sheetId="4" r:id="rId4"/>
  </sheets>
  <definedNames>
    <definedName name="solver_adj" localSheetId="3" hidden="1">Ejercicio2!$C$4:$L$4</definedName>
    <definedName name="solver_adj" localSheetId="1" hidden="1">'sol Ejercicio1'!$C$4:$C$27</definedName>
    <definedName name="solver_cvg" localSheetId="3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1" hidden="1">"""""""""""""""""""""""""""""""""""""""""""""""""""""""""""""""0,0001"""""""""""""""""""""""""""""""""""""""""""""""""""""""""""""""</definedName>
    <definedName name="solver_drv" localSheetId="3" hidden="1">2</definedName>
    <definedName name="solver_drv" localSheetId="1" hidden="1">1</definedName>
    <definedName name="solver_eng" localSheetId="3" hidden="1">2</definedName>
    <definedName name="solver_eng" localSheetId="1" hidden="1">2</definedName>
    <definedName name="solver_est" localSheetId="3" hidden="1">1</definedName>
    <definedName name="solver_est" localSheetId="1" hidden="1">1</definedName>
    <definedName name="solver_itr" localSheetId="3" hidden="1">2147483647</definedName>
    <definedName name="solver_itr" localSheetId="1" hidden="1">2147483647</definedName>
    <definedName name="solver_lhs1" localSheetId="3" hidden="1">Ejercicio2!$M$11:$M$15</definedName>
    <definedName name="solver_lhs1" localSheetId="1" hidden="1">'sol Ejercicio1'!$C$4:$C$27</definedName>
    <definedName name="solver_lhs2" localSheetId="3" hidden="1">Ejercicio2!$C$4:$L$4</definedName>
    <definedName name="solver_lhs2" localSheetId="1" hidden="1">'sol Ejercicio1'!$D$28:$E$28</definedName>
    <definedName name="solver_lhs3" localSheetId="3" hidden="1">Ejercicio2!$M$16:$M$17</definedName>
    <definedName name="solver_lhs3" localSheetId="1" hidden="1">'sol Ejercicio1'!$F$28:$J$28</definedName>
    <definedName name="solver_lhs4" localSheetId="3" hidden="1">Ejercicio2!$M$18:$M$19</definedName>
    <definedName name="solver_mip" localSheetId="3" hidden="1">2147483647</definedName>
    <definedName name="solver_mip" localSheetId="1" hidden="1">2147483647</definedName>
    <definedName name="solver_mni" localSheetId="3" hidden="1">30</definedName>
    <definedName name="solver_mni" localSheetId="1" hidden="1">30</definedName>
    <definedName name="solver_mrt" localSheetId="3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1" hidden="1">"""""""""""""""""""""""""""""""""""""""""""""""""""""""""""""""0,075"""""""""""""""""""""""""""""""""""""""""""""""""""""""""""""""</definedName>
    <definedName name="solver_msl" localSheetId="3" hidden="1">2</definedName>
    <definedName name="solver_msl" localSheetId="1" hidden="1">2</definedName>
    <definedName name="solver_neg" localSheetId="3" hidden="1">1</definedName>
    <definedName name="solver_neg" localSheetId="1" hidden="1">1</definedName>
    <definedName name="solver_nod" localSheetId="3" hidden="1">2147483647</definedName>
    <definedName name="solver_nod" localSheetId="1" hidden="1">2147483647</definedName>
    <definedName name="solver_num" localSheetId="3" hidden="1">4</definedName>
    <definedName name="solver_num" localSheetId="1" hidden="1">3</definedName>
    <definedName name="solver_nwt" localSheetId="3" hidden="1">1</definedName>
    <definedName name="solver_nwt" localSheetId="1" hidden="1">1</definedName>
    <definedName name="solver_opt" localSheetId="3" hidden="1">Ejercicio2!$O$5</definedName>
    <definedName name="solver_opt" localSheetId="1" hidden="1">'sol Ejercicio1'!$C$2</definedName>
    <definedName name="solver_pre" localSheetId="3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1" hidden="1">"""""""""""""""""""""""""""""""""""""""""""""""""""""""""""""""0,000001"""""""""""""""""""""""""""""""""""""""""""""""""""""""""""""""</definedName>
    <definedName name="solver_rbv" localSheetId="3" hidden="1">2</definedName>
    <definedName name="solver_rbv" localSheetId="1" hidden="1">1</definedName>
    <definedName name="solver_rel1" localSheetId="3" hidden="1">1</definedName>
    <definedName name="solver_rel1" localSheetId="1" hidden="1">3</definedName>
    <definedName name="solver_rel2" localSheetId="3" hidden="1">3</definedName>
    <definedName name="solver_rel2" localSheetId="1" hidden="1">1</definedName>
    <definedName name="solver_rel3" localSheetId="3" hidden="1">2</definedName>
    <definedName name="solver_rel3" localSheetId="1" hidden="1">2</definedName>
    <definedName name="solver_rel4" localSheetId="3" hidden="1">1</definedName>
    <definedName name="solver_rhs1" localSheetId="3" hidden="1">Ejercicio2!$O$11:$O$15</definedName>
    <definedName name="solver_rhs1" localSheetId="1" hidden="1">0</definedName>
    <definedName name="solver_rhs2" localSheetId="3" hidden="1">0</definedName>
    <definedName name="solver_rhs2" localSheetId="1" hidden="1">'sol Ejercicio1'!$D$30:$E$30</definedName>
    <definedName name="solver_rhs3" localSheetId="3" hidden="1">Ejercicio2!$O$16:$O$17</definedName>
    <definedName name="solver_rhs3" localSheetId="1" hidden="1">'sol Ejercicio1'!$F$30:$J$30</definedName>
    <definedName name="solver_rhs4" localSheetId="3" hidden="1">Ejercicio2!$O$18:$O$19</definedName>
    <definedName name="solver_rlx" localSheetId="3" hidden="1">2</definedName>
    <definedName name="solver_rlx" localSheetId="1" hidden="1">2</definedName>
    <definedName name="solver_rsd" localSheetId="3" hidden="1">0</definedName>
    <definedName name="solver_rsd" localSheetId="1" hidden="1">0</definedName>
    <definedName name="solver_scl" localSheetId="3" hidden="1">2</definedName>
    <definedName name="solver_scl" localSheetId="1" hidden="1">1</definedName>
    <definedName name="solver_sho" localSheetId="3" hidden="1">2</definedName>
    <definedName name="solver_sho" localSheetId="1" hidden="1">2</definedName>
    <definedName name="solver_ssz" localSheetId="3" hidden="1">100</definedName>
    <definedName name="solver_ssz" localSheetId="1" hidden="1">100</definedName>
    <definedName name="solver_tim" localSheetId="3" hidden="1">2147483647</definedName>
    <definedName name="solver_tim" localSheetId="1" hidden="1">2147483647</definedName>
    <definedName name="solver_tol" localSheetId="3" hidden="1">1</definedName>
    <definedName name="solver_tol" localSheetId="1" hidden="1">1</definedName>
    <definedName name="solver_typ" localSheetId="3" hidden="1">1</definedName>
    <definedName name="solver_typ" localSheetId="1" hidden="1">2</definedName>
    <definedName name="solver_val" localSheetId="3" hidden="1">0</definedName>
    <definedName name="solver_val" localSheetId="1" hidden="1">0</definedName>
    <definedName name="solver_ver" localSheetId="3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4" l="1"/>
  <c r="O3" i="4"/>
  <c r="O2" i="4"/>
  <c r="M19" i="4"/>
  <c r="M18" i="4"/>
  <c r="M17" i="4"/>
  <c r="M16" i="4"/>
  <c r="M15" i="4"/>
  <c r="M14" i="4"/>
  <c r="M13" i="4"/>
  <c r="M12" i="4"/>
  <c r="M11" i="4"/>
  <c r="C2" i="3"/>
  <c r="J28" i="3"/>
  <c r="I28" i="3"/>
  <c r="H28" i="3"/>
  <c r="G28" i="3"/>
  <c r="F28" i="3"/>
  <c r="E28" i="3"/>
  <c r="D28" i="3"/>
  <c r="O5" i="4" l="1"/>
</calcChain>
</file>

<file path=xl/sharedStrings.xml><?xml version="1.0" encoding="utf-8"?>
<sst xmlns="http://schemas.openxmlformats.org/spreadsheetml/2006/main" count="78" uniqueCount="62">
  <si>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Pamplona-Badajoz: XPABD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</si>
  <si>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Pamplona-Córdoba: XPACO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</si>
  <si>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Pamplona-Granada: XPAGR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</si>
  <si>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Pamplona-Madrid: XPAMA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</si>
  <si>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Pamplona-Teruel: XPATE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</si>
  <si>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Madrid-Teruel: XMATE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</si>
  <si>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Madrid-Badajoz: XMABD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</si>
  <si>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Madrid-Córdoba: XMACO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</si>
  <si>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Madrid-Granada: XMAGR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</si>
  <si>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Teruel-Badajoz: XTEBD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</si>
  <si>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Teruel-Córdoba: XTECO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</si>
  <si>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Teruel-Granada: XTEGR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</si>
  <si>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Badajoz-Granada: XBDGR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</si>
  <si>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Granada-Badajoz: XGRBD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</si>
  <si>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Badajoz-Córdoba: XBDCO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</si>
  <si>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Córdoba-Badajoz: XCOBD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</si>
  <si>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Córdoba-Granada: XCOGR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</si>
  <si>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Granada-Córdoba: XGRCO</t>
    </r>
  </si>
  <si>
    <t>Mín Z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</si>
  <si>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Barcelona-Badajoz: XBABD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</si>
  <si>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Barcelona -Córdoba: XBACO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</si>
  <si>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Barcelona -Granada: XBAGR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</si>
  <si>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Barcelona -Madrid: XBAMA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</si>
  <si>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Barcelona -Teruel: XBATE</t>
    </r>
  </si>
  <si>
    <t>Pamplona</t>
  </si>
  <si>
    <t>Barcelona</t>
  </si>
  <si>
    <t>Demanda</t>
  </si>
  <si>
    <t>Badajoz</t>
  </si>
  <si>
    <t>Córdoba</t>
  </si>
  <si>
    <t>Granada</t>
  </si>
  <si>
    <t>Amortiguadores</t>
  </si>
  <si>
    <t>Madrid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</si>
  <si>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Teruel-Madrid: XTEMA</t>
    </r>
  </si>
  <si>
    <t>Teruel</t>
  </si>
  <si>
    <t>Costo</t>
  </si>
  <si>
    <t>XP1A1</t>
  </si>
  <si>
    <t>XP1A2</t>
  </si>
  <si>
    <t>XP2A1</t>
  </si>
  <si>
    <t>XP2A2</t>
  </si>
  <si>
    <t>XA1M1</t>
  </si>
  <si>
    <t>XA1M2</t>
  </si>
  <si>
    <t>XA1M3</t>
  </si>
  <si>
    <t>XA2M1</t>
  </si>
  <si>
    <t>XA2M2</t>
  </si>
  <si>
    <t>XA2M3</t>
  </si>
  <si>
    <t>Restricciones</t>
  </si>
  <si>
    <t>Oferta pura</t>
  </si>
  <si>
    <t>Demanda pura</t>
  </si>
  <si>
    <t>menor igual</t>
  </si>
  <si>
    <t>igual</t>
  </si>
  <si>
    <t>Capacidad Alm</t>
  </si>
  <si>
    <t>costos de transporte</t>
  </si>
  <si>
    <t>costo de producción</t>
  </si>
  <si>
    <t>previo de venta</t>
  </si>
  <si>
    <t>M1</t>
  </si>
  <si>
    <t>M2</t>
  </si>
  <si>
    <t>M3</t>
  </si>
  <si>
    <t>Costo total transporte</t>
  </si>
  <si>
    <t>Costo total de producción</t>
  </si>
  <si>
    <t>Venta total</t>
  </si>
  <si>
    <t>Utilidad</t>
  </si>
  <si>
    <t>Max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</si>
</sst>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theme="1"/>
      <name val="Courier New"/>
      <family val="3"/>
    </font>
    <font>
      <sz val="7"/>
      <color theme="1"/>
      <name val="Times New Roman"/>
      <family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0" fillId="2" borderId="2" xfId="0" applyFill="1" applyBorder="1"/>
    <xf numFmtId="0" fontId="0" fillId="2" borderId="4" xfId="0" applyFill="1" applyBorder="1"/>
    <xf numFmtId="0" fontId="0" fillId="3" borderId="2" xfId="0" applyFill="1" applyBorder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14</xdr:col>
      <xdr:colOff>363532</xdr:colOff>
      <xdr:row>39</xdr:row>
      <xdr:rowOff>11842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EB883B-7D5F-C976-CF89-12F431458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0114"/>
          <a:ext cx="11336332" cy="68589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81643</xdr:colOff>
      <xdr:row>0</xdr:row>
      <xdr:rowOff>125185</xdr:rowOff>
    </xdr:from>
    <xdr:to>
      <xdr:col>6</xdr:col>
      <xdr:colOff>739995</xdr:colOff>
      <xdr:row>24</xdr:row>
      <xdr:rowOff>59871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4B0ED0-3475-3E8C-2A73-333D55A05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43" y="125185"/>
          <a:ext cx="5360981" cy="4376057"/>
        </a:xfrm>
        <a:prstGeom prst="rect">
          <a:avLst/>
        </a:prstGeom>
      </xdr:spPr>
    </xdr:pic>
    <xdr:clientData/>
  </xdr:twoCellAnchor>
  <xdr:twoCellAnchor editAs="oneCell">
    <xdr:from>
      <xdr:col>0</xdr:col>
      <xdr:colOff>402771</xdr:colOff>
      <xdr:row>22</xdr:row>
      <xdr:rowOff>43543</xdr:rowOff>
    </xdr:from>
    <xdr:to>
      <xdr:col>7</xdr:col>
      <xdr:colOff>134151</xdr:colOff>
      <xdr:row>44</xdr:row>
      <xdr:rowOff>112818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5B389E-2645-B388-B9E7-7C456ADF8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2771" y="4114800"/>
          <a:ext cx="5217780" cy="4140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4ABC6-F2AA-4E64-8ED6-7B72C8065487}">
  <dimension ref="A1"/>
  <sheetViews>
    <sheetView workbookViewId="0">
      <selection activeCell="R29" sqref="R29"/>
    </sheetView>
  </sheetViews>
  <sheetFormatPr baseColWidth="10" defaultRowHeight="14.6" x14ac:dyDescent="0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045EE-AB17-40CB-9D1A-3679D56F010B}">
  <dimension ref="A1:J30"/>
  <sheetViews>
    <sheetView zoomScale="70" zoomScaleNormal="70" workbookViewId="0">
      <selection activeCell="B35" sqref="B35"/>
    </sheetView>
  </sheetViews>
  <sheetFormatPr baseColWidth="10" defaultRowHeight="14.6" x14ac:dyDescent="0.4"/>
  <cols>
    <col min="1" max="1" width="10.921875" style="7"/>
    <col min="2" max="2" width="34.4609375" customWidth="1"/>
    <col min="6" max="6" width="11.15234375" bestFit="1" customWidth="1"/>
  </cols>
  <sheetData>
    <row r="1" spans="1:10" ht="15" thickBot="1" x14ac:dyDescent="0.45">
      <c r="D1" s="15" t="s">
        <v>45</v>
      </c>
      <c r="E1" s="15"/>
      <c r="F1" s="15"/>
      <c r="G1" s="15"/>
      <c r="H1" s="15"/>
      <c r="I1" s="15"/>
      <c r="J1" s="15"/>
    </row>
    <row r="2" spans="1:10" ht="15" thickBot="1" x14ac:dyDescent="0.45">
      <c r="A2"/>
      <c r="B2" s="2" t="s">
        <v>18</v>
      </c>
      <c r="C2" s="3">
        <f>+SUMPRODUCT(A4:A27,C4:C27)</f>
        <v>270000</v>
      </c>
      <c r="D2" s="14" t="s">
        <v>46</v>
      </c>
      <c r="E2" s="15"/>
      <c r="F2" s="16" t="s">
        <v>26</v>
      </c>
      <c r="G2" s="16"/>
      <c r="H2" s="16"/>
      <c r="I2" s="17" t="s">
        <v>30</v>
      </c>
      <c r="J2" s="17"/>
    </row>
    <row r="3" spans="1:10" x14ac:dyDescent="0.4">
      <c r="A3" s="9" t="s">
        <v>34</v>
      </c>
      <c r="B3" s="2"/>
      <c r="D3" s="8" t="s">
        <v>24</v>
      </c>
      <c r="E3" s="8" t="s">
        <v>25</v>
      </c>
      <c r="F3" s="8" t="s">
        <v>27</v>
      </c>
      <c r="G3" s="8" t="s">
        <v>28</v>
      </c>
      <c r="H3" s="8" t="s">
        <v>29</v>
      </c>
      <c r="I3" s="9" t="s">
        <v>31</v>
      </c>
      <c r="J3" s="9" t="s">
        <v>33</v>
      </c>
    </row>
    <row r="4" spans="1:10" x14ac:dyDescent="0.4">
      <c r="A4" s="7">
        <v>80</v>
      </c>
      <c r="B4" s="1" t="s">
        <v>0</v>
      </c>
      <c r="C4" s="5">
        <v>500</v>
      </c>
      <c r="D4" s="6">
        <v>1</v>
      </c>
      <c r="E4" s="6"/>
      <c r="F4" s="6">
        <v>1</v>
      </c>
      <c r="G4" s="6"/>
      <c r="H4" s="6"/>
      <c r="I4" s="7"/>
      <c r="J4" s="7"/>
    </row>
    <row r="5" spans="1:10" x14ac:dyDescent="0.4">
      <c r="A5" s="7">
        <v>88</v>
      </c>
      <c r="B5" s="1" t="s">
        <v>1</v>
      </c>
      <c r="C5" s="5">
        <v>1000</v>
      </c>
      <c r="D5" s="6">
        <v>1</v>
      </c>
      <c r="E5" s="6"/>
      <c r="F5" s="6"/>
      <c r="G5" s="6">
        <v>1</v>
      </c>
      <c r="H5" s="6"/>
      <c r="I5" s="7"/>
      <c r="J5" s="7"/>
    </row>
    <row r="6" spans="1:10" x14ac:dyDescent="0.4">
      <c r="A6" s="7">
        <v>92</v>
      </c>
      <c r="B6" s="1" t="s">
        <v>2</v>
      </c>
      <c r="C6" s="5">
        <v>0</v>
      </c>
      <c r="D6" s="6">
        <v>1</v>
      </c>
      <c r="E6" s="6"/>
      <c r="F6" s="6"/>
      <c r="G6" s="6"/>
      <c r="H6" s="6">
        <v>1</v>
      </c>
      <c r="I6" s="7"/>
      <c r="J6" s="7"/>
    </row>
    <row r="7" spans="1:10" x14ac:dyDescent="0.4">
      <c r="A7" s="7">
        <v>42</v>
      </c>
      <c r="B7" s="1" t="s">
        <v>3</v>
      </c>
      <c r="C7" s="5">
        <v>0</v>
      </c>
      <c r="D7" s="6">
        <v>1</v>
      </c>
      <c r="E7" s="6"/>
      <c r="F7" s="6"/>
      <c r="G7" s="6"/>
      <c r="H7" s="6"/>
      <c r="I7" s="7">
        <v>1</v>
      </c>
      <c r="J7" s="7"/>
    </row>
    <row r="8" spans="1:10" x14ac:dyDescent="0.4">
      <c r="A8" s="7">
        <v>36</v>
      </c>
      <c r="B8" s="1" t="s">
        <v>4</v>
      </c>
      <c r="C8" s="5">
        <v>0</v>
      </c>
      <c r="D8" s="6">
        <v>1</v>
      </c>
      <c r="E8" s="6"/>
      <c r="F8" s="6"/>
      <c r="G8" s="6"/>
      <c r="H8" s="6"/>
      <c r="I8" s="7"/>
      <c r="J8" s="7">
        <v>1</v>
      </c>
    </row>
    <row r="9" spans="1:10" x14ac:dyDescent="0.4">
      <c r="A9" s="7">
        <v>102</v>
      </c>
      <c r="B9" s="1" t="s">
        <v>19</v>
      </c>
      <c r="C9" s="5">
        <v>0</v>
      </c>
      <c r="D9" s="6"/>
      <c r="E9" s="6">
        <v>1</v>
      </c>
      <c r="F9" s="6">
        <v>1</v>
      </c>
      <c r="G9" s="6"/>
      <c r="H9" s="6"/>
      <c r="I9" s="7"/>
      <c r="J9" s="7"/>
    </row>
    <row r="10" spans="1:10" x14ac:dyDescent="0.4">
      <c r="A10" s="7">
        <v>100</v>
      </c>
      <c r="B10" s="1" t="s">
        <v>20</v>
      </c>
      <c r="C10" s="5">
        <v>0</v>
      </c>
      <c r="D10" s="6"/>
      <c r="E10" s="6">
        <v>1</v>
      </c>
      <c r="F10" s="6"/>
      <c r="G10" s="6">
        <v>1</v>
      </c>
      <c r="H10" s="6"/>
      <c r="I10" s="7"/>
      <c r="J10" s="7"/>
    </row>
    <row r="11" spans="1:10" x14ac:dyDescent="0.4">
      <c r="A11" s="7">
        <v>98</v>
      </c>
      <c r="B11" s="1" t="s">
        <v>21</v>
      </c>
      <c r="C11" s="5">
        <v>1000</v>
      </c>
      <c r="D11" s="6"/>
      <c r="E11" s="6">
        <v>1</v>
      </c>
      <c r="F11" s="6"/>
      <c r="G11" s="6"/>
      <c r="H11" s="6">
        <v>1</v>
      </c>
      <c r="I11" s="7"/>
      <c r="J11" s="7"/>
    </row>
    <row r="12" spans="1:10" x14ac:dyDescent="0.4">
      <c r="A12" s="7">
        <v>62</v>
      </c>
      <c r="B12" s="1" t="s">
        <v>22</v>
      </c>
      <c r="C12" s="5">
        <v>0</v>
      </c>
      <c r="D12" s="6"/>
      <c r="E12" s="6">
        <v>1</v>
      </c>
      <c r="F12" s="6"/>
      <c r="G12" s="6"/>
      <c r="H12" s="6"/>
      <c r="I12" s="7">
        <v>1</v>
      </c>
      <c r="J12" s="7"/>
    </row>
    <row r="13" spans="1:10" x14ac:dyDescent="0.4">
      <c r="A13" s="7">
        <v>40</v>
      </c>
      <c r="B13" s="1" t="s">
        <v>23</v>
      </c>
      <c r="C13" s="5">
        <v>500</v>
      </c>
      <c r="D13" s="6"/>
      <c r="E13" s="6">
        <v>1</v>
      </c>
      <c r="F13" s="6"/>
      <c r="G13" s="6"/>
      <c r="H13" s="6"/>
      <c r="I13" s="7"/>
      <c r="J13" s="7">
        <v>1</v>
      </c>
    </row>
    <row r="14" spans="1:10" x14ac:dyDescent="0.4">
      <c r="A14" s="7">
        <v>10</v>
      </c>
      <c r="B14" s="1" t="s">
        <v>5</v>
      </c>
      <c r="C14" s="5">
        <v>0</v>
      </c>
      <c r="D14" s="6"/>
      <c r="E14" s="6"/>
      <c r="F14" s="6"/>
      <c r="G14" s="6"/>
      <c r="H14" s="6"/>
      <c r="I14" s="7">
        <v>-1</v>
      </c>
      <c r="J14" s="7">
        <v>1</v>
      </c>
    </row>
    <row r="15" spans="1:10" x14ac:dyDescent="0.4">
      <c r="A15" s="7">
        <v>10</v>
      </c>
      <c r="B15" s="1" t="s">
        <v>32</v>
      </c>
      <c r="C15" s="5">
        <v>500</v>
      </c>
      <c r="D15" s="6"/>
      <c r="E15" s="6"/>
      <c r="F15" s="6"/>
      <c r="G15" s="6"/>
      <c r="H15" s="6"/>
      <c r="I15" s="7">
        <v>1</v>
      </c>
      <c r="J15" s="7">
        <v>-1</v>
      </c>
    </row>
    <row r="16" spans="1:10" x14ac:dyDescent="0.4">
      <c r="A16" s="7">
        <v>38</v>
      </c>
      <c r="B16" s="1" t="s">
        <v>6</v>
      </c>
      <c r="C16" s="5">
        <v>500</v>
      </c>
      <c r="D16" s="6"/>
      <c r="E16" s="6"/>
      <c r="F16" s="6">
        <v>1</v>
      </c>
      <c r="G16" s="6"/>
      <c r="H16" s="6"/>
      <c r="I16" s="7">
        <v>-1</v>
      </c>
      <c r="J16" s="7"/>
    </row>
    <row r="17" spans="1:10" x14ac:dyDescent="0.4">
      <c r="A17" s="7">
        <v>46</v>
      </c>
      <c r="B17" s="1" t="s">
        <v>7</v>
      </c>
      <c r="C17" s="5">
        <v>0</v>
      </c>
      <c r="D17" s="6"/>
      <c r="E17" s="6"/>
      <c r="F17" s="6"/>
      <c r="G17" s="6">
        <v>1</v>
      </c>
      <c r="H17" s="6"/>
      <c r="I17" s="7">
        <v>-1</v>
      </c>
      <c r="J17" s="7"/>
    </row>
    <row r="18" spans="1:10" x14ac:dyDescent="0.4">
      <c r="A18" s="7">
        <v>49</v>
      </c>
      <c r="B18" s="1" t="s">
        <v>8</v>
      </c>
      <c r="C18" s="5">
        <v>0</v>
      </c>
      <c r="D18" s="6"/>
      <c r="E18" s="6"/>
      <c r="F18" s="6"/>
      <c r="G18" s="6"/>
      <c r="H18" s="6">
        <v>1</v>
      </c>
      <c r="I18" s="7">
        <v>-1</v>
      </c>
      <c r="J18" s="7"/>
    </row>
    <row r="19" spans="1:10" x14ac:dyDescent="0.4">
      <c r="A19" s="7">
        <v>86</v>
      </c>
      <c r="B19" s="1" t="s">
        <v>9</v>
      </c>
      <c r="C19" s="5">
        <v>0</v>
      </c>
      <c r="D19" s="6"/>
      <c r="E19" s="6"/>
      <c r="F19" s="6">
        <v>1</v>
      </c>
      <c r="G19" s="6"/>
      <c r="H19" s="6"/>
      <c r="I19" s="7"/>
      <c r="J19" s="7">
        <v>-1</v>
      </c>
    </row>
    <row r="20" spans="1:10" x14ac:dyDescent="0.4">
      <c r="A20" s="7">
        <v>66</v>
      </c>
      <c r="B20" s="1" t="s">
        <v>10</v>
      </c>
      <c r="C20" s="5">
        <v>0</v>
      </c>
      <c r="D20" s="6"/>
      <c r="E20" s="6"/>
      <c r="F20" s="6"/>
      <c r="G20" s="6">
        <v>1</v>
      </c>
      <c r="H20" s="6"/>
      <c r="I20" s="7"/>
      <c r="J20" s="7">
        <v>-1</v>
      </c>
    </row>
    <row r="21" spans="1:10" x14ac:dyDescent="0.4">
      <c r="A21" s="7">
        <v>64</v>
      </c>
      <c r="B21" s="1" t="s">
        <v>11</v>
      </c>
      <c r="C21" s="5">
        <v>0</v>
      </c>
      <c r="D21" s="6"/>
      <c r="E21" s="6"/>
      <c r="F21" s="6"/>
      <c r="G21" s="6"/>
      <c r="H21" s="6">
        <v>1</v>
      </c>
      <c r="I21" s="7"/>
      <c r="J21" s="7">
        <v>-1</v>
      </c>
    </row>
    <row r="22" spans="1:10" x14ac:dyDescent="0.4">
      <c r="A22" s="7">
        <v>41</v>
      </c>
      <c r="B22" s="1" t="s">
        <v>12</v>
      </c>
      <c r="C22" s="5">
        <v>0</v>
      </c>
      <c r="D22" s="6"/>
      <c r="E22" s="6"/>
      <c r="F22" s="6">
        <v>-1</v>
      </c>
      <c r="G22" s="6"/>
      <c r="H22" s="6">
        <v>1</v>
      </c>
      <c r="I22" s="7"/>
      <c r="J22" s="7"/>
    </row>
    <row r="23" spans="1:10" x14ac:dyDescent="0.4">
      <c r="A23" s="7">
        <v>41</v>
      </c>
      <c r="B23" s="1" t="s">
        <v>13</v>
      </c>
      <c r="C23" s="5">
        <v>0</v>
      </c>
      <c r="D23" s="6"/>
      <c r="E23" s="6"/>
      <c r="F23" s="6">
        <v>1</v>
      </c>
      <c r="G23" s="6"/>
      <c r="H23" s="6">
        <v>-1</v>
      </c>
      <c r="I23" s="7"/>
      <c r="J23" s="7"/>
    </row>
    <row r="24" spans="1:10" x14ac:dyDescent="0.4">
      <c r="A24" s="7">
        <v>26</v>
      </c>
      <c r="B24" s="1" t="s">
        <v>14</v>
      </c>
      <c r="C24" s="5">
        <v>0</v>
      </c>
      <c r="D24" s="6"/>
      <c r="E24" s="6"/>
      <c r="F24" s="6">
        <v>-1</v>
      </c>
      <c r="G24" s="6">
        <v>1</v>
      </c>
      <c r="H24" s="6"/>
      <c r="I24" s="7"/>
      <c r="J24" s="7"/>
    </row>
    <row r="25" spans="1:10" x14ac:dyDescent="0.4">
      <c r="A25" s="7">
        <v>26</v>
      </c>
      <c r="B25" s="1" t="s">
        <v>15</v>
      </c>
      <c r="C25" s="5">
        <v>0</v>
      </c>
      <c r="D25" s="6"/>
      <c r="E25" s="6"/>
      <c r="F25" s="6">
        <v>1</v>
      </c>
      <c r="G25" s="6">
        <v>-1</v>
      </c>
      <c r="H25" s="6"/>
      <c r="I25" s="7"/>
      <c r="J25" s="7"/>
    </row>
    <row r="26" spans="1:10" x14ac:dyDescent="0.4">
      <c r="A26" s="7">
        <v>16</v>
      </c>
      <c r="B26" s="1" t="s">
        <v>16</v>
      </c>
      <c r="C26" s="5">
        <v>0</v>
      </c>
      <c r="D26" s="6"/>
      <c r="E26" s="6"/>
      <c r="F26" s="6"/>
      <c r="G26" s="6">
        <v>-1</v>
      </c>
      <c r="H26" s="6">
        <v>1</v>
      </c>
      <c r="I26" s="7"/>
      <c r="J26" s="7"/>
    </row>
    <row r="27" spans="1:10" x14ac:dyDescent="0.4">
      <c r="A27" s="7">
        <v>16</v>
      </c>
      <c r="B27" s="1" t="s">
        <v>17</v>
      </c>
      <c r="C27" s="5">
        <v>0</v>
      </c>
      <c r="D27" s="6"/>
      <c r="E27" s="6"/>
      <c r="F27" s="6"/>
      <c r="G27" s="6">
        <v>1</v>
      </c>
      <c r="H27" s="6">
        <v>-1</v>
      </c>
      <c r="I27" s="7"/>
      <c r="J27" s="7"/>
    </row>
    <row r="28" spans="1:10" x14ac:dyDescent="0.4">
      <c r="D28" s="10">
        <f>+SUMPRODUCT($C4:$C27,D4:D27)</f>
        <v>1500</v>
      </c>
      <c r="E28" s="10">
        <f t="shared" ref="E28:J28" si="0">+SUMPRODUCT($C4:$C27,E4:E27)</f>
        <v>1500</v>
      </c>
      <c r="F28" s="10">
        <f t="shared" si="0"/>
        <v>1000</v>
      </c>
      <c r="G28" s="10">
        <f t="shared" si="0"/>
        <v>1000</v>
      </c>
      <c r="H28" s="10">
        <f t="shared" si="0"/>
        <v>1000</v>
      </c>
      <c r="I28" s="10">
        <f t="shared" si="0"/>
        <v>0</v>
      </c>
      <c r="J28" s="10">
        <f t="shared" si="0"/>
        <v>0</v>
      </c>
    </row>
    <row r="29" spans="1:10" x14ac:dyDescent="0.4">
      <c r="D29" s="8" t="s">
        <v>48</v>
      </c>
      <c r="E29" s="8" t="s">
        <v>48</v>
      </c>
      <c r="F29" s="8" t="s">
        <v>49</v>
      </c>
      <c r="G29" s="8" t="s">
        <v>49</v>
      </c>
      <c r="H29" s="8" t="s">
        <v>49</v>
      </c>
      <c r="I29" s="8" t="s">
        <v>49</v>
      </c>
      <c r="J29" s="8" t="s">
        <v>49</v>
      </c>
    </row>
    <row r="30" spans="1:10" x14ac:dyDescent="0.4">
      <c r="D30" s="6">
        <v>1500</v>
      </c>
      <c r="E30" s="6">
        <v>2000</v>
      </c>
      <c r="F30" s="6">
        <v>1000</v>
      </c>
      <c r="G30" s="6">
        <v>1000</v>
      </c>
      <c r="H30" s="6">
        <v>1000</v>
      </c>
      <c r="I30" s="7">
        <v>0</v>
      </c>
      <c r="J30" s="7">
        <v>0</v>
      </c>
    </row>
  </sheetData>
  <mergeCells count="4">
    <mergeCell ref="D2:E2"/>
    <mergeCell ref="F2:H2"/>
    <mergeCell ref="I2:J2"/>
    <mergeCell ref="D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5AEC-79C5-4E1F-B926-BB814EA7B8A1}">
  <dimension ref="A1"/>
  <sheetViews>
    <sheetView tabSelected="1" workbookViewId="0">
      <selection activeCell="K29" sqref="K29:L29"/>
    </sheetView>
  </sheetViews>
  <sheetFormatPr baseColWidth="10" defaultRowHeight="14.6" x14ac:dyDescent="0.4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BFC46-78E6-4FCB-AFB7-E259CBA99FA0}">
  <dimension ref="B2:P19"/>
  <sheetViews>
    <sheetView zoomScale="77" zoomScaleNormal="85" workbookViewId="0">
      <selection activeCell="N22" sqref="N22"/>
    </sheetView>
  </sheetViews>
  <sheetFormatPr baseColWidth="10" defaultRowHeight="14.6" x14ac:dyDescent="0.4"/>
  <cols>
    <col min="2" max="2" width="18.07421875" bestFit="1" customWidth="1"/>
  </cols>
  <sheetData>
    <row r="2" spans="2:16" x14ac:dyDescent="0.4">
      <c r="M2" t="s">
        <v>57</v>
      </c>
      <c r="O2">
        <f>+SUMPRODUCT(C4:L4,C5:L5)</f>
        <v>39000</v>
      </c>
    </row>
    <row r="3" spans="2:16" x14ac:dyDescent="0.4"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58</v>
      </c>
      <c r="O3">
        <f>+SUM(C4:F4)*C6</f>
        <v>110000</v>
      </c>
    </row>
    <row r="4" spans="2:16" ht="15" thickBot="1" x14ac:dyDescent="0.45">
      <c r="C4" s="11">
        <v>2000</v>
      </c>
      <c r="D4" s="11">
        <v>0</v>
      </c>
      <c r="E4" s="11">
        <v>0</v>
      </c>
      <c r="F4" s="11">
        <v>3000</v>
      </c>
      <c r="G4" s="11">
        <v>0</v>
      </c>
      <c r="H4" s="11">
        <v>2000</v>
      </c>
      <c r="I4" s="11">
        <v>0</v>
      </c>
      <c r="J4" s="11">
        <v>500</v>
      </c>
      <c r="K4" s="11">
        <v>500</v>
      </c>
      <c r="L4" s="12">
        <v>2000</v>
      </c>
      <c r="M4" t="s">
        <v>59</v>
      </c>
      <c r="O4">
        <f>+SUM(G4,J4)*D7+SUM(H4,K4)*D8+SUM(I4,L4)*D9</f>
        <v>242500</v>
      </c>
    </row>
    <row r="5" spans="2:16" ht="15" thickBot="1" x14ac:dyDescent="0.45">
      <c r="B5" t="s">
        <v>51</v>
      </c>
      <c r="C5" s="4">
        <v>5</v>
      </c>
      <c r="D5" s="4">
        <v>6</v>
      </c>
      <c r="E5" s="4">
        <v>7</v>
      </c>
      <c r="F5" s="4">
        <v>5</v>
      </c>
      <c r="G5" s="4">
        <v>3</v>
      </c>
      <c r="H5" s="4">
        <v>2</v>
      </c>
      <c r="I5" s="4">
        <v>3</v>
      </c>
      <c r="J5" s="4">
        <v>4</v>
      </c>
      <c r="K5" s="4">
        <v>4</v>
      </c>
      <c r="L5" s="4">
        <v>3</v>
      </c>
      <c r="M5" t="s">
        <v>60</v>
      </c>
      <c r="O5" s="3">
        <f>+O4-O3-O2</f>
        <v>93500</v>
      </c>
      <c r="P5" t="s">
        <v>61</v>
      </c>
    </row>
    <row r="6" spans="2:16" x14ac:dyDescent="0.4">
      <c r="B6" t="s">
        <v>52</v>
      </c>
      <c r="C6">
        <v>22</v>
      </c>
    </row>
    <row r="7" spans="2:16" x14ac:dyDescent="0.4">
      <c r="B7" t="s">
        <v>53</v>
      </c>
      <c r="C7" t="s">
        <v>54</v>
      </c>
      <c r="D7">
        <v>45</v>
      </c>
    </row>
    <row r="8" spans="2:16" x14ac:dyDescent="0.4">
      <c r="C8" t="s">
        <v>55</v>
      </c>
      <c r="D8">
        <v>48</v>
      </c>
    </row>
    <row r="9" spans="2:16" x14ac:dyDescent="0.4">
      <c r="C9" t="s">
        <v>56</v>
      </c>
      <c r="D9">
        <v>50</v>
      </c>
    </row>
    <row r="11" spans="2:16" x14ac:dyDescent="0.4">
      <c r="B11" t="s">
        <v>47</v>
      </c>
      <c r="C11">
        <v>1</v>
      </c>
      <c r="D11">
        <v>1</v>
      </c>
      <c r="M11" s="13">
        <f>+SUMPRODUCT(C11:L11,C$4:L$4)</f>
        <v>2000</v>
      </c>
      <c r="N11" t="s">
        <v>48</v>
      </c>
      <c r="O11">
        <v>5500</v>
      </c>
    </row>
    <row r="12" spans="2:16" x14ac:dyDescent="0.4">
      <c r="E12">
        <v>1</v>
      </c>
      <c r="F12">
        <v>1</v>
      </c>
      <c r="M12" s="13">
        <f t="shared" ref="M12:M19" si="0">+SUMPRODUCT(C12:L12,C$4:L$4)</f>
        <v>3000</v>
      </c>
      <c r="N12" t="s">
        <v>48</v>
      </c>
      <c r="O12">
        <v>5500</v>
      </c>
    </row>
    <row r="13" spans="2:16" x14ac:dyDescent="0.4">
      <c r="B13" t="s">
        <v>46</v>
      </c>
      <c r="G13">
        <v>1</v>
      </c>
      <c r="J13">
        <v>1</v>
      </c>
      <c r="M13" s="13">
        <f t="shared" si="0"/>
        <v>500</v>
      </c>
      <c r="N13" t="s">
        <v>48</v>
      </c>
      <c r="O13">
        <v>3000</v>
      </c>
    </row>
    <row r="14" spans="2:16" x14ac:dyDescent="0.4">
      <c r="H14">
        <v>1</v>
      </c>
      <c r="K14">
        <v>1</v>
      </c>
      <c r="M14" s="13">
        <f t="shared" si="0"/>
        <v>2500</v>
      </c>
      <c r="N14" t="s">
        <v>48</v>
      </c>
      <c r="O14">
        <v>2500</v>
      </c>
    </row>
    <row r="15" spans="2:16" x14ac:dyDescent="0.4">
      <c r="I15">
        <v>1</v>
      </c>
      <c r="L15">
        <v>1</v>
      </c>
      <c r="M15" s="13">
        <f t="shared" si="0"/>
        <v>2000</v>
      </c>
      <c r="N15" t="s">
        <v>48</v>
      </c>
      <c r="O15">
        <v>2000</v>
      </c>
    </row>
    <row r="16" spans="2:16" x14ac:dyDescent="0.4">
      <c r="B16" t="s">
        <v>30</v>
      </c>
      <c r="C16">
        <v>1</v>
      </c>
      <c r="E16">
        <v>1</v>
      </c>
      <c r="G16">
        <v>-1</v>
      </c>
      <c r="H16">
        <v>-1</v>
      </c>
      <c r="I16">
        <v>-1</v>
      </c>
      <c r="M16" s="13">
        <f t="shared" si="0"/>
        <v>0</v>
      </c>
      <c r="N16" t="s">
        <v>49</v>
      </c>
      <c r="O16">
        <v>0</v>
      </c>
    </row>
    <row r="17" spans="2:15" x14ac:dyDescent="0.4">
      <c r="D17">
        <v>1</v>
      </c>
      <c r="F17">
        <v>1</v>
      </c>
      <c r="J17">
        <v>-1</v>
      </c>
      <c r="K17">
        <v>-1</v>
      </c>
      <c r="L17">
        <v>-1</v>
      </c>
      <c r="M17" s="13">
        <f t="shared" si="0"/>
        <v>0</v>
      </c>
      <c r="N17" t="s">
        <v>49</v>
      </c>
      <c r="O17">
        <v>0</v>
      </c>
    </row>
    <row r="18" spans="2:15" x14ac:dyDescent="0.4">
      <c r="B18" t="s">
        <v>50</v>
      </c>
      <c r="C18">
        <v>1</v>
      </c>
      <c r="E18">
        <v>1</v>
      </c>
      <c r="M18" s="13">
        <f t="shared" si="0"/>
        <v>2000</v>
      </c>
      <c r="N18" t="s">
        <v>48</v>
      </c>
      <c r="O18">
        <v>2000</v>
      </c>
    </row>
    <row r="19" spans="2:15" x14ac:dyDescent="0.4">
      <c r="D19">
        <v>1</v>
      </c>
      <c r="F19">
        <v>1</v>
      </c>
      <c r="M19" s="13">
        <f t="shared" si="0"/>
        <v>3000</v>
      </c>
      <c r="N19" t="s">
        <v>48</v>
      </c>
      <c r="O19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Ejercio 1</vt:lpstr>
      <vt:lpstr>sol Ejercicio1</vt:lpstr>
      <vt:lpstr>EJERCIO 2</vt:lpstr>
      <vt:lpstr>Ejercicio2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Piero Cáceres Díaz</dc:creator>
  <cp:lastModifiedBy>Eric salinas</cp:lastModifiedBy>
  <dcterms:created xsi:type="dcterms:W3CDTF">2015-06-05T18:19:34Z</dcterms:created>
  <dcterms:modified xsi:type="dcterms:W3CDTF">2026-03-12T20:26:07Z</dcterms:modified>
</cp:coreProperties>
</file>