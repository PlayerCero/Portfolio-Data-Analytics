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udepoffice365ms-my.sharepoint.com/personal/victoria_atarama_alum_udep_edu_pe/Documents/Trabajo MPI/"/>
    </mc:Choice>
  </mc:AlternateContent>
  <xr:revisionPtr revIDLastSave="0" documentId="8_{8E5323E8-5369-4805-8566-40A693B094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POR SISTEMAS" sheetId="4" r:id="rId1"/>
    <sheet name="prueba chi para c11" sheetId="2" r:id="rId2"/>
    <sheet name="Prueva chi para c7" sheetId="7" r:id="rId3"/>
    <sheet name="analisis de colas" sheetId="3" r:id="rId4"/>
    <sheet name="caso 7 " sheetId="8" r:id="rId5"/>
    <sheet name="caso 7  mejorado" sheetId="11" r:id="rId6"/>
    <sheet name="boletas " sheetId="9" r:id="rId7"/>
  </sheets>
  <externalReferences>
    <externalReference r:id="rId8"/>
  </externalReferences>
  <definedNames>
    <definedName name="_xlnm._FilterDatabase" localSheetId="6" hidden="1">'boletas '!$B$7:$E$19</definedName>
    <definedName name="_xlnm.Criteria" localSheetId="6">'boletas '!$F$2:$G$3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1" l="1"/>
  <c r="F21" i="11" s="1" a="1"/>
  <c r="F21" i="11" s="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G16" i="11"/>
  <c r="H16" i="11" s="1"/>
  <c r="B6" i="11"/>
  <c r="I18" i="9"/>
  <c r="K18" i="9" s="1"/>
  <c r="I17" i="9"/>
  <c r="O26" i="3"/>
  <c r="O25" i="3"/>
  <c r="O24" i="3"/>
  <c r="O23" i="3"/>
  <c r="E28" i="3"/>
  <c r="D31" i="3" s="1"/>
  <c r="F8" i="3"/>
  <c r="F18" i="3"/>
  <c r="F20" i="3"/>
  <c r="F22" i="3" s="1"/>
  <c r="B22" i="3"/>
  <c r="F17" i="11" l="1"/>
  <c r="G17" i="11"/>
  <c r="G21" i="11" a="1"/>
  <c r="G21" i="11" s="1"/>
  <c r="D15" i="11"/>
  <c r="C21" i="11" a="1"/>
  <c r="C21" i="11" s="1"/>
  <c r="C23" i="11" s="1"/>
  <c r="D23" i="11" s="1"/>
  <c r="E23" i="11" s="1"/>
  <c r="F23" i="11" s="1"/>
  <c r="G23" i="11" s="1"/>
  <c r="D17" i="11"/>
  <c r="B21" i="11" a="1"/>
  <c r="B21" i="11" s="1"/>
  <c r="D21" i="11" a="1"/>
  <c r="D21" i="11" s="1"/>
  <c r="B17" i="11"/>
  <c r="E21" i="11" a="1"/>
  <c r="E21" i="11" s="1"/>
  <c r="E17" i="11"/>
  <c r="C17" i="11"/>
  <c r="I16" i="11"/>
  <c r="H17" i="11"/>
  <c r="H21" i="11" a="1"/>
  <c r="H21" i="11" s="1"/>
  <c r="E31" i="3"/>
  <c r="E32" i="3" s="1"/>
  <c r="D32" i="3"/>
  <c r="B39" i="3" s="1"/>
  <c r="B42" i="3" s="1"/>
  <c r="I21" i="11" l="1" a="1"/>
  <c r="I21" i="11" s="1"/>
  <c r="I17" i="11"/>
  <c r="J16" i="11"/>
  <c r="H23" i="11"/>
  <c r="E33" i="3"/>
  <c r="B48" i="3"/>
  <c r="B47" i="3" s="1"/>
  <c r="I23" i="11" l="1"/>
  <c r="J17" i="11"/>
  <c r="J21" i="11" a="1"/>
  <c r="J21" i="11" s="1"/>
  <c r="K16" i="11"/>
  <c r="B50" i="3"/>
  <c r="C49" i="3" s="1"/>
  <c r="C47" i="3" s="1"/>
  <c r="C48" i="3"/>
  <c r="B49" i="3"/>
  <c r="J23" i="11" l="1"/>
  <c r="K21" i="11" a="1"/>
  <c r="K21" i="11" s="1"/>
  <c r="K17" i="11"/>
  <c r="L16" i="11"/>
  <c r="C50" i="3"/>
  <c r="K22" i="9"/>
  <c r="K23" i="11" l="1"/>
  <c r="M16" i="11"/>
  <c r="L17" i="11"/>
  <c r="L21" i="11" a="1"/>
  <c r="L21" i="11" s="1"/>
  <c r="S36" i="2"/>
  <c r="S23" i="2"/>
  <c r="T23" i="2" s="1"/>
  <c r="U23" i="2" s="1"/>
  <c r="D42" i="4"/>
  <c r="F12" i="9"/>
  <c r="P12" i="9" s="1"/>
  <c r="K17" i="9" s="1"/>
  <c r="D15" i="8"/>
  <c r="F21" i="8" a="1"/>
  <c r="F21" i="8" s="1"/>
  <c r="C21" i="8" a="1"/>
  <c r="C21" i="8" s="1"/>
  <c r="C23" i="8" s="1"/>
  <c r="B6" i="8"/>
  <c r="G16" i="8"/>
  <c r="H16" i="8" s="1"/>
  <c r="E17" i="8"/>
  <c r="F17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CA19" i="8"/>
  <c r="CB19" i="8"/>
  <c r="CC19" i="8"/>
  <c r="CD19" i="8"/>
  <c r="CE19" i="8"/>
  <c r="CF19" i="8"/>
  <c r="CG19" i="8"/>
  <c r="CH19" i="8"/>
  <c r="CI19" i="8"/>
  <c r="CJ19" i="8"/>
  <c r="CK19" i="8"/>
  <c r="CL19" i="8"/>
  <c r="CM19" i="8"/>
  <c r="CN19" i="8"/>
  <c r="CO19" i="8"/>
  <c r="CP19" i="8"/>
  <c r="CQ19" i="8"/>
  <c r="CR19" i="8"/>
  <c r="CS19" i="8"/>
  <c r="CT19" i="8"/>
  <c r="CU19" i="8"/>
  <c r="CV19" i="8"/>
  <c r="CW19" i="8"/>
  <c r="CX19" i="8"/>
  <c r="CY19" i="8"/>
  <c r="CZ19" i="8"/>
  <c r="DA19" i="8"/>
  <c r="DB19" i="8"/>
  <c r="DC19" i="8"/>
  <c r="DD19" i="8"/>
  <c r="DE19" i="8"/>
  <c r="DF19" i="8"/>
  <c r="DG19" i="8"/>
  <c r="DH19" i="8"/>
  <c r="B21" i="8" a="1"/>
  <c r="B21" i="8" s="1"/>
  <c r="D21" i="8" a="1"/>
  <c r="D21" i="8" s="1"/>
  <c r="E21" i="8" a="1"/>
  <c r="E21" i="8" s="1"/>
  <c r="B9" i="3"/>
  <c r="M17" i="11" l="1"/>
  <c r="N16" i="11"/>
  <c r="M21" i="11" a="1"/>
  <c r="M21" i="11" s="1"/>
  <c r="L23" i="11"/>
  <c r="D17" i="8"/>
  <c r="B17" i="8"/>
  <c r="C17" i="8"/>
  <c r="D23" i="8"/>
  <c r="E23" i="8" s="1"/>
  <c r="F23" i="8" s="1"/>
  <c r="I16" i="8"/>
  <c r="H17" i="8"/>
  <c r="H21" i="8" a="1"/>
  <c r="H21" i="8" s="1"/>
  <c r="G17" i="8"/>
  <c r="G21" i="8" a="1"/>
  <c r="G21" i="8" s="1"/>
  <c r="F10" i="3"/>
  <c r="M23" i="11" l="1"/>
  <c r="N21" i="11" a="1"/>
  <c r="N21" i="11" s="1"/>
  <c r="N17" i="11"/>
  <c r="O16" i="11"/>
  <c r="G23" i="8"/>
  <c r="H23" i="8" s="1"/>
  <c r="I21" i="8" a="1"/>
  <c r="I21" i="8" s="1"/>
  <c r="J16" i="8"/>
  <c r="I17" i="8"/>
  <c r="O21" i="11" l="1" a="1"/>
  <c r="O21" i="11" s="1"/>
  <c r="P16" i="11"/>
  <c r="O17" i="11"/>
  <c r="N23" i="11"/>
  <c r="K16" i="8"/>
  <c r="J17" i="8"/>
  <c r="J21" i="8" a="1"/>
  <c r="J21" i="8" s="1"/>
  <c r="I23" i="8"/>
  <c r="O23" i="11" l="1"/>
  <c r="P17" i="11"/>
  <c r="Q16" i="11"/>
  <c r="P21" i="11" a="1"/>
  <c r="P21" i="11" s="1"/>
  <c r="P23" i="11" s="1"/>
  <c r="J23" i="8"/>
  <c r="K21" i="8" a="1"/>
  <c r="K21" i="8" s="1"/>
  <c r="L16" i="8"/>
  <c r="K17" i="8"/>
  <c r="Q21" i="11" l="1" a="1"/>
  <c r="Q21" i="11" s="1"/>
  <c r="Q23" i="11" s="1"/>
  <c r="R16" i="11"/>
  <c r="Q17" i="11"/>
  <c r="L21" i="8" a="1"/>
  <c r="L21" i="8" s="1"/>
  <c r="M16" i="8"/>
  <c r="L17" i="8"/>
  <c r="K23" i="8"/>
  <c r="S16" i="11" l="1"/>
  <c r="R21" i="11" a="1"/>
  <c r="R21" i="11" s="1"/>
  <c r="R23" i="11" s="1"/>
  <c r="R17" i="11"/>
  <c r="L23" i="8"/>
  <c r="M17" i="8"/>
  <c r="M21" i="8" a="1"/>
  <c r="M21" i="8" s="1"/>
  <c r="N16" i="8"/>
  <c r="T16" i="11" l="1"/>
  <c r="S21" i="11" a="1"/>
  <c r="S21" i="11" s="1"/>
  <c r="S23" i="11" s="1"/>
  <c r="S17" i="11"/>
  <c r="N17" i="8"/>
  <c r="N21" i="8" a="1"/>
  <c r="N21" i="8" s="1"/>
  <c r="O16" i="8"/>
  <c r="M23" i="8"/>
  <c r="U16" i="11" l="1"/>
  <c r="T17" i="11"/>
  <c r="T21" i="11" a="1"/>
  <c r="T21" i="11" s="1"/>
  <c r="T23" i="11" s="1"/>
  <c r="N23" i="8"/>
  <c r="P16" i="8"/>
  <c r="O17" i="8"/>
  <c r="O21" i="8" a="1"/>
  <c r="O21" i="8" s="1"/>
  <c r="U21" i="11" l="1" a="1"/>
  <c r="U21" i="11" s="1"/>
  <c r="U23" i="11" s="1"/>
  <c r="U17" i="11"/>
  <c r="V16" i="11"/>
  <c r="Q16" i="8"/>
  <c r="P17" i="8"/>
  <c r="P21" i="8" a="1"/>
  <c r="P21" i="8" s="1"/>
  <c r="O23" i="8"/>
  <c r="V17" i="11" l="1"/>
  <c r="V21" i="11" a="1"/>
  <c r="V21" i="11" s="1"/>
  <c r="V23" i="11" s="1"/>
  <c r="W16" i="11"/>
  <c r="P23" i="8"/>
  <c r="Q21" i="8" a="1"/>
  <c r="Q21" i="8" s="1"/>
  <c r="R16" i="8"/>
  <c r="Q17" i="8"/>
  <c r="W21" i="11" l="1" a="1"/>
  <c r="W21" i="11" s="1"/>
  <c r="W23" i="11" s="1"/>
  <c r="W17" i="11"/>
  <c r="X16" i="11"/>
  <c r="S16" i="8"/>
  <c r="R21" i="8" a="1"/>
  <c r="R21" i="8" s="1"/>
  <c r="R17" i="8"/>
  <c r="Q23" i="8"/>
  <c r="Y16" i="11" l="1"/>
  <c r="X21" i="11" a="1"/>
  <c r="X21" i="11" s="1"/>
  <c r="X23" i="11" s="1"/>
  <c r="X17" i="11"/>
  <c r="R23" i="8"/>
  <c r="T16" i="8"/>
  <c r="S21" i="8" a="1"/>
  <c r="S21" i="8" s="1"/>
  <c r="S17" i="8"/>
  <c r="Y17" i="11" l="1"/>
  <c r="Z16" i="11"/>
  <c r="Y21" i="11" a="1"/>
  <c r="Y21" i="11" s="1"/>
  <c r="Y23" i="11" s="1"/>
  <c r="U16" i="8"/>
  <c r="T17" i="8"/>
  <c r="T21" i="8" a="1"/>
  <c r="T21" i="8" s="1"/>
  <c r="S23" i="8"/>
  <c r="Z17" i="11" l="1"/>
  <c r="Z21" i="11" a="1"/>
  <c r="Z21" i="11" s="1"/>
  <c r="Z23" i="11" s="1"/>
  <c r="AA16" i="11"/>
  <c r="T23" i="8"/>
  <c r="V16" i="8"/>
  <c r="U21" i="8" a="1"/>
  <c r="U21" i="8" s="1"/>
  <c r="U17" i="8"/>
  <c r="AA21" i="11" l="1" a="1"/>
  <c r="AA21" i="11" s="1"/>
  <c r="AA23" i="11" s="1"/>
  <c r="AB16" i="11"/>
  <c r="AA17" i="11"/>
  <c r="V17" i="8"/>
  <c r="W16" i="8"/>
  <c r="V21" i="8" a="1"/>
  <c r="V21" i="8" s="1"/>
  <c r="U23" i="8"/>
  <c r="AB21" i="11" l="1" a="1"/>
  <c r="AB21" i="11" s="1"/>
  <c r="AB23" i="11" s="1"/>
  <c r="AB17" i="11"/>
  <c r="AC16" i="11"/>
  <c r="V23" i="8"/>
  <c r="W21" i="8" a="1"/>
  <c r="W21" i="8" s="1"/>
  <c r="X16" i="8"/>
  <c r="W17" i="8"/>
  <c r="AC21" i="11" l="1" a="1"/>
  <c r="AC21" i="11" s="1"/>
  <c r="AC23" i="11" s="1"/>
  <c r="AD16" i="11"/>
  <c r="AC17" i="11"/>
  <c r="X21" i="8" a="1"/>
  <c r="X21" i="8" s="1"/>
  <c r="Y16" i="8"/>
  <c r="X17" i="8"/>
  <c r="W23" i="8"/>
  <c r="AD17" i="11" l="1"/>
  <c r="AD21" i="11" a="1"/>
  <c r="AD21" i="11" s="1"/>
  <c r="AD23" i="11" s="1"/>
  <c r="AE16" i="11"/>
  <c r="X23" i="8"/>
  <c r="Y17" i="8"/>
  <c r="Y21" i="8" a="1"/>
  <c r="Y21" i="8" s="1"/>
  <c r="Y23" i="8" s="1"/>
  <c r="Z16" i="8"/>
  <c r="AE21" i="11" l="1" a="1"/>
  <c r="AE21" i="11" s="1"/>
  <c r="AE23" i="11" s="1"/>
  <c r="AE17" i="11"/>
  <c r="AF16" i="11"/>
  <c r="Z17" i="8"/>
  <c r="Z21" i="8" a="1"/>
  <c r="Z21" i="8" s="1"/>
  <c r="Z23" i="8" s="1"/>
  <c r="AA16" i="8"/>
  <c r="AG16" i="11" l="1"/>
  <c r="AF21" i="11" a="1"/>
  <c r="AF21" i="11" s="1"/>
  <c r="AF23" i="11" s="1"/>
  <c r="AF17" i="11"/>
  <c r="AB16" i="8"/>
  <c r="AA17" i="8"/>
  <c r="AA21" i="8" a="1"/>
  <c r="AA21" i="8" s="1"/>
  <c r="AA23" i="8" s="1"/>
  <c r="AG21" i="11" l="1" a="1"/>
  <c r="AG21" i="11" s="1"/>
  <c r="AG23" i="11" s="1"/>
  <c r="AH16" i="11"/>
  <c r="AG17" i="11"/>
  <c r="AC16" i="8"/>
  <c r="AB17" i="8"/>
  <c r="AB21" i="8" a="1"/>
  <c r="AB21" i="8" s="1"/>
  <c r="AB23" i="8" s="1"/>
  <c r="AH17" i="11" l="1"/>
  <c r="AI16" i="11"/>
  <c r="AH21" i="11" a="1"/>
  <c r="AH21" i="11" s="1"/>
  <c r="AH23" i="11" s="1"/>
  <c r="AC21" i="8" a="1"/>
  <c r="AC21" i="8" s="1"/>
  <c r="AC23" i="8" s="1"/>
  <c r="AD16" i="8"/>
  <c r="AC17" i="8"/>
  <c r="AI21" i="11" l="1" a="1"/>
  <c r="AI21" i="11" s="1"/>
  <c r="AI23" i="11" s="1"/>
  <c r="AI17" i="11"/>
  <c r="AJ16" i="11"/>
  <c r="AE16" i="8"/>
  <c r="AD21" i="8" a="1"/>
  <c r="AD21" i="8" s="1"/>
  <c r="AD23" i="8" s="1"/>
  <c r="AD17" i="8"/>
  <c r="AK16" i="11" l="1"/>
  <c r="AJ17" i="11"/>
  <c r="AJ21" i="11" a="1"/>
  <c r="AJ21" i="11" s="1"/>
  <c r="AJ23" i="11" s="1"/>
  <c r="AF16" i="8"/>
  <c r="AE21" i="8" a="1"/>
  <c r="AE21" i="8" s="1"/>
  <c r="AE23" i="8" s="1"/>
  <c r="AE17" i="8"/>
  <c r="AK17" i="11" l="1"/>
  <c r="AL16" i="11"/>
  <c r="AK21" i="11" a="1"/>
  <c r="AK21" i="11" s="1"/>
  <c r="AK23" i="11" s="1"/>
  <c r="AG16" i="8"/>
  <c r="AF17" i="8"/>
  <c r="AF21" i="8" a="1"/>
  <c r="AF21" i="8" s="1"/>
  <c r="AF23" i="8" s="1"/>
  <c r="AL21" i="11" l="1" a="1"/>
  <c r="AL21" i="11" s="1"/>
  <c r="AL23" i="11" s="1"/>
  <c r="AL17" i="11"/>
  <c r="AM16" i="11"/>
  <c r="AG21" i="8" a="1"/>
  <c r="AG21" i="8" s="1"/>
  <c r="AG23" i="8" s="1"/>
  <c r="AH16" i="8"/>
  <c r="AG17" i="8"/>
  <c r="AM21" i="11" l="1" a="1"/>
  <c r="AM21" i="11" s="1"/>
  <c r="AM23" i="11" s="1"/>
  <c r="AN16" i="11"/>
  <c r="AM17" i="11"/>
  <c r="AI16" i="8"/>
  <c r="AH17" i="8"/>
  <c r="AH21" i="8" a="1"/>
  <c r="AH21" i="8" s="1"/>
  <c r="AH23" i="8" s="1"/>
  <c r="AN21" i="11" l="1" a="1"/>
  <c r="AN21" i="11" s="1"/>
  <c r="AN23" i="11" s="1"/>
  <c r="AO16" i="11"/>
  <c r="AN17" i="11"/>
  <c r="AI21" i="8" a="1"/>
  <c r="AI21" i="8" s="1"/>
  <c r="AI23" i="8" s="1"/>
  <c r="AJ16" i="8"/>
  <c r="AI17" i="8"/>
  <c r="AO21" i="11" l="1" a="1"/>
  <c r="AO21" i="11" s="1"/>
  <c r="AO23" i="11" s="1"/>
  <c r="AP16" i="11"/>
  <c r="AO17" i="11"/>
  <c r="AJ21" i="8" a="1"/>
  <c r="AJ21" i="8" s="1"/>
  <c r="AJ23" i="8" s="1"/>
  <c r="AK16" i="8"/>
  <c r="AJ17" i="8"/>
  <c r="AP17" i="11" l="1"/>
  <c r="AP21" i="11" a="1"/>
  <c r="AP21" i="11" s="1"/>
  <c r="AP23" i="11" s="1"/>
  <c r="AQ16" i="11"/>
  <c r="AK17" i="8"/>
  <c r="AK21" i="8" a="1"/>
  <c r="AK21" i="8" s="1"/>
  <c r="AK23" i="8" s="1"/>
  <c r="AL16" i="8"/>
  <c r="AQ17" i="11" l="1"/>
  <c r="AQ21" i="11" a="1"/>
  <c r="AQ21" i="11" s="1"/>
  <c r="AQ23" i="11" s="1"/>
  <c r="AR16" i="11"/>
  <c r="AL17" i="8"/>
  <c r="AL21" i="8" a="1"/>
  <c r="AL21" i="8" s="1"/>
  <c r="AL23" i="8" s="1"/>
  <c r="AM16" i="8"/>
  <c r="AR21" i="11" l="1" a="1"/>
  <c r="AR21" i="11" s="1"/>
  <c r="AR23" i="11" s="1"/>
  <c r="AS16" i="11"/>
  <c r="AR17" i="11"/>
  <c r="AN16" i="8"/>
  <c r="AM17" i="8"/>
  <c r="AM21" i="8" a="1"/>
  <c r="AM21" i="8" s="1"/>
  <c r="AM23" i="8" s="1"/>
  <c r="AS21" i="11" l="1" a="1"/>
  <c r="AS21" i="11" s="1"/>
  <c r="AS23" i="11" s="1"/>
  <c r="AS17" i="11"/>
  <c r="AT16" i="11"/>
  <c r="AO16" i="8"/>
  <c r="AN17" i="8"/>
  <c r="AN21" i="8" a="1"/>
  <c r="AN21" i="8" s="1"/>
  <c r="AN23" i="8" s="1"/>
  <c r="AT17" i="11" l="1"/>
  <c r="AT21" i="11" a="1"/>
  <c r="AT21" i="11" s="1"/>
  <c r="AT23" i="11" s="1"/>
  <c r="AU16" i="11"/>
  <c r="AO21" i="8" a="1"/>
  <c r="AO21" i="8" s="1"/>
  <c r="AO23" i="8" s="1"/>
  <c r="AP16" i="8"/>
  <c r="AO17" i="8"/>
  <c r="AU21" i="11" l="1" a="1"/>
  <c r="AU21" i="11" s="1"/>
  <c r="AU23" i="11" s="1"/>
  <c r="AU17" i="11"/>
  <c r="AV16" i="11"/>
  <c r="AQ16" i="8"/>
  <c r="AP21" i="8" a="1"/>
  <c r="AP21" i="8" s="1"/>
  <c r="AP23" i="8" s="1"/>
  <c r="AP17" i="8"/>
  <c r="AW16" i="11" l="1"/>
  <c r="AV21" i="11" a="1"/>
  <c r="AV21" i="11" s="1"/>
  <c r="AV23" i="11" s="1"/>
  <c r="AV17" i="11"/>
  <c r="AR16" i="8"/>
  <c r="AQ21" i="8" a="1"/>
  <c r="AQ21" i="8" s="1"/>
  <c r="AQ23" i="8" s="1"/>
  <c r="AQ17" i="8"/>
  <c r="AW17" i="11" l="1"/>
  <c r="AX16" i="11"/>
  <c r="AW21" i="11" a="1"/>
  <c r="AW21" i="11" s="1"/>
  <c r="AW23" i="11" s="1"/>
  <c r="AS16" i="8"/>
  <c r="AR17" i="8"/>
  <c r="AR21" i="8" a="1"/>
  <c r="AR21" i="8" s="1"/>
  <c r="AR23" i="8" s="1"/>
  <c r="AY16" i="11" l="1"/>
  <c r="AX21" i="11" a="1"/>
  <c r="AX21" i="11" s="1"/>
  <c r="AX23" i="11" s="1"/>
  <c r="AX17" i="11"/>
  <c r="AT16" i="8"/>
  <c r="AS21" i="8" a="1"/>
  <c r="AS21" i="8" s="1"/>
  <c r="AS23" i="8" s="1"/>
  <c r="AS17" i="8"/>
  <c r="AY21" i="11" l="1" a="1"/>
  <c r="AY21" i="11" s="1"/>
  <c r="AY23" i="11" s="1"/>
  <c r="AZ16" i="11"/>
  <c r="AY17" i="11"/>
  <c r="AT17" i="8"/>
  <c r="AU16" i="8"/>
  <c r="AT21" i="8" a="1"/>
  <c r="AT21" i="8" s="1"/>
  <c r="AT23" i="8" s="1"/>
  <c r="BA16" i="11" l="1"/>
  <c r="AZ17" i="11"/>
  <c r="AZ21" i="11" a="1"/>
  <c r="AZ21" i="11" s="1"/>
  <c r="AZ23" i="11" s="1"/>
  <c r="AU21" i="8" a="1"/>
  <c r="AU21" i="8" s="1"/>
  <c r="AU23" i="8" s="1"/>
  <c r="AV16" i="8"/>
  <c r="AU17" i="8"/>
  <c r="BA21" i="11" l="1" a="1"/>
  <c r="BA21" i="11" s="1"/>
  <c r="BA23" i="11" s="1"/>
  <c r="BB16" i="11"/>
  <c r="BA17" i="11"/>
  <c r="AV21" i="8" a="1"/>
  <c r="AV21" i="8" s="1"/>
  <c r="AV23" i="8" s="1"/>
  <c r="AW16" i="8"/>
  <c r="AV17" i="8"/>
  <c r="BB17" i="11" l="1"/>
  <c r="BB21" i="11" a="1"/>
  <c r="BB21" i="11" s="1"/>
  <c r="BB23" i="11" s="1"/>
  <c r="BC16" i="11"/>
  <c r="AW17" i="8"/>
  <c r="AW21" i="8" a="1"/>
  <c r="AW21" i="8" s="1"/>
  <c r="AW23" i="8" s="1"/>
  <c r="AX16" i="8"/>
  <c r="BD16" i="11" l="1"/>
  <c r="BC21" i="11" a="1"/>
  <c r="BC21" i="11" s="1"/>
  <c r="BC23" i="11" s="1"/>
  <c r="BC17" i="11"/>
  <c r="AX17" i="8"/>
  <c r="AX21" i="8" a="1"/>
  <c r="AX21" i="8" s="1"/>
  <c r="AX23" i="8" s="1"/>
  <c r="AY16" i="8"/>
  <c r="BE16" i="11" l="1"/>
  <c r="BD17" i="11"/>
  <c r="BD21" i="11" a="1"/>
  <c r="BD21" i="11" s="1"/>
  <c r="BD23" i="11" s="1"/>
  <c r="AZ16" i="8"/>
  <c r="AY17" i="8"/>
  <c r="AY21" i="8" a="1"/>
  <c r="AY21" i="8" s="1"/>
  <c r="AY23" i="8" s="1"/>
  <c r="BE21" i="11" l="1" a="1"/>
  <c r="BE21" i="11" s="1"/>
  <c r="BE23" i="11" s="1"/>
  <c r="BE17" i="11"/>
  <c r="BF16" i="11"/>
  <c r="BA16" i="8"/>
  <c r="AZ17" i="8"/>
  <c r="AZ21" i="8" a="1"/>
  <c r="AZ21" i="8" s="1"/>
  <c r="AZ23" i="8" s="1"/>
  <c r="BF17" i="11" l="1"/>
  <c r="BF21" i="11" a="1"/>
  <c r="BF21" i="11" s="1"/>
  <c r="BF23" i="11" s="1"/>
  <c r="BG16" i="11"/>
  <c r="BA21" i="8" a="1"/>
  <c r="BA21" i="8" s="1"/>
  <c r="BA23" i="8" s="1"/>
  <c r="BB16" i="8"/>
  <c r="BA17" i="8"/>
  <c r="BG21" i="11" l="1" a="1"/>
  <c r="BG21" i="11" s="1"/>
  <c r="BG23" i="11" s="1"/>
  <c r="BG17" i="11"/>
  <c r="BH16" i="11"/>
  <c r="BC16" i="8"/>
  <c r="BB21" i="8" a="1"/>
  <c r="BB21" i="8" s="1"/>
  <c r="BB23" i="8" s="1"/>
  <c r="BB17" i="8"/>
  <c r="BI16" i="11" l="1"/>
  <c r="BH21" i="11" a="1"/>
  <c r="BH21" i="11" s="1"/>
  <c r="BH23" i="11" s="1"/>
  <c r="BH17" i="11"/>
  <c r="BD16" i="8"/>
  <c r="BC21" i="8" a="1"/>
  <c r="BC21" i="8" s="1"/>
  <c r="BC23" i="8" s="1"/>
  <c r="BC17" i="8"/>
  <c r="BI17" i="11" l="1"/>
  <c r="BJ16" i="11"/>
  <c r="BI21" i="11" a="1"/>
  <c r="BI21" i="11" s="1"/>
  <c r="BI23" i="11" s="1"/>
  <c r="BE16" i="8"/>
  <c r="BD17" i="8"/>
  <c r="BD21" i="8" a="1"/>
  <c r="BD21" i="8" s="1"/>
  <c r="BD23" i="8" s="1"/>
  <c r="BK16" i="11" l="1"/>
  <c r="BJ21" i="11" a="1"/>
  <c r="BJ21" i="11" s="1"/>
  <c r="BJ23" i="11" s="1"/>
  <c r="BJ17" i="11"/>
  <c r="BE21" i="8" a="1"/>
  <c r="BE21" i="8" s="1"/>
  <c r="BE23" i="8" s="1"/>
  <c r="BF16" i="8"/>
  <c r="BE17" i="8"/>
  <c r="BK21" i="11" l="1" a="1"/>
  <c r="BK21" i="11" s="1"/>
  <c r="BK23" i="11" s="1"/>
  <c r="BL16" i="11"/>
  <c r="BK17" i="11"/>
  <c r="BG16" i="8"/>
  <c r="BF17" i="8"/>
  <c r="BF21" i="8" a="1"/>
  <c r="BF21" i="8" s="1"/>
  <c r="BF23" i="8" s="1"/>
  <c r="BL21" i="11" l="1" a="1"/>
  <c r="BL21" i="11" s="1"/>
  <c r="BL23" i="11" s="1"/>
  <c r="BM16" i="11"/>
  <c r="BL17" i="11"/>
  <c r="BG21" i="8" a="1"/>
  <c r="BG21" i="8" s="1"/>
  <c r="BG23" i="8" s="1"/>
  <c r="BH16" i="8"/>
  <c r="BG17" i="8"/>
  <c r="BM21" i="11" l="1" a="1"/>
  <c r="BM21" i="11" s="1"/>
  <c r="BM23" i="11" s="1"/>
  <c r="BN16" i="11"/>
  <c r="BM17" i="11"/>
  <c r="BH21" i="8" a="1"/>
  <c r="BH21" i="8" s="1"/>
  <c r="BH23" i="8" s="1"/>
  <c r="BI16" i="8"/>
  <c r="BH17" i="8"/>
  <c r="BN21" i="11" l="1" a="1"/>
  <c r="BN21" i="11" s="1"/>
  <c r="BN23" i="11" s="1"/>
  <c r="BO16" i="11"/>
  <c r="BN17" i="11"/>
  <c r="BI17" i="8"/>
  <c r="BI21" i="8" a="1"/>
  <c r="BI21" i="8" s="1"/>
  <c r="BI23" i="8" s="1"/>
  <c r="BJ16" i="8"/>
  <c r="BO21" i="11" l="1" a="1"/>
  <c r="BO21" i="11" s="1"/>
  <c r="BO23" i="11" s="1"/>
  <c r="BP16" i="11"/>
  <c r="BO17" i="11"/>
  <c r="BJ17" i="8"/>
  <c r="BJ21" i="8" a="1"/>
  <c r="BJ21" i="8" s="1"/>
  <c r="BJ23" i="8" s="1"/>
  <c r="BK16" i="8"/>
  <c r="BP21" i="11" l="1" a="1"/>
  <c r="BP21" i="11" s="1"/>
  <c r="BP23" i="11" s="1"/>
  <c r="BQ16" i="11"/>
  <c r="BP17" i="11"/>
  <c r="BL16" i="8"/>
  <c r="BK17" i="8"/>
  <c r="BK21" i="8" a="1"/>
  <c r="BK21" i="8" s="1"/>
  <c r="BK23" i="8" s="1"/>
  <c r="BQ21" i="11" l="1" a="1"/>
  <c r="BQ21" i="11" s="1"/>
  <c r="BQ23" i="11" s="1"/>
  <c r="BQ17" i="11"/>
  <c r="BR16" i="11"/>
  <c r="BM16" i="8"/>
  <c r="BL17" i="8"/>
  <c r="BL21" i="8" a="1"/>
  <c r="BL21" i="8" s="1"/>
  <c r="BL23" i="8" s="1"/>
  <c r="BR17" i="11" l="1"/>
  <c r="BS16" i="11"/>
  <c r="BR21" i="11" a="1"/>
  <c r="BR21" i="11" s="1"/>
  <c r="BR23" i="11" s="1"/>
  <c r="BM21" i="8" a="1"/>
  <c r="BM21" i="8" s="1"/>
  <c r="BM23" i="8" s="1"/>
  <c r="BN16" i="8"/>
  <c r="BM17" i="8"/>
  <c r="BS21" i="11" l="1" a="1"/>
  <c r="BS21" i="11" s="1"/>
  <c r="BS23" i="11" s="1"/>
  <c r="BS17" i="11"/>
  <c r="BT16" i="11"/>
  <c r="BO16" i="8"/>
  <c r="BN21" i="8" a="1"/>
  <c r="BN21" i="8" s="1"/>
  <c r="BN23" i="8" s="1"/>
  <c r="BN17" i="8"/>
  <c r="BU16" i="11" l="1"/>
  <c r="BT21" i="11" a="1"/>
  <c r="BT21" i="11" s="1"/>
  <c r="BT23" i="11" s="1"/>
  <c r="BT17" i="11"/>
  <c r="BP16" i="8"/>
  <c r="BO21" i="8" a="1"/>
  <c r="BO21" i="8" s="1"/>
  <c r="BO23" i="8" s="1"/>
  <c r="BO17" i="8"/>
  <c r="BU17" i="11" l="1"/>
  <c r="BV16" i="11"/>
  <c r="BU21" i="11" a="1"/>
  <c r="BU21" i="11" s="1"/>
  <c r="BU23" i="11" s="1"/>
  <c r="BQ16" i="8"/>
  <c r="BP21" i="8" a="1"/>
  <c r="BP21" i="8" s="1"/>
  <c r="BP23" i="8" s="1"/>
  <c r="BP17" i="8"/>
  <c r="BV17" i="11" l="1"/>
  <c r="BV21" i="11" a="1"/>
  <c r="BV21" i="11" s="1"/>
  <c r="BV23" i="11" s="1"/>
  <c r="BW16" i="11"/>
  <c r="BQ21" i="8" a="1"/>
  <c r="BQ21" i="8" s="1"/>
  <c r="BQ23" i="8" s="1"/>
  <c r="BR16" i="8"/>
  <c r="BQ17" i="8"/>
  <c r="BW21" i="11" l="1" a="1"/>
  <c r="BW21" i="11" s="1"/>
  <c r="BW23" i="11" s="1"/>
  <c r="BX16" i="11"/>
  <c r="BW17" i="11"/>
  <c r="BR17" i="8"/>
  <c r="BS16" i="8"/>
  <c r="BR21" i="8" a="1"/>
  <c r="BR21" i="8" s="1"/>
  <c r="BR23" i="8" s="1"/>
  <c r="BX21" i="11" l="1" a="1"/>
  <c r="BX21" i="11" s="1"/>
  <c r="BX23" i="11" s="1"/>
  <c r="BY16" i="11"/>
  <c r="BX17" i="11"/>
  <c r="BS21" i="8" a="1"/>
  <c r="BS21" i="8" s="1"/>
  <c r="BS23" i="8" s="1"/>
  <c r="BT16" i="8"/>
  <c r="BS17" i="8"/>
  <c r="BY21" i="11" l="1" a="1"/>
  <c r="BY21" i="11" s="1"/>
  <c r="BY23" i="11" s="1"/>
  <c r="BZ16" i="11"/>
  <c r="BY17" i="11"/>
  <c r="BT21" i="8" a="1"/>
  <c r="BT21" i="8" s="1"/>
  <c r="BT23" i="8" s="1"/>
  <c r="BU16" i="8"/>
  <c r="BT17" i="8"/>
  <c r="BZ21" i="11" l="1" a="1"/>
  <c r="BZ21" i="11" s="1"/>
  <c r="BZ23" i="11" s="1"/>
  <c r="BZ17" i="11"/>
  <c r="CA16" i="11"/>
  <c r="BU17" i="8"/>
  <c r="BU21" i="8" a="1"/>
  <c r="BU21" i="8" s="1"/>
  <c r="BU23" i="8" s="1"/>
  <c r="BV16" i="8"/>
  <c r="CA21" i="11" l="1" a="1"/>
  <c r="CA21" i="11" s="1"/>
  <c r="CA23" i="11" s="1"/>
  <c r="CA17" i="11"/>
  <c r="CB16" i="11"/>
  <c r="BV17" i="8"/>
  <c r="BV21" i="8" a="1"/>
  <c r="BV21" i="8" s="1"/>
  <c r="BV23" i="8" s="1"/>
  <c r="BW16" i="8"/>
  <c r="CC16" i="11" l="1"/>
  <c r="CB21" i="11" a="1"/>
  <c r="CB21" i="11" s="1"/>
  <c r="CB23" i="11" s="1"/>
  <c r="CB17" i="11"/>
  <c r="BX16" i="8"/>
  <c r="BW17" i="8"/>
  <c r="BW21" i="8" a="1"/>
  <c r="BW21" i="8" s="1"/>
  <c r="BW23" i="8" s="1"/>
  <c r="CC21" i="11" l="1" a="1"/>
  <c r="CC21" i="11" s="1"/>
  <c r="CC23" i="11" s="1"/>
  <c r="CD16" i="11"/>
  <c r="CC17" i="11"/>
  <c r="BY16" i="8"/>
  <c r="BX17" i="8"/>
  <c r="BX21" i="8" a="1"/>
  <c r="BX21" i="8" s="1"/>
  <c r="BX23" i="8" s="1"/>
  <c r="CD17" i="11" l="1"/>
  <c r="CE16" i="11"/>
  <c r="CD21" i="11" a="1"/>
  <c r="CD21" i="11" s="1"/>
  <c r="CD23" i="11" s="1"/>
  <c r="BY21" i="8" a="1"/>
  <c r="BY21" i="8" s="1"/>
  <c r="BY23" i="8" s="1"/>
  <c r="BZ16" i="8"/>
  <c r="BY17" i="8"/>
  <c r="CE21" i="11" l="1" a="1"/>
  <c r="CE21" i="11" s="1"/>
  <c r="CE23" i="11" s="1"/>
  <c r="CE17" i="11"/>
  <c r="CF16" i="11"/>
  <c r="CA16" i="8"/>
  <c r="BZ21" i="8" a="1"/>
  <c r="BZ21" i="8" s="1"/>
  <c r="BZ23" i="8" s="1"/>
  <c r="BZ17" i="8"/>
  <c r="CG16" i="11" l="1"/>
  <c r="CF17" i="11"/>
  <c r="CF21" i="11" a="1"/>
  <c r="CF21" i="11" s="1"/>
  <c r="CF23" i="11" s="1"/>
  <c r="CB16" i="8"/>
  <c r="CA21" i="8" a="1"/>
  <c r="CA21" i="8" s="1"/>
  <c r="CA23" i="8" s="1"/>
  <c r="CA17" i="8"/>
  <c r="CG17" i="11" l="1"/>
  <c r="CH16" i="11"/>
  <c r="CG21" i="11" a="1"/>
  <c r="CG21" i="11" s="1"/>
  <c r="CG23" i="11" s="1"/>
  <c r="CC16" i="8"/>
  <c r="CB17" i="8"/>
  <c r="CB21" i="8" a="1"/>
  <c r="CB21" i="8" s="1"/>
  <c r="CB23" i="8" s="1"/>
  <c r="CH21" i="11" l="1" a="1"/>
  <c r="CH21" i="11" s="1"/>
  <c r="CH23" i="11" s="1"/>
  <c r="CH17" i="11"/>
  <c r="CI16" i="11"/>
  <c r="CD16" i="8"/>
  <c r="CC21" i="8" a="1"/>
  <c r="CC21" i="8" s="1"/>
  <c r="CC23" i="8" s="1"/>
  <c r="CC17" i="8"/>
  <c r="CI21" i="11" l="1" a="1"/>
  <c r="CI21" i="11" s="1"/>
  <c r="CI23" i="11" s="1"/>
  <c r="CJ16" i="11"/>
  <c r="CI17" i="11"/>
  <c r="CE16" i="8"/>
  <c r="CD17" i="8"/>
  <c r="CD21" i="8" a="1"/>
  <c r="CD21" i="8" s="1"/>
  <c r="CD23" i="8" s="1"/>
  <c r="CJ21" i="11" l="1" a="1"/>
  <c r="CJ21" i="11" s="1"/>
  <c r="CJ23" i="11" s="1"/>
  <c r="CK16" i="11"/>
  <c r="CJ17" i="11"/>
  <c r="CF16" i="8"/>
  <c r="CE17" i="8"/>
  <c r="CE21" i="8" a="1"/>
  <c r="CE21" i="8" s="1"/>
  <c r="CE23" i="8" s="1"/>
  <c r="CK21" i="11" l="1" a="1"/>
  <c r="CK21" i="11" s="1"/>
  <c r="CK23" i="11" s="1"/>
  <c r="CL16" i="11"/>
  <c r="CK17" i="11"/>
  <c r="CF21" i="8" a="1"/>
  <c r="CF21" i="8" s="1"/>
  <c r="CF23" i="8" s="1"/>
  <c r="CG16" i="8"/>
  <c r="CF17" i="8"/>
  <c r="CL17" i="11" l="1"/>
  <c r="CL21" i="11" a="1"/>
  <c r="CL21" i="11" s="1"/>
  <c r="CL23" i="11" s="1"/>
  <c r="CM16" i="11"/>
  <c r="CG17" i="8"/>
  <c r="CG21" i="8" a="1"/>
  <c r="CG21" i="8" s="1"/>
  <c r="CG23" i="8" s="1"/>
  <c r="CH16" i="8"/>
  <c r="CM21" i="11" l="1" a="1"/>
  <c r="CM21" i="11" s="1"/>
  <c r="CM23" i="11" s="1"/>
  <c r="CM17" i="11"/>
  <c r="CN16" i="11"/>
  <c r="CH17" i="8"/>
  <c r="CH21" i="8" a="1"/>
  <c r="CH21" i="8" s="1"/>
  <c r="CH23" i="8" s="1"/>
  <c r="CI16" i="8"/>
  <c r="CO16" i="11" l="1"/>
  <c r="CN17" i="11"/>
  <c r="CN21" i="11" a="1"/>
  <c r="CN21" i="11" s="1"/>
  <c r="CN23" i="11" s="1"/>
  <c r="CJ16" i="8"/>
  <c r="CI17" i="8"/>
  <c r="CI21" i="8" a="1"/>
  <c r="CI21" i="8" s="1"/>
  <c r="CI23" i="8" s="1"/>
  <c r="CO21" i="11" l="1" a="1"/>
  <c r="CO21" i="11" s="1"/>
  <c r="CO23" i="11" s="1"/>
  <c r="CO17" i="11"/>
  <c r="CP16" i="11"/>
  <c r="CK16" i="8"/>
  <c r="CJ17" i="8"/>
  <c r="CJ21" i="8" a="1"/>
  <c r="CJ21" i="8" s="1"/>
  <c r="CJ23" i="8" s="1"/>
  <c r="CP17" i="11" l="1"/>
  <c r="CP21" i="11" a="1"/>
  <c r="CP21" i="11" s="1"/>
  <c r="CP23" i="11" s="1"/>
  <c r="CQ16" i="11"/>
  <c r="CL16" i="8"/>
  <c r="CK17" i="8"/>
  <c r="CK21" i="8" a="1"/>
  <c r="CK21" i="8" s="1"/>
  <c r="CK23" i="8" s="1"/>
  <c r="CQ21" i="11" l="1" a="1"/>
  <c r="CQ21" i="11" s="1"/>
  <c r="CQ23" i="11" s="1"/>
  <c r="CQ17" i="11"/>
  <c r="CR16" i="11"/>
  <c r="CM16" i="8"/>
  <c r="CL21" i="8" a="1"/>
  <c r="CL21" i="8" s="1"/>
  <c r="CL23" i="8" s="1"/>
  <c r="CL17" i="8"/>
  <c r="CS16" i="11" l="1"/>
  <c r="CR21" i="11" a="1"/>
  <c r="CR21" i="11" s="1"/>
  <c r="CR23" i="11" s="1"/>
  <c r="CR17" i="11"/>
  <c r="CN16" i="8"/>
  <c r="CM21" i="8" a="1"/>
  <c r="CM21" i="8" s="1"/>
  <c r="CM23" i="8" s="1"/>
  <c r="CM17" i="8"/>
  <c r="CS17" i="11" l="1"/>
  <c r="CT16" i="11"/>
  <c r="CS21" i="11" a="1"/>
  <c r="CS21" i="11" s="1"/>
  <c r="CS23" i="11" s="1"/>
  <c r="CO16" i="8"/>
  <c r="CN17" i="8"/>
  <c r="CN21" i="8" a="1"/>
  <c r="CN21" i="8" s="1"/>
  <c r="CN23" i="8" s="1"/>
  <c r="CT21" i="11" l="1" a="1"/>
  <c r="CT21" i="11" s="1"/>
  <c r="CT23" i="11" s="1"/>
  <c r="CU16" i="11"/>
  <c r="CT17" i="11"/>
  <c r="CO21" i="8" a="1"/>
  <c r="CO21" i="8" s="1"/>
  <c r="CO23" i="8" s="1"/>
  <c r="CP16" i="8"/>
  <c r="CO17" i="8"/>
  <c r="CU21" i="11" l="1" a="1"/>
  <c r="CU21" i="11" s="1"/>
  <c r="CU23" i="11" s="1"/>
  <c r="CV16" i="11"/>
  <c r="CU17" i="11"/>
  <c r="CP17" i="8"/>
  <c r="CQ16" i="8"/>
  <c r="CP21" i="8" a="1"/>
  <c r="CP21" i="8" s="1"/>
  <c r="CP23" i="8" s="1"/>
  <c r="CW16" i="11" l="1"/>
  <c r="CV17" i="11"/>
  <c r="CV21" i="11" a="1"/>
  <c r="CV21" i="11" s="1"/>
  <c r="CV23" i="11" s="1"/>
  <c r="CR16" i="8"/>
  <c r="CQ17" i="8"/>
  <c r="CQ21" i="8" a="1"/>
  <c r="CQ21" i="8" s="1"/>
  <c r="CQ23" i="8" s="1"/>
  <c r="CW21" i="11" l="1" a="1"/>
  <c r="CW21" i="11" s="1"/>
  <c r="CW23" i="11" s="1"/>
  <c r="CX16" i="11"/>
  <c r="CW17" i="11"/>
  <c r="CR21" i="8" a="1"/>
  <c r="CR21" i="8" s="1"/>
  <c r="CR23" i="8" s="1"/>
  <c r="CS16" i="8"/>
  <c r="CR17" i="8"/>
  <c r="CX17" i="11" l="1"/>
  <c r="CX21" i="11" a="1"/>
  <c r="CX21" i="11" s="1"/>
  <c r="CX23" i="11" s="1"/>
  <c r="CY16" i="11"/>
  <c r="CS17" i="8"/>
  <c r="CS21" i="8" a="1"/>
  <c r="CS21" i="8" s="1"/>
  <c r="CS23" i="8" s="1"/>
  <c r="CT16" i="8"/>
  <c r="CZ16" i="11" l="1"/>
  <c r="CY17" i="11"/>
  <c r="CY21" i="11" a="1"/>
  <c r="CY21" i="11" s="1"/>
  <c r="CY23" i="11" s="1"/>
  <c r="CT17" i="8"/>
  <c r="CT21" i="8" a="1"/>
  <c r="CT21" i="8" s="1"/>
  <c r="CT23" i="8" s="1"/>
  <c r="CU16" i="8"/>
  <c r="DA16" i="11" l="1"/>
  <c r="CZ17" i="11"/>
  <c r="CZ21" i="11" a="1"/>
  <c r="CZ21" i="11" s="1"/>
  <c r="CZ23" i="11" s="1"/>
  <c r="CV16" i="8"/>
  <c r="CU17" i="8"/>
  <c r="CU21" i="8" a="1"/>
  <c r="CU21" i="8" s="1"/>
  <c r="CU23" i="8" s="1"/>
  <c r="DA21" i="11" l="1" a="1"/>
  <c r="DA21" i="11" s="1"/>
  <c r="DA23" i="11" s="1"/>
  <c r="DA17" i="11"/>
  <c r="DB16" i="11"/>
  <c r="CW16" i="8"/>
  <c r="CV17" i="8"/>
  <c r="CV21" i="8" a="1"/>
  <c r="CV21" i="8" s="1"/>
  <c r="CV23" i="8" s="1"/>
  <c r="DB17" i="11" l="1"/>
  <c r="DB21" i="11" a="1"/>
  <c r="DB21" i="11" s="1"/>
  <c r="DB23" i="11" s="1"/>
  <c r="DC16" i="11"/>
  <c r="CX16" i="8"/>
  <c r="CW17" i="8"/>
  <c r="CW21" i="8" a="1"/>
  <c r="CW21" i="8" s="1"/>
  <c r="CW23" i="8" s="1"/>
  <c r="DC21" i="11" l="1" a="1"/>
  <c r="DC21" i="11" s="1"/>
  <c r="DC23" i="11" s="1"/>
  <c r="DC17" i="11"/>
  <c r="DD16" i="11"/>
  <c r="CY16" i="8"/>
  <c r="CX21" i="8" a="1"/>
  <c r="CX21" i="8" s="1"/>
  <c r="CX23" i="8" s="1"/>
  <c r="CX17" i="8"/>
  <c r="DE16" i="11" l="1"/>
  <c r="DD21" i="11" a="1"/>
  <c r="DD21" i="11" s="1"/>
  <c r="DD23" i="11" s="1"/>
  <c r="DD17" i="11"/>
  <c r="CZ16" i="8"/>
  <c r="CY21" i="8" a="1"/>
  <c r="CY21" i="8" s="1"/>
  <c r="CY23" i="8" s="1"/>
  <c r="CY17" i="8"/>
  <c r="DE17" i="11" l="1"/>
  <c r="DF16" i="11"/>
  <c r="DE21" i="11" a="1"/>
  <c r="DE21" i="11" s="1"/>
  <c r="DE23" i="11" s="1"/>
  <c r="CZ21" i="8" a="1"/>
  <c r="CZ21" i="8" s="1"/>
  <c r="CZ23" i="8" s="1"/>
  <c r="DA16" i="8"/>
  <c r="CZ17" i="8"/>
  <c r="DG16" i="11" l="1"/>
  <c r="DF17" i="11"/>
  <c r="DF21" i="11" a="1"/>
  <c r="DF21" i="11" s="1"/>
  <c r="DF23" i="11" s="1"/>
  <c r="DB16" i="8"/>
  <c r="DA21" i="8" a="1"/>
  <c r="DA21" i="8" s="1"/>
  <c r="DA23" i="8" s="1"/>
  <c r="DA17" i="8"/>
  <c r="DG21" i="11" l="1" a="1"/>
  <c r="DG21" i="11" s="1"/>
  <c r="DG23" i="11" s="1"/>
  <c r="DH16" i="11"/>
  <c r="DG17" i="11"/>
  <c r="DC16" i="8"/>
  <c r="DB17" i="8"/>
  <c r="DB21" i="8" a="1"/>
  <c r="DB21" i="8" s="1"/>
  <c r="DB23" i="8" s="1"/>
  <c r="DH21" i="11" l="1" a="1"/>
  <c r="DH21" i="11" s="1"/>
  <c r="DH23" i="11" s="1"/>
  <c r="B22" i="11" s="1"/>
  <c r="DH17" i="11"/>
  <c r="DD16" i="8"/>
  <c r="DC17" i="8"/>
  <c r="DC21" i="8" a="1"/>
  <c r="DC21" i="8" s="1"/>
  <c r="DC23" i="8" s="1"/>
  <c r="DB22" i="11" l="1"/>
  <c r="CP22" i="11"/>
  <c r="CD22" i="11"/>
  <c r="BR22" i="11"/>
  <c r="BF22" i="11"/>
  <c r="AT22" i="11"/>
  <c r="AH22" i="11"/>
  <c r="V22" i="11"/>
  <c r="J22" i="11"/>
  <c r="AS22" i="11"/>
  <c r="I22" i="11"/>
  <c r="BE22" i="11"/>
  <c r="CW22" i="11"/>
  <c r="CK22" i="11"/>
  <c r="BY22" i="11"/>
  <c r="BM22" i="11"/>
  <c r="BA22" i="11"/>
  <c r="AO22" i="11"/>
  <c r="AC22" i="11"/>
  <c r="Q22" i="11"/>
  <c r="E22" i="11"/>
  <c r="DF22" i="11"/>
  <c r="CT22" i="11"/>
  <c r="CH22" i="11"/>
  <c r="BV22" i="11"/>
  <c r="BJ22" i="11"/>
  <c r="AX22" i="11"/>
  <c r="AL22" i="11"/>
  <c r="Z22" i="11"/>
  <c r="N22" i="11"/>
  <c r="DE22" i="11"/>
  <c r="CS22" i="11"/>
  <c r="CG22" i="11"/>
  <c r="BU22" i="11"/>
  <c r="BI22" i="11"/>
  <c r="AW22" i="11"/>
  <c r="AK22" i="11"/>
  <c r="Y22" i="11"/>
  <c r="M22" i="11"/>
  <c r="DC22" i="11"/>
  <c r="CQ22" i="11"/>
  <c r="CE22" i="11"/>
  <c r="BS22" i="11"/>
  <c r="BG22" i="11"/>
  <c r="AU22" i="11"/>
  <c r="AI22" i="11"/>
  <c r="W22" i="11"/>
  <c r="K22" i="11"/>
  <c r="DA22" i="11"/>
  <c r="CO22" i="11"/>
  <c r="CC22" i="11"/>
  <c r="BQ22" i="11"/>
  <c r="AG22" i="11"/>
  <c r="DH22" i="11"/>
  <c r="CJ22" i="11"/>
  <c r="BL22" i="11"/>
  <c r="AN22" i="11"/>
  <c r="R22" i="11"/>
  <c r="DG22" i="11"/>
  <c r="CI22" i="11"/>
  <c r="BK22" i="11"/>
  <c r="AM22" i="11"/>
  <c r="P22" i="11"/>
  <c r="DD22" i="11"/>
  <c r="CF22" i="11"/>
  <c r="BH22" i="11"/>
  <c r="AJ22" i="11"/>
  <c r="O22" i="11"/>
  <c r="CZ22" i="11"/>
  <c r="CB22" i="11"/>
  <c r="BD22" i="11"/>
  <c r="AF22" i="11"/>
  <c r="L22" i="11"/>
  <c r="CY22" i="11"/>
  <c r="CA22" i="11"/>
  <c r="BC22" i="11"/>
  <c r="AE22" i="11"/>
  <c r="H22" i="11"/>
  <c r="CX22" i="11"/>
  <c r="BZ22" i="11"/>
  <c r="BB22" i="11"/>
  <c r="AD22" i="11"/>
  <c r="G22" i="11"/>
  <c r="CV22" i="11"/>
  <c r="BX22" i="11"/>
  <c r="AZ22" i="11"/>
  <c r="AB22" i="11"/>
  <c r="F22" i="11"/>
  <c r="BW22" i="11"/>
  <c r="CN22" i="11"/>
  <c r="BP22" i="11"/>
  <c r="AR22" i="11"/>
  <c r="U22" i="11"/>
  <c r="CM22" i="11"/>
  <c r="BO22" i="11"/>
  <c r="AQ22" i="11"/>
  <c r="T22" i="11"/>
  <c r="BN22" i="11"/>
  <c r="AV22" i="11"/>
  <c r="AY22" i="11"/>
  <c r="AP22" i="11"/>
  <c r="CU22" i="11"/>
  <c r="AA22" i="11"/>
  <c r="D22" i="11"/>
  <c r="X22" i="11"/>
  <c r="CR22" i="11"/>
  <c r="S22" i="11"/>
  <c r="C22" i="11"/>
  <c r="C25" i="11" s="1"/>
  <c r="CL22" i="11"/>
  <c r="BT22" i="11"/>
  <c r="DD21" i="8" a="1"/>
  <c r="DD21" i="8" s="1"/>
  <c r="DD23" i="8" s="1"/>
  <c r="DE16" i="8"/>
  <c r="DD17" i="8"/>
  <c r="C26" i="11" l="1"/>
  <c r="C27" i="11" s="1"/>
  <c r="C28" i="11" s="1"/>
  <c r="DE17" i="8"/>
  <c r="DE21" i="8" a="1"/>
  <c r="DE21" i="8" s="1"/>
  <c r="DE23" i="8" s="1"/>
  <c r="DF16" i="8"/>
  <c r="DF17" i="8" l="1"/>
  <c r="DF21" i="8" a="1"/>
  <c r="DF21" i="8" s="1"/>
  <c r="DF23" i="8" s="1"/>
  <c r="DG16" i="8"/>
  <c r="DH16" i="8" l="1"/>
  <c r="DG17" i="8"/>
  <c r="DG21" i="8" a="1"/>
  <c r="DG21" i="8" s="1"/>
  <c r="DG23" i="8" s="1"/>
  <c r="DH17" i="8" l="1"/>
  <c r="DH21" i="8" a="1"/>
  <c r="DH21" i="8" s="1"/>
  <c r="DH23" i="8" s="1"/>
  <c r="B22" i="8" s="1"/>
  <c r="M22" i="8" l="1"/>
  <c r="Y22" i="8"/>
  <c r="AK22" i="8"/>
  <c r="AW22" i="8"/>
  <c r="BI22" i="8"/>
  <c r="CG22" i="8"/>
  <c r="CS22" i="8"/>
  <c r="DE22" i="8"/>
  <c r="C22" i="8"/>
  <c r="O22" i="8"/>
  <c r="AA22" i="8"/>
  <c r="AM22" i="8"/>
  <c r="AY22" i="8"/>
  <c r="BK22" i="8"/>
  <c r="BW22" i="8"/>
  <c r="CI22" i="8"/>
  <c r="CU22" i="8"/>
  <c r="DG22" i="8"/>
  <c r="D22" i="8"/>
  <c r="AB22" i="8"/>
  <c r="AN22" i="8"/>
  <c r="BL22" i="8"/>
  <c r="BX22" i="8"/>
  <c r="CV22" i="8"/>
  <c r="P22" i="8"/>
  <c r="AZ22" i="8"/>
  <c r="CJ22" i="8"/>
  <c r="DH22" i="8"/>
  <c r="E22" i="8"/>
  <c r="Q22" i="8"/>
  <c r="AC22" i="8"/>
  <c r="AO22" i="8"/>
  <c r="BA22" i="8"/>
  <c r="BM22" i="8"/>
  <c r="BY22" i="8"/>
  <c r="CK22" i="8"/>
  <c r="CW22" i="8"/>
  <c r="BD22" i="8"/>
  <c r="CZ22" i="8"/>
  <c r="BE22" i="8"/>
  <c r="J22" i="8"/>
  <c r="AT22" i="8"/>
  <c r="F22" i="8"/>
  <c r="R22" i="8"/>
  <c r="AD22" i="8"/>
  <c r="AP22" i="8"/>
  <c r="BB22" i="8"/>
  <c r="BN22" i="8"/>
  <c r="BZ22" i="8"/>
  <c r="CL22" i="8"/>
  <c r="CX22" i="8"/>
  <c r="H22" i="8"/>
  <c r="T22" i="8"/>
  <c r="AR22" i="8"/>
  <c r="BP22" i="8"/>
  <c r="CN22" i="8"/>
  <c r="AG22" i="8"/>
  <c r="BQ22" i="8"/>
  <c r="DA22" i="8"/>
  <c r="V22" i="8"/>
  <c r="G22" i="8"/>
  <c r="S22" i="8"/>
  <c r="AE22" i="8"/>
  <c r="AQ22" i="8"/>
  <c r="BC22" i="8"/>
  <c r="BO22" i="8"/>
  <c r="CA22" i="8"/>
  <c r="CM22" i="8"/>
  <c r="CY22" i="8"/>
  <c r="AH22" i="8"/>
  <c r="AF22" i="8"/>
  <c r="CB22" i="8"/>
  <c r="I22" i="8"/>
  <c r="U22" i="8"/>
  <c r="AS22" i="8"/>
  <c r="CC22" i="8"/>
  <c r="CO22" i="8"/>
  <c r="L22" i="8"/>
  <c r="X22" i="8"/>
  <c r="AJ22" i="8"/>
  <c r="AV22" i="8"/>
  <c r="BH22" i="8"/>
  <c r="BT22" i="8"/>
  <c r="CF22" i="8"/>
  <c r="CR22" i="8"/>
  <c r="DD22" i="8"/>
  <c r="BU22" i="8"/>
  <c r="BJ22" i="8"/>
  <c r="DF22" i="8"/>
  <c r="AU22" i="8"/>
  <c r="BR22" i="8"/>
  <c r="BV22" i="8"/>
  <c r="Z22" i="8"/>
  <c r="K22" i="8"/>
  <c r="BS22" i="8"/>
  <c r="CE22" i="8"/>
  <c r="AX22" i="8"/>
  <c r="BF22" i="8"/>
  <c r="N22" i="8"/>
  <c r="CH22" i="8"/>
  <c r="CQ22" i="8"/>
  <c r="W22" i="8"/>
  <c r="CD22" i="8"/>
  <c r="AI22" i="8"/>
  <c r="CP22" i="8"/>
  <c r="BG22" i="8"/>
  <c r="AL22" i="8"/>
  <c r="DB22" i="8"/>
  <c r="CT22" i="8"/>
  <c r="DC22" i="8"/>
  <c r="C25" i="8" l="1"/>
  <c r="C26" i="8"/>
  <c r="C27" i="8" s="1"/>
  <c r="C28" i="8" s="1"/>
  <c r="AD30" i="4" l="1"/>
  <c r="Y42" i="4"/>
  <c r="S16" i="4"/>
  <c r="M35" i="4"/>
  <c r="E42" i="4"/>
  <c r="AD29" i="4"/>
  <c r="Y41" i="4"/>
  <c r="S15" i="4"/>
  <c r="M34" i="4"/>
  <c r="A35" i="7"/>
  <c r="K42" i="7"/>
  <c r="L42" i="7"/>
  <c r="K52" i="7"/>
  <c r="K53" i="7"/>
  <c r="J42" i="7" a="1"/>
  <c r="J42" i="7" s="1"/>
  <c r="J49" i="7" s="1"/>
  <c r="G45" i="7"/>
  <c r="G41" i="7"/>
  <c r="F43" i="7" s="1"/>
  <c r="F4" i="7"/>
  <c r="F3" i="7"/>
  <c r="F5" i="7" l="1"/>
  <c r="G10" i="7" s="1"/>
  <c r="K43" i="7" l="1"/>
  <c r="M42" i="7" l="1"/>
  <c r="L43" i="7"/>
  <c r="M43" i="7" s="1"/>
  <c r="K44" i="7"/>
  <c r="S35" i="2"/>
  <c r="R23" i="2" a="1"/>
  <c r="R23" i="2" s="1"/>
  <c r="R32" i="2" s="1"/>
  <c r="M15" i="2"/>
  <c r="M11" i="2"/>
  <c r="L13" i="2" s="1"/>
  <c r="M4" i="2"/>
  <c r="M3" i="2"/>
  <c r="L44" i="7" l="1"/>
  <c r="M44" i="7" s="1"/>
  <c r="K45" i="7"/>
  <c r="M5" i="2"/>
  <c r="L45" i="7" l="1"/>
  <c r="M45" i="7" s="1"/>
  <c r="K46" i="7"/>
  <c r="S24" i="2"/>
  <c r="L46" i="7" l="1"/>
  <c r="M46" i="7" s="1"/>
  <c r="K47" i="7"/>
  <c r="L47" i="7" s="1"/>
  <c r="M47" i="7" s="1"/>
  <c r="S25" i="2"/>
  <c r="T24" i="2"/>
  <c r="U24" i="2" s="1"/>
  <c r="K48" i="7" l="1"/>
  <c r="S26" i="2"/>
  <c r="T25" i="2"/>
  <c r="L48" i="7" l="1"/>
  <c r="K49" i="7"/>
  <c r="U25" i="2"/>
  <c r="S27" i="2"/>
  <c r="T26" i="2"/>
  <c r="U26" i="2" s="1"/>
  <c r="M48" i="7" l="1"/>
  <c r="M49" i="7" s="1"/>
  <c r="L49" i="7"/>
  <c r="S28" i="2"/>
  <c r="T27" i="2"/>
  <c r="U27" i="2" s="1"/>
  <c r="S29" i="2" l="1"/>
  <c r="T28" i="2"/>
  <c r="U28" i="2" l="1"/>
  <c r="S30" i="2"/>
  <c r="T29" i="2"/>
  <c r="U29" i="2" s="1"/>
  <c r="T30" i="2" l="1"/>
  <c r="U30" i="2" s="1"/>
  <c r="S31" i="2"/>
  <c r="T31" i="2" l="1"/>
  <c r="S32" i="2"/>
  <c r="U31" i="2" l="1"/>
  <c r="U32" i="2" s="1"/>
  <c r="T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<sst xmlns="http://schemas.openxmlformats.org/spreadsheetml/2006/main" count="294" uniqueCount="103">
  <si>
    <t>CASO 11(BUFET)</t>
  </si>
  <si>
    <t>caja</t>
  </si>
  <si>
    <t>C2 MICROONDAS</t>
  </si>
  <si>
    <t>CASO 11  TIEMPO EN TERMIANR SU COMIDA</t>
  </si>
  <si>
    <t> </t>
  </si>
  <si>
    <r>
      <t>1/</t>
    </r>
    <r>
      <rPr>
        <sz val="11"/>
        <color rgb="FF000000"/>
        <rFont val="Symbol"/>
        <family val="1"/>
        <charset val="2"/>
      </rPr>
      <t>l</t>
    </r>
  </si>
  <si>
    <t>min/cli</t>
  </si>
  <si>
    <t>1/u</t>
  </si>
  <si>
    <t>µ</t>
  </si>
  <si>
    <t>λ</t>
  </si>
  <si>
    <t>lim sub</t>
  </si>
  <si>
    <t>MAX</t>
  </si>
  <si>
    <t>MIN</t>
  </si>
  <si>
    <t>A</t>
  </si>
  <si>
    <t>m</t>
  </si>
  <si>
    <t>k</t>
  </si>
  <si>
    <t>Clase</t>
  </si>
  <si>
    <t>Frecuencia</t>
  </si>
  <si>
    <r>
      <t>1/</t>
    </r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prom</t>
    </r>
  </si>
  <si>
    <t>landa=</t>
  </si>
  <si>
    <t>varianza=</t>
  </si>
  <si>
    <t>y mayor...</t>
  </si>
  <si>
    <t>Lim sup</t>
  </si>
  <si>
    <t>frecuencia</t>
  </si>
  <si>
    <t>p(x)</t>
  </si>
  <si>
    <t>Ei=380*P(x)</t>
  </si>
  <si>
    <t>ERROR</t>
  </si>
  <si>
    <t>INF</t>
  </si>
  <si>
    <t>suma</t>
  </si>
  <si>
    <t>ALFA</t>
  </si>
  <si>
    <t>Gl</t>
  </si>
  <si>
    <t>TABLAS</t>
  </si>
  <si>
    <t>XI^2(0.05,6)</t>
  </si>
  <si>
    <t>Ho</t>
  </si>
  <si>
    <t>X tiene una distribucion exponencial</t>
  </si>
  <si>
    <t>H1</t>
  </si>
  <si>
    <t>X no tiene dicha distribucion</t>
  </si>
  <si>
    <t xml:space="preserve">Como </t>
  </si>
  <si>
    <t>&lt;</t>
  </si>
  <si>
    <t>estamos en la region de aceptacion y no rechasamos la hipotesis nula</t>
  </si>
  <si>
    <t>RPT</t>
  </si>
  <si>
    <t>Con un 95% de confianza podemos afirmar que los dato sigen una distribucion exponencial.</t>
  </si>
  <si>
    <t>max</t>
  </si>
  <si>
    <t>min</t>
  </si>
  <si>
    <t>LIM SUB</t>
  </si>
  <si>
    <t>1/U prom</t>
  </si>
  <si>
    <t>FRECU</t>
  </si>
  <si>
    <t>P</t>
  </si>
  <si>
    <t>EI</t>
  </si>
  <si>
    <t>U PROM=</t>
  </si>
  <si>
    <t>XI^2(0.05,4)</t>
  </si>
  <si>
    <t>caso 11</t>
  </si>
  <si>
    <t>1/l</t>
  </si>
  <si>
    <t>l</t>
  </si>
  <si>
    <t>clientes/minuto</t>
  </si>
  <si>
    <t>1/m</t>
  </si>
  <si>
    <t>minutos</t>
  </si>
  <si>
    <t>s</t>
  </si>
  <si>
    <t>L</t>
  </si>
  <si>
    <t>r</t>
  </si>
  <si>
    <t>Lq</t>
  </si>
  <si>
    <t>W</t>
  </si>
  <si>
    <t>Wq</t>
  </si>
  <si>
    <t>Resumen de parametros quitando el microondas</t>
  </si>
  <si>
    <t>caso 11 mesas</t>
  </si>
  <si>
    <t>caso 11 buffet</t>
  </si>
  <si>
    <t xml:space="preserve">caso 2 microondas </t>
  </si>
  <si>
    <t xml:space="preserve">caso 7 </t>
  </si>
  <si>
    <t>general</t>
  </si>
  <si>
    <t>clientes</t>
  </si>
  <si>
    <t>caso 2 microondas</t>
  </si>
  <si>
    <t xml:space="preserve">calculo del landa </t>
  </si>
  <si>
    <t>*</t>
  </si>
  <si>
    <t>=</t>
  </si>
  <si>
    <t>experado en %</t>
  </si>
  <si>
    <r>
      <t>s</t>
    </r>
    <r>
      <rPr>
        <b/>
        <vertAlign val="superscript"/>
        <sz val="11"/>
        <color theme="8" tint="-0.499984740745262"/>
        <rFont val="Calibri"/>
        <family val="2"/>
        <scheme val="minor"/>
      </rPr>
      <t>2</t>
    </r>
    <r>
      <rPr>
        <b/>
        <sz val="11"/>
        <color theme="8" tint="-0.499984740745262"/>
        <rFont val="Calibri"/>
        <family val="2"/>
        <scheme val="minor"/>
      </rPr>
      <t xml:space="preserve"> =</t>
    </r>
  </si>
  <si>
    <t>VAR.S()</t>
  </si>
  <si>
    <t>Caso 7: Possion / exponencial / s servidores / DG / infinito / infinito</t>
  </si>
  <si>
    <t>s=</t>
  </si>
  <si>
    <t>r=</t>
  </si>
  <si>
    <t>n</t>
  </si>
  <si>
    <t>n-s</t>
  </si>
  <si>
    <t>r(n)</t>
  </si>
  <si>
    <r>
      <rPr>
        <sz val="14"/>
        <color theme="1"/>
        <rFont val="Symbol"/>
        <family val="1"/>
        <charset val="2"/>
      </rPr>
      <t>l</t>
    </r>
    <r>
      <rPr>
        <sz val="14"/>
        <color theme="1"/>
        <rFont val="Calibri"/>
        <family val="2"/>
        <scheme val="minor"/>
      </rPr>
      <t>n</t>
    </r>
  </si>
  <si>
    <t>a(n)</t>
  </si>
  <si>
    <r>
      <rPr>
        <sz val="14"/>
        <color theme="1"/>
        <rFont val="Symbol"/>
        <family val="1"/>
        <charset val="2"/>
      </rPr>
      <t>m</t>
    </r>
    <r>
      <rPr>
        <sz val="14"/>
        <color theme="1"/>
        <rFont val="Calibri"/>
        <family val="2"/>
        <scheme val="minor"/>
      </rPr>
      <t>n</t>
    </r>
  </si>
  <si>
    <t>Pn</t>
  </si>
  <si>
    <t>Sum</t>
  </si>
  <si>
    <t>ciclo</t>
  </si>
  <si>
    <t>boletas</t>
  </si>
  <si>
    <t>soles/cliente</t>
  </si>
  <si>
    <t>h/activo</t>
  </si>
  <si>
    <t>factores de conversion</t>
  </si>
  <si>
    <t>ganancia sin mermas</t>
  </si>
  <si>
    <t>soles / mes</t>
  </si>
  <si>
    <t>sueldo mensual por  servidores en el buffet</t>
  </si>
  <si>
    <t>ganancia neta</t>
  </si>
  <si>
    <t>4 servidores</t>
  </si>
  <si>
    <t>-</t>
  </si>
  <si>
    <t>soles/ mes</t>
  </si>
  <si>
    <t>5 servidores</t>
  </si>
  <si>
    <t xml:space="preserve">sueldo por trabajado </t>
  </si>
  <si>
    <t xml:space="preserve">cts gratificacion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</si>
</sst>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7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Symbol"/>
      <family val="1"/>
      <charset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1"/>
      <charset val="2"/>
      <scheme val="minor"/>
    </font>
    <font>
      <sz val="14"/>
      <color theme="1"/>
      <name val="Symbol"/>
      <family val="1"/>
      <charset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8" tint="-0.499984740745262"/>
      <name val="Symbol"/>
      <family val="1"/>
      <charset val="2"/>
    </font>
    <font>
      <b/>
      <vertAlign val="superscript"/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0" xfId="0" applyNumberFormat="1"/>
    <xf numFmtId="164" fontId="0" fillId="0" borderId="4" xfId="0" applyNumberFormat="1" applyBorder="1"/>
    <xf numFmtId="164" fontId="0" fillId="0" borderId="5" xfId="0" applyNumberFormat="1" applyBorder="1"/>
    <xf numFmtId="0" fontId="5" fillId="0" borderId="6" xfId="0" applyFont="1" applyBorder="1" applyAlignment="1">
      <alignment horizontal="center"/>
    </xf>
    <xf numFmtId="0" fontId="0" fillId="7" borderId="0" xfId="0" applyFill="1"/>
    <xf numFmtId="164" fontId="0" fillId="0" borderId="9" xfId="0" applyNumberFormat="1" applyBorder="1"/>
    <xf numFmtId="1" fontId="0" fillId="0" borderId="0" xfId="0" applyNumberFormat="1"/>
    <xf numFmtId="0" fontId="4" fillId="0" borderId="9" xfId="0" applyFont="1" applyBorder="1"/>
    <xf numFmtId="0" fontId="0" fillId="0" borderId="9" xfId="0" applyBorder="1"/>
    <xf numFmtId="0" fontId="0" fillId="0" borderId="11" xfId="0" applyBorder="1"/>
    <xf numFmtId="0" fontId="0" fillId="8" borderId="0" xfId="0" applyFill="1"/>
    <xf numFmtId="0" fontId="4" fillId="8" borderId="9" xfId="0" applyFont="1" applyFill="1" applyBorder="1"/>
    <xf numFmtId="0" fontId="4" fillId="0" borderId="0" xfId="0" applyFont="1"/>
    <xf numFmtId="164" fontId="0" fillId="0" borderId="12" xfId="0" applyNumberFormat="1" applyBorder="1"/>
    <xf numFmtId="164" fontId="0" fillId="0" borderId="11" xfId="0" applyNumberFormat="1" applyBorder="1"/>
    <xf numFmtId="164" fontId="0" fillId="0" borderId="13" xfId="0" applyNumberFormat="1" applyBorder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2" fontId="0" fillId="0" borderId="4" xfId="0" applyNumberFormat="1" applyBorder="1"/>
    <xf numFmtId="2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9" borderId="0" xfId="0" applyFill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11" borderId="0" xfId="0" applyFill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/>
    <xf numFmtId="0" fontId="4" fillId="7" borderId="0" xfId="0" applyFont="1" applyFill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14" fillId="0" borderId="0" xfId="0" applyFont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12" borderId="2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6" borderId="0" xfId="0" applyFont="1" applyFill="1" applyAlignment="1"/>
    <xf numFmtId="0" fontId="1" fillId="5" borderId="0" xfId="0" applyFont="1" applyFill="1" applyAlignment="1"/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3476159230096238"/>
          <c:y val="0.17937360178970918"/>
          <c:w val="0.83468285214348203"/>
          <c:h val="0.59168525075305189"/>
        </c:manualLayout>
      </c:layout>
      <c:barChart>
        <c:barDir val="col"/>
        <c:grouping val="clustered"/>
        <c:varyColors val="0"/>
        <c:ser>
          <c:idx val="0"/>
          <c:order val="0"/>
          <c:tx>
            <c:v>Frecuencia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'[1]CHI MODIFC'!$Q$9:$Q$17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y mayor...</c:v>
                </c:pt>
              </c:strCache>
            </c:strRef>
          </c:cat>
          <c:val>
            <c:numRef>
              <c:f>'[1]CHI MODIFC'!$R$9:$R$17</c:f>
              <c:numCache>
                <c:formatCode>General</c:formatCode>
                <c:ptCount val="9"/>
                <c:pt idx="0">
                  <c:v>211</c:v>
                </c:pt>
                <c:pt idx="1">
                  <c:v>86</c:v>
                </c:pt>
                <c:pt idx="2">
                  <c:v>41</c:v>
                </c:pt>
                <c:pt idx="3">
                  <c:v>18</c:v>
                </c:pt>
                <c:pt idx="4">
                  <c:v>14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7-48D1-B298-9DF727F8E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30608208"/>
        <c:axId val="1130607248"/>
      </c:barChart>
      <c:catAx>
        <c:axId val="113060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0607248"/>
        <c:crosses val="autoZero"/>
        <c:auto val="1"/>
        <c:lblAlgn val="ctr"/>
        <c:lblOffset val="100"/>
        <c:noMultiLvlLbl val="0"/>
      </c:catAx>
      <c:valAx>
        <c:axId val="1130607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060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'Prueva chi para c7'!$H$13:$H$19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y mayor...</c:v>
                </c:pt>
              </c:strCache>
            </c:strRef>
          </c:cat>
          <c:val>
            <c:numRef>
              <c:f>'Prueva chi para c7'!$I$13:$I$19</c:f>
              <c:numCache>
                <c:formatCode>General</c:formatCode>
                <c:ptCount val="7"/>
                <c:pt idx="0">
                  <c:v>45</c:v>
                </c:pt>
                <c:pt idx="1">
                  <c:v>25</c:v>
                </c:pt>
                <c:pt idx="2">
                  <c:v>6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C-4715-99CB-750779F1B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27823408"/>
        <c:axId val="1992743584"/>
      </c:barChart>
      <c:catAx>
        <c:axId val="162782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743584"/>
        <c:crosses val="autoZero"/>
        <c:auto val="1"/>
        <c:lblAlgn val="ctr"/>
        <c:lblOffset val="100"/>
        <c:noMultiLvlLbl val="0"/>
      </c:catAx>
      <c:valAx>
        <c:axId val="1992743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2782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'Prueva chi para c7'!$G$23:$G$35</c:f>
              <c:strCache>
                <c:ptCount val="13"/>
                <c:pt idx="0">
                  <c:v>0,5</c:v>
                </c:pt>
                <c:pt idx="1">
                  <c:v>1</c:v>
                </c:pt>
                <c:pt idx="2">
                  <c:v>1,5</c:v>
                </c:pt>
                <c:pt idx="3">
                  <c:v>2</c:v>
                </c:pt>
                <c:pt idx="4">
                  <c:v>2,5</c:v>
                </c:pt>
                <c:pt idx="5">
                  <c:v>3</c:v>
                </c:pt>
                <c:pt idx="6">
                  <c:v>3,5</c:v>
                </c:pt>
                <c:pt idx="7">
                  <c:v>4</c:v>
                </c:pt>
                <c:pt idx="8">
                  <c:v>4,5</c:v>
                </c:pt>
                <c:pt idx="9">
                  <c:v>5</c:v>
                </c:pt>
                <c:pt idx="10">
                  <c:v>5,5</c:v>
                </c:pt>
                <c:pt idx="11">
                  <c:v>6</c:v>
                </c:pt>
                <c:pt idx="12">
                  <c:v>y mayor...</c:v>
                </c:pt>
              </c:strCache>
            </c:strRef>
          </c:cat>
          <c:val>
            <c:numRef>
              <c:f>'Prueva chi para c7'!$H$23:$H$35</c:f>
              <c:numCache>
                <c:formatCode>General</c:formatCode>
                <c:ptCount val="13"/>
                <c:pt idx="0">
                  <c:v>10</c:v>
                </c:pt>
                <c:pt idx="1">
                  <c:v>35</c:v>
                </c:pt>
                <c:pt idx="2">
                  <c:v>19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3-4E09-8526-359D08C89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92741664"/>
        <c:axId val="1992742144"/>
      </c:barChart>
      <c:catAx>
        <c:axId val="199274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742144"/>
        <c:crosses val="autoZero"/>
        <c:auto val="1"/>
        <c:lblAlgn val="ctr"/>
        <c:lblOffset val="100"/>
        <c:noMultiLvlLbl val="0"/>
      </c:catAx>
      <c:valAx>
        <c:axId val="1992742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7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257175</xdr:colOff>
      <xdr:row>2</xdr:row>
      <xdr:rowOff>114300</xdr:rowOff>
    </xdr:from>
    <xdr:to>
      <xdr:col>24</xdr:col>
      <xdr:colOff>257175</xdr:colOff>
      <xdr:row>17</xdr:row>
      <xdr:rowOff>76200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5E0F532D-B200-4FE1-979F-9FAAEBFC9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447674</xdr:colOff>
      <xdr:row>6</xdr:row>
      <xdr:rowOff>114299</xdr:rowOff>
    </xdr:from>
    <xdr:to>
      <xdr:col>15</xdr:col>
      <xdr:colOff>647699</xdr:colOff>
      <xdr:row>19</xdr:row>
      <xdr:rowOff>142874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B2EE88-C204-3A0C-FEF5-127F7520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85724</xdr:colOff>
      <xdr:row>20</xdr:row>
      <xdr:rowOff>123825</xdr:rowOff>
    </xdr:from>
    <xdr:to>
      <xdr:col>16</xdr:col>
      <xdr:colOff>104775</xdr:colOff>
      <xdr:row>34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00D21E-ED1B-8B0B-D49C-410ABEAC6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xel%20data%20v2.xlsx" TargetMode="External"/><Relationship Id="rId1" Type="http://schemas.openxmlformats.org/officeDocument/2006/relationships/externalLinkPath" Target="file:///C:\Users\User\Downloads\exel%20dat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POR FECHAS(RECOLECCION)"/>
      <sheetName val="DATOS POR SISTEMAS"/>
      <sheetName val="prueba chi cuadrado"/>
      <sheetName val="analisis de colas"/>
      <sheetName val="FAIEL CHI"/>
      <sheetName val="CHI MODIFC"/>
    </sheetNames>
    <sheetDataSet>
      <sheetData sheetId="0"/>
      <sheetData sheetId="1"/>
      <sheetData sheetId="2"/>
      <sheetData sheetId="3"/>
      <sheetData sheetId="4"/>
      <sheetData sheetId="5">
        <row r="9">
          <cell r="Q9">
            <v>1</v>
          </cell>
          <cell r="R9">
            <v>211</v>
          </cell>
        </row>
        <row r="10">
          <cell r="Q10">
            <v>2</v>
          </cell>
          <cell r="R10">
            <v>86</v>
          </cell>
        </row>
        <row r="11">
          <cell r="Q11">
            <v>3</v>
          </cell>
          <cell r="R11">
            <v>41</v>
          </cell>
        </row>
        <row r="12">
          <cell r="Q12">
            <v>4</v>
          </cell>
          <cell r="R12">
            <v>18</v>
          </cell>
        </row>
        <row r="13">
          <cell r="Q13">
            <v>5</v>
          </cell>
          <cell r="R13">
            <v>14</v>
          </cell>
        </row>
        <row r="14">
          <cell r="Q14">
            <v>6</v>
          </cell>
          <cell r="R14">
            <v>7</v>
          </cell>
        </row>
        <row r="15">
          <cell r="Q15">
            <v>7</v>
          </cell>
          <cell r="R15">
            <v>1</v>
          </cell>
        </row>
        <row r="16">
          <cell r="Q16">
            <v>8</v>
          </cell>
          <cell r="R16">
            <v>2</v>
          </cell>
        </row>
        <row r="17">
          <cell r="Q17" t="str">
            <v>y mayor...</v>
          </cell>
          <cell r="R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387C-0E75-486A-A6D1-5573E1030ED4}">
  <dimension ref="A1:AG42"/>
  <sheetViews>
    <sheetView tabSelected="1" topLeftCell="E1" zoomScale="55" zoomScaleNormal="55" workbookViewId="0">
      <selection activeCell="K13" sqref="K13"/>
    </sheetView>
  </sheetViews>
  <sheetFormatPr defaultColWidth="11.42578125" defaultRowHeight="15"/>
  <sheetData>
    <row r="1" spans="1:33">
      <c r="A1" s="85" t="s">
        <v>0</v>
      </c>
      <c r="B1" s="85"/>
      <c r="C1" s="85"/>
      <c r="D1" s="85"/>
      <c r="M1" s="86" t="s">
        <v>1</v>
      </c>
      <c r="N1" s="86"/>
      <c r="O1" s="86"/>
      <c r="P1" s="86"/>
      <c r="S1" s="87" t="s">
        <v>2</v>
      </c>
      <c r="T1" s="87"/>
      <c r="U1" s="87"/>
      <c r="V1" s="87"/>
      <c r="X1" s="88" t="s">
        <v>3</v>
      </c>
      <c r="Y1" s="88"/>
      <c r="Z1" s="88"/>
      <c r="AA1" s="88"/>
      <c r="AD1" s="89" t="s">
        <v>0</v>
      </c>
      <c r="AE1" s="89"/>
      <c r="AF1" s="89"/>
      <c r="AG1" s="89"/>
    </row>
    <row r="2" spans="1:33">
      <c r="A2" s="1" t="s">
        <v>4</v>
      </c>
      <c r="B2" s="85" t="s">
        <v>5</v>
      </c>
      <c r="C2" s="85"/>
      <c r="D2" s="1" t="s">
        <v>6</v>
      </c>
      <c r="M2" s="2" t="s">
        <v>4</v>
      </c>
      <c r="N2" s="86" t="s">
        <v>7</v>
      </c>
      <c r="O2" s="86"/>
      <c r="P2" s="2" t="s">
        <v>6</v>
      </c>
      <c r="S2" s="5" t="s">
        <v>4</v>
      </c>
      <c r="T2" s="87" t="s">
        <v>7</v>
      </c>
      <c r="U2" s="87"/>
      <c r="V2" s="5" t="s">
        <v>6</v>
      </c>
      <c r="X2" s="4" t="s">
        <v>4</v>
      </c>
      <c r="Y2" s="88" t="s">
        <v>7</v>
      </c>
      <c r="Z2" s="88"/>
      <c r="AA2" s="4" t="s">
        <v>6</v>
      </c>
      <c r="AD2" s="3" t="s">
        <v>4</v>
      </c>
      <c r="AE2" s="89" t="s">
        <v>7</v>
      </c>
      <c r="AF2" s="89"/>
      <c r="AG2" s="3" t="s">
        <v>6</v>
      </c>
    </row>
    <row r="3" spans="1:33">
      <c r="A3" s="6">
        <v>1.7654700000000001</v>
      </c>
      <c r="B3" s="7">
        <v>0.14333333333333334</v>
      </c>
      <c r="C3" s="7">
        <v>9.3333333333333324E-2</v>
      </c>
      <c r="D3" s="7">
        <v>4.1233399999999998</v>
      </c>
      <c r="E3" s="7">
        <v>1.5933333333333333</v>
      </c>
      <c r="F3" s="7">
        <v>1.0649999999999999</v>
      </c>
      <c r="G3" s="7">
        <v>0.19</v>
      </c>
      <c r="H3" s="7">
        <v>0.85666666666666669</v>
      </c>
      <c r="I3" s="7">
        <v>0.22833333333333333</v>
      </c>
      <c r="J3" s="8">
        <v>2.875</v>
      </c>
      <c r="M3" s="28">
        <v>0.85</v>
      </c>
      <c r="N3" s="29">
        <v>4.3333333333333335E-2</v>
      </c>
      <c r="O3" s="30">
        <v>0.65</v>
      </c>
      <c r="S3" s="28">
        <v>2.5499999999999998</v>
      </c>
      <c r="T3" s="29"/>
      <c r="U3" s="29"/>
      <c r="V3" s="30"/>
      <c r="X3" s="28"/>
      <c r="Y3" s="29">
        <v>12.866666666666706</v>
      </c>
      <c r="Z3" s="29"/>
      <c r="AA3" s="30"/>
      <c r="AD3" s="37">
        <v>3.6583333333333332</v>
      </c>
    </row>
    <row r="4" spans="1:33">
      <c r="A4" s="10">
        <v>5.7666666666666666</v>
      </c>
      <c r="B4" s="9">
        <v>0.14666666666666667</v>
      </c>
      <c r="C4" s="9">
        <v>0.185</v>
      </c>
      <c r="D4" s="9">
        <v>1.2342340000000001</v>
      </c>
      <c r="E4" s="9">
        <v>1.5716666666666665</v>
      </c>
      <c r="F4" s="9">
        <v>1.7083333333333335</v>
      </c>
      <c r="G4" s="9">
        <v>1.0633333333333332</v>
      </c>
      <c r="H4" s="9">
        <v>1.3866666666666667</v>
      </c>
      <c r="I4" s="9">
        <v>0.11</v>
      </c>
      <c r="J4" s="11">
        <v>3.0416666666666665</v>
      </c>
      <c r="M4" s="31">
        <v>4.5783333333333331</v>
      </c>
      <c r="N4">
        <v>0.3716666666666667</v>
      </c>
      <c r="O4" s="32">
        <v>0.86499999999999999</v>
      </c>
      <c r="S4" s="31">
        <v>2.0499999999999998</v>
      </c>
      <c r="V4" s="32"/>
      <c r="X4" s="31"/>
      <c r="Y4">
        <v>38.133333333333432</v>
      </c>
      <c r="AA4" s="32"/>
      <c r="AD4" s="38">
        <v>5.5766666666666662</v>
      </c>
    </row>
    <row r="5" spans="1:33">
      <c r="A5" s="10">
        <v>1.2345200000000001</v>
      </c>
      <c r="B5" s="9">
        <v>0.21166666666666664</v>
      </c>
      <c r="C5" s="9">
        <v>4.5000000000000005E-2</v>
      </c>
      <c r="D5" s="9">
        <v>5.4649999999999999</v>
      </c>
      <c r="E5" s="9">
        <v>1.5333333333333337</v>
      </c>
      <c r="F5" s="9">
        <v>0.17166666666666669</v>
      </c>
      <c r="G5" s="9">
        <v>0.61333333333333329</v>
      </c>
      <c r="H5" s="9">
        <v>0.62166666666666659</v>
      </c>
      <c r="I5" s="9">
        <v>0.10333333333333333</v>
      </c>
      <c r="J5" s="11">
        <v>3.585</v>
      </c>
      <c r="M5" s="31">
        <v>1.8133333333333332</v>
      </c>
      <c r="N5">
        <v>0.40833333333333333</v>
      </c>
      <c r="O5" s="32">
        <v>0.74833333333333329</v>
      </c>
      <c r="S5" s="35">
        <v>1.0166666666666666</v>
      </c>
      <c r="V5" s="32"/>
      <c r="X5" s="31"/>
      <c r="Y5">
        <v>17.816666666666681</v>
      </c>
      <c r="AA5" s="32"/>
      <c r="AD5" s="38">
        <v>5.4483333333333333</v>
      </c>
    </row>
    <row r="6" spans="1:33">
      <c r="A6" s="10">
        <v>1.32543265</v>
      </c>
      <c r="B6" s="9">
        <v>0.24166666666666667</v>
      </c>
      <c r="C6" s="9">
        <v>6.0000000000000005E-2</v>
      </c>
      <c r="D6" s="9">
        <v>1.8537999999999999</v>
      </c>
      <c r="E6" s="9">
        <v>1.5033333333333332</v>
      </c>
      <c r="F6" s="9">
        <v>3.5000000000000003E-2</v>
      </c>
      <c r="G6" s="9">
        <v>0.8</v>
      </c>
      <c r="H6" s="9">
        <v>0.55166666666666664</v>
      </c>
      <c r="I6" s="9">
        <v>0.14333333333333334</v>
      </c>
      <c r="J6" s="11">
        <v>3.7349999999999999</v>
      </c>
      <c r="M6" s="31">
        <v>1.2633333333333334</v>
      </c>
      <c r="N6">
        <v>0.45333333333333331</v>
      </c>
      <c r="O6" s="32">
        <v>0.7416666666666667</v>
      </c>
      <c r="S6" s="35">
        <v>1.3833333333333333</v>
      </c>
      <c r="V6" s="32"/>
      <c r="X6" s="31"/>
      <c r="Y6">
        <v>47.199999999999861</v>
      </c>
      <c r="AA6" s="32"/>
      <c r="AD6" s="38">
        <v>3.4033333333333333</v>
      </c>
    </row>
    <row r="7" spans="1:33">
      <c r="A7" s="10">
        <v>1.4534499999999999</v>
      </c>
      <c r="B7" s="9">
        <v>0.26666666666666666</v>
      </c>
      <c r="C7" s="9">
        <v>0.33333333333333331</v>
      </c>
      <c r="D7" s="9">
        <v>1.5464500000000001</v>
      </c>
      <c r="E7" s="9">
        <v>1.1900000000000002</v>
      </c>
      <c r="F7" s="9">
        <v>0.25166666666666665</v>
      </c>
      <c r="G7" s="9">
        <v>0.58833333333333326</v>
      </c>
      <c r="H7" s="9">
        <v>0.26</v>
      </c>
      <c r="I7" s="9">
        <v>1.355</v>
      </c>
      <c r="J7" s="11">
        <v>4.29</v>
      </c>
      <c r="M7" s="31">
        <v>1.0766666666666667</v>
      </c>
      <c r="N7">
        <v>0.46333333333333332</v>
      </c>
      <c r="O7" s="32">
        <v>0.6333333333333333</v>
      </c>
      <c r="S7" s="35">
        <v>1.4</v>
      </c>
      <c r="V7" s="32"/>
      <c r="X7" s="31"/>
      <c r="Y7">
        <v>42.466666666666697</v>
      </c>
      <c r="AA7" s="32"/>
      <c r="AD7" s="38">
        <v>2.6950000000000003</v>
      </c>
    </row>
    <row r="8" spans="1:33">
      <c r="A8" s="10">
        <v>4.2616666666666667</v>
      </c>
      <c r="B8" s="9">
        <v>0.30166666666666669</v>
      </c>
      <c r="C8" s="9">
        <v>0.11666666666666667</v>
      </c>
      <c r="D8" s="9">
        <v>4.2316666666666665</v>
      </c>
      <c r="E8" s="9">
        <v>1.1516666666666664</v>
      </c>
      <c r="F8" s="9">
        <v>0.55666666666666664</v>
      </c>
      <c r="G8" s="9">
        <v>1.9049999999999998</v>
      </c>
      <c r="H8" s="9">
        <v>0.22500000000000001</v>
      </c>
      <c r="I8" s="9">
        <v>0.185</v>
      </c>
      <c r="J8" s="11">
        <v>4.4116666666666671</v>
      </c>
      <c r="M8" s="31">
        <v>2.9</v>
      </c>
      <c r="N8">
        <v>0.57499999999999996</v>
      </c>
      <c r="O8" s="32">
        <v>0.61499999999999999</v>
      </c>
      <c r="S8" s="35">
        <v>1.4333333333333333</v>
      </c>
      <c r="V8" s="32"/>
      <c r="X8" s="31"/>
      <c r="Y8">
        <v>32.999999999999886</v>
      </c>
      <c r="AA8" s="32"/>
      <c r="AD8" s="38">
        <v>2.9649999999999999</v>
      </c>
    </row>
    <row r="9" spans="1:33" ht="15.75">
      <c r="A9" s="10">
        <v>1.3420000000000001</v>
      </c>
      <c r="B9" s="9">
        <v>0.31166666666666665</v>
      </c>
      <c r="C9" s="9">
        <v>0.7583333333333333</v>
      </c>
      <c r="D9" s="9">
        <v>4.1133333333333333</v>
      </c>
      <c r="E9" s="9">
        <v>1.1333333333333333</v>
      </c>
      <c r="F9" s="9">
        <v>0.27666666666666667</v>
      </c>
      <c r="G9" s="9">
        <v>6.1666666666666668E-2</v>
      </c>
      <c r="H9" s="9">
        <v>0.23666666666666666</v>
      </c>
      <c r="I9" s="9">
        <v>0.54333333333333333</v>
      </c>
      <c r="J9" s="11">
        <v>4.6833333333333336</v>
      </c>
      <c r="M9" s="31">
        <v>0.67</v>
      </c>
      <c r="N9">
        <v>0.57499999999999996</v>
      </c>
      <c r="O9" s="32">
        <v>1.0033333333333334</v>
      </c>
      <c r="S9" s="35">
        <v>1.5666666666666664</v>
      </c>
      <c r="V9" s="32"/>
      <c r="W9" s="57" t="s">
        <v>8</v>
      </c>
      <c r="X9" s="31"/>
      <c r="Y9">
        <v>27.000000000000064</v>
      </c>
      <c r="AA9" s="32"/>
      <c r="AD9" s="38">
        <v>2.7916666666666665</v>
      </c>
    </row>
    <row r="10" spans="1:33">
      <c r="A10" s="10">
        <v>1.4276470000000001</v>
      </c>
      <c r="B10" s="9">
        <v>0.31833333333333336</v>
      </c>
      <c r="C10" s="9">
        <v>0.35500000000000004</v>
      </c>
      <c r="D10" s="9">
        <v>4.0716666666666672</v>
      </c>
      <c r="E10" s="9">
        <v>1.1216666666666666</v>
      </c>
      <c r="F10" s="9">
        <v>6.0000000000000005E-2</v>
      </c>
      <c r="G10" s="9">
        <v>6.6666666666666666E-2</v>
      </c>
      <c r="H10" s="9">
        <v>0.28500000000000003</v>
      </c>
      <c r="I10" s="9">
        <v>0.45333333333333331</v>
      </c>
      <c r="J10" s="11">
        <v>7.8416666666666668</v>
      </c>
      <c r="M10" s="31">
        <v>1.0533333333333332</v>
      </c>
      <c r="N10">
        <v>0.59333333333333338</v>
      </c>
      <c r="O10" s="32">
        <v>0.55666666666666664</v>
      </c>
      <c r="S10" s="35">
        <v>1.0333333333333332</v>
      </c>
      <c r="V10" s="32"/>
      <c r="W10" s="54">
        <v>0.65693430656934315</v>
      </c>
      <c r="X10" s="31"/>
      <c r="Y10">
        <v>37.000000000000028</v>
      </c>
      <c r="AA10" s="32"/>
      <c r="AD10" s="38">
        <v>2.7650000000000001</v>
      </c>
    </row>
    <row r="11" spans="1:33">
      <c r="A11" s="10">
        <v>3.5233333333333334</v>
      </c>
      <c r="B11" s="9">
        <v>0.33333333333333331</v>
      </c>
      <c r="C11" s="9">
        <v>0.27833333333333332</v>
      </c>
      <c r="D11" s="9">
        <v>3.5583333333333336</v>
      </c>
      <c r="E11" s="9">
        <v>1.0983333333333334</v>
      </c>
      <c r="F11" s="9">
        <v>2.6666666666666668E-2</v>
      </c>
      <c r="G11" s="9">
        <v>0.23</v>
      </c>
      <c r="H11" s="9">
        <v>0.77999999999999992</v>
      </c>
      <c r="I11" s="9">
        <v>0.38666666666666666</v>
      </c>
      <c r="J11" s="11">
        <v>3.7866666666666662</v>
      </c>
      <c r="M11" s="31">
        <v>2.1466666666666665</v>
      </c>
      <c r="N11">
        <v>0.64833333333333332</v>
      </c>
      <c r="O11" s="32">
        <v>0.85833333333333328</v>
      </c>
      <c r="S11" s="35">
        <v>1.4</v>
      </c>
      <c r="V11" s="32"/>
      <c r="X11" s="31"/>
      <c r="Y11">
        <v>31.233333333333313</v>
      </c>
      <c r="AA11" s="32"/>
      <c r="AD11" s="38">
        <v>2.5133333333333332</v>
      </c>
    </row>
    <row r="12" spans="1:33" ht="15.75">
      <c r="A12" s="10">
        <v>3.4283333333333332</v>
      </c>
      <c r="B12" s="9">
        <v>0.46333333333333332</v>
      </c>
      <c r="C12" s="9">
        <v>0.435</v>
      </c>
      <c r="D12" s="9">
        <v>3.4350000000000001</v>
      </c>
      <c r="E12" s="9">
        <v>0.14354230000000001</v>
      </c>
      <c r="F12" s="9">
        <v>8.8333333333333333E-2</v>
      </c>
      <c r="G12" s="9">
        <v>0.7433333333333334</v>
      </c>
      <c r="H12" s="9">
        <v>0.25</v>
      </c>
      <c r="I12" s="9">
        <v>0.6</v>
      </c>
      <c r="J12" s="11">
        <v>3.5716666666666668</v>
      </c>
      <c r="M12" s="31">
        <v>0.83666666666666667</v>
      </c>
      <c r="N12">
        <v>0.67666666666666664</v>
      </c>
      <c r="O12" s="32">
        <v>0.57666666666666666</v>
      </c>
      <c r="S12" s="35">
        <v>1.4166666666666665</v>
      </c>
      <c r="V12" s="32"/>
      <c r="X12" s="31"/>
      <c r="Y12">
        <v>65.183333333333337</v>
      </c>
      <c r="AA12" s="32"/>
      <c r="AD12" s="38">
        <v>2.6333333333333333</v>
      </c>
      <c r="AE12" s="57" t="s">
        <v>8</v>
      </c>
    </row>
    <row r="13" spans="1:33" ht="15.75">
      <c r="A13" s="10">
        <v>2.7533333333333334</v>
      </c>
      <c r="B13" s="9">
        <v>0.53166666666666662</v>
      </c>
      <c r="C13" s="9">
        <v>1</v>
      </c>
      <c r="D13" s="9">
        <v>2.8233333333333337</v>
      </c>
      <c r="E13" s="9">
        <v>0.34653400000000001</v>
      </c>
      <c r="F13" s="9">
        <v>0.13166666666666668</v>
      </c>
      <c r="G13" s="9">
        <v>0.88833333333333331</v>
      </c>
      <c r="H13" s="9">
        <v>3.6666666666666667E-2</v>
      </c>
      <c r="I13" s="9">
        <v>0.76</v>
      </c>
      <c r="J13" s="11">
        <v>3.4849999999999999</v>
      </c>
      <c r="K13" s="55" t="s">
        <v>9</v>
      </c>
      <c r="M13" s="31">
        <v>0.63666666666666671</v>
      </c>
      <c r="N13">
        <v>0.70666666666666667</v>
      </c>
      <c r="O13" s="32">
        <v>0.55833333333333335</v>
      </c>
      <c r="P13" s="57" t="s">
        <v>8</v>
      </c>
      <c r="S13" s="35">
        <v>1.45</v>
      </c>
      <c r="V13" s="32"/>
      <c r="X13" s="31"/>
      <c r="Y13">
        <v>26.983333333333288</v>
      </c>
      <c r="AA13" s="32"/>
      <c r="AD13" s="38">
        <v>5.9833333333333334</v>
      </c>
      <c r="AE13" s="54">
        <v>0.22707423580786021</v>
      </c>
    </row>
    <row r="14" spans="1:33" ht="16.5" thickBot="1">
      <c r="A14" s="10">
        <v>2.3266666666666667</v>
      </c>
      <c r="B14" s="9">
        <v>0.56833333333333336</v>
      </c>
      <c r="C14" s="9">
        <v>8.3333333333333329E-2</v>
      </c>
      <c r="D14" s="9">
        <v>2.395</v>
      </c>
      <c r="E14" s="9">
        <v>5.5866666666666669</v>
      </c>
      <c r="F14" s="9">
        <v>0.51833333333333331</v>
      </c>
      <c r="G14" s="9">
        <v>7.166666666666667E-2</v>
      </c>
      <c r="H14" s="9">
        <v>8.666666666666667E-2</v>
      </c>
      <c r="I14" s="9">
        <v>0.40833333333333333</v>
      </c>
      <c r="J14" s="11">
        <v>2.8733333333333335</v>
      </c>
      <c r="K14" s="54">
        <v>0.79984926026808578</v>
      </c>
      <c r="M14" s="31">
        <v>0.75333333333333341</v>
      </c>
      <c r="N14">
        <v>0.74</v>
      </c>
      <c r="O14" s="32">
        <v>0.91666666666666663</v>
      </c>
      <c r="P14" s="54">
        <v>0.90711738253992868</v>
      </c>
      <c r="S14" s="36">
        <v>1.5666666666666664</v>
      </c>
      <c r="T14" s="18"/>
      <c r="U14" s="18"/>
      <c r="V14" s="34"/>
      <c r="X14" s="31"/>
      <c r="Y14">
        <v>58.70000000000006</v>
      </c>
      <c r="AA14" s="32"/>
      <c r="AB14" s="57" t="s">
        <v>8</v>
      </c>
      <c r="AD14" s="38">
        <v>0.85</v>
      </c>
    </row>
    <row r="15" spans="1:33">
      <c r="A15" s="10">
        <v>2.25</v>
      </c>
      <c r="B15" s="9">
        <v>0.62833333333333341</v>
      </c>
      <c r="C15" s="9">
        <v>0.20500000000000002</v>
      </c>
      <c r="D15" s="9">
        <v>2.2983333333333338</v>
      </c>
      <c r="E15" s="9">
        <v>4.8966666666666665</v>
      </c>
      <c r="F15" s="9">
        <v>0.40166666666666667</v>
      </c>
      <c r="G15" s="9">
        <v>1.0366666666666666</v>
      </c>
      <c r="H15" s="9">
        <v>0.27500000000000002</v>
      </c>
      <c r="I15" s="9">
        <v>2.3933333333333335</v>
      </c>
      <c r="J15" s="11">
        <v>2.4316666666666666</v>
      </c>
      <c r="M15" s="31">
        <v>1.0433333333333334</v>
      </c>
      <c r="N15">
        <v>0.84333333333333338</v>
      </c>
      <c r="O15" s="32">
        <v>0.41833333333333333</v>
      </c>
      <c r="S15">
        <f>+AVERAGE(S3:S14)</f>
        <v>1.5222222222222221</v>
      </c>
      <c r="X15" s="31"/>
      <c r="Y15">
        <v>38.566666666666727</v>
      </c>
      <c r="AA15" s="32"/>
      <c r="AB15" s="54">
        <v>3.2569195255182509E-2</v>
      </c>
      <c r="AD15" s="38">
        <v>11.083333333333334</v>
      </c>
    </row>
    <row r="16" spans="1:33">
      <c r="A16" s="10">
        <v>2.1850000000000001</v>
      </c>
      <c r="B16" s="9">
        <v>0.71166666666666667</v>
      </c>
      <c r="C16" s="9">
        <v>0.04</v>
      </c>
      <c r="D16" s="9">
        <v>2.2233333333333332</v>
      </c>
      <c r="E16" s="9">
        <v>1.8953466999999999</v>
      </c>
      <c r="F16" s="9">
        <v>4.3333333333333335E-2</v>
      </c>
      <c r="G16" s="9">
        <v>3.5000000000000003E-2</v>
      </c>
      <c r="H16" s="9">
        <v>0.14166666666666666</v>
      </c>
      <c r="I16" s="9">
        <v>2.2083333333333335</v>
      </c>
      <c r="J16" s="11">
        <v>2.3016666666666663</v>
      </c>
      <c r="M16" s="31">
        <v>1.615</v>
      </c>
      <c r="N16">
        <v>0.84333333333333338</v>
      </c>
      <c r="O16" s="32">
        <v>1.2183333333333333</v>
      </c>
      <c r="S16">
        <f>1/S15</f>
        <v>0.65693430656934315</v>
      </c>
      <c r="X16" s="31"/>
      <c r="Y16">
        <v>24.600000000000009</v>
      </c>
      <c r="AA16" s="32"/>
      <c r="AD16" s="38">
        <v>4.9666666666666668</v>
      </c>
    </row>
    <row r="17" spans="1:30">
      <c r="A17" s="10">
        <v>2.1833333333333331</v>
      </c>
      <c r="B17" s="9">
        <v>0.79500000000000004</v>
      </c>
      <c r="C17" s="9">
        <v>0.31833333333333336</v>
      </c>
      <c r="D17" s="9">
        <v>2.2050000000000001</v>
      </c>
      <c r="E17" s="9">
        <v>1.965484</v>
      </c>
      <c r="F17" s="9">
        <v>3.3333333333333333E-2</v>
      </c>
      <c r="G17" s="9">
        <v>0.14000000000000001</v>
      </c>
      <c r="H17" s="9">
        <v>0.23666666666666666</v>
      </c>
      <c r="I17" s="9">
        <v>0.80833333333333335</v>
      </c>
      <c r="J17" s="11">
        <v>2.2333333333333334</v>
      </c>
      <c r="M17" s="31">
        <v>1.2316666666666667</v>
      </c>
      <c r="N17">
        <v>0.8683333333333334</v>
      </c>
      <c r="O17" s="32">
        <v>1.0533333333333332</v>
      </c>
      <c r="X17" s="31"/>
      <c r="Y17">
        <v>17.766666666666673</v>
      </c>
      <c r="AA17" s="32"/>
      <c r="AD17" s="38">
        <v>1.3333333333333333</v>
      </c>
    </row>
    <row r="18" spans="1:30">
      <c r="A18" s="10">
        <v>1.63</v>
      </c>
      <c r="B18" s="9">
        <v>0.83833333333333326</v>
      </c>
      <c r="C18" s="9">
        <v>1.1233333333333333</v>
      </c>
      <c r="D18" s="9">
        <v>1.6</v>
      </c>
      <c r="E18" s="9">
        <v>1.4325399999999999</v>
      </c>
      <c r="F18" s="9">
        <v>0.76333333333333331</v>
      </c>
      <c r="G18" s="9">
        <v>0.10666666666666667</v>
      </c>
      <c r="H18" s="9">
        <v>0.31</v>
      </c>
      <c r="I18" s="9">
        <v>0.65666666666666662</v>
      </c>
      <c r="J18" s="11">
        <v>2.1816666666666671</v>
      </c>
      <c r="M18" s="31">
        <v>0.38333333333333336</v>
      </c>
      <c r="N18">
        <v>0.93166666666666664</v>
      </c>
      <c r="O18" s="32">
        <v>0.76666666666666672</v>
      </c>
      <c r="X18" s="31"/>
      <c r="Y18">
        <v>48.43333333333328</v>
      </c>
      <c r="AA18" s="32"/>
      <c r="AD18" s="38">
        <v>8.6666666666666661</v>
      </c>
    </row>
    <row r="19" spans="1:30">
      <c r="A19" s="10">
        <v>1.6183333333333334</v>
      </c>
      <c r="B19" s="9">
        <v>0.92333333333333334</v>
      </c>
      <c r="C19" s="9">
        <v>0.185</v>
      </c>
      <c r="D19" s="9">
        <v>1.59</v>
      </c>
      <c r="E19" s="9">
        <v>3.9345599999999998</v>
      </c>
      <c r="F19" s="9">
        <v>3.0000000000000002E-2</v>
      </c>
      <c r="G19" s="9">
        <v>0.24666666666666667</v>
      </c>
      <c r="H19" s="9">
        <v>1.5416666666666665</v>
      </c>
      <c r="I19" s="9">
        <v>3.6666666666666667E-2</v>
      </c>
      <c r="J19" s="11">
        <v>1.6616666666666666</v>
      </c>
      <c r="M19" s="31">
        <v>0.4966666666666667</v>
      </c>
      <c r="N19">
        <v>0.93666666666666676</v>
      </c>
      <c r="O19" s="32">
        <v>1.165</v>
      </c>
      <c r="X19" s="31"/>
      <c r="Y19">
        <v>26.249999999999947</v>
      </c>
      <c r="AA19" s="32"/>
      <c r="AD19" s="38">
        <v>3.8833333333333333</v>
      </c>
    </row>
    <row r="20" spans="1:30">
      <c r="A20" s="10">
        <v>1.6</v>
      </c>
      <c r="B20" s="9">
        <v>0.97333333333333327</v>
      </c>
      <c r="C20" s="9">
        <v>0.39666666666666667</v>
      </c>
      <c r="D20" s="9">
        <v>1.5616666666666665</v>
      </c>
      <c r="E20" s="9">
        <v>3.5483333333333329</v>
      </c>
      <c r="F20" s="9">
        <v>2.8333333333333332E-2</v>
      </c>
      <c r="G20" s="9">
        <v>0.42666666666666669</v>
      </c>
      <c r="H20" s="9">
        <v>3.0000000000000002E-2</v>
      </c>
      <c r="I20" s="9">
        <v>7.8333333333333338E-2</v>
      </c>
      <c r="J20" s="11">
        <v>1.5933333333333333</v>
      </c>
      <c r="M20" s="31"/>
      <c r="N20">
        <v>0.95166666666666666</v>
      </c>
      <c r="O20" s="32">
        <v>0.89333333333333331</v>
      </c>
      <c r="X20" s="31"/>
      <c r="Y20">
        <v>54.799999999999933</v>
      </c>
      <c r="AA20" s="32"/>
      <c r="AD20" s="38">
        <v>5.4333333333333336</v>
      </c>
    </row>
    <row r="21" spans="1:30">
      <c r="A21" s="10">
        <v>1.58</v>
      </c>
      <c r="B21" s="9">
        <v>1.1883333333333335</v>
      </c>
      <c r="C21" s="9">
        <v>0.315</v>
      </c>
      <c r="D21" s="9">
        <v>1.5183333333333331</v>
      </c>
      <c r="E21" s="9">
        <v>3.4533333333333331</v>
      </c>
      <c r="F21" s="9">
        <v>0.11166666666666666</v>
      </c>
      <c r="G21" s="9">
        <v>0.10666666666666667</v>
      </c>
      <c r="H21" s="9">
        <v>2.1666666666666667E-2</v>
      </c>
      <c r="I21" s="9">
        <v>0.94333333333333336</v>
      </c>
      <c r="J21" s="11">
        <v>1.5366666666666666</v>
      </c>
      <c r="M21" s="31"/>
      <c r="N21">
        <v>2.0066666666666699</v>
      </c>
      <c r="O21" s="32">
        <v>0.70166666666666666</v>
      </c>
      <c r="X21" s="31"/>
      <c r="Y21">
        <v>19.033333333333324</v>
      </c>
      <c r="AA21" s="32"/>
      <c r="AD21" s="38">
        <v>3.5666666666666664</v>
      </c>
    </row>
    <row r="22" spans="1:30">
      <c r="A22" s="10">
        <v>1.2233333333333334</v>
      </c>
      <c r="B22" s="9">
        <v>1.24</v>
      </c>
      <c r="C22" s="9">
        <v>0.19333333333333333</v>
      </c>
      <c r="D22" s="9">
        <v>1.2000000000000002</v>
      </c>
      <c r="E22" s="9">
        <v>2.7966666666666669</v>
      </c>
      <c r="F22" s="9">
        <v>0.34666666666666668</v>
      </c>
      <c r="G22" s="9">
        <v>6.1666666666666668E-2</v>
      </c>
      <c r="H22" s="9">
        <v>1.6666666666666666E-2</v>
      </c>
      <c r="I22" s="9">
        <v>0.43666666666666665</v>
      </c>
      <c r="J22" s="11">
        <v>1.4900000000000002</v>
      </c>
      <c r="M22" s="31"/>
      <c r="N22">
        <v>1.0083333333333333</v>
      </c>
      <c r="O22" s="32">
        <v>0.48666666666666664</v>
      </c>
      <c r="X22" s="31"/>
      <c r="Y22">
        <v>34.533333333333189</v>
      </c>
      <c r="AA22" s="32"/>
      <c r="AD22" s="38">
        <v>5.2166666666666668</v>
      </c>
    </row>
    <row r="23" spans="1:30">
      <c r="A23" s="10">
        <v>1.165</v>
      </c>
      <c r="B23" s="9">
        <v>1.3766666666666667</v>
      </c>
      <c r="C23" s="9">
        <v>0.10166666666666666</v>
      </c>
      <c r="D23" s="9">
        <v>1.1750000000000003</v>
      </c>
      <c r="E23" s="9">
        <v>2.3666666666666667</v>
      </c>
      <c r="F23" s="9">
        <v>6.1666666666666668E-2</v>
      </c>
      <c r="G23" s="9">
        <v>0.01</v>
      </c>
      <c r="H23" s="9">
        <v>2.1666666666666667E-2</v>
      </c>
      <c r="I23" s="9">
        <v>0.32333333333333331</v>
      </c>
      <c r="J23" s="11">
        <v>1.1183333333333332</v>
      </c>
      <c r="M23" s="31"/>
      <c r="N23">
        <v>1.0649999999999999</v>
      </c>
      <c r="O23" s="32">
        <v>0.15666666666666668</v>
      </c>
      <c r="X23" s="31"/>
      <c r="Y23">
        <v>35.583333333333357</v>
      </c>
      <c r="AA23" s="32"/>
      <c r="AD23" s="38">
        <v>2.6833333333333336</v>
      </c>
    </row>
    <row r="24" spans="1:30">
      <c r="A24" s="10">
        <v>1.1383333333333334</v>
      </c>
      <c r="B24" s="9">
        <v>1.4266666666666667</v>
      </c>
      <c r="C24" s="9">
        <v>0.21</v>
      </c>
      <c r="D24" s="9">
        <v>1.1533333333333333</v>
      </c>
      <c r="E24" s="9">
        <v>2.3049999999999997</v>
      </c>
      <c r="F24" s="9">
        <v>0.08</v>
      </c>
      <c r="G24" s="9">
        <v>0.51500000000000001</v>
      </c>
      <c r="H24" s="9">
        <v>2.1666666666666667E-2</v>
      </c>
      <c r="I24" s="9">
        <v>2.0350000000000001</v>
      </c>
      <c r="J24" s="11">
        <v>1.0883333333333334</v>
      </c>
      <c r="M24" s="31"/>
      <c r="N24">
        <v>1.19</v>
      </c>
      <c r="O24" s="32">
        <v>0.68500000000000005</v>
      </c>
      <c r="X24" s="31"/>
      <c r="Y24">
        <v>46.183333333333252</v>
      </c>
      <c r="AA24" s="32"/>
      <c r="AD24" s="38">
        <v>7.7666666666666666</v>
      </c>
    </row>
    <row r="25" spans="1:30">
      <c r="A25" s="10">
        <v>0.13333333333333333</v>
      </c>
      <c r="B25" s="9">
        <v>1.5066666666666666</v>
      </c>
      <c r="C25" s="9">
        <v>0.36666666666666664</v>
      </c>
      <c r="D25" s="9">
        <v>1.1299999999999999</v>
      </c>
      <c r="E25" s="9">
        <v>2.246666666666667</v>
      </c>
      <c r="F25" s="9">
        <v>0.17166666666666669</v>
      </c>
      <c r="G25" s="9">
        <v>0.12166666666666666</v>
      </c>
      <c r="H25" s="9">
        <v>0.05</v>
      </c>
      <c r="I25" s="9">
        <v>0.625</v>
      </c>
      <c r="J25" s="11">
        <v>1.05</v>
      </c>
      <c r="M25" s="31"/>
      <c r="N25">
        <v>1.1933333333333334</v>
      </c>
      <c r="O25" s="32">
        <v>1.02</v>
      </c>
      <c r="X25" s="31"/>
      <c r="Y25">
        <v>55.133333333333368</v>
      </c>
      <c r="AA25" s="32"/>
      <c r="AD25" s="38">
        <v>2.95</v>
      </c>
    </row>
    <row r="26" spans="1:30">
      <c r="A26" s="10">
        <v>1.1100000000000001</v>
      </c>
      <c r="B26" s="9">
        <v>1.53</v>
      </c>
      <c r="C26" s="9">
        <v>0.14833333333333334</v>
      </c>
      <c r="D26" s="9">
        <v>1.1016666666666666</v>
      </c>
      <c r="E26" s="9">
        <v>2.2083333333333335</v>
      </c>
      <c r="F26" s="9">
        <v>1.1816666666666666</v>
      </c>
      <c r="G26" s="9">
        <v>4.1666666666666664E-2</v>
      </c>
      <c r="H26" s="9">
        <v>0.38</v>
      </c>
      <c r="I26" s="9">
        <v>0.90166666666666673</v>
      </c>
      <c r="J26" s="11">
        <v>1.0249999999999999</v>
      </c>
      <c r="M26" s="31"/>
      <c r="N26">
        <v>1.2349999999999999</v>
      </c>
      <c r="O26" s="32">
        <v>1.1933333333333334</v>
      </c>
      <c r="X26" s="31"/>
      <c r="Y26">
        <v>19.75000000000005</v>
      </c>
      <c r="AA26" s="32"/>
      <c r="AD26" s="38">
        <v>5.666666666666667</v>
      </c>
    </row>
    <row r="27" spans="1:30">
      <c r="A27" s="10">
        <v>0.80499999999999994</v>
      </c>
      <c r="B27" s="9">
        <v>1.6850000000000001</v>
      </c>
      <c r="C27" s="9">
        <v>0.48666666666666664</v>
      </c>
      <c r="D27" s="9">
        <v>7.6400000000000006</v>
      </c>
      <c r="E27" s="9">
        <v>1.6033333333333331</v>
      </c>
      <c r="F27" s="9">
        <v>0.70833333333333337</v>
      </c>
      <c r="G27" s="9">
        <v>0.35833333333333334</v>
      </c>
      <c r="H27" s="9">
        <v>0.4</v>
      </c>
      <c r="I27" s="9">
        <v>1.56</v>
      </c>
      <c r="J27" s="11">
        <v>1.0033333333333334</v>
      </c>
      <c r="M27" s="31"/>
      <c r="N27">
        <v>2.3266666666666702</v>
      </c>
      <c r="O27" s="32">
        <v>2.0433333333333299</v>
      </c>
      <c r="X27" s="31"/>
      <c r="Y27">
        <v>16.333333333333382</v>
      </c>
      <c r="AA27" s="32"/>
      <c r="AD27" s="38">
        <v>5.5</v>
      </c>
    </row>
    <row r="28" spans="1:30">
      <c r="A28" s="10">
        <v>0.72666666666666668</v>
      </c>
      <c r="B28" s="9">
        <v>1.7116666666666667</v>
      </c>
      <c r="C28" s="9">
        <v>0.38</v>
      </c>
      <c r="D28" s="9">
        <v>5.8533333333333335</v>
      </c>
      <c r="E28" s="9">
        <v>1.5816666666666668</v>
      </c>
      <c r="F28" s="9">
        <v>0.23333333333333334</v>
      </c>
      <c r="G28" s="9">
        <v>0.35500000000000004</v>
      </c>
      <c r="H28" s="9">
        <v>0.26833333333333337</v>
      </c>
      <c r="I28" s="9">
        <v>0.21666666666666667</v>
      </c>
      <c r="J28" s="11">
        <v>3.9933333333333332</v>
      </c>
      <c r="M28" s="31"/>
      <c r="N28">
        <v>1.3783333333333334</v>
      </c>
      <c r="O28" s="32">
        <v>1.5066666666666666</v>
      </c>
      <c r="X28" s="31"/>
      <c r="Y28">
        <v>34.96666666666664</v>
      </c>
      <c r="AA28" s="32"/>
      <c r="AD28" s="39">
        <v>4.5</v>
      </c>
    </row>
    <row r="29" spans="1:30">
      <c r="A29" s="10">
        <v>0.67666666666666664</v>
      </c>
      <c r="B29" s="9">
        <v>1.7833333333333332</v>
      </c>
      <c r="C29" s="9">
        <v>0.30666666666666664</v>
      </c>
      <c r="D29" s="9">
        <v>5.5100000000000007</v>
      </c>
      <c r="E29" s="9">
        <v>1.5383333333333333</v>
      </c>
      <c r="F29" s="9">
        <v>0.47499999999999998</v>
      </c>
      <c r="G29" s="9">
        <v>3.3333333333333333E-2</v>
      </c>
      <c r="H29" s="9">
        <v>0.56000000000000005</v>
      </c>
      <c r="I29" s="9">
        <v>0.31833333333333336</v>
      </c>
      <c r="J29" s="11">
        <v>0.31333333333333335</v>
      </c>
      <c r="M29" s="31"/>
      <c r="N29">
        <v>1.44</v>
      </c>
      <c r="O29" s="32">
        <v>2.4300000000000002</v>
      </c>
      <c r="X29" s="31"/>
      <c r="Y29">
        <v>9.2666666666666231</v>
      </c>
      <c r="AA29" s="32"/>
      <c r="AD29">
        <f>+AVERAGE(AD3:AD28)</f>
        <v>4.4038461538461551</v>
      </c>
    </row>
    <row r="30" spans="1:30">
      <c r="A30" s="10">
        <v>0.65333333333333343</v>
      </c>
      <c r="B30" s="9">
        <v>1.9166666666666665</v>
      </c>
      <c r="C30" s="9">
        <v>0.12000000000000001</v>
      </c>
      <c r="D30" s="9">
        <v>1.4645600000000001</v>
      </c>
      <c r="E30" s="9">
        <v>1.5116666666666665</v>
      </c>
      <c r="F30" s="9">
        <v>7.0000000000000007E-2</v>
      </c>
      <c r="G30" s="9">
        <v>0.15166666666666667</v>
      </c>
      <c r="H30" s="9">
        <v>0.11333333333333333</v>
      </c>
      <c r="I30" s="9">
        <v>0.96666666666666667</v>
      </c>
      <c r="J30" s="11">
        <v>0.12333333333333334</v>
      </c>
      <c r="M30" s="31"/>
      <c r="N30">
        <v>1.6283333333333334</v>
      </c>
      <c r="O30" s="32">
        <v>0.96000000000000008</v>
      </c>
      <c r="X30" s="31"/>
      <c r="Y30">
        <v>13.033333333333346</v>
      </c>
      <c r="AA30" s="32"/>
      <c r="AD30">
        <f>1/AD29</f>
        <v>0.22707423580786021</v>
      </c>
    </row>
    <row r="31" spans="1:30">
      <c r="A31" s="10">
        <v>0.49833333333333329</v>
      </c>
      <c r="B31" s="9">
        <v>1.9566666666666666</v>
      </c>
      <c r="C31" s="9">
        <v>6.6666666666666666E-2</v>
      </c>
      <c r="D31" s="9">
        <v>4.7883333333333331</v>
      </c>
      <c r="E31" s="9">
        <v>1.1816666666666666</v>
      </c>
      <c r="F31" s="9">
        <v>0.56166666666666676</v>
      </c>
      <c r="G31" s="9">
        <v>0.23333333333333334</v>
      </c>
      <c r="H31" s="9">
        <v>0.36499999999999999</v>
      </c>
      <c r="I31" s="9">
        <v>0.16999999999999998</v>
      </c>
      <c r="J31" s="11">
        <v>0.77500000000000002</v>
      </c>
      <c r="M31" s="31"/>
      <c r="N31">
        <v>1.6400000000000001</v>
      </c>
      <c r="O31" s="32">
        <v>1.0516666666666667</v>
      </c>
      <c r="X31" s="31"/>
      <c r="Y31">
        <v>12.866666666666546</v>
      </c>
      <c r="AA31" s="32"/>
    </row>
    <row r="32" spans="1:30">
      <c r="A32" s="10">
        <v>0.46333333333333332</v>
      </c>
      <c r="B32" s="9">
        <v>1.9583333333333335</v>
      </c>
      <c r="C32" s="9">
        <v>0.27500000000000002</v>
      </c>
      <c r="D32" s="9">
        <v>1.5638426000000001</v>
      </c>
      <c r="E32" s="9">
        <v>1.1549999999999998</v>
      </c>
      <c r="F32" s="9">
        <v>0.51333333333333331</v>
      </c>
      <c r="G32" s="9">
        <v>0.19666666666666668</v>
      </c>
      <c r="H32" s="9">
        <v>0.26500000000000001</v>
      </c>
      <c r="I32" s="9">
        <v>1.1033333333333333</v>
      </c>
      <c r="J32" s="11">
        <v>0.40833333333333333</v>
      </c>
      <c r="M32" s="31"/>
      <c r="N32">
        <v>1.6733333333333333</v>
      </c>
      <c r="O32" s="32">
        <v>0.6166666666666667</v>
      </c>
      <c r="X32" s="31"/>
      <c r="Y32">
        <v>32.59999999999998</v>
      </c>
      <c r="AA32" s="32"/>
    </row>
    <row r="33" spans="1:27" ht="15.75" thickBot="1">
      <c r="A33" s="10">
        <v>0.33166666666666667</v>
      </c>
      <c r="B33" s="9">
        <v>2.1716666666666669</v>
      </c>
      <c r="C33" s="9">
        <v>0.28500000000000003</v>
      </c>
      <c r="D33" s="9">
        <v>4.1616666666666671</v>
      </c>
      <c r="E33" s="9">
        <v>1.1349999999999998</v>
      </c>
      <c r="F33" s="9">
        <v>4.6666666666666662E-2</v>
      </c>
      <c r="G33" s="9">
        <v>0.16999999999999998</v>
      </c>
      <c r="H33" s="9">
        <v>2.585</v>
      </c>
      <c r="I33" s="9">
        <v>0.57833333333333337</v>
      </c>
      <c r="J33" s="11"/>
      <c r="M33" s="33"/>
      <c r="N33" s="18">
        <v>6.1333333333333337</v>
      </c>
      <c r="O33" s="34"/>
      <c r="X33" s="31"/>
      <c r="Y33">
        <v>22.150000000000105</v>
      </c>
      <c r="AA33" s="32"/>
    </row>
    <row r="34" spans="1:27">
      <c r="A34" s="10">
        <v>0.31666666666666665</v>
      </c>
      <c r="B34" s="9">
        <v>2.1850000000000001</v>
      </c>
      <c r="C34" s="9">
        <v>7.8333333333333338E-2</v>
      </c>
      <c r="D34" s="9">
        <v>3.968432</v>
      </c>
      <c r="E34" s="9">
        <v>1.1150000000000002</v>
      </c>
      <c r="F34" s="9">
        <v>3.0000000000000002E-2</v>
      </c>
      <c r="G34" s="9">
        <v>0.26999999999999996</v>
      </c>
      <c r="H34" s="9">
        <v>0.5083333333333333</v>
      </c>
      <c r="I34" s="9">
        <v>2.2416666666666667</v>
      </c>
      <c r="J34" s="11"/>
      <c r="M34">
        <f>+AVERAGE(M3:O33)</f>
        <v>1.1023931623931624</v>
      </c>
      <c r="X34" s="31"/>
      <c r="Y34">
        <v>23.48333333333338</v>
      </c>
      <c r="AA34" s="32"/>
    </row>
    <row r="35" spans="1:27">
      <c r="A35" s="10">
        <v>0.31666666666666665</v>
      </c>
      <c r="B35" s="9">
        <v>2.2716666666666665</v>
      </c>
      <c r="C35" s="9">
        <v>0.38999999999999996</v>
      </c>
      <c r="D35" s="9">
        <v>3.58</v>
      </c>
      <c r="E35" s="9">
        <v>1.0900000000000003</v>
      </c>
      <c r="F35" s="9">
        <v>0.36499999999999999</v>
      </c>
      <c r="G35" s="9">
        <v>6.3333333333333325E-2</v>
      </c>
      <c r="H35" s="9">
        <v>1.4283333333333332</v>
      </c>
      <c r="I35" s="9">
        <v>3.6666666666666667E-2</v>
      </c>
      <c r="J35" s="11"/>
      <c r="M35" s="54">
        <f>1/M34</f>
        <v>0.90711738253992868</v>
      </c>
      <c r="X35" s="31"/>
      <c r="Y35">
        <v>30.933333333333266</v>
      </c>
      <c r="AA35" s="32"/>
    </row>
    <row r="36" spans="1:27">
      <c r="A36" s="10">
        <v>0.29166666666666669</v>
      </c>
      <c r="B36" s="9">
        <v>2.4383333333333335</v>
      </c>
      <c r="C36" s="9">
        <v>0.38666666666666666</v>
      </c>
      <c r="D36" s="9">
        <v>3.4666666666666668</v>
      </c>
      <c r="E36" s="9">
        <v>6.956666666666667</v>
      </c>
      <c r="F36" s="9">
        <v>0.30833333333333335</v>
      </c>
      <c r="G36" s="9">
        <v>9.166666666666666E-2</v>
      </c>
      <c r="H36" s="9">
        <v>0.65833333333333333</v>
      </c>
      <c r="I36" s="9">
        <v>2.5916666666666668</v>
      </c>
      <c r="J36" s="11"/>
      <c r="X36" s="31"/>
      <c r="Y36">
        <v>18.566666666666638</v>
      </c>
      <c r="AA36" s="32"/>
    </row>
    <row r="37" spans="1:27">
      <c r="A37" s="10">
        <v>0.16333333333333336</v>
      </c>
      <c r="B37" s="9">
        <v>2.5483333333333333</v>
      </c>
      <c r="C37" s="9">
        <v>0.08</v>
      </c>
      <c r="D37" s="9">
        <v>2.8149999999999999</v>
      </c>
      <c r="E37" s="9">
        <v>5.7133333333333338</v>
      </c>
      <c r="F37" s="9">
        <v>0.42</v>
      </c>
      <c r="G37" s="9">
        <v>0.32166666666666666</v>
      </c>
      <c r="H37" s="9">
        <v>4.5000000000000005E-2</v>
      </c>
      <c r="I37" s="9">
        <v>3.3566666666666665</v>
      </c>
      <c r="J37" s="11"/>
      <c r="X37" s="31"/>
      <c r="Y37">
        <v>21.116666666666717</v>
      </c>
      <c r="AA37" s="32"/>
    </row>
    <row r="38" spans="1:27">
      <c r="A38" s="10">
        <v>0.14666666666666667</v>
      </c>
      <c r="B38" s="9">
        <v>2.5683333333333334</v>
      </c>
      <c r="C38" s="9">
        <v>3.833333333333333E-2</v>
      </c>
      <c r="D38" s="9">
        <v>2.355</v>
      </c>
      <c r="E38" s="9">
        <v>5.378333333333333</v>
      </c>
      <c r="F38" s="9">
        <v>0.13833333333333334</v>
      </c>
      <c r="G38" s="9">
        <v>0.3783333333333333</v>
      </c>
      <c r="H38" s="9">
        <v>2.3333333333333331E-2</v>
      </c>
      <c r="I38" s="9">
        <v>0.96499999999999997</v>
      </c>
      <c r="J38" s="11"/>
      <c r="X38" s="31"/>
      <c r="Y38">
        <v>22.099999999999937</v>
      </c>
      <c r="AA38" s="32"/>
    </row>
    <row r="39" spans="1:27">
      <c r="A39" s="10">
        <v>0.125</v>
      </c>
      <c r="B39" s="9">
        <v>2.5866666666666669</v>
      </c>
      <c r="C39" s="9">
        <v>0.53500000000000003</v>
      </c>
      <c r="D39" s="9">
        <v>2.2733333333333334</v>
      </c>
      <c r="E39" s="9">
        <v>4.9683333333333337</v>
      </c>
      <c r="F39" s="9">
        <v>0.31833333333333336</v>
      </c>
      <c r="G39" s="9">
        <v>8.666666666666667E-2</v>
      </c>
      <c r="H39" s="9">
        <v>0.11</v>
      </c>
      <c r="I39" s="9">
        <v>1.6616666666666666</v>
      </c>
      <c r="J39" s="11"/>
      <c r="X39" s="31"/>
      <c r="Y39">
        <v>27.733333333333334</v>
      </c>
      <c r="AA39" s="32"/>
    </row>
    <row r="40" spans="1:27" ht="15.75" thickBot="1">
      <c r="A40" s="10">
        <v>0.10666666666666667</v>
      </c>
      <c r="B40" s="9">
        <v>2.7383333333333333</v>
      </c>
      <c r="C40" s="9">
        <v>0.65666666666666662</v>
      </c>
      <c r="D40" s="9">
        <v>2.2366666666666664</v>
      </c>
      <c r="E40" s="9">
        <v>4.7699999999999996</v>
      </c>
      <c r="F40" s="9">
        <v>2.8333333333333332E-2</v>
      </c>
      <c r="G40" s="9">
        <v>0.495</v>
      </c>
      <c r="H40" s="9">
        <v>1.0583333333333333</v>
      </c>
      <c r="I40" s="9">
        <v>0.38999999999999996</v>
      </c>
      <c r="J40" s="11"/>
      <c r="X40" s="33"/>
      <c r="Y40" s="18">
        <v>23.38</v>
      </c>
      <c r="Z40" s="18"/>
      <c r="AA40" s="34"/>
    </row>
    <row r="41" spans="1:27" ht="15.75" thickBot="1">
      <c r="A41" s="22">
        <v>9.166666666666666E-2</v>
      </c>
      <c r="B41" s="23">
        <v>2.86</v>
      </c>
      <c r="C41" s="23">
        <v>9.166666666666666E-2</v>
      </c>
      <c r="D41" s="23">
        <v>2.1783333333333332</v>
      </c>
      <c r="E41" s="23">
        <v>4.208333333333333</v>
      </c>
      <c r="F41" s="23">
        <v>2.5000000000000001E-2</v>
      </c>
      <c r="G41" s="18"/>
      <c r="H41" s="23">
        <v>0.8666666666666667</v>
      </c>
      <c r="I41" s="23">
        <v>1.7516666666666667</v>
      </c>
      <c r="J41" s="24"/>
      <c r="Y41">
        <f>+AVERAGE(X3:AA40)</f>
        <v>30.703859649122801</v>
      </c>
    </row>
    <row r="42" spans="1:27">
      <c r="D42" s="9">
        <f>+AVERAGE(A3:J41)</f>
        <v>1.2502355752192977</v>
      </c>
      <c r="E42" s="54">
        <f>1/D42</f>
        <v>0.79984926026808578</v>
      </c>
      <c r="Y42">
        <f>1/Y41</f>
        <v>3.2569195255182509E-2</v>
      </c>
    </row>
  </sheetData>
  <mergeCells count="10">
    <mergeCell ref="AD1:AG1"/>
    <mergeCell ref="AE2:AF2"/>
    <mergeCell ref="X1:AA1"/>
    <mergeCell ref="Y2:Z2"/>
    <mergeCell ref="A1:D1"/>
    <mergeCell ref="B2:C2"/>
    <mergeCell ref="M1:P1"/>
    <mergeCell ref="N2:O2"/>
    <mergeCell ref="S1:V1"/>
    <mergeCell ref="T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F359-09C0-4615-897A-22561EEFD84B}">
  <dimension ref="A1:AB45"/>
  <sheetViews>
    <sheetView zoomScale="51" zoomScaleNormal="85" workbookViewId="0">
      <selection activeCell="L33" sqref="L33"/>
    </sheetView>
  </sheetViews>
  <sheetFormatPr defaultColWidth="11.42578125" defaultRowHeight="15"/>
  <sheetData>
    <row r="1" spans="1:28">
      <c r="A1" s="85" t="s">
        <v>0</v>
      </c>
      <c r="B1" s="85"/>
      <c r="C1" s="85"/>
      <c r="D1" s="85"/>
    </row>
    <row r="2" spans="1:28" ht="15.75" thickBot="1">
      <c r="A2" s="1" t="s">
        <v>4</v>
      </c>
      <c r="B2" s="85" t="s">
        <v>5</v>
      </c>
      <c r="C2" s="85"/>
      <c r="D2" s="1" t="s">
        <v>4</v>
      </c>
      <c r="AB2" t="s">
        <v>10</v>
      </c>
    </row>
    <row r="3" spans="1:28">
      <c r="A3" s="6">
        <v>1.7654700000000001</v>
      </c>
      <c r="B3" s="7">
        <v>0.14333333333333334</v>
      </c>
      <c r="C3" s="7">
        <v>9.3333333333333324E-2</v>
      </c>
      <c r="D3" s="7">
        <v>4.1233399999999998</v>
      </c>
      <c r="E3" s="7">
        <v>1.5933333333333333</v>
      </c>
      <c r="F3" s="7">
        <v>1.0649999999999999</v>
      </c>
      <c r="G3" s="7">
        <v>0.19</v>
      </c>
      <c r="H3" s="7">
        <v>0.85666666666666669</v>
      </c>
      <c r="I3" s="7">
        <v>0.22833333333333333</v>
      </c>
      <c r="J3" s="8">
        <v>2.875</v>
      </c>
      <c r="L3" t="s">
        <v>11</v>
      </c>
      <c r="M3" s="9">
        <f>MAX(A3:J41)</f>
        <v>7.8416666666666668</v>
      </c>
      <c r="AB3">
        <v>0.5</v>
      </c>
    </row>
    <row r="4" spans="1:28">
      <c r="A4" s="10">
        <v>5.7666666666666666</v>
      </c>
      <c r="B4" s="9">
        <v>0.14666666666666667</v>
      </c>
      <c r="C4" s="9">
        <v>0.185</v>
      </c>
      <c r="D4" s="9">
        <v>1.2342340000000001</v>
      </c>
      <c r="E4" s="9">
        <v>1.5716666666666665</v>
      </c>
      <c r="F4" s="9">
        <v>1.7083333333333335</v>
      </c>
      <c r="G4" s="9">
        <v>1.0633333333333332</v>
      </c>
      <c r="H4" s="9">
        <v>1.3866666666666667</v>
      </c>
      <c r="I4" s="9">
        <v>0.11</v>
      </c>
      <c r="J4" s="11">
        <v>3.0416666666666665</v>
      </c>
      <c r="L4" t="s">
        <v>12</v>
      </c>
      <c r="M4" s="9">
        <f>MIN(A3:J41)</f>
        <v>0.01</v>
      </c>
      <c r="AB4">
        <v>1</v>
      </c>
    </row>
    <row r="5" spans="1:28">
      <c r="A5" s="10">
        <v>1.2345200000000001</v>
      </c>
      <c r="B5" s="9">
        <v>0.21166666666666664</v>
      </c>
      <c r="C5" s="9">
        <v>4.5000000000000005E-2</v>
      </c>
      <c r="D5" s="9">
        <v>5.4649999999999999</v>
      </c>
      <c r="E5" s="9">
        <v>1.5333333333333337</v>
      </c>
      <c r="F5" s="9">
        <v>0.17166666666666669</v>
      </c>
      <c r="G5" s="9">
        <v>0.61333333333333329</v>
      </c>
      <c r="H5" s="9">
        <v>0.62166666666666659</v>
      </c>
      <c r="I5" s="9">
        <v>0.10333333333333333</v>
      </c>
      <c r="J5" s="11">
        <v>3.585</v>
      </c>
      <c r="L5" t="s">
        <v>13</v>
      </c>
      <c r="M5">
        <f>M3-M4</f>
        <v>7.831666666666667</v>
      </c>
      <c r="AB5">
        <v>1.5</v>
      </c>
    </row>
    <row r="6" spans="1:28">
      <c r="A6" s="10">
        <v>1.32543265</v>
      </c>
      <c r="B6" s="9">
        <v>0.24166666666666667</v>
      </c>
      <c r="C6" s="9">
        <v>6.0000000000000005E-2</v>
      </c>
      <c r="D6" s="9">
        <v>1.8537999999999999</v>
      </c>
      <c r="E6" s="9">
        <v>1.5033333333333332</v>
      </c>
      <c r="F6" s="9">
        <v>3.5000000000000003E-2</v>
      </c>
      <c r="G6" s="9">
        <v>0.8</v>
      </c>
      <c r="H6" s="9">
        <v>0.55166666666666664</v>
      </c>
      <c r="I6" s="9">
        <v>0.14333333333333334</v>
      </c>
      <c r="J6" s="11">
        <v>3.7349999999999999</v>
      </c>
      <c r="AB6">
        <v>2</v>
      </c>
    </row>
    <row r="7" spans="1:28" ht="15.75" thickBot="1">
      <c r="A7" s="10">
        <v>1.4534499999999999</v>
      </c>
      <c r="B7" s="9">
        <v>0.26666666666666666</v>
      </c>
      <c r="C7" s="9">
        <v>0.33333333333333331</v>
      </c>
      <c r="D7" s="9">
        <v>1.5464500000000001</v>
      </c>
      <c r="E7" s="9">
        <v>1.1900000000000002</v>
      </c>
      <c r="F7" s="9">
        <v>0.25166666666666665</v>
      </c>
      <c r="G7" s="9">
        <v>0.58833333333333326</v>
      </c>
      <c r="H7" s="9">
        <v>0.26</v>
      </c>
      <c r="I7" s="9">
        <v>1.355</v>
      </c>
      <c r="J7" s="11">
        <v>4.29</v>
      </c>
      <c r="L7" s="13" t="s">
        <v>14</v>
      </c>
      <c r="M7" s="13">
        <v>8</v>
      </c>
      <c r="N7">
        <v>16</v>
      </c>
      <c r="AB7">
        <v>2.5</v>
      </c>
    </row>
    <row r="8" spans="1:28">
      <c r="A8" s="10">
        <v>4.2616666666666667</v>
      </c>
      <c r="B8" s="9">
        <v>0.30166666666666669</v>
      </c>
      <c r="C8" s="9">
        <v>0.11666666666666667</v>
      </c>
      <c r="D8" s="9">
        <v>4.2316666666666665</v>
      </c>
      <c r="E8" s="9">
        <v>1.1516666666666664</v>
      </c>
      <c r="F8" s="9">
        <v>0.55666666666666664</v>
      </c>
      <c r="G8" s="9">
        <v>1.9049999999999998</v>
      </c>
      <c r="H8" s="9">
        <v>0.22500000000000001</v>
      </c>
      <c r="I8" s="9">
        <v>0.185</v>
      </c>
      <c r="J8" s="11">
        <v>4.4116666666666671</v>
      </c>
      <c r="L8" s="13" t="s">
        <v>15</v>
      </c>
      <c r="M8" s="13">
        <v>1</v>
      </c>
      <c r="N8">
        <v>0.5</v>
      </c>
      <c r="Q8" s="12" t="s">
        <v>16</v>
      </c>
      <c r="R8" s="12" t="s">
        <v>17</v>
      </c>
      <c r="AB8">
        <v>3</v>
      </c>
    </row>
    <row r="9" spans="1:28">
      <c r="A9" s="10">
        <v>1.3420000000000001</v>
      </c>
      <c r="B9" s="9">
        <v>0.31166666666666665</v>
      </c>
      <c r="C9" s="9">
        <v>0.7583333333333333</v>
      </c>
      <c r="D9" s="9">
        <v>4.1133333333333333</v>
      </c>
      <c r="E9" s="9">
        <v>1.1333333333333333</v>
      </c>
      <c r="F9" s="9">
        <v>0.27666666666666667</v>
      </c>
      <c r="G9" s="9">
        <v>6.1666666666666668E-2</v>
      </c>
      <c r="H9" s="9">
        <v>0.23666666666666666</v>
      </c>
      <c r="I9" s="9">
        <v>0.54333333333333333</v>
      </c>
      <c r="J9" s="11">
        <v>4.6833333333333336</v>
      </c>
      <c r="Q9" s="15">
        <v>1</v>
      </c>
      <c r="R9">
        <v>211</v>
      </c>
      <c r="AB9">
        <v>3.5</v>
      </c>
    </row>
    <row r="10" spans="1:28">
      <c r="A10" s="10">
        <v>1.4276470000000001</v>
      </c>
      <c r="B10" s="9">
        <v>0.31833333333333336</v>
      </c>
      <c r="C10" s="9">
        <v>0.35500000000000004</v>
      </c>
      <c r="D10" s="9">
        <v>4.0716666666666672</v>
      </c>
      <c r="E10" s="9">
        <v>1.1216666666666666</v>
      </c>
      <c r="F10" s="9">
        <v>6.0000000000000005E-2</v>
      </c>
      <c r="G10" s="9">
        <v>6.6666666666666666E-2</v>
      </c>
      <c r="H10" s="9">
        <v>0.28500000000000003</v>
      </c>
      <c r="I10" s="9">
        <v>0.45333333333333331</v>
      </c>
      <c r="J10" s="11">
        <v>7.8416666666666668</v>
      </c>
      <c r="Q10" s="15">
        <v>2</v>
      </c>
      <c r="R10">
        <v>86</v>
      </c>
      <c r="AB10">
        <v>4</v>
      </c>
    </row>
    <row r="11" spans="1:28">
      <c r="A11" s="10">
        <v>3.5233333333333334</v>
      </c>
      <c r="B11" s="9">
        <v>0.33333333333333331</v>
      </c>
      <c r="C11" s="9">
        <v>0.27833333333333332</v>
      </c>
      <c r="D11" s="9">
        <v>3.5583333333333336</v>
      </c>
      <c r="E11" s="9">
        <v>1.0983333333333334</v>
      </c>
      <c r="F11" s="9">
        <v>2.6666666666666668E-2</v>
      </c>
      <c r="G11" s="9">
        <v>0.23</v>
      </c>
      <c r="H11" s="9">
        <v>0.77999999999999992</v>
      </c>
      <c r="I11" s="9">
        <v>0.38666666666666666</v>
      </c>
      <c r="J11" s="11">
        <v>3.7866666666666662</v>
      </c>
      <c r="K11" s="72" t="s">
        <v>18</v>
      </c>
      <c r="L11" s="73"/>
      <c r="M11" s="14">
        <f>AVERAGE(A3:J41)</f>
        <v>1.2502355752192977</v>
      </c>
      <c r="Q11" s="15">
        <v>3</v>
      </c>
      <c r="R11">
        <v>41</v>
      </c>
      <c r="AB11">
        <v>4.5</v>
      </c>
    </row>
    <row r="12" spans="1:28">
      <c r="A12" s="10">
        <v>3.4283333333333332</v>
      </c>
      <c r="B12" s="9">
        <v>0.46333333333333332</v>
      </c>
      <c r="C12" s="9">
        <v>0.435</v>
      </c>
      <c r="D12" s="9">
        <v>3.4350000000000001</v>
      </c>
      <c r="E12" s="9">
        <v>0.14354230000000001</v>
      </c>
      <c r="F12" s="9">
        <v>8.8333333333333333E-2</v>
      </c>
      <c r="G12" s="9">
        <v>0.7433333333333334</v>
      </c>
      <c r="H12" s="9">
        <v>0.25</v>
      </c>
      <c r="I12" s="9">
        <v>0.6</v>
      </c>
      <c r="J12" s="11">
        <v>3.5716666666666668</v>
      </c>
      <c r="Q12" s="15">
        <v>4</v>
      </c>
      <c r="R12">
        <v>18</v>
      </c>
      <c r="AB12">
        <v>5</v>
      </c>
    </row>
    <row r="13" spans="1:28">
      <c r="A13" s="10">
        <v>2.7533333333333334</v>
      </c>
      <c r="B13" s="9">
        <v>0.53166666666666662</v>
      </c>
      <c r="C13" s="9">
        <v>1</v>
      </c>
      <c r="D13" s="9">
        <v>2.8233333333333337</v>
      </c>
      <c r="E13" s="9">
        <v>0.34653400000000001</v>
      </c>
      <c r="F13" s="9">
        <v>0.13166666666666668</v>
      </c>
      <c r="G13" s="9">
        <v>0.88833333333333331</v>
      </c>
      <c r="H13" s="9">
        <v>3.6666666666666667E-2</v>
      </c>
      <c r="I13" s="9">
        <v>0.76</v>
      </c>
      <c r="J13" s="11">
        <v>3.4849999999999999</v>
      </c>
      <c r="K13" s="16" t="s">
        <v>19</v>
      </c>
      <c r="L13" s="16">
        <f>1/M11</f>
        <v>0.79984926026808578</v>
      </c>
      <c r="Q13" s="15">
        <v>5</v>
      </c>
      <c r="R13">
        <v>14</v>
      </c>
      <c r="AB13">
        <v>5.5</v>
      </c>
    </row>
    <row r="14" spans="1:28">
      <c r="A14" s="10">
        <v>2.3266666666666667</v>
      </c>
      <c r="B14" s="9">
        <v>0.56833333333333336</v>
      </c>
      <c r="C14" s="9">
        <v>8.3333333333333329E-2</v>
      </c>
      <c r="D14" s="9">
        <v>2.395</v>
      </c>
      <c r="E14" s="9">
        <v>5.5866666666666669</v>
      </c>
      <c r="F14" s="9">
        <v>0.51833333333333331</v>
      </c>
      <c r="G14" s="9">
        <v>7.166666666666667E-2</v>
      </c>
      <c r="H14" s="9">
        <v>8.666666666666667E-2</v>
      </c>
      <c r="I14" s="9">
        <v>0.40833333333333333</v>
      </c>
      <c r="J14" s="11">
        <v>2.8733333333333335</v>
      </c>
      <c r="Q14" s="15">
        <v>6</v>
      </c>
      <c r="R14">
        <v>7</v>
      </c>
      <c r="AB14">
        <v>6</v>
      </c>
    </row>
    <row r="15" spans="1:28">
      <c r="A15" s="10">
        <v>2.25</v>
      </c>
      <c r="B15" s="9">
        <v>0.62833333333333341</v>
      </c>
      <c r="C15" s="9">
        <v>0.20500000000000002</v>
      </c>
      <c r="D15" s="9">
        <v>2.2983333333333338</v>
      </c>
      <c r="E15" s="9">
        <v>4.8966666666666665</v>
      </c>
      <c r="F15" s="9">
        <v>0.40166666666666667</v>
      </c>
      <c r="G15" s="9">
        <v>1.0366666666666666</v>
      </c>
      <c r="H15" s="9">
        <v>0.27500000000000002</v>
      </c>
      <c r="I15" s="9">
        <v>2.3933333333333335</v>
      </c>
      <c r="J15" s="11">
        <v>2.4316666666666666</v>
      </c>
      <c r="K15" s="74" t="s">
        <v>20</v>
      </c>
      <c r="L15" s="73"/>
      <c r="M15" s="17">
        <f>_xlfn.VAR.S(A3:J41)</f>
        <v>1.9897757737296455</v>
      </c>
      <c r="Q15" s="15">
        <v>7</v>
      </c>
      <c r="R15">
        <v>1</v>
      </c>
      <c r="AB15">
        <v>6.5</v>
      </c>
    </row>
    <row r="16" spans="1:28">
      <c r="A16" s="10">
        <v>2.1850000000000001</v>
      </c>
      <c r="B16" s="9">
        <v>0.71166666666666667</v>
      </c>
      <c r="C16" s="9">
        <v>0.04</v>
      </c>
      <c r="D16" s="9">
        <v>2.2233333333333332</v>
      </c>
      <c r="E16" s="9">
        <v>1.8953466999999999</v>
      </c>
      <c r="F16" s="9">
        <v>4.3333333333333335E-2</v>
      </c>
      <c r="G16" s="9">
        <v>3.5000000000000003E-2</v>
      </c>
      <c r="H16" s="9">
        <v>0.14166666666666666</v>
      </c>
      <c r="I16" s="9">
        <v>2.2083333333333335</v>
      </c>
      <c r="J16" s="11">
        <v>2.3016666666666663</v>
      </c>
      <c r="Q16" s="15">
        <v>8</v>
      </c>
      <c r="R16">
        <v>2</v>
      </c>
      <c r="AB16">
        <v>7</v>
      </c>
    </row>
    <row r="17" spans="1:28" ht="15.75" thickBot="1">
      <c r="A17" s="10">
        <v>2.1833333333333331</v>
      </c>
      <c r="B17" s="9">
        <v>0.79500000000000004</v>
      </c>
      <c r="C17" s="9">
        <v>0.31833333333333336</v>
      </c>
      <c r="D17" s="9">
        <v>2.2050000000000001</v>
      </c>
      <c r="E17" s="9">
        <v>1.965484</v>
      </c>
      <c r="F17" s="9">
        <v>3.3333333333333333E-2</v>
      </c>
      <c r="G17" s="9">
        <v>0.14000000000000001</v>
      </c>
      <c r="H17" s="9">
        <v>0.23666666666666666</v>
      </c>
      <c r="I17" s="9">
        <v>0.80833333333333335</v>
      </c>
      <c r="J17" s="11">
        <v>2.2333333333333334</v>
      </c>
      <c r="Q17" s="18" t="s">
        <v>21</v>
      </c>
      <c r="R17" s="18">
        <v>0</v>
      </c>
      <c r="AB17">
        <v>7.5</v>
      </c>
    </row>
    <row r="18" spans="1:28">
      <c r="A18" s="10">
        <v>1.63</v>
      </c>
      <c r="B18" s="9">
        <v>0.83833333333333326</v>
      </c>
      <c r="C18" s="9">
        <v>1.1233333333333333</v>
      </c>
      <c r="D18" s="9">
        <v>1.6</v>
      </c>
      <c r="E18" s="9">
        <v>1.4325399999999999</v>
      </c>
      <c r="F18" s="9">
        <v>0.76333333333333331</v>
      </c>
      <c r="G18" s="9">
        <v>0.10666666666666667</v>
      </c>
      <c r="H18" s="9">
        <v>0.31</v>
      </c>
      <c r="I18" s="9">
        <v>0.65666666666666662</v>
      </c>
      <c r="J18" s="11">
        <v>2.1816666666666671</v>
      </c>
    </row>
    <row r="19" spans="1:28">
      <c r="A19" s="10">
        <v>1.6183333333333334</v>
      </c>
      <c r="B19" s="9">
        <v>0.92333333333333334</v>
      </c>
      <c r="C19" s="9">
        <v>0.185</v>
      </c>
      <c r="D19" s="9">
        <v>1.59</v>
      </c>
      <c r="E19" s="9">
        <v>3.9345599999999998</v>
      </c>
      <c r="F19" s="9">
        <v>3.0000000000000002E-2</v>
      </c>
      <c r="G19" s="9">
        <v>0.24666666666666667</v>
      </c>
      <c r="H19" s="9">
        <v>1.5416666666666665</v>
      </c>
      <c r="I19" s="9">
        <v>3.6666666666666667E-2</v>
      </c>
      <c r="J19" s="11">
        <v>1.6616666666666666</v>
      </c>
    </row>
    <row r="20" spans="1:28">
      <c r="A20" s="10">
        <v>1.6</v>
      </c>
      <c r="B20" s="9">
        <v>0.97333333333333327</v>
      </c>
      <c r="C20" s="9">
        <v>0.39666666666666667</v>
      </c>
      <c r="D20" s="9">
        <v>1.5616666666666665</v>
      </c>
      <c r="E20" s="9">
        <v>3.5483333333333329</v>
      </c>
      <c r="F20" s="9">
        <v>2.8333333333333332E-2</v>
      </c>
      <c r="G20" s="9">
        <v>0.42666666666666669</v>
      </c>
      <c r="H20" s="9">
        <v>3.0000000000000002E-2</v>
      </c>
      <c r="I20" s="9">
        <v>7.8333333333333338E-2</v>
      </c>
      <c r="J20" s="11">
        <v>1.5933333333333333</v>
      </c>
    </row>
    <row r="21" spans="1:28">
      <c r="A21" s="10">
        <v>1.58</v>
      </c>
      <c r="B21" s="9">
        <v>1.1883333333333335</v>
      </c>
      <c r="C21" s="9">
        <v>0.315</v>
      </c>
      <c r="D21" s="9">
        <v>1.5183333333333331</v>
      </c>
      <c r="E21" s="9">
        <v>3.4533333333333331</v>
      </c>
      <c r="F21" s="9">
        <v>0.11166666666666666</v>
      </c>
      <c r="G21" s="9">
        <v>0.10666666666666667</v>
      </c>
      <c r="H21" s="9">
        <v>2.1666666666666667E-2</v>
      </c>
      <c r="I21" s="9">
        <v>0.94333333333333336</v>
      </c>
      <c r="J21" s="11">
        <v>1.5366666666666666</v>
      </c>
    </row>
    <row r="22" spans="1:28">
      <c r="A22" s="10">
        <v>1.2233333333333334</v>
      </c>
      <c r="B22" s="9">
        <v>1.24</v>
      </c>
      <c r="C22" s="9">
        <v>0.19333333333333333</v>
      </c>
      <c r="D22" s="9">
        <v>1.2000000000000002</v>
      </c>
      <c r="E22" s="9">
        <v>2.7966666666666669</v>
      </c>
      <c r="F22" s="9">
        <v>0.34666666666666668</v>
      </c>
      <c r="G22" s="9">
        <v>6.1666666666666668E-2</v>
      </c>
      <c r="H22" s="9">
        <v>1.6666666666666666E-2</v>
      </c>
      <c r="I22" s="9">
        <v>0.43666666666666665</v>
      </c>
      <c r="J22" s="11">
        <v>1.4900000000000002</v>
      </c>
      <c r="Q22" s="19" t="s">
        <v>22</v>
      </c>
      <c r="R22" s="19" t="s">
        <v>23</v>
      </c>
      <c r="S22" s="19" t="s">
        <v>24</v>
      </c>
      <c r="T22" s="20" t="s">
        <v>25</v>
      </c>
      <c r="U22" s="19" t="s">
        <v>26</v>
      </c>
    </row>
    <row r="23" spans="1:28">
      <c r="A23" s="10">
        <v>1.165</v>
      </c>
      <c r="B23" s="9">
        <v>1.3766666666666667</v>
      </c>
      <c r="C23" s="9">
        <v>0.10166666666666666</v>
      </c>
      <c r="D23" s="9">
        <v>1.1750000000000003</v>
      </c>
      <c r="E23" s="9">
        <v>2.3666666666666667</v>
      </c>
      <c r="F23" s="9">
        <v>6.1666666666666668E-2</v>
      </c>
      <c r="G23" s="9">
        <v>0.01</v>
      </c>
      <c r="H23" s="9">
        <v>2.1666666666666667E-2</v>
      </c>
      <c r="I23" s="9">
        <v>0.32333333333333331</v>
      </c>
      <c r="J23" s="11">
        <v>1.1183333333333332</v>
      </c>
      <c r="P23">
        <v>0</v>
      </c>
      <c r="Q23" s="15">
        <v>1</v>
      </c>
      <c r="R23" cm="1">
        <f t="array" ref="R23:R31">FREQUENCY(A3:J41,Q23:Q30)</f>
        <v>211</v>
      </c>
      <c r="S23">
        <f>1-EXP(-L$13*Q23)</f>
        <v>0.55060329904999827</v>
      </c>
      <c r="T23">
        <f>$R$32*S23</f>
        <v>209.22925363899935</v>
      </c>
      <c r="U23">
        <f>(T23-R23)^2/T23</f>
        <v>1.4986158103909535E-2</v>
      </c>
    </row>
    <row r="24" spans="1:28">
      <c r="A24" s="10">
        <v>1.1383333333333334</v>
      </c>
      <c r="B24" s="9">
        <v>1.4266666666666667</v>
      </c>
      <c r="C24" s="9">
        <v>0.21</v>
      </c>
      <c r="D24" s="9">
        <v>1.1533333333333333</v>
      </c>
      <c r="E24" s="9">
        <v>2.3049999999999997</v>
      </c>
      <c r="F24" s="9">
        <v>0.08</v>
      </c>
      <c r="G24" s="9">
        <v>0.51500000000000001</v>
      </c>
      <c r="H24" s="9">
        <v>2.1666666666666667E-2</v>
      </c>
      <c r="I24" s="9">
        <v>2.0350000000000001</v>
      </c>
      <c r="J24" s="11">
        <v>1.0883333333333334</v>
      </c>
      <c r="P24">
        <v>1</v>
      </c>
      <c r="Q24" s="15">
        <v>2</v>
      </c>
      <c r="R24">
        <v>86</v>
      </c>
      <c r="S24">
        <f>1-EXP(-L$13*Q24)-S23</f>
        <v>0.24743930612525644</v>
      </c>
      <c r="T24">
        <f t="shared" ref="T24:T31" si="0">$R$32*S24</f>
        <v>94.026936327597454</v>
      </c>
      <c r="U24">
        <f>(T24-R24)^2/T24</f>
        <v>0.68524732724267878</v>
      </c>
    </row>
    <row r="25" spans="1:28">
      <c r="A25" s="10">
        <v>0.13333333333333333</v>
      </c>
      <c r="B25" s="9">
        <v>1.5066666666666666</v>
      </c>
      <c r="C25" s="9">
        <v>0.36666666666666664</v>
      </c>
      <c r="D25" s="9">
        <v>1.1299999999999999</v>
      </c>
      <c r="E25" s="9">
        <v>2.246666666666667</v>
      </c>
      <c r="F25" s="9">
        <v>0.17166666666666669</v>
      </c>
      <c r="G25" s="9">
        <v>0.12166666666666666</v>
      </c>
      <c r="H25" s="9">
        <v>0.05</v>
      </c>
      <c r="I25" s="9">
        <v>0.625</v>
      </c>
      <c r="J25" s="11">
        <v>1.05</v>
      </c>
      <c r="P25">
        <v>2</v>
      </c>
      <c r="Q25" s="15">
        <v>3</v>
      </c>
      <c r="R25">
        <v>41</v>
      </c>
      <c r="S25">
        <f>1-EXP(-L$13*Q25)-S24-S23</f>
        <v>0.1111984078580478</v>
      </c>
      <c r="T25">
        <f t="shared" si="0"/>
        <v>42.255394986058164</v>
      </c>
      <c r="U25">
        <f t="shared" ref="U25:U31" si="1">(T25-R25)^2/T25</f>
        <v>3.7297404782039592E-2</v>
      </c>
    </row>
    <row r="26" spans="1:28">
      <c r="A26" s="10">
        <v>1.1100000000000001</v>
      </c>
      <c r="B26" s="9">
        <v>1.53</v>
      </c>
      <c r="C26" s="9">
        <v>0.14833333333333334</v>
      </c>
      <c r="D26" s="9">
        <v>1.1016666666666666</v>
      </c>
      <c r="E26" s="9">
        <v>2.2083333333333335</v>
      </c>
      <c r="F26" s="9">
        <v>1.1816666666666666</v>
      </c>
      <c r="G26" s="9">
        <v>4.1666666666666664E-2</v>
      </c>
      <c r="H26" s="9">
        <v>0.38</v>
      </c>
      <c r="I26" s="9">
        <v>0.90166666666666673</v>
      </c>
      <c r="J26" s="11">
        <v>1.0249999999999999</v>
      </c>
      <c r="P26">
        <v>3</v>
      </c>
      <c r="Q26" s="15">
        <v>4</v>
      </c>
      <c r="R26">
        <v>18</v>
      </c>
      <c r="S26">
        <f>1-EXP(-L$13*Q26)-S25-S24-S23</f>
        <v>4.9972197642299432E-2</v>
      </c>
      <c r="T26">
        <f t="shared" si="0"/>
        <v>18.989435104073785</v>
      </c>
      <c r="U26">
        <f t="shared" si="1"/>
        <v>5.1554025688920091E-2</v>
      </c>
    </row>
    <row r="27" spans="1:28">
      <c r="A27" s="10">
        <v>0.80499999999999994</v>
      </c>
      <c r="B27" s="9">
        <v>1.6850000000000001</v>
      </c>
      <c r="C27" s="9">
        <v>0.48666666666666664</v>
      </c>
      <c r="D27" s="9">
        <v>7.6400000000000006</v>
      </c>
      <c r="E27" s="9">
        <v>1.6033333333333331</v>
      </c>
      <c r="F27" s="9">
        <v>0.70833333333333337</v>
      </c>
      <c r="G27" s="9">
        <v>0.35833333333333334</v>
      </c>
      <c r="H27" s="9">
        <v>0.4</v>
      </c>
      <c r="I27" s="9">
        <v>1.56</v>
      </c>
      <c r="J27" s="11">
        <v>1.0033333333333334</v>
      </c>
      <c r="P27">
        <v>4</v>
      </c>
      <c r="Q27" s="15">
        <v>5</v>
      </c>
      <c r="R27">
        <v>14</v>
      </c>
      <c r="S27">
        <f>1-EXP(-L$13*Q27)-S26-S25-S24-S23</f>
        <v>2.2457340759670874E-2</v>
      </c>
      <c r="T27">
        <f t="shared" si="0"/>
        <v>8.5337894886749321</v>
      </c>
      <c r="U27">
        <f>(T27-R27)^2/T27</f>
        <v>3.5013117436015095</v>
      </c>
    </row>
    <row r="28" spans="1:28">
      <c r="A28" s="10">
        <v>0.72666666666666668</v>
      </c>
      <c r="B28" s="9">
        <v>1.7116666666666667</v>
      </c>
      <c r="C28" s="9">
        <v>0.38</v>
      </c>
      <c r="D28" s="9">
        <v>5.8533333333333335</v>
      </c>
      <c r="E28" s="9">
        <v>1.5816666666666668</v>
      </c>
      <c r="F28" s="9">
        <v>0.23333333333333334</v>
      </c>
      <c r="G28" s="9">
        <v>0.35500000000000004</v>
      </c>
      <c r="H28" s="9">
        <v>0.26833333333333337</v>
      </c>
      <c r="I28" s="9">
        <v>0.21666666666666667</v>
      </c>
      <c r="J28" s="11">
        <v>3.9933333333333332</v>
      </c>
      <c r="P28">
        <v>5</v>
      </c>
      <c r="Q28" s="15">
        <v>6</v>
      </c>
      <c r="R28">
        <v>7</v>
      </c>
      <c r="S28">
        <f>1-EXP(-L$13*Q28)-S27-S26-S25-S24-S23</f>
        <v>1.0092254849506044E-2</v>
      </c>
      <c r="T28">
        <f t="shared" si="0"/>
        <v>3.8350568428122966</v>
      </c>
      <c r="U28">
        <f t="shared" si="1"/>
        <v>2.6119209176789595</v>
      </c>
    </row>
    <row r="29" spans="1:28">
      <c r="A29" s="10">
        <v>0.67666666666666664</v>
      </c>
      <c r="B29" s="9">
        <v>1.7833333333333332</v>
      </c>
      <c r="C29" s="9">
        <v>0.30666666666666664</v>
      </c>
      <c r="D29" s="9">
        <v>5.5100000000000007</v>
      </c>
      <c r="E29" s="9">
        <v>1.5383333333333333</v>
      </c>
      <c r="F29" s="9">
        <v>0.47499999999999998</v>
      </c>
      <c r="G29" s="9">
        <v>3.3333333333333333E-2</v>
      </c>
      <c r="H29" s="9">
        <v>0.56000000000000005</v>
      </c>
      <c r="I29" s="9">
        <v>0.31833333333333336</v>
      </c>
      <c r="J29" s="11">
        <v>0.31333333333333335</v>
      </c>
      <c r="P29">
        <v>6</v>
      </c>
      <c r="Q29" s="15">
        <v>7</v>
      </c>
      <c r="R29">
        <v>1</v>
      </c>
      <c r="S29">
        <f>1-EXP(-L$13*Q29)-S28-S27-S26-S25-S24-S23</f>
        <v>4.5354260345146225E-3</v>
      </c>
      <c r="T29">
        <f t="shared" si="0"/>
        <v>1.7234618931155565</v>
      </c>
      <c r="U29">
        <f t="shared" si="1"/>
        <v>0.30368940147796558</v>
      </c>
    </row>
    <row r="30" spans="1:28">
      <c r="A30" s="10">
        <v>0.65333333333333343</v>
      </c>
      <c r="B30" s="9">
        <v>1.9166666666666665</v>
      </c>
      <c r="C30" s="9">
        <v>0.12000000000000001</v>
      </c>
      <c r="D30" s="9">
        <v>1.4645600000000001</v>
      </c>
      <c r="E30" s="9">
        <v>1.5116666666666665</v>
      </c>
      <c r="F30" s="9">
        <v>7.0000000000000007E-2</v>
      </c>
      <c r="G30" s="9">
        <v>0.15166666666666667</v>
      </c>
      <c r="H30" s="9">
        <v>0.11333333333333333</v>
      </c>
      <c r="I30" s="9">
        <v>0.96666666666666667</v>
      </c>
      <c r="J30" s="11">
        <v>0.12333333333333334</v>
      </c>
      <c r="P30">
        <v>7</v>
      </c>
      <c r="Q30" s="15">
        <v>8</v>
      </c>
      <c r="R30">
        <v>2</v>
      </c>
      <c r="S30">
        <f>1-EXP(-L$13*Q30)-S29-S28-S27-S26-S25-S24-S23</f>
        <v>2.0382054973137054E-3</v>
      </c>
      <c r="T30">
        <f t="shared" si="0"/>
        <v>0.77451808897920804</v>
      </c>
      <c r="U30">
        <f t="shared" si="1"/>
        <v>1.9390198054877039</v>
      </c>
    </row>
    <row r="31" spans="1:28">
      <c r="A31" s="10">
        <v>0.49833333333333329</v>
      </c>
      <c r="B31" s="9">
        <v>1.9566666666666666</v>
      </c>
      <c r="C31" s="9">
        <v>6.6666666666666666E-2</v>
      </c>
      <c r="D31" s="9">
        <v>4.7883333333333331</v>
      </c>
      <c r="E31" s="9">
        <v>1.1816666666666666</v>
      </c>
      <c r="F31" s="9">
        <v>0.56166666666666676</v>
      </c>
      <c r="G31" s="9">
        <v>0.23333333333333334</v>
      </c>
      <c r="H31" s="9">
        <v>0.36499999999999999</v>
      </c>
      <c r="I31" s="9">
        <v>0.16999999999999998</v>
      </c>
      <c r="J31" s="11">
        <v>0.77500000000000002</v>
      </c>
      <c r="P31">
        <v>8</v>
      </c>
      <c r="Q31" s="25" t="s">
        <v>27</v>
      </c>
      <c r="R31">
        <v>0</v>
      </c>
      <c r="S31">
        <f>1-SUM(S23:S30)</f>
        <v>1.6635621833928083E-3</v>
      </c>
      <c r="T31">
        <f t="shared" si="0"/>
        <v>0.63215362968926714</v>
      </c>
      <c r="U31">
        <f t="shared" si="1"/>
        <v>0.63215362968926714</v>
      </c>
    </row>
    <row r="32" spans="1:28">
      <c r="A32" s="10">
        <v>0.46333333333333332</v>
      </c>
      <c r="B32" s="9">
        <v>1.9583333333333335</v>
      </c>
      <c r="C32" s="9">
        <v>0.27500000000000002</v>
      </c>
      <c r="D32" s="9">
        <v>1.5638426000000001</v>
      </c>
      <c r="E32" s="9">
        <v>1.1549999999999998</v>
      </c>
      <c r="F32" s="9">
        <v>0.51333333333333331</v>
      </c>
      <c r="G32" s="9">
        <v>0.19666666666666668</v>
      </c>
      <c r="H32" s="9">
        <v>0.26500000000000001</v>
      </c>
      <c r="I32" s="9">
        <v>1.1033333333333333</v>
      </c>
      <c r="J32" s="11">
        <v>0.40833333333333333</v>
      </c>
      <c r="Q32" s="21" t="s">
        <v>28</v>
      </c>
      <c r="R32">
        <f>SUM(_xlfn.ANCHORARRAY(R23))</f>
        <v>380</v>
      </c>
      <c r="S32">
        <f>SUM(S23:S31)</f>
        <v>1</v>
      </c>
      <c r="T32">
        <f>SUM(T23:T31)</f>
        <v>380</v>
      </c>
      <c r="U32" s="13">
        <f>SUM(U23:U31)</f>
        <v>9.7771804137529532</v>
      </c>
    </row>
    <row r="33" spans="1:24">
      <c r="A33" s="10">
        <v>0.33166666666666667</v>
      </c>
      <c r="B33" s="9">
        <v>2.1716666666666669</v>
      </c>
      <c r="C33" s="9">
        <v>0.28500000000000003</v>
      </c>
      <c r="D33" s="9">
        <v>4.1616666666666671</v>
      </c>
      <c r="E33" s="9">
        <v>1.1349999999999998</v>
      </c>
      <c r="F33" s="9">
        <v>4.6666666666666662E-2</v>
      </c>
      <c r="G33" s="9">
        <v>0.16999999999999998</v>
      </c>
      <c r="H33" s="9">
        <v>2.585</v>
      </c>
      <c r="I33" s="9">
        <v>0.57833333333333337</v>
      </c>
      <c r="J33" s="11"/>
    </row>
    <row r="34" spans="1:24">
      <c r="A34" s="10">
        <v>0.31666666666666665</v>
      </c>
      <c r="B34" s="9">
        <v>2.1850000000000001</v>
      </c>
      <c r="C34" s="9">
        <v>7.8333333333333338E-2</v>
      </c>
      <c r="D34" s="9">
        <v>3.968432</v>
      </c>
      <c r="E34" s="9">
        <v>1.1150000000000002</v>
      </c>
      <c r="F34" s="9">
        <v>3.0000000000000002E-2</v>
      </c>
      <c r="G34" s="9">
        <v>0.26999999999999996</v>
      </c>
      <c r="H34" s="9">
        <v>0.5083333333333333</v>
      </c>
      <c r="I34" s="9">
        <v>2.2416666666666667</v>
      </c>
      <c r="J34" s="11"/>
      <c r="R34" t="s">
        <v>29</v>
      </c>
      <c r="S34">
        <v>0.05</v>
      </c>
    </row>
    <row r="35" spans="1:24">
      <c r="A35" s="10">
        <v>0.31666666666666665</v>
      </c>
      <c r="B35" s="9">
        <v>2.2716666666666665</v>
      </c>
      <c r="C35" s="9">
        <v>0.38999999999999996</v>
      </c>
      <c r="D35" s="9">
        <v>3.58</v>
      </c>
      <c r="E35" s="9">
        <v>1.0900000000000003</v>
      </c>
      <c r="F35" s="9">
        <v>0.36499999999999999</v>
      </c>
      <c r="G35" s="9">
        <v>6.3333333333333325E-2</v>
      </c>
      <c r="H35" s="9">
        <v>1.4283333333333332</v>
      </c>
      <c r="I35" s="9">
        <v>3.6666666666666667E-2</v>
      </c>
      <c r="J35" s="11"/>
      <c r="R35" t="s">
        <v>30</v>
      </c>
      <c r="S35">
        <f>8-1-1</f>
        <v>6</v>
      </c>
    </row>
    <row r="36" spans="1:24">
      <c r="A36" s="10">
        <v>0.29166666666666669</v>
      </c>
      <c r="B36" s="9">
        <v>2.4383333333333335</v>
      </c>
      <c r="C36" s="9">
        <v>0.38666666666666666</v>
      </c>
      <c r="D36" s="9">
        <v>3.4666666666666668</v>
      </c>
      <c r="E36" s="9">
        <v>6.956666666666667</v>
      </c>
      <c r="F36" s="9">
        <v>0.30833333333333335</v>
      </c>
      <c r="G36" s="9">
        <v>9.166666666666666E-2</v>
      </c>
      <c r="H36" s="9">
        <v>0.65833333333333333</v>
      </c>
      <c r="I36" s="9">
        <v>2.5916666666666668</v>
      </c>
      <c r="J36" s="11"/>
      <c r="Q36" t="s">
        <v>31</v>
      </c>
      <c r="R36" t="s">
        <v>32</v>
      </c>
      <c r="S36" s="26">
        <f>_xlfn.CHISQ.INV.RT(S34,S35)</f>
        <v>12.591587243743978</v>
      </c>
    </row>
    <row r="37" spans="1:24">
      <c r="A37" s="10">
        <v>0.16333333333333336</v>
      </c>
      <c r="B37" s="9">
        <v>2.5483333333333333</v>
      </c>
      <c r="C37" s="9">
        <v>0.08</v>
      </c>
      <c r="D37" s="9">
        <v>2.8149999999999999</v>
      </c>
      <c r="E37" s="9">
        <v>5.7133333333333338</v>
      </c>
      <c r="F37" s="9">
        <v>0.42</v>
      </c>
      <c r="G37" s="9">
        <v>0.32166666666666666</v>
      </c>
      <c r="H37" s="9">
        <v>4.5000000000000005E-2</v>
      </c>
      <c r="I37" s="9">
        <v>3.3566666666666665</v>
      </c>
      <c r="J37" s="11"/>
    </row>
    <row r="38" spans="1:24">
      <c r="A38" s="10">
        <v>0.14666666666666667</v>
      </c>
      <c r="B38" s="9">
        <v>2.5683333333333334</v>
      </c>
      <c r="C38" s="9">
        <v>3.833333333333333E-2</v>
      </c>
      <c r="D38" s="9">
        <v>2.355</v>
      </c>
      <c r="E38" s="9">
        <v>5.378333333333333</v>
      </c>
      <c r="F38" s="9">
        <v>0.13833333333333334</v>
      </c>
      <c r="G38" s="9">
        <v>0.3783333333333333</v>
      </c>
      <c r="H38" s="9">
        <v>2.3333333333333331E-2</v>
      </c>
      <c r="I38" s="9">
        <v>0.96499999999999997</v>
      </c>
      <c r="J38" s="11"/>
    </row>
    <row r="39" spans="1:24">
      <c r="A39" s="10">
        <v>0.125</v>
      </c>
      <c r="B39" s="9">
        <v>2.5866666666666669</v>
      </c>
      <c r="C39" s="9">
        <v>0.53500000000000003</v>
      </c>
      <c r="D39" s="9">
        <v>2.2733333333333334</v>
      </c>
      <c r="E39" s="9">
        <v>4.9683333333333337</v>
      </c>
      <c r="F39" s="9">
        <v>0.31833333333333336</v>
      </c>
      <c r="G39" s="9">
        <v>8.666666666666667E-2</v>
      </c>
      <c r="H39" s="9">
        <v>0.11</v>
      </c>
      <c r="I39" s="9">
        <v>1.6616666666666666</v>
      </c>
      <c r="J39" s="11"/>
      <c r="R39" t="s">
        <v>33</v>
      </c>
      <c r="S39" t="s">
        <v>34</v>
      </c>
    </row>
    <row r="40" spans="1:24">
      <c r="A40" s="10">
        <v>0.10666666666666667</v>
      </c>
      <c r="B40" s="9">
        <v>2.7383333333333333</v>
      </c>
      <c r="C40" s="9">
        <v>0.65666666666666662</v>
      </c>
      <c r="D40" s="9">
        <v>2.2366666666666664</v>
      </c>
      <c r="E40" s="9">
        <v>4.7699999999999996</v>
      </c>
      <c r="F40" s="9">
        <v>2.8333333333333332E-2</v>
      </c>
      <c r="G40" s="9">
        <v>0.495</v>
      </c>
      <c r="H40" s="9">
        <v>1.0583333333333333</v>
      </c>
      <c r="I40" s="9">
        <v>0.38999999999999996</v>
      </c>
      <c r="J40" s="11"/>
      <c r="R40" t="s">
        <v>35</v>
      </c>
      <c r="S40" t="s">
        <v>36</v>
      </c>
    </row>
    <row r="41" spans="1:24" ht="15.75" thickBot="1">
      <c r="A41" s="22">
        <v>9.166666666666666E-2</v>
      </c>
      <c r="B41" s="23">
        <v>2.86</v>
      </c>
      <c r="C41" s="23">
        <v>9.166666666666666E-2</v>
      </c>
      <c r="D41" s="23">
        <v>2.1783333333333332</v>
      </c>
      <c r="E41" s="23">
        <v>4.208333333333333</v>
      </c>
      <c r="F41" s="23">
        <v>2.5000000000000001E-2</v>
      </c>
      <c r="G41" s="18"/>
      <c r="H41" s="23">
        <v>0.8666666666666667</v>
      </c>
      <c r="I41" s="23">
        <v>1.7516666666666667</v>
      </c>
      <c r="J41" s="24"/>
    </row>
    <row r="42" spans="1:24">
      <c r="R42" t="s">
        <v>37</v>
      </c>
      <c r="S42" s="13">
        <v>9.7771804137529532</v>
      </c>
      <c r="T42" s="27" t="s">
        <v>38</v>
      </c>
      <c r="U42" s="26">
        <v>12.591587243743978</v>
      </c>
      <c r="V42" t="s">
        <v>39</v>
      </c>
    </row>
    <row r="44" spans="1:24">
      <c r="R44" s="13" t="s">
        <v>40</v>
      </c>
      <c r="S44" s="13"/>
      <c r="T44" s="13"/>
      <c r="U44" s="13"/>
      <c r="V44" s="13"/>
      <c r="W44" s="13"/>
      <c r="X44" s="13"/>
    </row>
    <row r="45" spans="1:24">
      <c r="R45" s="13" t="s">
        <v>41</v>
      </c>
      <c r="S45" s="13"/>
      <c r="T45" s="13"/>
      <c r="U45" s="13"/>
      <c r="V45" s="13"/>
      <c r="W45" s="13"/>
      <c r="X45" s="13"/>
    </row>
  </sheetData>
  <mergeCells count="4">
    <mergeCell ref="A1:D1"/>
    <mergeCell ref="B2:C2"/>
    <mergeCell ref="K11:L11"/>
    <mergeCell ref="K15:L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C061-7FF2-4D4F-BAB5-3AB70088B10D}">
  <dimension ref="A1:P62"/>
  <sheetViews>
    <sheetView topLeftCell="A28" zoomScale="48" workbookViewId="0">
      <selection activeCell="A36" sqref="A36"/>
    </sheetView>
  </sheetViews>
  <sheetFormatPr defaultColWidth="11.42578125" defaultRowHeight="15"/>
  <sheetData>
    <row r="1" spans="1:9" ht="15.75" thickBot="1">
      <c r="A1" s="2" t="s">
        <v>4</v>
      </c>
      <c r="B1" s="86" t="s">
        <v>7</v>
      </c>
      <c r="C1" s="86"/>
      <c r="D1" s="2" t="s">
        <v>4</v>
      </c>
    </row>
    <row r="2" spans="1:9">
      <c r="A2" s="28">
        <v>0.85</v>
      </c>
      <c r="B2" s="29">
        <v>4.3333333333333335E-2</v>
      </c>
      <c r="C2" s="30">
        <v>0.65</v>
      </c>
    </row>
    <row r="3" spans="1:9">
      <c r="A3" s="31">
        <v>4.5783333333333331</v>
      </c>
      <c r="B3">
        <v>0.3716666666666667</v>
      </c>
      <c r="C3" s="32">
        <v>0.86499999999999999</v>
      </c>
      <c r="E3" t="s">
        <v>42</v>
      </c>
      <c r="F3">
        <f>MAX(A3:C33)</f>
        <v>6.1333333333333337</v>
      </c>
    </row>
    <row r="4" spans="1:9">
      <c r="A4" s="31">
        <v>1.8133333333333332</v>
      </c>
      <c r="B4">
        <v>0.40833333333333333</v>
      </c>
      <c r="C4" s="32">
        <v>0.74833333333333329</v>
      </c>
      <c r="E4" t="s">
        <v>43</v>
      </c>
      <c r="F4">
        <f>MIN(A2:C32)</f>
        <v>4.3333333333333335E-2</v>
      </c>
    </row>
    <row r="5" spans="1:9">
      <c r="A5" s="31">
        <v>1.2633333333333334</v>
      </c>
      <c r="B5">
        <v>0.45333333333333331</v>
      </c>
      <c r="C5" s="32">
        <v>0.7416666666666667</v>
      </c>
      <c r="E5" t="s">
        <v>13</v>
      </c>
      <c r="F5">
        <f>F3-F4</f>
        <v>6.0900000000000007</v>
      </c>
    </row>
    <row r="6" spans="1:9">
      <c r="A6" s="31">
        <v>1.0766666666666667</v>
      </c>
      <c r="B6">
        <v>0.46333333333333332</v>
      </c>
      <c r="C6" s="32">
        <v>0.6333333333333333</v>
      </c>
    </row>
    <row r="7" spans="1:9">
      <c r="A7" s="31">
        <v>2.9</v>
      </c>
      <c r="B7">
        <v>0.57499999999999996</v>
      </c>
      <c r="C7" s="32">
        <v>0.61499999999999999</v>
      </c>
      <c r="E7" s="13" t="s">
        <v>14</v>
      </c>
      <c r="F7" s="13">
        <v>6</v>
      </c>
      <c r="G7">
        <v>12</v>
      </c>
    </row>
    <row r="8" spans="1:9">
      <c r="A8" s="31">
        <v>0.67</v>
      </c>
      <c r="B8">
        <v>0.57499999999999996</v>
      </c>
      <c r="C8" s="32">
        <v>1.0033333333333334</v>
      </c>
      <c r="E8" s="13" t="s">
        <v>15</v>
      </c>
      <c r="F8" s="13">
        <v>1</v>
      </c>
      <c r="G8">
        <v>0.5</v>
      </c>
    </row>
    <row r="9" spans="1:9">
      <c r="A9" s="31">
        <v>1.0533333333333332</v>
      </c>
      <c r="B9">
        <v>0.59333333333333338</v>
      </c>
      <c r="C9" s="32">
        <v>0.55666666666666664</v>
      </c>
    </row>
    <row r="10" spans="1:9">
      <c r="A10" s="31">
        <v>2.1466666666666665</v>
      </c>
      <c r="B10">
        <v>0.64833333333333332</v>
      </c>
      <c r="C10" s="32">
        <v>0.85833333333333328</v>
      </c>
      <c r="G10">
        <f>F5/G8</f>
        <v>12.180000000000001</v>
      </c>
    </row>
    <row r="11" spans="1:9" ht="15.75" thickBot="1">
      <c r="A11" s="31">
        <v>0.83666666666666667</v>
      </c>
      <c r="B11">
        <v>0.67666666666666664</v>
      </c>
      <c r="C11" s="32">
        <v>0.57666666666666666</v>
      </c>
    </row>
    <row r="12" spans="1:9">
      <c r="A12" s="31">
        <v>0.63666666666666671</v>
      </c>
      <c r="B12">
        <v>0.70666666666666667</v>
      </c>
      <c r="C12" s="32">
        <v>0.55833333333333335</v>
      </c>
      <c r="E12" t="s">
        <v>44</v>
      </c>
      <c r="F12" s="12"/>
      <c r="G12" s="12"/>
      <c r="H12" s="12" t="s">
        <v>16</v>
      </c>
      <c r="I12" s="12" t="s">
        <v>17</v>
      </c>
    </row>
    <row r="13" spans="1:9">
      <c r="A13" s="31">
        <v>0.75333333333333341</v>
      </c>
      <c r="B13">
        <v>0.74</v>
      </c>
      <c r="C13" s="32">
        <v>0.91666666666666663</v>
      </c>
      <c r="E13">
        <v>1</v>
      </c>
      <c r="H13">
        <v>1</v>
      </c>
      <c r="I13">
        <v>45</v>
      </c>
    </row>
    <row r="14" spans="1:9">
      <c r="A14" s="31">
        <v>1.0433333333333334</v>
      </c>
      <c r="B14">
        <v>0.84333333333333338</v>
      </c>
      <c r="C14" s="32">
        <v>0.41833333333333333</v>
      </c>
      <c r="E14">
        <v>2</v>
      </c>
      <c r="H14">
        <v>2</v>
      </c>
      <c r="I14">
        <v>25</v>
      </c>
    </row>
    <row r="15" spans="1:9">
      <c r="A15" s="31">
        <v>1.615</v>
      </c>
      <c r="B15">
        <v>0.84333333333333338</v>
      </c>
      <c r="C15" s="32">
        <v>1.2183333333333333</v>
      </c>
      <c r="E15">
        <v>3</v>
      </c>
      <c r="H15">
        <v>3</v>
      </c>
      <c r="I15">
        <v>6</v>
      </c>
    </row>
    <row r="16" spans="1:9">
      <c r="A16" s="31">
        <v>1.2316666666666667</v>
      </c>
      <c r="B16">
        <v>0.8683333333333334</v>
      </c>
      <c r="C16" s="32">
        <v>1.0533333333333332</v>
      </c>
      <c r="E16">
        <v>4</v>
      </c>
      <c r="H16">
        <v>4</v>
      </c>
      <c r="I16">
        <v>0</v>
      </c>
    </row>
    <row r="17" spans="1:9">
      <c r="A17" s="31">
        <v>0.38333333333333336</v>
      </c>
      <c r="B17">
        <v>0.93166666666666664</v>
      </c>
      <c r="C17" s="32">
        <v>0.76666666666666672</v>
      </c>
      <c r="E17">
        <v>5</v>
      </c>
      <c r="H17">
        <v>5</v>
      </c>
      <c r="I17">
        <v>1</v>
      </c>
    </row>
    <row r="18" spans="1:9">
      <c r="A18" s="31">
        <v>0.4966666666666667</v>
      </c>
      <c r="B18">
        <v>0.93666666666666676</v>
      </c>
      <c r="C18" s="32">
        <v>1.165</v>
      </c>
      <c r="E18">
        <v>6</v>
      </c>
      <c r="H18">
        <v>6</v>
      </c>
      <c r="I18">
        <v>0</v>
      </c>
    </row>
    <row r="19" spans="1:9" ht="15.75" thickBot="1">
      <c r="A19" s="31"/>
      <c r="B19">
        <v>0.95166666666666666</v>
      </c>
      <c r="C19" s="32">
        <v>0.89333333333333331</v>
      </c>
      <c r="F19" s="18" t="s">
        <v>21</v>
      </c>
      <c r="G19" s="18">
        <v>1</v>
      </c>
      <c r="H19" s="18" t="s">
        <v>21</v>
      </c>
      <c r="I19" s="18">
        <v>1</v>
      </c>
    </row>
    <row r="20" spans="1:9">
      <c r="A20" s="31"/>
      <c r="B20">
        <v>2.0066666666666699</v>
      </c>
      <c r="C20" s="32">
        <v>0.70166666666666666</v>
      </c>
    </row>
    <row r="21" spans="1:9" ht="15.75" thickBot="1">
      <c r="A21" s="31"/>
      <c r="B21">
        <v>1.0083333333333333</v>
      </c>
      <c r="C21" s="32">
        <v>0.48666666666666664</v>
      </c>
      <c r="E21" t="s">
        <v>44</v>
      </c>
    </row>
    <row r="22" spans="1:9">
      <c r="A22" s="31"/>
      <c r="B22">
        <v>1.0649999999999999</v>
      </c>
      <c r="C22" s="32">
        <v>0.15666666666666668</v>
      </c>
      <c r="E22">
        <v>0.5</v>
      </c>
      <c r="G22" s="12" t="s">
        <v>16</v>
      </c>
      <c r="H22" s="12" t="s">
        <v>17</v>
      </c>
    </row>
    <row r="23" spans="1:9">
      <c r="A23" s="31"/>
      <c r="B23">
        <v>1.19</v>
      </c>
      <c r="C23" s="32">
        <v>0.68500000000000005</v>
      </c>
      <c r="E23">
        <v>1</v>
      </c>
      <c r="G23">
        <v>0.5</v>
      </c>
      <c r="H23">
        <v>10</v>
      </c>
    </row>
    <row r="24" spans="1:9">
      <c r="A24" s="31"/>
      <c r="B24">
        <v>1.1933333333333334</v>
      </c>
      <c r="C24" s="32">
        <v>1.02</v>
      </c>
      <c r="E24">
        <v>1.5</v>
      </c>
      <c r="G24">
        <v>1</v>
      </c>
      <c r="H24">
        <v>35</v>
      </c>
    </row>
    <row r="25" spans="1:9">
      <c r="A25" s="31"/>
      <c r="B25">
        <v>1.2349999999999999</v>
      </c>
      <c r="C25" s="32">
        <v>1.1933333333333334</v>
      </c>
      <c r="E25">
        <v>2</v>
      </c>
      <c r="G25">
        <v>1.5</v>
      </c>
      <c r="H25">
        <v>19</v>
      </c>
    </row>
    <row r="26" spans="1:9">
      <c r="A26" s="31"/>
      <c r="B26">
        <v>2.3266666666666702</v>
      </c>
      <c r="C26" s="32">
        <v>2.0433333333333299</v>
      </c>
      <c r="E26">
        <v>2.5</v>
      </c>
      <c r="G26">
        <v>2</v>
      </c>
      <c r="H26">
        <v>6</v>
      </c>
    </row>
    <row r="27" spans="1:9">
      <c r="A27" s="31"/>
      <c r="B27">
        <v>1.3783333333333334</v>
      </c>
      <c r="C27" s="32">
        <v>1.5066666666666666</v>
      </c>
      <c r="E27">
        <v>3</v>
      </c>
      <c r="G27">
        <v>2.5</v>
      </c>
      <c r="H27">
        <v>5</v>
      </c>
    </row>
    <row r="28" spans="1:9">
      <c r="A28" s="31"/>
      <c r="B28">
        <v>1.44</v>
      </c>
      <c r="C28" s="32">
        <v>2.4300000000000002</v>
      </c>
      <c r="E28">
        <v>3.5</v>
      </c>
      <c r="G28">
        <v>3</v>
      </c>
      <c r="H28">
        <v>1</v>
      </c>
    </row>
    <row r="29" spans="1:9">
      <c r="A29" s="31"/>
      <c r="B29">
        <v>1.6283333333333334</v>
      </c>
      <c r="C29" s="32">
        <v>0.96000000000000008</v>
      </c>
      <c r="E29">
        <v>4</v>
      </c>
      <c r="G29">
        <v>3.5</v>
      </c>
      <c r="H29">
        <v>0</v>
      </c>
    </row>
    <row r="30" spans="1:9">
      <c r="A30" s="31"/>
      <c r="B30">
        <v>1.6400000000000001</v>
      </c>
      <c r="C30" s="32">
        <v>1.0516666666666667</v>
      </c>
      <c r="E30">
        <v>4.5</v>
      </c>
      <c r="G30">
        <v>4</v>
      </c>
      <c r="H30">
        <v>0</v>
      </c>
    </row>
    <row r="31" spans="1:9">
      <c r="A31" s="31"/>
      <c r="B31">
        <v>1.6733333333333333</v>
      </c>
      <c r="C31" s="32">
        <v>0.6166666666666667</v>
      </c>
      <c r="E31">
        <v>5</v>
      </c>
      <c r="G31">
        <v>4.5</v>
      </c>
      <c r="H31">
        <v>0</v>
      </c>
    </row>
    <row r="32" spans="1:9" ht="15.75" thickBot="1">
      <c r="A32" s="33"/>
      <c r="B32" s="18">
        <v>6.1333333333333337</v>
      </c>
      <c r="C32" s="34"/>
      <c r="E32">
        <v>5.5</v>
      </c>
      <c r="G32">
        <v>5</v>
      </c>
      <c r="H32">
        <v>1</v>
      </c>
    </row>
    <row r="33" spans="1:13">
      <c r="E33">
        <v>6</v>
      </c>
      <c r="G33">
        <v>5.5</v>
      </c>
      <c r="H33">
        <v>0</v>
      </c>
    </row>
    <row r="34" spans="1:13">
      <c r="G34">
        <v>6</v>
      </c>
      <c r="H34">
        <v>0</v>
      </c>
    </row>
    <row r="35" spans="1:13" ht="15.75" thickBot="1">
      <c r="A35">
        <f>SUM(A2:C32)</f>
        <v>85.986666666666665</v>
      </c>
      <c r="G35" s="18" t="s">
        <v>21</v>
      </c>
      <c r="H35" s="18">
        <v>1</v>
      </c>
    </row>
    <row r="41" spans="1:13">
      <c r="E41" s="72" t="s">
        <v>45</v>
      </c>
      <c r="F41" s="73"/>
      <c r="G41" s="14">
        <f>AVERAGE(A2:C32)</f>
        <v>1.1023931623931624</v>
      </c>
      <c r="I41" s="16" t="s">
        <v>44</v>
      </c>
      <c r="J41" s="16" t="s">
        <v>46</v>
      </c>
      <c r="K41" s="16" t="s">
        <v>47</v>
      </c>
      <c r="L41" s="16" t="s">
        <v>48</v>
      </c>
      <c r="M41" s="16" t="s">
        <v>26</v>
      </c>
    </row>
    <row r="42" spans="1:13">
      <c r="I42" s="17">
        <v>1</v>
      </c>
      <c r="J42" s="17" cm="1">
        <f t="array" ref="J42:J48">FREQUENCY(A2:C32,I42:I47)</f>
        <v>45</v>
      </c>
      <c r="K42" s="17">
        <f>1-EXP(-F$43*I42)</f>
        <v>0.59631377861777324</v>
      </c>
      <c r="L42" s="17">
        <f>78*K42</f>
        <v>46.512474732186313</v>
      </c>
      <c r="M42" s="17">
        <f>(L42-J42)^2/L42</f>
        <v>4.9182070588023742E-2</v>
      </c>
    </row>
    <row r="43" spans="1:13">
      <c r="E43" s="16" t="s">
        <v>49</v>
      </c>
      <c r="F43" s="16">
        <f>1/G41</f>
        <v>0.90711738253992868</v>
      </c>
      <c r="I43" s="17">
        <v>2</v>
      </c>
      <c r="J43" s="17">
        <v>25</v>
      </c>
      <c r="K43" s="17">
        <f>1-EXP(-F$43*I43)-K42</f>
        <v>0.24072365604836654</v>
      </c>
      <c r="L43" s="17">
        <f t="shared" ref="L43:L47" si="0">78*K43</f>
        <v>18.77644517177259</v>
      </c>
      <c r="M43" s="17">
        <f t="shared" ref="M43:M48" si="1">(L43-J43)^2/L43</f>
        <v>2.0628310814754802</v>
      </c>
    </row>
    <row r="44" spans="1:13">
      <c r="I44" s="17">
        <v>3</v>
      </c>
      <c r="J44" s="17">
        <v>6</v>
      </c>
      <c r="K44" s="17">
        <f>1-EXP(-F$43*I44)-K43-K42</f>
        <v>9.7176823107479993E-2</v>
      </c>
      <c r="L44" s="17">
        <f t="shared" si="0"/>
        <v>7.5797922023834392</v>
      </c>
      <c r="M44" s="17">
        <f>(L44-J44)^2/L44</f>
        <v>0.32926277344736965</v>
      </c>
    </row>
    <row r="45" spans="1:13">
      <c r="E45" s="74" t="s">
        <v>20</v>
      </c>
      <c r="F45" s="73"/>
      <c r="G45" s="17">
        <f>_xlfn.VAR.S(A2:C32)</f>
        <v>0.77311252451252499</v>
      </c>
      <c r="I45" s="17">
        <v>4</v>
      </c>
      <c r="J45" s="17">
        <v>0</v>
      </c>
      <c r="K45" s="17">
        <f>1-EXP(-F$43*I45)-K44-K43-K42</f>
        <v>3.9228944526187526E-2</v>
      </c>
      <c r="L45" s="17">
        <f t="shared" si="0"/>
        <v>3.059857673042627</v>
      </c>
      <c r="M45" s="17">
        <f t="shared" si="1"/>
        <v>3.059857673042627</v>
      </c>
    </row>
    <row r="46" spans="1:13">
      <c r="I46" s="17">
        <v>5</v>
      </c>
      <c r="J46" s="17">
        <v>1</v>
      </c>
      <c r="K46" s="17">
        <f>1-EXP(-F$43*I46)-K45-K44-K43-K42</f>
        <v>1.5836184384589669E-2</v>
      </c>
      <c r="L46" s="17">
        <f t="shared" si="0"/>
        <v>1.2352223819979942</v>
      </c>
      <c r="M46" s="17">
        <f t="shared" si="1"/>
        <v>4.4793204688627589E-2</v>
      </c>
    </row>
    <row r="47" spans="1:13">
      <c r="I47" s="17">
        <v>6</v>
      </c>
      <c r="J47" s="17">
        <v>0</v>
      </c>
      <c r="K47" s="17">
        <f>1-EXP(-F$43*I47)-K46-K45-K44-K43-K42</f>
        <v>6.3928494353272525E-3</v>
      </c>
      <c r="L47" s="17">
        <f t="shared" si="0"/>
        <v>0.49864225595552569</v>
      </c>
      <c r="M47" s="17">
        <f t="shared" si="1"/>
        <v>0.49864225595552569</v>
      </c>
    </row>
    <row r="48" spans="1:13">
      <c r="I48" s="16" t="s">
        <v>27</v>
      </c>
      <c r="J48" s="17">
        <v>1</v>
      </c>
      <c r="K48" s="17">
        <f>1-SUM(K42:K47)</f>
        <v>4.3277638802757812E-3</v>
      </c>
      <c r="L48" s="17">
        <f>78*K48</f>
        <v>0.33756558266151093</v>
      </c>
      <c r="M48" s="17">
        <f t="shared" si="1"/>
        <v>1.2999528974925247</v>
      </c>
    </row>
    <row r="49" spans="9:16">
      <c r="J49">
        <f>SUM(_xlfn.ANCHORARRAY(J42))</f>
        <v>78</v>
      </c>
      <c r="K49">
        <f>SUM(K42:K48)</f>
        <v>1</v>
      </c>
      <c r="L49">
        <f>SUM(L42:L48)</f>
        <v>78.000000000000014</v>
      </c>
      <c r="M49" s="13">
        <f>SUM(M42:M48)</f>
        <v>7.3445219566901789</v>
      </c>
    </row>
    <row r="51" spans="9:16">
      <c r="J51" t="s">
        <v>29</v>
      </c>
      <c r="K51">
        <v>0.05</v>
      </c>
    </row>
    <row r="52" spans="9:16">
      <c r="J52" t="s">
        <v>30</v>
      </c>
      <c r="K52">
        <f>6-1-1</f>
        <v>4</v>
      </c>
    </row>
    <row r="53" spans="9:16">
      <c r="I53" t="s">
        <v>31</v>
      </c>
      <c r="J53" t="s">
        <v>50</v>
      </c>
      <c r="K53" s="26">
        <f>_xlfn.CHISQ.INV.RT(K51,K52)</f>
        <v>9.4877290367811575</v>
      </c>
    </row>
    <row r="56" spans="9:16">
      <c r="J56" t="s">
        <v>33</v>
      </c>
      <c r="K56" t="s">
        <v>34</v>
      </c>
    </row>
    <row r="57" spans="9:16">
      <c r="J57" t="s">
        <v>35</v>
      </c>
      <c r="K57" t="s">
        <v>36</v>
      </c>
    </row>
    <row r="59" spans="9:16">
      <c r="J59" t="s">
        <v>37</v>
      </c>
      <c r="K59" s="13">
        <v>7.3445219566901789</v>
      </c>
      <c r="L59" s="27" t="s">
        <v>38</v>
      </c>
      <c r="M59" s="26">
        <v>9.4877290367811575</v>
      </c>
      <c r="N59" t="s">
        <v>39</v>
      </c>
    </row>
    <row r="61" spans="9:16">
      <c r="J61" s="13" t="s">
        <v>40</v>
      </c>
      <c r="K61" s="13"/>
      <c r="L61" s="13"/>
      <c r="M61" s="13"/>
      <c r="N61" s="13"/>
      <c r="O61" s="13"/>
      <c r="P61" s="13"/>
    </row>
    <row r="62" spans="9:16">
      <c r="J62" s="13" t="s">
        <v>41</v>
      </c>
      <c r="K62" s="13"/>
      <c r="L62" s="13"/>
      <c r="M62" s="13"/>
      <c r="N62" s="13"/>
      <c r="O62" s="13"/>
      <c r="P62" s="13"/>
    </row>
  </sheetData>
  <sortState xmlns:xlrd2="http://schemas.microsoft.com/office/spreadsheetml/2017/richdata2" ref="G23:G34">
    <sortCondition ref="G23"/>
  </sortState>
  <mergeCells count="3">
    <mergeCell ref="B1:C1"/>
    <mergeCell ref="E41:F41"/>
    <mergeCell ref="E45:F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CFE8-D264-484F-8932-C54AAAB6348E}">
  <dimension ref="A1:S50"/>
  <sheetViews>
    <sheetView topLeftCell="E15" workbookViewId="0">
      <selection activeCell="Q37" sqref="Q37"/>
    </sheetView>
  </sheetViews>
  <sheetFormatPr defaultColWidth="11.42578125" defaultRowHeight="15"/>
  <sheetData>
    <row r="1" spans="1:19">
      <c r="A1" t="s">
        <v>51</v>
      </c>
    </row>
    <row r="2" spans="1:19">
      <c r="A2" s="40" t="s">
        <v>52</v>
      </c>
    </row>
    <row r="3" spans="1:19">
      <c r="A3" s="40" t="s">
        <v>53</v>
      </c>
    </row>
    <row r="4" spans="1:19">
      <c r="E4" s="41" t="s">
        <v>53</v>
      </c>
      <c r="F4">
        <v>0.79984429999999995</v>
      </c>
      <c r="G4" t="s">
        <v>54</v>
      </c>
    </row>
    <row r="5" spans="1:19">
      <c r="A5" s="40" t="s">
        <v>55</v>
      </c>
      <c r="C5" t="s">
        <v>56</v>
      </c>
      <c r="E5" s="41" t="s">
        <v>14</v>
      </c>
      <c r="F5">
        <v>3.25692E-2</v>
      </c>
      <c r="G5" t="s">
        <v>54</v>
      </c>
    </row>
    <row r="6" spans="1:19">
      <c r="A6" s="40" t="s">
        <v>14</v>
      </c>
      <c r="C6" t="s">
        <v>54</v>
      </c>
    </row>
    <row r="8" spans="1:19">
      <c r="A8" s="42" t="s">
        <v>57</v>
      </c>
      <c r="E8" s="42" t="s">
        <v>58</v>
      </c>
      <c r="F8">
        <f>+F4/F5</f>
        <v>24.558303550593813</v>
      </c>
    </row>
    <row r="9" spans="1:19">
      <c r="A9" s="40" t="s">
        <v>59</v>
      </c>
      <c r="B9">
        <f>+F4/F5</f>
        <v>24.558303550593813</v>
      </c>
      <c r="E9" s="42" t="s">
        <v>60</v>
      </c>
      <c r="F9">
        <v>0</v>
      </c>
    </row>
    <row r="10" spans="1:19">
      <c r="E10" s="43" t="s">
        <v>61</v>
      </c>
      <c r="F10">
        <f>1/F5</f>
        <v>30.703855176055907</v>
      </c>
    </row>
    <row r="11" spans="1:19">
      <c r="B11" s="21"/>
      <c r="E11" s="42" t="s">
        <v>62</v>
      </c>
      <c r="F11">
        <v>0</v>
      </c>
    </row>
    <row r="12" spans="1:19">
      <c r="B12" s="21"/>
      <c r="E12" s="42"/>
      <c r="K12" s="42"/>
      <c r="L12" s="42"/>
    </row>
    <row r="13" spans="1:19">
      <c r="K13" s="75" t="s">
        <v>63</v>
      </c>
      <c r="L13" s="75"/>
      <c r="M13" s="75"/>
      <c r="N13" s="75"/>
      <c r="O13" s="75"/>
      <c r="P13" s="75"/>
      <c r="Q13" s="75"/>
      <c r="R13" s="75"/>
      <c r="S13" s="75"/>
    </row>
    <row r="14" spans="1:19" ht="15.75" thickBot="1">
      <c r="A14" t="s">
        <v>64</v>
      </c>
      <c r="K14" s="75"/>
      <c r="L14" s="75"/>
      <c r="M14" s="75"/>
      <c r="N14" s="75"/>
      <c r="O14" s="75"/>
      <c r="P14" s="75"/>
      <c r="Q14" s="75"/>
      <c r="R14" s="75"/>
      <c r="S14" s="75"/>
    </row>
    <row r="15" spans="1:19">
      <c r="A15" s="40" t="s">
        <v>52</v>
      </c>
      <c r="E15" s="41" t="s">
        <v>53</v>
      </c>
      <c r="F15">
        <v>0.79984429999999995</v>
      </c>
      <c r="G15" t="s">
        <v>54</v>
      </c>
      <c r="L15" s="80" t="s">
        <v>65</v>
      </c>
      <c r="M15" s="81"/>
      <c r="N15" s="80" t="s">
        <v>66</v>
      </c>
      <c r="O15" s="81"/>
      <c r="P15" s="80" t="s">
        <v>64</v>
      </c>
      <c r="Q15" s="81"/>
      <c r="R15" s="80" t="s">
        <v>67</v>
      </c>
      <c r="S15" s="81"/>
    </row>
    <row r="16" spans="1:19">
      <c r="A16" s="40" t="s">
        <v>53</v>
      </c>
      <c r="E16" s="41" t="s">
        <v>14</v>
      </c>
      <c r="F16">
        <v>0.2270742</v>
      </c>
      <c r="G16" t="s">
        <v>54</v>
      </c>
      <c r="L16" s="31" t="s">
        <v>58</v>
      </c>
      <c r="M16" s="32">
        <v>24.558303550593813</v>
      </c>
      <c r="N16" s="31" t="s">
        <v>58</v>
      </c>
      <c r="O16" s="32"/>
      <c r="P16" s="31" t="s">
        <v>58</v>
      </c>
      <c r="Q16" s="32">
        <v>3.5223917996848604</v>
      </c>
      <c r="R16" s="31" t="s">
        <v>58</v>
      </c>
      <c r="S16" s="32">
        <v>0.88552251303571849</v>
      </c>
    </row>
    <row r="17" spans="1:19">
      <c r="L17" s="31" t="s">
        <v>60</v>
      </c>
      <c r="M17" s="32">
        <v>0</v>
      </c>
      <c r="N17" s="31" t="s">
        <v>60</v>
      </c>
      <c r="O17" s="32"/>
      <c r="P17" s="31" t="s">
        <v>60</v>
      </c>
      <c r="Q17" s="32">
        <v>0</v>
      </c>
      <c r="R17" s="31" t="s">
        <v>60</v>
      </c>
      <c r="S17" s="32">
        <v>3.7796427082403472E-3</v>
      </c>
    </row>
    <row r="18" spans="1:19">
      <c r="A18" s="40" t="s">
        <v>55</v>
      </c>
      <c r="C18" t="s">
        <v>56</v>
      </c>
      <c r="E18" s="42" t="s">
        <v>58</v>
      </c>
      <c r="F18">
        <f>+F15/F16</f>
        <v>3.5223917996848604</v>
      </c>
      <c r="L18" s="31" t="s">
        <v>61</v>
      </c>
      <c r="M18" s="32">
        <v>30.703855176055907</v>
      </c>
      <c r="N18" s="31" t="s">
        <v>61</v>
      </c>
      <c r="O18" s="32"/>
      <c r="P18" s="31" t="s">
        <v>61</v>
      </c>
      <c r="Q18" s="32">
        <v>4.4038468482989259</v>
      </c>
      <c r="R18" s="31" t="s">
        <v>61</v>
      </c>
      <c r="S18" s="32">
        <v>1.1071186142549487</v>
      </c>
    </row>
    <row r="19" spans="1:19" ht="15.75" thickBot="1">
      <c r="A19" s="40" t="s">
        <v>14</v>
      </c>
      <c r="C19" t="s">
        <v>54</v>
      </c>
      <c r="E19" s="42" t="s">
        <v>60</v>
      </c>
      <c r="F19">
        <v>0</v>
      </c>
      <c r="L19" s="33" t="s">
        <v>62</v>
      </c>
      <c r="M19" s="34">
        <v>0</v>
      </c>
      <c r="N19" s="33" t="s">
        <v>62</v>
      </c>
      <c r="O19" s="34"/>
      <c r="P19" s="33" t="s">
        <v>62</v>
      </c>
      <c r="Q19" s="34">
        <v>0</v>
      </c>
      <c r="R19" s="33" t="s">
        <v>62</v>
      </c>
      <c r="S19" s="34">
        <v>4.7254730804987266E-3</v>
      </c>
    </row>
    <row r="20" spans="1:19">
      <c r="E20" s="43" t="s">
        <v>61</v>
      </c>
      <c r="F20">
        <f>1/F16</f>
        <v>4.4038468482989259</v>
      </c>
    </row>
    <row r="21" spans="1:19">
      <c r="A21" s="42" t="s">
        <v>57</v>
      </c>
      <c r="E21" s="42" t="s">
        <v>62</v>
      </c>
      <c r="F21">
        <v>0</v>
      </c>
    </row>
    <row r="22" spans="1:19" ht="15.75" thickBot="1">
      <c r="A22" s="40" t="s">
        <v>59</v>
      </c>
      <c r="B22">
        <f>+F15/F16</f>
        <v>3.5223917996848604</v>
      </c>
      <c r="E22" s="42" t="s">
        <v>7</v>
      </c>
      <c r="F22">
        <f>+F20-F21</f>
        <v>4.4038468482989259</v>
      </c>
      <c r="N22" s="76" t="s">
        <v>68</v>
      </c>
      <c r="O22" s="76"/>
      <c r="P22" s="76"/>
    </row>
    <row r="23" spans="1:19">
      <c r="N23" s="28" t="s">
        <v>58</v>
      </c>
      <c r="O23" s="29">
        <f>+M16+O16+Q16+S16</f>
        <v>28.966217863314391</v>
      </c>
      <c r="P23" s="30" t="s">
        <v>69</v>
      </c>
      <c r="R23" s="82"/>
      <c r="S23" s="82"/>
    </row>
    <row r="24" spans="1:19">
      <c r="N24" s="31" t="s">
        <v>60</v>
      </c>
      <c r="O24">
        <f>+M17+O17+Q17+S17</f>
        <v>3.7796427082403472E-3</v>
      </c>
      <c r="P24" s="32" t="s">
        <v>69</v>
      </c>
    </row>
    <row r="25" spans="1:19">
      <c r="A25" t="s">
        <v>70</v>
      </c>
      <c r="B25" s="56"/>
      <c r="N25" s="31" t="s">
        <v>61</v>
      </c>
      <c r="O25">
        <f>+M18+O18+Q18+S18</f>
        <v>36.214820638609787</v>
      </c>
      <c r="P25" s="32" t="s">
        <v>56</v>
      </c>
    </row>
    <row r="26" spans="1:19" ht="15.75" thickBot="1">
      <c r="N26" s="33" t="s">
        <v>62</v>
      </c>
      <c r="O26" s="18">
        <f>+M19+O19+Q19+S19</f>
        <v>4.7254730804987266E-3</v>
      </c>
      <c r="P26" s="34" t="s">
        <v>56</v>
      </c>
    </row>
    <row r="27" spans="1:19">
      <c r="A27" s="21" t="s">
        <v>71</v>
      </c>
    </row>
    <row r="28" spans="1:19" ht="15.75" thickBot="1">
      <c r="A28" s="56">
        <v>180</v>
      </c>
      <c r="B28" s="56" t="s">
        <v>72</v>
      </c>
      <c r="C28" s="56">
        <v>0.79984429999999995</v>
      </c>
      <c r="D28" s="56" t="s">
        <v>73</v>
      </c>
      <c r="E28" s="56">
        <f>+A28*C28</f>
        <v>143.97197399999999</v>
      </c>
    </row>
    <row r="29" spans="1:19">
      <c r="L29" s="77" t="s">
        <v>65</v>
      </c>
      <c r="M29" s="79"/>
      <c r="N29" s="77" t="s">
        <v>66</v>
      </c>
      <c r="O29" s="79"/>
      <c r="P29" s="77" t="s">
        <v>64</v>
      </c>
      <c r="Q29" s="79"/>
      <c r="R29" s="77" t="s">
        <v>67</v>
      </c>
      <c r="S29" s="79"/>
    </row>
    <row r="30" spans="1:19">
      <c r="L30" s="31" t="s">
        <v>58</v>
      </c>
      <c r="M30" s="32">
        <v>24.558303550593813</v>
      </c>
      <c r="N30" s="31" t="s">
        <v>58</v>
      </c>
      <c r="O30" s="32">
        <v>5.2096863297353552E-2</v>
      </c>
      <c r="P30" s="31" t="s">
        <v>58</v>
      </c>
      <c r="Q30" s="32">
        <v>3.5223917996848604</v>
      </c>
      <c r="R30" s="31" t="s">
        <v>58</v>
      </c>
      <c r="S30" s="32">
        <v>0.88552251303571849</v>
      </c>
    </row>
    <row r="31" spans="1:19">
      <c r="B31" t="s">
        <v>74</v>
      </c>
      <c r="D31">
        <f>+(6/E28)</f>
        <v>4.1674777620261012E-2</v>
      </c>
      <c r="E31">
        <f>100-D31</f>
        <v>99.958325222379742</v>
      </c>
      <c r="L31" s="31" t="s">
        <v>60</v>
      </c>
      <c r="M31" s="32">
        <v>0</v>
      </c>
      <c r="N31" s="31" t="s">
        <v>60</v>
      </c>
      <c r="O31" s="32">
        <v>1.3561220492054014E-3</v>
      </c>
      <c r="P31" s="31" t="s">
        <v>60</v>
      </c>
      <c r="Q31" s="32">
        <v>0</v>
      </c>
      <c r="R31" s="31" t="s">
        <v>60</v>
      </c>
      <c r="S31" s="32">
        <v>3.7796427082403472E-3</v>
      </c>
    </row>
    <row r="32" spans="1:19">
      <c r="C32" s="55" t="s">
        <v>9</v>
      </c>
      <c r="D32">
        <f>+D31*C28</f>
        <v>3.3333333333333333E-2</v>
      </c>
      <c r="E32">
        <f>+E31*C28</f>
        <v>79.951096666666658</v>
      </c>
      <c r="L32" s="31" t="s">
        <v>61</v>
      </c>
      <c r="M32" s="32">
        <v>30.703855176055907</v>
      </c>
      <c r="N32" s="31" t="s">
        <v>61</v>
      </c>
      <c r="O32" s="32">
        <v>1.5629058989206066</v>
      </c>
      <c r="P32" s="31" t="s">
        <v>61</v>
      </c>
      <c r="Q32" s="32">
        <v>4.4038468482989259</v>
      </c>
      <c r="R32" s="31" t="s">
        <v>61</v>
      </c>
      <c r="S32" s="32">
        <v>1.1071186142549487</v>
      </c>
    </row>
    <row r="33" spans="1:19" ht="15.75" thickBot="1">
      <c r="E33">
        <f>+E32+D32</f>
        <v>79.984429999999989</v>
      </c>
      <c r="L33" s="33" t="s">
        <v>62</v>
      </c>
      <c r="M33" s="34">
        <v>0</v>
      </c>
      <c r="N33" s="33" t="s">
        <v>62</v>
      </c>
      <c r="O33" s="34">
        <v>4.0683661476162043E-2</v>
      </c>
      <c r="P33" s="33" t="s">
        <v>62</v>
      </c>
      <c r="Q33" s="34">
        <v>0</v>
      </c>
      <c r="R33" s="33" t="s">
        <v>62</v>
      </c>
      <c r="S33" s="34">
        <v>4.7254730804987266E-3</v>
      </c>
    </row>
    <row r="35" spans="1:19" ht="15.75" thickBot="1"/>
    <row r="36" spans="1:19">
      <c r="A36" s="40"/>
      <c r="C36" s="44"/>
      <c r="N36" s="77" t="s">
        <v>68</v>
      </c>
      <c r="O36" s="78"/>
      <c r="P36" s="79"/>
    </row>
    <row r="37" spans="1:19">
      <c r="N37" s="31" t="s">
        <v>58</v>
      </c>
      <c r="O37">
        <v>29.018314726611745</v>
      </c>
      <c r="P37" s="32" t="s">
        <v>69</v>
      </c>
    </row>
    <row r="38" spans="1:19">
      <c r="A38" s="40"/>
      <c r="B38" s="42"/>
      <c r="C38" s="44"/>
      <c r="N38" s="31" t="s">
        <v>60</v>
      </c>
      <c r="O38">
        <v>5.1357647574457486E-3</v>
      </c>
      <c r="P38" s="32" t="s">
        <v>69</v>
      </c>
    </row>
    <row r="39" spans="1:19">
      <c r="A39" s="41" t="s">
        <v>53</v>
      </c>
      <c r="B39" s="60">
        <f>+D32</f>
        <v>3.3333333333333333E-2</v>
      </c>
      <c r="C39" s="61" t="s">
        <v>54</v>
      </c>
      <c r="N39" s="31" t="s">
        <v>61</v>
      </c>
      <c r="O39">
        <v>37.777726537530391</v>
      </c>
      <c r="P39" s="32" t="s">
        <v>56</v>
      </c>
    </row>
    <row r="40" spans="1:19" ht="15.75" thickBot="1">
      <c r="A40" s="41" t="s">
        <v>14</v>
      </c>
      <c r="B40" s="60">
        <v>0.65693429999999997</v>
      </c>
      <c r="C40" s="61" t="s">
        <v>54</v>
      </c>
      <c r="N40" s="33" t="s">
        <v>62</v>
      </c>
      <c r="O40" s="18">
        <v>4.540913455666077E-2</v>
      </c>
      <c r="P40" s="34" t="s">
        <v>56</v>
      </c>
    </row>
    <row r="41" spans="1:19">
      <c r="A41" s="42" t="s">
        <v>57</v>
      </c>
      <c r="B41" s="42">
        <v>1</v>
      </c>
      <c r="C41" s="44"/>
    </row>
    <row r="42" spans="1:19">
      <c r="A42" s="40" t="s">
        <v>59</v>
      </c>
      <c r="B42" s="42">
        <f>+B39/(B41*B40)</f>
        <v>5.0740741248148154E-2</v>
      </c>
      <c r="C42" s="44"/>
    </row>
    <row r="43" spans="1:19" ht="17.25">
      <c r="A43" s="62" t="s">
        <v>75</v>
      </c>
      <c r="B43">
        <v>0</v>
      </c>
      <c r="C43" s="44" t="s">
        <v>76</v>
      </c>
    </row>
    <row r="44" spans="1:19">
      <c r="A44" s="42"/>
      <c r="B44" s="42"/>
      <c r="C44" s="42"/>
      <c r="D44" s="42"/>
      <c r="E44" s="42"/>
      <c r="F44" s="42"/>
      <c r="G44" s="42"/>
    </row>
    <row r="45" spans="1:19">
      <c r="A45" s="42"/>
      <c r="B45" s="42"/>
      <c r="C45" s="42"/>
      <c r="D45" s="42"/>
      <c r="E45" s="42"/>
      <c r="F45" s="42"/>
      <c r="G45" s="42"/>
    </row>
    <row r="47" spans="1:19">
      <c r="A47" s="56" t="s">
        <v>58</v>
      </c>
      <c r="B47">
        <f>+B48+B42</f>
        <v>5.2096863297353552E-2</v>
      </c>
      <c r="C47">
        <f>+C49*B39</f>
        <v>5.2096863297353559E-2</v>
      </c>
      <c r="D47" t="s">
        <v>69</v>
      </c>
    </row>
    <row r="48" spans="1:19">
      <c r="A48" s="56" t="s">
        <v>60</v>
      </c>
      <c r="B48">
        <f>+((B39^2)*B43+(B42^2))/(2*(1-B42))</f>
        <v>1.3561220492054014E-3</v>
      </c>
      <c r="C48">
        <f>+B47-B42</f>
        <v>1.356122049205398E-3</v>
      </c>
      <c r="D48" t="s">
        <v>69</v>
      </c>
    </row>
    <row r="49" spans="1:4">
      <c r="A49" s="56" t="s">
        <v>61</v>
      </c>
      <c r="B49">
        <f>+B47/B39</f>
        <v>1.5629058989206066</v>
      </c>
      <c r="C49">
        <f>+B50+1/B40</f>
        <v>1.5629058989206068</v>
      </c>
      <c r="D49" t="s">
        <v>56</v>
      </c>
    </row>
    <row r="50" spans="1:4">
      <c r="A50" s="56" t="s">
        <v>62</v>
      </c>
      <c r="B50">
        <f>+B48/B39</f>
        <v>4.0683661476162043E-2</v>
      </c>
      <c r="C50">
        <f>+C49-1/B40</f>
        <v>4.0683661476162092E-2</v>
      </c>
      <c r="D50" t="s">
        <v>56</v>
      </c>
    </row>
  </sheetData>
  <mergeCells count="12">
    <mergeCell ref="K13:S14"/>
    <mergeCell ref="N22:P22"/>
    <mergeCell ref="N36:P36"/>
    <mergeCell ref="L29:M29"/>
    <mergeCell ref="N29:O29"/>
    <mergeCell ref="P29:Q29"/>
    <mergeCell ref="R29:S29"/>
    <mergeCell ref="L15:M15"/>
    <mergeCell ref="N15:O15"/>
    <mergeCell ref="P15:Q15"/>
    <mergeCell ref="R23:S23"/>
    <mergeCell ref="R15:S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4E6B-5D4B-4134-827E-E20D5B8527A6}">
  <dimension ref="A1:DH29"/>
  <sheetViews>
    <sheetView zoomScale="70" zoomScaleNormal="70" workbookViewId="0">
      <selection activeCell="F10" sqref="F10"/>
    </sheetView>
  </sheetViews>
  <sheetFormatPr defaultColWidth="11.42578125" defaultRowHeight="15"/>
  <sheetData>
    <row r="1" spans="1:112">
      <c r="A1" s="53" t="s">
        <v>77</v>
      </c>
    </row>
    <row r="3" spans="1:112">
      <c r="A3" s="41" t="s">
        <v>53</v>
      </c>
      <c r="B3" s="42">
        <v>0.79984429999999995</v>
      </c>
      <c r="C3" t="s">
        <v>54</v>
      </c>
    </row>
    <row r="4" spans="1:112">
      <c r="A4" s="41" t="s">
        <v>14</v>
      </c>
      <c r="B4" s="42">
        <v>0.90711739999999996</v>
      </c>
      <c r="C4" t="s">
        <v>54</v>
      </c>
    </row>
    <row r="5" spans="1:112">
      <c r="A5" s="42" t="s">
        <v>57</v>
      </c>
      <c r="B5" s="42">
        <v>4</v>
      </c>
      <c r="C5" s="42"/>
    </row>
    <row r="6" spans="1:112">
      <c r="A6" s="40" t="s">
        <v>59</v>
      </c>
      <c r="B6" s="42">
        <f>+B3/(B5*B4)</f>
        <v>0.22043571758186978</v>
      </c>
      <c r="C6" s="42"/>
    </row>
    <row r="7" spans="1:112">
      <c r="A7" s="40"/>
      <c r="B7" s="42"/>
      <c r="G7" s="42"/>
      <c r="H7" s="42"/>
    </row>
    <row r="9" spans="1:112">
      <c r="G9" s="42"/>
    </row>
    <row r="10" spans="1:112">
      <c r="G10" s="42"/>
      <c r="H10" s="42"/>
      <c r="I10" s="42"/>
    </row>
    <row r="11" spans="1:112">
      <c r="A11" s="40"/>
      <c r="B11" s="42"/>
      <c r="G11" s="42"/>
      <c r="H11" s="42"/>
      <c r="I11" s="42"/>
    </row>
    <row r="12" spans="1:112">
      <c r="A12" s="40"/>
      <c r="B12" s="42"/>
      <c r="G12" s="42"/>
      <c r="H12" s="42"/>
      <c r="I12" s="42"/>
    </row>
    <row r="15" spans="1:112">
      <c r="A15" s="45" t="s">
        <v>78</v>
      </c>
      <c r="B15" s="45">
        <v>4</v>
      </c>
      <c r="C15" s="41" t="s">
        <v>79</v>
      </c>
      <c r="D15" s="13">
        <f>+$B$3/(B15*$B$4)</f>
        <v>0.22043571758186978</v>
      </c>
    </row>
    <row r="16" spans="1:112" ht="18.75">
      <c r="A16" s="46" t="s">
        <v>80</v>
      </c>
      <c r="B16" s="47">
        <v>0</v>
      </c>
      <c r="C16" s="47">
        <v>1</v>
      </c>
      <c r="D16" s="47">
        <v>2</v>
      </c>
      <c r="E16" s="47">
        <v>3</v>
      </c>
      <c r="F16" s="47">
        <v>4</v>
      </c>
      <c r="G16" s="47">
        <f t="shared" ref="G16:AL16" si="0">+F16+1</f>
        <v>5</v>
      </c>
      <c r="H16" s="47">
        <f t="shared" si="0"/>
        <v>6</v>
      </c>
      <c r="I16" s="47">
        <f t="shared" si="0"/>
        <v>7</v>
      </c>
      <c r="J16" s="47">
        <f t="shared" si="0"/>
        <v>8</v>
      </c>
      <c r="K16" s="47">
        <f t="shared" si="0"/>
        <v>9</v>
      </c>
      <c r="L16" s="47">
        <f t="shared" si="0"/>
        <v>10</v>
      </c>
      <c r="M16" s="47">
        <f t="shared" si="0"/>
        <v>11</v>
      </c>
      <c r="N16" s="47">
        <f t="shared" si="0"/>
        <v>12</v>
      </c>
      <c r="O16" s="47">
        <f t="shared" si="0"/>
        <v>13</v>
      </c>
      <c r="P16" s="47">
        <f t="shared" si="0"/>
        <v>14</v>
      </c>
      <c r="Q16" s="47">
        <f t="shared" si="0"/>
        <v>15</v>
      </c>
      <c r="R16" s="47">
        <f t="shared" si="0"/>
        <v>16</v>
      </c>
      <c r="S16" s="47">
        <f t="shared" si="0"/>
        <v>17</v>
      </c>
      <c r="T16" s="47">
        <f t="shared" si="0"/>
        <v>18</v>
      </c>
      <c r="U16" s="47">
        <f t="shared" si="0"/>
        <v>19</v>
      </c>
      <c r="V16" s="47">
        <f t="shared" si="0"/>
        <v>20</v>
      </c>
      <c r="W16" s="47">
        <f t="shared" si="0"/>
        <v>21</v>
      </c>
      <c r="X16" s="47">
        <f t="shared" si="0"/>
        <v>22</v>
      </c>
      <c r="Y16" s="47">
        <f t="shared" si="0"/>
        <v>23</v>
      </c>
      <c r="Z16" s="47">
        <f t="shared" si="0"/>
        <v>24</v>
      </c>
      <c r="AA16" s="47">
        <f t="shared" si="0"/>
        <v>25</v>
      </c>
      <c r="AB16" s="47">
        <f t="shared" si="0"/>
        <v>26</v>
      </c>
      <c r="AC16" s="47">
        <f t="shared" si="0"/>
        <v>27</v>
      </c>
      <c r="AD16" s="47">
        <f t="shared" si="0"/>
        <v>28</v>
      </c>
      <c r="AE16" s="47">
        <f t="shared" si="0"/>
        <v>29</v>
      </c>
      <c r="AF16" s="47">
        <f t="shared" si="0"/>
        <v>30</v>
      </c>
      <c r="AG16" s="47">
        <f t="shared" si="0"/>
        <v>31</v>
      </c>
      <c r="AH16" s="47">
        <f t="shared" si="0"/>
        <v>32</v>
      </c>
      <c r="AI16" s="47">
        <f t="shared" si="0"/>
        <v>33</v>
      </c>
      <c r="AJ16" s="47">
        <f t="shared" si="0"/>
        <v>34</v>
      </c>
      <c r="AK16" s="47">
        <f t="shared" si="0"/>
        <v>35</v>
      </c>
      <c r="AL16" s="47">
        <f t="shared" si="0"/>
        <v>36</v>
      </c>
      <c r="AM16" s="47">
        <f t="shared" ref="AM16:BR16" si="1">+AL16+1</f>
        <v>37</v>
      </c>
      <c r="AN16" s="47">
        <f t="shared" si="1"/>
        <v>38</v>
      </c>
      <c r="AO16" s="47">
        <f t="shared" si="1"/>
        <v>39</v>
      </c>
      <c r="AP16" s="47">
        <f t="shared" si="1"/>
        <v>40</v>
      </c>
      <c r="AQ16" s="47">
        <f t="shared" si="1"/>
        <v>41</v>
      </c>
      <c r="AR16" s="47">
        <f t="shared" si="1"/>
        <v>42</v>
      </c>
      <c r="AS16" s="47">
        <f t="shared" si="1"/>
        <v>43</v>
      </c>
      <c r="AT16" s="47">
        <f t="shared" si="1"/>
        <v>44</v>
      </c>
      <c r="AU16" s="47">
        <f t="shared" si="1"/>
        <v>45</v>
      </c>
      <c r="AV16" s="47">
        <f t="shared" si="1"/>
        <v>46</v>
      </c>
      <c r="AW16" s="47">
        <f t="shared" si="1"/>
        <v>47</v>
      </c>
      <c r="AX16" s="47">
        <f t="shared" si="1"/>
        <v>48</v>
      </c>
      <c r="AY16" s="47">
        <f t="shared" si="1"/>
        <v>49</v>
      </c>
      <c r="AZ16" s="47">
        <f t="shared" si="1"/>
        <v>50</v>
      </c>
      <c r="BA16" s="47">
        <f t="shared" si="1"/>
        <v>51</v>
      </c>
      <c r="BB16" s="47">
        <f t="shared" si="1"/>
        <v>52</v>
      </c>
      <c r="BC16" s="47">
        <f t="shared" si="1"/>
        <v>53</v>
      </c>
      <c r="BD16" s="47">
        <f t="shared" si="1"/>
        <v>54</v>
      </c>
      <c r="BE16" s="47">
        <f t="shared" si="1"/>
        <v>55</v>
      </c>
      <c r="BF16" s="47">
        <f t="shared" si="1"/>
        <v>56</v>
      </c>
      <c r="BG16" s="47">
        <f t="shared" si="1"/>
        <v>57</v>
      </c>
      <c r="BH16" s="47">
        <f t="shared" si="1"/>
        <v>58</v>
      </c>
      <c r="BI16" s="47">
        <f t="shared" si="1"/>
        <v>59</v>
      </c>
      <c r="BJ16" s="47">
        <f t="shared" si="1"/>
        <v>60</v>
      </c>
      <c r="BK16" s="47">
        <f t="shared" si="1"/>
        <v>61</v>
      </c>
      <c r="BL16" s="47">
        <f t="shared" si="1"/>
        <v>62</v>
      </c>
      <c r="BM16" s="47">
        <f t="shared" si="1"/>
        <v>63</v>
      </c>
      <c r="BN16" s="47">
        <f t="shared" si="1"/>
        <v>64</v>
      </c>
      <c r="BO16" s="47">
        <f t="shared" si="1"/>
        <v>65</v>
      </c>
      <c r="BP16" s="47">
        <f t="shared" si="1"/>
        <v>66</v>
      </c>
      <c r="BQ16" s="47">
        <f t="shared" si="1"/>
        <v>67</v>
      </c>
      <c r="BR16" s="47">
        <f t="shared" si="1"/>
        <v>68</v>
      </c>
      <c r="BS16" s="47">
        <f t="shared" ref="BS16:CX16" si="2">+BR16+1</f>
        <v>69</v>
      </c>
      <c r="BT16" s="47">
        <f t="shared" si="2"/>
        <v>70</v>
      </c>
      <c r="BU16" s="47">
        <f t="shared" si="2"/>
        <v>71</v>
      </c>
      <c r="BV16" s="47">
        <f t="shared" si="2"/>
        <v>72</v>
      </c>
      <c r="BW16" s="47">
        <f t="shared" si="2"/>
        <v>73</v>
      </c>
      <c r="BX16" s="47">
        <f t="shared" si="2"/>
        <v>74</v>
      </c>
      <c r="BY16" s="47">
        <f t="shared" si="2"/>
        <v>75</v>
      </c>
      <c r="BZ16" s="47">
        <f t="shared" si="2"/>
        <v>76</v>
      </c>
      <c r="CA16" s="47">
        <f t="shared" si="2"/>
        <v>77</v>
      </c>
      <c r="CB16" s="47">
        <f t="shared" si="2"/>
        <v>78</v>
      </c>
      <c r="CC16" s="47">
        <f t="shared" si="2"/>
        <v>79</v>
      </c>
      <c r="CD16" s="47">
        <f t="shared" si="2"/>
        <v>80</v>
      </c>
      <c r="CE16" s="47">
        <f t="shared" si="2"/>
        <v>81</v>
      </c>
      <c r="CF16" s="47">
        <f t="shared" si="2"/>
        <v>82</v>
      </c>
      <c r="CG16" s="47">
        <f t="shared" si="2"/>
        <v>83</v>
      </c>
      <c r="CH16" s="47">
        <f t="shared" si="2"/>
        <v>84</v>
      </c>
      <c r="CI16" s="47">
        <f t="shared" si="2"/>
        <v>85</v>
      </c>
      <c r="CJ16" s="47">
        <f t="shared" si="2"/>
        <v>86</v>
      </c>
      <c r="CK16" s="47">
        <f t="shared" si="2"/>
        <v>87</v>
      </c>
      <c r="CL16" s="47">
        <f t="shared" si="2"/>
        <v>88</v>
      </c>
      <c r="CM16" s="47">
        <f t="shared" si="2"/>
        <v>89</v>
      </c>
      <c r="CN16" s="47">
        <f t="shared" si="2"/>
        <v>90</v>
      </c>
      <c r="CO16" s="47">
        <f t="shared" si="2"/>
        <v>91</v>
      </c>
      <c r="CP16" s="47">
        <f t="shared" si="2"/>
        <v>92</v>
      </c>
      <c r="CQ16" s="47">
        <f t="shared" si="2"/>
        <v>93</v>
      </c>
      <c r="CR16" s="47">
        <f t="shared" si="2"/>
        <v>94</v>
      </c>
      <c r="CS16" s="47">
        <f t="shared" si="2"/>
        <v>95</v>
      </c>
      <c r="CT16" s="47">
        <f t="shared" si="2"/>
        <v>96</v>
      </c>
      <c r="CU16" s="47">
        <f t="shared" si="2"/>
        <v>97</v>
      </c>
      <c r="CV16" s="47">
        <f t="shared" si="2"/>
        <v>98</v>
      </c>
      <c r="CW16" s="47">
        <f t="shared" si="2"/>
        <v>99</v>
      </c>
      <c r="CX16" s="47">
        <f t="shared" si="2"/>
        <v>100</v>
      </c>
      <c r="CY16" s="47">
        <f t="shared" ref="CY16:DH16" si="3">+CX16+1</f>
        <v>101</v>
      </c>
      <c r="CZ16" s="47">
        <f t="shared" si="3"/>
        <v>102</v>
      </c>
      <c r="DA16" s="47">
        <f t="shared" si="3"/>
        <v>103</v>
      </c>
      <c r="DB16" s="47">
        <f t="shared" si="3"/>
        <v>104</v>
      </c>
      <c r="DC16" s="47">
        <f t="shared" si="3"/>
        <v>105</v>
      </c>
      <c r="DD16" s="47">
        <f t="shared" si="3"/>
        <v>106</v>
      </c>
      <c r="DE16" s="47">
        <f t="shared" si="3"/>
        <v>107</v>
      </c>
      <c r="DF16" s="47">
        <f t="shared" si="3"/>
        <v>108</v>
      </c>
      <c r="DG16" s="47">
        <f t="shared" si="3"/>
        <v>109</v>
      </c>
      <c r="DH16" s="47">
        <f t="shared" si="3"/>
        <v>110</v>
      </c>
    </row>
    <row r="17" spans="1:112" ht="18.75">
      <c r="A17" s="48" t="s">
        <v>81</v>
      </c>
      <c r="B17" s="42">
        <f t="shared" ref="B17:AG17" si="4">+IF(B16-$B15&lt;=0,0,B16-$B15)</f>
        <v>0</v>
      </c>
      <c r="C17" s="42">
        <f t="shared" si="4"/>
        <v>0</v>
      </c>
      <c r="D17" s="42">
        <f t="shared" si="4"/>
        <v>0</v>
      </c>
      <c r="E17" s="42">
        <f t="shared" si="4"/>
        <v>0</v>
      </c>
      <c r="F17" s="42">
        <f t="shared" si="4"/>
        <v>0</v>
      </c>
      <c r="G17" s="42">
        <f t="shared" si="4"/>
        <v>1</v>
      </c>
      <c r="H17" s="42">
        <f t="shared" si="4"/>
        <v>2</v>
      </c>
      <c r="I17" s="42">
        <f t="shared" si="4"/>
        <v>3</v>
      </c>
      <c r="J17" s="42">
        <f t="shared" si="4"/>
        <v>4</v>
      </c>
      <c r="K17" s="42">
        <f t="shared" si="4"/>
        <v>5</v>
      </c>
      <c r="L17" s="42">
        <f t="shared" si="4"/>
        <v>6</v>
      </c>
      <c r="M17" s="42">
        <f t="shared" si="4"/>
        <v>7</v>
      </c>
      <c r="N17" s="42">
        <f t="shared" si="4"/>
        <v>8</v>
      </c>
      <c r="O17" s="42">
        <f t="shared" si="4"/>
        <v>9</v>
      </c>
      <c r="P17" s="42">
        <f t="shared" si="4"/>
        <v>10</v>
      </c>
      <c r="Q17" s="42">
        <f t="shared" si="4"/>
        <v>11</v>
      </c>
      <c r="R17" s="42">
        <f t="shared" si="4"/>
        <v>12</v>
      </c>
      <c r="S17" s="42">
        <f t="shared" si="4"/>
        <v>13</v>
      </c>
      <c r="T17" s="42">
        <f t="shared" si="4"/>
        <v>14</v>
      </c>
      <c r="U17" s="42">
        <f t="shared" si="4"/>
        <v>15</v>
      </c>
      <c r="V17" s="42">
        <f t="shared" si="4"/>
        <v>16</v>
      </c>
      <c r="W17" s="42">
        <f t="shared" si="4"/>
        <v>17</v>
      </c>
      <c r="X17" s="42">
        <f t="shared" si="4"/>
        <v>18</v>
      </c>
      <c r="Y17" s="42">
        <f t="shared" si="4"/>
        <v>19</v>
      </c>
      <c r="Z17" s="42">
        <f t="shared" si="4"/>
        <v>20</v>
      </c>
      <c r="AA17" s="42">
        <f t="shared" si="4"/>
        <v>21</v>
      </c>
      <c r="AB17" s="42">
        <f t="shared" si="4"/>
        <v>22</v>
      </c>
      <c r="AC17" s="42">
        <f t="shared" si="4"/>
        <v>23</v>
      </c>
      <c r="AD17" s="42">
        <f t="shared" si="4"/>
        <v>24</v>
      </c>
      <c r="AE17" s="42">
        <f t="shared" si="4"/>
        <v>25</v>
      </c>
      <c r="AF17" s="42">
        <f t="shared" si="4"/>
        <v>26</v>
      </c>
      <c r="AG17" s="42">
        <f t="shared" si="4"/>
        <v>27</v>
      </c>
      <c r="AH17" s="42">
        <f t="shared" ref="AH17:BM17" si="5">+IF(AH16-$B15&lt;=0,0,AH16-$B15)</f>
        <v>28</v>
      </c>
      <c r="AI17" s="42">
        <f t="shared" si="5"/>
        <v>29</v>
      </c>
      <c r="AJ17" s="42">
        <f t="shared" si="5"/>
        <v>30</v>
      </c>
      <c r="AK17" s="42">
        <f t="shared" si="5"/>
        <v>31</v>
      </c>
      <c r="AL17" s="42">
        <f t="shared" si="5"/>
        <v>32</v>
      </c>
      <c r="AM17" s="42">
        <f t="shared" si="5"/>
        <v>33</v>
      </c>
      <c r="AN17" s="42">
        <f t="shared" si="5"/>
        <v>34</v>
      </c>
      <c r="AO17" s="42">
        <f t="shared" si="5"/>
        <v>35</v>
      </c>
      <c r="AP17" s="42">
        <f t="shared" si="5"/>
        <v>36</v>
      </c>
      <c r="AQ17" s="42">
        <f t="shared" si="5"/>
        <v>37</v>
      </c>
      <c r="AR17" s="42">
        <f t="shared" si="5"/>
        <v>38</v>
      </c>
      <c r="AS17" s="42">
        <f t="shared" si="5"/>
        <v>39</v>
      </c>
      <c r="AT17" s="42">
        <f t="shared" si="5"/>
        <v>40</v>
      </c>
      <c r="AU17" s="42">
        <f t="shared" si="5"/>
        <v>41</v>
      </c>
      <c r="AV17" s="42">
        <f t="shared" si="5"/>
        <v>42</v>
      </c>
      <c r="AW17" s="42">
        <f t="shared" si="5"/>
        <v>43</v>
      </c>
      <c r="AX17" s="42">
        <f t="shared" si="5"/>
        <v>44</v>
      </c>
      <c r="AY17" s="42">
        <f t="shared" si="5"/>
        <v>45</v>
      </c>
      <c r="AZ17" s="42">
        <f t="shared" si="5"/>
        <v>46</v>
      </c>
      <c r="BA17" s="42">
        <f t="shared" si="5"/>
        <v>47</v>
      </c>
      <c r="BB17" s="42">
        <f t="shared" si="5"/>
        <v>48</v>
      </c>
      <c r="BC17" s="42">
        <f t="shared" si="5"/>
        <v>49</v>
      </c>
      <c r="BD17" s="42">
        <f t="shared" si="5"/>
        <v>50</v>
      </c>
      <c r="BE17" s="42">
        <f t="shared" si="5"/>
        <v>51</v>
      </c>
      <c r="BF17" s="42">
        <f t="shared" si="5"/>
        <v>52</v>
      </c>
      <c r="BG17" s="42">
        <f t="shared" si="5"/>
        <v>53</v>
      </c>
      <c r="BH17" s="42">
        <f t="shared" si="5"/>
        <v>54</v>
      </c>
      <c r="BI17" s="42">
        <f t="shared" si="5"/>
        <v>55</v>
      </c>
      <c r="BJ17" s="42">
        <f t="shared" si="5"/>
        <v>56</v>
      </c>
      <c r="BK17" s="42">
        <f t="shared" si="5"/>
        <v>57</v>
      </c>
      <c r="BL17" s="42">
        <f t="shared" si="5"/>
        <v>58</v>
      </c>
      <c r="BM17" s="42">
        <f t="shared" si="5"/>
        <v>59</v>
      </c>
      <c r="BN17" s="42">
        <f t="shared" ref="BN17:CS17" si="6">+IF(BN16-$B15&lt;=0,0,BN16-$B15)</f>
        <v>60</v>
      </c>
      <c r="BO17" s="42">
        <f t="shared" si="6"/>
        <v>61</v>
      </c>
      <c r="BP17" s="42">
        <f t="shared" si="6"/>
        <v>62</v>
      </c>
      <c r="BQ17" s="42">
        <f t="shared" si="6"/>
        <v>63</v>
      </c>
      <c r="BR17" s="42">
        <f t="shared" si="6"/>
        <v>64</v>
      </c>
      <c r="BS17" s="42">
        <f t="shared" si="6"/>
        <v>65</v>
      </c>
      <c r="BT17" s="42">
        <f t="shared" si="6"/>
        <v>66</v>
      </c>
      <c r="BU17" s="42">
        <f t="shared" si="6"/>
        <v>67</v>
      </c>
      <c r="BV17" s="42">
        <f t="shared" si="6"/>
        <v>68</v>
      </c>
      <c r="BW17" s="42">
        <f t="shared" si="6"/>
        <v>69</v>
      </c>
      <c r="BX17" s="42">
        <f t="shared" si="6"/>
        <v>70</v>
      </c>
      <c r="BY17" s="42">
        <f t="shared" si="6"/>
        <v>71</v>
      </c>
      <c r="BZ17" s="42">
        <f t="shared" si="6"/>
        <v>72</v>
      </c>
      <c r="CA17" s="42">
        <f t="shared" si="6"/>
        <v>73</v>
      </c>
      <c r="CB17" s="42">
        <f t="shared" si="6"/>
        <v>74</v>
      </c>
      <c r="CC17" s="42">
        <f t="shared" si="6"/>
        <v>75</v>
      </c>
      <c r="CD17" s="42">
        <f t="shared" si="6"/>
        <v>76</v>
      </c>
      <c r="CE17" s="42">
        <f t="shared" si="6"/>
        <v>77</v>
      </c>
      <c r="CF17" s="42">
        <f t="shared" si="6"/>
        <v>78</v>
      </c>
      <c r="CG17" s="42">
        <f t="shared" si="6"/>
        <v>79</v>
      </c>
      <c r="CH17" s="42">
        <f t="shared" si="6"/>
        <v>80</v>
      </c>
      <c r="CI17" s="42">
        <f t="shared" si="6"/>
        <v>81</v>
      </c>
      <c r="CJ17" s="42">
        <f t="shared" si="6"/>
        <v>82</v>
      </c>
      <c r="CK17" s="42">
        <f t="shared" si="6"/>
        <v>83</v>
      </c>
      <c r="CL17" s="42">
        <f t="shared" si="6"/>
        <v>84</v>
      </c>
      <c r="CM17" s="42">
        <f t="shared" si="6"/>
        <v>85</v>
      </c>
      <c r="CN17" s="42">
        <f t="shared" si="6"/>
        <v>86</v>
      </c>
      <c r="CO17" s="42">
        <f t="shared" si="6"/>
        <v>87</v>
      </c>
      <c r="CP17" s="42">
        <f t="shared" si="6"/>
        <v>88</v>
      </c>
      <c r="CQ17" s="42">
        <f t="shared" si="6"/>
        <v>89</v>
      </c>
      <c r="CR17" s="42">
        <f t="shared" si="6"/>
        <v>90</v>
      </c>
      <c r="CS17" s="42">
        <f t="shared" si="6"/>
        <v>91</v>
      </c>
      <c r="CT17" s="42">
        <f t="shared" ref="CT17:DH17" si="7">+IF(CT16-$B15&lt;=0,0,CT16-$B15)</f>
        <v>92</v>
      </c>
      <c r="CU17" s="42">
        <f t="shared" si="7"/>
        <v>93</v>
      </c>
      <c r="CV17" s="42">
        <f t="shared" si="7"/>
        <v>94</v>
      </c>
      <c r="CW17" s="42">
        <f t="shared" si="7"/>
        <v>95</v>
      </c>
      <c r="CX17" s="42">
        <f t="shared" si="7"/>
        <v>96</v>
      </c>
      <c r="CY17" s="42">
        <f t="shared" si="7"/>
        <v>97</v>
      </c>
      <c r="CZ17" s="42">
        <f t="shared" si="7"/>
        <v>98</v>
      </c>
      <c r="DA17" s="42">
        <f t="shared" si="7"/>
        <v>99</v>
      </c>
      <c r="DB17" s="42">
        <f t="shared" si="7"/>
        <v>100</v>
      </c>
      <c r="DC17" s="42">
        <f t="shared" si="7"/>
        <v>101</v>
      </c>
      <c r="DD17" s="42">
        <f t="shared" si="7"/>
        <v>102</v>
      </c>
      <c r="DE17" s="42">
        <f t="shared" si="7"/>
        <v>103</v>
      </c>
      <c r="DF17" s="42">
        <f t="shared" si="7"/>
        <v>104</v>
      </c>
      <c r="DG17" s="42">
        <f t="shared" si="7"/>
        <v>105</v>
      </c>
      <c r="DH17" s="42">
        <f t="shared" si="7"/>
        <v>106</v>
      </c>
    </row>
    <row r="18" spans="1:112" ht="18.75">
      <c r="A18" s="48" t="s">
        <v>82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</row>
    <row r="19" spans="1:112" ht="18.75">
      <c r="A19" s="50" t="s">
        <v>83</v>
      </c>
      <c r="B19" s="42">
        <f t="shared" ref="B19:AG19" si="8">+$B3</f>
        <v>0.79984429999999995</v>
      </c>
      <c r="C19" s="42">
        <f t="shared" si="8"/>
        <v>0.79984429999999995</v>
      </c>
      <c r="D19" s="42">
        <f t="shared" si="8"/>
        <v>0.79984429999999995</v>
      </c>
      <c r="E19" s="42">
        <f t="shared" si="8"/>
        <v>0.79984429999999995</v>
      </c>
      <c r="F19" s="42">
        <f t="shared" si="8"/>
        <v>0.79984429999999995</v>
      </c>
      <c r="G19" s="42">
        <f t="shared" si="8"/>
        <v>0.79984429999999995</v>
      </c>
      <c r="H19" s="42">
        <f t="shared" si="8"/>
        <v>0.79984429999999995</v>
      </c>
      <c r="I19" s="42">
        <f t="shared" si="8"/>
        <v>0.79984429999999995</v>
      </c>
      <c r="J19" s="42">
        <f t="shared" si="8"/>
        <v>0.79984429999999995</v>
      </c>
      <c r="K19" s="42">
        <f t="shared" si="8"/>
        <v>0.79984429999999995</v>
      </c>
      <c r="L19" s="42">
        <f t="shared" si="8"/>
        <v>0.79984429999999995</v>
      </c>
      <c r="M19" s="42">
        <f t="shared" si="8"/>
        <v>0.79984429999999995</v>
      </c>
      <c r="N19" s="42">
        <f t="shared" si="8"/>
        <v>0.79984429999999995</v>
      </c>
      <c r="O19" s="42">
        <f t="shared" si="8"/>
        <v>0.79984429999999995</v>
      </c>
      <c r="P19" s="42">
        <f t="shared" si="8"/>
        <v>0.79984429999999995</v>
      </c>
      <c r="Q19" s="42">
        <f t="shared" si="8"/>
        <v>0.79984429999999995</v>
      </c>
      <c r="R19" s="42">
        <f t="shared" si="8"/>
        <v>0.79984429999999995</v>
      </c>
      <c r="S19" s="42">
        <f t="shared" si="8"/>
        <v>0.79984429999999995</v>
      </c>
      <c r="T19" s="42">
        <f t="shared" si="8"/>
        <v>0.79984429999999995</v>
      </c>
      <c r="U19" s="42">
        <f t="shared" si="8"/>
        <v>0.79984429999999995</v>
      </c>
      <c r="V19" s="42">
        <f t="shared" si="8"/>
        <v>0.79984429999999995</v>
      </c>
      <c r="W19" s="42">
        <f t="shared" si="8"/>
        <v>0.79984429999999995</v>
      </c>
      <c r="X19" s="42">
        <f t="shared" si="8"/>
        <v>0.79984429999999995</v>
      </c>
      <c r="Y19" s="42">
        <f t="shared" si="8"/>
        <v>0.79984429999999995</v>
      </c>
      <c r="Z19" s="42">
        <f t="shared" si="8"/>
        <v>0.79984429999999995</v>
      </c>
      <c r="AA19" s="42">
        <f t="shared" si="8"/>
        <v>0.79984429999999995</v>
      </c>
      <c r="AB19" s="42">
        <f t="shared" si="8"/>
        <v>0.79984429999999995</v>
      </c>
      <c r="AC19" s="42">
        <f t="shared" si="8"/>
        <v>0.79984429999999995</v>
      </c>
      <c r="AD19" s="42">
        <f t="shared" si="8"/>
        <v>0.79984429999999995</v>
      </c>
      <c r="AE19" s="42">
        <f t="shared" si="8"/>
        <v>0.79984429999999995</v>
      </c>
      <c r="AF19" s="42">
        <f t="shared" si="8"/>
        <v>0.79984429999999995</v>
      </c>
      <c r="AG19" s="42">
        <f t="shared" si="8"/>
        <v>0.79984429999999995</v>
      </c>
      <c r="AH19" s="42">
        <f t="shared" ref="AH19:BM19" si="9">+$B3</f>
        <v>0.79984429999999995</v>
      </c>
      <c r="AI19" s="42">
        <f t="shared" si="9"/>
        <v>0.79984429999999995</v>
      </c>
      <c r="AJ19" s="42">
        <f t="shared" si="9"/>
        <v>0.79984429999999995</v>
      </c>
      <c r="AK19" s="42">
        <f t="shared" si="9"/>
        <v>0.79984429999999995</v>
      </c>
      <c r="AL19" s="42">
        <f t="shared" si="9"/>
        <v>0.79984429999999995</v>
      </c>
      <c r="AM19" s="42">
        <f t="shared" si="9"/>
        <v>0.79984429999999995</v>
      </c>
      <c r="AN19" s="42">
        <f t="shared" si="9"/>
        <v>0.79984429999999995</v>
      </c>
      <c r="AO19" s="42">
        <f t="shared" si="9"/>
        <v>0.79984429999999995</v>
      </c>
      <c r="AP19" s="42">
        <f t="shared" si="9"/>
        <v>0.79984429999999995</v>
      </c>
      <c r="AQ19" s="42">
        <f t="shared" si="9"/>
        <v>0.79984429999999995</v>
      </c>
      <c r="AR19" s="42">
        <f t="shared" si="9"/>
        <v>0.79984429999999995</v>
      </c>
      <c r="AS19" s="42">
        <f t="shared" si="9"/>
        <v>0.79984429999999995</v>
      </c>
      <c r="AT19" s="42">
        <f t="shared" si="9"/>
        <v>0.79984429999999995</v>
      </c>
      <c r="AU19" s="42">
        <f t="shared" si="9"/>
        <v>0.79984429999999995</v>
      </c>
      <c r="AV19" s="42">
        <f t="shared" si="9"/>
        <v>0.79984429999999995</v>
      </c>
      <c r="AW19" s="42">
        <f t="shared" si="9"/>
        <v>0.79984429999999995</v>
      </c>
      <c r="AX19" s="42">
        <f t="shared" si="9"/>
        <v>0.79984429999999995</v>
      </c>
      <c r="AY19" s="42">
        <f t="shared" si="9"/>
        <v>0.79984429999999995</v>
      </c>
      <c r="AZ19" s="42">
        <f t="shared" si="9"/>
        <v>0.79984429999999995</v>
      </c>
      <c r="BA19" s="42">
        <f t="shared" si="9"/>
        <v>0.79984429999999995</v>
      </c>
      <c r="BB19" s="42">
        <f t="shared" si="9"/>
        <v>0.79984429999999995</v>
      </c>
      <c r="BC19" s="42">
        <f t="shared" si="9"/>
        <v>0.79984429999999995</v>
      </c>
      <c r="BD19" s="42">
        <f t="shared" si="9"/>
        <v>0.79984429999999995</v>
      </c>
      <c r="BE19" s="42">
        <f t="shared" si="9"/>
        <v>0.79984429999999995</v>
      </c>
      <c r="BF19" s="42">
        <f t="shared" si="9"/>
        <v>0.79984429999999995</v>
      </c>
      <c r="BG19" s="42">
        <f t="shared" si="9"/>
        <v>0.79984429999999995</v>
      </c>
      <c r="BH19" s="42">
        <f t="shared" si="9"/>
        <v>0.79984429999999995</v>
      </c>
      <c r="BI19" s="42">
        <f t="shared" si="9"/>
        <v>0.79984429999999995</v>
      </c>
      <c r="BJ19" s="42">
        <f t="shared" si="9"/>
        <v>0.79984429999999995</v>
      </c>
      <c r="BK19" s="42">
        <f t="shared" si="9"/>
        <v>0.79984429999999995</v>
      </c>
      <c r="BL19" s="42">
        <f t="shared" si="9"/>
        <v>0.79984429999999995</v>
      </c>
      <c r="BM19" s="42">
        <f t="shared" si="9"/>
        <v>0.79984429999999995</v>
      </c>
      <c r="BN19" s="42">
        <f t="shared" ref="BN19:CS19" si="10">+$B3</f>
        <v>0.79984429999999995</v>
      </c>
      <c r="BO19" s="42">
        <f t="shared" si="10"/>
        <v>0.79984429999999995</v>
      </c>
      <c r="BP19" s="42">
        <f t="shared" si="10"/>
        <v>0.79984429999999995</v>
      </c>
      <c r="BQ19" s="42">
        <f t="shared" si="10"/>
        <v>0.79984429999999995</v>
      </c>
      <c r="BR19" s="42">
        <f t="shared" si="10"/>
        <v>0.79984429999999995</v>
      </c>
      <c r="BS19" s="42">
        <f t="shared" si="10"/>
        <v>0.79984429999999995</v>
      </c>
      <c r="BT19" s="42">
        <f t="shared" si="10"/>
        <v>0.79984429999999995</v>
      </c>
      <c r="BU19" s="42">
        <f t="shared" si="10"/>
        <v>0.79984429999999995</v>
      </c>
      <c r="BV19" s="42">
        <f t="shared" si="10"/>
        <v>0.79984429999999995</v>
      </c>
      <c r="BW19" s="42">
        <f t="shared" si="10"/>
        <v>0.79984429999999995</v>
      </c>
      <c r="BX19" s="42">
        <f t="shared" si="10"/>
        <v>0.79984429999999995</v>
      </c>
      <c r="BY19" s="42">
        <f t="shared" si="10"/>
        <v>0.79984429999999995</v>
      </c>
      <c r="BZ19" s="42">
        <f t="shared" si="10"/>
        <v>0.79984429999999995</v>
      </c>
      <c r="CA19" s="42">
        <f t="shared" si="10"/>
        <v>0.79984429999999995</v>
      </c>
      <c r="CB19" s="42">
        <f t="shared" si="10"/>
        <v>0.79984429999999995</v>
      </c>
      <c r="CC19" s="42">
        <f t="shared" si="10"/>
        <v>0.79984429999999995</v>
      </c>
      <c r="CD19" s="42">
        <f t="shared" si="10"/>
        <v>0.79984429999999995</v>
      </c>
      <c r="CE19" s="42">
        <f t="shared" si="10"/>
        <v>0.79984429999999995</v>
      </c>
      <c r="CF19" s="42">
        <f t="shared" si="10"/>
        <v>0.79984429999999995</v>
      </c>
      <c r="CG19" s="42">
        <f t="shared" si="10"/>
        <v>0.79984429999999995</v>
      </c>
      <c r="CH19" s="42">
        <f t="shared" si="10"/>
        <v>0.79984429999999995</v>
      </c>
      <c r="CI19" s="42">
        <f t="shared" si="10"/>
        <v>0.79984429999999995</v>
      </c>
      <c r="CJ19" s="42">
        <f t="shared" si="10"/>
        <v>0.79984429999999995</v>
      </c>
      <c r="CK19" s="42">
        <f t="shared" si="10"/>
        <v>0.79984429999999995</v>
      </c>
      <c r="CL19" s="42">
        <f t="shared" si="10"/>
        <v>0.79984429999999995</v>
      </c>
      <c r="CM19" s="42">
        <f t="shared" si="10"/>
        <v>0.79984429999999995</v>
      </c>
      <c r="CN19" s="42">
        <f t="shared" si="10"/>
        <v>0.79984429999999995</v>
      </c>
      <c r="CO19" s="42">
        <f t="shared" si="10"/>
        <v>0.79984429999999995</v>
      </c>
      <c r="CP19" s="42">
        <f t="shared" si="10"/>
        <v>0.79984429999999995</v>
      </c>
      <c r="CQ19" s="42">
        <f t="shared" si="10"/>
        <v>0.79984429999999995</v>
      </c>
      <c r="CR19" s="42">
        <f t="shared" si="10"/>
        <v>0.79984429999999995</v>
      </c>
      <c r="CS19" s="42">
        <f t="shared" si="10"/>
        <v>0.79984429999999995</v>
      </c>
      <c r="CT19" s="42">
        <f t="shared" ref="CT19:DH19" si="11">+$B3</f>
        <v>0.79984429999999995</v>
      </c>
      <c r="CU19" s="42">
        <f t="shared" si="11"/>
        <v>0.79984429999999995</v>
      </c>
      <c r="CV19" s="42">
        <f t="shared" si="11"/>
        <v>0.79984429999999995</v>
      </c>
      <c r="CW19" s="42">
        <f t="shared" si="11"/>
        <v>0.79984429999999995</v>
      </c>
      <c r="CX19" s="42">
        <f t="shared" si="11"/>
        <v>0.79984429999999995</v>
      </c>
      <c r="CY19" s="42">
        <f t="shared" si="11"/>
        <v>0.79984429999999995</v>
      </c>
      <c r="CZ19" s="42">
        <f t="shared" si="11"/>
        <v>0.79984429999999995</v>
      </c>
      <c r="DA19" s="42">
        <f t="shared" si="11"/>
        <v>0.79984429999999995</v>
      </c>
      <c r="DB19" s="42">
        <f t="shared" si="11"/>
        <v>0.79984429999999995</v>
      </c>
      <c r="DC19" s="42">
        <f t="shared" si="11"/>
        <v>0.79984429999999995</v>
      </c>
      <c r="DD19" s="42">
        <f t="shared" si="11"/>
        <v>0.79984429999999995</v>
      </c>
      <c r="DE19" s="42">
        <f t="shared" si="11"/>
        <v>0.79984429999999995</v>
      </c>
      <c r="DF19" s="42">
        <f t="shared" si="11"/>
        <v>0.79984429999999995</v>
      </c>
      <c r="DG19" s="42">
        <f t="shared" si="11"/>
        <v>0.79984429999999995</v>
      </c>
      <c r="DH19" s="42">
        <f t="shared" si="11"/>
        <v>0.79984429999999995</v>
      </c>
    </row>
    <row r="20" spans="1:112" ht="18.75">
      <c r="A20" s="48" t="s">
        <v>84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</row>
    <row r="21" spans="1:112" ht="18.75">
      <c r="A21" s="50" t="s">
        <v>85</v>
      </c>
      <c r="B21" s="42" cm="1">
        <f t="array" ref="B21">+_xlfn.IFS(B16=0,0,B16-$B15&lt;0,B16*$B4,B16&gt;=$B15,$B15*$B4)</f>
        <v>0</v>
      </c>
      <c r="C21" s="42" cm="1">
        <f t="array" ref="C21">+_xlfn.IFS(C16=0,0,C16-$B15&lt;0,C16*$B4,C16&gt;=$B15,$B15*$B4)</f>
        <v>0.90711739999999996</v>
      </c>
      <c r="D21" s="42" cm="1">
        <f t="array" ref="D21">+_xlfn.IFS(D16=0,0,D16-$B15&lt;0,D16*$B4,D16&gt;=$B15,$B15*$B4)</f>
        <v>1.8142347999999999</v>
      </c>
      <c r="E21" s="42" cm="1">
        <f t="array" ref="E21">+_xlfn.IFS(E16=0,0,E16-$B15&lt;0,E16*$B4,E16&gt;=$B15,$B15*$B4)</f>
        <v>2.7213522000000001</v>
      </c>
      <c r="F21" s="42" cm="1">
        <f t="array" ref="F21">+_xlfn.IFS(F16=0,0,F16-$B15&lt;0,F16*$B4,F16&gt;=$B15,$B15*$B4)</f>
        <v>3.6284695999999999</v>
      </c>
      <c r="G21" s="42" cm="1">
        <f t="array" ref="G21">+_xlfn.IFS(G16=0,0,G16-$B15&lt;0,G16*$B4,G16&gt;=$B15,$B15*$B4)</f>
        <v>3.6284695999999999</v>
      </c>
      <c r="H21" s="42" cm="1">
        <f t="array" ref="H21">+_xlfn.IFS(H16=0,0,H16-$B15&lt;0,H16*$B4,H16&gt;=$B15,$B15*$B4)</f>
        <v>3.6284695999999999</v>
      </c>
      <c r="I21" s="42" cm="1">
        <f t="array" ref="I21">+_xlfn.IFS(I16=0,0,I16-$B15&lt;0,I16*$B4,I16&gt;=$B15,$B15*$B4)</f>
        <v>3.6284695999999999</v>
      </c>
      <c r="J21" s="42" cm="1">
        <f t="array" ref="J21">+_xlfn.IFS(J16=0,0,J16-$B15&lt;0,J16*$B4,J16&gt;=$B15,$B15*$B4)</f>
        <v>3.6284695999999999</v>
      </c>
      <c r="K21" s="42" cm="1">
        <f t="array" ref="K21">+_xlfn.IFS(K16=0,0,K16-$B15&lt;0,K16*$B4,K16&gt;=$B15,$B15*$B4)</f>
        <v>3.6284695999999999</v>
      </c>
      <c r="L21" s="42" cm="1">
        <f t="array" ref="L21">+_xlfn.IFS(L16=0,0,L16-$B15&lt;0,L16*$B4,L16&gt;=$B15,$B15*$B4)</f>
        <v>3.6284695999999999</v>
      </c>
      <c r="M21" s="42" cm="1">
        <f t="array" ref="M21">+_xlfn.IFS(M16=0,0,M16-$B15&lt;0,M16*$B4,M16&gt;=$B15,$B15*$B4)</f>
        <v>3.6284695999999999</v>
      </c>
      <c r="N21" s="42" cm="1">
        <f t="array" ref="N21">+_xlfn.IFS(N16=0,0,N16-$B15&lt;0,N16*$B4,N16&gt;=$B15,$B15*$B4)</f>
        <v>3.6284695999999999</v>
      </c>
      <c r="O21" s="42" cm="1">
        <f t="array" ref="O21">+_xlfn.IFS(O16=0,0,O16-$B15&lt;0,O16*$B4,O16&gt;=$B15,$B15*$B4)</f>
        <v>3.6284695999999999</v>
      </c>
      <c r="P21" s="42" cm="1">
        <f t="array" ref="P21">+_xlfn.IFS(P16=0,0,P16-$B15&lt;0,P16*$B4,P16&gt;=$B15,$B15*$B4)</f>
        <v>3.6284695999999999</v>
      </c>
      <c r="Q21" s="42" cm="1">
        <f t="array" ref="Q21">+_xlfn.IFS(Q16=0,0,Q16-$B15&lt;0,Q16*$B4,Q16&gt;=$B15,$B15*$B4)</f>
        <v>3.6284695999999999</v>
      </c>
      <c r="R21" s="42" cm="1">
        <f t="array" ref="R21">+_xlfn.IFS(R16=0,0,R16-$B15&lt;0,R16*$B4,R16&gt;=$B15,$B15*$B4)</f>
        <v>3.6284695999999999</v>
      </c>
      <c r="S21" s="42" cm="1">
        <f t="array" ref="S21">+_xlfn.IFS(S16=0,0,S16-$B15&lt;0,S16*$B4,S16&gt;=$B15,$B15*$B4)</f>
        <v>3.6284695999999999</v>
      </c>
      <c r="T21" s="42" cm="1">
        <f t="array" ref="T21">+_xlfn.IFS(T16=0,0,T16-$B15&lt;0,T16*$B4,T16&gt;=$B15,$B15*$B4)</f>
        <v>3.6284695999999999</v>
      </c>
      <c r="U21" s="42" cm="1">
        <f t="array" ref="U21">+_xlfn.IFS(U16=0,0,U16-$B15&lt;0,U16*$B4,U16&gt;=$B15,$B15*$B4)</f>
        <v>3.6284695999999999</v>
      </c>
      <c r="V21" s="42" cm="1">
        <f t="array" ref="V21">+_xlfn.IFS(V16=0,0,V16-$B15&lt;0,V16*$B4,V16&gt;=$B15,$B15*$B4)</f>
        <v>3.6284695999999999</v>
      </c>
      <c r="W21" s="42" cm="1">
        <f t="array" ref="W21">+_xlfn.IFS(W16=0,0,W16-$B15&lt;0,W16*$B4,W16&gt;=$B15,$B15*$B4)</f>
        <v>3.6284695999999999</v>
      </c>
      <c r="X21" s="42" cm="1">
        <f t="array" ref="X21">+_xlfn.IFS(X16=0,0,X16-$B15&lt;0,X16*$B4,X16&gt;=$B15,$B15*$B4)</f>
        <v>3.6284695999999999</v>
      </c>
      <c r="Y21" s="42" cm="1">
        <f t="array" ref="Y21">+_xlfn.IFS(Y16=0,0,Y16-$B15&lt;0,Y16*$B4,Y16&gt;=$B15,$B15*$B4)</f>
        <v>3.6284695999999999</v>
      </c>
      <c r="Z21" s="42" cm="1">
        <f t="array" ref="Z21">+_xlfn.IFS(Z16=0,0,Z16-$B15&lt;0,Z16*$B4,Z16&gt;=$B15,$B15*$B4)</f>
        <v>3.6284695999999999</v>
      </c>
      <c r="AA21" s="42" cm="1">
        <f t="array" ref="AA21">+_xlfn.IFS(AA16=0,0,AA16-$B15&lt;0,AA16*$B4,AA16&gt;=$B15,$B15*$B4)</f>
        <v>3.6284695999999999</v>
      </c>
      <c r="AB21" s="42" cm="1">
        <f t="array" ref="AB21">+_xlfn.IFS(AB16=0,0,AB16-$B15&lt;0,AB16*$B4,AB16&gt;=$B15,$B15*$B4)</f>
        <v>3.6284695999999999</v>
      </c>
      <c r="AC21" s="42" cm="1">
        <f t="array" ref="AC21">+_xlfn.IFS(AC16=0,0,AC16-$B15&lt;0,AC16*$B4,AC16&gt;=$B15,$B15*$B4)</f>
        <v>3.6284695999999999</v>
      </c>
      <c r="AD21" s="42" cm="1">
        <f t="array" ref="AD21">+_xlfn.IFS(AD16=0,0,AD16-$B15&lt;0,AD16*$B4,AD16&gt;=$B15,$B15*$B4)</f>
        <v>3.6284695999999999</v>
      </c>
      <c r="AE21" s="42" cm="1">
        <f t="array" ref="AE21">+_xlfn.IFS(AE16=0,0,AE16-$B15&lt;0,AE16*$B4,AE16&gt;=$B15,$B15*$B4)</f>
        <v>3.6284695999999999</v>
      </c>
      <c r="AF21" s="42" cm="1">
        <f t="array" ref="AF21">+_xlfn.IFS(AF16=0,0,AF16-$B15&lt;0,AF16*$B4,AF16&gt;=$B15,$B15*$B4)</f>
        <v>3.6284695999999999</v>
      </c>
      <c r="AG21" s="42" cm="1">
        <f t="array" ref="AG21">+_xlfn.IFS(AG16=0,0,AG16-$B15&lt;0,AG16*$B4,AG16&gt;=$B15,$B15*$B4)</f>
        <v>3.6284695999999999</v>
      </c>
      <c r="AH21" s="42" cm="1">
        <f t="array" ref="AH21">+_xlfn.IFS(AH16=0,0,AH16-$B15&lt;0,AH16*$B4,AH16&gt;=$B15,$B15*$B4)</f>
        <v>3.6284695999999999</v>
      </c>
      <c r="AI21" s="42" cm="1">
        <f t="array" ref="AI21">+_xlfn.IFS(AI16=0,0,AI16-$B15&lt;0,AI16*$B4,AI16&gt;=$B15,$B15*$B4)</f>
        <v>3.6284695999999999</v>
      </c>
      <c r="AJ21" s="42" cm="1">
        <f t="array" ref="AJ21">+_xlfn.IFS(AJ16=0,0,AJ16-$B15&lt;0,AJ16*$B4,AJ16&gt;=$B15,$B15*$B4)</f>
        <v>3.6284695999999999</v>
      </c>
      <c r="AK21" s="42" cm="1">
        <f t="array" ref="AK21">+_xlfn.IFS(AK16=0,0,AK16-$B15&lt;0,AK16*$B4,AK16&gt;=$B15,$B15*$B4)</f>
        <v>3.6284695999999999</v>
      </c>
      <c r="AL21" s="42" cm="1">
        <f t="array" ref="AL21">+_xlfn.IFS(AL16=0,0,AL16-$B15&lt;0,AL16*$B4,AL16&gt;=$B15,$B15*$B4)</f>
        <v>3.6284695999999999</v>
      </c>
      <c r="AM21" s="42" cm="1">
        <f t="array" ref="AM21">+_xlfn.IFS(AM16=0,0,AM16-$B15&lt;0,AM16*$B4,AM16&gt;=$B15,$B15*$B4)</f>
        <v>3.6284695999999999</v>
      </c>
      <c r="AN21" s="42" cm="1">
        <f t="array" ref="AN21">+_xlfn.IFS(AN16=0,0,AN16-$B15&lt;0,AN16*$B4,AN16&gt;=$B15,$B15*$B4)</f>
        <v>3.6284695999999999</v>
      </c>
      <c r="AO21" s="42" cm="1">
        <f t="array" ref="AO21">+_xlfn.IFS(AO16=0,0,AO16-$B15&lt;0,AO16*$B4,AO16&gt;=$B15,$B15*$B4)</f>
        <v>3.6284695999999999</v>
      </c>
      <c r="AP21" s="42" cm="1">
        <f t="array" ref="AP21">+_xlfn.IFS(AP16=0,0,AP16-$B15&lt;0,AP16*$B4,AP16&gt;=$B15,$B15*$B4)</f>
        <v>3.6284695999999999</v>
      </c>
      <c r="AQ21" s="42" cm="1">
        <f t="array" ref="AQ21">+_xlfn.IFS(AQ16=0,0,AQ16-$B15&lt;0,AQ16*$B4,AQ16&gt;=$B15,$B15*$B4)</f>
        <v>3.6284695999999999</v>
      </c>
      <c r="AR21" s="42" cm="1">
        <f t="array" ref="AR21">+_xlfn.IFS(AR16=0,0,AR16-$B15&lt;0,AR16*$B4,AR16&gt;=$B15,$B15*$B4)</f>
        <v>3.6284695999999999</v>
      </c>
      <c r="AS21" s="42" cm="1">
        <f t="array" ref="AS21">+_xlfn.IFS(AS16=0,0,AS16-$B15&lt;0,AS16*$B4,AS16&gt;=$B15,$B15*$B4)</f>
        <v>3.6284695999999999</v>
      </c>
      <c r="AT21" s="42" cm="1">
        <f t="array" ref="AT21">+_xlfn.IFS(AT16=0,0,AT16-$B15&lt;0,AT16*$B4,AT16&gt;=$B15,$B15*$B4)</f>
        <v>3.6284695999999999</v>
      </c>
      <c r="AU21" s="42" cm="1">
        <f t="array" ref="AU21">+_xlfn.IFS(AU16=0,0,AU16-$B15&lt;0,AU16*$B4,AU16&gt;=$B15,$B15*$B4)</f>
        <v>3.6284695999999999</v>
      </c>
      <c r="AV21" s="42" cm="1">
        <f t="array" ref="AV21">+_xlfn.IFS(AV16=0,0,AV16-$B15&lt;0,AV16*$B4,AV16&gt;=$B15,$B15*$B4)</f>
        <v>3.6284695999999999</v>
      </c>
      <c r="AW21" s="42" cm="1">
        <f t="array" ref="AW21">+_xlfn.IFS(AW16=0,0,AW16-$B15&lt;0,AW16*$B4,AW16&gt;=$B15,$B15*$B4)</f>
        <v>3.6284695999999999</v>
      </c>
      <c r="AX21" s="42" cm="1">
        <f t="array" ref="AX21">+_xlfn.IFS(AX16=0,0,AX16-$B15&lt;0,AX16*$B4,AX16&gt;=$B15,$B15*$B4)</f>
        <v>3.6284695999999999</v>
      </c>
      <c r="AY21" s="42" cm="1">
        <f t="array" ref="AY21">+_xlfn.IFS(AY16=0,0,AY16-$B15&lt;0,AY16*$B4,AY16&gt;=$B15,$B15*$B4)</f>
        <v>3.6284695999999999</v>
      </c>
      <c r="AZ21" s="42" cm="1">
        <f t="array" ref="AZ21">+_xlfn.IFS(AZ16=0,0,AZ16-$B15&lt;0,AZ16*$B4,AZ16&gt;=$B15,$B15*$B4)</f>
        <v>3.6284695999999999</v>
      </c>
      <c r="BA21" s="42" cm="1">
        <f t="array" ref="BA21">+_xlfn.IFS(BA16=0,0,BA16-$B15&lt;0,BA16*$B4,BA16&gt;=$B15,$B15*$B4)</f>
        <v>3.6284695999999999</v>
      </c>
      <c r="BB21" s="42" cm="1">
        <f t="array" ref="BB21">+_xlfn.IFS(BB16=0,0,BB16-$B15&lt;0,BB16*$B4,BB16&gt;=$B15,$B15*$B4)</f>
        <v>3.6284695999999999</v>
      </c>
      <c r="BC21" s="42" cm="1">
        <f t="array" ref="BC21">+_xlfn.IFS(BC16=0,0,BC16-$B15&lt;0,BC16*$B4,BC16&gt;=$B15,$B15*$B4)</f>
        <v>3.6284695999999999</v>
      </c>
      <c r="BD21" s="42" cm="1">
        <f t="array" ref="BD21">+_xlfn.IFS(BD16=0,0,BD16-$B15&lt;0,BD16*$B4,BD16&gt;=$B15,$B15*$B4)</f>
        <v>3.6284695999999999</v>
      </c>
      <c r="BE21" s="42" cm="1">
        <f t="array" ref="BE21">+_xlfn.IFS(BE16=0,0,BE16-$B15&lt;0,BE16*$B4,BE16&gt;=$B15,$B15*$B4)</f>
        <v>3.6284695999999999</v>
      </c>
      <c r="BF21" s="42" cm="1">
        <f t="array" ref="BF21">+_xlfn.IFS(BF16=0,0,BF16-$B15&lt;0,BF16*$B4,BF16&gt;=$B15,$B15*$B4)</f>
        <v>3.6284695999999999</v>
      </c>
      <c r="BG21" s="42" cm="1">
        <f t="array" ref="BG21">+_xlfn.IFS(BG16=0,0,BG16-$B15&lt;0,BG16*$B4,BG16&gt;=$B15,$B15*$B4)</f>
        <v>3.6284695999999999</v>
      </c>
      <c r="BH21" s="42" cm="1">
        <f t="array" ref="BH21">+_xlfn.IFS(BH16=0,0,BH16-$B15&lt;0,BH16*$B4,BH16&gt;=$B15,$B15*$B4)</f>
        <v>3.6284695999999999</v>
      </c>
      <c r="BI21" s="42" cm="1">
        <f t="array" ref="BI21">+_xlfn.IFS(BI16=0,0,BI16-$B15&lt;0,BI16*$B4,BI16&gt;=$B15,$B15*$B4)</f>
        <v>3.6284695999999999</v>
      </c>
      <c r="BJ21" s="42" cm="1">
        <f t="array" ref="BJ21">+_xlfn.IFS(BJ16=0,0,BJ16-$B15&lt;0,BJ16*$B4,BJ16&gt;=$B15,$B15*$B4)</f>
        <v>3.6284695999999999</v>
      </c>
      <c r="BK21" s="42" cm="1">
        <f t="array" ref="BK21">+_xlfn.IFS(BK16=0,0,BK16-$B15&lt;0,BK16*$B4,BK16&gt;=$B15,$B15*$B4)</f>
        <v>3.6284695999999999</v>
      </c>
      <c r="BL21" s="42" cm="1">
        <f t="array" ref="BL21">+_xlfn.IFS(BL16=0,0,BL16-$B15&lt;0,BL16*$B4,BL16&gt;=$B15,$B15*$B4)</f>
        <v>3.6284695999999999</v>
      </c>
      <c r="BM21" s="42" cm="1">
        <f t="array" ref="BM21">+_xlfn.IFS(BM16=0,0,BM16-$B15&lt;0,BM16*$B4,BM16&gt;=$B15,$B15*$B4)</f>
        <v>3.6284695999999999</v>
      </c>
      <c r="BN21" s="42" cm="1">
        <f t="array" ref="BN21">+_xlfn.IFS(BN16=0,0,BN16-$B15&lt;0,BN16*$B4,BN16&gt;=$B15,$B15*$B4)</f>
        <v>3.6284695999999999</v>
      </c>
      <c r="BO21" s="42" cm="1">
        <f t="array" ref="BO21">+_xlfn.IFS(BO16=0,0,BO16-$B15&lt;0,BO16*$B4,BO16&gt;=$B15,$B15*$B4)</f>
        <v>3.6284695999999999</v>
      </c>
      <c r="BP21" s="42" cm="1">
        <f t="array" ref="BP21">+_xlfn.IFS(BP16=0,0,BP16-$B15&lt;0,BP16*$B4,BP16&gt;=$B15,$B15*$B4)</f>
        <v>3.6284695999999999</v>
      </c>
      <c r="BQ21" s="42" cm="1">
        <f t="array" ref="BQ21">+_xlfn.IFS(BQ16=0,0,BQ16-$B15&lt;0,BQ16*$B4,BQ16&gt;=$B15,$B15*$B4)</f>
        <v>3.6284695999999999</v>
      </c>
      <c r="BR21" s="42" cm="1">
        <f t="array" ref="BR21">+_xlfn.IFS(BR16=0,0,BR16-$B15&lt;0,BR16*$B4,BR16&gt;=$B15,$B15*$B4)</f>
        <v>3.6284695999999999</v>
      </c>
      <c r="BS21" s="42" cm="1">
        <f t="array" ref="BS21">+_xlfn.IFS(BS16=0,0,BS16-$B15&lt;0,BS16*$B4,BS16&gt;=$B15,$B15*$B4)</f>
        <v>3.6284695999999999</v>
      </c>
      <c r="BT21" s="42" cm="1">
        <f t="array" ref="BT21">+_xlfn.IFS(BT16=0,0,BT16-$B15&lt;0,BT16*$B4,BT16&gt;=$B15,$B15*$B4)</f>
        <v>3.6284695999999999</v>
      </c>
      <c r="BU21" s="42" cm="1">
        <f t="array" ref="BU21">+_xlfn.IFS(BU16=0,0,BU16-$B15&lt;0,BU16*$B4,BU16&gt;=$B15,$B15*$B4)</f>
        <v>3.6284695999999999</v>
      </c>
      <c r="BV21" s="42" cm="1">
        <f t="array" ref="BV21">+_xlfn.IFS(BV16=0,0,BV16-$B15&lt;0,BV16*$B4,BV16&gt;=$B15,$B15*$B4)</f>
        <v>3.6284695999999999</v>
      </c>
      <c r="BW21" s="42" cm="1">
        <f t="array" ref="BW21">+_xlfn.IFS(BW16=0,0,BW16-$B15&lt;0,BW16*$B4,BW16&gt;=$B15,$B15*$B4)</f>
        <v>3.6284695999999999</v>
      </c>
      <c r="BX21" s="42" cm="1">
        <f t="array" ref="BX21">+_xlfn.IFS(BX16=0,0,BX16-$B15&lt;0,BX16*$B4,BX16&gt;=$B15,$B15*$B4)</f>
        <v>3.6284695999999999</v>
      </c>
      <c r="BY21" s="42" cm="1">
        <f t="array" ref="BY21">+_xlfn.IFS(BY16=0,0,BY16-$B15&lt;0,BY16*$B4,BY16&gt;=$B15,$B15*$B4)</f>
        <v>3.6284695999999999</v>
      </c>
      <c r="BZ21" s="42" cm="1">
        <f t="array" ref="BZ21">+_xlfn.IFS(BZ16=0,0,BZ16-$B15&lt;0,BZ16*$B4,BZ16&gt;=$B15,$B15*$B4)</f>
        <v>3.6284695999999999</v>
      </c>
      <c r="CA21" s="42" cm="1">
        <f t="array" ref="CA21">+_xlfn.IFS(CA16=0,0,CA16-$B15&lt;0,CA16*$B4,CA16&gt;=$B15,$B15*$B4)</f>
        <v>3.6284695999999999</v>
      </c>
      <c r="CB21" s="42" cm="1">
        <f t="array" ref="CB21">+_xlfn.IFS(CB16=0,0,CB16-$B15&lt;0,CB16*$B4,CB16&gt;=$B15,$B15*$B4)</f>
        <v>3.6284695999999999</v>
      </c>
      <c r="CC21" s="42" cm="1">
        <f t="array" ref="CC21">+_xlfn.IFS(CC16=0,0,CC16-$B15&lt;0,CC16*$B4,CC16&gt;=$B15,$B15*$B4)</f>
        <v>3.6284695999999999</v>
      </c>
      <c r="CD21" s="42" cm="1">
        <f t="array" ref="CD21">+_xlfn.IFS(CD16=0,0,CD16-$B15&lt;0,CD16*$B4,CD16&gt;=$B15,$B15*$B4)</f>
        <v>3.6284695999999999</v>
      </c>
      <c r="CE21" s="42" cm="1">
        <f t="array" ref="CE21">+_xlfn.IFS(CE16=0,0,CE16-$B15&lt;0,CE16*$B4,CE16&gt;=$B15,$B15*$B4)</f>
        <v>3.6284695999999999</v>
      </c>
      <c r="CF21" s="42" cm="1">
        <f t="array" ref="CF21">+_xlfn.IFS(CF16=0,0,CF16-$B15&lt;0,CF16*$B4,CF16&gt;=$B15,$B15*$B4)</f>
        <v>3.6284695999999999</v>
      </c>
      <c r="CG21" s="42" cm="1">
        <f t="array" ref="CG21">+_xlfn.IFS(CG16=0,0,CG16-$B15&lt;0,CG16*$B4,CG16&gt;=$B15,$B15*$B4)</f>
        <v>3.6284695999999999</v>
      </c>
      <c r="CH21" s="42" cm="1">
        <f t="array" ref="CH21">+_xlfn.IFS(CH16=0,0,CH16-$B15&lt;0,CH16*$B4,CH16&gt;=$B15,$B15*$B4)</f>
        <v>3.6284695999999999</v>
      </c>
      <c r="CI21" s="42" cm="1">
        <f t="array" ref="CI21">+_xlfn.IFS(CI16=0,0,CI16-$B15&lt;0,CI16*$B4,CI16&gt;=$B15,$B15*$B4)</f>
        <v>3.6284695999999999</v>
      </c>
      <c r="CJ21" s="42" cm="1">
        <f t="array" ref="CJ21">+_xlfn.IFS(CJ16=0,0,CJ16-$B15&lt;0,CJ16*$B4,CJ16&gt;=$B15,$B15*$B4)</f>
        <v>3.6284695999999999</v>
      </c>
      <c r="CK21" s="42" cm="1">
        <f t="array" ref="CK21">+_xlfn.IFS(CK16=0,0,CK16-$B15&lt;0,CK16*$B4,CK16&gt;=$B15,$B15*$B4)</f>
        <v>3.6284695999999999</v>
      </c>
      <c r="CL21" s="42" cm="1">
        <f t="array" ref="CL21">+_xlfn.IFS(CL16=0,0,CL16-$B15&lt;0,CL16*$B4,CL16&gt;=$B15,$B15*$B4)</f>
        <v>3.6284695999999999</v>
      </c>
      <c r="CM21" s="42" cm="1">
        <f t="array" ref="CM21">+_xlfn.IFS(CM16=0,0,CM16-$B15&lt;0,CM16*$B4,CM16&gt;=$B15,$B15*$B4)</f>
        <v>3.6284695999999999</v>
      </c>
      <c r="CN21" s="42" cm="1">
        <f t="array" ref="CN21">+_xlfn.IFS(CN16=0,0,CN16-$B15&lt;0,CN16*$B4,CN16&gt;=$B15,$B15*$B4)</f>
        <v>3.6284695999999999</v>
      </c>
      <c r="CO21" s="42" cm="1">
        <f t="array" ref="CO21">+_xlfn.IFS(CO16=0,0,CO16-$B15&lt;0,CO16*$B4,CO16&gt;=$B15,$B15*$B4)</f>
        <v>3.6284695999999999</v>
      </c>
      <c r="CP21" s="42" cm="1">
        <f t="array" ref="CP21">+_xlfn.IFS(CP16=0,0,CP16-$B15&lt;0,CP16*$B4,CP16&gt;=$B15,$B15*$B4)</f>
        <v>3.6284695999999999</v>
      </c>
      <c r="CQ21" s="42" cm="1">
        <f t="array" ref="CQ21">+_xlfn.IFS(CQ16=0,0,CQ16-$B15&lt;0,CQ16*$B4,CQ16&gt;=$B15,$B15*$B4)</f>
        <v>3.6284695999999999</v>
      </c>
      <c r="CR21" s="42" cm="1">
        <f t="array" ref="CR21">+_xlfn.IFS(CR16=0,0,CR16-$B15&lt;0,CR16*$B4,CR16&gt;=$B15,$B15*$B4)</f>
        <v>3.6284695999999999</v>
      </c>
      <c r="CS21" s="42" cm="1">
        <f t="array" ref="CS21">+_xlfn.IFS(CS16=0,0,CS16-$B15&lt;0,CS16*$B4,CS16&gt;=$B15,$B15*$B4)</f>
        <v>3.6284695999999999</v>
      </c>
      <c r="CT21" s="42" cm="1">
        <f t="array" ref="CT21">+_xlfn.IFS(CT16=0,0,CT16-$B15&lt;0,CT16*$B4,CT16&gt;=$B15,$B15*$B4)</f>
        <v>3.6284695999999999</v>
      </c>
      <c r="CU21" s="42" cm="1">
        <f t="array" ref="CU21">+_xlfn.IFS(CU16=0,0,CU16-$B15&lt;0,CU16*$B4,CU16&gt;=$B15,$B15*$B4)</f>
        <v>3.6284695999999999</v>
      </c>
      <c r="CV21" s="42" cm="1">
        <f t="array" ref="CV21">+_xlfn.IFS(CV16=0,0,CV16-$B15&lt;0,CV16*$B4,CV16&gt;=$B15,$B15*$B4)</f>
        <v>3.6284695999999999</v>
      </c>
      <c r="CW21" s="42" cm="1">
        <f t="array" ref="CW21">+_xlfn.IFS(CW16=0,0,CW16-$B15&lt;0,CW16*$B4,CW16&gt;=$B15,$B15*$B4)</f>
        <v>3.6284695999999999</v>
      </c>
      <c r="CX21" s="42" cm="1">
        <f t="array" ref="CX21">+_xlfn.IFS(CX16=0,0,CX16-$B15&lt;0,CX16*$B4,CX16&gt;=$B15,$B15*$B4)</f>
        <v>3.6284695999999999</v>
      </c>
      <c r="CY21" s="42" cm="1">
        <f t="array" ref="CY21">+_xlfn.IFS(CY16=0,0,CY16-$B15&lt;0,CY16*$B4,CY16&gt;=$B15,$B15*$B4)</f>
        <v>3.6284695999999999</v>
      </c>
      <c r="CZ21" s="42" cm="1">
        <f t="array" ref="CZ21">+_xlfn.IFS(CZ16=0,0,CZ16-$B15&lt;0,CZ16*$B4,CZ16&gt;=$B15,$B15*$B4)</f>
        <v>3.6284695999999999</v>
      </c>
      <c r="DA21" s="42" cm="1">
        <f t="array" ref="DA21">+_xlfn.IFS(DA16=0,0,DA16-$B15&lt;0,DA16*$B4,DA16&gt;=$B15,$B15*$B4)</f>
        <v>3.6284695999999999</v>
      </c>
      <c r="DB21" s="42" cm="1">
        <f t="array" ref="DB21">+_xlfn.IFS(DB16=0,0,DB16-$B15&lt;0,DB16*$B4,DB16&gt;=$B15,$B15*$B4)</f>
        <v>3.6284695999999999</v>
      </c>
      <c r="DC21" s="42" cm="1">
        <f t="array" ref="DC21">+_xlfn.IFS(DC16=0,0,DC16-$B15&lt;0,DC16*$B4,DC16&gt;=$B15,$B15*$B4)</f>
        <v>3.6284695999999999</v>
      </c>
      <c r="DD21" s="42" cm="1">
        <f t="array" ref="DD21">+_xlfn.IFS(DD16=0,0,DD16-$B15&lt;0,DD16*$B4,DD16&gt;=$B15,$B15*$B4)</f>
        <v>3.6284695999999999</v>
      </c>
      <c r="DE21" s="42" cm="1">
        <f t="array" ref="DE21">+_xlfn.IFS(DE16=0,0,DE16-$B15&lt;0,DE16*$B4,DE16&gt;=$B15,$B15*$B4)</f>
        <v>3.6284695999999999</v>
      </c>
      <c r="DF21" s="42" cm="1">
        <f t="array" ref="DF21">+_xlfn.IFS(DF16=0,0,DF16-$B15&lt;0,DF16*$B4,DF16&gt;=$B15,$B15*$B4)</f>
        <v>3.6284695999999999</v>
      </c>
      <c r="DG21" s="42" cm="1">
        <f t="array" ref="DG21">+_xlfn.IFS(DG16=0,0,DG16-$B15&lt;0,DG16*$B4,DG16&gt;=$B15,$B15*$B4)</f>
        <v>3.6284695999999999</v>
      </c>
      <c r="DH21" s="42" cm="1">
        <f t="array" ref="DH21">+_xlfn.IFS(DH16=0,0,DH16-$B15&lt;0,DH16*$B4,DH16&gt;=$B15,$B15*$B4)</f>
        <v>3.6284695999999999</v>
      </c>
    </row>
    <row r="22" spans="1:112" ht="18.75">
      <c r="A22" s="48" t="s">
        <v>86</v>
      </c>
      <c r="B22" s="51">
        <f>1/SUM(B23:DH23)</f>
        <v>0.41372909439387051</v>
      </c>
      <c r="C22" s="42">
        <f t="shared" ref="C22:AH22" si="12">+$B22*C23</f>
        <v>0.36480267922883991</v>
      </c>
      <c r="D22" s="42">
        <f t="shared" si="12"/>
        <v>0.16083108074319596</v>
      </c>
      <c r="E22" s="42">
        <f t="shared" si="12"/>
        <v>4.7270552924125388E-2</v>
      </c>
      <c r="F22" s="42">
        <f t="shared" si="12"/>
        <v>1.0420118254321332E-2</v>
      </c>
      <c r="G22" s="42">
        <f t="shared" si="12"/>
        <v>2.2969662446792631E-3</v>
      </c>
      <c r="H22" s="42">
        <f t="shared" si="12"/>
        <v>5.0633340240720595E-4</v>
      </c>
      <c r="I22" s="42">
        <f t="shared" si="12"/>
        <v>1.1161396689530208E-4</v>
      </c>
      <c r="J22" s="42">
        <f t="shared" si="12"/>
        <v>2.4603704884724969E-5</v>
      </c>
      <c r="K22" s="42">
        <f t="shared" si="12"/>
        <v>5.423535341436903E-6</v>
      </c>
      <c r="L22" s="42">
        <f t="shared" si="12"/>
        <v>1.1955409048202747E-6</v>
      </c>
      <c r="M22" s="42">
        <f t="shared" si="12"/>
        <v>2.6353991725253515E-7</v>
      </c>
      <c r="N22" s="42">
        <f t="shared" si="12"/>
        <v>5.8093610771029169E-8</v>
      </c>
      <c r="O22" s="42">
        <f t="shared" si="12"/>
        <v>1.2805906777233654E-8</v>
      </c>
      <c r="P22" s="42">
        <f t="shared" si="12"/>
        <v>2.8228792497260298E-9</v>
      </c>
      <c r="Q22" s="42">
        <f t="shared" si="12"/>
        <v>6.2226341306032753E-10</v>
      </c>
      <c r="R22" s="42">
        <f t="shared" si="12"/>
        <v>1.3716908198289673E-10</v>
      </c>
      <c r="S22" s="42">
        <f t="shared" si="12"/>
        <v>3.0236965016946161E-11</v>
      </c>
      <c r="T22" s="42">
        <f t="shared" si="12"/>
        <v>6.6653070810084202E-12</v>
      </c>
      <c r="U22" s="42">
        <f t="shared" si="12"/>
        <v>1.469271749305609E-12</v>
      </c>
      <c r="V22" s="42">
        <f t="shared" si="12"/>
        <v>3.2387997238095096E-13</v>
      </c>
      <c r="W22" s="42">
        <f t="shared" si="12"/>
        <v>7.1394714122191079E-14</v>
      </c>
      <c r="X22" s="42">
        <f t="shared" si="12"/>
        <v>1.5737945039077643E-14</v>
      </c>
      <c r="Y22" s="42">
        <f t="shared" si="12"/>
        <v>3.4692052079531078E-15</v>
      </c>
      <c r="Z22" s="42">
        <f t="shared" si="12"/>
        <v>7.6473673945390312E-16</v>
      </c>
      <c r="AA22" s="42">
        <f t="shared" si="12"/>
        <v>1.6857529192274054E-16</v>
      </c>
      <c r="AB22" s="42">
        <f t="shared" si="12"/>
        <v>3.7160015441562482E-17</v>
      </c>
      <c r="AC22" s="42">
        <f t="shared" si="12"/>
        <v>8.1913946692141876E-18</v>
      </c>
      <c r="AD22" s="42">
        <f t="shared" si="12"/>
        <v>1.8056759619045323E-18</v>
      </c>
      <c r="AE22" s="42">
        <f t="shared" si="12"/>
        <v>3.9803547638275849E-19</v>
      </c>
      <c r="AF22" s="42">
        <f t="shared" si="12"/>
        <v>8.7741235859474741E-20</v>
      </c>
      <c r="AG22" s="42">
        <f t="shared" si="12"/>
        <v>1.9341302288203399E-20</v>
      </c>
      <c r="AH22" s="42">
        <f t="shared" si="12"/>
        <v>4.2635138488679757E-21</v>
      </c>
      <c r="AI22" s="42">
        <f t="shared" ref="AI22:BN22" si="13">+$B22*AI23</f>
        <v>9.3983073469545169E-22</v>
      </c>
      <c r="AJ22" s="42">
        <f t="shared" si="13"/>
        <v>2.0717226240808778E-22</v>
      </c>
      <c r="AK22" s="42">
        <f t="shared" si="13"/>
        <v>4.5668166326986251E-23</v>
      </c>
      <c r="AL22" s="42">
        <f t="shared" si="13"/>
        <v>1.0066895014937395E-23</v>
      </c>
      <c r="AM22" s="42">
        <f t="shared" si="13"/>
        <v>2.2191032264390725E-24</v>
      </c>
      <c r="AN22" s="42">
        <f t="shared" si="13"/>
        <v>4.8916961210833932E-25</v>
      </c>
      <c r="AO22" s="42">
        <f t="shared" si="13"/>
        <v>1.0783045446434669E-25</v>
      </c>
      <c r="AP22" s="42">
        <f t="shared" si="13"/>
        <v>2.3769683607027393E-26</v>
      </c>
      <c r="AQ22" s="42">
        <f t="shared" si="13"/>
        <v>5.23968726260909E-27</v>
      </c>
      <c r="AR22" s="42">
        <f t="shared" si="13"/>
        <v>1.1550142216378177E-27</v>
      </c>
      <c r="AS22" s="42">
        <f t="shared" si="13"/>
        <v>2.5460638876399708E-28</v>
      </c>
      <c r="AT22" s="42">
        <f t="shared" si="13"/>
        <v>5.6124342008120207E-29</v>
      </c>
      <c r="AU22" s="42">
        <f t="shared" si="13"/>
        <v>1.2371809604370256E-29</v>
      </c>
      <c r="AV22" s="42">
        <f t="shared" si="13"/>
        <v>2.7271887279256257E-30</v>
      </c>
      <c r="AW22" s="42">
        <f t="shared" si="13"/>
        <v>6.0116980422147189E-31</v>
      </c>
      <c r="AX22" s="42">
        <f t="shared" si="13"/>
        <v>1.3251929718211232E-31</v>
      </c>
      <c r="AY22" s="42">
        <f t="shared" si="13"/>
        <v>2.9211986367783981E-32</v>
      </c>
      <c r="AZ22" s="42">
        <f t="shared" si="13"/>
        <v>6.4393651769742597E-33</v>
      </c>
      <c r="BA22" s="42">
        <f t="shared" si="13"/>
        <v>1.4194660835580246E-33</v>
      </c>
      <c r="BB22" s="42">
        <f t="shared" si="13"/>
        <v>3.1290102471223948E-34</v>
      </c>
      <c r="BC22" s="42">
        <f t="shared" si="13"/>
        <v>6.8974561914544868E-35</v>
      </c>
      <c r="BD22" s="42">
        <f t="shared" si="13"/>
        <v>1.5204457050527802E-35</v>
      </c>
      <c r="BE22" s="42">
        <f t="shared" si="13"/>
        <v>3.3516054003758154E-36</v>
      </c>
      <c r="BF22" s="42">
        <f t="shared" si="13"/>
        <v>7.3881354148311284E-37</v>
      </c>
      <c r="BG22" s="42">
        <f t="shared" si="13"/>
        <v>1.6286089317603249E-37</v>
      </c>
      <c r="BH22" s="42">
        <f t="shared" si="13"/>
        <v>3.5900357853282961E-38</v>
      </c>
      <c r="BI22" s="42">
        <f t="shared" si="13"/>
        <v>7.9137211448343432E-39</v>
      </c>
      <c r="BJ22" s="42">
        <f t="shared" si="13"/>
        <v>1.7444667993043742E-39</v>
      </c>
      <c r="BK22" s="42">
        <f t="shared" si="13"/>
        <v>3.8454279070240732E-40</v>
      </c>
      <c r="BL22" s="42">
        <f t="shared" si="13"/>
        <v>8.4766966009419916E-41</v>
      </c>
      <c r="BM22" s="42">
        <f t="shared" si="13"/>
        <v>1.8685666979524443E-41</v>
      </c>
      <c r="BN22" s="42">
        <f t="shared" si="13"/>
        <v>4.11898840912732E-42</v>
      </c>
      <c r="BO22" s="42">
        <f t="shared" ref="BO22:CT22" si="14">+$B22*BO23</f>
        <v>9.0797216567738497E-43</v>
      </c>
      <c r="BP22" s="42">
        <f t="shared" si="14"/>
        <v>2.0014949588545868E-43</v>
      </c>
      <c r="BQ22" s="42">
        <f t="shared" si="14"/>
        <v>4.4120097749160587E-44</v>
      </c>
      <c r="BR22" s="42">
        <f t="shared" si="14"/>
        <v>9.7256454071184517E-45</v>
      </c>
      <c r="BS22" s="42">
        <f t="shared" si="14"/>
        <v>2.143879624264972E-45</v>
      </c>
      <c r="BT22" s="42">
        <f t="shared" si="14"/>
        <v>4.7258764338399846E-46</v>
      </c>
      <c r="BU22" s="42">
        <f t="shared" si="14"/>
        <v>1.0417519628967647E-46</v>
      </c>
      <c r="BV22" s="42">
        <f t="shared" si="14"/>
        <v>2.296393414834697E-47</v>
      </c>
      <c r="BW22" s="42">
        <f t="shared" si="14"/>
        <v>5.0620713024936686E-48</v>
      </c>
      <c r="BX22" s="42">
        <f t="shared" si="14"/>
        <v>1.115861320015782E-48</v>
      </c>
      <c r="BY22" s="42">
        <f t="shared" si="14"/>
        <v>2.4597569079953131E-49</v>
      </c>
      <c r="BZ22" s="42">
        <f t="shared" si="14"/>
        <v>5.4221827909090804E-50</v>
      </c>
      <c r="CA22" s="42">
        <f t="shared" si="14"/>
        <v>1.1952427543741085E-50</v>
      </c>
      <c r="CB22" s="42">
        <f t="shared" si="14"/>
        <v>2.6347419424498712E-51</v>
      </c>
      <c r="CC22" s="42">
        <f t="shared" si="14"/>
        <v>5.807912307269868E-52</v>
      </c>
      <c r="CD22" s="42">
        <f t="shared" si="14"/>
        <v>1.2802713171056063E-52</v>
      </c>
      <c r="CE22" s="42">
        <f t="shared" si="14"/>
        <v>2.8221752648565984E-53</v>
      </c>
      <c r="CF22" s="42">
        <f t="shared" si="14"/>
        <v>6.2210822965046774E-54</v>
      </c>
      <c r="CG22" s="42">
        <f t="shared" si="14"/>
        <v>1.371348740165875E-54</v>
      </c>
      <c r="CH22" s="42">
        <f t="shared" si="14"/>
        <v>3.0229424359345774E-55</v>
      </c>
      <c r="CI22" s="42">
        <f t="shared" si="14"/>
        <v>6.6636448507392398E-56</v>
      </c>
      <c r="CJ22" s="42">
        <f t="shared" si="14"/>
        <v>1.4689053343834359E-56</v>
      </c>
      <c r="CK22" s="42">
        <f t="shared" si="14"/>
        <v>3.2379920144464902E-57</v>
      </c>
      <c r="CL22" s="42">
        <f t="shared" si="14"/>
        <v>7.1376909322887613E-58</v>
      </c>
      <c r="CM22" s="42">
        <f t="shared" si="14"/>
        <v>1.5734020225366782E-58</v>
      </c>
      <c r="CN22" s="42">
        <f t="shared" si="14"/>
        <v>3.4683400388263794E-59</v>
      </c>
      <c r="CO22" s="42">
        <f t="shared" si="14"/>
        <v>7.6454602527662303E-60</v>
      </c>
      <c r="CP22" s="42">
        <f t="shared" si="14"/>
        <v>1.6853325170621877E-60</v>
      </c>
      <c r="CQ22" s="42">
        <f t="shared" si="14"/>
        <v>3.7150748276266212E-61</v>
      </c>
      <c r="CR22" s="42">
        <f t="shared" si="14"/>
        <v>8.1893518549821532E-62</v>
      </c>
      <c r="CS22" s="42">
        <f t="shared" si="14"/>
        <v>1.8052256526834071E-62</v>
      </c>
      <c r="CT22" s="42">
        <f t="shared" si="14"/>
        <v>3.9793621214646606E-63</v>
      </c>
      <c r="CU22" s="42">
        <f t="shared" ref="CU22:DH22" si="15">+$B22*CU23</f>
        <v>8.7719354476317408E-64</v>
      </c>
      <c r="CV22" s="42">
        <f t="shared" si="15"/>
        <v>1.9336478849805427E-64</v>
      </c>
      <c r="CW22" s="42">
        <f t="shared" si="15"/>
        <v>4.2624505907635072E-65</v>
      </c>
      <c r="CX22" s="42">
        <f t="shared" si="15"/>
        <v>9.3959635463221836E-66</v>
      </c>
      <c r="CY22" s="42">
        <f t="shared" si="15"/>
        <v>2.0712059667066205E-66</v>
      </c>
      <c r="CZ22" s="42">
        <f t="shared" si="15"/>
        <v>4.5656777353082412E-67</v>
      </c>
      <c r="DA22" s="42">
        <f t="shared" si="15"/>
        <v>1.0064384478302384E-67</v>
      </c>
      <c r="DB22" s="42">
        <f t="shared" si="15"/>
        <v>2.2185498144944177E-68</v>
      </c>
      <c r="DC22" s="42">
        <f t="shared" si="15"/>
        <v>4.8904762034920109E-69</v>
      </c>
      <c r="DD22" s="42">
        <f t="shared" si="15"/>
        <v>1.0780356312338198E-69</v>
      </c>
      <c r="DE22" s="42">
        <f t="shared" si="15"/>
        <v>2.3763755794985101E-70</v>
      </c>
      <c r="DF22" s="42">
        <f t="shared" si="15"/>
        <v>5.2383805611078571E-71</v>
      </c>
      <c r="DG22" s="42">
        <f t="shared" si="15"/>
        <v>1.1547261779547281E-71</v>
      </c>
      <c r="DH22" s="42">
        <f t="shared" si="15"/>
        <v>2.5454289364802039E-72</v>
      </c>
    </row>
    <row r="23" spans="1:112" ht="18.75">
      <c r="A23" s="48" t="s">
        <v>87</v>
      </c>
      <c r="B23" s="42">
        <v>1</v>
      </c>
      <c r="C23" s="42">
        <f>+B19/C21</f>
        <v>0.88174287032747911</v>
      </c>
      <c r="D23" s="42">
        <f t="shared" ref="D23:AI23" si="16">+C23*C19/D21</f>
        <v>0.38873524468667081</v>
      </c>
      <c r="E23" s="42">
        <f t="shared" si="16"/>
        <v>0.11425484348249333</v>
      </c>
      <c r="F23" s="42">
        <f t="shared" si="16"/>
        <v>2.5185848410267636E-2</v>
      </c>
      <c r="G23" s="42">
        <f t="shared" si="16"/>
        <v>5.5518605672255405E-3</v>
      </c>
      <c r="H23" s="42">
        <f t="shared" si="16"/>
        <v>1.2238283680508484E-3</v>
      </c>
      <c r="I23" s="42">
        <f t="shared" si="16"/>
        <v>2.6977548450833741E-4</v>
      </c>
      <c r="J23" s="42">
        <f t="shared" si="16"/>
        <v>5.9468152513591946E-5</v>
      </c>
      <c r="K23" s="42">
        <f t="shared" si="16"/>
        <v>1.3108904872601713E-5</v>
      </c>
      <c r="L23" s="42">
        <f t="shared" si="16"/>
        <v>2.8896708523044276E-6</v>
      </c>
      <c r="M23" s="42">
        <f t="shared" si="16"/>
        <v>6.369866679031398E-7</v>
      </c>
      <c r="N23" s="42">
        <f t="shared" si="16"/>
        <v>1.4041461322931279E-7</v>
      </c>
      <c r="O23" s="42">
        <f t="shared" si="16"/>
        <v>3.0952396026184269E-8</v>
      </c>
      <c r="P23" s="42">
        <f t="shared" si="16"/>
        <v>6.8230136289101439E-9</v>
      </c>
      <c r="Q23" s="42">
        <f t="shared" si="16"/>
        <v>1.5040359053596848E-9</v>
      </c>
      <c r="R23" s="42">
        <f t="shared" si="16"/>
        <v>3.3154323406685927E-10</v>
      </c>
      <c r="S23" s="42">
        <f t="shared" si="16"/>
        <v>7.3083970710941935E-11</v>
      </c>
      <c r="T23" s="42">
        <f t="shared" si="16"/>
        <v>1.6110317527398838E-11</v>
      </c>
      <c r="U23" s="42">
        <f t="shared" si="16"/>
        <v>3.5512894046239368E-12</v>
      </c>
      <c r="V23" s="42">
        <f t="shared" si="16"/>
        <v>7.8283102824916857E-13</v>
      </c>
      <c r="W23" s="42">
        <f t="shared" si="16"/>
        <v>1.7256391945745843E-13</v>
      </c>
      <c r="X23" s="42">
        <f t="shared" si="16"/>
        <v>3.8039251414344827E-14</v>
      </c>
      <c r="Y23" s="42">
        <f t="shared" si="16"/>
        <v>8.3852096817982562E-15</v>
      </c>
      <c r="Z23" s="42">
        <f t="shared" si="16"/>
        <v>1.8483997132816407E-15</v>
      </c>
      <c r="AA23" s="42">
        <f t="shared" si="16"/>
        <v>4.0745331717536085E-16</v>
      </c>
      <c r="AB23" s="42">
        <f t="shared" si="16"/>
        <v>8.9817264352663845E-17</v>
      </c>
      <c r="AC23" s="42">
        <f t="shared" si="16"/>
        <v>1.9798933118819947E-17</v>
      </c>
      <c r="AD23" s="42">
        <f t="shared" si="16"/>
        <v>4.364392029402522E-18</v>
      </c>
      <c r="AE23" s="42">
        <f t="shared" si="16"/>
        <v>9.6206788880993782E-19</v>
      </c>
      <c r="AF23" s="42">
        <f t="shared" si="16"/>
        <v>2.1207412543229313E-19</v>
      </c>
      <c r="AG23" s="42">
        <f t="shared" si="16"/>
        <v>4.6748712020214995E-20</v>
      </c>
      <c r="AH23" s="42">
        <f t="shared" si="16"/>
        <v>1.0305085880204273E-20</v>
      </c>
      <c r="AI23" s="42">
        <f t="shared" si="16"/>
        <v>2.2716090007456231E-21</v>
      </c>
      <c r="AJ23" s="42">
        <f t="shared" ref="AJ23:BO23" si="17">+AI23*AI19/AJ21</f>
        <v>5.0074376014479557E-22</v>
      </c>
      <c r="AK23" s="42">
        <f t="shared" si="17"/>
        <v>1.1038181009216169E-22</v>
      </c>
      <c r="AL23" s="42">
        <f t="shared" si="17"/>
        <v>2.4332093515651335E-23</v>
      </c>
      <c r="AM23" s="42">
        <f t="shared" si="17"/>
        <v>5.3636624943917624E-24</v>
      </c>
      <c r="AN23" s="42">
        <f t="shared" si="17"/>
        <v>1.1823427908182096E-24</v>
      </c>
      <c r="AO23" s="42">
        <f t="shared" si="17"/>
        <v>2.606305815217626E-25</v>
      </c>
      <c r="AP23" s="42">
        <f t="shared" si="17"/>
        <v>5.7452289261529746E-26</v>
      </c>
      <c r="AQ23" s="42">
        <f t="shared" si="17"/>
        <v>1.266453661008646E-26</v>
      </c>
      <c r="AR23" s="42">
        <f t="shared" si="17"/>
        <v>2.7917162154862694E-27</v>
      </c>
      <c r="AS23" s="42">
        <f t="shared" si="17"/>
        <v>6.153939672456575E-28</v>
      </c>
      <c r="AT23" s="42">
        <f t="shared" si="17"/>
        <v>1.3565481076535019E-28</v>
      </c>
      <c r="AU23" s="42">
        <f t="shared" si="17"/>
        <v>2.9903165554492721E-29</v>
      </c>
      <c r="AV23" s="42">
        <f t="shared" si="17"/>
        <v>6.591725756974053E-30</v>
      </c>
      <c r="AW23" s="42">
        <f t="shared" si="17"/>
        <v>1.4530517973414691E-30</v>
      </c>
      <c r="AX23" s="42">
        <f t="shared" si="17"/>
        <v>3.2030451563059235E-31</v>
      </c>
      <c r="AY23" s="42">
        <f t="shared" si="17"/>
        <v>7.0606555747742843E-32</v>
      </c>
      <c r="AZ23" s="42">
        <f t="shared" si="17"/>
        <v>1.5564206782237986E-32</v>
      </c>
      <c r="BA23" s="42">
        <f t="shared" si="17"/>
        <v>3.4309070906352347E-33</v>
      </c>
      <c r="BB23" s="42">
        <f t="shared" si="17"/>
        <v>7.5629446648090306E-34</v>
      </c>
      <c r="BC23" s="42">
        <f t="shared" si="17"/>
        <v>1.6671431342191521E-34</v>
      </c>
      <c r="BD23" s="42">
        <f t="shared" si="17"/>
        <v>3.674978931032862E-35</v>
      </c>
      <c r="BE23" s="42">
        <f t="shared" si="17"/>
        <v>8.1009661776048163E-36</v>
      </c>
      <c r="BF23" s="42">
        <f t="shared" si="17"/>
        <v>1.7857422924667744E-36</v>
      </c>
      <c r="BG23" s="42">
        <f t="shared" si="17"/>
        <v>3.9364138365620658E-37</v>
      </c>
      <c r="BH23" s="42">
        <f t="shared" si="17"/>
        <v>8.6772620876176004E-38</v>
      </c>
      <c r="BI23" s="42">
        <f t="shared" si="17"/>
        <v>1.9127784949299389E-38</v>
      </c>
      <c r="BJ23" s="42">
        <f t="shared" si="17"/>
        <v>4.2164470010504993E-39</v>
      </c>
      <c r="BK23" s="42">
        <f t="shared" si="17"/>
        <v>9.2945552032248953E-40</v>
      </c>
      <c r="BL23" s="42">
        <f t="shared" si="17"/>
        <v>2.0488519458271813E-40</v>
      </c>
      <c r="BM23" s="42">
        <f t="shared" si="17"/>
        <v>4.5164014889742491E-41</v>
      </c>
      <c r="BN23" s="42">
        <f t="shared" si="17"/>
        <v>9.955762031098637E-42</v>
      </c>
      <c r="BO23" s="42">
        <f t="shared" si="17"/>
        <v>2.1946055473995615E-42</v>
      </c>
      <c r="BP23" s="42">
        <f t="shared" ref="BP23:CU23" si="18">+BO23*BO19/BP21</f>
        <v>4.837694486501744E-43</v>
      </c>
      <c r="BQ23" s="42">
        <f t="shared" si="18"/>
        <v>1.0664006555738671E-43</v>
      </c>
      <c r="BR23" s="42">
        <f t="shared" si="18"/>
        <v>2.3507279374120176E-44</v>
      </c>
      <c r="BS23" s="42">
        <f t="shared" si="18"/>
        <v>5.1818439972316679E-45</v>
      </c>
      <c r="BT23" s="42">
        <f t="shared" si="18"/>
        <v>1.1422634999270671E-45</v>
      </c>
      <c r="BU23" s="42">
        <f t="shared" si="18"/>
        <v>2.5179567427400109E-46</v>
      </c>
      <c r="BV23" s="42">
        <f t="shared" si="18"/>
        <v>5.5504760142600176E-47</v>
      </c>
      <c r="BW23" s="42">
        <f t="shared" si="18"/>
        <v>1.2235231631243635E-47</v>
      </c>
      <c r="BX23" s="42">
        <f t="shared" si="18"/>
        <v>2.6970820644135818E-48</v>
      </c>
      <c r="BY23" s="42">
        <f t="shared" si="18"/>
        <v>5.945332202461986E-49</v>
      </c>
      <c r="BZ23" s="42">
        <f t="shared" si="18"/>
        <v>1.3105635703123062E-49</v>
      </c>
      <c r="CA23" s="42">
        <f t="shared" si="18"/>
        <v>2.8889502105845046E-50</v>
      </c>
      <c r="CB23" s="42">
        <f t="shared" si="18"/>
        <v>6.3682781272848901E-51</v>
      </c>
      <c r="CC23" s="42">
        <f t="shared" si="18"/>
        <v>1.4037959587489706E-51</v>
      </c>
      <c r="CD23" s="42">
        <f t="shared" si="18"/>
        <v>3.094467695053582E-52</v>
      </c>
      <c r="CE23" s="42">
        <f t="shared" si="18"/>
        <v>6.8213120689305086E-53</v>
      </c>
      <c r="CF23" s="42">
        <f t="shared" si="18"/>
        <v>1.5036608207645655E-53</v>
      </c>
      <c r="CG23" s="42">
        <f t="shared" si="18"/>
        <v>3.3146055202498027E-54</v>
      </c>
      <c r="CH23" s="42">
        <f t="shared" si="18"/>
        <v>7.3065744635709214E-55</v>
      </c>
      <c r="CI23" s="42">
        <f t="shared" si="18"/>
        <v>1.6106299849426213E-55</v>
      </c>
      <c r="CJ23" s="42">
        <f t="shared" si="18"/>
        <v>3.5504037648970282E-56</v>
      </c>
      <c r="CK23" s="42">
        <f t="shared" si="18"/>
        <v>7.8263580162044843E-57</v>
      </c>
      <c r="CL23" s="42">
        <f t="shared" si="18"/>
        <v>1.7252088453546543E-57</v>
      </c>
      <c r="CM23" s="42">
        <f t="shared" si="18"/>
        <v>3.8029764980434224E-58</v>
      </c>
      <c r="CN23" s="42">
        <f t="shared" si="18"/>
        <v>8.3831185329318807E-59</v>
      </c>
      <c r="CO23" s="42">
        <f t="shared" si="18"/>
        <v>1.8479387493807106E-59</v>
      </c>
      <c r="CP23" s="42">
        <f t="shared" si="18"/>
        <v>4.0735170426707997E-60</v>
      </c>
      <c r="CQ23" s="42">
        <f t="shared" si="18"/>
        <v>8.9794865238311376E-61</v>
      </c>
      <c r="CR23" s="42">
        <f t="shared" si="18"/>
        <v>1.9793995553974461E-61</v>
      </c>
      <c r="CS23" s="42">
        <f t="shared" si="18"/>
        <v>4.3633036137527002E-62</v>
      </c>
      <c r="CT23" s="42">
        <f t="shared" si="18"/>
        <v>9.6182796312514199E-63</v>
      </c>
      <c r="CU23" s="42">
        <f t="shared" si="18"/>
        <v>2.1202123724179884E-63</v>
      </c>
      <c r="CV23" s="42">
        <f t="shared" ref="CV23:DH23" si="19">+CU23*CU19/CV21</f>
        <v>4.6737053573991776E-64</v>
      </c>
      <c r="CW23" s="42">
        <f t="shared" si="19"/>
        <v>1.0302515942245169E-64</v>
      </c>
      <c r="CX23" s="42">
        <f t="shared" si="19"/>
        <v>2.2710424946274668E-65</v>
      </c>
      <c r="CY23" s="42">
        <f t="shared" si="19"/>
        <v>5.0061888196212527E-66</v>
      </c>
      <c r="CZ23" s="42">
        <f t="shared" si="19"/>
        <v>1.1035428248035444E-66</v>
      </c>
      <c r="DA23" s="42">
        <f t="shared" si="19"/>
        <v>2.4326025446789292E-67</v>
      </c>
      <c r="DB23" s="42">
        <f t="shared" si="19"/>
        <v>5.3623248752778218E-68</v>
      </c>
      <c r="DC23" s="42">
        <f t="shared" si="19"/>
        <v>1.1820479317889772E-68</v>
      </c>
      <c r="DD23" s="42">
        <f t="shared" si="19"/>
        <v>2.6056558406006826E-69</v>
      </c>
      <c r="DE23" s="42">
        <f t="shared" si="19"/>
        <v>5.7437961499420153E-70</v>
      </c>
      <c r="DF23" s="42">
        <f t="shared" si="19"/>
        <v>1.266137825956449E-70</v>
      </c>
      <c r="DG23" s="42">
        <f t="shared" si="19"/>
        <v>2.791020002222584E-71</v>
      </c>
      <c r="DH23" s="42">
        <f t="shared" si="19"/>
        <v>6.1524049697528714E-72</v>
      </c>
    </row>
    <row r="25" spans="1:112">
      <c r="B25" s="42" t="s">
        <v>58</v>
      </c>
      <c r="C25">
        <f>+SUMPRODUCT(B16:DH16,B22:DH22)</f>
        <v>0.88552251303571849</v>
      </c>
      <c r="D25" t="s">
        <v>69</v>
      </c>
      <c r="H25" s="52"/>
    </row>
    <row r="26" spans="1:112">
      <c r="B26" s="42" t="s">
        <v>60</v>
      </c>
      <c r="C26">
        <f>+SUMPRODUCT(B17:DH17,B22:DH22)</f>
        <v>3.7796427082403472E-3</v>
      </c>
      <c r="D26" t="s">
        <v>69</v>
      </c>
      <c r="H26" s="52"/>
      <c r="I26" s="42"/>
      <c r="J26" s="42"/>
      <c r="K26" s="42"/>
      <c r="L26" s="42"/>
      <c r="M26" s="42"/>
      <c r="N26" s="42"/>
    </row>
    <row r="27" spans="1:112">
      <c r="B27" s="42" t="s">
        <v>62</v>
      </c>
      <c r="C27">
        <f>+C26/$B$3</f>
        <v>4.7254730804987266E-3</v>
      </c>
      <c r="D27" t="s">
        <v>56</v>
      </c>
      <c r="H27" s="52"/>
    </row>
    <row r="28" spans="1:112">
      <c r="B28" s="42" t="s">
        <v>61</v>
      </c>
      <c r="C28">
        <f>+C27+1/$B$4</f>
        <v>1.1071186142549487</v>
      </c>
      <c r="D28" t="s">
        <v>56</v>
      </c>
      <c r="H28" s="52"/>
    </row>
    <row r="29" spans="1:112" ht="18.75">
      <c r="A29" s="50"/>
      <c r="B29" s="40"/>
      <c r="H29" s="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4787-1F7F-4F58-9535-CE2CB63E997A}">
  <dimension ref="A1:DH29"/>
  <sheetViews>
    <sheetView zoomScale="70" zoomScaleNormal="70" workbookViewId="0">
      <selection activeCell="G11" sqref="G11"/>
    </sheetView>
  </sheetViews>
  <sheetFormatPr defaultColWidth="11.42578125" defaultRowHeight="15"/>
  <sheetData>
    <row r="1" spans="1:112">
      <c r="A1" s="53" t="s">
        <v>77</v>
      </c>
    </row>
    <row r="3" spans="1:112">
      <c r="A3" s="41" t="s">
        <v>53</v>
      </c>
      <c r="B3" s="42">
        <v>0.79984429999999995</v>
      </c>
      <c r="C3" t="s">
        <v>54</v>
      </c>
    </row>
    <row r="4" spans="1:112">
      <c r="A4" s="41" t="s">
        <v>14</v>
      </c>
      <c r="B4" s="42">
        <v>0.90711739999999996</v>
      </c>
      <c r="C4" t="s">
        <v>54</v>
      </c>
    </row>
    <row r="5" spans="1:112">
      <c r="A5" s="42" t="s">
        <v>57</v>
      </c>
      <c r="B5" s="42">
        <v>5</v>
      </c>
      <c r="C5" s="42"/>
    </row>
    <row r="6" spans="1:112">
      <c r="A6" s="40" t="s">
        <v>59</v>
      </c>
      <c r="B6" s="42">
        <f>+B3/(B5*B4)</f>
        <v>0.17634857406549584</v>
      </c>
      <c r="C6" s="42"/>
    </row>
    <row r="7" spans="1:112">
      <c r="A7" s="40"/>
      <c r="B7" s="42"/>
      <c r="G7" s="42"/>
      <c r="H7" s="42"/>
    </row>
    <row r="9" spans="1:112">
      <c r="G9" s="42"/>
    </row>
    <row r="10" spans="1:112">
      <c r="G10" s="42"/>
      <c r="H10" s="42"/>
      <c r="I10" s="42"/>
    </row>
    <row r="11" spans="1:112">
      <c r="A11" s="40"/>
      <c r="B11" s="42"/>
      <c r="G11" s="42"/>
      <c r="H11" s="42"/>
      <c r="I11" s="42"/>
    </row>
    <row r="12" spans="1:112">
      <c r="A12" s="40"/>
      <c r="B12" s="42"/>
      <c r="G12" s="42"/>
      <c r="H12" s="42"/>
      <c r="I12" s="42"/>
    </row>
    <row r="15" spans="1:112">
      <c r="A15" s="45" t="s">
        <v>78</v>
      </c>
      <c r="B15" s="45">
        <f>+B5</f>
        <v>5</v>
      </c>
      <c r="C15" s="41" t="s">
        <v>79</v>
      </c>
      <c r="D15" s="13">
        <f>+$B$3/(B15*$B$4)</f>
        <v>0.17634857406549584</v>
      </c>
    </row>
    <row r="16" spans="1:112" ht="18.75">
      <c r="A16" s="46" t="s">
        <v>80</v>
      </c>
      <c r="B16" s="47">
        <v>0</v>
      </c>
      <c r="C16" s="47">
        <v>1</v>
      </c>
      <c r="D16" s="47">
        <v>2</v>
      </c>
      <c r="E16" s="47">
        <v>3</v>
      </c>
      <c r="F16" s="47">
        <v>4</v>
      </c>
      <c r="G16" s="47">
        <f t="shared" ref="G16:AL16" si="0">+F16+1</f>
        <v>5</v>
      </c>
      <c r="H16" s="47">
        <f t="shared" si="0"/>
        <v>6</v>
      </c>
      <c r="I16" s="47">
        <f t="shared" si="0"/>
        <v>7</v>
      </c>
      <c r="J16" s="47">
        <f t="shared" si="0"/>
        <v>8</v>
      </c>
      <c r="K16" s="47">
        <f t="shared" si="0"/>
        <v>9</v>
      </c>
      <c r="L16" s="47">
        <f t="shared" si="0"/>
        <v>10</v>
      </c>
      <c r="M16" s="47">
        <f t="shared" si="0"/>
        <v>11</v>
      </c>
      <c r="N16" s="47">
        <f t="shared" si="0"/>
        <v>12</v>
      </c>
      <c r="O16" s="47">
        <f t="shared" si="0"/>
        <v>13</v>
      </c>
      <c r="P16" s="47">
        <f t="shared" si="0"/>
        <v>14</v>
      </c>
      <c r="Q16" s="47">
        <f t="shared" si="0"/>
        <v>15</v>
      </c>
      <c r="R16" s="47">
        <f t="shared" si="0"/>
        <v>16</v>
      </c>
      <c r="S16" s="47">
        <f t="shared" si="0"/>
        <v>17</v>
      </c>
      <c r="T16" s="47">
        <f t="shared" si="0"/>
        <v>18</v>
      </c>
      <c r="U16" s="47">
        <f t="shared" si="0"/>
        <v>19</v>
      </c>
      <c r="V16" s="47">
        <f t="shared" si="0"/>
        <v>20</v>
      </c>
      <c r="W16" s="47">
        <f t="shared" si="0"/>
        <v>21</v>
      </c>
      <c r="X16" s="47">
        <f t="shared" si="0"/>
        <v>22</v>
      </c>
      <c r="Y16" s="47">
        <f t="shared" si="0"/>
        <v>23</v>
      </c>
      <c r="Z16" s="47">
        <f t="shared" si="0"/>
        <v>24</v>
      </c>
      <c r="AA16" s="47">
        <f t="shared" si="0"/>
        <v>25</v>
      </c>
      <c r="AB16" s="47">
        <f t="shared" si="0"/>
        <v>26</v>
      </c>
      <c r="AC16" s="47">
        <f t="shared" si="0"/>
        <v>27</v>
      </c>
      <c r="AD16" s="47">
        <f t="shared" si="0"/>
        <v>28</v>
      </c>
      <c r="AE16" s="47">
        <f t="shared" si="0"/>
        <v>29</v>
      </c>
      <c r="AF16" s="47">
        <f t="shared" si="0"/>
        <v>30</v>
      </c>
      <c r="AG16" s="47">
        <f t="shared" si="0"/>
        <v>31</v>
      </c>
      <c r="AH16" s="47">
        <f t="shared" si="0"/>
        <v>32</v>
      </c>
      <c r="AI16" s="47">
        <f t="shared" si="0"/>
        <v>33</v>
      </c>
      <c r="AJ16" s="47">
        <f t="shared" si="0"/>
        <v>34</v>
      </c>
      <c r="AK16" s="47">
        <f t="shared" si="0"/>
        <v>35</v>
      </c>
      <c r="AL16" s="47">
        <f t="shared" si="0"/>
        <v>36</v>
      </c>
      <c r="AM16" s="47">
        <f t="shared" ref="AM16:BR16" si="1">+AL16+1</f>
        <v>37</v>
      </c>
      <c r="AN16" s="47">
        <f t="shared" si="1"/>
        <v>38</v>
      </c>
      <c r="AO16" s="47">
        <f t="shared" si="1"/>
        <v>39</v>
      </c>
      <c r="AP16" s="47">
        <f t="shared" si="1"/>
        <v>40</v>
      </c>
      <c r="AQ16" s="47">
        <f t="shared" si="1"/>
        <v>41</v>
      </c>
      <c r="AR16" s="47">
        <f t="shared" si="1"/>
        <v>42</v>
      </c>
      <c r="AS16" s="47">
        <f t="shared" si="1"/>
        <v>43</v>
      </c>
      <c r="AT16" s="47">
        <f t="shared" si="1"/>
        <v>44</v>
      </c>
      <c r="AU16" s="47">
        <f t="shared" si="1"/>
        <v>45</v>
      </c>
      <c r="AV16" s="47">
        <f t="shared" si="1"/>
        <v>46</v>
      </c>
      <c r="AW16" s="47">
        <f t="shared" si="1"/>
        <v>47</v>
      </c>
      <c r="AX16" s="47">
        <f t="shared" si="1"/>
        <v>48</v>
      </c>
      <c r="AY16" s="47">
        <f t="shared" si="1"/>
        <v>49</v>
      </c>
      <c r="AZ16" s="47">
        <f t="shared" si="1"/>
        <v>50</v>
      </c>
      <c r="BA16" s="47">
        <f t="shared" si="1"/>
        <v>51</v>
      </c>
      <c r="BB16" s="47">
        <f t="shared" si="1"/>
        <v>52</v>
      </c>
      <c r="BC16" s="47">
        <f t="shared" si="1"/>
        <v>53</v>
      </c>
      <c r="BD16" s="47">
        <f t="shared" si="1"/>
        <v>54</v>
      </c>
      <c r="BE16" s="47">
        <f t="shared" si="1"/>
        <v>55</v>
      </c>
      <c r="BF16" s="47">
        <f t="shared" si="1"/>
        <v>56</v>
      </c>
      <c r="BG16" s="47">
        <f t="shared" si="1"/>
        <v>57</v>
      </c>
      <c r="BH16" s="47">
        <f t="shared" si="1"/>
        <v>58</v>
      </c>
      <c r="BI16" s="47">
        <f t="shared" si="1"/>
        <v>59</v>
      </c>
      <c r="BJ16" s="47">
        <f t="shared" si="1"/>
        <v>60</v>
      </c>
      <c r="BK16" s="47">
        <f t="shared" si="1"/>
        <v>61</v>
      </c>
      <c r="BL16" s="47">
        <f t="shared" si="1"/>
        <v>62</v>
      </c>
      <c r="BM16" s="47">
        <f t="shared" si="1"/>
        <v>63</v>
      </c>
      <c r="BN16" s="47">
        <f t="shared" si="1"/>
        <v>64</v>
      </c>
      <c r="BO16" s="47">
        <f t="shared" si="1"/>
        <v>65</v>
      </c>
      <c r="BP16" s="47">
        <f t="shared" si="1"/>
        <v>66</v>
      </c>
      <c r="BQ16" s="47">
        <f t="shared" si="1"/>
        <v>67</v>
      </c>
      <c r="BR16" s="47">
        <f t="shared" si="1"/>
        <v>68</v>
      </c>
      <c r="BS16" s="47">
        <f t="shared" ref="BS16:CX16" si="2">+BR16+1</f>
        <v>69</v>
      </c>
      <c r="BT16" s="47">
        <f t="shared" si="2"/>
        <v>70</v>
      </c>
      <c r="BU16" s="47">
        <f t="shared" si="2"/>
        <v>71</v>
      </c>
      <c r="BV16" s="47">
        <f t="shared" si="2"/>
        <v>72</v>
      </c>
      <c r="BW16" s="47">
        <f t="shared" si="2"/>
        <v>73</v>
      </c>
      <c r="BX16" s="47">
        <f t="shared" si="2"/>
        <v>74</v>
      </c>
      <c r="BY16" s="47">
        <f t="shared" si="2"/>
        <v>75</v>
      </c>
      <c r="BZ16" s="47">
        <f t="shared" si="2"/>
        <v>76</v>
      </c>
      <c r="CA16" s="47">
        <f t="shared" si="2"/>
        <v>77</v>
      </c>
      <c r="CB16" s="47">
        <f t="shared" si="2"/>
        <v>78</v>
      </c>
      <c r="CC16" s="47">
        <f t="shared" si="2"/>
        <v>79</v>
      </c>
      <c r="CD16" s="47">
        <f t="shared" si="2"/>
        <v>80</v>
      </c>
      <c r="CE16" s="47">
        <f t="shared" si="2"/>
        <v>81</v>
      </c>
      <c r="CF16" s="47">
        <f t="shared" si="2"/>
        <v>82</v>
      </c>
      <c r="CG16" s="47">
        <f t="shared" si="2"/>
        <v>83</v>
      </c>
      <c r="CH16" s="47">
        <f t="shared" si="2"/>
        <v>84</v>
      </c>
      <c r="CI16" s="47">
        <f t="shared" si="2"/>
        <v>85</v>
      </c>
      <c r="CJ16" s="47">
        <f t="shared" si="2"/>
        <v>86</v>
      </c>
      <c r="CK16" s="47">
        <f t="shared" si="2"/>
        <v>87</v>
      </c>
      <c r="CL16" s="47">
        <f t="shared" si="2"/>
        <v>88</v>
      </c>
      <c r="CM16" s="47">
        <f t="shared" si="2"/>
        <v>89</v>
      </c>
      <c r="CN16" s="47">
        <f t="shared" si="2"/>
        <v>90</v>
      </c>
      <c r="CO16" s="47">
        <f t="shared" si="2"/>
        <v>91</v>
      </c>
      <c r="CP16" s="47">
        <f t="shared" si="2"/>
        <v>92</v>
      </c>
      <c r="CQ16" s="47">
        <f t="shared" si="2"/>
        <v>93</v>
      </c>
      <c r="CR16" s="47">
        <f t="shared" si="2"/>
        <v>94</v>
      </c>
      <c r="CS16" s="47">
        <f t="shared" si="2"/>
        <v>95</v>
      </c>
      <c r="CT16" s="47">
        <f t="shared" si="2"/>
        <v>96</v>
      </c>
      <c r="CU16" s="47">
        <f t="shared" si="2"/>
        <v>97</v>
      </c>
      <c r="CV16" s="47">
        <f t="shared" si="2"/>
        <v>98</v>
      </c>
      <c r="CW16" s="47">
        <f t="shared" si="2"/>
        <v>99</v>
      </c>
      <c r="CX16" s="47">
        <f t="shared" si="2"/>
        <v>100</v>
      </c>
      <c r="CY16" s="47">
        <f t="shared" ref="CY16:DH16" si="3">+CX16+1</f>
        <v>101</v>
      </c>
      <c r="CZ16" s="47">
        <f t="shared" si="3"/>
        <v>102</v>
      </c>
      <c r="DA16" s="47">
        <f t="shared" si="3"/>
        <v>103</v>
      </c>
      <c r="DB16" s="47">
        <f t="shared" si="3"/>
        <v>104</v>
      </c>
      <c r="DC16" s="47">
        <f t="shared" si="3"/>
        <v>105</v>
      </c>
      <c r="DD16" s="47">
        <f t="shared" si="3"/>
        <v>106</v>
      </c>
      <c r="DE16" s="47">
        <f t="shared" si="3"/>
        <v>107</v>
      </c>
      <c r="DF16" s="47">
        <f t="shared" si="3"/>
        <v>108</v>
      </c>
      <c r="DG16" s="47">
        <f t="shared" si="3"/>
        <v>109</v>
      </c>
      <c r="DH16" s="47">
        <f t="shared" si="3"/>
        <v>110</v>
      </c>
    </row>
    <row r="17" spans="1:112" ht="18.75">
      <c r="A17" s="48" t="s">
        <v>81</v>
      </c>
      <c r="B17" s="42">
        <f t="shared" ref="B17:AG17" si="4">+IF(B16-$B15&lt;=0,0,B16-$B15)</f>
        <v>0</v>
      </c>
      <c r="C17" s="42">
        <f t="shared" si="4"/>
        <v>0</v>
      </c>
      <c r="D17" s="42">
        <f t="shared" si="4"/>
        <v>0</v>
      </c>
      <c r="E17" s="42">
        <f t="shared" si="4"/>
        <v>0</v>
      </c>
      <c r="F17" s="42">
        <f t="shared" si="4"/>
        <v>0</v>
      </c>
      <c r="G17" s="42">
        <f t="shared" si="4"/>
        <v>0</v>
      </c>
      <c r="H17" s="42">
        <f t="shared" si="4"/>
        <v>1</v>
      </c>
      <c r="I17" s="42">
        <f t="shared" si="4"/>
        <v>2</v>
      </c>
      <c r="J17" s="42">
        <f t="shared" si="4"/>
        <v>3</v>
      </c>
      <c r="K17" s="42">
        <f t="shared" si="4"/>
        <v>4</v>
      </c>
      <c r="L17" s="42">
        <f t="shared" si="4"/>
        <v>5</v>
      </c>
      <c r="M17" s="42">
        <f t="shared" si="4"/>
        <v>6</v>
      </c>
      <c r="N17" s="42">
        <f t="shared" si="4"/>
        <v>7</v>
      </c>
      <c r="O17" s="42">
        <f t="shared" si="4"/>
        <v>8</v>
      </c>
      <c r="P17" s="42">
        <f t="shared" si="4"/>
        <v>9</v>
      </c>
      <c r="Q17" s="42">
        <f t="shared" si="4"/>
        <v>10</v>
      </c>
      <c r="R17" s="42">
        <f t="shared" si="4"/>
        <v>11</v>
      </c>
      <c r="S17" s="42">
        <f t="shared" si="4"/>
        <v>12</v>
      </c>
      <c r="T17" s="42">
        <f t="shared" si="4"/>
        <v>13</v>
      </c>
      <c r="U17" s="42">
        <f t="shared" si="4"/>
        <v>14</v>
      </c>
      <c r="V17" s="42">
        <f t="shared" si="4"/>
        <v>15</v>
      </c>
      <c r="W17" s="42">
        <f t="shared" si="4"/>
        <v>16</v>
      </c>
      <c r="X17" s="42">
        <f t="shared" si="4"/>
        <v>17</v>
      </c>
      <c r="Y17" s="42">
        <f t="shared" si="4"/>
        <v>18</v>
      </c>
      <c r="Z17" s="42">
        <f t="shared" si="4"/>
        <v>19</v>
      </c>
      <c r="AA17" s="42">
        <f t="shared" si="4"/>
        <v>20</v>
      </c>
      <c r="AB17" s="42">
        <f t="shared" si="4"/>
        <v>21</v>
      </c>
      <c r="AC17" s="42">
        <f t="shared" si="4"/>
        <v>22</v>
      </c>
      <c r="AD17" s="42">
        <f t="shared" si="4"/>
        <v>23</v>
      </c>
      <c r="AE17" s="42">
        <f t="shared" si="4"/>
        <v>24</v>
      </c>
      <c r="AF17" s="42">
        <f t="shared" si="4"/>
        <v>25</v>
      </c>
      <c r="AG17" s="42">
        <f t="shared" si="4"/>
        <v>26</v>
      </c>
      <c r="AH17" s="42">
        <f t="shared" ref="AH17:BM17" si="5">+IF(AH16-$B15&lt;=0,0,AH16-$B15)</f>
        <v>27</v>
      </c>
      <c r="AI17" s="42">
        <f t="shared" si="5"/>
        <v>28</v>
      </c>
      <c r="AJ17" s="42">
        <f t="shared" si="5"/>
        <v>29</v>
      </c>
      <c r="AK17" s="42">
        <f t="shared" si="5"/>
        <v>30</v>
      </c>
      <c r="AL17" s="42">
        <f t="shared" si="5"/>
        <v>31</v>
      </c>
      <c r="AM17" s="42">
        <f t="shared" si="5"/>
        <v>32</v>
      </c>
      <c r="AN17" s="42">
        <f t="shared" si="5"/>
        <v>33</v>
      </c>
      <c r="AO17" s="42">
        <f t="shared" si="5"/>
        <v>34</v>
      </c>
      <c r="AP17" s="42">
        <f t="shared" si="5"/>
        <v>35</v>
      </c>
      <c r="AQ17" s="42">
        <f t="shared" si="5"/>
        <v>36</v>
      </c>
      <c r="AR17" s="42">
        <f t="shared" si="5"/>
        <v>37</v>
      </c>
      <c r="AS17" s="42">
        <f t="shared" si="5"/>
        <v>38</v>
      </c>
      <c r="AT17" s="42">
        <f t="shared" si="5"/>
        <v>39</v>
      </c>
      <c r="AU17" s="42">
        <f t="shared" si="5"/>
        <v>40</v>
      </c>
      <c r="AV17" s="42">
        <f t="shared" si="5"/>
        <v>41</v>
      </c>
      <c r="AW17" s="42">
        <f t="shared" si="5"/>
        <v>42</v>
      </c>
      <c r="AX17" s="42">
        <f t="shared" si="5"/>
        <v>43</v>
      </c>
      <c r="AY17" s="42">
        <f t="shared" si="5"/>
        <v>44</v>
      </c>
      <c r="AZ17" s="42">
        <f t="shared" si="5"/>
        <v>45</v>
      </c>
      <c r="BA17" s="42">
        <f t="shared" si="5"/>
        <v>46</v>
      </c>
      <c r="BB17" s="42">
        <f t="shared" si="5"/>
        <v>47</v>
      </c>
      <c r="BC17" s="42">
        <f t="shared" si="5"/>
        <v>48</v>
      </c>
      <c r="BD17" s="42">
        <f t="shared" si="5"/>
        <v>49</v>
      </c>
      <c r="BE17" s="42">
        <f t="shared" si="5"/>
        <v>50</v>
      </c>
      <c r="BF17" s="42">
        <f t="shared" si="5"/>
        <v>51</v>
      </c>
      <c r="BG17" s="42">
        <f t="shared" si="5"/>
        <v>52</v>
      </c>
      <c r="BH17" s="42">
        <f t="shared" si="5"/>
        <v>53</v>
      </c>
      <c r="BI17" s="42">
        <f t="shared" si="5"/>
        <v>54</v>
      </c>
      <c r="BJ17" s="42">
        <f t="shared" si="5"/>
        <v>55</v>
      </c>
      <c r="BK17" s="42">
        <f t="shared" si="5"/>
        <v>56</v>
      </c>
      <c r="BL17" s="42">
        <f t="shared" si="5"/>
        <v>57</v>
      </c>
      <c r="BM17" s="42">
        <f t="shared" si="5"/>
        <v>58</v>
      </c>
      <c r="BN17" s="42">
        <f t="shared" ref="BN17:CS17" si="6">+IF(BN16-$B15&lt;=0,0,BN16-$B15)</f>
        <v>59</v>
      </c>
      <c r="BO17" s="42">
        <f t="shared" si="6"/>
        <v>60</v>
      </c>
      <c r="BP17" s="42">
        <f t="shared" si="6"/>
        <v>61</v>
      </c>
      <c r="BQ17" s="42">
        <f t="shared" si="6"/>
        <v>62</v>
      </c>
      <c r="BR17" s="42">
        <f t="shared" si="6"/>
        <v>63</v>
      </c>
      <c r="BS17" s="42">
        <f t="shared" si="6"/>
        <v>64</v>
      </c>
      <c r="BT17" s="42">
        <f t="shared" si="6"/>
        <v>65</v>
      </c>
      <c r="BU17" s="42">
        <f t="shared" si="6"/>
        <v>66</v>
      </c>
      <c r="BV17" s="42">
        <f t="shared" si="6"/>
        <v>67</v>
      </c>
      <c r="BW17" s="42">
        <f t="shared" si="6"/>
        <v>68</v>
      </c>
      <c r="BX17" s="42">
        <f t="shared" si="6"/>
        <v>69</v>
      </c>
      <c r="BY17" s="42">
        <f t="shared" si="6"/>
        <v>70</v>
      </c>
      <c r="BZ17" s="42">
        <f t="shared" si="6"/>
        <v>71</v>
      </c>
      <c r="CA17" s="42">
        <f t="shared" si="6"/>
        <v>72</v>
      </c>
      <c r="CB17" s="42">
        <f t="shared" si="6"/>
        <v>73</v>
      </c>
      <c r="CC17" s="42">
        <f t="shared" si="6"/>
        <v>74</v>
      </c>
      <c r="CD17" s="42">
        <f t="shared" si="6"/>
        <v>75</v>
      </c>
      <c r="CE17" s="42">
        <f t="shared" si="6"/>
        <v>76</v>
      </c>
      <c r="CF17" s="42">
        <f t="shared" si="6"/>
        <v>77</v>
      </c>
      <c r="CG17" s="42">
        <f t="shared" si="6"/>
        <v>78</v>
      </c>
      <c r="CH17" s="42">
        <f t="shared" si="6"/>
        <v>79</v>
      </c>
      <c r="CI17" s="42">
        <f t="shared" si="6"/>
        <v>80</v>
      </c>
      <c r="CJ17" s="42">
        <f t="shared" si="6"/>
        <v>81</v>
      </c>
      <c r="CK17" s="42">
        <f t="shared" si="6"/>
        <v>82</v>
      </c>
      <c r="CL17" s="42">
        <f t="shared" si="6"/>
        <v>83</v>
      </c>
      <c r="CM17" s="42">
        <f t="shared" si="6"/>
        <v>84</v>
      </c>
      <c r="CN17" s="42">
        <f t="shared" si="6"/>
        <v>85</v>
      </c>
      <c r="CO17" s="42">
        <f t="shared" si="6"/>
        <v>86</v>
      </c>
      <c r="CP17" s="42">
        <f t="shared" si="6"/>
        <v>87</v>
      </c>
      <c r="CQ17" s="42">
        <f t="shared" si="6"/>
        <v>88</v>
      </c>
      <c r="CR17" s="42">
        <f t="shared" si="6"/>
        <v>89</v>
      </c>
      <c r="CS17" s="42">
        <f t="shared" si="6"/>
        <v>90</v>
      </c>
      <c r="CT17" s="42">
        <f t="shared" ref="CT17:DH17" si="7">+IF(CT16-$B15&lt;=0,0,CT16-$B15)</f>
        <v>91</v>
      </c>
      <c r="CU17" s="42">
        <f t="shared" si="7"/>
        <v>92</v>
      </c>
      <c r="CV17" s="42">
        <f t="shared" si="7"/>
        <v>93</v>
      </c>
      <c r="CW17" s="42">
        <f t="shared" si="7"/>
        <v>94</v>
      </c>
      <c r="CX17" s="42">
        <f t="shared" si="7"/>
        <v>95</v>
      </c>
      <c r="CY17" s="42">
        <f t="shared" si="7"/>
        <v>96</v>
      </c>
      <c r="CZ17" s="42">
        <f t="shared" si="7"/>
        <v>97</v>
      </c>
      <c r="DA17" s="42">
        <f t="shared" si="7"/>
        <v>98</v>
      </c>
      <c r="DB17" s="42">
        <f t="shared" si="7"/>
        <v>99</v>
      </c>
      <c r="DC17" s="42">
        <f t="shared" si="7"/>
        <v>100</v>
      </c>
      <c r="DD17" s="42">
        <f t="shared" si="7"/>
        <v>101</v>
      </c>
      <c r="DE17" s="42">
        <f t="shared" si="7"/>
        <v>102</v>
      </c>
      <c r="DF17" s="42">
        <f t="shared" si="7"/>
        <v>103</v>
      </c>
      <c r="DG17" s="42">
        <f t="shared" si="7"/>
        <v>104</v>
      </c>
      <c r="DH17" s="42">
        <f t="shared" si="7"/>
        <v>105</v>
      </c>
    </row>
    <row r="18" spans="1:112" ht="18.75">
      <c r="A18" s="48" t="s">
        <v>82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</row>
    <row r="19" spans="1:112" ht="18.75">
      <c r="A19" s="50" t="s">
        <v>83</v>
      </c>
      <c r="B19" s="42">
        <f t="shared" ref="B19:AG19" si="8">+$B3</f>
        <v>0.79984429999999995</v>
      </c>
      <c r="C19" s="42">
        <f t="shared" si="8"/>
        <v>0.79984429999999995</v>
      </c>
      <c r="D19" s="42">
        <f t="shared" si="8"/>
        <v>0.79984429999999995</v>
      </c>
      <c r="E19" s="42">
        <f t="shared" si="8"/>
        <v>0.79984429999999995</v>
      </c>
      <c r="F19" s="42">
        <f t="shared" si="8"/>
        <v>0.79984429999999995</v>
      </c>
      <c r="G19" s="42">
        <f t="shared" si="8"/>
        <v>0.79984429999999995</v>
      </c>
      <c r="H19" s="42">
        <f t="shared" si="8"/>
        <v>0.79984429999999995</v>
      </c>
      <c r="I19" s="42">
        <f t="shared" si="8"/>
        <v>0.79984429999999995</v>
      </c>
      <c r="J19" s="42">
        <f t="shared" si="8"/>
        <v>0.79984429999999995</v>
      </c>
      <c r="K19" s="42">
        <f t="shared" si="8"/>
        <v>0.79984429999999995</v>
      </c>
      <c r="L19" s="42">
        <f t="shared" si="8"/>
        <v>0.79984429999999995</v>
      </c>
      <c r="M19" s="42">
        <f t="shared" si="8"/>
        <v>0.79984429999999995</v>
      </c>
      <c r="N19" s="42">
        <f t="shared" si="8"/>
        <v>0.79984429999999995</v>
      </c>
      <c r="O19" s="42">
        <f t="shared" si="8"/>
        <v>0.79984429999999995</v>
      </c>
      <c r="P19" s="42">
        <f t="shared" si="8"/>
        <v>0.79984429999999995</v>
      </c>
      <c r="Q19" s="42">
        <f t="shared" si="8"/>
        <v>0.79984429999999995</v>
      </c>
      <c r="R19" s="42">
        <f t="shared" si="8"/>
        <v>0.79984429999999995</v>
      </c>
      <c r="S19" s="42">
        <f t="shared" si="8"/>
        <v>0.79984429999999995</v>
      </c>
      <c r="T19" s="42">
        <f t="shared" si="8"/>
        <v>0.79984429999999995</v>
      </c>
      <c r="U19" s="42">
        <f t="shared" si="8"/>
        <v>0.79984429999999995</v>
      </c>
      <c r="V19" s="42">
        <f t="shared" si="8"/>
        <v>0.79984429999999995</v>
      </c>
      <c r="W19" s="42">
        <f t="shared" si="8"/>
        <v>0.79984429999999995</v>
      </c>
      <c r="X19" s="42">
        <f t="shared" si="8"/>
        <v>0.79984429999999995</v>
      </c>
      <c r="Y19" s="42">
        <f t="shared" si="8"/>
        <v>0.79984429999999995</v>
      </c>
      <c r="Z19" s="42">
        <f t="shared" si="8"/>
        <v>0.79984429999999995</v>
      </c>
      <c r="AA19" s="42">
        <f t="shared" si="8"/>
        <v>0.79984429999999995</v>
      </c>
      <c r="AB19" s="42">
        <f t="shared" si="8"/>
        <v>0.79984429999999995</v>
      </c>
      <c r="AC19" s="42">
        <f t="shared" si="8"/>
        <v>0.79984429999999995</v>
      </c>
      <c r="AD19" s="42">
        <f t="shared" si="8"/>
        <v>0.79984429999999995</v>
      </c>
      <c r="AE19" s="42">
        <f t="shared" si="8"/>
        <v>0.79984429999999995</v>
      </c>
      <c r="AF19" s="42">
        <f t="shared" si="8"/>
        <v>0.79984429999999995</v>
      </c>
      <c r="AG19" s="42">
        <f t="shared" si="8"/>
        <v>0.79984429999999995</v>
      </c>
      <c r="AH19" s="42">
        <f t="shared" ref="AH19:BM19" si="9">+$B3</f>
        <v>0.79984429999999995</v>
      </c>
      <c r="AI19" s="42">
        <f t="shared" si="9"/>
        <v>0.79984429999999995</v>
      </c>
      <c r="AJ19" s="42">
        <f t="shared" si="9"/>
        <v>0.79984429999999995</v>
      </c>
      <c r="AK19" s="42">
        <f t="shared" si="9"/>
        <v>0.79984429999999995</v>
      </c>
      <c r="AL19" s="42">
        <f t="shared" si="9"/>
        <v>0.79984429999999995</v>
      </c>
      <c r="AM19" s="42">
        <f t="shared" si="9"/>
        <v>0.79984429999999995</v>
      </c>
      <c r="AN19" s="42">
        <f t="shared" si="9"/>
        <v>0.79984429999999995</v>
      </c>
      <c r="AO19" s="42">
        <f t="shared" si="9"/>
        <v>0.79984429999999995</v>
      </c>
      <c r="AP19" s="42">
        <f t="shared" si="9"/>
        <v>0.79984429999999995</v>
      </c>
      <c r="AQ19" s="42">
        <f t="shared" si="9"/>
        <v>0.79984429999999995</v>
      </c>
      <c r="AR19" s="42">
        <f t="shared" si="9"/>
        <v>0.79984429999999995</v>
      </c>
      <c r="AS19" s="42">
        <f t="shared" si="9"/>
        <v>0.79984429999999995</v>
      </c>
      <c r="AT19" s="42">
        <f t="shared" si="9"/>
        <v>0.79984429999999995</v>
      </c>
      <c r="AU19" s="42">
        <f t="shared" si="9"/>
        <v>0.79984429999999995</v>
      </c>
      <c r="AV19" s="42">
        <f t="shared" si="9"/>
        <v>0.79984429999999995</v>
      </c>
      <c r="AW19" s="42">
        <f t="shared" si="9"/>
        <v>0.79984429999999995</v>
      </c>
      <c r="AX19" s="42">
        <f t="shared" si="9"/>
        <v>0.79984429999999995</v>
      </c>
      <c r="AY19" s="42">
        <f t="shared" si="9"/>
        <v>0.79984429999999995</v>
      </c>
      <c r="AZ19" s="42">
        <f t="shared" si="9"/>
        <v>0.79984429999999995</v>
      </c>
      <c r="BA19" s="42">
        <f t="shared" si="9"/>
        <v>0.79984429999999995</v>
      </c>
      <c r="BB19" s="42">
        <f t="shared" si="9"/>
        <v>0.79984429999999995</v>
      </c>
      <c r="BC19" s="42">
        <f t="shared" si="9"/>
        <v>0.79984429999999995</v>
      </c>
      <c r="BD19" s="42">
        <f t="shared" si="9"/>
        <v>0.79984429999999995</v>
      </c>
      <c r="BE19" s="42">
        <f t="shared" si="9"/>
        <v>0.79984429999999995</v>
      </c>
      <c r="BF19" s="42">
        <f t="shared" si="9"/>
        <v>0.79984429999999995</v>
      </c>
      <c r="BG19" s="42">
        <f t="shared" si="9"/>
        <v>0.79984429999999995</v>
      </c>
      <c r="BH19" s="42">
        <f t="shared" si="9"/>
        <v>0.79984429999999995</v>
      </c>
      <c r="BI19" s="42">
        <f t="shared" si="9"/>
        <v>0.79984429999999995</v>
      </c>
      <c r="BJ19" s="42">
        <f t="shared" si="9"/>
        <v>0.79984429999999995</v>
      </c>
      <c r="BK19" s="42">
        <f t="shared" si="9"/>
        <v>0.79984429999999995</v>
      </c>
      <c r="BL19" s="42">
        <f t="shared" si="9"/>
        <v>0.79984429999999995</v>
      </c>
      <c r="BM19" s="42">
        <f t="shared" si="9"/>
        <v>0.79984429999999995</v>
      </c>
      <c r="BN19" s="42">
        <f t="shared" ref="BN19:CS19" si="10">+$B3</f>
        <v>0.79984429999999995</v>
      </c>
      <c r="BO19" s="42">
        <f t="shared" si="10"/>
        <v>0.79984429999999995</v>
      </c>
      <c r="BP19" s="42">
        <f t="shared" si="10"/>
        <v>0.79984429999999995</v>
      </c>
      <c r="BQ19" s="42">
        <f t="shared" si="10"/>
        <v>0.79984429999999995</v>
      </c>
      <c r="BR19" s="42">
        <f t="shared" si="10"/>
        <v>0.79984429999999995</v>
      </c>
      <c r="BS19" s="42">
        <f t="shared" si="10"/>
        <v>0.79984429999999995</v>
      </c>
      <c r="BT19" s="42">
        <f t="shared" si="10"/>
        <v>0.79984429999999995</v>
      </c>
      <c r="BU19" s="42">
        <f t="shared" si="10"/>
        <v>0.79984429999999995</v>
      </c>
      <c r="BV19" s="42">
        <f t="shared" si="10"/>
        <v>0.79984429999999995</v>
      </c>
      <c r="BW19" s="42">
        <f t="shared" si="10"/>
        <v>0.79984429999999995</v>
      </c>
      <c r="BX19" s="42">
        <f t="shared" si="10"/>
        <v>0.79984429999999995</v>
      </c>
      <c r="BY19" s="42">
        <f t="shared" si="10"/>
        <v>0.79984429999999995</v>
      </c>
      <c r="BZ19" s="42">
        <f t="shared" si="10"/>
        <v>0.79984429999999995</v>
      </c>
      <c r="CA19" s="42">
        <f t="shared" si="10"/>
        <v>0.79984429999999995</v>
      </c>
      <c r="CB19" s="42">
        <f t="shared" si="10"/>
        <v>0.79984429999999995</v>
      </c>
      <c r="CC19" s="42">
        <f t="shared" si="10"/>
        <v>0.79984429999999995</v>
      </c>
      <c r="CD19" s="42">
        <f t="shared" si="10"/>
        <v>0.79984429999999995</v>
      </c>
      <c r="CE19" s="42">
        <f t="shared" si="10"/>
        <v>0.79984429999999995</v>
      </c>
      <c r="CF19" s="42">
        <f t="shared" si="10"/>
        <v>0.79984429999999995</v>
      </c>
      <c r="CG19" s="42">
        <f t="shared" si="10"/>
        <v>0.79984429999999995</v>
      </c>
      <c r="CH19" s="42">
        <f t="shared" si="10"/>
        <v>0.79984429999999995</v>
      </c>
      <c r="CI19" s="42">
        <f t="shared" si="10"/>
        <v>0.79984429999999995</v>
      </c>
      <c r="CJ19" s="42">
        <f t="shared" si="10"/>
        <v>0.79984429999999995</v>
      </c>
      <c r="CK19" s="42">
        <f t="shared" si="10"/>
        <v>0.79984429999999995</v>
      </c>
      <c r="CL19" s="42">
        <f t="shared" si="10"/>
        <v>0.79984429999999995</v>
      </c>
      <c r="CM19" s="42">
        <f t="shared" si="10"/>
        <v>0.79984429999999995</v>
      </c>
      <c r="CN19" s="42">
        <f t="shared" si="10"/>
        <v>0.79984429999999995</v>
      </c>
      <c r="CO19" s="42">
        <f t="shared" si="10"/>
        <v>0.79984429999999995</v>
      </c>
      <c r="CP19" s="42">
        <f t="shared" si="10"/>
        <v>0.79984429999999995</v>
      </c>
      <c r="CQ19" s="42">
        <f t="shared" si="10"/>
        <v>0.79984429999999995</v>
      </c>
      <c r="CR19" s="42">
        <f t="shared" si="10"/>
        <v>0.79984429999999995</v>
      </c>
      <c r="CS19" s="42">
        <f t="shared" si="10"/>
        <v>0.79984429999999995</v>
      </c>
      <c r="CT19" s="42">
        <f t="shared" ref="CT19:DH19" si="11">+$B3</f>
        <v>0.79984429999999995</v>
      </c>
      <c r="CU19" s="42">
        <f t="shared" si="11"/>
        <v>0.79984429999999995</v>
      </c>
      <c r="CV19" s="42">
        <f t="shared" si="11"/>
        <v>0.79984429999999995</v>
      </c>
      <c r="CW19" s="42">
        <f t="shared" si="11"/>
        <v>0.79984429999999995</v>
      </c>
      <c r="CX19" s="42">
        <f t="shared" si="11"/>
        <v>0.79984429999999995</v>
      </c>
      <c r="CY19" s="42">
        <f t="shared" si="11"/>
        <v>0.79984429999999995</v>
      </c>
      <c r="CZ19" s="42">
        <f t="shared" si="11"/>
        <v>0.79984429999999995</v>
      </c>
      <c r="DA19" s="42">
        <f t="shared" si="11"/>
        <v>0.79984429999999995</v>
      </c>
      <c r="DB19" s="42">
        <f t="shared" si="11"/>
        <v>0.79984429999999995</v>
      </c>
      <c r="DC19" s="42">
        <f t="shared" si="11"/>
        <v>0.79984429999999995</v>
      </c>
      <c r="DD19" s="42">
        <f t="shared" si="11"/>
        <v>0.79984429999999995</v>
      </c>
      <c r="DE19" s="42">
        <f t="shared" si="11"/>
        <v>0.79984429999999995</v>
      </c>
      <c r="DF19" s="42">
        <f t="shared" si="11"/>
        <v>0.79984429999999995</v>
      </c>
      <c r="DG19" s="42">
        <f t="shared" si="11"/>
        <v>0.79984429999999995</v>
      </c>
      <c r="DH19" s="42">
        <f t="shared" si="11"/>
        <v>0.79984429999999995</v>
      </c>
    </row>
    <row r="20" spans="1:112" ht="18.75">
      <c r="A20" s="48" t="s">
        <v>84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</row>
    <row r="21" spans="1:112" ht="18.75">
      <c r="A21" s="50" t="s">
        <v>85</v>
      </c>
      <c r="B21" s="42" cm="1">
        <f t="array" ref="B21">+_xlfn.IFS(B16=0,0,B16-$B15&lt;0,B16*$B4,B16&gt;=$B15,$B15*$B4)</f>
        <v>0</v>
      </c>
      <c r="C21" s="42" cm="1">
        <f t="array" ref="C21">+_xlfn.IFS(C16=0,0,C16-$B15&lt;0,C16*$B4,C16&gt;=$B15,$B15*$B4)</f>
        <v>0.90711739999999996</v>
      </c>
      <c r="D21" s="42" cm="1">
        <f t="array" ref="D21">+_xlfn.IFS(D16=0,0,D16-$B15&lt;0,D16*$B4,D16&gt;=$B15,$B15*$B4)</f>
        <v>1.8142347999999999</v>
      </c>
      <c r="E21" s="42" cm="1">
        <f t="array" ref="E21">+_xlfn.IFS(E16=0,0,E16-$B15&lt;0,E16*$B4,E16&gt;=$B15,$B15*$B4)</f>
        <v>2.7213522000000001</v>
      </c>
      <c r="F21" s="42" cm="1">
        <f t="array" ref="F21">+_xlfn.IFS(F16=0,0,F16-$B15&lt;0,F16*$B4,F16&gt;=$B15,$B15*$B4)</f>
        <v>3.6284695999999999</v>
      </c>
      <c r="G21" s="42" cm="1">
        <f t="array" ref="G21">+_xlfn.IFS(G16=0,0,G16-$B15&lt;0,G16*$B4,G16&gt;=$B15,$B15*$B4)</f>
        <v>4.5355869999999996</v>
      </c>
      <c r="H21" s="42" cm="1">
        <f t="array" ref="H21">+_xlfn.IFS(H16=0,0,H16-$B15&lt;0,H16*$B4,H16&gt;=$B15,$B15*$B4)</f>
        <v>4.5355869999999996</v>
      </c>
      <c r="I21" s="42" cm="1">
        <f t="array" ref="I21">+_xlfn.IFS(I16=0,0,I16-$B15&lt;0,I16*$B4,I16&gt;=$B15,$B15*$B4)</f>
        <v>4.5355869999999996</v>
      </c>
      <c r="J21" s="42" cm="1">
        <f t="array" ref="J21">+_xlfn.IFS(J16=0,0,J16-$B15&lt;0,J16*$B4,J16&gt;=$B15,$B15*$B4)</f>
        <v>4.5355869999999996</v>
      </c>
      <c r="K21" s="42" cm="1">
        <f t="array" ref="K21">+_xlfn.IFS(K16=0,0,K16-$B15&lt;0,K16*$B4,K16&gt;=$B15,$B15*$B4)</f>
        <v>4.5355869999999996</v>
      </c>
      <c r="L21" s="42" cm="1">
        <f t="array" ref="L21">+_xlfn.IFS(L16=0,0,L16-$B15&lt;0,L16*$B4,L16&gt;=$B15,$B15*$B4)</f>
        <v>4.5355869999999996</v>
      </c>
      <c r="M21" s="42" cm="1">
        <f t="array" ref="M21">+_xlfn.IFS(M16=0,0,M16-$B15&lt;0,M16*$B4,M16&gt;=$B15,$B15*$B4)</f>
        <v>4.5355869999999996</v>
      </c>
      <c r="N21" s="42" cm="1">
        <f t="array" ref="N21">+_xlfn.IFS(N16=0,0,N16-$B15&lt;0,N16*$B4,N16&gt;=$B15,$B15*$B4)</f>
        <v>4.5355869999999996</v>
      </c>
      <c r="O21" s="42" cm="1">
        <f t="array" ref="O21">+_xlfn.IFS(O16=0,0,O16-$B15&lt;0,O16*$B4,O16&gt;=$B15,$B15*$B4)</f>
        <v>4.5355869999999996</v>
      </c>
      <c r="P21" s="42" cm="1">
        <f t="array" ref="P21">+_xlfn.IFS(P16=0,0,P16-$B15&lt;0,P16*$B4,P16&gt;=$B15,$B15*$B4)</f>
        <v>4.5355869999999996</v>
      </c>
      <c r="Q21" s="42" cm="1">
        <f t="array" ref="Q21">+_xlfn.IFS(Q16=0,0,Q16-$B15&lt;0,Q16*$B4,Q16&gt;=$B15,$B15*$B4)</f>
        <v>4.5355869999999996</v>
      </c>
      <c r="R21" s="42" cm="1">
        <f t="array" ref="R21">+_xlfn.IFS(R16=0,0,R16-$B15&lt;0,R16*$B4,R16&gt;=$B15,$B15*$B4)</f>
        <v>4.5355869999999996</v>
      </c>
      <c r="S21" s="42" cm="1">
        <f t="array" ref="S21">+_xlfn.IFS(S16=0,0,S16-$B15&lt;0,S16*$B4,S16&gt;=$B15,$B15*$B4)</f>
        <v>4.5355869999999996</v>
      </c>
      <c r="T21" s="42" cm="1">
        <f t="array" ref="T21">+_xlfn.IFS(T16=0,0,T16-$B15&lt;0,T16*$B4,T16&gt;=$B15,$B15*$B4)</f>
        <v>4.5355869999999996</v>
      </c>
      <c r="U21" s="42" cm="1">
        <f t="array" ref="U21">+_xlfn.IFS(U16=0,0,U16-$B15&lt;0,U16*$B4,U16&gt;=$B15,$B15*$B4)</f>
        <v>4.5355869999999996</v>
      </c>
      <c r="V21" s="42" cm="1">
        <f t="array" ref="V21">+_xlfn.IFS(V16=0,0,V16-$B15&lt;0,V16*$B4,V16&gt;=$B15,$B15*$B4)</f>
        <v>4.5355869999999996</v>
      </c>
      <c r="W21" s="42" cm="1">
        <f t="array" ref="W21">+_xlfn.IFS(W16=0,0,W16-$B15&lt;0,W16*$B4,W16&gt;=$B15,$B15*$B4)</f>
        <v>4.5355869999999996</v>
      </c>
      <c r="X21" s="42" cm="1">
        <f t="array" ref="X21">+_xlfn.IFS(X16=0,0,X16-$B15&lt;0,X16*$B4,X16&gt;=$B15,$B15*$B4)</f>
        <v>4.5355869999999996</v>
      </c>
      <c r="Y21" s="42" cm="1">
        <f t="array" ref="Y21">+_xlfn.IFS(Y16=0,0,Y16-$B15&lt;0,Y16*$B4,Y16&gt;=$B15,$B15*$B4)</f>
        <v>4.5355869999999996</v>
      </c>
      <c r="Z21" s="42" cm="1">
        <f t="array" ref="Z21">+_xlfn.IFS(Z16=0,0,Z16-$B15&lt;0,Z16*$B4,Z16&gt;=$B15,$B15*$B4)</f>
        <v>4.5355869999999996</v>
      </c>
      <c r="AA21" s="42" cm="1">
        <f t="array" ref="AA21">+_xlfn.IFS(AA16=0,0,AA16-$B15&lt;0,AA16*$B4,AA16&gt;=$B15,$B15*$B4)</f>
        <v>4.5355869999999996</v>
      </c>
      <c r="AB21" s="42" cm="1">
        <f t="array" ref="AB21">+_xlfn.IFS(AB16=0,0,AB16-$B15&lt;0,AB16*$B4,AB16&gt;=$B15,$B15*$B4)</f>
        <v>4.5355869999999996</v>
      </c>
      <c r="AC21" s="42" cm="1">
        <f t="array" ref="AC21">+_xlfn.IFS(AC16=0,0,AC16-$B15&lt;0,AC16*$B4,AC16&gt;=$B15,$B15*$B4)</f>
        <v>4.5355869999999996</v>
      </c>
      <c r="AD21" s="42" cm="1">
        <f t="array" ref="AD21">+_xlfn.IFS(AD16=0,0,AD16-$B15&lt;0,AD16*$B4,AD16&gt;=$B15,$B15*$B4)</f>
        <v>4.5355869999999996</v>
      </c>
      <c r="AE21" s="42" cm="1">
        <f t="array" ref="AE21">+_xlfn.IFS(AE16=0,0,AE16-$B15&lt;0,AE16*$B4,AE16&gt;=$B15,$B15*$B4)</f>
        <v>4.5355869999999996</v>
      </c>
      <c r="AF21" s="42" cm="1">
        <f t="array" ref="AF21">+_xlfn.IFS(AF16=0,0,AF16-$B15&lt;0,AF16*$B4,AF16&gt;=$B15,$B15*$B4)</f>
        <v>4.5355869999999996</v>
      </c>
      <c r="AG21" s="42" cm="1">
        <f t="array" ref="AG21">+_xlfn.IFS(AG16=0,0,AG16-$B15&lt;0,AG16*$B4,AG16&gt;=$B15,$B15*$B4)</f>
        <v>4.5355869999999996</v>
      </c>
      <c r="AH21" s="42" cm="1">
        <f t="array" ref="AH21">+_xlfn.IFS(AH16=0,0,AH16-$B15&lt;0,AH16*$B4,AH16&gt;=$B15,$B15*$B4)</f>
        <v>4.5355869999999996</v>
      </c>
      <c r="AI21" s="42" cm="1">
        <f t="array" ref="AI21">+_xlfn.IFS(AI16=0,0,AI16-$B15&lt;0,AI16*$B4,AI16&gt;=$B15,$B15*$B4)</f>
        <v>4.5355869999999996</v>
      </c>
      <c r="AJ21" s="42" cm="1">
        <f t="array" ref="AJ21">+_xlfn.IFS(AJ16=0,0,AJ16-$B15&lt;0,AJ16*$B4,AJ16&gt;=$B15,$B15*$B4)</f>
        <v>4.5355869999999996</v>
      </c>
      <c r="AK21" s="42" cm="1">
        <f t="array" ref="AK21">+_xlfn.IFS(AK16=0,0,AK16-$B15&lt;0,AK16*$B4,AK16&gt;=$B15,$B15*$B4)</f>
        <v>4.5355869999999996</v>
      </c>
      <c r="AL21" s="42" cm="1">
        <f t="array" ref="AL21">+_xlfn.IFS(AL16=0,0,AL16-$B15&lt;0,AL16*$B4,AL16&gt;=$B15,$B15*$B4)</f>
        <v>4.5355869999999996</v>
      </c>
      <c r="AM21" s="42" cm="1">
        <f t="array" ref="AM21">+_xlfn.IFS(AM16=0,0,AM16-$B15&lt;0,AM16*$B4,AM16&gt;=$B15,$B15*$B4)</f>
        <v>4.5355869999999996</v>
      </c>
      <c r="AN21" s="42" cm="1">
        <f t="array" ref="AN21">+_xlfn.IFS(AN16=0,0,AN16-$B15&lt;0,AN16*$B4,AN16&gt;=$B15,$B15*$B4)</f>
        <v>4.5355869999999996</v>
      </c>
      <c r="AO21" s="42" cm="1">
        <f t="array" ref="AO21">+_xlfn.IFS(AO16=0,0,AO16-$B15&lt;0,AO16*$B4,AO16&gt;=$B15,$B15*$B4)</f>
        <v>4.5355869999999996</v>
      </c>
      <c r="AP21" s="42" cm="1">
        <f t="array" ref="AP21">+_xlfn.IFS(AP16=0,0,AP16-$B15&lt;0,AP16*$B4,AP16&gt;=$B15,$B15*$B4)</f>
        <v>4.5355869999999996</v>
      </c>
      <c r="AQ21" s="42" cm="1">
        <f t="array" ref="AQ21">+_xlfn.IFS(AQ16=0,0,AQ16-$B15&lt;0,AQ16*$B4,AQ16&gt;=$B15,$B15*$B4)</f>
        <v>4.5355869999999996</v>
      </c>
      <c r="AR21" s="42" cm="1">
        <f t="array" ref="AR21">+_xlfn.IFS(AR16=0,0,AR16-$B15&lt;0,AR16*$B4,AR16&gt;=$B15,$B15*$B4)</f>
        <v>4.5355869999999996</v>
      </c>
      <c r="AS21" s="42" cm="1">
        <f t="array" ref="AS21">+_xlfn.IFS(AS16=0,0,AS16-$B15&lt;0,AS16*$B4,AS16&gt;=$B15,$B15*$B4)</f>
        <v>4.5355869999999996</v>
      </c>
      <c r="AT21" s="42" cm="1">
        <f t="array" ref="AT21">+_xlfn.IFS(AT16=0,0,AT16-$B15&lt;0,AT16*$B4,AT16&gt;=$B15,$B15*$B4)</f>
        <v>4.5355869999999996</v>
      </c>
      <c r="AU21" s="42" cm="1">
        <f t="array" ref="AU21">+_xlfn.IFS(AU16=0,0,AU16-$B15&lt;0,AU16*$B4,AU16&gt;=$B15,$B15*$B4)</f>
        <v>4.5355869999999996</v>
      </c>
      <c r="AV21" s="42" cm="1">
        <f t="array" ref="AV21">+_xlfn.IFS(AV16=0,0,AV16-$B15&lt;0,AV16*$B4,AV16&gt;=$B15,$B15*$B4)</f>
        <v>4.5355869999999996</v>
      </c>
      <c r="AW21" s="42" cm="1">
        <f t="array" ref="AW21">+_xlfn.IFS(AW16=0,0,AW16-$B15&lt;0,AW16*$B4,AW16&gt;=$B15,$B15*$B4)</f>
        <v>4.5355869999999996</v>
      </c>
      <c r="AX21" s="42" cm="1">
        <f t="array" ref="AX21">+_xlfn.IFS(AX16=0,0,AX16-$B15&lt;0,AX16*$B4,AX16&gt;=$B15,$B15*$B4)</f>
        <v>4.5355869999999996</v>
      </c>
      <c r="AY21" s="42" cm="1">
        <f t="array" ref="AY21">+_xlfn.IFS(AY16=0,0,AY16-$B15&lt;0,AY16*$B4,AY16&gt;=$B15,$B15*$B4)</f>
        <v>4.5355869999999996</v>
      </c>
      <c r="AZ21" s="42" cm="1">
        <f t="array" ref="AZ21">+_xlfn.IFS(AZ16=0,0,AZ16-$B15&lt;0,AZ16*$B4,AZ16&gt;=$B15,$B15*$B4)</f>
        <v>4.5355869999999996</v>
      </c>
      <c r="BA21" s="42" cm="1">
        <f t="array" ref="BA21">+_xlfn.IFS(BA16=0,0,BA16-$B15&lt;0,BA16*$B4,BA16&gt;=$B15,$B15*$B4)</f>
        <v>4.5355869999999996</v>
      </c>
      <c r="BB21" s="42" cm="1">
        <f t="array" ref="BB21">+_xlfn.IFS(BB16=0,0,BB16-$B15&lt;0,BB16*$B4,BB16&gt;=$B15,$B15*$B4)</f>
        <v>4.5355869999999996</v>
      </c>
      <c r="BC21" s="42" cm="1">
        <f t="array" ref="BC21">+_xlfn.IFS(BC16=0,0,BC16-$B15&lt;0,BC16*$B4,BC16&gt;=$B15,$B15*$B4)</f>
        <v>4.5355869999999996</v>
      </c>
      <c r="BD21" s="42" cm="1">
        <f t="array" ref="BD21">+_xlfn.IFS(BD16=0,0,BD16-$B15&lt;0,BD16*$B4,BD16&gt;=$B15,$B15*$B4)</f>
        <v>4.5355869999999996</v>
      </c>
      <c r="BE21" s="42" cm="1">
        <f t="array" ref="BE21">+_xlfn.IFS(BE16=0,0,BE16-$B15&lt;0,BE16*$B4,BE16&gt;=$B15,$B15*$B4)</f>
        <v>4.5355869999999996</v>
      </c>
      <c r="BF21" s="42" cm="1">
        <f t="array" ref="BF21">+_xlfn.IFS(BF16=0,0,BF16-$B15&lt;0,BF16*$B4,BF16&gt;=$B15,$B15*$B4)</f>
        <v>4.5355869999999996</v>
      </c>
      <c r="BG21" s="42" cm="1">
        <f t="array" ref="BG21">+_xlfn.IFS(BG16=0,0,BG16-$B15&lt;0,BG16*$B4,BG16&gt;=$B15,$B15*$B4)</f>
        <v>4.5355869999999996</v>
      </c>
      <c r="BH21" s="42" cm="1">
        <f t="array" ref="BH21">+_xlfn.IFS(BH16=0,0,BH16-$B15&lt;0,BH16*$B4,BH16&gt;=$B15,$B15*$B4)</f>
        <v>4.5355869999999996</v>
      </c>
      <c r="BI21" s="42" cm="1">
        <f t="array" ref="BI21">+_xlfn.IFS(BI16=0,0,BI16-$B15&lt;0,BI16*$B4,BI16&gt;=$B15,$B15*$B4)</f>
        <v>4.5355869999999996</v>
      </c>
      <c r="BJ21" s="42" cm="1">
        <f t="array" ref="BJ21">+_xlfn.IFS(BJ16=0,0,BJ16-$B15&lt;0,BJ16*$B4,BJ16&gt;=$B15,$B15*$B4)</f>
        <v>4.5355869999999996</v>
      </c>
      <c r="BK21" s="42" cm="1">
        <f t="array" ref="BK21">+_xlfn.IFS(BK16=0,0,BK16-$B15&lt;0,BK16*$B4,BK16&gt;=$B15,$B15*$B4)</f>
        <v>4.5355869999999996</v>
      </c>
      <c r="BL21" s="42" cm="1">
        <f t="array" ref="BL21">+_xlfn.IFS(BL16=0,0,BL16-$B15&lt;0,BL16*$B4,BL16&gt;=$B15,$B15*$B4)</f>
        <v>4.5355869999999996</v>
      </c>
      <c r="BM21" s="42" cm="1">
        <f t="array" ref="BM21">+_xlfn.IFS(BM16=0,0,BM16-$B15&lt;0,BM16*$B4,BM16&gt;=$B15,$B15*$B4)</f>
        <v>4.5355869999999996</v>
      </c>
      <c r="BN21" s="42" cm="1">
        <f t="array" ref="BN21">+_xlfn.IFS(BN16=0,0,BN16-$B15&lt;0,BN16*$B4,BN16&gt;=$B15,$B15*$B4)</f>
        <v>4.5355869999999996</v>
      </c>
      <c r="BO21" s="42" cm="1">
        <f t="array" ref="BO21">+_xlfn.IFS(BO16=0,0,BO16-$B15&lt;0,BO16*$B4,BO16&gt;=$B15,$B15*$B4)</f>
        <v>4.5355869999999996</v>
      </c>
      <c r="BP21" s="42" cm="1">
        <f t="array" ref="BP21">+_xlfn.IFS(BP16=0,0,BP16-$B15&lt;0,BP16*$B4,BP16&gt;=$B15,$B15*$B4)</f>
        <v>4.5355869999999996</v>
      </c>
      <c r="BQ21" s="42" cm="1">
        <f t="array" ref="BQ21">+_xlfn.IFS(BQ16=0,0,BQ16-$B15&lt;0,BQ16*$B4,BQ16&gt;=$B15,$B15*$B4)</f>
        <v>4.5355869999999996</v>
      </c>
      <c r="BR21" s="42" cm="1">
        <f t="array" ref="BR21">+_xlfn.IFS(BR16=0,0,BR16-$B15&lt;0,BR16*$B4,BR16&gt;=$B15,$B15*$B4)</f>
        <v>4.5355869999999996</v>
      </c>
      <c r="BS21" s="42" cm="1">
        <f t="array" ref="BS21">+_xlfn.IFS(BS16=0,0,BS16-$B15&lt;0,BS16*$B4,BS16&gt;=$B15,$B15*$B4)</f>
        <v>4.5355869999999996</v>
      </c>
      <c r="BT21" s="42" cm="1">
        <f t="array" ref="BT21">+_xlfn.IFS(BT16=0,0,BT16-$B15&lt;0,BT16*$B4,BT16&gt;=$B15,$B15*$B4)</f>
        <v>4.5355869999999996</v>
      </c>
      <c r="BU21" s="42" cm="1">
        <f t="array" ref="BU21">+_xlfn.IFS(BU16=0,0,BU16-$B15&lt;0,BU16*$B4,BU16&gt;=$B15,$B15*$B4)</f>
        <v>4.5355869999999996</v>
      </c>
      <c r="BV21" s="42" cm="1">
        <f t="array" ref="BV21">+_xlfn.IFS(BV16=0,0,BV16-$B15&lt;0,BV16*$B4,BV16&gt;=$B15,$B15*$B4)</f>
        <v>4.5355869999999996</v>
      </c>
      <c r="BW21" s="42" cm="1">
        <f t="array" ref="BW21">+_xlfn.IFS(BW16=0,0,BW16-$B15&lt;0,BW16*$B4,BW16&gt;=$B15,$B15*$B4)</f>
        <v>4.5355869999999996</v>
      </c>
      <c r="BX21" s="42" cm="1">
        <f t="array" ref="BX21">+_xlfn.IFS(BX16=0,0,BX16-$B15&lt;0,BX16*$B4,BX16&gt;=$B15,$B15*$B4)</f>
        <v>4.5355869999999996</v>
      </c>
      <c r="BY21" s="42" cm="1">
        <f t="array" ref="BY21">+_xlfn.IFS(BY16=0,0,BY16-$B15&lt;0,BY16*$B4,BY16&gt;=$B15,$B15*$B4)</f>
        <v>4.5355869999999996</v>
      </c>
      <c r="BZ21" s="42" cm="1">
        <f t="array" ref="BZ21">+_xlfn.IFS(BZ16=0,0,BZ16-$B15&lt;0,BZ16*$B4,BZ16&gt;=$B15,$B15*$B4)</f>
        <v>4.5355869999999996</v>
      </c>
      <c r="CA21" s="42" cm="1">
        <f t="array" ref="CA21">+_xlfn.IFS(CA16=0,0,CA16-$B15&lt;0,CA16*$B4,CA16&gt;=$B15,$B15*$B4)</f>
        <v>4.5355869999999996</v>
      </c>
      <c r="CB21" s="42" cm="1">
        <f t="array" ref="CB21">+_xlfn.IFS(CB16=0,0,CB16-$B15&lt;0,CB16*$B4,CB16&gt;=$B15,$B15*$B4)</f>
        <v>4.5355869999999996</v>
      </c>
      <c r="CC21" s="42" cm="1">
        <f t="array" ref="CC21">+_xlfn.IFS(CC16=0,0,CC16-$B15&lt;0,CC16*$B4,CC16&gt;=$B15,$B15*$B4)</f>
        <v>4.5355869999999996</v>
      </c>
      <c r="CD21" s="42" cm="1">
        <f t="array" ref="CD21">+_xlfn.IFS(CD16=0,0,CD16-$B15&lt;0,CD16*$B4,CD16&gt;=$B15,$B15*$B4)</f>
        <v>4.5355869999999996</v>
      </c>
      <c r="CE21" s="42" cm="1">
        <f t="array" ref="CE21">+_xlfn.IFS(CE16=0,0,CE16-$B15&lt;0,CE16*$B4,CE16&gt;=$B15,$B15*$B4)</f>
        <v>4.5355869999999996</v>
      </c>
      <c r="CF21" s="42" cm="1">
        <f t="array" ref="CF21">+_xlfn.IFS(CF16=0,0,CF16-$B15&lt;0,CF16*$B4,CF16&gt;=$B15,$B15*$B4)</f>
        <v>4.5355869999999996</v>
      </c>
      <c r="CG21" s="42" cm="1">
        <f t="array" ref="CG21">+_xlfn.IFS(CG16=0,0,CG16-$B15&lt;0,CG16*$B4,CG16&gt;=$B15,$B15*$B4)</f>
        <v>4.5355869999999996</v>
      </c>
      <c r="CH21" s="42" cm="1">
        <f t="array" ref="CH21">+_xlfn.IFS(CH16=0,0,CH16-$B15&lt;0,CH16*$B4,CH16&gt;=$B15,$B15*$B4)</f>
        <v>4.5355869999999996</v>
      </c>
      <c r="CI21" s="42" cm="1">
        <f t="array" ref="CI21">+_xlfn.IFS(CI16=0,0,CI16-$B15&lt;0,CI16*$B4,CI16&gt;=$B15,$B15*$B4)</f>
        <v>4.5355869999999996</v>
      </c>
      <c r="CJ21" s="42" cm="1">
        <f t="array" ref="CJ21">+_xlfn.IFS(CJ16=0,0,CJ16-$B15&lt;0,CJ16*$B4,CJ16&gt;=$B15,$B15*$B4)</f>
        <v>4.5355869999999996</v>
      </c>
      <c r="CK21" s="42" cm="1">
        <f t="array" ref="CK21">+_xlfn.IFS(CK16=0,0,CK16-$B15&lt;0,CK16*$B4,CK16&gt;=$B15,$B15*$B4)</f>
        <v>4.5355869999999996</v>
      </c>
      <c r="CL21" s="42" cm="1">
        <f t="array" ref="CL21">+_xlfn.IFS(CL16=0,0,CL16-$B15&lt;0,CL16*$B4,CL16&gt;=$B15,$B15*$B4)</f>
        <v>4.5355869999999996</v>
      </c>
      <c r="CM21" s="42" cm="1">
        <f t="array" ref="CM21">+_xlfn.IFS(CM16=0,0,CM16-$B15&lt;0,CM16*$B4,CM16&gt;=$B15,$B15*$B4)</f>
        <v>4.5355869999999996</v>
      </c>
      <c r="CN21" s="42" cm="1">
        <f t="array" ref="CN21">+_xlfn.IFS(CN16=0,0,CN16-$B15&lt;0,CN16*$B4,CN16&gt;=$B15,$B15*$B4)</f>
        <v>4.5355869999999996</v>
      </c>
      <c r="CO21" s="42" cm="1">
        <f t="array" ref="CO21">+_xlfn.IFS(CO16=0,0,CO16-$B15&lt;0,CO16*$B4,CO16&gt;=$B15,$B15*$B4)</f>
        <v>4.5355869999999996</v>
      </c>
      <c r="CP21" s="42" cm="1">
        <f t="array" ref="CP21">+_xlfn.IFS(CP16=0,0,CP16-$B15&lt;0,CP16*$B4,CP16&gt;=$B15,$B15*$B4)</f>
        <v>4.5355869999999996</v>
      </c>
      <c r="CQ21" s="42" cm="1">
        <f t="array" ref="CQ21">+_xlfn.IFS(CQ16=0,0,CQ16-$B15&lt;0,CQ16*$B4,CQ16&gt;=$B15,$B15*$B4)</f>
        <v>4.5355869999999996</v>
      </c>
      <c r="CR21" s="42" cm="1">
        <f t="array" ref="CR21">+_xlfn.IFS(CR16=0,0,CR16-$B15&lt;0,CR16*$B4,CR16&gt;=$B15,$B15*$B4)</f>
        <v>4.5355869999999996</v>
      </c>
      <c r="CS21" s="42" cm="1">
        <f t="array" ref="CS21">+_xlfn.IFS(CS16=0,0,CS16-$B15&lt;0,CS16*$B4,CS16&gt;=$B15,$B15*$B4)</f>
        <v>4.5355869999999996</v>
      </c>
      <c r="CT21" s="42" cm="1">
        <f t="array" ref="CT21">+_xlfn.IFS(CT16=0,0,CT16-$B15&lt;0,CT16*$B4,CT16&gt;=$B15,$B15*$B4)</f>
        <v>4.5355869999999996</v>
      </c>
      <c r="CU21" s="42" cm="1">
        <f t="array" ref="CU21">+_xlfn.IFS(CU16=0,0,CU16-$B15&lt;0,CU16*$B4,CU16&gt;=$B15,$B15*$B4)</f>
        <v>4.5355869999999996</v>
      </c>
      <c r="CV21" s="42" cm="1">
        <f t="array" ref="CV21">+_xlfn.IFS(CV16=0,0,CV16-$B15&lt;0,CV16*$B4,CV16&gt;=$B15,$B15*$B4)</f>
        <v>4.5355869999999996</v>
      </c>
      <c r="CW21" s="42" cm="1">
        <f t="array" ref="CW21">+_xlfn.IFS(CW16=0,0,CW16-$B15&lt;0,CW16*$B4,CW16&gt;=$B15,$B15*$B4)</f>
        <v>4.5355869999999996</v>
      </c>
      <c r="CX21" s="42" cm="1">
        <f t="array" ref="CX21">+_xlfn.IFS(CX16=0,0,CX16-$B15&lt;0,CX16*$B4,CX16&gt;=$B15,$B15*$B4)</f>
        <v>4.5355869999999996</v>
      </c>
      <c r="CY21" s="42" cm="1">
        <f t="array" ref="CY21">+_xlfn.IFS(CY16=0,0,CY16-$B15&lt;0,CY16*$B4,CY16&gt;=$B15,$B15*$B4)</f>
        <v>4.5355869999999996</v>
      </c>
      <c r="CZ21" s="42" cm="1">
        <f t="array" ref="CZ21">+_xlfn.IFS(CZ16=0,0,CZ16-$B15&lt;0,CZ16*$B4,CZ16&gt;=$B15,$B15*$B4)</f>
        <v>4.5355869999999996</v>
      </c>
      <c r="DA21" s="42" cm="1">
        <f t="array" ref="DA21">+_xlfn.IFS(DA16=0,0,DA16-$B15&lt;0,DA16*$B4,DA16&gt;=$B15,$B15*$B4)</f>
        <v>4.5355869999999996</v>
      </c>
      <c r="DB21" s="42" cm="1">
        <f t="array" ref="DB21">+_xlfn.IFS(DB16=0,0,DB16-$B15&lt;0,DB16*$B4,DB16&gt;=$B15,$B15*$B4)</f>
        <v>4.5355869999999996</v>
      </c>
      <c r="DC21" s="42" cm="1">
        <f t="array" ref="DC21">+_xlfn.IFS(DC16=0,0,DC16-$B15&lt;0,DC16*$B4,DC16&gt;=$B15,$B15*$B4)</f>
        <v>4.5355869999999996</v>
      </c>
      <c r="DD21" s="42" cm="1">
        <f t="array" ref="DD21">+_xlfn.IFS(DD16=0,0,DD16-$B15&lt;0,DD16*$B4,DD16&gt;=$B15,$B15*$B4)</f>
        <v>4.5355869999999996</v>
      </c>
      <c r="DE21" s="42" cm="1">
        <f t="array" ref="DE21">+_xlfn.IFS(DE16=0,0,DE16-$B15&lt;0,DE16*$B4,DE16&gt;=$B15,$B15*$B4)</f>
        <v>4.5355869999999996</v>
      </c>
      <c r="DF21" s="42" cm="1">
        <f t="array" ref="DF21">+_xlfn.IFS(DF16=0,0,DF16-$B15&lt;0,DF16*$B4,DF16&gt;=$B15,$B15*$B4)</f>
        <v>4.5355869999999996</v>
      </c>
      <c r="DG21" s="42" cm="1">
        <f t="array" ref="DG21">+_xlfn.IFS(DG16=0,0,DG16-$B15&lt;0,DG16*$B4,DG16&gt;=$B15,$B15*$B4)</f>
        <v>4.5355869999999996</v>
      </c>
      <c r="DH21" s="42" cm="1">
        <f t="array" ref="DH21">+_xlfn.IFS(DH16=0,0,DH16-$B15&lt;0,DH16*$B4,DH16&gt;=$B15,$B15*$B4)</f>
        <v>4.5355869999999996</v>
      </c>
    </row>
    <row r="22" spans="1:112" ht="18.75">
      <c r="A22" s="48" t="s">
        <v>86</v>
      </c>
      <c r="B22" s="51">
        <f>1/SUM(B23:DH23)</f>
        <v>0.41402531558112032</v>
      </c>
      <c r="C22" s="42">
        <f t="shared" ref="C22:AH22" si="12">+$B22*C23</f>
        <v>0.36506387014873737</v>
      </c>
      <c r="D22" s="42">
        <f t="shared" si="12"/>
        <v>0.1609462323589029</v>
      </c>
      <c r="E22" s="42">
        <f t="shared" si="12"/>
        <v>4.730439762951081E-2</v>
      </c>
      <c r="F22" s="42">
        <f t="shared" si="12"/>
        <v>1.0427578836239315E-2</v>
      </c>
      <c r="G22" s="42">
        <f t="shared" si="12"/>
        <v>1.8388886587263459E-3</v>
      </c>
      <c r="H22" s="42">
        <f t="shared" si="12"/>
        <v>3.2428539283160324E-4</v>
      </c>
      <c r="I22" s="42">
        <f t="shared" si="12"/>
        <v>5.7187266616122395E-5</v>
      </c>
      <c r="J22" s="42">
        <f t="shared" si="12"/>
        <v>1.0084892922456517E-5</v>
      </c>
      <c r="K22" s="42">
        <f t="shared" si="12"/>
        <v>1.7784564864784177E-6</v>
      </c>
      <c r="L22" s="42">
        <f t="shared" si="12"/>
        <v>3.1362826542800071E-7</v>
      </c>
      <c r="M22" s="42">
        <f t="shared" si="12"/>
        <v>5.5307897394862763E-8</v>
      </c>
      <c r="N22" s="42">
        <f t="shared" si="12"/>
        <v>9.7534688401447992E-9</v>
      </c>
      <c r="O22" s="42">
        <f t="shared" si="12"/>
        <v>1.7200103221517808E-9</v>
      </c>
      <c r="P22" s="42">
        <f t="shared" si="12"/>
        <v>3.0332136768940067E-10</v>
      </c>
      <c r="Q22" s="42">
        <f t="shared" si="12"/>
        <v>5.3490290675621757E-11</v>
      </c>
      <c r="R22" s="42">
        <f t="shared" si="12"/>
        <v>9.4329364869947841E-12</v>
      </c>
      <c r="S22" s="42">
        <f t="shared" si="12"/>
        <v>1.6634848987319177E-12</v>
      </c>
      <c r="T22" s="42">
        <f t="shared" si="12"/>
        <v>2.9335318987085941E-13</v>
      </c>
      <c r="U22" s="42">
        <f t="shared" si="12"/>
        <v>5.1732416731290699E-14</v>
      </c>
      <c r="V22" s="42">
        <f t="shared" si="12"/>
        <v>9.1229379235251128E-15</v>
      </c>
      <c r="W22" s="42">
        <f t="shared" si="12"/>
        <v>1.6088170941016889E-15</v>
      </c>
      <c r="X22" s="42">
        <f t="shared" si="12"/>
        <v>2.837126004770275E-16</v>
      </c>
      <c r="Y22" s="42">
        <f t="shared" si="12"/>
        <v>5.0032312538537512E-17</v>
      </c>
      <c r="Z22" s="42">
        <f t="shared" si="12"/>
        <v>8.8231269733703188E-18</v>
      </c>
      <c r="AA22" s="42">
        <f t="shared" si="12"/>
        <v>1.5559458605526695E-18</v>
      </c>
      <c r="AB22" s="42">
        <f t="shared" si="12"/>
        <v>2.7438883383157405E-19</v>
      </c>
      <c r="AC22" s="42">
        <f t="shared" si="12"/>
        <v>4.8388079585692364E-20</v>
      </c>
      <c r="AD22" s="42">
        <f t="shared" si="12"/>
        <v>8.5331688367045778E-21</v>
      </c>
      <c r="AE22" s="42">
        <f t="shared" si="12"/>
        <v>1.5048121566129782E-21</v>
      </c>
      <c r="AF22" s="42">
        <f t="shared" si="12"/>
        <v>2.653714780551223E-22</v>
      </c>
      <c r="AG22" s="42">
        <f t="shared" si="12"/>
        <v>4.6797881752673833E-23</v>
      </c>
      <c r="AH22" s="42">
        <f t="shared" si="12"/>
        <v>8.252739716369718E-24</v>
      </c>
      <c r="AI22" s="42">
        <f t="shared" ref="AI22:BN22" si="13">+$B22*AI23</f>
        <v>1.4553588811154845E-24</v>
      </c>
      <c r="AJ22" s="42">
        <f t="shared" si="13"/>
        <v>2.5665046343827116E-25</v>
      </c>
      <c r="AK22" s="42">
        <f t="shared" si="13"/>
        <v>4.5259943260587787E-26</v>
      </c>
      <c r="AL22" s="42">
        <f t="shared" si="13"/>
        <v>7.9815264562899044E-27</v>
      </c>
      <c r="AM22" s="42">
        <f t="shared" si="13"/>
        <v>1.4075308094327546E-27</v>
      </c>
      <c r="AN22" s="42">
        <f t="shared" si="13"/>
        <v>2.4821605119671942E-28</v>
      </c>
      <c r="AO22" s="42">
        <f t="shared" si="13"/>
        <v>4.3772546688709577E-29</v>
      </c>
      <c r="AP22" s="42">
        <f t="shared" si="13"/>
        <v>7.7192261917692742E-30</v>
      </c>
      <c r="AQ22" s="42">
        <f t="shared" si="13"/>
        <v>1.3612745318075391E-30</v>
      </c>
      <c r="AR22" s="42">
        <f t="shared" si="13"/>
        <v>2.4005882259593499E-31</v>
      </c>
      <c r="AS22" s="42">
        <f t="shared" si="13"/>
        <v>4.2334031056634965E-32</v>
      </c>
      <c r="AT22" s="42">
        <f t="shared" si="13"/>
        <v>7.4655460112819929E-33</v>
      </c>
      <c r="AU22" s="42">
        <f t="shared" si="13"/>
        <v>1.3165383937099293E-33</v>
      </c>
      <c r="AV22" s="42">
        <f t="shared" si="13"/>
        <v>2.3216966843322436E-34</v>
      </c>
      <c r="AW22" s="42">
        <f t="shared" si="13"/>
        <v>4.0942789969458073E-35</v>
      </c>
      <c r="AX22" s="42">
        <f t="shared" si="13"/>
        <v>7.2202026293770168E-36</v>
      </c>
      <c r="AY22" s="42">
        <f t="shared" si="13"/>
        <v>1.2732724381545808E-36</v>
      </c>
      <c r="AZ22" s="42">
        <f t="shared" si="13"/>
        <v>2.2453977886545756E-37</v>
      </c>
      <c r="BA22" s="42">
        <f t="shared" si="13"/>
        <v>3.9597269823905198E-38</v>
      </c>
      <c r="BB22" s="42">
        <f t="shared" si="13"/>
        <v>6.9829220703323689E-39</v>
      </c>
      <c r="BC22" s="42">
        <f t="shared" si="13"/>
        <v>1.2314283499135933E-39</v>
      </c>
      <c r="BD22" s="42">
        <f t="shared" si="13"/>
        <v>2.1716063357108862E-40</v>
      </c>
      <c r="BE22" s="42">
        <f t="shared" si="13"/>
        <v>3.8295968073421121E-41</v>
      </c>
      <c r="BF22" s="42">
        <f t="shared" si="13"/>
        <v>6.7534393622055678E-42</v>
      </c>
      <c r="BG22" s="42">
        <f t="shared" si="13"/>
        <v>1.1909594015627433E-42</v>
      </c>
      <c r="BH22" s="42">
        <f t="shared" si="13"/>
        <v>2.1002399223548605E-43</v>
      </c>
      <c r="BI22" s="42">
        <f t="shared" si="13"/>
        <v>3.7037431550270732E-44</v>
      </c>
      <c r="BJ22" s="42">
        <f t="shared" si="13"/>
        <v>6.5314982409386503E-45</v>
      </c>
      <c r="BK22" s="42">
        <f t="shared" si="13"/>
        <v>1.1518204013008253E-45</v>
      </c>
      <c r="BL22" s="42">
        <f t="shared" si="13"/>
        <v>2.031218853489477E-46</v>
      </c>
      <c r="BM22" s="42">
        <f t="shared" si="13"/>
        <v>3.5820254842782055E-47</v>
      </c>
      <c r="BN22" s="42">
        <f t="shared" si="13"/>
        <v>6.3168508641872873E-48</v>
      </c>
      <c r="BO22" s="42">
        <f t="shared" ref="BO22:CT22" si="14">+$B22*BO23</f>
        <v>1.113967642483823E-48</v>
      </c>
      <c r="BP22" s="42">
        <f t="shared" si="14"/>
        <v>1.9644660530712426E-49</v>
      </c>
      <c r="BQ22" s="42">
        <f t="shared" si="14"/>
        <v>3.4643078725918623E-50</v>
      </c>
      <c r="BR22" s="42">
        <f t="shared" si="14"/>
        <v>6.1092575345544635E-51</v>
      </c>
      <c r="BS22" s="42">
        <f t="shared" si="14"/>
        <v>1.0773588548175661E-51</v>
      </c>
      <c r="BT22" s="42">
        <f t="shared" si="14"/>
        <v>1.8999069780391335E-52</v>
      </c>
      <c r="BU22" s="42">
        <f t="shared" si="14"/>
        <v>3.3504588643428649E-53</v>
      </c>
      <c r="BV22" s="42">
        <f t="shared" si="14"/>
        <v>5.9084864319196463E-54</v>
      </c>
      <c r="BW22" s="42">
        <f t="shared" si="14"/>
        <v>1.0419531571543589E-54</v>
      </c>
      <c r="BX22" s="42">
        <f t="shared" si="14"/>
        <v>1.8374695350721265E-55</v>
      </c>
      <c r="BY22" s="42">
        <f t="shared" si="14"/>
        <v>3.2403513239875909E-56</v>
      </c>
      <c r="BZ22" s="42">
        <f t="shared" si="14"/>
        <v>5.7143133545645307E-57</v>
      </c>
      <c r="CA22" s="42">
        <f t="shared" si="14"/>
        <v>1.0077110118408752E-57</v>
      </c>
      <c r="CB22" s="42">
        <f t="shared" si="14"/>
        <v>1.777084000082363E-58</v>
      </c>
      <c r="CC22" s="42">
        <f t="shared" si="14"/>
        <v>3.1338622940913221E-59</v>
      </c>
      <c r="CD22" s="42">
        <f t="shared" si="14"/>
        <v>5.5265214688062814E-60</v>
      </c>
      <c r="CE22" s="42">
        <f t="shared" si="14"/>
        <v>9.7459418056633732E-61</v>
      </c>
      <c r="CF22" s="42">
        <f t="shared" si="14"/>
        <v>1.7186829403540394E-61</v>
      </c>
      <c r="CG22" s="42">
        <f t="shared" si="14"/>
        <v>3.0308728580212845E-62</v>
      </c>
      <c r="CH22" s="42">
        <f t="shared" si="14"/>
        <v>5.3449010668586752E-63</v>
      </c>
      <c r="CI22" s="42">
        <f t="shared" si="14"/>
        <v>9.4256568166167483E-64</v>
      </c>
      <c r="CJ22" s="42">
        <f t="shared" si="14"/>
        <v>1.6622011392410842E-64</v>
      </c>
      <c r="CK22" s="42">
        <f t="shared" si="14"/>
        <v>2.9312680071520791E-65</v>
      </c>
      <c r="CL22" s="42">
        <f t="shared" si="14"/>
        <v>5.1692493326507686E-66</v>
      </c>
      <c r="CM22" s="42">
        <f t="shared" si="14"/>
        <v>9.115897488019789E-67</v>
      </c>
      <c r="CN22" s="42">
        <f t="shared" si="14"/>
        <v>1.607575523339525E-67</v>
      </c>
      <c r="CO22" s="42">
        <f t="shared" si="14"/>
        <v>2.8349365124351843E-68</v>
      </c>
      <c r="CP22" s="42">
        <f t="shared" si="14"/>
        <v>4.9993701153415447E-69</v>
      </c>
      <c r="CQ22" s="42">
        <f t="shared" si="14"/>
        <v>8.8163179106613492E-70</v>
      </c>
      <c r="CR22" s="42">
        <f t="shared" si="14"/>
        <v>1.5547450920532204E-70</v>
      </c>
      <c r="CS22" s="42">
        <f t="shared" si="14"/>
        <v>2.7417708001891344E-71</v>
      </c>
      <c r="CT22" s="42">
        <f t="shared" si="14"/>
        <v>4.8350737102776732E-72</v>
      </c>
      <c r="CU22" s="42">
        <f t="shared" ref="CU22:DH22" si="15">+$B22*CU23</f>
        <v>8.5265835430903395E-73</v>
      </c>
      <c r="CV22" s="42">
        <f t="shared" si="15"/>
        <v>1.5036508494743046E-73</v>
      </c>
      <c r="CW22" s="42">
        <f t="shared" si="15"/>
        <v>2.6516668319716513E-74</v>
      </c>
      <c r="CX22" s="42">
        <f t="shared" si="15"/>
        <v>4.6761766471497153E-75</v>
      </c>
      <c r="CY22" s="42">
        <f t="shared" si="15"/>
        <v>8.2463708380322347E-76</v>
      </c>
      <c r="CZ22" s="42">
        <f t="shared" si="15"/>
        <v>1.4542357385022727E-76</v>
      </c>
      <c r="DA22" s="42">
        <f t="shared" si="15"/>
        <v>2.5645239883995898E-77</v>
      </c>
      <c r="DB22" s="42">
        <f t="shared" si="15"/>
        <v>4.5225014851102583E-78</v>
      </c>
      <c r="DC22" s="42">
        <f t="shared" si="15"/>
        <v>7.9753668810828131E-79</v>
      </c>
      <c r="DD22" s="42">
        <f t="shared" si="15"/>
        <v>1.4064445771281348E-79</v>
      </c>
      <c r="DE22" s="42">
        <f t="shared" si="15"/>
        <v>2.4802449567869587E-80</v>
      </c>
      <c r="DF22" s="42">
        <f t="shared" si="15"/>
        <v>4.3738766146251749E-81</v>
      </c>
      <c r="DG22" s="42">
        <f t="shared" si="15"/>
        <v>7.7132690412756779E-82</v>
      </c>
      <c r="DH22" s="42">
        <f t="shared" si="15"/>
        <v>1.3602239968124999E-82</v>
      </c>
    </row>
    <row r="23" spans="1:112" ht="18.75">
      <c r="A23" s="48" t="s">
        <v>87</v>
      </c>
      <c r="B23" s="42">
        <v>1</v>
      </c>
      <c r="C23" s="42">
        <f>+B19/C21</f>
        <v>0.88174287032747911</v>
      </c>
      <c r="D23" s="42">
        <f t="shared" ref="D23:AI23" si="16">+C23*C19/D21</f>
        <v>0.38873524468667081</v>
      </c>
      <c r="E23" s="42">
        <f t="shared" si="16"/>
        <v>0.11425484348249333</v>
      </c>
      <c r="F23" s="42">
        <f t="shared" si="16"/>
        <v>2.5185848410267636E-2</v>
      </c>
      <c r="G23" s="42">
        <f t="shared" si="16"/>
        <v>4.4414884537804329E-3</v>
      </c>
      <c r="H23" s="42">
        <f t="shared" si="16"/>
        <v>7.8325015555254316E-4</v>
      </c>
      <c r="I23" s="42">
        <f t="shared" si="16"/>
        <v>1.3812504806826878E-4</v>
      </c>
      <c r="J23" s="42">
        <f t="shared" si="16"/>
        <v>2.4358155269567267E-5</v>
      </c>
      <c r="K23" s="42">
        <f t="shared" si="16"/>
        <v>4.2955259486541308E-6</v>
      </c>
      <c r="L23" s="42">
        <f t="shared" si="16"/>
        <v>7.5750987590649221E-7</v>
      </c>
      <c r="M23" s="42">
        <f t="shared" si="16"/>
        <v>1.3358578645664058E-7</v>
      </c>
      <c r="N23" s="42">
        <f t="shared" si="16"/>
        <v>2.355766295704639E-8</v>
      </c>
      <c r="O23" s="42">
        <f t="shared" si="16"/>
        <v>4.1543602707906828E-9</v>
      </c>
      <c r="P23" s="42">
        <f t="shared" si="16"/>
        <v>7.3261550990828403E-10</v>
      </c>
      <c r="Q23" s="42">
        <f t="shared" si="16"/>
        <v>1.29195700510592E-10</v>
      </c>
      <c r="R23" s="42">
        <f t="shared" si="16"/>
        <v>2.278347756043575E-11</v>
      </c>
      <c r="S23" s="42">
        <f t="shared" si="16"/>
        <v>4.0178337800360656E-12</v>
      </c>
      <c r="T23" s="42">
        <f t="shared" si="16"/>
        <v>7.0853925794154114E-13</v>
      </c>
      <c r="U23" s="42">
        <f t="shared" si="16"/>
        <v>1.2494988780741531E-13</v>
      </c>
      <c r="V23" s="42">
        <f t="shared" si="16"/>
        <v>2.2034734544481372E-14</v>
      </c>
      <c r="W23" s="42">
        <f t="shared" si="16"/>
        <v>3.8857940168310121E-15</v>
      </c>
      <c r="X23" s="42">
        <f t="shared" si="16"/>
        <v>6.8525423398038433E-16</v>
      </c>
      <c r="Y23" s="42">
        <f t="shared" si="16"/>
        <v>1.2084360703478442E-16</v>
      </c>
      <c r="Z23" s="42">
        <f t="shared" si="16"/>
        <v>2.1310597785515353E-17</v>
      </c>
      <c r="AA23" s="42">
        <f t="shared" si="16"/>
        <v>3.7580935319589456E-18</v>
      </c>
      <c r="AB23" s="42">
        <f t="shared" si="16"/>
        <v>6.6273443556572287E-19</v>
      </c>
      <c r="AC23" s="42">
        <f t="shared" si="16"/>
        <v>1.1687227269611644E-19</v>
      </c>
      <c r="AD23" s="42">
        <f t="shared" si="16"/>
        <v>2.0610258637753919E-20</v>
      </c>
      <c r="AE23" s="42">
        <f t="shared" si="16"/>
        <v>3.6345897218889727E-21</v>
      </c>
      <c r="AF23" s="42">
        <f t="shared" si="16"/>
        <v>6.4095471476822734E-22</v>
      </c>
      <c r="AG23" s="42">
        <f t="shared" si="16"/>
        <v>1.130314499899335E-22</v>
      </c>
      <c r="AH23" s="42">
        <f t="shared" si="16"/>
        <v>1.9932935030280175E-23</v>
      </c>
      <c r="AI23" s="42">
        <f t="shared" si="16"/>
        <v>3.5151446695300803E-24</v>
      </c>
      <c r="AJ23" s="42">
        <f t="shared" ref="AJ23:BO23" si="17">+AI23*AI19/AJ21</f>
        <v>6.1989075010555824E-25</v>
      </c>
      <c r="AK23" s="42">
        <f t="shared" si="17"/>
        <v>1.093168498575058E-25</v>
      </c>
      <c r="AL23" s="42">
        <f t="shared" si="17"/>
        <v>1.927787059370305E-26</v>
      </c>
      <c r="AM23" s="42">
        <f t="shared" si="17"/>
        <v>3.3996249902186861E-27</v>
      </c>
      <c r="AN23" s="42">
        <f t="shared" si="17"/>
        <v>5.9951901938249047E-28</v>
      </c>
      <c r="AO23" s="42">
        <f t="shared" si="17"/>
        <v>1.0572432419324655E-28</v>
      </c>
      <c r="AP23" s="42">
        <f t="shared" si="17"/>
        <v>1.864433381551723E-29</v>
      </c>
      <c r="AQ23" s="42">
        <f t="shared" si="17"/>
        <v>3.2879016827675685E-30</v>
      </c>
      <c r="AR23" s="42">
        <f t="shared" si="17"/>
        <v>5.7981677342360496E-31</v>
      </c>
      <c r="AS23" s="42">
        <f t="shared" si="17"/>
        <v>1.0224986121250942E-31</v>
      </c>
      <c r="AT23" s="42">
        <f t="shared" si="17"/>
        <v>1.8031617223220887E-32</v>
      </c>
      <c r="AU23" s="42">
        <f t="shared" si="17"/>
        <v>3.1798499854098387E-33</v>
      </c>
      <c r="AV23" s="42">
        <f t="shared" si="17"/>
        <v>5.6076201066921271E-34</v>
      </c>
      <c r="AW23" s="42">
        <f t="shared" si="17"/>
        <v>9.8889580971616023E-35</v>
      </c>
      <c r="AX23" s="42">
        <f t="shared" si="17"/>
        <v>1.7439036594278875E-35</v>
      </c>
      <c r="AY23" s="42">
        <f t="shared" si="17"/>
        <v>3.0753492364770808E-36</v>
      </c>
      <c r="AZ23" s="42">
        <f t="shared" si="17"/>
        <v>5.4233345260614455E-37</v>
      </c>
      <c r="BA23" s="42">
        <f t="shared" si="17"/>
        <v>9.5639731035110754E-38</v>
      </c>
      <c r="BB23" s="42">
        <f t="shared" si="17"/>
        <v>1.6865930192049328E-38</v>
      </c>
      <c r="BC23" s="42">
        <f t="shared" si="17"/>
        <v>2.9742827396560937E-39</v>
      </c>
      <c r="BD23" s="42">
        <f t="shared" si="17"/>
        <v>5.2451052000596846E-40</v>
      </c>
      <c r="BE23" s="42">
        <f t="shared" si="17"/>
        <v>9.2496682285404255E-41</v>
      </c>
      <c r="BF23" s="42">
        <f t="shared" si="17"/>
        <v>1.6311658026820247E-41</v>
      </c>
      <c r="BG23" s="42">
        <f t="shared" si="17"/>
        <v>2.8765376336737499E-42</v>
      </c>
      <c r="BH23" s="42">
        <f t="shared" si="17"/>
        <v>5.072733099441014E-43</v>
      </c>
      <c r="BI23" s="42">
        <f t="shared" si="17"/>
        <v>8.9456924870126594E-44</v>
      </c>
      <c r="BJ23" s="42">
        <f t="shared" si="17"/>
        <v>1.5775601141131015E-44</v>
      </c>
      <c r="BK23" s="42">
        <f t="shared" si="17"/>
        <v>2.7820047662644633E-45</v>
      </c>
      <c r="BL23" s="42">
        <f t="shared" si="17"/>
        <v>4.906025735741511E-46</v>
      </c>
      <c r="BM23" s="42">
        <f t="shared" si="17"/>
        <v>8.6517064282664044E-47</v>
      </c>
      <c r="BN23" s="42">
        <f t="shared" si="17"/>
        <v>1.5257160918580644E-47</v>
      </c>
      <c r="BO23" s="42">
        <f t="shared" si="17"/>
        <v>2.6905785722795072E-48</v>
      </c>
      <c r="BP23" s="42">
        <f t="shared" ref="BP23:CU23" si="18">+BO23*BO19/BP21</f>
        <v>4.7447969463266868E-49</v>
      </c>
      <c r="BQ23" s="42">
        <f t="shared" si="18"/>
        <v>8.3673817571503006E-50</v>
      </c>
      <c r="BR23" s="42">
        <f t="shared" si="18"/>
        <v>1.4755758415350984E-50</v>
      </c>
      <c r="BS23" s="42">
        <f t="shared" si="18"/>
        <v>2.6021569558020863E-51</v>
      </c>
      <c r="BT23" s="42">
        <f t="shared" si="18"/>
        <v>4.5888666865030937E-52</v>
      </c>
      <c r="BU23" s="42">
        <f t="shared" si="18"/>
        <v>8.0924009674147731E-53</v>
      </c>
      <c r="BV23" s="42">
        <f t="shared" si="18"/>
        <v>1.427083371369834E-53</v>
      </c>
      <c r="BW23" s="42">
        <f t="shared" si="18"/>
        <v>2.5166411761365066E-54</v>
      </c>
      <c r="BX23" s="42">
        <f t="shared" si="18"/>
        <v>4.438060828461852E-55</v>
      </c>
      <c r="BY23" s="42">
        <f t="shared" si="18"/>
        <v>7.8264569871518064E-56</v>
      </c>
      <c r="BZ23" s="42">
        <f t="shared" si="18"/>
        <v>1.3801845296691576E-56</v>
      </c>
      <c r="CA23" s="42">
        <f t="shared" si="18"/>
        <v>2.4339357375441297E-57</v>
      </c>
      <c r="CB23" s="42">
        <f t="shared" si="18"/>
        <v>4.2922109668295817E-58</v>
      </c>
      <c r="CC23" s="42">
        <f t="shared" si="18"/>
        <v>7.5692528358867994E-59</v>
      </c>
      <c r="CD23" s="42">
        <f t="shared" si="18"/>
        <v>1.3348269443498475E-59</v>
      </c>
      <c r="CE23" s="42">
        <f t="shared" si="18"/>
        <v>2.3539482826029855E-60</v>
      </c>
      <c r="CF23" s="42">
        <f t="shared" si="18"/>
        <v>4.151154230609593E-61</v>
      </c>
      <c r="CG23" s="42">
        <f t="shared" si="18"/>
        <v>7.320501292939521E-62</v>
      </c>
      <c r="CH23" s="42">
        <f t="shared" si="18"/>
        <v>1.2909599644545032E-62</v>
      </c>
      <c r="CI23" s="42">
        <f t="shared" si="18"/>
        <v>2.2765894890719483E-63</v>
      </c>
      <c r="CJ23" s="42">
        <f t="shared" si="18"/>
        <v>4.0147331013033377E-64</v>
      </c>
      <c r="CK23" s="42">
        <f t="shared" si="18"/>
        <v>7.0799245766838946E-65</v>
      </c>
      <c r="CL23" s="42">
        <f t="shared" si="18"/>
        <v>1.2485346035894641E-65</v>
      </c>
      <c r="CM23" s="42">
        <f t="shared" si="18"/>
        <v>2.2017729701443109E-66</v>
      </c>
      <c r="CN23" s="42">
        <f t="shared" si="18"/>
        <v>3.8827952370090071E-67</v>
      </c>
      <c r="CO23" s="42">
        <f t="shared" si="18"/>
        <v>6.8472540343483726E-68</v>
      </c>
      <c r="CP23" s="42">
        <f t="shared" si="18"/>
        <v>1.207503485221549E-68</v>
      </c>
      <c r="CQ23" s="42">
        <f t="shared" si="18"/>
        <v>2.1294151779793669E-69</v>
      </c>
      <c r="CR23" s="42">
        <f t="shared" si="18"/>
        <v>3.7551933023008534E-70</v>
      </c>
      <c r="CS23" s="42">
        <f t="shared" si="18"/>
        <v>6.6222298420105596E-71</v>
      </c>
      <c r="CT23" s="42">
        <f t="shared" si="18"/>
        <v>1.1678207897725359E-71</v>
      </c>
      <c r="CU23" s="42">
        <f t="shared" si="18"/>
        <v>2.0594353104042786E-72</v>
      </c>
      <c r="CV23" s="42">
        <f t="shared" ref="CV23:DH23" si="19">+CU23*CU19/CV21</f>
        <v>3.6317848036992635E-73</v>
      </c>
      <c r="CW23" s="42">
        <f t="shared" si="19"/>
        <v>6.4046007144510181E-74</v>
      </c>
      <c r="CX23" s="42">
        <f t="shared" si="19"/>
        <v>1.1294422034522929E-74</v>
      </c>
      <c r="CY23" s="42">
        <f t="shared" si="19"/>
        <v>1.991755220682035E-75</v>
      </c>
      <c r="CZ23" s="42">
        <f t="shared" si="19"/>
        <v>3.5124319305478385E-76</v>
      </c>
      <c r="DA23" s="42">
        <f t="shared" si="19"/>
        <v>6.1941236245422792E-77</v>
      </c>
      <c r="DB23" s="42">
        <f t="shared" si="19"/>
        <v>1.0923248687734316E-77</v>
      </c>
      <c r="DC23" s="42">
        <f t="shared" si="19"/>
        <v>1.926299330244745E-78</v>
      </c>
      <c r="DD23" s="42">
        <f t="shared" si="19"/>
        <v>3.3970014011198041E-79</v>
      </c>
      <c r="DE23" s="42">
        <f t="shared" si="19"/>
        <v>5.9905635318596896E-80</v>
      </c>
      <c r="DF23" s="42">
        <f t="shared" si="19"/>
        <v>1.0564273366922167E-80</v>
      </c>
      <c r="DG23" s="42">
        <f t="shared" si="19"/>
        <v>1.8629945442948187E-81</v>
      </c>
      <c r="DH23" s="42">
        <f t="shared" si="19"/>
        <v>3.2853643137818952E-82</v>
      </c>
    </row>
    <row r="25" spans="1:112">
      <c r="B25" s="42" t="s">
        <v>58</v>
      </c>
      <c r="C25">
        <f>+SUMPRODUCT(B16:DH16,B22:DH22)</f>
        <v>0.88222088417455746</v>
      </c>
      <c r="D25" t="s">
        <v>69</v>
      </c>
      <c r="H25" s="52"/>
    </row>
    <row r="26" spans="1:112">
      <c r="B26" s="42" t="s">
        <v>60</v>
      </c>
      <c r="C26">
        <f>+SUMPRODUCT(B17:DH17,B22:DH22)</f>
        <v>4.7801384707879481E-4</v>
      </c>
      <c r="D26" t="s">
        <v>69</v>
      </c>
      <c r="H26" s="52"/>
      <c r="I26" s="42"/>
      <c r="J26" s="42"/>
      <c r="K26" s="42"/>
      <c r="L26" s="42"/>
      <c r="M26" s="42"/>
      <c r="N26" s="42"/>
    </row>
    <row r="27" spans="1:112">
      <c r="B27" s="42" t="s">
        <v>62</v>
      </c>
      <c r="C27">
        <f>+C26/$B$3</f>
        <v>5.9763362329242687E-4</v>
      </c>
      <c r="D27" t="s">
        <v>56</v>
      </c>
      <c r="H27" s="52"/>
    </row>
    <row r="28" spans="1:112">
      <c r="B28" s="42" t="s">
        <v>61</v>
      </c>
      <c r="C28">
        <f>+C27+1/$B$4</f>
        <v>1.1029907747977425</v>
      </c>
      <c r="D28" t="s">
        <v>56</v>
      </c>
      <c r="H28" s="52"/>
    </row>
    <row r="29" spans="1:112" ht="18.75">
      <c r="A29" s="50"/>
      <c r="B29" s="40"/>
      <c r="H29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22E3-FA1A-49D2-A91B-234508756E15}">
  <dimension ref="B2:Q23"/>
  <sheetViews>
    <sheetView workbookViewId="0">
      <selection activeCell="F3" sqref="F3"/>
    </sheetView>
  </sheetViews>
  <sheetFormatPr defaultColWidth="11.42578125" defaultRowHeight="15"/>
  <cols>
    <col min="6" max="6" width="15.28515625" customWidth="1"/>
  </cols>
  <sheetData>
    <row r="2" spans="2:17">
      <c r="F2" t="s">
        <v>88</v>
      </c>
    </row>
    <row r="3" spans="2:17">
      <c r="F3">
        <v>3</v>
      </c>
    </row>
    <row r="7" spans="2:17">
      <c r="B7" s="83" t="s">
        <v>89</v>
      </c>
      <c r="C7" s="83"/>
      <c r="D7" s="83"/>
      <c r="E7" s="83"/>
    </row>
    <row r="8" spans="2:17">
      <c r="B8" s="63">
        <v>6.88</v>
      </c>
      <c r="C8" s="64">
        <v>7.12</v>
      </c>
      <c r="D8" s="64">
        <v>7.91</v>
      </c>
      <c r="E8" s="65">
        <v>14.65</v>
      </c>
    </row>
    <row r="9" spans="2:17">
      <c r="B9" s="66">
        <v>21.45</v>
      </c>
      <c r="C9" s="56">
        <v>20.34</v>
      </c>
      <c r="D9" s="56">
        <v>22.45</v>
      </c>
      <c r="E9" s="67">
        <v>8.76</v>
      </c>
    </row>
    <row r="10" spans="2:17">
      <c r="B10" s="66">
        <v>12.56</v>
      </c>
      <c r="C10" s="56">
        <v>13.48</v>
      </c>
      <c r="D10" s="56">
        <v>12.34</v>
      </c>
      <c r="E10" s="67">
        <v>25.1</v>
      </c>
    </row>
    <row r="11" spans="2:17">
      <c r="B11" s="66">
        <v>25.7</v>
      </c>
      <c r="C11" s="56">
        <v>24.89</v>
      </c>
      <c r="D11" s="56">
        <v>26.77</v>
      </c>
      <c r="E11" s="67">
        <v>16.920000000000002</v>
      </c>
      <c r="F11" s="56" t="s">
        <v>90</v>
      </c>
      <c r="H11" s="55" t="s">
        <v>9</v>
      </c>
      <c r="J11" s="42" t="s">
        <v>91</v>
      </c>
      <c r="K11" s="84" t="s">
        <v>92</v>
      </c>
      <c r="L11" s="84"/>
      <c r="M11" s="84"/>
      <c r="N11" s="84"/>
      <c r="P11" t="s">
        <v>93</v>
      </c>
    </row>
    <row r="12" spans="2:17">
      <c r="B12" s="66">
        <v>22.85</v>
      </c>
      <c r="C12" s="56">
        <v>22.61</v>
      </c>
      <c r="D12" s="56">
        <v>23.15</v>
      </c>
      <c r="E12" s="67">
        <v>19.329999999999998</v>
      </c>
      <c r="F12" s="54">
        <f>+AVERAGE(B8:E19)</f>
        <v>17.770454545454552</v>
      </c>
      <c r="G12" s="56" t="s">
        <v>72</v>
      </c>
      <c r="H12" s="42">
        <v>0.79984429999999995</v>
      </c>
      <c r="I12" s="56" t="s">
        <v>72</v>
      </c>
      <c r="J12" s="56">
        <v>12</v>
      </c>
      <c r="K12" s="71" t="s">
        <v>72</v>
      </c>
      <c r="L12" s="71">
        <v>60</v>
      </c>
      <c r="M12" s="71" t="s">
        <v>72</v>
      </c>
      <c r="N12" s="71">
        <v>30</v>
      </c>
      <c r="O12" s="56" t="s">
        <v>73</v>
      </c>
      <c r="P12">
        <f>+F12*H12*12*60*30</f>
        <v>307013.69037436374</v>
      </c>
      <c r="Q12" t="s">
        <v>94</v>
      </c>
    </row>
    <row r="13" spans="2:17">
      <c r="B13" s="66">
        <v>11.1</v>
      </c>
      <c r="C13" s="56">
        <v>11.92</v>
      </c>
      <c r="D13" s="56">
        <v>10.89</v>
      </c>
      <c r="E13" s="67">
        <v>11.47</v>
      </c>
    </row>
    <row r="14" spans="2:17">
      <c r="B14" s="66">
        <v>17.62</v>
      </c>
      <c r="C14" s="56">
        <v>18.32</v>
      </c>
      <c r="D14" s="56">
        <v>17.68</v>
      </c>
      <c r="E14" s="67">
        <v>21.85</v>
      </c>
    </row>
    <row r="15" spans="2:17">
      <c r="B15" s="66">
        <v>26.48</v>
      </c>
      <c r="C15" s="56">
        <v>26.03</v>
      </c>
      <c r="D15" s="56">
        <v>24.3</v>
      </c>
      <c r="E15" s="67">
        <v>13.26</v>
      </c>
    </row>
    <row r="16" spans="2:17" ht="75">
      <c r="B16" s="66">
        <v>18.100000000000001</v>
      </c>
      <c r="C16" s="56">
        <v>19.07</v>
      </c>
      <c r="D16" s="56">
        <v>18.920000000000002</v>
      </c>
      <c r="E16" s="67"/>
      <c r="G16" s="58" t="s">
        <v>93</v>
      </c>
      <c r="I16" s="58" t="s">
        <v>95</v>
      </c>
      <c r="K16" s="59" t="s">
        <v>96</v>
      </c>
    </row>
    <row r="17" spans="2:12">
      <c r="B17" s="66">
        <v>8.7200000000000006</v>
      </c>
      <c r="C17" s="56">
        <v>9.2100000000000009</v>
      </c>
      <c r="D17" s="56">
        <v>9.4499999999999993</v>
      </c>
      <c r="E17" s="67"/>
      <c r="F17" t="s">
        <v>97</v>
      </c>
      <c r="G17" s="56">
        <v>307013.69037436374</v>
      </c>
      <c r="H17" s="56" t="s">
        <v>98</v>
      </c>
      <c r="I17" s="56">
        <f>1025*1.5*4</f>
        <v>6150</v>
      </c>
      <c r="J17" s="56" t="s">
        <v>73</v>
      </c>
      <c r="K17" s="56">
        <f>+P12-I17</f>
        <v>300863.69037436374</v>
      </c>
      <c r="L17" t="s">
        <v>99</v>
      </c>
    </row>
    <row r="18" spans="2:12">
      <c r="B18" s="66">
        <v>20.67</v>
      </c>
      <c r="C18" s="56">
        <v>21.15</v>
      </c>
      <c r="D18" s="56">
        <v>20.78</v>
      </c>
      <c r="E18" s="67"/>
      <c r="F18" t="s">
        <v>100</v>
      </c>
      <c r="G18" s="56">
        <v>307013.69037436374</v>
      </c>
      <c r="H18" s="56" t="s">
        <v>98</v>
      </c>
      <c r="I18" s="56">
        <f>1025*1.5*5</f>
        <v>7687.5</v>
      </c>
      <c r="J18" s="56" t="s">
        <v>73</v>
      </c>
      <c r="K18" s="56">
        <f>+G18-I18</f>
        <v>299326.19037436374</v>
      </c>
      <c r="L18" t="s">
        <v>99</v>
      </c>
    </row>
    <row r="19" spans="2:12">
      <c r="B19" s="68">
        <v>23.2</v>
      </c>
      <c r="C19" s="69">
        <v>23.48</v>
      </c>
      <c r="D19" s="69">
        <v>22.97</v>
      </c>
      <c r="E19" s="70"/>
    </row>
    <row r="22" spans="2:12" ht="30">
      <c r="F22" s="58" t="s">
        <v>101</v>
      </c>
      <c r="G22" s="56">
        <v>1025</v>
      </c>
      <c r="H22" s="56" t="s">
        <v>72</v>
      </c>
      <c r="I22" s="56">
        <v>1.5</v>
      </c>
      <c r="J22" s="56" t="s">
        <v>73</v>
      </c>
      <c r="K22" s="56">
        <f>1025*1.5</f>
        <v>1537.5</v>
      </c>
    </row>
    <row r="23" spans="2:12">
      <c r="I23" t="s">
        <v>102</v>
      </c>
    </row>
  </sheetData>
  <mergeCells count="2">
    <mergeCell ref="B7:E7"/>
    <mergeCell ref="K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Mercedes Atarama Tuesta</dc:creator>
  <cp:keywords/>
  <dc:description/>
  <cp:lastModifiedBy/>
  <cp:revision/>
  <dcterms:created xsi:type="dcterms:W3CDTF">2015-06-05T18:19:34Z</dcterms:created>
  <dcterms:modified xsi:type="dcterms:W3CDTF">2026-03-10T19:59:21Z</dcterms:modified>
  <cp:category/>
  <cp:contentStatus/>
</cp:coreProperties>
</file>