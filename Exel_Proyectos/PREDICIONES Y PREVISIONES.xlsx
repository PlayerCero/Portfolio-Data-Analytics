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depoffice365ms-my.sharepoint.com/personal/cesar_angulo_udep_edu_pe/Documents/Informacion Laptop/D/datos/Mis documentos/EDA/MDE 2024_I/"/>
    </mc:Choice>
  </mc:AlternateContent>
  <xr:revisionPtr revIDLastSave="24" documentId="8_{163A7B54-F6E2-4D68-80A1-4F810C3A06B6}" xr6:coauthVersionLast="47" xr6:coauthVersionMax="47" xr10:uidLastSave="{2E85F306-9028-4574-BE7E-A0802E182AAE}"/>
  <bookViews>
    <workbookView xWindow="-108" yWindow="-108" windowWidth="23256" windowHeight="12576" xr2:uid="{00000000-000D-0000-FFFF-FFFF00000000}"/>
  </bookViews>
  <sheets>
    <sheet name="a d" sheetId="1" r:id="rId1"/>
    <sheet name="b" sheetId="2" r:id="rId2"/>
    <sheet name="c" sheetId="9" r:id="rId3"/>
    <sheet name="e" sheetId="10" r:id="rId4"/>
    <sheet name="f" sheetId="11" r:id="rId5"/>
    <sheet name="Prev Excel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1" l="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2" i="11"/>
  <c r="H56" i="1" l="1"/>
  <c r="H57" i="1"/>
  <c r="H58" i="1"/>
  <c r="H59" i="1"/>
  <c r="H60" i="1"/>
  <c r="H6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" i="1"/>
  <c r="C60" i="7"/>
  <c r="C58" i="7"/>
  <c r="C61" i="7"/>
  <c r="C50" i="7"/>
  <c r="C51" i="7"/>
  <c r="C52" i="7"/>
  <c r="C53" i="7"/>
  <c r="C54" i="7"/>
  <c r="C55" i="7"/>
  <c r="C56" i="7"/>
  <c r="C57" i="7"/>
  <c r="C59" i="7"/>
  <c r="G11" i="1" l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10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7" i="1"/>
  <c r="D8" i="1" s="1"/>
  <c r="E59" i="7"/>
  <c r="D52" i="7"/>
  <c r="D59" i="7"/>
  <c r="E52" i="7"/>
  <c r="D57" i="7"/>
  <c r="D51" i="7"/>
  <c r="E57" i="7"/>
  <c r="E51" i="7"/>
  <c r="D56" i="7"/>
  <c r="D50" i="7"/>
  <c r="E56" i="7"/>
  <c r="E50" i="7"/>
  <c r="D55" i="7"/>
  <c r="D61" i="7"/>
  <c r="E55" i="7"/>
  <c r="E61" i="7"/>
  <c r="D54" i="7"/>
  <c r="D58" i="7"/>
  <c r="D53" i="7"/>
  <c r="D60" i="7"/>
  <c r="E60" i="7"/>
  <c r="E54" i="7"/>
  <c r="E58" i="7"/>
  <c r="E53" i="7"/>
  <c r="D38" i="1" l="1"/>
  <c r="J38" i="1" s="1"/>
  <c r="D42" i="1"/>
  <c r="J42" i="1" s="1"/>
  <c r="D33" i="1"/>
  <c r="E33" i="1" s="1"/>
  <c r="D34" i="1"/>
  <c r="J34" i="1" s="1"/>
  <c r="D30" i="1"/>
  <c r="J30" i="1" s="1"/>
  <c r="D26" i="1"/>
  <c r="J26" i="1" s="1"/>
  <c r="D18" i="1"/>
  <c r="J18" i="1" s="1"/>
  <c r="D17" i="1"/>
  <c r="E17" i="1" s="1"/>
  <c r="D14" i="1"/>
  <c r="J14" i="1" s="1"/>
  <c r="D13" i="1"/>
  <c r="E13" i="1" s="1"/>
  <c r="D22" i="1"/>
  <c r="J22" i="1" s="1"/>
  <c r="D21" i="1"/>
  <c r="E21" i="1" s="1"/>
  <c r="D10" i="1"/>
  <c r="J10" i="1" s="1"/>
  <c r="D9" i="1"/>
  <c r="E9" i="1" s="1"/>
  <c r="D29" i="1"/>
  <c r="E29" i="1" s="1"/>
  <c r="D41" i="1"/>
  <c r="E41" i="1" s="1"/>
  <c r="D37" i="1"/>
  <c r="E37" i="1" s="1"/>
  <c r="D25" i="1"/>
  <c r="E25" i="1" s="1"/>
  <c r="D40" i="1"/>
  <c r="D32" i="1"/>
  <c r="D28" i="1"/>
  <c r="D20" i="1"/>
  <c r="D16" i="1"/>
  <c r="D12" i="1"/>
  <c r="D43" i="1"/>
  <c r="D39" i="1"/>
  <c r="D35" i="1"/>
  <c r="D31" i="1"/>
  <c r="D27" i="1"/>
  <c r="D23" i="1"/>
  <c r="D19" i="1"/>
  <c r="D15" i="1"/>
  <c r="D11" i="1"/>
  <c r="D36" i="1"/>
  <c r="D24" i="1"/>
  <c r="J8" i="1"/>
  <c r="E8" i="1"/>
  <c r="E42" i="1"/>
  <c r="E38" i="1"/>
  <c r="E10" i="1" l="1"/>
  <c r="J41" i="1"/>
  <c r="J37" i="1"/>
  <c r="E34" i="1"/>
  <c r="E26" i="1"/>
  <c r="E30" i="1"/>
  <c r="J29" i="1"/>
  <c r="K5" i="1"/>
  <c r="J33" i="1"/>
  <c r="J25" i="1"/>
  <c r="K13" i="1"/>
  <c r="J13" i="1"/>
  <c r="E14" i="1"/>
  <c r="E18" i="1"/>
  <c r="E22" i="1"/>
  <c r="J21" i="1"/>
  <c r="J17" i="1"/>
  <c r="K9" i="1"/>
  <c r="J9" i="1"/>
  <c r="E24" i="1"/>
  <c r="J24" i="1"/>
  <c r="E19" i="1"/>
  <c r="J19" i="1"/>
  <c r="E35" i="1"/>
  <c r="J35" i="1"/>
  <c r="E12" i="1"/>
  <c r="J12" i="1"/>
  <c r="E32" i="1"/>
  <c r="J32" i="1"/>
  <c r="E23" i="1"/>
  <c r="J23" i="1"/>
  <c r="E39" i="1"/>
  <c r="J39" i="1"/>
  <c r="E16" i="1"/>
  <c r="J16" i="1"/>
  <c r="E40" i="1"/>
  <c r="J40" i="1"/>
  <c r="E11" i="1"/>
  <c r="J11" i="1"/>
  <c r="E27" i="1"/>
  <c r="J27" i="1"/>
  <c r="E43" i="1"/>
  <c r="J43" i="1"/>
  <c r="E20" i="1"/>
  <c r="J20" i="1"/>
  <c r="E15" i="1"/>
  <c r="J15" i="1"/>
  <c r="E31" i="1"/>
  <c r="J31" i="1"/>
  <c r="E28" i="1"/>
  <c r="J28" i="1"/>
  <c r="E36" i="1"/>
  <c r="J36" i="1"/>
  <c r="K6" i="1" l="1"/>
  <c r="K10" i="1"/>
  <c r="K2" i="1"/>
  <c r="K3" i="1"/>
  <c r="K11" i="1"/>
  <c r="K4" i="1"/>
  <c r="K12" i="1"/>
  <c r="K7" i="1"/>
  <c r="K8" i="1"/>
  <c r="K14" i="1" l="1"/>
  <c r="L4" i="1" l="1"/>
  <c r="L16" i="1" s="1"/>
  <c r="L6" i="1"/>
  <c r="L18" i="1" s="1"/>
  <c r="L8" i="1"/>
  <c r="L11" i="1"/>
  <c r="L13" i="1"/>
  <c r="L2" i="1"/>
  <c r="L14" i="1" s="1"/>
  <c r="L5" i="1"/>
  <c r="L17" i="1" s="1"/>
  <c r="L10" i="1"/>
  <c r="L9" i="1"/>
  <c r="L3" i="1"/>
  <c r="L15" i="1" s="1"/>
  <c r="L12" i="1"/>
  <c r="L7" i="1"/>
  <c r="L19" i="1" s="1"/>
  <c r="L24" i="1" l="1"/>
  <c r="M12" i="1"/>
  <c r="L27" i="1"/>
  <c r="M15" i="1"/>
  <c r="L21" i="1"/>
  <c r="M9" i="1"/>
  <c r="L22" i="1"/>
  <c r="M10" i="1"/>
  <c r="L29" i="1"/>
  <c r="M17" i="1"/>
  <c r="L26" i="1"/>
  <c r="M14" i="1"/>
  <c r="L25" i="1"/>
  <c r="M13" i="1"/>
  <c r="L31" i="1"/>
  <c r="M19" i="1"/>
  <c r="L23" i="1"/>
  <c r="M11" i="1"/>
  <c r="L20" i="1"/>
  <c r="M8" i="1"/>
  <c r="L30" i="1"/>
  <c r="M18" i="1"/>
  <c r="L28" i="1"/>
  <c r="M16" i="1"/>
  <c r="L34" i="1" l="1"/>
  <c r="M22" i="1"/>
  <c r="L37" i="1"/>
  <c r="M25" i="1"/>
  <c r="L38" i="1"/>
  <c r="M26" i="1"/>
  <c r="L41" i="1"/>
  <c r="M29" i="1"/>
  <c r="L32" i="1"/>
  <c r="M20" i="1"/>
  <c r="L35" i="1"/>
  <c r="M23" i="1"/>
  <c r="L33" i="1"/>
  <c r="M21" i="1"/>
  <c r="L36" i="1"/>
  <c r="M24" i="1"/>
  <c r="L40" i="1"/>
  <c r="M28" i="1"/>
  <c r="L42" i="1"/>
  <c r="M30" i="1"/>
  <c r="L43" i="1"/>
  <c r="M31" i="1"/>
  <c r="L39" i="1"/>
  <c r="M27" i="1"/>
  <c r="L51" i="1" l="1"/>
  <c r="O51" i="1" s="1"/>
  <c r="M39" i="1"/>
  <c r="L47" i="1"/>
  <c r="L59" i="1" s="1"/>
  <c r="O59" i="1" s="1"/>
  <c r="M35" i="1"/>
  <c r="L55" i="1"/>
  <c r="O55" i="1" s="1"/>
  <c r="M43" i="1"/>
  <c r="L44" i="1"/>
  <c r="L56" i="1" s="1"/>
  <c r="O56" i="1" s="1"/>
  <c r="M32" i="1"/>
  <c r="L54" i="1"/>
  <c r="O54" i="1" s="1"/>
  <c r="M42" i="1"/>
  <c r="L53" i="1"/>
  <c r="O53" i="1" s="1"/>
  <c r="M41" i="1"/>
  <c r="L52" i="1"/>
  <c r="O52" i="1" s="1"/>
  <c r="M40" i="1"/>
  <c r="L50" i="1"/>
  <c r="O50" i="1" s="1"/>
  <c r="M38" i="1"/>
  <c r="L48" i="1"/>
  <c r="L60" i="1" s="1"/>
  <c r="O60" i="1" s="1"/>
  <c r="M36" i="1"/>
  <c r="L49" i="1"/>
  <c r="L61" i="1" s="1"/>
  <c r="O61" i="1" s="1"/>
  <c r="M37" i="1"/>
  <c r="L45" i="1"/>
  <c r="L57" i="1" s="1"/>
  <c r="O57" i="1" s="1"/>
  <c r="M33" i="1"/>
  <c r="L46" i="1"/>
  <c r="L58" i="1" s="1"/>
  <c r="O58" i="1" s="1"/>
  <c r="M34" i="1"/>
</calcChain>
</file>

<file path=xl/sharedStrings.xml><?xml version="1.0" encoding="utf-8"?>
<sst xmlns="http://schemas.openxmlformats.org/spreadsheetml/2006/main" count="61" uniqueCount="40">
  <si>
    <t>Mes</t>
  </si>
  <si>
    <t>Ventas</t>
  </si>
  <si>
    <t>MM12</t>
  </si>
  <si>
    <t>TC</t>
  </si>
  <si>
    <t>SI</t>
  </si>
  <si>
    <t>SIprom</t>
  </si>
  <si>
    <t>S</t>
  </si>
  <si>
    <t>C</t>
  </si>
  <si>
    <t>T</t>
  </si>
  <si>
    <t>MM17</t>
  </si>
  <si>
    <t>Prev</t>
  </si>
  <si>
    <t>Previsión(Ventas)</t>
  </si>
  <si>
    <t>Límite de confianza inferior(Ventas)</t>
  </si>
  <si>
    <t>Límite de confianza superior(Ventas)</t>
  </si>
  <si>
    <t>I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</si>
  <si>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</si>
  <si>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</si>
  <si>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</si>
  <si>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</si>
  <si>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</si>
  <si>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</si>
  <si>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</si>
  <si>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</si>
  <si>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</si>
  <si>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</si>
  <si>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</si>
  <si>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</si>
  <si>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El mes de febrero desfavorece las ventas del producto en 4.71%</t>
  </si>
  <si>
    <t>El mes de diciembre favorece las ventas en 6.82%</t>
  </si>
  <si>
    <t>Los demás meses influyen muy poco en las ventas del producto.</t>
  </si>
  <si>
    <t>Sí afirmaría que este producto es estacional.</t>
  </si>
  <si>
    <t>La economía sí ha influido en las ventas de este producto, especialmente el primer, el tercer y el cuarto año.</t>
  </si>
  <si>
    <t>(d)</t>
  </si>
  <si>
    <t>Prev Excel</t>
  </si>
  <si>
    <t>Pron</t>
  </si>
  <si>
    <t xml:space="preserve">Los resultados son similares, aunque la previsión de Excel está ligeramente por debajo durante los primeros </t>
  </si>
  <si>
    <t>cinco meses, y luego ligeramente por encima el resto del año.</t>
  </si>
  <si>
    <t>T lineal</t>
  </si>
  <si>
    <t>T expon</t>
  </si>
  <si>
    <t>No hubiese sido mejor usar la función exponencial en vez de la lineal, pues los resultados de las componentes hubiesen sido muy similares.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</si>
</sst>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6" formatCode="0.00000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0" xfId="1"/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2" fontId="0" fillId="0" borderId="1" xfId="0" applyNumberFormat="1" applyBorder="1" applyAlignment="1">
      <alignment horizontal="center"/>
    </xf>
    <xf numFmtId="0" fontId="0" fillId="0" borderId="0" xfId="0" applyFill="1"/>
    <xf numFmtId="0" fontId="0" fillId="3" borderId="0" xfId="0" applyFill="1"/>
    <xf numFmtId="2" fontId="0" fillId="3" borderId="1" xfId="0" applyNumberFormat="1" applyFill="1" applyBorder="1" applyAlignment="1">
      <alignment horizontal="center"/>
    </xf>
    <xf numFmtId="164" fontId="1" fillId="3" borderId="0" xfId="1" applyNumberFormat="1" applyFill="1"/>
    <xf numFmtId="0" fontId="3" fillId="0" borderId="0" xfId="0" applyFont="1"/>
    <xf numFmtId="0" fontId="3" fillId="0" borderId="0" xfId="0" applyFont="1" applyFill="1"/>
    <xf numFmtId="0" fontId="2" fillId="0" borderId="1" xfId="0" applyFont="1" applyBorder="1" applyAlignment="1">
      <alignment horizontal="center"/>
    </xf>
    <xf numFmtId="0" fontId="4" fillId="0" borderId="0" xfId="0" applyFont="1"/>
    <xf numFmtId="164" fontId="3" fillId="0" borderId="0" xfId="0" applyNumberFormat="1" applyFont="1" applyFill="1"/>
    <xf numFmtId="164" fontId="1" fillId="0" borderId="0" xfId="1" applyNumberFormat="1"/>
    <xf numFmtId="0" fontId="0" fillId="0" borderId="0" xfId="0" applyAlignment="1">
      <alignment horizontal="center"/>
    </xf>
    <xf numFmtId="0" fontId="0" fillId="0" borderId="1" xfId="0" applyBorder="1"/>
    <xf numFmtId="166" fontId="0" fillId="0" borderId="0" xfId="0" applyNumberFormat="1"/>
    <xf numFmtId="2" fontId="3" fillId="4" borderId="0" xfId="0" applyNumberFormat="1" applyFont="1" applyFill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165" fontId="3" fillId="0" borderId="1" xfId="0" applyNumberFormat="1" applyFont="1" applyBorder="1"/>
    <xf numFmtId="165" fontId="0" fillId="0" borderId="1" xfId="0" applyNumberFormat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1" xfId="0" applyFont="1" applyBorder="1"/>
  </cellXfs>
  <cellStyles count="2">
    <cellStyle name="Normal" xfId="0" builtinId="0"/>
    <cellStyle name="Normal 2" xfId="1" xr:uid="{00000000-0005-0000-0000-000001000000}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 d'!$B$1</c:f>
              <c:strCache>
                <c:ptCount val="1"/>
                <c:pt idx="0">
                  <c:v>Ventas</c:v>
                </c:pt>
              </c:strCache>
            </c:strRef>
          </c:tx>
          <c:xVal>
            <c:numRef>
              <c:f>'a d'!$A$2:$A$49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'a d'!$B$2:$B$49</c:f>
              <c:numCache>
                <c:formatCode>General</c:formatCode>
                <c:ptCount val="48"/>
                <c:pt idx="0">
                  <c:v>2779</c:v>
                </c:pt>
                <c:pt idx="1">
                  <c:v>2870</c:v>
                </c:pt>
                <c:pt idx="2">
                  <c:v>3077</c:v>
                </c:pt>
                <c:pt idx="3">
                  <c:v>2634</c:v>
                </c:pt>
                <c:pt idx="4">
                  <c:v>2845</c:v>
                </c:pt>
                <c:pt idx="5">
                  <c:v>3263</c:v>
                </c:pt>
                <c:pt idx="6">
                  <c:v>2929</c:v>
                </c:pt>
                <c:pt idx="7">
                  <c:v>3188</c:v>
                </c:pt>
                <c:pt idx="8">
                  <c:v>2982</c:v>
                </c:pt>
                <c:pt idx="9">
                  <c:v>3191</c:v>
                </c:pt>
                <c:pt idx="10">
                  <c:v>3368</c:v>
                </c:pt>
                <c:pt idx="11">
                  <c:v>3545</c:v>
                </c:pt>
                <c:pt idx="12">
                  <c:v>3327</c:v>
                </c:pt>
                <c:pt idx="13">
                  <c:v>3464</c:v>
                </c:pt>
                <c:pt idx="14">
                  <c:v>3760</c:v>
                </c:pt>
                <c:pt idx="15">
                  <c:v>3873</c:v>
                </c:pt>
                <c:pt idx="16">
                  <c:v>3980</c:v>
                </c:pt>
                <c:pt idx="17">
                  <c:v>4167</c:v>
                </c:pt>
                <c:pt idx="18">
                  <c:v>4130</c:v>
                </c:pt>
                <c:pt idx="19">
                  <c:v>3950</c:v>
                </c:pt>
                <c:pt idx="20">
                  <c:v>3951</c:v>
                </c:pt>
                <c:pt idx="21">
                  <c:v>3713</c:v>
                </c:pt>
                <c:pt idx="22">
                  <c:v>3932</c:v>
                </c:pt>
                <c:pt idx="23">
                  <c:v>4050</c:v>
                </c:pt>
                <c:pt idx="24">
                  <c:v>3593</c:v>
                </c:pt>
                <c:pt idx="25">
                  <c:v>3248</c:v>
                </c:pt>
                <c:pt idx="26">
                  <c:v>3241</c:v>
                </c:pt>
                <c:pt idx="27">
                  <c:v>3343</c:v>
                </c:pt>
                <c:pt idx="28">
                  <c:v>3359</c:v>
                </c:pt>
                <c:pt idx="29">
                  <c:v>3274</c:v>
                </c:pt>
                <c:pt idx="30">
                  <c:v>3383</c:v>
                </c:pt>
                <c:pt idx="31">
                  <c:v>3352</c:v>
                </c:pt>
                <c:pt idx="32">
                  <c:v>3394</c:v>
                </c:pt>
                <c:pt idx="33">
                  <c:v>3631</c:v>
                </c:pt>
                <c:pt idx="34">
                  <c:v>3969</c:v>
                </c:pt>
                <c:pt idx="35">
                  <c:v>4268</c:v>
                </c:pt>
                <c:pt idx="36">
                  <c:v>4209</c:v>
                </c:pt>
                <c:pt idx="37">
                  <c:v>4169</c:v>
                </c:pt>
                <c:pt idx="38">
                  <c:v>4393</c:v>
                </c:pt>
                <c:pt idx="39">
                  <c:v>4756</c:v>
                </c:pt>
                <c:pt idx="40">
                  <c:v>4514</c:v>
                </c:pt>
                <c:pt idx="41">
                  <c:v>4781</c:v>
                </c:pt>
                <c:pt idx="42">
                  <c:v>4682</c:v>
                </c:pt>
                <c:pt idx="43">
                  <c:v>4949</c:v>
                </c:pt>
                <c:pt idx="44">
                  <c:v>4838</c:v>
                </c:pt>
                <c:pt idx="45">
                  <c:v>4902</c:v>
                </c:pt>
                <c:pt idx="46">
                  <c:v>4901</c:v>
                </c:pt>
                <c:pt idx="47">
                  <c:v>5251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8E-4DD9-AC2F-F4D0D5F4C8FE}"/>
            </c:ext>
          </c:extLst>
        </c:ser>
        <c:ser>
          <c:idx val="1"/>
          <c:order val="1"/>
          <c:tx>
            <c:strRef>
              <c:f>'a d'!$D$1</c:f>
              <c:strCache>
                <c:ptCount val="1"/>
                <c:pt idx="0">
                  <c:v>TC</c:v>
                </c:pt>
              </c:strCache>
            </c:strRef>
          </c:tx>
          <c:marker>
            <c:symbol val="none"/>
          </c:marker>
          <c:xVal>
            <c:numRef>
              <c:f>'a d'!$A$2:$A$49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'a d'!$D$2:$D$49</c:f>
              <c:numCache>
                <c:formatCode>General</c:formatCode>
                <c:ptCount val="48"/>
                <c:pt idx="6">
                  <c:v>3078.75</c:v>
                </c:pt>
                <c:pt idx="7">
                  <c:v>3126.3333333333335</c:v>
                </c:pt>
                <c:pt idx="8">
                  <c:v>3179.541666666667</c:v>
                </c:pt>
                <c:pt idx="9">
                  <c:v>3259.625</c:v>
                </c:pt>
                <c:pt idx="10">
                  <c:v>3358.541666666667</c:v>
                </c:pt>
                <c:pt idx="11">
                  <c:v>3443.5</c:v>
                </c:pt>
                <c:pt idx="12">
                  <c:v>3531.208333333333</c:v>
                </c:pt>
                <c:pt idx="13">
                  <c:v>3613</c:v>
                </c:pt>
                <c:pt idx="14">
                  <c:v>3685.125</c:v>
                </c:pt>
                <c:pt idx="15">
                  <c:v>3747.25</c:v>
                </c:pt>
                <c:pt idx="16">
                  <c:v>3792.5</c:v>
                </c:pt>
                <c:pt idx="17">
                  <c:v>3837.041666666667</c:v>
                </c:pt>
                <c:pt idx="18">
                  <c:v>3869.166666666667</c:v>
                </c:pt>
                <c:pt idx="19">
                  <c:v>3871.25</c:v>
                </c:pt>
                <c:pt idx="20">
                  <c:v>3840.625</c:v>
                </c:pt>
                <c:pt idx="21">
                  <c:v>3796.916666666667</c:v>
                </c:pt>
                <c:pt idx="22">
                  <c:v>3748.9583333333335</c:v>
                </c:pt>
                <c:pt idx="23">
                  <c:v>3685.875</c:v>
                </c:pt>
                <c:pt idx="24">
                  <c:v>3617.5416666666665</c:v>
                </c:pt>
                <c:pt idx="25">
                  <c:v>3561.5</c:v>
                </c:pt>
                <c:pt idx="26">
                  <c:v>3513.375</c:v>
                </c:pt>
                <c:pt idx="27">
                  <c:v>3486.75</c:v>
                </c:pt>
                <c:pt idx="28">
                  <c:v>3484.875</c:v>
                </c:pt>
                <c:pt idx="29">
                  <c:v>3495.5</c:v>
                </c:pt>
                <c:pt idx="30">
                  <c:v>3530.25</c:v>
                </c:pt>
                <c:pt idx="31">
                  <c:v>3594.2916666666665</c:v>
                </c:pt>
                <c:pt idx="32">
                  <c:v>3680.6666666666665</c:v>
                </c:pt>
                <c:pt idx="33">
                  <c:v>3787.5416666666665</c:v>
                </c:pt>
                <c:pt idx="34">
                  <c:v>3894.5416666666665</c:v>
                </c:pt>
                <c:pt idx="35">
                  <c:v>4005.458333333333</c:v>
                </c:pt>
                <c:pt idx="36">
                  <c:v>4122.375</c:v>
                </c:pt>
                <c:pt idx="37">
                  <c:v>4243.0416666666661</c:v>
                </c:pt>
                <c:pt idx="38">
                  <c:v>4369.75</c:v>
                </c:pt>
                <c:pt idx="39">
                  <c:v>4482.875</c:v>
                </c:pt>
                <c:pt idx="40">
                  <c:v>4574.6666666666661</c:v>
                </c:pt>
                <c:pt idx="41">
                  <c:v>4654.4583333333339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8E-4DD9-AC2F-F4D0D5F4C8FE}"/>
            </c:ext>
          </c:extLst>
        </c:ser>
        <c:ser>
          <c:idx val="2"/>
          <c:order val="2"/>
          <c:tx>
            <c:strRef>
              <c:f>'a d'!$G$1</c:f>
              <c:strCache>
                <c:ptCount val="1"/>
                <c:pt idx="0">
                  <c:v>MM17</c:v>
                </c:pt>
              </c:strCache>
            </c:strRef>
          </c:tx>
          <c:marker>
            <c:symbol val="triangle"/>
            <c:size val="4"/>
          </c:marke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1"/>
            <c:trendlineLbl>
              <c:layout>
                <c:manualLayout>
                  <c:x val="-0.53823032492609479"/>
                  <c:y val="-0.23959163484673174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50"/>
                  </a:pPr>
                  <a:endParaRPr lang="es-419"/>
                </a:p>
              </c:txPr>
            </c:trendlineLbl>
          </c:trendline>
          <c:trendline>
            <c:trendlineType val="exp"/>
            <c:dispRSqr val="1"/>
            <c:dispEq val="1"/>
            <c:trendlineLbl>
              <c:layout>
                <c:manualLayout>
                  <c:x val="-0.29004911922564552"/>
                  <c:y val="-0.23401739505987304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50"/>
                  </a:pPr>
                  <a:endParaRPr lang="es-419"/>
                </a:p>
              </c:txPr>
            </c:trendlineLbl>
          </c:trendline>
          <c:xVal>
            <c:numRef>
              <c:f>'a d'!$A$2:$A$49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'a d'!$G$2:$G$49</c:f>
              <c:numCache>
                <c:formatCode>General</c:formatCode>
                <c:ptCount val="48"/>
                <c:pt idx="8">
                  <c:v>3239.705882352941</c:v>
                </c:pt>
                <c:pt idx="9">
                  <c:v>3321.3529411764707</c:v>
                </c:pt>
                <c:pt idx="10">
                  <c:v>3395.4705882352941</c:v>
                </c:pt>
                <c:pt idx="11">
                  <c:v>3446.8235294117649</c:v>
                </c:pt>
                <c:pt idx="12">
                  <c:v>3524.294117647059</c:v>
                </c:pt>
                <c:pt idx="13">
                  <c:v>3575.3529411764707</c:v>
                </c:pt>
                <c:pt idx="14">
                  <c:v>3614.705882352941</c:v>
                </c:pt>
                <c:pt idx="15">
                  <c:v>3680.6470588235293</c:v>
                </c:pt>
                <c:pt idx="16">
                  <c:v>3704.4705882352941</c:v>
                </c:pt>
                <c:pt idx="17">
                  <c:v>3720.1176470588234</c:v>
                </c:pt>
                <c:pt idx="18">
                  <c:v>3723.0588235294117</c:v>
                </c:pt>
                <c:pt idx="19">
                  <c:v>3721.5882352941176</c:v>
                </c:pt>
                <c:pt idx="20">
                  <c:v>3710.6470588235293</c:v>
                </c:pt>
                <c:pt idx="21">
                  <c:v>3707.5294117647059</c:v>
                </c:pt>
                <c:pt idx="22">
                  <c:v>3702.7647058823532</c:v>
                </c:pt>
                <c:pt idx="23">
                  <c:v>3678.7647058823532</c:v>
                </c:pt>
                <c:pt idx="24">
                  <c:v>3650.5882352941176</c:v>
                </c:pt>
                <c:pt idx="25">
                  <c:v>3630.0588235294117</c:v>
                </c:pt>
                <c:pt idx="26">
                  <c:v>3618.4117647058824</c:v>
                </c:pt>
                <c:pt idx="27">
                  <c:v>3626.5294117647059</c:v>
                </c:pt>
                <c:pt idx="28">
                  <c:v>3641.7647058823532</c:v>
                </c:pt>
                <c:pt idx="29">
                  <c:v>3654.5882352941176</c:v>
                </c:pt>
                <c:pt idx="30">
                  <c:v>3694.5882352941176</c:v>
                </c:pt>
                <c:pt idx="31">
                  <c:v>3743.0588235294117</c:v>
                </c:pt>
                <c:pt idx="32">
                  <c:v>3770.3529411764707</c:v>
                </c:pt>
                <c:pt idx="33">
                  <c:v>3840.2352941176468</c:v>
                </c:pt>
                <c:pt idx="34">
                  <c:v>3924.5882352941176</c:v>
                </c:pt>
                <c:pt idx="35">
                  <c:v>4025.0588235294117</c:v>
                </c:pt>
                <c:pt idx="36">
                  <c:v>4113</c:v>
                </c:pt>
                <c:pt idx="37">
                  <c:v>4203.7647058823532</c:v>
                </c:pt>
                <c:pt idx="38">
                  <c:v>4299.4705882352937</c:v>
                </c:pt>
                <c:pt idx="39">
                  <c:v>4409.3529411764703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8E-4DD9-AC2F-F4D0D5F4C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40224"/>
        <c:axId val="148189184"/>
      </c:scatterChart>
      <c:valAx>
        <c:axId val="134740224"/>
        <c:scaling>
          <c:orientation val="minMax"/>
          <c:max val="48"/>
        </c:scaling>
        <c:delete val="0"/>
        <c:axPos val="b"/>
        <c:numFmt formatCode="General" sourceLinked="1"/>
        <c:majorTickMark val="out"/>
        <c:minorTickMark val="none"/>
        <c:tickLblPos val="nextTo"/>
        <c:crossAx val="148189184"/>
        <c:crosses val="autoZero"/>
        <c:crossBetween val="midCat"/>
        <c:majorUnit val="12"/>
      </c:valAx>
      <c:valAx>
        <c:axId val="148189184"/>
        <c:scaling>
          <c:orientation val="minMax"/>
          <c:min val="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402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 d'!$J$1</c:f>
              <c:strCache>
                <c:ptCount val="1"/>
                <c:pt idx="0">
                  <c:v>C</c:v>
                </c:pt>
              </c:strCache>
            </c:strRef>
          </c:tx>
          <c:marker>
            <c:symbol val="diamond"/>
            <c:size val="6"/>
          </c:marker>
          <c:xVal>
            <c:numRef>
              <c:f>'a d'!$I$2:$I$49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'a d'!$J$2:$J$49</c:f>
              <c:numCache>
                <c:formatCode>General</c:formatCode>
                <c:ptCount val="48"/>
                <c:pt idx="6">
                  <c:v>0.88427951360964685</c:v>
                </c:pt>
                <c:pt idx="7">
                  <c:v>0.89323503271798321</c:v>
                </c:pt>
                <c:pt idx="8">
                  <c:v>0.90369581496311568</c:v>
                </c:pt>
                <c:pt idx="9">
                  <c:v>0.92164677075498913</c:v>
                </c:pt>
                <c:pt idx="10">
                  <c:v>0.94470982189738106</c:v>
                </c:pt>
                <c:pt idx="11">
                  <c:v>0.96362972887962062</c:v>
                </c:pt>
                <c:pt idx="12">
                  <c:v>0.98312179782721831</c:v>
                </c:pt>
                <c:pt idx="13">
                  <c:v>1.0007766891326677</c:v>
                </c:pt>
                <c:pt idx="14">
                  <c:v>1.015588828626232</c:v>
                </c:pt>
                <c:pt idx="15">
                  <c:v>1.027509758909152</c:v>
                </c:pt>
                <c:pt idx="16">
                  <c:v>1.0347072317373149</c:v>
                </c:pt>
                <c:pt idx="17">
                  <c:v>1.0416406508179021</c:v>
                </c:pt>
                <c:pt idx="18">
                  <c:v>1.0451512545236614</c:v>
                </c:pt>
                <c:pt idx="19">
                  <c:v>1.0405523091727189</c:v>
                </c:pt>
                <c:pt idx="20">
                  <c:v>1.0272500604481078</c:v>
                </c:pt>
                <c:pt idx="21">
                  <c:v>1.0105955609119213</c:v>
                </c:pt>
                <c:pt idx="22">
                  <c:v>0.99297739020004216</c:v>
                </c:pt>
                <c:pt idx="23">
                  <c:v>0.97154305035852895</c:v>
                </c:pt>
                <c:pt idx="24">
                  <c:v>0.94893805851389401</c:v>
                </c:pt>
                <c:pt idx="25">
                  <c:v>0.92975864650740725</c:v>
                </c:pt>
                <c:pt idx="26">
                  <c:v>0.91281910183822612</c:v>
                </c:pt>
                <c:pt idx="27">
                  <c:v>0.90159987919195139</c:v>
                </c:pt>
                <c:pt idx="28">
                  <c:v>0.89685628372660886</c:v>
                </c:pt>
                <c:pt idx="29">
                  <c:v>0.89535914262734306</c:v>
                </c:pt>
                <c:pt idx="30">
                  <c:v>0.90002661646590443</c:v>
                </c:pt>
                <c:pt idx="31">
                  <c:v>0.91208361119936276</c:v>
                </c:pt>
                <c:pt idx="32">
                  <c:v>0.92966975085995707</c:v>
                </c:pt>
                <c:pt idx="33">
                  <c:v>0.9522475224656709</c:v>
                </c:pt>
                <c:pt idx="34">
                  <c:v>0.97464905168041427</c:v>
                </c:pt>
                <c:pt idx="35">
                  <c:v>0.99782131982662892</c:v>
                </c:pt>
                <c:pt idx="36">
                  <c:v>1.0222704242061138</c:v>
                </c:pt>
                <c:pt idx="37">
                  <c:v>1.047423572320312</c:v>
                </c:pt>
                <c:pt idx="38">
                  <c:v>1.0738343929760823</c:v>
                </c:pt>
                <c:pt idx="39">
                  <c:v>1.0966849004075683</c:v>
                </c:pt>
                <c:pt idx="40">
                  <c:v>1.1141353939155414</c:v>
                </c:pt>
                <c:pt idx="41">
                  <c:v>1.1285209668278866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FD-4D64-ACD2-11E1B8CB9F23}"/>
            </c:ext>
          </c:extLst>
        </c:ser>
        <c:ser>
          <c:idx val="1"/>
          <c:order val="1"/>
          <c:tx>
            <c:strRef>
              <c:f>'a d'!$L$1</c:f>
              <c:strCache>
                <c:ptCount val="1"/>
                <c:pt idx="0">
                  <c:v>S</c:v>
                </c:pt>
              </c:strCache>
            </c:strRef>
          </c:tx>
          <c:marker>
            <c:symbol val="square"/>
            <c:size val="4"/>
          </c:marker>
          <c:xVal>
            <c:numRef>
              <c:f>'a d'!$I$2:$I$49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'a d'!$L$2:$L$49</c:f>
              <c:numCache>
                <c:formatCode>0.000000</c:formatCode>
                <c:ptCount val="48"/>
                <c:pt idx="0">
                  <c:v>0.98877741725986268</c:v>
                </c:pt>
                <c:pt idx="1">
                  <c:v>0.95429043258694768</c:v>
                </c:pt>
                <c:pt idx="2">
                  <c:v>0.98600612500006968</c:v>
                </c:pt>
                <c:pt idx="3">
                  <c:v>1.0211715643200616</c:v>
                </c:pt>
                <c:pt idx="4">
                  <c:v>1.0033790290636166</c:v>
                </c:pt>
                <c:pt idx="5">
                  <c:v>1.0200197628053516</c:v>
                </c:pt>
                <c:pt idx="6">
                  <c:v>0.99568815904473962</c:v>
                </c:pt>
                <c:pt idx="7">
                  <c:v>0.99421473917299252</c:v>
                </c:pt>
                <c:pt idx="8">
                  <c:v>0.9661435249994812</c:v>
                </c:pt>
                <c:pt idx="9">
                  <c:v>0.9751034013956168</c:v>
                </c:pt>
                <c:pt idx="10">
                  <c:v>1.0270254232026956</c:v>
                </c:pt>
                <c:pt idx="11">
                  <c:v>1.0681804211485644</c:v>
                </c:pt>
                <c:pt idx="12">
                  <c:v>0.98877741725986268</c:v>
                </c:pt>
                <c:pt idx="13">
                  <c:v>0.95429043258694768</c:v>
                </c:pt>
                <c:pt idx="14">
                  <c:v>0.98600612500006968</c:v>
                </c:pt>
                <c:pt idx="15">
                  <c:v>1.0211715643200616</c:v>
                </c:pt>
                <c:pt idx="16">
                  <c:v>1.0033790290636166</c:v>
                </c:pt>
                <c:pt idx="17">
                  <c:v>1.0200197628053516</c:v>
                </c:pt>
                <c:pt idx="18">
                  <c:v>0.99568815904473962</c:v>
                </c:pt>
                <c:pt idx="19">
                  <c:v>0.99421473917299252</c:v>
                </c:pt>
                <c:pt idx="20">
                  <c:v>0.9661435249994812</c:v>
                </c:pt>
                <c:pt idx="21">
                  <c:v>0.9751034013956168</c:v>
                </c:pt>
                <c:pt idx="22">
                  <c:v>1.0270254232026956</c:v>
                </c:pt>
                <c:pt idx="23">
                  <c:v>1.0681804211485644</c:v>
                </c:pt>
                <c:pt idx="24">
                  <c:v>0.98877741725986268</c:v>
                </c:pt>
                <c:pt idx="25">
                  <c:v>0.95429043258694768</c:v>
                </c:pt>
                <c:pt idx="26">
                  <c:v>0.98600612500006968</c:v>
                </c:pt>
                <c:pt idx="27">
                  <c:v>1.0211715643200616</c:v>
                </c:pt>
                <c:pt idx="28">
                  <c:v>1.0033790290636166</c:v>
                </c:pt>
                <c:pt idx="29">
                  <c:v>1.0200197628053516</c:v>
                </c:pt>
                <c:pt idx="30">
                  <c:v>0.99568815904473962</c:v>
                </c:pt>
                <c:pt idx="31">
                  <c:v>0.99421473917299252</c:v>
                </c:pt>
                <c:pt idx="32">
                  <c:v>0.9661435249994812</c:v>
                </c:pt>
                <c:pt idx="33">
                  <c:v>0.9751034013956168</c:v>
                </c:pt>
                <c:pt idx="34">
                  <c:v>1.0270254232026956</c:v>
                </c:pt>
                <c:pt idx="35">
                  <c:v>1.0681804211485644</c:v>
                </c:pt>
                <c:pt idx="36">
                  <c:v>0.98877741725986268</c:v>
                </c:pt>
                <c:pt idx="37">
                  <c:v>0.95429043258694768</c:v>
                </c:pt>
                <c:pt idx="38">
                  <c:v>0.98600612500006968</c:v>
                </c:pt>
                <c:pt idx="39">
                  <c:v>1.0211715643200616</c:v>
                </c:pt>
                <c:pt idx="40">
                  <c:v>1.0033790290636166</c:v>
                </c:pt>
                <c:pt idx="41">
                  <c:v>1.0200197628053516</c:v>
                </c:pt>
                <c:pt idx="42">
                  <c:v>0.99568815904473962</c:v>
                </c:pt>
                <c:pt idx="43">
                  <c:v>0.99421473917299252</c:v>
                </c:pt>
                <c:pt idx="44">
                  <c:v>0.9661435249994812</c:v>
                </c:pt>
                <c:pt idx="45">
                  <c:v>0.9751034013956168</c:v>
                </c:pt>
                <c:pt idx="46">
                  <c:v>1.0270254232026956</c:v>
                </c:pt>
                <c:pt idx="47">
                  <c:v>1.0681804211485644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FD-4D64-ACD2-11E1B8CB9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19392"/>
        <c:axId val="148220928"/>
      </c:scatterChart>
      <c:valAx>
        <c:axId val="148219392"/>
        <c:scaling>
          <c:orientation val="minMax"/>
          <c:max val="48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48220928"/>
        <c:crosses val="autoZero"/>
        <c:crossBetween val="midCat"/>
        <c:majorUnit val="12"/>
      </c:valAx>
      <c:valAx>
        <c:axId val="148220928"/>
        <c:scaling>
          <c:orientation val="minMax"/>
          <c:max val="1.2"/>
          <c:min val="0.8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2193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Pronóstico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 d'!$O$1</c:f>
              <c:strCache>
                <c:ptCount val="1"/>
                <c:pt idx="0">
                  <c:v>Prev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8"/>
            <c:marker>
              <c:symbol val="circle"/>
              <c:size val="4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45-49E8-94D2-31E53EAEA9A4}"/>
              </c:ext>
            </c:extLst>
          </c:dPt>
          <c:dPt>
            <c:idx val="49"/>
            <c:marker>
              <c:symbol val="circle"/>
              <c:size val="4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4D45-49E8-94D2-31E53EAEA9A4}"/>
              </c:ext>
            </c:extLst>
          </c:dPt>
          <c:dPt>
            <c:idx val="50"/>
            <c:marker>
              <c:symbol val="circle"/>
              <c:size val="4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45-49E8-94D2-31E53EAEA9A4}"/>
              </c:ext>
            </c:extLst>
          </c:dPt>
          <c:dPt>
            <c:idx val="51"/>
            <c:marker>
              <c:symbol val="circle"/>
              <c:size val="4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D45-49E8-94D2-31E53EAEA9A4}"/>
              </c:ext>
            </c:extLst>
          </c:dPt>
          <c:dPt>
            <c:idx val="52"/>
            <c:marker>
              <c:symbol val="circle"/>
              <c:size val="4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D45-49E8-94D2-31E53EAEA9A4}"/>
              </c:ext>
            </c:extLst>
          </c:dPt>
          <c:dPt>
            <c:idx val="53"/>
            <c:marker>
              <c:symbol val="circle"/>
              <c:size val="4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4D45-49E8-94D2-31E53EAEA9A4}"/>
              </c:ext>
            </c:extLst>
          </c:dPt>
          <c:dPt>
            <c:idx val="54"/>
            <c:marker>
              <c:symbol val="circle"/>
              <c:size val="4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D45-49E8-94D2-31E53EAEA9A4}"/>
              </c:ext>
            </c:extLst>
          </c:dPt>
          <c:dPt>
            <c:idx val="55"/>
            <c:marker>
              <c:symbol val="circle"/>
              <c:size val="4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4D45-49E8-94D2-31E53EAEA9A4}"/>
              </c:ext>
            </c:extLst>
          </c:dPt>
          <c:dPt>
            <c:idx val="56"/>
            <c:marker>
              <c:symbol val="circle"/>
              <c:size val="4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D45-49E8-94D2-31E53EAEA9A4}"/>
              </c:ext>
            </c:extLst>
          </c:dPt>
          <c:dPt>
            <c:idx val="57"/>
            <c:marker>
              <c:symbol val="circle"/>
              <c:size val="4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4D45-49E8-94D2-31E53EAEA9A4}"/>
              </c:ext>
            </c:extLst>
          </c:dPt>
          <c:dPt>
            <c:idx val="58"/>
            <c:marker>
              <c:symbol val="circle"/>
              <c:size val="4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D45-49E8-94D2-31E53EAEA9A4}"/>
              </c:ext>
            </c:extLst>
          </c:dPt>
          <c:dPt>
            <c:idx val="59"/>
            <c:marker>
              <c:symbol val="circle"/>
              <c:size val="4"/>
              <c:spPr>
                <a:solidFill>
                  <a:schemeClr val="accent2">
                    <a:lumMod val="60000"/>
                    <a:lumOff val="4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4D45-49E8-94D2-31E53EAEA9A4}"/>
              </c:ext>
            </c:extLst>
          </c:dPt>
          <c:xVal>
            <c:numRef>
              <c:f>'a d'!$N$2:$N$61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'a d'!$O$2:$O$61</c:f>
              <c:numCache>
                <c:formatCode>General</c:formatCode>
                <c:ptCount val="60"/>
                <c:pt idx="0">
                  <c:v>2779</c:v>
                </c:pt>
                <c:pt idx="1">
                  <c:v>2870</c:v>
                </c:pt>
                <c:pt idx="2">
                  <c:v>3077</c:v>
                </c:pt>
                <c:pt idx="3">
                  <c:v>2634</c:v>
                </c:pt>
                <c:pt idx="4">
                  <c:v>2845</c:v>
                </c:pt>
                <c:pt idx="5">
                  <c:v>3263</c:v>
                </c:pt>
                <c:pt idx="6">
                  <c:v>2929</c:v>
                </c:pt>
                <c:pt idx="7">
                  <c:v>3188</c:v>
                </c:pt>
                <c:pt idx="8">
                  <c:v>2982</c:v>
                </c:pt>
                <c:pt idx="9">
                  <c:v>3191</c:v>
                </c:pt>
                <c:pt idx="10">
                  <c:v>3368</c:v>
                </c:pt>
                <c:pt idx="11">
                  <c:v>3545</c:v>
                </c:pt>
                <c:pt idx="12">
                  <c:v>3327</c:v>
                </c:pt>
                <c:pt idx="13">
                  <c:v>3464</c:v>
                </c:pt>
                <c:pt idx="14">
                  <c:v>3760</c:v>
                </c:pt>
                <c:pt idx="15">
                  <c:v>3873</c:v>
                </c:pt>
                <c:pt idx="16">
                  <c:v>3980</c:v>
                </c:pt>
                <c:pt idx="17">
                  <c:v>4167</c:v>
                </c:pt>
                <c:pt idx="18">
                  <c:v>4130</c:v>
                </c:pt>
                <c:pt idx="19">
                  <c:v>3950</c:v>
                </c:pt>
                <c:pt idx="20">
                  <c:v>3951</c:v>
                </c:pt>
                <c:pt idx="21">
                  <c:v>3713</c:v>
                </c:pt>
                <c:pt idx="22">
                  <c:v>3932</c:v>
                </c:pt>
                <c:pt idx="23">
                  <c:v>4050</c:v>
                </c:pt>
                <c:pt idx="24">
                  <c:v>3593</c:v>
                </c:pt>
                <c:pt idx="25">
                  <c:v>3248</c:v>
                </c:pt>
                <c:pt idx="26">
                  <c:v>3241</c:v>
                </c:pt>
                <c:pt idx="27">
                  <c:v>3343</c:v>
                </c:pt>
                <c:pt idx="28">
                  <c:v>3359</c:v>
                </c:pt>
                <c:pt idx="29">
                  <c:v>3274</c:v>
                </c:pt>
                <c:pt idx="30">
                  <c:v>3383</c:v>
                </c:pt>
                <c:pt idx="31">
                  <c:v>3352</c:v>
                </c:pt>
                <c:pt idx="32">
                  <c:v>3394</c:v>
                </c:pt>
                <c:pt idx="33">
                  <c:v>3631</c:v>
                </c:pt>
                <c:pt idx="34">
                  <c:v>3969</c:v>
                </c:pt>
                <c:pt idx="35">
                  <c:v>4268</c:v>
                </c:pt>
                <c:pt idx="36">
                  <c:v>4209</c:v>
                </c:pt>
                <c:pt idx="37">
                  <c:v>4169</c:v>
                </c:pt>
                <c:pt idx="38">
                  <c:v>4393</c:v>
                </c:pt>
                <c:pt idx="39">
                  <c:v>4756</c:v>
                </c:pt>
                <c:pt idx="40">
                  <c:v>4514</c:v>
                </c:pt>
                <c:pt idx="41">
                  <c:v>4781</c:v>
                </c:pt>
                <c:pt idx="42">
                  <c:v>4682</c:v>
                </c:pt>
                <c:pt idx="43">
                  <c:v>4949</c:v>
                </c:pt>
                <c:pt idx="44">
                  <c:v>4838</c:v>
                </c:pt>
                <c:pt idx="45">
                  <c:v>4902</c:v>
                </c:pt>
                <c:pt idx="46">
                  <c:v>4901</c:v>
                </c:pt>
                <c:pt idx="47">
                  <c:v>5251</c:v>
                </c:pt>
                <c:pt idx="48" formatCode="0.00">
                  <c:v>4835.9881349292145</c:v>
                </c:pt>
                <c:pt idx="49" formatCode="0.00">
                  <c:v>4687.4698334149243</c:v>
                </c:pt>
                <c:pt idx="50" formatCode="0.00">
                  <c:v>4864.0802249211438</c:v>
                </c:pt>
                <c:pt idx="51" formatCode="0.00">
                  <c:v>5059.1210456788194</c:v>
                </c:pt>
                <c:pt idx="52" formatCode="0.00">
                  <c:v>4992.1626549548873</c:v>
                </c:pt>
                <c:pt idx="53" formatCode="0.00">
                  <c:v>5096.4975322521968</c:v>
                </c:pt>
                <c:pt idx="54" formatCode="0.00">
                  <c:v>4995.9529585649771</c:v>
                </c:pt>
                <c:pt idx="55" formatCode="0.00">
                  <c:v>5009.556368088236</c:v>
                </c:pt>
                <c:pt idx="56" formatCode="0.00">
                  <c:v>4888.5173546092046</c:v>
                </c:pt>
                <c:pt idx="57" formatCode="0.00">
                  <c:v>4954.44558167997</c:v>
                </c:pt>
                <c:pt idx="58" formatCode="0.00">
                  <c:v>5239.9477955665607</c:v>
                </c:pt>
                <c:pt idx="59" formatCode="0.00">
                  <c:v>5472.4816382003237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5E-453D-A547-D39ED02D5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5006752"/>
        <c:axId val="1225002176"/>
      </c:scatterChart>
      <c:valAx>
        <c:axId val="1225006752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25002176"/>
        <c:crosses val="autoZero"/>
        <c:crossBetween val="midCat"/>
        <c:majorUnit val="12"/>
      </c:valAx>
      <c:valAx>
        <c:axId val="12250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2500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Comparación de pronósticos</a:t>
            </a:r>
            <a:r>
              <a:rPr lang="es-419" baseline="0"/>
              <a:t> 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 d'!$O$50:$O$61</c:f>
              <c:numCache>
                <c:formatCode>0.00</c:formatCode>
                <c:ptCount val="12"/>
                <c:pt idx="0">
                  <c:v>4835.9881349292145</c:v>
                </c:pt>
                <c:pt idx="1">
                  <c:v>4687.4698334149243</c:v>
                </c:pt>
                <c:pt idx="2">
                  <c:v>4864.0802249211438</c:v>
                </c:pt>
                <c:pt idx="3">
                  <c:v>5059.1210456788194</c:v>
                </c:pt>
                <c:pt idx="4">
                  <c:v>4992.1626549548873</c:v>
                </c:pt>
                <c:pt idx="5">
                  <c:v>5096.4975322521968</c:v>
                </c:pt>
                <c:pt idx="6">
                  <c:v>4995.9529585649771</c:v>
                </c:pt>
                <c:pt idx="7">
                  <c:v>5009.556368088236</c:v>
                </c:pt>
                <c:pt idx="8">
                  <c:v>4888.5173546092046</c:v>
                </c:pt>
                <c:pt idx="9">
                  <c:v>4954.44558167997</c:v>
                </c:pt>
                <c:pt idx="10">
                  <c:v>5239.9477955665607</c:v>
                </c:pt>
                <c:pt idx="11">
                  <c:v>5472.4816382003237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E3-4992-8F01-A2413F47584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 d'!$P$50:$P$61</c:f>
              <c:numCache>
                <c:formatCode>General</c:formatCode>
                <c:ptCount val="12"/>
                <c:pt idx="0">
                  <c:v>4710.2132235665695</c:v>
                </c:pt>
                <c:pt idx="1">
                  <c:v>4620.915764333462</c:v>
                </c:pt>
                <c:pt idx="2">
                  <c:v>4777.1585238261323</c:v>
                </c:pt>
                <c:pt idx="3">
                  <c:v>4889.1132968950751</c:v>
                </c:pt>
                <c:pt idx="4">
                  <c:v>4956.4779222987308</c:v>
                </c:pt>
                <c:pt idx="5">
                  <c:v>5321.4956127656787</c:v>
                </c:pt>
                <c:pt idx="6">
                  <c:v>5139.8899630230098</c:v>
                </c:pt>
                <c:pt idx="7">
                  <c:v>5195.722261480023</c:v>
                </c:pt>
                <c:pt idx="8">
                  <c:v>5115.4521286902591</c:v>
                </c:pt>
                <c:pt idx="9">
                  <c:v>5106.8707072852249</c:v>
                </c:pt>
                <c:pt idx="10">
                  <c:v>5321.6482995941769</c:v>
                </c:pt>
                <c:pt idx="11">
                  <c:v>5495.1355811792037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E3-4992-8F01-A2413F475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2669600"/>
        <c:axId val="952656704"/>
      </c:lineChart>
      <c:catAx>
        <c:axId val="952669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952656704"/>
        <c:crosses val="autoZero"/>
        <c:auto val="1"/>
        <c:lblAlgn val="ctr"/>
        <c:lblOffset val="100"/>
        <c:noMultiLvlLbl val="0"/>
      </c:catAx>
      <c:valAx>
        <c:axId val="95265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95266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'a d'!$L$1</c:f>
              <c:strCache>
                <c:ptCount val="1"/>
                <c:pt idx="0">
                  <c:v>S</c:v>
                </c:pt>
              </c:strCache>
            </c:strRef>
          </c:tx>
          <c:marker>
            <c:symbol val="square"/>
            <c:size val="4"/>
          </c:marker>
          <c:xVal>
            <c:numRef>
              <c:f>'a d'!$I$2:$I$49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'a d'!$L$2:$L$49</c:f>
              <c:numCache>
                <c:formatCode>0.000000</c:formatCode>
                <c:ptCount val="48"/>
                <c:pt idx="0">
                  <c:v>0.98877741725986268</c:v>
                </c:pt>
                <c:pt idx="1">
                  <c:v>0.95429043258694768</c:v>
                </c:pt>
                <c:pt idx="2">
                  <c:v>0.98600612500006968</c:v>
                </c:pt>
                <c:pt idx="3">
                  <c:v>1.0211715643200616</c:v>
                </c:pt>
                <c:pt idx="4">
                  <c:v>1.0033790290636166</c:v>
                </c:pt>
                <c:pt idx="5">
                  <c:v>1.0200197628053516</c:v>
                </c:pt>
                <c:pt idx="6">
                  <c:v>0.99568815904473962</c:v>
                </c:pt>
                <c:pt idx="7">
                  <c:v>0.99421473917299252</c:v>
                </c:pt>
                <c:pt idx="8">
                  <c:v>0.9661435249994812</c:v>
                </c:pt>
                <c:pt idx="9">
                  <c:v>0.9751034013956168</c:v>
                </c:pt>
                <c:pt idx="10">
                  <c:v>1.0270254232026956</c:v>
                </c:pt>
                <c:pt idx="11">
                  <c:v>1.0681804211485644</c:v>
                </c:pt>
                <c:pt idx="12">
                  <c:v>0.98877741725986268</c:v>
                </c:pt>
                <c:pt idx="13">
                  <c:v>0.95429043258694768</c:v>
                </c:pt>
                <c:pt idx="14">
                  <c:v>0.98600612500006968</c:v>
                </c:pt>
                <c:pt idx="15">
                  <c:v>1.0211715643200616</c:v>
                </c:pt>
                <c:pt idx="16">
                  <c:v>1.0033790290636166</c:v>
                </c:pt>
                <c:pt idx="17">
                  <c:v>1.0200197628053516</c:v>
                </c:pt>
                <c:pt idx="18">
                  <c:v>0.99568815904473962</c:v>
                </c:pt>
                <c:pt idx="19">
                  <c:v>0.99421473917299252</c:v>
                </c:pt>
                <c:pt idx="20">
                  <c:v>0.9661435249994812</c:v>
                </c:pt>
                <c:pt idx="21">
                  <c:v>0.9751034013956168</c:v>
                </c:pt>
                <c:pt idx="22">
                  <c:v>1.0270254232026956</c:v>
                </c:pt>
                <c:pt idx="23">
                  <c:v>1.0681804211485644</c:v>
                </c:pt>
                <c:pt idx="24">
                  <c:v>0.98877741725986268</c:v>
                </c:pt>
                <c:pt idx="25">
                  <c:v>0.95429043258694768</c:v>
                </c:pt>
                <c:pt idx="26">
                  <c:v>0.98600612500006968</c:v>
                </c:pt>
                <c:pt idx="27">
                  <c:v>1.0211715643200616</c:v>
                </c:pt>
                <c:pt idx="28">
                  <c:v>1.0033790290636166</c:v>
                </c:pt>
                <c:pt idx="29">
                  <c:v>1.0200197628053516</c:v>
                </c:pt>
                <c:pt idx="30">
                  <c:v>0.99568815904473962</c:v>
                </c:pt>
                <c:pt idx="31">
                  <c:v>0.99421473917299252</c:v>
                </c:pt>
                <c:pt idx="32">
                  <c:v>0.9661435249994812</c:v>
                </c:pt>
                <c:pt idx="33">
                  <c:v>0.9751034013956168</c:v>
                </c:pt>
                <c:pt idx="34">
                  <c:v>1.0270254232026956</c:v>
                </c:pt>
                <c:pt idx="35">
                  <c:v>1.0681804211485644</c:v>
                </c:pt>
                <c:pt idx="36">
                  <c:v>0.98877741725986268</c:v>
                </c:pt>
                <c:pt idx="37">
                  <c:v>0.95429043258694768</c:v>
                </c:pt>
                <c:pt idx="38">
                  <c:v>0.98600612500006968</c:v>
                </c:pt>
                <c:pt idx="39">
                  <c:v>1.0211715643200616</c:v>
                </c:pt>
                <c:pt idx="40">
                  <c:v>1.0033790290636166</c:v>
                </c:pt>
                <c:pt idx="41">
                  <c:v>1.0200197628053516</c:v>
                </c:pt>
                <c:pt idx="42">
                  <c:v>0.99568815904473962</c:v>
                </c:pt>
                <c:pt idx="43">
                  <c:v>0.99421473917299252</c:v>
                </c:pt>
                <c:pt idx="44">
                  <c:v>0.9661435249994812</c:v>
                </c:pt>
                <c:pt idx="45">
                  <c:v>0.9751034013956168</c:v>
                </c:pt>
                <c:pt idx="46">
                  <c:v>1.0270254232026956</c:v>
                </c:pt>
                <c:pt idx="47">
                  <c:v>1.0681804211485644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A2-434A-81DA-7EF4C1AC6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19392"/>
        <c:axId val="148220928"/>
      </c:scatterChart>
      <c:valAx>
        <c:axId val="148219392"/>
        <c:scaling>
          <c:orientation val="minMax"/>
          <c:max val="48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48220928"/>
        <c:crosses val="autoZero"/>
        <c:crossBetween val="midCat"/>
        <c:majorUnit val="12"/>
      </c:valAx>
      <c:valAx>
        <c:axId val="148220928"/>
        <c:scaling>
          <c:orientation val="minMax"/>
          <c:max val="1.2"/>
          <c:min val="0.8"/>
        </c:scaling>
        <c:delete val="0"/>
        <c:axPos val="l"/>
        <c:majorGridlines/>
        <c:numFmt formatCode="0.000000" sourceLinked="1"/>
        <c:majorTickMark val="out"/>
        <c:minorTickMark val="none"/>
        <c:tickLblPos val="nextTo"/>
        <c:crossAx val="1482193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 d'!$J$1</c:f>
              <c:strCache>
                <c:ptCount val="1"/>
                <c:pt idx="0">
                  <c:v>C</c:v>
                </c:pt>
              </c:strCache>
            </c:strRef>
          </c:tx>
          <c:marker>
            <c:symbol val="diamond"/>
            <c:size val="6"/>
          </c:marker>
          <c:dPt>
            <c:idx val="6"/>
            <c:marker>
              <c:spPr>
                <a:solidFill>
                  <a:srgbClr val="FF00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056-49EE-8D13-733855E55F16}"/>
              </c:ext>
            </c:extLst>
          </c:dPt>
          <c:dPt>
            <c:idx val="7"/>
            <c:marker>
              <c:spPr>
                <a:solidFill>
                  <a:srgbClr val="FF00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056-49EE-8D13-733855E55F16}"/>
              </c:ext>
            </c:extLst>
          </c:dPt>
          <c:dPt>
            <c:idx val="8"/>
            <c:marker>
              <c:spPr>
                <a:solidFill>
                  <a:srgbClr val="FF00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056-49EE-8D13-733855E55F16}"/>
              </c:ext>
            </c:extLst>
          </c:dPt>
          <c:dPt>
            <c:idx val="9"/>
            <c:marker>
              <c:spPr>
                <a:solidFill>
                  <a:srgbClr val="FF00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8056-49EE-8D13-733855E55F16}"/>
              </c:ext>
            </c:extLst>
          </c:dPt>
          <c:dPt>
            <c:idx val="10"/>
            <c:marker>
              <c:spPr>
                <a:solidFill>
                  <a:srgbClr val="FF00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8056-49EE-8D13-733855E55F16}"/>
              </c:ext>
            </c:extLst>
          </c:dPt>
          <c:dPt>
            <c:idx val="24"/>
            <c:marker>
              <c:spPr>
                <a:solidFill>
                  <a:srgbClr val="FF00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8056-49EE-8D13-733855E55F16}"/>
              </c:ext>
            </c:extLst>
          </c:dPt>
          <c:dPt>
            <c:idx val="25"/>
            <c:marker>
              <c:spPr>
                <a:solidFill>
                  <a:srgbClr val="FF00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8056-49EE-8D13-733855E55F16}"/>
              </c:ext>
            </c:extLst>
          </c:dPt>
          <c:dPt>
            <c:idx val="26"/>
            <c:marker>
              <c:spPr>
                <a:solidFill>
                  <a:srgbClr val="FF00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8056-49EE-8D13-733855E55F16}"/>
              </c:ext>
            </c:extLst>
          </c:dPt>
          <c:dPt>
            <c:idx val="27"/>
            <c:marker>
              <c:spPr>
                <a:solidFill>
                  <a:srgbClr val="FF00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8056-49EE-8D13-733855E55F16}"/>
              </c:ext>
            </c:extLst>
          </c:dPt>
          <c:dPt>
            <c:idx val="28"/>
            <c:marker>
              <c:spPr>
                <a:solidFill>
                  <a:srgbClr val="FF00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8056-49EE-8D13-733855E55F16}"/>
              </c:ext>
            </c:extLst>
          </c:dPt>
          <c:dPt>
            <c:idx val="29"/>
            <c:marker>
              <c:spPr>
                <a:solidFill>
                  <a:srgbClr val="FF00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8056-49EE-8D13-733855E55F16}"/>
              </c:ext>
            </c:extLst>
          </c:dPt>
          <c:dPt>
            <c:idx val="30"/>
            <c:marker>
              <c:spPr>
                <a:solidFill>
                  <a:srgbClr val="FF00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8056-49EE-8D13-733855E55F16}"/>
              </c:ext>
            </c:extLst>
          </c:dPt>
          <c:dPt>
            <c:idx val="31"/>
            <c:marker>
              <c:spPr>
                <a:solidFill>
                  <a:srgbClr val="FF00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8056-49EE-8D13-733855E55F16}"/>
              </c:ext>
            </c:extLst>
          </c:dPt>
          <c:dPt>
            <c:idx val="32"/>
            <c:marker>
              <c:spPr>
                <a:solidFill>
                  <a:srgbClr val="FF00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8056-49EE-8D13-733855E55F16}"/>
              </c:ext>
            </c:extLst>
          </c:dPt>
          <c:dPt>
            <c:idx val="33"/>
            <c:marker>
              <c:spPr>
                <a:solidFill>
                  <a:srgbClr val="0070C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8056-49EE-8D13-733855E55F16}"/>
              </c:ext>
            </c:extLst>
          </c:dPt>
          <c:dPt>
            <c:idx val="38"/>
            <c:marker>
              <c:spPr>
                <a:solidFill>
                  <a:srgbClr val="FF00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8056-49EE-8D13-733855E55F16}"/>
              </c:ext>
            </c:extLst>
          </c:dPt>
          <c:dPt>
            <c:idx val="39"/>
            <c:marker>
              <c:spPr>
                <a:solidFill>
                  <a:srgbClr val="FF00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8056-49EE-8D13-733855E55F16}"/>
              </c:ext>
            </c:extLst>
          </c:dPt>
          <c:dPt>
            <c:idx val="40"/>
            <c:marker>
              <c:spPr>
                <a:solidFill>
                  <a:srgbClr val="FF00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8056-49EE-8D13-733855E55F16}"/>
              </c:ext>
            </c:extLst>
          </c:dPt>
          <c:dPt>
            <c:idx val="41"/>
            <c:marker>
              <c:spPr>
                <a:solidFill>
                  <a:srgbClr val="FF0000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8056-49EE-8D13-733855E55F16}"/>
              </c:ext>
            </c:extLst>
          </c:dPt>
          <c:xVal>
            <c:numRef>
              <c:f>'a d'!$I$2:$I$49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xVal>
          <c:yVal>
            <c:numRef>
              <c:f>'a d'!$J$2:$J$49</c:f>
              <c:numCache>
                <c:formatCode>General</c:formatCode>
                <c:ptCount val="48"/>
                <c:pt idx="6">
                  <c:v>0.88427951360964685</c:v>
                </c:pt>
                <c:pt idx="7">
                  <c:v>0.89323503271798321</c:v>
                </c:pt>
                <c:pt idx="8">
                  <c:v>0.90369581496311568</c:v>
                </c:pt>
                <c:pt idx="9">
                  <c:v>0.92164677075498913</c:v>
                </c:pt>
                <c:pt idx="10">
                  <c:v>0.94470982189738106</c:v>
                </c:pt>
                <c:pt idx="11">
                  <c:v>0.96362972887962062</c:v>
                </c:pt>
                <c:pt idx="12">
                  <c:v>0.98312179782721831</c:v>
                </c:pt>
                <c:pt idx="13">
                  <c:v>1.0007766891326677</c:v>
                </c:pt>
                <c:pt idx="14">
                  <c:v>1.015588828626232</c:v>
                </c:pt>
                <c:pt idx="15">
                  <c:v>1.027509758909152</c:v>
                </c:pt>
                <c:pt idx="16">
                  <c:v>1.0347072317373149</c:v>
                </c:pt>
                <c:pt idx="17">
                  <c:v>1.0416406508179021</c:v>
                </c:pt>
                <c:pt idx="18">
                  <c:v>1.0451512545236614</c:v>
                </c:pt>
                <c:pt idx="19">
                  <c:v>1.0405523091727189</c:v>
                </c:pt>
                <c:pt idx="20">
                  <c:v>1.0272500604481078</c:v>
                </c:pt>
                <c:pt idx="21">
                  <c:v>1.0105955609119213</c:v>
                </c:pt>
                <c:pt idx="22">
                  <c:v>0.99297739020004216</c:v>
                </c:pt>
                <c:pt idx="23">
                  <c:v>0.97154305035852895</c:v>
                </c:pt>
                <c:pt idx="24">
                  <c:v>0.94893805851389401</c:v>
                </c:pt>
                <c:pt idx="25">
                  <c:v>0.92975864650740725</c:v>
                </c:pt>
                <c:pt idx="26">
                  <c:v>0.91281910183822612</c:v>
                </c:pt>
                <c:pt idx="27">
                  <c:v>0.90159987919195139</c:v>
                </c:pt>
                <c:pt idx="28">
                  <c:v>0.89685628372660886</c:v>
                </c:pt>
                <c:pt idx="29">
                  <c:v>0.89535914262734306</c:v>
                </c:pt>
                <c:pt idx="30">
                  <c:v>0.90002661646590443</c:v>
                </c:pt>
                <c:pt idx="31">
                  <c:v>0.91208361119936276</c:v>
                </c:pt>
                <c:pt idx="32">
                  <c:v>0.92966975085995707</c:v>
                </c:pt>
                <c:pt idx="33">
                  <c:v>0.9522475224656709</c:v>
                </c:pt>
                <c:pt idx="34">
                  <c:v>0.97464905168041427</c:v>
                </c:pt>
                <c:pt idx="35">
                  <c:v>0.99782131982662892</c:v>
                </c:pt>
                <c:pt idx="36">
                  <c:v>1.0222704242061138</c:v>
                </c:pt>
                <c:pt idx="37">
                  <c:v>1.047423572320312</c:v>
                </c:pt>
                <c:pt idx="38">
                  <c:v>1.0738343929760823</c:v>
                </c:pt>
                <c:pt idx="39">
                  <c:v>1.0966849004075683</c:v>
                </c:pt>
                <c:pt idx="40">
                  <c:v>1.1141353939155414</c:v>
                </c:pt>
                <c:pt idx="41">
                  <c:v>1.1285209668278866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56-49EE-8D13-733855E55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19392"/>
        <c:axId val="148220928"/>
      </c:scatterChart>
      <c:valAx>
        <c:axId val="148219392"/>
        <c:scaling>
          <c:orientation val="minMax"/>
          <c:max val="48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48220928"/>
        <c:crosses val="autoZero"/>
        <c:crossBetween val="midCat"/>
        <c:majorUnit val="12"/>
      </c:valAx>
      <c:valAx>
        <c:axId val="148220928"/>
        <c:scaling>
          <c:orientation val="minMax"/>
          <c:max val="1.2"/>
          <c:min val="0.8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2193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e!$B$1</c:f>
              <c:strCache>
                <c:ptCount val="1"/>
                <c:pt idx="0">
                  <c:v>Pron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e!$B$2:$B$13</c:f>
              <c:numCache>
                <c:formatCode>0.0000</c:formatCode>
                <c:ptCount val="12"/>
                <c:pt idx="0">
                  <c:v>4835.9881349292145</c:v>
                </c:pt>
                <c:pt idx="1">
                  <c:v>4687.4698334149243</c:v>
                </c:pt>
                <c:pt idx="2">
                  <c:v>4864.0802249211438</c:v>
                </c:pt>
                <c:pt idx="3">
                  <c:v>5059.1210456788194</c:v>
                </c:pt>
                <c:pt idx="4">
                  <c:v>4992.1626549548873</c:v>
                </c:pt>
                <c:pt idx="5">
                  <c:v>5096.4975322521968</c:v>
                </c:pt>
                <c:pt idx="6">
                  <c:v>4995.9529585649771</c:v>
                </c:pt>
                <c:pt idx="7">
                  <c:v>5009.556368088236</c:v>
                </c:pt>
                <c:pt idx="8">
                  <c:v>4888.5173546092046</c:v>
                </c:pt>
                <c:pt idx="9">
                  <c:v>4954.44558167997</c:v>
                </c:pt>
                <c:pt idx="10">
                  <c:v>5239.9477955665607</c:v>
                </c:pt>
                <c:pt idx="11">
                  <c:v>5472.4816382003237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BE-496D-B5B4-3E807EC27484}"/>
            </c:ext>
          </c:extLst>
        </c:ser>
        <c:ser>
          <c:idx val="1"/>
          <c:order val="1"/>
          <c:tx>
            <c:strRef>
              <c:f>e!$C$1</c:f>
              <c:strCache>
                <c:ptCount val="1"/>
                <c:pt idx="0">
                  <c:v>Prev Excel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e!$C$2:$C$13</c:f>
              <c:numCache>
                <c:formatCode>0.0000</c:formatCode>
                <c:ptCount val="12"/>
                <c:pt idx="0">
                  <c:v>4710.2132235665695</c:v>
                </c:pt>
                <c:pt idx="1">
                  <c:v>4620.915764333462</c:v>
                </c:pt>
                <c:pt idx="2">
                  <c:v>4777.1585238261323</c:v>
                </c:pt>
                <c:pt idx="3">
                  <c:v>4889.1132968950751</c:v>
                </c:pt>
                <c:pt idx="4">
                  <c:v>4956.4779222987308</c:v>
                </c:pt>
                <c:pt idx="5">
                  <c:v>5321.4956127656787</c:v>
                </c:pt>
                <c:pt idx="6">
                  <c:v>5139.8899630230098</c:v>
                </c:pt>
                <c:pt idx="7">
                  <c:v>5195.722261480023</c:v>
                </c:pt>
                <c:pt idx="8">
                  <c:v>5115.4521286902591</c:v>
                </c:pt>
                <c:pt idx="9">
                  <c:v>5106.8707072852249</c:v>
                </c:pt>
                <c:pt idx="10">
                  <c:v>5321.6482995941769</c:v>
                </c:pt>
                <c:pt idx="11">
                  <c:v>5495.1355811792037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BE-496D-B5B4-3E807EC27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8648848"/>
        <c:axId val="1168648432"/>
      </c:lineChart>
      <c:catAx>
        <c:axId val="116864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168648432"/>
        <c:crosses val="autoZero"/>
        <c:auto val="1"/>
        <c:lblAlgn val="ctr"/>
        <c:lblOffset val="100"/>
        <c:noMultiLvlLbl val="0"/>
      </c:catAx>
      <c:valAx>
        <c:axId val="11686484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16864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f!$B$1</c:f>
              <c:strCache>
                <c:ptCount val="1"/>
                <c:pt idx="0">
                  <c:v>MM17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608357223256808"/>
                  <c:y val="0.387707542533278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</c:trendlineLbl>
          </c:trendline>
          <c:trendline>
            <c:spPr>
              <a:ln w="19050" cap="rnd">
                <a:solidFill>
                  <a:schemeClr val="accent6">
                    <a:lumMod val="50000"/>
                  </a:schemeClr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41274124959110237"/>
                  <c:y val="0.401137288117869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</c:trendlineLbl>
          </c:trendline>
          <c:xVal>
            <c:numRef>
              <c:f>f!$A$2:$A$61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f!$B$2:$B$61</c:f>
              <c:numCache>
                <c:formatCode>General</c:formatCode>
                <c:ptCount val="60"/>
                <c:pt idx="8">
                  <c:v>3239.705882352941</c:v>
                </c:pt>
                <c:pt idx="9">
                  <c:v>3321.3529411764707</c:v>
                </c:pt>
                <c:pt idx="10">
                  <c:v>3395.4705882352941</c:v>
                </c:pt>
                <c:pt idx="11">
                  <c:v>3446.8235294117649</c:v>
                </c:pt>
                <c:pt idx="12">
                  <c:v>3524.294117647059</c:v>
                </c:pt>
                <c:pt idx="13">
                  <c:v>3575.3529411764707</c:v>
                </c:pt>
                <c:pt idx="14">
                  <c:v>3614.705882352941</c:v>
                </c:pt>
                <c:pt idx="15">
                  <c:v>3680.6470588235293</c:v>
                </c:pt>
                <c:pt idx="16">
                  <c:v>3704.4705882352941</c:v>
                </c:pt>
                <c:pt idx="17">
                  <c:v>3720.1176470588234</c:v>
                </c:pt>
                <c:pt idx="18">
                  <c:v>3723.0588235294117</c:v>
                </c:pt>
                <c:pt idx="19">
                  <c:v>3721.5882352941176</c:v>
                </c:pt>
                <c:pt idx="20">
                  <c:v>3710.6470588235293</c:v>
                </c:pt>
                <c:pt idx="21">
                  <c:v>3707.5294117647059</c:v>
                </c:pt>
                <c:pt idx="22">
                  <c:v>3702.7647058823532</c:v>
                </c:pt>
                <c:pt idx="23">
                  <c:v>3678.7647058823532</c:v>
                </c:pt>
                <c:pt idx="24">
                  <c:v>3650.5882352941176</c:v>
                </c:pt>
                <c:pt idx="25">
                  <c:v>3630.0588235294117</c:v>
                </c:pt>
                <c:pt idx="26">
                  <c:v>3618.4117647058824</c:v>
                </c:pt>
                <c:pt idx="27">
                  <c:v>3626.5294117647059</c:v>
                </c:pt>
                <c:pt idx="28">
                  <c:v>3641.7647058823532</c:v>
                </c:pt>
                <c:pt idx="29">
                  <c:v>3654.5882352941176</c:v>
                </c:pt>
                <c:pt idx="30">
                  <c:v>3694.5882352941176</c:v>
                </c:pt>
                <c:pt idx="31">
                  <c:v>3743.0588235294117</c:v>
                </c:pt>
                <c:pt idx="32">
                  <c:v>3770.3529411764707</c:v>
                </c:pt>
                <c:pt idx="33">
                  <c:v>3840.2352941176468</c:v>
                </c:pt>
                <c:pt idx="34">
                  <c:v>3924.5882352941176</c:v>
                </c:pt>
                <c:pt idx="35">
                  <c:v>4025.0588235294117</c:v>
                </c:pt>
                <c:pt idx="36">
                  <c:v>4113</c:v>
                </c:pt>
                <c:pt idx="37">
                  <c:v>4203.7647058823532</c:v>
                </c:pt>
                <c:pt idx="38">
                  <c:v>4299.4705882352937</c:v>
                </c:pt>
                <c:pt idx="39">
                  <c:v>4409.3529411764703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B7-4022-B89B-E8F784CAC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337600"/>
        <c:axId val="1231337184"/>
      </c:scatterChart>
      <c:valAx>
        <c:axId val="1231337600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31337184"/>
        <c:crosses val="autoZero"/>
        <c:crossBetween val="midCat"/>
        <c:majorUnit val="12"/>
      </c:valAx>
      <c:valAx>
        <c:axId val="123133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231337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'Prev Excel'!$B$1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'Prev Excel'!$B$2:$B$61</c:f>
              <c:numCache>
                <c:formatCode>General</c:formatCode>
                <c:ptCount val="60"/>
                <c:pt idx="0">
                  <c:v>2779</c:v>
                </c:pt>
                <c:pt idx="1">
                  <c:v>2870</c:v>
                </c:pt>
                <c:pt idx="2">
                  <c:v>3077</c:v>
                </c:pt>
                <c:pt idx="3">
                  <c:v>2634</c:v>
                </c:pt>
                <c:pt idx="4">
                  <c:v>2845</c:v>
                </c:pt>
                <c:pt idx="5">
                  <c:v>3263</c:v>
                </c:pt>
                <c:pt idx="6">
                  <c:v>2929</c:v>
                </c:pt>
                <c:pt idx="7">
                  <c:v>3188</c:v>
                </c:pt>
                <c:pt idx="8">
                  <c:v>2982</c:v>
                </c:pt>
                <c:pt idx="9">
                  <c:v>3191</c:v>
                </c:pt>
                <c:pt idx="10">
                  <c:v>3368</c:v>
                </c:pt>
                <c:pt idx="11">
                  <c:v>3545</c:v>
                </c:pt>
                <c:pt idx="12">
                  <c:v>3327</c:v>
                </c:pt>
                <c:pt idx="13">
                  <c:v>3464</c:v>
                </c:pt>
                <c:pt idx="14">
                  <c:v>3760</c:v>
                </c:pt>
                <c:pt idx="15">
                  <c:v>3873</c:v>
                </c:pt>
                <c:pt idx="16">
                  <c:v>3980</c:v>
                </c:pt>
                <c:pt idx="17">
                  <c:v>4167</c:v>
                </c:pt>
                <c:pt idx="18">
                  <c:v>4130</c:v>
                </c:pt>
                <c:pt idx="19">
                  <c:v>3950</c:v>
                </c:pt>
                <c:pt idx="20">
                  <c:v>3951</c:v>
                </c:pt>
                <c:pt idx="21">
                  <c:v>3713</c:v>
                </c:pt>
                <c:pt idx="22">
                  <c:v>3932</c:v>
                </c:pt>
                <c:pt idx="23">
                  <c:v>4050</c:v>
                </c:pt>
                <c:pt idx="24">
                  <c:v>3593</c:v>
                </c:pt>
                <c:pt idx="25">
                  <c:v>3248</c:v>
                </c:pt>
                <c:pt idx="26">
                  <c:v>3241</c:v>
                </c:pt>
                <c:pt idx="27">
                  <c:v>3343</c:v>
                </c:pt>
                <c:pt idx="28">
                  <c:v>3359</c:v>
                </c:pt>
                <c:pt idx="29">
                  <c:v>3274</c:v>
                </c:pt>
                <c:pt idx="30">
                  <c:v>3383</c:v>
                </c:pt>
                <c:pt idx="31">
                  <c:v>3352</c:v>
                </c:pt>
                <c:pt idx="32">
                  <c:v>3394</c:v>
                </c:pt>
                <c:pt idx="33">
                  <c:v>3631</c:v>
                </c:pt>
                <c:pt idx="34">
                  <c:v>3969</c:v>
                </c:pt>
                <c:pt idx="35">
                  <c:v>4268</c:v>
                </c:pt>
                <c:pt idx="36">
                  <c:v>4209</c:v>
                </c:pt>
                <c:pt idx="37">
                  <c:v>4169</c:v>
                </c:pt>
                <c:pt idx="38">
                  <c:v>4393</c:v>
                </c:pt>
                <c:pt idx="39">
                  <c:v>4756</c:v>
                </c:pt>
                <c:pt idx="40">
                  <c:v>4514</c:v>
                </c:pt>
                <c:pt idx="41">
                  <c:v>4781</c:v>
                </c:pt>
                <c:pt idx="42">
                  <c:v>4682</c:v>
                </c:pt>
                <c:pt idx="43">
                  <c:v>4949</c:v>
                </c:pt>
                <c:pt idx="44">
                  <c:v>4838</c:v>
                </c:pt>
                <c:pt idx="45">
                  <c:v>4902</c:v>
                </c:pt>
                <c:pt idx="46">
                  <c:v>4901</c:v>
                </c:pt>
                <c:pt idx="47">
                  <c:v>5251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D1-452E-B9F2-9ED3BF6F08BD}"/>
            </c:ext>
          </c:extLst>
        </c:ser>
        <c:ser>
          <c:idx val="1"/>
          <c:order val="1"/>
          <c:tx>
            <c:strRef>
              <c:f>'Prev Excel'!$C$1</c:f>
              <c:strCache>
                <c:ptCount val="1"/>
                <c:pt idx="0">
                  <c:v>Previsión(Ventas)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'Prev Excel'!$A$2:$A$61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'Prev Excel'!$C$2:$C$61</c:f>
              <c:numCache>
                <c:formatCode>General</c:formatCode>
                <c:ptCount val="60"/>
                <c:pt idx="47">
                  <c:v>5251</c:v>
                </c:pt>
                <c:pt idx="48">
                  <c:v>4710.2132235665695</c:v>
                </c:pt>
                <c:pt idx="49">
                  <c:v>4620.915764333462</c:v>
                </c:pt>
                <c:pt idx="50">
                  <c:v>4777.1585238261323</c:v>
                </c:pt>
                <c:pt idx="51">
                  <c:v>4889.1132968950751</c:v>
                </c:pt>
                <c:pt idx="52">
                  <c:v>4956.4779222987308</c:v>
                </c:pt>
                <c:pt idx="53">
                  <c:v>5321.4956127656787</c:v>
                </c:pt>
                <c:pt idx="54">
                  <c:v>5139.8899630230098</c:v>
                </c:pt>
                <c:pt idx="55">
                  <c:v>5195.722261480023</c:v>
                </c:pt>
                <c:pt idx="56">
                  <c:v>5115.4521286902591</c:v>
                </c:pt>
                <c:pt idx="57">
                  <c:v>5106.8707072852249</c:v>
                </c:pt>
                <c:pt idx="58">
                  <c:v>5321.6482995941769</c:v>
                </c:pt>
                <c:pt idx="59">
                  <c:v>5495.1355811792037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D1-452E-B9F2-9ED3BF6F08BD}"/>
            </c:ext>
          </c:extLst>
        </c:ser>
        <c:ser>
          <c:idx val="2"/>
          <c:order val="2"/>
          <c:tx>
            <c:strRef>
              <c:f>'Prev Excel'!$D$1</c:f>
              <c:strCache>
                <c:ptCount val="1"/>
                <c:pt idx="0">
                  <c:v>Límite de confianza inferior(Ventas)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'Prev Excel'!$A$2:$A$61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'Prev Excel'!$D$2:$D$61</c:f>
              <c:numCache>
                <c:formatCode>General</c:formatCode>
                <c:ptCount val="60"/>
                <c:pt idx="47" formatCode="0.00">
                  <c:v>5251</c:v>
                </c:pt>
                <c:pt idx="48" formatCode="0.00">
                  <c:v>4042.0189744634185</c:v>
                </c:pt>
                <c:pt idx="49" formatCode="0.00">
                  <c:v>3947.3544176206246</c:v>
                </c:pt>
                <c:pt idx="50" formatCode="0.00">
                  <c:v>4098.1886612084272</c:v>
                </c:pt>
                <c:pt idx="51" formatCode="0.00">
                  <c:v>4204.6938296280241</c:v>
                </c:pt>
                <c:pt idx="52" formatCode="0.00">
                  <c:v>4266.5680881567996</c:v>
                </c:pt>
                <c:pt idx="53" formatCode="0.00">
                  <c:v>4626.0549729371496</c:v>
                </c:pt>
                <c:pt idx="54" formatCode="0.00">
                  <c:v>4438.8783989391322</c:v>
                </c:pt>
                <c:pt idx="55" formatCode="0.00">
                  <c:v>4489.0999715857079</c:v>
                </c:pt>
                <c:pt idx="56" formatCode="0.00">
                  <c:v>4403.1796251631986</c:v>
                </c:pt>
                <c:pt idx="57" formatCode="0.00">
                  <c:v>4388.908812709964</c:v>
                </c:pt>
                <c:pt idx="58" formatCode="0.00">
                  <c:v>4597.9581435973105</c:v>
                </c:pt>
                <c:pt idx="59" formatCode="0.00">
                  <c:v>4765.6785970315241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D1-452E-B9F2-9ED3BF6F08BD}"/>
            </c:ext>
          </c:extLst>
        </c:ser>
        <c:ser>
          <c:idx val="3"/>
          <c:order val="3"/>
          <c:tx>
            <c:strRef>
              <c:f>'Prev Excel'!$E$1</c:f>
              <c:strCache>
                <c:ptCount val="1"/>
                <c:pt idx="0">
                  <c:v>Límite de confianza superior(Ventas)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'Prev Excel'!$A$2:$A$61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'Prev Excel'!$E$2:$E$61</c:f>
              <c:numCache>
                <c:formatCode>General</c:formatCode>
                <c:ptCount val="60"/>
                <c:pt idx="47" formatCode="0.00">
                  <c:v>5251</c:v>
                </c:pt>
                <c:pt idx="48" formatCode="0.00">
                  <c:v>5378.4074726697208</c:v>
                </c:pt>
                <c:pt idx="49" formatCode="0.00">
                  <c:v>5294.4771110462998</c:v>
                </c:pt>
                <c:pt idx="50" formatCode="0.00">
                  <c:v>5456.1283864438374</c:v>
                </c:pt>
                <c:pt idx="51" formatCode="0.00">
                  <c:v>5573.5327641621261</c:v>
                </c:pt>
                <c:pt idx="52" formatCode="0.00">
                  <c:v>5646.3877564406621</c:v>
                </c:pt>
                <c:pt idx="53" formatCode="0.00">
                  <c:v>6016.9362525942079</c:v>
                </c:pt>
                <c:pt idx="54" formatCode="0.00">
                  <c:v>5840.9015271068874</c:v>
                </c:pt>
                <c:pt idx="55" formatCode="0.00">
                  <c:v>5902.3445513743382</c:v>
                </c:pt>
                <c:pt idx="56" formatCode="0.00">
                  <c:v>5827.7246322173196</c:v>
                </c:pt>
                <c:pt idx="57" formatCode="0.00">
                  <c:v>5824.8326018604857</c:v>
                </c:pt>
                <c:pt idx="58" formatCode="0.00">
                  <c:v>6045.3384555910434</c:v>
                </c:pt>
                <c:pt idx="59" formatCode="0.00">
                  <c:v>6224.5925653268832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D1-452E-B9F2-9ED3BF6F0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461488"/>
        <c:axId val="1000463568"/>
      </c:lineChart>
      <c:catAx>
        <c:axId val="10004614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0463568"/>
        <c:crosses val="autoZero"/>
        <c:auto val="1"/>
        <c:lblAlgn val="ctr"/>
        <c:lblOffset val="100"/>
        <c:noMultiLvlLbl val="0"/>
      </c:catAx>
      <c:valAx>
        <c:axId val="100046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00046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717838</xdr:colOff>
      <xdr:row>1</xdr:row>
      <xdr:rowOff>46759</xdr:rowOff>
    </xdr:from>
    <xdr:to>
      <xdr:col>24</xdr:col>
      <xdr:colOff>147204</xdr:colOff>
      <xdr:row>20</xdr:row>
      <xdr:rowOff>51521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698788</xdr:colOff>
      <xdr:row>20</xdr:row>
      <xdr:rowOff>157160</xdr:rowOff>
    </xdr:from>
    <xdr:to>
      <xdr:col>24</xdr:col>
      <xdr:colOff>590203</xdr:colOff>
      <xdr:row>41</xdr:row>
      <xdr:rowOff>161923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148937</xdr:colOff>
      <xdr:row>43</xdr:row>
      <xdr:rowOff>5</xdr:rowOff>
    </xdr:from>
    <xdr:to>
      <xdr:col>21</xdr:col>
      <xdr:colOff>772391</xdr:colOff>
      <xdr:row>58</xdr:row>
      <xdr:rowOff>41569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27C33DE-B27C-4E65-B9A2-D352838B4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169718</xdr:colOff>
      <xdr:row>58</xdr:row>
      <xdr:rowOff>162793</xdr:rowOff>
    </xdr:from>
    <xdr:to>
      <xdr:col>22</xdr:col>
      <xdr:colOff>3463</xdr:colOff>
      <xdr:row>74</xdr:row>
      <xdr:rowOff>24247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93E9D96-E8B6-4A8A-82F3-14C937C9B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17</xdr:col>
      <xdr:colOff>302895</xdr:colOff>
      <xdr:row>22</xdr:row>
      <xdr:rowOff>4763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28BB3799-C4A4-4F11-B906-7F7291CEBD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1</xdr:rowOff>
    </xdr:from>
    <xdr:to>
      <xdr:col>8</xdr:col>
      <xdr:colOff>617221</xdr:colOff>
      <xdr:row>16</xdr:row>
      <xdr:rowOff>22861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DE49A6F8-2D44-4327-825D-BE3BAB4D0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678180</xdr:colOff>
      <xdr:row>0</xdr:row>
      <xdr:rowOff>53340</xdr:rowOff>
    </xdr:from>
    <xdr:to>
      <xdr:col>11</xdr:col>
      <xdr:colOff>114300</xdr:colOff>
      <xdr:row>15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D197A13-2026-4ACA-B59F-3292ADE2E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3</xdr:row>
      <xdr:rowOff>15240</xdr:rowOff>
    </xdr:from>
    <xdr:to>
      <xdr:col>14</xdr:col>
      <xdr:colOff>647700</xdr:colOff>
      <xdr:row>26</xdr:row>
      <xdr:rowOff>106680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9E62D6-93C5-4C4C-BB4A-473AF22B4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0</xdr:row>
      <xdr:rowOff>148590</xdr:rowOff>
    </xdr:from>
    <xdr:to>
      <xdr:col>13</xdr:col>
      <xdr:colOff>182880</xdr:colOff>
      <xdr:row>27</xdr:row>
      <xdr:rowOff>121920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6AFBC0-105F-4EFB-B53F-61412538F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F18182-CDFF-4548-904B-DE67A4952B96}" name="Tabla1" displayName="Tabla1" ref="A1:E61" totalsRowShown="0">
  <autoFilter ref="A1:E61" xr:uid="{F5F18182-CDFF-4548-904B-DE67A4952B96}"/>
  <tableColumns count="5">
    <tableColumn id="1" xr3:uid="{EC96B4B4-BA38-4116-A88F-D98C5CD61A97}" name="Mes"/>
    <tableColumn id="2" xr3:uid="{1B79E06D-5448-43F2-A554-08AFB74D5F45}" name="Ventas"/>
    <tableColumn id="3" xr3:uid="{1115FE96-DE3B-4524-AE05-F9E0D2B96176}" name="Previsión(Ventas)">
      <calculatedColumnFormula>_xlfn.FORECAST.ETS(A2,$B$2:$B$49,$A$2:$A$49,12,1)</calculatedColumnFormula>
    </tableColumn>
    <tableColumn id="4" xr3:uid="{C9E4F2AF-1F1F-4906-9D2F-D3A8032D5205}" name="Límite de confianza inferior(Ventas)" dataDxfId="1">
      <calculatedColumnFormula>C2-_xlfn.FORECAST.ETS.CONFINT(A2,$B$2:$B$49,$A$2:$A$49,0.95,12,1)</calculatedColumnFormula>
    </tableColumn>
    <tableColumn id="5" xr3:uid="{41F7462D-C0A9-4D9D-AA45-AFCE0180C6BE}" name="Límite de confianza superior(Ventas)" dataDxfId="0">
      <calculatedColumnFormula>C2+_xlfn.FORECAST.ETS.CONFINT(A2,$B$2:$B$49,$A$2:$A$49,0.95,12,1)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"/>
  <sheetViews>
    <sheetView tabSelected="1" topLeftCell="E1" zoomScaleNormal="100" workbookViewId="0">
      <pane ySplit="1" topLeftCell="A2" activePane="bottomLeft" state="frozen"/>
      <selection pane="bottomLeft" activeCell="H2" sqref="H2"/>
    </sheetView>
  </sheetViews>
  <sheetFormatPr baseColWidth="10" defaultRowHeight="14.4" x14ac:dyDescent="0.3"/>
  <cols>
    <col min="1" max="1" width="5.109375" customWidth="1"/>
    <col min="2" max="2" width="6.77734375" customWidth="1"/>
    <col min="3" max="3" width="10" customWidth="1"/>
    <col min="4" max="5" width="9.44140625" customWidth="1"/>
    <col min="6" max="6" width="5.88671875" customWidth="1"/>
    <col min="7" max="8" width="9.77734375" customWidth="1"/>
    <col min="9" max="9" width="5.6640625" customWidth="1"/>
    <col min="10" max="13" width="8.77734375" customWidth="1"/>
    <col min="14" max="14" width="5.6640625" customWidth="1"/>
    <col min="15" max="15" width="7.8867187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0</v>
      </c>
      <c r="G1" s="2" t="s">
        <v>9</v>
      </c>
      <c r="H1" s="2" t="s">
        <v>8</v>
      </c>
      <c r="I1" s="2" t="s">
        <v>0</v>
      </c>
      <c r="J1" s="2" t="s">
        <v>7</v>
      </c>
      <c r="K1" s="2" t="s">
        <v>5</v>
      </c>
      <c r="L1" s="2" t="s">
        <v>6</v>
      </c>
      <c r="M1" s="2" t="s">
        <v>14</v>
      </c>
      <c r="N1" s="2" t="s">
        <v>0</v>
      </c>
      <c r="O1" s="21" t="s">
        <v>10</v>
      </c>
    </row>
    <row r="2" spans="1:15" x14ac:dyDescent="0.3">
      <c r="A2">
        <v>1</v>
      </c>
      <c r="B2">
        <v>2779</v>
      </c>
      <c r="F2">
        <v>1</v>
      </c>
      <c r="H2" s="10">
        <f>18.364*A2+3353.1</f>
        <v>3371.4639999999999</v>
      </c>
      <c r="I2">
        <v>1</v>
      </c>
      <c r="K2">
        <f t="shared" ref="K2:K13" si="0">AVERAGE(E2,E14,E26,E38)</f>
        <v>0.98546656941951605</v>
      </c>
      <c r="L2" s="14">
        <f>K2*12/$K$14</f>
        <v>0.98877741725986268</v>
      </c>
      <c r="M2" s="11"/>
      <c r="N2">
        <v>1</v>
      </c>
      <c r="O2" s="13">
        <v>2779</v>
      </c>
    </row>
    <row r="3" spans="1:15" x14ac:dyDescent="0.3">
      <c r="A3">
        <v>2</v>
      </c>
      <c r="B3">
        <v>2870</v>
      </c>
      <c r="F3">
        <v>2</v>
      </c>
      <c r="H3" s="10">
        <f t="shared" ref="H3:H61" si="1">18.364*A3+3353.1</f>
        <v>3389.828</v>
      </c>
      <c r="I3">
        <v>2</v>
      </c>
      <c r="K3">
        <f t="shared" si="0"/>
        <v>0.95109506185674864</v>
      </c>
      <c r="L3" s="14">
        <f t="shared" ref="L3:L13" si="2">K3*12/$K$14</f>
        <v>0.95429043258694768</v>
      </c>
      <c r="M3" s="11"/>
      <c r="N3">
        <v>2</v>
      </c>
      <c r="O3" s="13">
        <v>2870</v>
      </c>
    </row>
    <row r="4" spans="1:15" x14ac:dyDescent="0.3">
      <c r="A4">
        <v>3</v>
      </c>
      <c r="B4">
        <v>3077</v>
      </c>
      <c r="F4">
        <v>3</v>
      </c>
      <c r="H4" s="10">
        <f t="shared" si="1"/>
        <v>3408.192</v>
      </c>
      <c r="I4">
        <v>3</v>
      </c>
      <c r="K4">
        <f t="shared" si="0"/>
        <v>0.98270455662629763</v>
      </c>
      <c r="L4" s="14">
        <f t="shared" si="2"/>
        <v>0.98600612500006968</v>
      </c>
      <c r="M4" s="11"/>
      <c r="N4">
        <v>3</v>
      </c>
      <c r="O4" s="13">
        <v>3077</v>
      </c>
    </row>
    <row r="5" spans="1:15" x14ac:dyDescent="0.3">
      <c r="A5">
        <v>4</v>
      </c>
      <c r="B5">
        <v>2634</v>
      </c>
      <c r="F5">
        <v>4</v>
      </c>
      <c r="H5" s="10">
        <f t="shared" si="1"/>
        <v>3426.556</v>
      </c>
      <c r="I5">
        <v>4</v>
      </c>
      <c r="K5">
        <f t="shared" si="0"/>
        <v>1.0177522470810798</v>
      </c>
      <c r="L5" s="14">
        <f t="shared" si="2"/>
        <v>1.0211715643200616</v>
      </c>
      <c r="M5" s="11"/>
      <c r="N5">
        <v>4</v>
      </c>
      <c r="O5" s="13">
        <v>2634</v>
      </c>
    </row>
    <row r="6" spans="1:15" x14ac:dyDescent="0.3">
      <c r="A6">
        <v>5</v>
      </c>
      <c r="B6">
        <v>2845</v>
      </c>
      <c r="F6">
        <v>5</v>
      </c>
      <c r="H6" s="10">
        <f t="shared" si="1"/>
        <v>3444.92</v>
      </c>
      <c r="I6">
        <v>5</v>
      </c>
      <c r="K6">
        <f t="shared" si="0"/>
        <v>1.0000192888092017</v>
      </c>
      <c r="L6" s="14">
        <f t="shared" si="2"/>
        <v>1.0033790290636166</v>
      </c>
      <c r="M6" s="11"/>
      <c r="N6">
        <v>5</v>
      </c>
      <c r="O6" s="13">
        <v>2845</v>
      </c>
    </row>
    <row r="7" spans="1:15" x14ac:dyDescent="0.3">
      <c r="A7">
        <v>6</v>
      </c>
      <c r="B7">
        <v>3263</v>
      </c>
      <c r="C7">
        <f>AVERAGE(B2:B13)</f>
        <v>3055.9166666666665</v>
      </c>
      <c r="F7">
        <v>6</v>
      </c>
      <c r="H7" s="10">
        <f t="shared" si="1"/>
        <v>3463.2840000000001</v>
      </c>
      <c r="I7">
        <v>6</v>
      </c>
      <c r="K7">
        <f t="shared" si="0"/>
        <v>1.0166043022883082</v>
      </c>
      <c r="L7" s="14">
        <f t="shared" si="2"/>
        <v>1.0200197628053516</v>
      </c>
      <c r="M7" s="11"/>
      <c r="N7">
        <v>6</v>
      </c>
      <c r="O7" s="13">
        <v>3263</v>
      </c>
    </row>
    <row r="8" spans="1:15" x14ac:dyDescent="0.3">
      <c r="A8">
        <v>7</v>
      </c>
      <c r="B8">
        <v>2929</v>
      </c>
      <c r="C8">
        <f t="shared" ref="C8:C43" si="3">AVERAGE(B3:B14)</f>
        <v>3101.5833333333335</v>
      </c>
      <c r="D8">
        <f>AVERAGE(C7:C8)</f>
        <v>3078.75</v>
      </c>
      <c r="E8">
        <f>B8/D8</f>
        <v>0.95136012992285834</v>
      </c>
      <c r="F8">
        <v>7</v>
      </c>
      <c r="H8" s="10">
        <f t="shared" si="1"/>
        <v>3481.6480000000001</v>
      </c>
      <c r="I8">
        <v>7</v>
      </c>
      <c r="J8" s="10">
        <f t="shared" ref="J8:J43" si="4">D8/H8</f>
        <v>0.88427951360964685</v>
      </c>
      <c r="K8">
        <f t="shared" si="0"/>
        <v>0.99235417109812207</v>
      </c>
      <c r="L8" s="14">
        <f t="shared" si="2"/>
        <v>0.99568815904473962</v>
      </c>
      <c r="M8" s="11">
        <f>E8/L8</f>
        <v>0.95548000775221686</v>
      </c>
      <c r="N8">
        <v>7</v>
      </c>
      <c r="O8" s="13">
        <v>2929</v>
      </c>
    </row>
    <row r="9" spans="1:15" x14ac:dyDescent="0.3">
      <c r="A9">
        <v>8</v>
      </c>
      <c r="B9">
        <v>3188</v>
      </c>
      <c r="C9">
        <f t="shared" si="3"/>
        <v>3151.0833333333335</v>
      </c>
      <c r="D9">
        <f t="shared" ref="D9:D43" si="5">AVERAGE(C8:C9)</f>
        <v>3126.3333333333335</v>
      </c>
      <c r="E9">
        <f t="shared" ref="E9:E43" si="6">B9/D9</f>
        <v>1.0197249173685894</v>
      </c>
      <c r="F9">
        <v>8</v>
      </c>
      <c r="H9" s="10">
        <f t="shared" si="1"/>
        <v>3500.0119999999997</v>
      </c>
      <c r="I9">
        <v>8</v>
      </c>
      <c r="J9" s="10">
        <f t="shared" si="4"/>
        <v>0.89323503271798321</v>
      </c>
      <c r="K9">
        <f t="shared" si="0"/>
        <v>0.99088568486352635</v>
      </c>
      <c r="L9" s="14">
        <f t="shared" si="2"/>
        <v>0.99421473917299252</v>
      </c>
      <c r="M9" s="11">
        <f t="shared" ref="M9:M43" si="7">E9/L9</f>
        <v>1.0256586200047857</v>
      </c>
      <c r="N9">
        <v>8</v>
      </c>
      <c r="O9" s="13">
        <v>3188</v>
      </c>
    </row>
    <row r="10" spans="1:15" x14ac:dyDescent="0.3">
      <c r="A10">
        <v>9</v>
      </c>
      <c r="B10">
        <v>2982</v>
      </c>
      <c r="C10">
        <f t="shared" si="3"/>
        <v>3208</v>
      </c>
      <c r="D10">
        <f t="shared" si="5"/>
        <v>3179.541666666667</v>
      </c>
      <c r="E10">
        <f t="shared" si="6"/>
        <v>0.93787102438768677</v>
      </c>
      <c r="F10">
        <v>9</v>
      </c>
      <c r="G10">
        <f>AVERAGE(B2:B18)</f>
        <v>3239.705882352941</v>
      </c>
      <c r="H10" s="10">
        <f t="shared" si="1"/>
        <v>3518.3759999999997</v>
      </c>
      <c r="I10">
        <v>9</v>
      </c>
      <c r="J10" s="10">
        <f t="shared" si="4"/>
        <v>0.90369581496311568</v>
      </c>
      <c r="K10">
        <f t="shared" si="0"/>
        <v>0.96290846506852734</v>
      </c>
      <c r="L10" s="14">
        <f t="shared" si="2"/>
        <v>0.9661435249994812</v>
      </c>
      <c r="M10" s="11">
        <f t="shared" si="7"/>
        <v>0.97073674885746442</v>
      </c>
      <c r="N10">
        <v>9</v>
      </c>
      <c r="O10" s="13">
        <v>2982</v>
      </c>
    </row>
    <row r="11" spans="1:15" x14ac:dyDescent="0.3">
      <c r="A11">
        <v>10</v>
      </c>
      <c r="B11">
        <v>3191</v>
      </c>
      <c r="C11">
        <f t="shared" si="3"/>
        <v>3311.25</v>
      </c>
      <c r="D11">
        <f t="shared" si="5"/>
        <v>3259.625</v>
      </c>
      <c r="E11">
        <f t="shared" si="6"/>
        <v>0.97894696475821608</v>
      </c>
      <c r="F11">
        <v>10</v>
      </c>
      <c r="G11">
        <f t="shared" ref="G11:G41" si="8">AVERAGE(B3:B19)</f>
        <v>3321.3529411764707</v>
      </c>
      <c r="H11" s="10">
        <f t="shared" si="1"/>
        <v>3536.74</v>
      </c>
      <c r="I11">
        <v>10</v>
      </c>
      <c r="J11" s="10">
        <f t="shared" si="4"/>
        <v>0.92164677075498913</v>
      </c>
      <c r="K11">
        <f t="shared" si="0"/>
        <v>0.97183833998313818</v>
      </c>
      <c r="L11" s="14">
        <f t="shared" si="2"/>
        <v>0.9751034013956168</v>
      </c>
      <c r="M11" s="11">
        <f t="shared" si="7"/>
        <v>1.0039416982415386</v>
      </c>
      <c r="N11">
        <v>10</v>
      </c>
      <c r="O11" s="13">
        <v>3191</v>
      </c>
    </row>
    <row r="12" spans="1:15" x14ac:dyDescent="0.3">
      <c r="A12">
        <v>11</v>
      </c>
      <c r="B12">
        <v>3368</v>
      </c>
      <c r="C12">
        <f t="shared" si="3"/>
        <v>3405.8333333333335</v>
      </c>
      <c r="D12">
        <f t="shared" si="5"/>
        <v>3358.541666666667</v>
      </c>
      <c r="E12">
        <f t="shared" si="6"/>
        <v>1.0028162024688294</v>
      </c>
      <c r="F12">
        <v>11</v>
      </c>
      <c r="G12">
        <f t="shared" si="8"/>
        <v>3395.4705882352941</v>
      </c>
      <c r="H12" s="10">
        <f t="shared" si="1"/>
        <v>3555.1039999999998</v>
      </c>
      <c r="I12">
        <v>11</v>
      </c>
      <c r="J12" s="10">
        <f t="shared" si="4"/>
        <v>0.94470982189738106</v>
      </c>
      <c r="K12">
        <f t="shared" si="0"/>
        <v>1.0235865047514483</v>
      </c>
      <c r="L12" s="14">
        <f t="shared" si="2"/>
        <v>1.0270254232026956</v>
      </c>
      <c r="M12" s="11">
        <f t="shared" si="7"/>
        <v>0.97642782721154875</v>
      </c>
      <c r="N12">
        <v>11</v>
      </c>
      <c r="O12" s="13">
        <v>3368</v>
      </c>
    </row>
    <row r="13" spans="1:15" x14ac:dyDescent="0.3">
      <c r="A13">
        <v>12</v>
      </c>
      <c r="B13">
        <v>3545</v>
      </c>
      <c r="C13">
        <f t="shared" si="3"/>
        <v>3481.1666666666665</v>
      </c>
      <c r="D13">
        <f t="shared" si="5"/>
        <v>3443.5</v>
      </c>
      <c r="E13">
        <f t="shared" si="6"/>
        <v>1.0294758240162625</v>
      </c>
      <c r="F13">
        <v>12</v>
      </c>
      <c r="G13">
        <f t="shared" si="8"/>
        <v>3446.8235294117649</v>
      </c>
      <c r="H13" s="10">
        <f t="shared" si="1"/>
        <v>3573.4679999999998</v>
      </c>
      <c r="I13">
        <v>12</v>
      </c>
      <c r="J13" s="10">
        <f t="shared" si="4"/>
        <v>0.96362972887962062</v>
      </c>
      <c r="K13">
        <f t="shared" si="0"/>
        <v>1.0646036982393163</v>
      </c>
      <c r="L13" s="14">
        <f t="shared" si="2"/>
        <v>1.0681804211485644</v>
      </c>
      <c r="M13" s="11">
        <f t="shared" si="7"/>
        <v>0.96376586167841882</v>
      </c>
      <c r="N13">
        <v>12</v>
      </c>
      <c r="O13" s="13">
        <v>3545</v>
      </c>
    </row>
    <row r="14" spans="1:15" x14ac:dyDescent="0.3">
      <c r="A14">
        <v>13</v>
      </c>
      <c r="B14">
        <v>3327</v>
      </c>
      <c r="C14">
        <f t="shared" si="3"/>
        <v>3581.25</v>
      </c>
      <c r="D14">
        <f t="shared" si="5"/>
        <v>3531.208333333333</v>
      </c>
      <c r="E14">
        <f t="shared" si="6"/>
        <v>0.94217040909037286</v>
      </c>
      <c r="F14">
        <v>13</v>
      </c>
      <c r="G14">
        <f t="shared" si="8"/>
        <v>3524.294117647059</v>
      </c>
      <c r="H14" s="10">
        <f t="shared" si="1"/>
        <v>3591.8319999999999</v>
      </c>
      <c r="I14">
        <v>13</v>
      </c>
      <c r="J14" s="10">
        <f t="shared" si="4"/>
        <v>0.98312179782721831</v>
      </c>
      <c r="K14" s="1">
        <f>SUM(K2:K13)</f>
        <v>11.959818890085231</v>
      </c>
      <c r="L14" s="15">
        <f>L2</f>
        <v>0.98877741725986268</v>
      </c>
      <c r="M14" s="11">
        <f t="shared" si="7"/>
        <v>0.9528640042178057</v>
      </c>
      <c r="N14">
        <v>13</v>
      </c>
      <c r="O14" s="13">
        <v>3327</v>
      </c>
    </row>
    <row r="15" spans="1:15" x14ac:dyDescent="0.3">
      <c r="A15">
        <v>14</v>
      </c>
      <c r="B15">
        <v>3464</v>
      </c>
      <c r="C15">
        <f t="shared" si="3"/>
        <v>3644.75</v>
      </c>
      <c r="D15">
        <f t="shared" si="5"/>
        <v>3613</v>
      </c>
      <c r="E15">
        <f t="shared" si="6"/>
        <v>0.95876003321339609</v>
      </c>
      <c r="F15">
        <v>14</v>
      </c>
      <c r="G15">
        <f t="shared" si="8"/>
        <v>3575.3529411764707</v>
      </c>
      <c r="H15" s="10">
        <f t="shared" si="1"/>
        <v>3610.1959999999999</v>
      </c>
      <c r="I15">
        <v>14</v>
      </c>
      <c r="J15" s="10">
        <f t="shared" si="4"/>
        <v>1.0007766891326677</v>
      </c>
      <c r="K15" s="1"/>
      <c r="L15" s="15">
        <f t="shared" ref="L15:L61" si="9">L3</f>
        <v>0.95429043258694768</v>
      </c>
      <c r="M15" s="11">
        <f t="shared" si="7"/>
        <v>1.00468369007361</v>
      </c>
      <c r="N15">
        <v>14</v>
      </c>
      <c r="O15" s="13">
        <v>3464</v>
      </c>
    </row>
    <row r="16" spans="1:15" x14ac:dyDescent="0.3">
      <c r="A16">
        <v>15</v>
      </c>
      <c r="B16">
        <v>3760</v>
      </c>
      <c r="C16">
        <f t="shared" si="3"/>
        <v>3725.5</v>
      </c>
      <c r="D16">
        <f t="shared" si="5"/>
        <v>3685.125</v>
      </c>
      <c r="E16">
        <f t="shared" si="6"/>
        <v>1.0203181710254061</v>
      </c>
      <c r="F16">
        <v>15</v>
      </c>
      <c r="G16">
        <f t="shared" si="8"/>
        <v>3614.705882352941</v>
      </c>
      <c r="H16" s="10">
        <f t="shared" si="1"/>
        <v>3628.56</v>
      </c>
      <c r="I16">
        <v>15</v>
      </c>
      <c r="J16" s="10">
        <f t="shared" si="4"/>
        <v>1.015588828626232</v>
      </c>
      <c r="K16" s="1"/>
      <c r="L16" s="15">
        <f t="shared" si="9"/>
        <v>0.98600612500006968</v>
      </c>
      <c r="M16" s="11">
        <f t="shared" si="7"/>
        <v>1.0347990191494338</v>
      </c>
      <c r="N16">
        <v>15</v>
      </c>
      <c r="O16" s="13">
        <v>3760</v>
      </c>
    </row>
    <row r="17" spans="1:15" x14ac:dyDescent="0.3">
      <c r="A17">
        <v>16</v>
      </c>
      <c r="B17">
        <v>3873</v>
      </c>
      <c r="C17">
        <f t="shared" si="3"/>
        <v>3769</v>
      </c>
      <c r="D17">
        <f t="shared" si="5"/>
        <v>3747.25</v>
      </c>
      <c r="E17">
        <f t="shared" si="6"/>
        <v>1.0335579424911603</v>
      </c>
      <c r="F17">
        <v>16</v>
      </c>
      <c r="G17">
        <f t="shared" si="8"/>
        <v>3680.6470588235293</v>
      </c>
      <c r="H17" s="10">
        <f t="shared" si="1"/>
        <v>3646.924</v>
      </c>
      <c r="I17">
        <v>16</v>
      </c>
      <c r="J17" s="10">
        <f t="shared" si="4"/>
        <v>1.027509758909152</v>
      </c>
      <c r="K17" s="1"/>
      <c r="L17" s="15">
        <f t="shared" si="9"/>
        <v>1.0211715643200616</v>
      </c>
      <c r="M17" s="11">
        <f t="shared" si="7"/>
        <v>1.0121295760711335</v>
      </c>
      <c r="N17">
        <v>16</v>
      </c>
      <c r="O17" s="13">
        <v>3873</v>
      </c>
    </row>
    <row r="18" spans="1:15" x14ac:dyDescent="0.3">
      <c r="A18">
        <v>17</v>
      </c>
      <c r="B18">
        <v>3980</v>
      </c>
      <c r="C18">
        <f t="shared" si="3"/>
        <v>3816</v>
      </c>
      <c r="D18">
        <f t="shared" si="5"/>
        <v>3792.5</v>
      </c>
      <c r="E18">
        <f t="shared" si="6"/>
        <v>1.0494396835860251</v>
      </c>
      <c r="F18">
        <v>17</v>
      </c>
      <c r="G18">
        <f t="shared" si="8"/>
        <v>3704.4705882352941</v>
      </c>
      <c r="H18" s="10">
        <f t="shared" si="1"/>
        <v>3665.288</v>
      </c>
      <c r="I18">
        <v>17</v>
      </c>
      <c r="J18" s="10">
        <f t="shared" si="4"/>
        <v>1.0347072317373149</v>
      </c>
      <c r="K18" s="1"/>
      <c r="L18" s="15">
        <f t="shared" si="9"/>
        <v>1.0033790290636166</v>
      </c>
      <c r="M18" s="11">
        <f t="shared" si="7"/>
        <v>1.0459055383740616</v>
      </c>
      <c r="N18">
        <v>17</v>
      </c>
      <c r="O18" s="13">
        <v>3980</v>
      </c>
    </row>
    <row r="19" spans="1:15" x14ac:dyDescent="0.3">
      <c r="A19">
        <v>18</v>
      </c>
      <c r="B19">
        <v>4167</v>
      </c>
      <c r="C19">
        <f t="shared" si="3"/>
        <v>3858.0833333333335</v>
      </c>
      <c r="D19">
        <f t="shared" si="5"/>
        <v>3837.041666666667</v>
      </c>
      <c r="E19">
        <f t="shared" si="6"/>
        <v>1.0859928981745919</v>
      </c>
      <c r="F19">
        <v>18</v>
      </c>
      <c r="G19">
        <f t="shared" si="8"/>
        <v>3720.1176470588234</v>
      </c>
      <c r="H19" s="10">
        <f t="shared" si="1"/>
        <v>3683.652</v>
      </c>
      <c r="I19">
        <v>18</v>
      </c>
      <c r="J19" s="10">
        <f t="shared" si="4"/>
        <v>1.0416406508179021</v>
      </c>
      <c r="K19" s="1"/>
      <c r="L19" s="15">
        <f t="shared" si="9"/>
        <v>1.0200197628053516</v>
      </c>
      <c r="M19" s="11">
        <f t="shared" si="7"/>
        <v>1.0646782913183908</v>
      </c>
      <c r="N19">
        <v>18</v>
      </c>
      <c r="O19" s="13">
        <v>4167</v>
      </c>
    </row>
    <row r="20" spans="1:15" x14ac:dyDescent="0.3">
      <c r="A20">
        <v>19</v>
      </c>
      <c r="B20">
        <v>4130</v>
      </c>
      <c r="C20">
        <f t="shared" si="3"/>
        <v>3880.25</v>
      </c>
      <c r="D20">
        <f t="shared" si="5"/>
        <v>3869.166666666667</v>
      </c>
      <c r="E20">
        <f t="shared" si="6"/>
        <v>1.0674133103596812</v>
      </c>
      <c r="F20">
        <v>19</v>
      </c>
      <c r="G20">
        <f t="shared" si="8"/>
        <v>3723.0588235294117</v>
      </c>
      <c r="H20" s="10">
        <f t="shared" si="1"/>
        <v>3702.0160000000001</v>
      </c>
      <c r="I20">
        <v>19</v>
      </c>
      <c r="J20" s="10">
        <f t="shared" si="4"/>
        <v>1.0451512545236614</v>
      </c>
      <c r="K20" s="1"/>
      <c r="L20" s="15">
        <f t="shared" si="9"/>
        <v>0.99568815904473962</v>
      </c>
      <c r="M20" s="11">
        <f t="shared" si="7"/>
        <v>1.0720357580467308</v>
      </c>
      <c r="N20">
        <v>19</v>
      </c>
      <c r="O20" s="13">
        <v>4130</v>
      </c>
    </row>
    <row r="21" spans="1:15" x14ac:dyDescent="0.3">
      <c r="A21">
        <v>20</v>
      </c>
      <c r="B21">
        <v>3950</v>
      </c>
      <c r="C21">
        <f t="shared" si="3"/>
        <v>3862.25</v>
      </c>
      <c r="D21">
        <f t="shared" si="5"/>
        <v>3871.25</v>
      </c>
      <c r="E21">
        <f t="shared" si="6"/>
        <v>1.0203422667097191</v>
      </c>
      <c r="F21">
        <v>20</v>
      </c>
      <c r="G21">
        <f t="shared" si="8"/>
        <v>3721.5882352941176</v>
      </c>
      <c r="H21" s="10">
        <f t="shared" si="1"/>
        <v>3720.38</v>
      </c>
      <c r="I21">
        <v>20</v>
      </c>
      <c r="J21" s="10">
        <f t="shared" si="4"/>
        <v>1.0405523091727189</v>
      </c>
      <c r="K21" s="1"/>
      <c r="L21" s="15">
        <f t="shared" si="9"/>
        <v>0.99421473917299252</v>
      </c>
      <c r="M21" s="11">
        <f t="shared" si="7"/>
        <v>1.026279561655322</v>
      </c>
      <c r="N21">
        <v>20</v>
      </c>
      <c r="O21" s="13">
        <v>3950</v>
      </c>
    </row>
    <row r="22" spans="1:15" x14ac:dyDescent="0.3">
      <c r="A22">
        <v>21</v>
      </c>
      <c r="B22">
        <v>3951</v>
      </c>
      <c r="C22">
        <f t="shared" si="3"/>
        <v>3819</v>
      </c>
      <c r="D22">
        <f t="shared" si="5"/>
        <v>3840.625</v>
      </c>
      <c r="E22">
        <f t="shared" si="6"/>
        <v>1.0287388120423109</v>
      </c>
      <c r="F22">
        <v>21</v>
      </c>
      <c r="G22">
        <f t="shared" si="8"/>
        <v>3710.6470588235293</v>
      </c>
      <c r="H22" s="10">
        <f t="shared" si="1"/>
        <v>3738.7439999999997</v>
      </c>
      <c r="I22">
        <v>21</v>
      </c>
      <c r="J22" s="10">
        <f t="shared" si="4"/>
        <v>1.0272500604481078</v>
      </c>
      <c r="K22" s="1"/>
      <c r="L22" s="15">
        <f t="shared" si="9"/>
        <v>0.9661435249994812</v>
      </c>
      <c r="M22" s="11">
        <f t="shared" si="7"/>
        <v>1.0647888076907241</v>
      </c>
      <c r="N22">
        <v>21</v>
      </c>
      <c r="O22" s="13">
        <v>3951</v>
      </c>
    </row>
    <row r="23" spans="1:15" x14ac:dyDescent="0.3">
      <c r="A23">
        <v>22</v>
      </c>
      <c r="B23">
        <v>3713</v>
      </c>
      <c r="C23">
        <f t="shared" si="3"/>
        <v>3774.8333333333335</v>
      </c>
      <c r="D23">
        <f t="shared" si="5"/>
        <v>3796.916666666667</v>
      </c>
      <c r="E23">
        <f t="shared" si="6"/>
        <v>0.97789873362157886</v>
      </c>
      <c r="F23">
        <v>22</v>
      </c>
      <c r="G23">
        <f t="shared" si="8"/>
        <v>3707.5294117647059</v>
      </c>
      <c r="H23" s="10">
        <f t="shared" si="1"/>
        <v>3757.1080000000002</v>
      </c>
      <c r="I23">
        <v>22</v>
      </c>
      <c r="J23" s="10">
        <f t="shared" si="4"/>
        <v>1.0105955609119213</v>
      </c>
      <c r="K23" s="1"/>
      <c r="L23" s="15">
        <f t="shared" si="9"/>
        <v>0.9751034013956168</v>
      </c>
      <c r="M23" s="11">
        <f t="shared" si="7"/>
        <v>1.00286670338957</v>
      </c>
      <c r="N23">
        <v>22</v>
      </c>
      <c r="O23" s="13">
        <v>3713</v>
      </c>
    </row>
    <row r="24" spans="1:15" x14ac:dyDescent="0.3">
      <c r="A24">
        <v>23</v>
      </c>
      <c r="B24">
        <v>3932</v>
      </c>
      <c r="C24">
        <f t="shared" si="3"/>
        <v>3723.0833333333335</v>
      </c>
      <c r="D24">
        <f t="shared" si="5"/>
        <v>3748.9583333333335</v>
      </c>
      <c r="E24">
        <f t="shared" si="6"/>
        <v>1.0488246735204223</v>
      </c>
      <c r="F24">
        <v>23</v>
      </c>
      <c r="G24">
        <f t="shared" si="8"/>
        <v>3702.7647058823532</v>
      </c>
      <c r="H24" s="10">
        <f t="shared" si="1"/>
        <v>3775.4719999999998</v>
      </c>
      <c r="I24">
        <v>23</v>
      </c>
      <c r="J24" s="10">
        <f t="shared" si="4"/>
        <v>0.99297739020004216</v>
      </c>
      <c r="K24" s="1"/>
      <c r="L24" s="15">
        <f t="shared" si="9"/>
        <v>1.0270254232026956</v>
      </c>
      <c r="M24" s="11">
        <f t="shared" si="7"/>
        <v>1.021225618981999</v>
      </c>
      <c r="N24">
        <v>23</v>
      </c>
      <c r="O24" s="13">
        <v>3932</v>
      </c>
    </row>
    <row r="25" spans="1:15" x14ac:dyDescent="0.3">
      <c r="A25">
        <v>24</v>
      </c>
      <c r="B25">
        <v>4050</v>
      </c>
      <c r="C25">
        <f t="shared" si="3"/>
        <v>3648.6666666666665</v>
      </c>
      <c r="D25">
        <f t="shared" si="5"/>
        <v>3685.875</v>
      </c>
      <c r="E25">
        <f t="shared" si="6"/>
        <v>1.0987892969783295</v>
      </c>
      <c r="F25">
        <v>24</v>
      </c>
      <c r="G25">
        <f t="shared" si="8"/>
        <v>3678.7647058823532</v>
      </c>
      <c r="H25" s="10">
        <f t="shared" si="1"/>
        <v>3793.8359999999998</v>
      </c>
      <c r="I25">
        <v>24</v>
      </c>
      <c r="J25" s="10">
        <f t="shared" si="4"/>
        <v>0.97154305035852895</v>
      </c>
      <c r="K25" s="1"/>
      <c r="L25" s="15">
        <f t="shared" si="9"/>
        <v>1.0681804211485644</v>
      </c>
      <c r="M25" s="11">
        <f t="shared" si="7"/>
        <v>1.0286551552750356</v>
      </c>
      <c r="N25">
        <v>24</v>
      </c>
      <c r="O25" s="13">
        <v>4050</v>
      </c>
    </row>
    <row r="26" spans="1:15" x14ac:dyDescent="0.3">
      <c r="A26">
        <v>25</v>
      </c>
      <c r="B26">
        <v>3593</v>
      </c>
      <c r="C26">
        <f t="shared" si="3"/>
        <v>3586.4166666666665</v>
      </c>
      <c r="D26">
        <f t="shared" si="5"/>
        <v>3617.5416666666665</v>
      </c>
      <c r="E26">
        <f t="shared" si="6"/>
        <v>0.99321592702226424</v>
      </c>
      <c r="F26">
        <v>25</v>
      </c>
      <c r="G26">
        <f t="shared" si="8"/>
        <v>3650.5882352941176</v>
      </c>
      <c r="H26" s="10">
        <f t="shared" si="1"/>
        <v>3812.2</v>
      </c>
      <c r="I26">
        <v>25</v>
      </c>
      <c r="J26" s="10">
        <f t="shared" si="4"/>
        <v>0.94893805851389401</v>
      </c>
      <c r="L26" s="15">
        <f t="shared" si="9"/>
        <v>0.98877741725986268</v>
      </c>
      <c r="M26" s="11">
        <f t="shared" si="7"/>
        <v>1.0044888866644039</v>
      </c>
      <c r="N26">
        <v>25</v>
      </c>
      <c r="O26" s="13">
        <v>3593</v>
      </c>
    </row>
    <row r="27" spans="1:15" x14ac:dyDescent="0.3">
      <c r="A27">
        <v>26</v>
      </c>
      <c r="B27">
        <v>3248</v>
      </c>
      <c r="C27">
        <f t="shared" si="3"/>
        <v>3536.5833333333335</v>
      </c>
      <c r="D27">
        <f t="shared" si="5"/>
        <v>3561.5</v>
      </c>
      <c r="E27">
        <f t="shared" si="6"/>
        <v>0.91197529130984134</v>
      </c>
      <c r="F27">
        <v>26</v>
      </c>
      <c r="G27">
        <f t="shared" si="8"/>
        <v>3630.0588235294117</v>
      </c>
      <c r="H27" s="10">
        <f t="shared" si="1"/>
        <v>3830.5639999999999</v>
      </c>
      <c r="I27">
        <v>26</v>
      </c>
      <c r="J27" s="10">
        <f t="shared" si="4"/>
        <v>0.92975864650740725</v>
      </c>
      <c r="L27" s="15">
        <f t="shared" si="9"/>
        <v>0.95429043258694768</v>
      </c>
      <c r="M27" s="11">
        <f t="shared" si="7"/>
        <v>0.95565800532821443</v>
      </c>
      <c r="N27">
        <v>26</v>
      </c>
      <c r="O27" s="13">
        <v>3248</v>
      </c>
    </row>
    <row r="28" spans="1:15" x14ac:dyDescent="0.3">
      <c r="A28">
        <v>27</v>
      </c>
      <c r="B28">
        <v>3241</v>
      </c>
      <c r="C28">
        <f t="shared" si="3"/>
        <v>3490.1666666666665</v>
      </c>
      <c r="D28">
        <f t="shared" si="5"/>
        <v>3513.375</v>
      </c>
      <c r="E28">
        <f t="shared" si="6"/>
        <v>0.92247482833457861</v>
      </c>
      <c r="F28">
        <v>27</v>
      </c>
      <c r="G28">
        <f t="shared" si="8"/>
        <v>3618.4117647058824</v>
      </c>
      <c r="H28" s="10">
        <f t="shared" si="1"/>
        <v>3848.9279999999999</v>
      </c>
      <c r="I28">
        <v>27</v>
      </c>
      <c r="J28" s="10">
        <f t="shared" si="4"/>
        <v>0.91281910183822612</v>
      </c>
      <c r="L28" s="15">
        <f t="shared" si="9"/>
        <v>0.98600612500006968</v>
      </c>
      <c r="M28" s="11">
        <f t="shared" si="7"/>
        <v>0.93556703649737816</v>
      </c>
      <c r="N28">
        <v>27</v>
      </c>
      <c r="O28" s="13">
        <v>3241</v>
      </c>
    </row>
    <row r="29" spans="1:15" x14ac:dyDescent="0.3">
      <c r="A29">
        <v>28</v>
      </c>
      <c r="B29">
        <v>3343</v>
      </c>
      <c r="C29">
        <f t="shared" si="3"/>
        <v>3483.3333333333335</v>
      </c>
      <c r="D29">
        <f t="shared" si="5"/>
        <v>3486.75</v>
      </c>
      <c r="E29">
        <f t="shared" si="6"/>
        <v>0.95877249587724955</v>
      </c>
      <c r="F29">
        <v>28</v>
      </c>
      <c r="G29">
        <f t="shared" si="8"/>
        <v>3626.5294117647059</v>
      </c>
      <c r="H29" s="10">
        <f t="shared" si="1"/>
        <v>3867.2919999999999</v>
      </c>
      <c r="I29">
        <v>28</v>
      </c>
      <c r="J29" s="10">
        <f t="shared" si="4"/>
        <v>0.90159987919195139</v>
      </c>
      <c r="L29" s="15">
        <f t="shared" si="9"/>
        <v>1.0211715643200616</v>
      </c>
      <c r="M29" s="11">
        <f t="shared" si="7"/>
        <v>0.93889462787346611</v>
      </c>
      <c r="N29">
        <v>28</v>
      </c>
      <c r="O29" s="13">
        <v>3343</v>
      </c>
    </row>
    <row r="30" spans="1:15" x14ac:dyDescent="0.3">
      <c r="A30">
        <v>29</v>
      </c>
      <c r="B30">
        <v>3359</v>
      </c>
      <c r="C30">
        <f t="shared" si="3"/>
        <v>3486.4166666666665</v>
      </c>
      <c r="D30">
        <f t="shared" si="5"/>
        <v>3484.875</v>
      </c>
      <c r="E30">
        <f t="shared" si="6"/>
        <v>0.96387962265504501</v>
      </c>
      <c r="F30">
        <v>29</v>
      </c>
      <c r="G30">
        <f t="shared" si="8"/>
        <v>3641.7647058823532</v>
      </c>
      <c r="H30" s="10">
        <f t="shared" si="1"/>
        <v>3885.6559999999999</v>
      </c>
      <c r="I30">
        <v>29</v>
      </c>
      <c r="J30" s="10">
        <f t="shared" si="4"/>
        <v>0.89685628372660886</v>
      </c>
      <c r="L30" s="15">
        <f t="shared" si="9"/>
        <v>1.0033790290636166</v>
      </c>
      <c r="M30" s="11">
        <f t="shared" si="7"/>
        <v>0.96063361375468082</v>
      </c>
      <c r="N30">
        <v>29</v>
      </c>
      <c r="O30" s="13">
        <v>3359</v>
      </c>
    </row>
    <row r="31" spans="1:15" x14ac:dyDescent="0.3">
      <c r="A31">
        <v>30</v>
      </c>
      <c r="B31">
        <v>3274</v>
      </c>
      <c r="C31">
        <f t="shared" si="3"/>
        <v>3504.5833333333335</v>
      </c>
      <c r="D31">
        <f t="shared" si="5"/>
        <v>3495.5</v>
      </c>
      <c r="E31">
        <f t="shared" si="6"/>
        <v>0.93663281361750828</v>
      </c>
      <c r="F31">
        <v>30</v>
      </c>
      <c r="G31">
        <f t="shared" si="8"/>
        <v>3654.5882352941176</v>
      </c>
      <c r="H31" s="10">
        <f t="shared" si="1"/>
        <v>3904.02</v>
      </c>
      <c r="I31">
        <v>30</v>
      </c>
      <c r="J31" s="10">
        <f t="shared" si="4"/>
        <v>0.89535914262734306</v>
      </c>
      <c r="L31" s="15">
        <f t="shared" si="9"/>
        <v>1.0200197628053516</v>
      </c>
      <c r="M31" s="11">
        <f t="shared" si="7"/>
        <v>0.91824967296858551</v>
      </c>
      <c r="N31">
        <v>30</v>
      </c>
      <c r="O31" s="13">
        <v>3274</v>
      </c>
    </row>
    <row r="32" spans="1:15" x14ac:dyDescent="0.3">
      <c r="A32">
        <v>31</v>
      </c>
      <c r="B32">
        <v>3383</v>
      </c>
      <c r="C32">
        <f t="shared" si="3"/>
        <v>3555.9166666666665</v>
      </c>
      <c r="D32">
        <f t="shared" si="5"/>
        <v>3530.25</v>
      </c>
      <c r="E32">
        <f t="shared" si="6"/>
        <v>0.95828907301182631</v>
      </c>
      <c r="F32">
        <v>31</v>
      </c>
      <c r="G32">
        <f t="shared" si="8"/>
        <v>3694.5882352941176</v>
      </c>
      <c r="H32" s="10">
        <f t="shared" si="1"/>
        <v>3922.384</v>
      </c>
      <c r="I32">
        <v>31</v>
      </c>
      <c r="J32" s="10">
        <f t="shared" si="4"/>
        <v>0.90002661646590443</v>
      </c>
      <c r="L32" s="15">
        <f t="shared" si="9"/>
        <v>0.99568815904473962</v>
      </c>
      <c r="M32" s="11">
        <f t="shared" si="7"/>
        <v>0.96243895672235991</v>
      </c>
      <c r="N32">
        <v>31</v>
      </c>
      <c r="O32" s="13">
        <v>3383</v>
      </c>
    </row>
    <row r="33" spans="1:15" x14ac:dyDescent="0.3">
      <c r="A33">
        <v>32</v>
      </c>
      <c r="B33">
        <v>3352</v>
      </c>
      <c r="C33">
        <f t="shared" si="3"/>
        <v>3632.6666666666665</v>
      </c>
      <c r="D33">
        <f t="shared" si="5"/>
        <v>3594.2916666666665</v>
      </c>
      <c r="E33">
        <f t="shared" si="6"/>
        <v>0.9325898705122706</v>
      </c>
      <c r="F33">
        <v>32</v>
      </c>
      <c r="G33">
        <f t="shared" si="8"/>
        <v>3743.0588235294117</v>
      </c>
      <c r="H33" s="10">
        <f t="shared" si="1"/>
        <v>3940.748</v>
      </c>
      <c r="I33">
        <v>32</v>
      </c>
      <c r="J33" s="10">
        <f t="shared" si="4"/>
        <v>0.91208361119936276</v>
      </c>
      <c r="L33" s="15">
        <f t="shared" si="9"/>
        <v>0.99421473917299252</v>
      </c>
      <c r="M33" s="11">
        <f t="shared" si="7"/>
        <v>0.93801654086120001</v>
      </c>
      <c r="N33">
        <v>32</v>
      </c>
      <c r="O33" s="13">
        <v>3352</v>
      </c>
    </row>
    <row r="34" spans="1:15" x14ac:dyDescent="0.3">
      <c r="A34">
        <v>33</v>
      </c>
      <c r="B34">
        <v>3394</v>
      </c>
      <c r="C34">
        <f t="shared" si="3"/>
        <v>3728.6666666666665</v>
      </c>
      <c r="D34">
        <f t="shared" si="5"/>
        <v>3680.6666666666665</v>
      </c>
      <c r="E34">
        <f t="shared" si="6"/>
        <v>0.92211555877558415</v>
      </c>
      <c r="F34">
        <v>33</v>
      </c>
      <c r="G34">
        <f t="shared" si="8"/>
        <v>3770.3529411764707</v>
      </c>
      <c r="H34" s="10">
        <f t="shared" si="1"/>
        <v>3959.1120000000001</v>
      </c>
      <c r="I34">
        <v>33</v>
      </c>
      <c r="J34" s="10">
        <f t="shared" si="4"/>
        <v>0.92966975085995707</v>
      </c>
      <c r="L34" s="15">
        <f t="shared" si="9"/>
        <v>0.9661435249994812</v>
      </c>
      <c r="M34" s="11">
        <f t="shared" si="7"/>
        <v>0.95442916597311911</v>
      </c>
      <c r="N34">
        <v>33</v>
      </c>
      <c r="O34" s="13">
        <v>3394</v>
      </c>
    </row>
    <row r="35" spans="1:15" x14ac:dyDescent="0.3">
      <c r="A35">
        <v>34</v>
      </c>
      <c r="B35">
        <v>3631</v>
      </c>
      <c r="C35">
        <f t="shared" si="3"/>
        <v>3846.4166666666665</v>
      </c>
      <c r="D35">
        <f t="shared" si="5"/>
        <v>3787.5416666666665</v>
      </c>
      <c r="E35">
        <f t="shared" si="6"/>
        <v>0.9586693215696197</v>
      </c>
      <c r="F35">
        <v>34</v>
      </c>
      <c r="G35">
        <f t="shared" si="8"/>
        <v>3840.2352941176468</v>
      </c>
      <c r="H35" s="10">
        <f t="shared" si="1"/>
        <v>3977.4759999999997</v>
      </c>
      <c r="I35">
        <v>34</v>
      </c>
      <c r="J35" s="10">
        <f t="shared" si="4"/>
        <v>0.9522475224656709</v>
      </c>
      <c r="L35" s="15">
        <f t="shared" si="9"/>
        <v>0.9751034013956168</v>
      </c>
      <c r="M35" s="11">
        <f t="shared" si="7"/>
        <v>0.98314632089019915</v>
      </c>
      <c r="N35">
        <v>34</v>
      </c>
      <c r="O35" s="13">
        <v>3631</v>
      </c>
    </row>
    <row r="36" spans="1:15" x14ac:dyDescent="0.3">
      <c r="A36">
        <v>35</v>
      </c>
      <c r="B36">
        <v>3969</v>
      </c>
      <c r="C36">
        <f t="shared" si="3"/>
        <v>3942.6666666666665</v>
      </c>
      <c r="D36">
        <f t="shared" si="5"/>
        <v>3894.5416666666665</v>
      </c>
      <c r="E36">
        <f t="shared" si="6"/>
        <v>1.0191186382650932</v>
      </c>
      <c r="F36">
        <v>35</v>
      </c>
      <c r="G36">
        <f t="shared" si="8"/>
        <v>3924.5882352941176</v>
      </c>
      <c r="H36" s="10">
        <f t="shared" si="1"/>
        <v>3995.84</v>
      </c>
      <c r="I36">
        <v>35</v>
      </c>
      <c r="J36" s="10">
        <f t="shared" si="4"/>
        <v>0.97464905168041427</v>
      </c>
      <c r="L36" s="15">
        <f t="shared" si="9"/>
        <v>1.0270254232026956</v>
      </c>
      <c r="M36" s="11">
        <f t="shared" si="7"/>
        <v>0.99230127632776044</v>
      </c>
      <c r="N36">
        <v>35</v>
      </c>
      <c r="O36" s="13">
        <v>3969</v>
      </c>
    </row>
    <row r="37" spans="1:15" x14ac:dyDescent="0.3">
      <c r="A37">
        <v>36</v>
      </c>
      <c r="B37">
        <v>4268</v>
      </c>
      <c r="C37">
        <f t="shared" si="3"/>
        <v>4068.25</v>
      </c>
      <c r="D37">
        <f t="shared" si="5"/>
        <v>4005.458333333333</v>
      </c>
      <c r="E37">
        <f t="shared" si="6"/>
        <v>1.0655459737233568</v>
      </c>
      <c r="F37">
        <v>36</v>
      </c>
      <c r="G37">
        <f t="shared" si="8"/>
        <v>4025.0588235294117</v>
      </c>
      <c r="H37" s="10">
        <f t="shared" si="1"/>
        <v>4014.2039999999997</v>
      </c>
      <c r="I37">
        <v>36</v>
      </c>
      <c r="J37" s="10">
        <f t="shared" si="4"/>
        <v>0.99782131982662892</v>
      </c>
      <c r="L37" s="15">
        <f t="shared" si="9"/>
        <v>1.0681804211485644</v>
      </c>
      <c r="M37" s="11">
        <f t="shared" si="7"/>
        <v>0.99753370556785259</v>
      </c>
      <c r="N37">
        <v>36</v>
      </c>
      <c r="O37" s="13">
        <v>4268</v>
      </c>
    </row>
    <row r="38" spans="1:15" x14ac:dyDescent="0.3">
      <c r="A38">
        <v>37</v>
      </c>
      <c r="B38">
        <v>4209</v>
      </c>
      <c r="C38">
        <f t="shared" si="3"/>
        <v>4176.5</v>
      </c>
      <c r="D38">
        <f t="shared" si="5"/>
        <v>4122.375</v>
      </c>
      <c r="E38">
        <f t="shared" si="6"/>
        <v>1.0210133721459109</v>
      </c>
      <c r="F38">
        <v>37</v>
      </c>
      <c r="G38">
        <f t="shared" si="8"/>
        <v>4113</v>
      </c>
      <c r="H38" s="10">
        <f t="shared" si="1"/>
        <v>4032.5680000000002</v>
      </c>
      <c r="I38">
        <v>37</v>
      </c>
      <c r="J38" s="10">
        <f t="shared" si="4"/>
        <v>1.0222704242061138</v>
      </c>
      <c r="L38" s="15">
        <f t="shared" si="9"/>
        <v>0.98877741725986268</v>
      </c>
      <c r="M38" s="11">
        <f t="shared" si="7"/>
        <v>1.0326018316390981</v>
      </c>
      <c r="N38">
        <v>37</v>
      </c>
      <c r="O38" s="13">
        <v>4209</v>
      </c>
    </row>
    <row r="39" spans="1:15" x14ac:dyDescent="0.3">
      <c r="A39">
        <v>38</v>
      </c>
      <c r="B39">
        <v>4169</v>
      </c>
      <c r="C39">
        <f t="shared" si="3"/>
        <v>4309.583333333333</v>
      </c>
      <c r="D39">
        <f t="shared" si="5"/>
        <v>4243.0416666666661</v>
      </c>
      <c r="E39">
        <f t="shared" si="6"/>
        <v>0.98254986104700848</v>
      </c>
      <c r="F39">
        <v>38</v>
      </c>
      <c r="G39">
        <f t="shared" si="8"/>
        <v>4203.7647058823532</v>
      </c>
      <c r="H39" s="10">
        <f t="shared" si="1"/>
        <v>4050.9319999999998</v>
      </c>
      <c r="I39">
        <v>38</v>
      </c>
      <c r="J39" s="10">
        <f t="shared" si="4"/>
        <v>1.047423572320312</v>
      </c>
      <c r="L39" s="15">
        <f t="shared" si="9"/>
        <v>0.95429043258694768</v>
      </c>
      <c r="M39" s="11">
        <f t="shared" si="7"/>
        <v>1.0296130271194834</v>
      </c>
      <c r="N39">
        <v>38</v>
      </c>
      <c r="O39" s="13">
        <v>4169</v>
      </c>
    </row>
    <row r="40" spans="1:15" x14ac:dyDescent="0.3">
      <c r="A40">
        <v>39</v>
      </c>
      <c r="B40">
        <v>4393</v>
      </c>
      <c r="C40">
        <f t="shared" si="3"/>
        <v>4429.916666666667</v>
      </c>
      <c r="D40">
        <f t="shared" si="5"/>
        <v>4369.75</v>
      </c>
      <c r="E40">
        <f t="shared" si="6"/>
        <v>1.0053206705189084</v>
      </c>
      <c r="F40">
        <v>39</v>
      </c>
      <c r="G40">
        <f t="shared" si="8"/>
        <v>4299.4705882352937</v>
      </c>
      <c r="H40" s="10">
        <f t="shared" si="1"/>
        <v>4069.2959999999998</v>
      </c>
      <c r="I40">
        <v>39</v>
      </c>
      <c r="J40" s="10">
        <f t="shared" si="4"/>
        <v>1.0738343929760823</v>
      </c>
      <c r="L40" s="15">
        <f t="shared" si="9"/>
        <v>0.98600612500006968</v>
      </c>
      <c r="M40" s="11">
        <f t="shared" si="7"/>
        <v>1.0195886668744958</v>
      </c>
      <c r="N40">
        <v>39</v>
      </c>
      <c r="O40" s="13">
        <v>4393</v>
      </c>
    </row>
    <row r="41" spans="1:15" x14ac:dyDescent="0.3">
      <c r="A41">
        <v>40</v>
      </c>
      <c r="B41">
        <v>4756</v>
      </c>
      <c r="C41">
        <f t="shared" si="3"/>
        <v>4535.833333333333</v>
      </c>
      <c r="D41">
        <f t="shared" si="5"/>
        <v>4482.875</v>
      </c>
      <c r="E41">
        <f t="shared" si="6"/>
        <v>1.0609263028748293</v>
      </c>
      <c r="F41">
        <v>40</v>
      </c>
      <c r="G41">
        <f t="shared" si="8"/>
        <v>4409.3529411764703</v>
      </c>
      <c r="H41" s="10">
        <f t="shared" si="1"/>
        <v>4087.66</v>
      </c>
      <c r="I41">
        <v>40</v>
      </c>
      <c r="J41" s="10">
        <f t="shared" si="4"/>
        <v>1.0966849004075683</v>
      </c>
      <c r="L41" s="15">
        <f t="shared" si="9"/>
        <v>1.0211715643200616</v>
      </c>
      <c r="M41" s="11">
        <f t="shared" si="7"/>
        <v>1.0389305185767075</v>
      </c>
      <c r="N41">
        <v>40</v>
      </c>
      <c r="O41" s="13">
        <v>4756</v>
      </c>
    </row>
    <row r="42" spans="1:15" x14ac:dyDescent="0.3">
      <c r="A42">
        <v>41</v>
      </c>
      <c r="B42">
        <v>4514</v>
      </c>
      <c r="C42">
        <f t="shared" si="3"/>
        <v>4613.5</v>
      </c>
      <c r="D42">
        <f t="shared" si="5"/>
        <v>4574.6666666666661</v>
      </c>
      <c r="E42">
        <f t="shared" si="6"/>
        <v>0.98673856018653472</v>
      </c>
      <c r="F42">
        <v>41</v>
      </c>
      <c r="H42" s="10">
        <f t="shared" si="1"/>
        <v>4106.0239999999994</v>
      </c>
      <c r="I42">
        <v>41</v>
      </c>
      <c r="J42" s="10">
        <f t="shared" si="4"/>
        <v>1.1141353939155414</v>
      </c>
      <c r="L42" s="15">
        <f t="shared" si="9"/>
        <v>1.0033790290636166</v>
      </c>
      <c r="M42" s="11">
        <f t="shared" si="7"/>
        <v>0.98341557039256511</v>
      </c>
      <c r="N42">
        <v>41</v>
      </c>
      <c r="O42" s="13">
        <v>4514</v>
      </c>
    </row>
    <row r="43" spans="1:15" x14ac:dyDescent="0.3">
      <c r="A43">
        <v>42</v>
      </c>
      <c r="B43">
        <v>4781</v>
      </c>
      <c r="C43">
        <f t="shared" si="3"/>
        <v>4695.416666666667</v>
      </c>
      <c r="D43">
        <f t="shared" si="5"/>
        <v>4654.4583333333339</v>
      </c>
      <c r="E43">
        <f t="shared" si="6"/>
        <v>1.0271871950728244</v>
      </c>
      <c r="F43">
        <v>42</v>
      </c>
      <c r="H43" s="10">
        <f t="shared" si="1"/>
        <v>4124.3879999999999</v>
      </c>
      <c r="I43">
        <v>42</v>
      </c>
      <c r="J43" s="10">
        <f t="shared" si="4"/>
        <v>1.1285209668278866</v>
      </c>
      <c r="K43" s="12" t="s">
        <v>7</v>
      </c>
      <c r="L43" s="15">
        <f t="shared" si="9"/>
        <v>1.0200197628053516</v>
      </c>
      <c r="M43" s="11">
        <f t="shared" si="7"/>
        <v>1.0070267582343311</v>
      </c>
      <c r="N43">
        <v>42</v>
      </c>
      <c r="O43" s="13">
        <v>4781</v>
      </c>
    </row>
    <row r="44" spans="1:15" x14ac:dyDescent="0.3">
      <c r="A44">
        <v>43</v>
      </c>
      <c r="B44">
        <v>4682</v>
      </c>
      <c r="F44">
        <v>43</v>
      </c>
      <c r="H44" s="10">
        <f t="shared" si="1"/>
        <v>4142.7520000000004</v>
      </c>
      <c r="I44">
        <v>43</v>
      </c>
      <c r="K44" s="5"/>
      <c r="L44" s="15">
        <f t="shared" si="9"/>
        <v>0.99568815904473962</v>
      </c>
      <c r="M44" s="1"/>
      <c r="N44">
        <v>43</v>
      </c>
      <c r="O44" s="13">
        <v>4682</v>
      </c>
    </row>
    <row r="45" spans="1:15" x14ac:dyDescent="0.3">
      <c r="A45">
        <v>44</v>
      </c>
      <c r="B45">
        <v>4949</v>
      </c>
      <c r="F45">
        <v>44</v>
      </c>
      <c r="H45" s="10">
        <f t="shared" si="1"/>
        <v>4161.116</v>
      </c>
      <c r="I45">
        <v>44</v>
      </c>
      <c r="K45" s="5"/>
      <c r="L45" s="15">
        <f t="shared" si="9"/>
        <v>0.99421473917299252</v>
      </c>
      <c r="M45" s="1"/>
      <c r="N45">
        <v>44</v>
      </c>
      <c r="O45" s="13">
        <v>4949</v>
      </c>
    </row>
    <row r="46" spans="1:15" x14ac:dyDescent="0.3">
      <c r="A46">
        <v>45</v>
      </c>
      <c r="B46">
        <v>4838</v>
      </c>
      <c r="F46">
        <v>45</v>
      </c>
      <c r="H46" s="10">
        <f t="shared" si="1"/>
        <v>4179.4799999999996</v>
      </c>
      <c r="I46">
        <v>45</v>
      </c>
      <c r="K46" s="5"/>
      <c r="L46" s="15">
        <f t="shared" si="9"/>
        <v>0.9661435249994812</v>
      </c>
      <c r="M46" s="1"/>
      <c r="N46">
        <v>45</v>
      </c>
      <c r="O46" s="13">
        <v>4838</v>
      </c>
    </row>
    <row r="47" spans="1:15" x14ac:dyDescent="0.3">
      <c r="A47">
        <v>46</v>
      </c>
      <c r="B47">
        <v>4902</v>
      </c>
      <c r="F47">
        <v>46</v>
      </c>
      <c r="H47" s="10">
        <f t="shared" si="1"/>
        <v>4197.8440000000001</v>
      </c>
      <c r="I47">
        <v>46</v>
      </c>
      <c r="K47" s="5"/>
      <c r="L47" s="15">
        <f t="shared" si="9"/>
        <v>0.9751034013956168</v>
      </c>
      <c r="M47" s="1"/>
      <c r="N47">
        <v>46</v>
      </c>
      <c r="O47" s="13">
        <v>4902</v>
      </c>
    </row>
    <row r="48" spans="1:15" x14ac:dyDescent="0.3">
      <c r="A48">
        <v>47</v>
      </c>
      <c r="B48">
        <v>4901</v>
      </c>
      <c r="F48">
        <v>47</v>
      </c>
      <c r="H48" s="10">
        <f t="shared" si="1"/>
        <v>4216.2079999999996</v>
      </c>
      <c r="I48">
        <v>47</v>
      </c>
      <c r="K48" s="5"/>
      <c r="L48" s="15">
        <f t="shared" si="9"/>
        <v>1.0270254232026956</v>
      </c>
      <c r="M48" s="1"/>
      <c r="N48">
        <v>47</v>
      </c>
      <c r="O48" s="13">
        <v>4901</v>
      </c>
    </row>
    <row r="49" spans="1:16" x14ac:dyDescent="0.3">
      <c r="A49">
        <v>48</v>
      </c>
      <c r="B49">
        <v>5251</v>
      </c>
      <c r="F49">
        <v>48</v>
      </c>
      <c r="H49" s="10">
        <f t="shared" si="1"/>
        <v>4234.5720000000001</v>
      </c>
      <c r="I49">
        <v>48</v>
      </c>
      <c r="K49" s="5"/>
      <c r="L49" s="15">
        <f t="shared" si="9"/>
        <v>1.0681804211485644</v>
      </c>
      <c r="M49" s="1"/>
      <c r="N49">
        <v>48</v>
      </c>
      <c r="O49" s="13">
        <v>5251</v>
      </c>
    </row>
    <row r="50" spans="1:16" x14ac:dyDescent="0.3">
      <c r="A50" s="6">
        <v>49</v>
      </c>
      <c r="B50" s="6"/>
      <c r="C50" s="6"/>
      <c r="D50" s="6"/>
      <c r="E50" s="6"/>
      <c r="F50" s="6">
        <v>49</v>
      </c>
      <c r="G50" s="6"/>
      <c r="H50" s="7">
        <f t="shared" si="1"/>
        <v>4252.9359999999997</v>
      </c>
      <c r="I50" s="6"/>
      <c r="J50" s="6"/>
      <c r="K50" s="8">
        <v>1.1499999999999999</v>
      </c>
      <c r="L50" s="9">
        <f t="shared" si="9"/>
        <v>0.98877741725986268</v>
      </c>
      <c r="M50" s="9"/>
      <c r="N50" s="6">
        <v>49</v>
      </c>
      <c r="O50" s="19">
        <f>H50*K50*L50</f>
        <v>4835.9881349292145</v>
      </c>
      <c r="P50">
        <v>4710.2132235665695</v>
      </c>
    </row>
    <row r="51" spans="1:16" x14ac:dyDescent="0.3">
      <c r="A51" s="6">
        <v>50</v>
      </c>
      <c r="B51" s="6"/>
      <c r="C51" s="6"/>
      <c r="D51" s="6"/>
      <c r="E51" s="6"/>
      <c r="F51" s="6">
        <v>50</v>
      </c>
      <c r="G51" s="6"/>
      <c r="H51" s="7">
        <f t="shared" si="1"/>
        <v>4271.3</v>
      </c>
      <c r="I51" s="6"/>
      <c r="J51" s="6"/>
      <c r="K51" s="8">
        <v>1.1499999999999999</v>
      </c>
      <c r="L51" s="9">
        <f t="shared" si="9"/>
        <v>0.95429043258694768</v>
      </c>
      <c r="M51" s="9"/>
      <c r="N51" s="6">
        <v>50</v>
      </c>
      <c r="O51" s="19">
        <f t="shared" ref="O51:O61" si="10">H51*K51*L51</f>
        <v>4687.4698334149243</v>
      </c>
      <c r="P51">
        <v>4620.915764333462</v>
      </c>
    </row>
    <row r="52" spans="1:16" x14ac:dyDescent="0.3">
      <c r="A52" s="6">
        <v>51</v>
      </c>
      <c r="B52" s="6"/>
      <c r="C52" s="6"/>
      <c r="D52" s="6"/>
      <c r="E52" s="6"/>
      <c r="F52" s="6">
        <v>51</v>
      </c>
      <c r="G52" s="6"/>
      <c r="H52" s="7">
        <f t="shared" si="1"/>
        <v>4289.6639999999998</v>
      </c>
      <c r="I52" s="6"/>
      <c r="J52" s="6"/>
      <c r="K52" s="8">
        <v>1.1499999999999999</v>
      </c>
      <c r="L52" s="9">
        <f t="shared" si="9"/>
        <v>0.98600612500006968</v>
      </c>
      <c r="M52" s="9"/>
      <c r="N52" s="6">
        <v>51</v>
      </c>
      <c r="O52" s="19">
        <f t="shared" si="10"/>
        <v>4864.0802249211438</v>
      </c>
      <c r="P52">
        <v>4777.1585238261323</v>
      </c>
    </row>
    <row r="53" spans="1:16" x14ac:dyDescent="0.3">
      <c r="A53" s="6">
        <v>52</v>
      </c>
      <c r="B53" s="6"/>
      <c r="C53" s="6"/>
      <c r="D53" s="6"/>
      <c r="E53" s="6"/>
      <c r="F53" s="6">
        <v>52</v>
      </c>
      <c r="G53" s="6"/>
      <c r="H53" s="7">
        <f t="shared" si="1"/>
        <v>4308.0280000000002</v>
      </c>
      <c r="I53" s="6"/>
      <c r="J53" s="6"/>
      <c r="K53" s="8">
        <v>1.1499999999999999</v>
      </c>
      <c r="L53" s="9">
        <f t="shared" si="9"/>
        <v>1.0211715643200616</v>
      </c>
      <c r="M53" s="9"/>
      <c r="N53" s="6">
        <v>52</v>
      </c>
      <c r="O53" s="19">
        <f t="shared" si="10"/>
        <v>5059.1210456788194</v>
      </c>
      <c r="P53">
        <v>4889.1132968950751</v>
      </c>
    </row>
    <row r="54" spans="1:16" x14ac:dyDescent="0.3">
      <c r="A54" s="6">
        <v>53</v>
      </c>
      <c r="B54" s="6"/>
      <c r="C54" s="6"/>
      <c r="D54" s="6"/>
      <c r="E54" s="6"/>
      <c r="F54" s="6">
        <v>53</v>
      </c>
      <c r="G54" s="6"/>
      <c r="H54" s="7">
        <f t="shared" si="1"/>
        <v>4326.3919999999998</v>
      </c>
      <c r="I54" s="6"/>
      <c r="J54" s="6"/>
      <c r="K54" s="8">
        <v>1.1499999999999999</v>
      </c>
      <c r="L54" s="9">
        <f t="shared" si="9"/>
        <v>1.0033790290636166</v>
      </c>
      <c r="M54" s="9"/>
      <c r="N54" s="6">
        <v>53</v>
      </c>
      <c r="O54" s="19">
        <f t="shared" si="10"/>
        <v>4992.1626549548873</v>
      </c>
      <c r="P54">
        <v>4956.4779222987308</v>
      </c>
    </row>
    <row r="55" spans="1:16" x14ac:dyDescent="0.3">
      <c r="A55" s="6">
        <v>54</v>
      </c>
      <c r="B55" s="6"/>
      <c r="C55" s="6"/>
      <c r="D55" s="6"/>
      <c r="E55" s="6"/>
      <c r="F55" s="6">
        <v>54</v>
      </c>
      <c r="G55" s="6"/>
      <c r="H55" s="7">
        <f t="shared" si="1"/>
        <v>4344.7560000000003</v>
      </c>
      <c r="I55" s="6"/>
      <c r="J55" s="6"/>
      <c r="K55" s="8">
        <v>1.1499999999999999</v>
      </c>
      <c r="L55" s="9">
        <f t="shared" si="9"/>
        <v>1.0200197628053516</v>
      </c>
      <c r="M55" s="9"/>
      <c r="N55" s="6">
        <v>54</v>
      </c>
      <c r="O55" s="19">
        <f t="shared" si="10"/>
        <v>5096.4975322521968</v>
      </c>
      <c r="P55">
        <v>5321.4956127656787</v>
      </c>
    </row>
    <row r="56" spans="1:16" x14ac:dyDescent="0.3">
      <c r="A56" s="6">
        <v>55</v>
      </c>
      <c r="B56" s="6"/>
      <c r="C56" s="6"/>
      <c r="D56" s="6"/>
      <c r="E56" s="6"/>
      <c r="F56" s="6">
        <v>55</v>
      </c>
      <c r="G56" s="6"/>
      <c r="H56" s="7">
        <f t="shared" si="1"/>
        <v>4363.12</v>
      </c>
      <c r="I56" s="6"/>
      <c r="J56" s="6"/>
      <c r="K56" s="8">
        <v>1.1499999999999999</v>
      </c>
      <c r="L56" s="9">
        <f t="shared" si="9"/>
        <v>0.99568815904473962</v>
      </c>
      <c r="M56" s="9"/>
      <c r="N56" s="6">
        <v>55</v>
      </c>
      <c r="O56" s="19">
        <f t="shared" si="10"/>
        <v>4995.9529585649771</v>
      </c>
      <c r="P56">
        <v>5139.8899630230098</v>
      </c>
    </row>
    <row r="57" spans="1:16" x14ac:dyDescent="0.3">
      <c r="A57" s="6">
        <v>56</v>
      </c>
      <c r="B57" s="6"/>
      <c r="C57" s="6"/>
      <c r="D57" s="6"/>
      <c r="E57" s="6"/>
      <c r="F57" s="6">
        <v>56</v>
      </c>
      <c r="G57" s="6"/>
      <c r="H57" s="7">
        <f t="shared" si="1"/>
        <v>4381.4840000000004</v>
      </c>
      <c r="I57" s="6"/>
      <c r="J57" s="6"/>
      <c r="K57" s="8">
        <v>1.1499999999999999</v>
      </c>
      <c r="L57" s="9">
        <f t="shared" si="9"/>
        <v>0.99421473917299252</v>
      </c>
      <c r="M57" s="9"/>
      <c r="N57" s="6">
        <v>56</v>
      </c>
      <c r="O57" s="19">
        <f t="shared" si="10"/>
        <v>5009.556368088236</v>
      </c>
      <c r="P57">
        <v>5195.722261480023</v>
      </c>
    </row>
    <row r="58" spans="1:16" x14ac:dyDescent="0.3">
      <c r="A58" s="6">
        <v>57</v>
      </c>
      <c r="B58" s="6"/>
      <c r="C58" s="6"/>
      <c r="D58" s="6"/>
      <c r="E58" s="6"/>
      <c r="F58" s="6">
        <v>57</v>
      </c>
      <c r="G58" s="6"/>
      <c r="H58" s="7">
        <f t="shared" si="1"/>
        <v>4399.848</v>
      </c>
      <c r="I58" s="6"/>
      <c r="J58" s="6"/>
      <c r="K58" s="8">
        <v>1.1499999999999999</v>
      </c>
      <c r="L58" s="9">
        <f t="shared" si="9"/>
        <v>0.9661435249994812</v>
      </c>
      <c r="M58" s="9"/>
      <c r="N58" s="6">
        <v>57</v>
      </c>
      <c r="O58" s="19">
        <f t="shared" si="10"/>
        <v>4888.5173546092046</v>
      </c>
      <c r="P58">
        <v>5115.4521286902591</v>
      </c>
    </row>
    <row r="59" spans="1:16" x14ac:dyDescent="0.3">
      <c r="A59" s="6">
        <v>58</v>
      </c>
      <c r="B59" s="6"/>
      <c r="C59" s="6"/>
      <c r="D59" s="6"/>
      <c r="E59" s="6"/>
      <c r="F59" s="6">
        <v>58</v>
      </c>
      <c r="G59" s="6"/>
      <c r="H59" s="7">
        <f t="shared" si="1"/>
        <v>4418.2119999999995</v>
      </c>
      <c r="I59" s="6"/>
      <c r="J59" s="6"/>
      <c r="K59" s="8">
        <v>1.1499999999999999</v>
      </c>
      <c r="L59" s="9">
        <f t="shared" si="9"/>
        <v>0.9751034013956168</v>
      </c>
      <c r="M59" s="9"/>
      <c r="N59" s="6">
        <v>58</v>
      </c>
      <c r="O59" s="19">
        <f t="shared" si="10"/>
        <v>4954.44558167997</v>
      </c>
      <c r="P59">
        <v>5106.8707072852249</v>
      </c>
    </row>
    <row r="60" spans="1:16" x14ac:dyDescent="0.3">
      <c r="A60" s="6">
        <v>59</v>
      </c>
      <c r="B60" s="6"/>
      <c r="C60" s="6"/>
      <c r="D60" s="6"/>
      <c r="E60" s="6"/>
      <c r="F60" s="6">
        <v>59</v>
      </c>
      <c r="G60" s="6"/>
      <c r="H60" s="7">
        <f t="shared" si="1"/>
        <v>4436.576</v>
      </c>
      <c r="I60" s="6"/>
      <c r="J60" s="6"/>
      <c r="K60" s="8">
        <v>1.1499999999999999</v>
      </c>
      <c r="L60" s="9">
        <f t="shared" si="9"/>
        <v>1.0270254232026956</v>
      </c>
      <c r="M60" s="9"/>
      <c r="N60" s="6">
        <v>59</v>
      </c>
      <c r="O60" s="19">
        <f t="shared" si="10"/>
        <v>5239.9477955665607</v>
      </c>
      <c r="P60">
        <v>5321.6482995941769</v>
      </c>
    </row>
    <row r="61" spans="1:16" x14ac:dyDescent="0.3">
      <c r="A61" s="6">
        <v>60</v>
      </c>
      <c r="B61" s="6"/>
      <c r="C61" s="6"/>
      <c r="D61" s="6"/>
      <c r="E61" s="6"/>
      <c r="F61" s="6">
        <v>60</v>
      </c>
      <c r="G61" s="6"/>
      <c r="H61" s="7">
        <f t="shared" si="1"/>
        <v>4454.9400000000005</v>
      </c>
      <c r="I61" s="6"/>
      <c r="J61" s="6"/>
      <c r="K61" s="8">
        <v>1.1499999999999999</v>
      </c>
      <c r="L61" s="9">
        <f t="shared" si="9"/>
        <v>1.0681804211485644</v>
      </c>
      <c r="M61" s="9"/>
      <c r="N61" s="6">
        <v>60</v>
      </c>
      <c r="O61" s="19">
        <f t="shared" si="10"/>
        <v>5472.4816382003237</v>
      </c>
      <c r="P61">
        <v>5495.1355811792037</v>
      </c>
    </row>
    <row r="62" spans="1:16" x14ac:dyDescent="0.3">
      <c r="O62" s="20" t="s">
        <v>32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18"/>
  <sheetViews>
    <sheetView workbookViewId="0">
      <selection activeCell="C26" sqref="C26"/>
    </sheetView>
  </sheetViews>
  <sheetFormatPr baseColWidth="10" defaultColWidth="10.88671875" defaultRowHeight="14.4" x14ac:dyDescent="0.3"/>
  <sheetData>
    <row r="2" spans="1:10" x14ac:dyDescent="0.3">
      <c r="A2" s="17"/>
      <c r="B2" s="3" t="s">
        <v>6</v>
      </c>
    </row>
    <row r="3" spans="1:10" x14ac:dyDescent="0.3">
      <c r="A3" s="17" t="s">
        <v>15</v>
      </c>
      <c r="B3" s="26">
        <v>0.98877741725986268</v>
      </c>
    </row>
    <row r="4" spans="1:10" x14ac:dyDescent="0.3">
      <c r="A4" s="17" t="s">
        <v>16</v>
      </c>
      <c r="B4" s="26">
        <v>0.95429043258694768</v>
      </c>
      <c r="C4" s="10" t="s">
        <v>27</v>
      </c>
      <c r="J4" s="18"/>
    </row>
    <row r="5" spans="1:10" x14ac:dyDescent="0.3">
      <c r="A5" s="17" t="s">
        <v>17</v>
      </c>
      <c r="B5" s="26">
        <v>0.98600612500006968</v>
      </c>
      <c r="C5" s="10"/>
      <c r="J5" s="18"/>
    </row>
    <row r="6" spans="1:10" x14ac:dyDescent="0.3">
      <c r="A6" s="17" t="s">
        <v>18</v>
      </c>
      <c r="B6" s="26">
        <v>1.0211715643200616</v>
      </c>
      <c r="C6" s="10"/>
      <c r="J6" s="18"/>
    </row>
    <row r="7" spans="1:10" x14ac:dyDescent="0.3">
      <c r="A7" s="17" t="s">
        <v>19</v>
      </c>
      <c r="B7" s="26">
        <v>1.0033790290636166</v>
      </c>
      <c r="C7" s="10"/>
      <c r="J7" s="18"/>
    </row>
    <row r="8" spans="1:10" x14ac:dyDescent="0.3">
      <c r="A8" s="17" t="s">
        <v>20</v>
      </c>
      <c r="B8" s="26">
        <v>1.0200197628053516</v>
      </c>
      <c r="C8" s="10"/>
      <c r="J8" s="18"/>
    </row>
    <row r="9" spans="1:10" x14ac:dyDescent="0.3">
      <c r="A9" s="17" t="s">
        <v>21</v>
      </c>
      <c r="B9" s="26">
        <v>0.99568815904473962</v>
      </c>
      <c r="C9" s="10"/>
      <c r="J9" s="18"/>
    </row>
    <row r="10" spans="1:10" x14ac:dyDescent="0.3">
      <c r="A10" s="17" t="s">
        <v>22</v>
      </c>
      <c r="B10" s="26">
        <v>0.99421473917299252</v>
      </c>
      <c r="C10" s="10"/>
      <c r="J10" s="18"/>
    </row>
    <row r="11" spans="1:10" x14ac:dyDescent="0.3">
      <c r="A11" s="17" t="s">
        <v>23</v>
      </c>
      <c r="B11" s="26">
        <v>0.9661435249994812</v>
      </c>
      <c r="C11" s="10"/>
      <c r="J11" s="18"/>
    </row>
    <row r="12" spans="1:10" x14ac:dyDescent="0.3">
      <c r="A12" s="17" t="s">
        <v>24</v>
      </c>
      <c r="B12" s="26">
        <v>0.9751034013956168</v>
      </c>
      <c r="C12" s="10"/>
      <c r="J12" s="18"/>
    </row>
    <row r="13" spans="1:10" x14ac:dyDescent="0.3">
      <c r="A13" s="17" t="s">
        <v>25</v>
      </c>
      <c r="B13" s="26">
        <v>1.0270254232026956</v>
      </c>
      <c r="C13" s="10"/>
      <c r="J13" s="18"/>
    </row>
    <row r="14" spans="1:10" x14ac:dyDescent="0.3">
      <c r="A14" s="17" t="s">
        <v>26</v>
      </c>
      <c r="B14" s="26">
        <v>1.0681804211485644</v>
      </c>
      <c r="C14" s="10" t="s">
        <v>28</v>
      </c>
      <c r="J14" s="18"/>
    </row>
    <row r="15" spans="1:10" x14ac:dyDescent="0.3">
      <c r="J15" s="18"/>
    </row>
    <row r="16" spans="1:10" x14ac:dyDescent="0.3">
      <c r="C16" s="10" t="s">
        <v>29</v>
      </c>
    </row>
    <row r="18" spans="3:3" x14ac:dyDescent="0.3">
      <c r="C18" s="10" t="s">
        <v>30</v>
      </c>
    </row>
  </sheetData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0D77-124F-4D47-9E96-DB7D0029D7C3}">
  <dimension ref="B18"/>
  <sheetViews>
    <sheetView workbookViewId="0">
      <selection activeCell="L18" sqref="L18"/>
    </sheetView>
  </sheetViews>
  <sheetFormatPr baseColWidth="10" defaultRowHeight="14.4" x14ac:dyDescent="0.3"/>
  <sheetData>
    <row r="18" spans="2:2" x14ac:dyDescent="0.3">
      <c r="B18" s="10" t="s">
        <v>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700E-C746-4362-AD26-CAA543D6A78B}">
  <dimension ref="A1:E18"/>
  <sheetViews>
    <sheetView workbookViewId="0">
      <selection activeCell="F25" sqref="F25"/>
    </sheetView>
  </sheetViews>
  <sheetFormatPr baseColWidth="10" defaultRowHeight="14.4" x14ac:dyDescent="0.3"/>
  <sheetData>
    <row r="1" spans="1:3" x14ac:dyDescent="0.3">
      <c r="B1" s="16" t="s">
        <v>34</v>
      </c>
      <c r="C1" s="16" t="s">
        <v>33</v>
      </c>
    </row>
    <row r="2" spans="1:3" x14ac:dyDescent="0.3">
      <c r="A2" s="17" t="s">
        <v>15</v>
      </c>
      <c r="B2" s="22">
        <v>4835.9881349292145</v>
      </c>
      <c r="C2" s="23">
        <v>4710.2132235665695</v>
      </c>
    </row>
    <row r="3" spans="1:3" x14ac:dyDescent="0.3">
      <c r="A3" s="17" t="s">
        <v>16</v>
      </c>
      <c r="B3" s="22">
        <v>4687.4698334149243</v>
      </c>
      <c r="C3" s="23">
        <v>4620.915764333462</v>
      </c>
    </row>
    <row r="4" spans="1:3" x14ac:dyDescent="0.3">
      <c r="A4" s="17" t="s">
        <v>17</v>
      </c>
      <c r="B4" s="22">
        <v>4864.0802249211438</v>
      </c>
      <c r="C4" s="23">
        <v>4777.1585238261323</v>
      </c>
    </row>
    <row r="5" spans="1:3" x14ac:dyDescent="0.3">
      <c r="A5" s="17" t="s">
        <v>18</v>
      </c>
      <c r="B5" s="22">
        <v>5059.1210456788194</v>
      </c>
      <c r="C5" s="23">
        <v>4889.1132968950751</v>
      </c>
    </row>
    <row r="6" spans="1:3" x14ac:dyDescent="0.3">
      <c r="A6" s="17" t="s">
        <v>19</v>
      </c>
      <c r="B6" s="22">
        <v>4992.1626549548873</v>
      </c>
      <c r="C6" s="23">
        <v>4956.4779222987308</v>
      </c>
    </row>
    <row r="7" spans="1:3" x14ac:dyDescent="0.3">
      <c r="A7" s="17" t="s">
        <v>20</v>
      </c>
      <c r="B7" s="22">
        <v>5096.4975322521968</v>
      </c>
      <c r="C7" s="23">
        <v>5321.4956127656787</v>
      </c>
    </row>
    <row r="8" spans="1:3" x14ac:dyDescent="0.3">
      <c r="A8" s="17" t="s">
        <v>21</v>
      </c>
      <c r="B8" s="22">
        <v>4995.9529585649771</v>
      </c>
      <c r="C8" s="23">
        <v>5139.8899630230098</v>
      </c>
    </row>
    <row r="9" spans="1:3" x14ac:dyDescent="0.3">
      <c r="A9" s="17" t="s">
        <v>22</v>
      </c>
      <c r="B9" s="22">
        <v>5009.556368088236</v>
      </c>
      <c r="C9" s="23">
        <v>5195.722261480023</v>
      </c>
    </row>
    <row r="10" spans="1:3" x14ac:dyDescent="0.3">
      <c r="A10" s="17" t="s">
        <v>23</v>
      </c>
      <c r="B10" s="22">
        <v>4888.5173546092046</v>
      </c>
      <c r="C10" s="23">
        <v>5115.4521286902591</v>
      </c>
    </row>
    <row r="11" spans="1:3" x14ac:dyDescent="0.3">
      <c r="A11" s="17" t="s">
        <v>24</v>
      </c>
      <c r="B11" s="22">
        <v>4954.44558167997</v>
      </c>
      <c r="C11" s="23">
        <v>5106.8707072852249</v>
      </c>
    </row>
    <row r="12" spans="1:3" x14ac:dyDescent="0.3">
      <c r="A12" s="17" t="s">
        <v>25</v>
      </c>
      <c r="B12" s="22">
        <v>5239.9477955665607</v>
      </c>
      <c r="C12" s="23">
        <v>5321.6482995941769</v>
      </c>
    </row>
    <row r="13" spans="1:3" x14ac:dyDescent="0.3">
      <c r="A13" s="17" t="s">
        <v>26</v>
      </c>
      <c r="B13" s="22">
        <v>5472.4816382003237</v>
      </c>
      <c r="C13" s="23">
        <v>5495.1355811792037</v>
      </c>
    </row>
    <row r="17" spans="5:5" x14ac:dyDescent="0.3">
      <c r="E17" s="10" t="s">
        <v>35</v>
      </c>
    </row>
    <row r="18" spans="5:5" x14ac:dyDescent="0.3">
      <c r="E18" s="10" t="s">
        <v>36</v>
      </c>
    </row>
  </sheetData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E9AF-4EB3-4217-A2FE-FE4593C7EE5A}">
  <dimension ref="A1:F61"/>
  <sheetViews>
    <sheetView workbookViewId="0">
      <selection activeCell="P11" sqref="P11"/>
    </sheetView>
  </sheetViews>
  <sheetFormatPr baseColWidth="10" defaultRowHeight="14.4" x14ac:dyDescent="0.3"/>
  <cols>
    <col min="1" max="1" width="7.5546875" style="16" customWidth="1"/>
    <col min="2" max="16384" width="11.5546875" style="16"/>
  </cols>
  <sheetData>
    <row r="1" spans="1:6" x14ac:dyDescent="0.3">
      <c r="A1" s="16" t="s">
        <v>0</v>
      </c>
      <c r="B1" s="16" t="s">
        <v>9</v>
      </c>
      <c r="C1" s="20" t="s">
        <v>37</v>
      </c>
      <c r="D1" s="24" t="s">
        <v>38</v>
      </c>
    </row>
    <row r="2" spans="1:6" x14ac:dyDescent="0.3">
      <c r="A2" s="16">
        <v>1</v>
      </c>
      <c r="C2" s="16">
        <f>22.958*A2+3166.1</f>
        <v>3189.058</v>
      </c>
      <c r="D2" s="16">
        <f>3206.2*((EXP(1))^(0.0061*A2))</f>
        <v>3225.8175928272749</v>
      </c>
      <c r="F2" s="25" t="s">
        <v>39</v>
      </c>
    </row>
    <row r="3" spans="1:6" x14ac:dyDescent="0.3">
      <c r="A3" s="16">
        <v>2</v>
      </c>
      <c r="C3" s="16">
        <f t="shared" ref="C3:C61" si="0">22.958*A3+3166.1</f>
        <v>3212.0160000000001</v>
      </c>
      <c r="D3" s="16">
        <f t="shared" ref="D3:D61" si="1">3206.2*((EXP(1))^(0.0061*A3))</f>
        <v>3245.5552186993809</v>
      </c>
    </row>
    <row r="4" spans="1:6" x14ac:dyDescent="0.3">
      <c r="A4" s="16">
        <v>3</v>
      </c>
      <c r="C4" s="16">
        <f t="shared" si="0"/>
        <v>3234.9739999999997</v>
      </c>
      <c r="D4" s="16">
        <f t="shared" si="1"/>
        <v>3265.4136120556541</v>
      </c>
    </row>
    <row r="5" spans="1:6" x14ac:dyDescent="0.3">
      <c r="A5" s="16">
        <v>4</v>
      </c>
      <c r="C5" s="16">
        <f t="shared" si="0"/>
        <v>3257.9319999999998</v>
      </c>
      <c r="D5" s="16">
        <f t="shared" si="1"/>
        <v>3285.393511829202</v>
      </c>
    </row>
    <row r="6" spans="1:6" x14ac:dyDescent="0.3">
      <c r="A6" s="16">
        <v>5</v>
      </c>
      <c r="C6" s="16">
        <f t="shared" si="0"/>
        <v>3280.89</v>
      </c>
      <c r="D6" s="16">
        <f t="shared" si="1"/>
        <v>3305.495661474401</v>
      </c>
    </row>
    <row r="7" spans="1:6" x14ac:dyDescent="0.3">
      <c r="A7" s="16">
        <v>6</v>
      </c>
      <c r="C7" s="16">
        <f t="shared" si="0"/>
        <v>3303.848</v>
      </c>
      <c r="D7" s="16">
        <f t="shared" si="1"/>
        <v>3325.7208089945589</v>
      </c>
    </row>
    <row r="8" spans="1:6" x14ac:dyDescent="0.3">
      <c r="A8" s="16">
        <v>7</v>
      </c>
      <c r="C8" s="16">
        <f t="shared" si="0"/>
        <v>3326.806</v>
      </c>
      <c r="D8" s="16">
        <f t="shared" si="1"/>
        <v>3346.069706969748</v>
      </c>
    </row>
    <row r="9" spans="1:6" x14ac:dyDescent="0.3">
      <c r="A9" s="16">
        <v>8</v>
      </c>
      <c r="C9" s="16">
        <f t="shared" si="0"/>
        <v>3349.7640000000001</v>
      </c>
      <c r="D9" s="16">
        <f t="shared" si="1"/>
        <v>3366.5431125848099</v>
      </c>
    </row>
    <row r="10" spans="1:6" x14ac:dyDescent="0.3">
      <c r="A10" s="16">
        <v>9</v>
      </c>
      <c r="B10" s="16">
        <v>3239.705882352941</v>
      </c>
      <c r="C10" s="16">
        <f t="shared" si="0"/>
        <v>3372.7219999999998</v>
      </c>
      <c r="D10" s="16">
        <f t="shared" si="1"/>
        <v>3387.1417876575301</v>
      </c>
    </row>
    <row r="11" spans="1:6" x14ac:dyDescent="0.3">
      <c r="A11" s="16">
        <v>10</v>
      </c>
      <c r="B11" s="16">
        <v>3321.3529411764707</v>
      </c>
      <c r="C11" s="16">
        <f t="shared" si="0"/>
        <v>3395.68</v>
      </c>
      <c r="D11" s="16">
        <f t="shared" si="1"/>
        <v>3407.8664986669851</v>
      </c>
    </row>
    <row r="12" spans="1:6" x14ac:dyDescent="0.3">
      <c r="A12" s="16">
        <v>11</v>
      </c>
      <c r="B12" s="16">
        <v>3395.4705882352941</v>
      </c>
      <c r="C12" s="16">
        <f t="shared" si="0"/>
        <v>3418.6379999999999</v>
      </c>
      <c r="D12" s="16">
        <f t="shared" si="1"/>
        <v>3428.7180167820629</v>
      </c>
    </row>
    <row r="13" spans="1:6" x14ac:dyDescent="0.3">
      <c r="A13" s="16">
        <v>12</v>
      </c>
      <c r="B13" s="16">
        <v>3446.8235294117649</v>
      </c>
      <c r="C13" s="16">
        <f t="shared" si="0"/>
        <v>3441.596</v>
      </c>
      <c r="D13" s="16">
        <f t="shared" si="1"/>
        <v>3449.6971178901572</v>
      </c>
    </row>
    <row r="14" spans="1:6" x14ac:dyDescent="0.3">
      <c r="A14" s="16">
        <v>13</v>
      </c>
      <c r="B14" s="16">
        <v>3524.294117647059</v>
      </c>
      <c r="C14" s="16">
        <f t="shared" si="0"/>
        <v>3464.5540000000001</v>
      </c>
      <c r="D14" s="16">
        <f t="shared" si="1"/>
        <v>3470.8045826260418</v>
      </c>
    </row>
    <row r="15" spans="1:6" x14ac:dyDescent="0.3">
      <c r="A15" s="16">
        <v>14</v>
      </c>
      <c r="B15" s="16">
        <v>3575.3529411764707</v>
      </c>
      <c r="C15" s="16">
        <f t="shared" si="0"/>
        <v>3487.5119999999997</v>
      </c>
      <c r="D15" s="16">
        <f t="shared" si="1"/>
        <v>3492.0411964009149</v>
      </c>
    </row>
    <row r="16" spans="1:6" x14ac:dyDescent="0.3">
      <c r="A16" s="16">
        <v>15</v>
      </c>
      <c r="B16" s="16">
        <v>3614.705882352941</v>
      </c>
      <c r="C16" s="16">
        <f t="shared" si="0"/>
        <v>3510.47</v>
      </c>
      <c r="D16" s="16">
        <f t="shared" si="1"/>
        <v>3513.4077494316257</v>
      </c>
    </row>
    <row r="17" spans="1:4" x14ac:dyDescent="0.3">
      <c r="A17" s="16">
        <v>16</v>
      </c>
      <c r="B17" s="16">
        <v>3680.6470588235293</v>
      </c>
      <c r="C17" s="16">
        <f t="shared" si="0"/>
        <v>3533.4279999999999</v>
      </c>
      <c r="D17" s="16">
        <f t="shared" si="1"/>
        <v>3534.9050367700765</v>
      </c>
    </row>
    <row r="18" spans="1:4" x14ac:dyDescent="0.3">
      <c r="A18" s="16">
        <v>17</v>
      </c>
      <c r="B18" s="16">
        <v>3704.4705882352941</v>
      </c>
      <c r="C18" s="16">
        <f t="shared" si="0"/>
        <v>3556.386</v>
      </c>
      <c r="D18" s="16">
        <f t="shared" si="1"/>
        <v>3556.5338583328116</v>
      </c>
    </row>
    <row r="19" spans="1:4" x14ac:dyDescent="0.3">
      <c r="A19" s="16">
        <v>18</v>
      </c>
      <c r="B19" s="16">
        <v>3720.1176470588234</v>
      </c>
      <c r="C19" s="16">
        <f t="shared" si="0"/>
        <v>3579.3440000000001</v>
      </c>
      <c r="D19" s="16">
        <f t="shared" si="1"/>
        <v>3578.2950189307749</v>
      </c>
    </row>
    <row r="20" spans="1:4" x14ac:dyDescent="0.3">
      <c r="A20" s="16">
        <v>19</v>
      </c>
      <c r="B20" s="16">
        <v>3723.0588235294117</v>
      </c>
      <c r="C20" s="16">
        <f t="shared" si="0"/>
        <v>3602.3019999999997</v>
      </c>
      <c r="D20" s="16">
        <f t="shared" si="1"/>
        <v>3600.1893282992642</v>
      </c>
    </row>
    <row r="21" spans="1:4" x14ac:dyDescent="0.3">
      <c r="A21" s="16">
        <v>20</v>
      </c>
      <c r="B21" s="16">
        <v>3721.5882352941176</v>
      </c>
      <c r="C21" s="16">
        <f t="shared" si="0"/>
        <v>3625.2599999999998</v>
      </c>
      <c r="D21" s="16">
        <f t="shared" si="1"/>
        <v>3622.2176011280576</v>
      </c>
    </row>
    <row r="22" spans="1:4" x14ac:dyDescent="0.3">
      <c r="A22" s="16">
        <v>21</v>
      </c>
      <c r="B22" s="16">
        <v>3710.6470588235293</v>
      </c>
      <c r="C22" s="16">
        <f t="shared" si="0"/>
        <v>3648.2179999999998</v>
      </c>
      <c r="D22" s="16">
        <f t="shared" si="1"/>
        <v>3644.3806570917277</v>
      </c>
    </row>
    <row r="23" spans="1:4" x14ac:dyDescent="0.3">
      <c r="A23" s="16">
        <v>22</v>
      </c>
      <c r="B23" s="16">
        <v>3707.5294117647059</v>
      </c>
      <c r="C23" s="16">
        <f t="shared" si="0"/>
        <v>3671.1759999999999</v>
      </c>
      <c r="D23" s="16">
        <f t="shared" si="1"/>
        <v>3666.679320880145</v>
      </c>
    </row>
    <row r="24" spans="1:4" x14ac:dyDescent="0.3">
      <c r="A24" s="16">
        <v>23</v>
      </c>
      <c r="B24" s="16">
        <v>3702.7647058823532</v>
      </c>
      <c r="C24" s="16">
        <f t="shared" si="0"/>
        <v>3694.134</v>
      </c>
      <c r="D24" s="16">
        <f t="shared" si="1"/>
        <v>3689.1144222291618</v>
      </c>
    </row>
    <row r="25" spans="1:4" x14ac:dyDescent="0.3">
      <c r="A25" s="16">
        <v>24</v>
      </c>
      <c r="B25" s="16">
        <v>3678.7647058823532</v>
      </c>
      <c r="C25" s="16">
        <f t="shared" si="0"/>
        <v>3717.0919999999996</v>
      </c>
      <c r="D25" s="16">
        <f t="shared" si="1"/>
        <v>3711.6867959514866</v>
      </c>
    </row>
    <row r="26" spans="1:4" x14ac:dyDescent="0.3">
      <c r="A26" s="16">
        <v>25</v>
      </c>
      <c r="B26" s="16">
        <v>3650.5882352941176</v>
      </c>
      <c r="C26" s="16">
        <f t="shared" si="0"/>
        <v>3740.0499999999997</v>
      </c>
      <c r="D26" s="16">
        <f t="shared" si="1"/>
        <v>3734.397281967752</v>
      </c>
    </row>
    <row r="27" spans="1:4" x14ac:dyDescent="0.3">
      <c r="A27" s="16">
        <v>26</v>
      </c>
      <c r="B27" s="16">
        <v>3630.0588235294117</v>
      </c>
      <c r="C27" s="16">
        <f t="shared" si="0"/>
        <v>3763.0079999999998</v>
      </c>
      <c r="D27" s="16">
        <f t="shared" si="1"/>
        <v>3757.2467253377627</v>
      </c>
    </row>
    <row r="28" spans="1:4" x14ac:dyDescent="0.3">
      <c r="A28" s="16">
        <v>27</v>
      </c>
      <c r="B28" s="16">
        <v>3618.4117647058824</v>
      </c>
      <c r="C28" s="16">
        <f t="shared" si="0"/>
        <v>3785.9659999999999</v>
      </c>
      <c r="D28" s="16">
        <f t="shared" si="1"/>
        <v>3780.2359762919418</v>
      </c>
    </row>
    <row r="29" spans="1:4" x14ac:dyDescent="0.3">
      <c r="A29" s="16">
        <v>28</v>
      </c>
      <c r="B29" s="16">
        <v>3626.5294117647059</v>
      </c>
      <c r="C29" s="16">
        <f t="shared" si="0"/>
        <v>3808.924</v>
      </c>
      <c r="D29" s="16">
        <f t="shared" si="1"/>
        <v>3803.3658902629704</v>
      </c>
    </row>
    <row r="30" spans="1:4" x14ac:dyDescent="0.3">
      <c r="A30" s="16">
        <v>29</v>
      </c>
      <c r="B30" s="16">
        <v>3641.7647058823532</v>
      </c>
      <c r="C30" s="16">
        <f t="shared" si="0"/>
        <v>3831.8819999999996</v>
      </c>
      <c r="D30" s="16">
        <f t="shared" si="1"/>
        <v>3826.6373279176164</v>
      </c>
    </row>
    <row r="31" spans="1:4" x14ac:dyDescent="0.3">
      <c r="A31" s="16">
        <v>30</v>
      </c>
      <c r="B31" s="16">
        <v>3654.5882352941176</v>
      </c>
      <c r="C31" s="16">
        <f t="shared" si="0"/>
        <v>3854.84</v>
      </c>
      <c r="D31" s="16">
        <f t="shared" si="1"/>
        <v>3850.0511551887594</v>
      </c>
    </row>
    <row r="32" spans="1:4" x14ac:dyDescent="0.3">
      <c r="A32" s="16">
        <v>31</v>
      </c>
      <c r="B32" s="16">
        <v>3694.5882352941176</v>
      </c>
      <c r="C32" s="16">
        <f t="shared" si="0"/>
        <v>3877.7979999999998</v>
      </c>
      <c r="D32" s="16">
        <f t="shared" si="1"/>
        <v>3873.6082433076144</v>
      </c>
    </row>
    <row r="33" spans="1:4" x14ac:dyDescent="0.3">
      <c r="A33" s="16">
        <v>32</v>
      </c>
      <c r="B33" s="16">
        <v>3743.0588235294117</v>
      </c>
      <c r="C33" s="16">
        <f t="shared" si="0"/>
        <v>3900.7559999999999</v>
      </c>
      <c r="D33" s="16">
        <f t="shared" si="1"/>
        <v>3897.3094688361489</v>
      </c>
    </row>
    <row r="34" spans="1:4" x14ac:dyDescent="0.3">
      <c r="A34" s="16">
        <v>33</v>
      </c>
      <c r="B34" s="16">
        <v>3770.3529411764707</v>
      </c>
      <c r="C34" s="16">
        <f t="shared" si="0"/>
        <v>3923.7139999999999</v>
      </c>
      <c r="D34" s="16">
        <f t="shared" si="1"/>
        <v>3921.155713699698</v>
      </c>
    </row>
    <row r="35" spans="1:4" x14ac:dyDescent="0.3">
      <c r="A35" s="16">
        <v>34</v>
      </c>
      <c r="B35" s="16">
        <v>3840.2352941176468</v>
      </c>
      <c r="C35" s="16">
        <f t="shared" si="0"/>
        <v>3946.6719999999996</v>
      </c>
      <c r="D35" s="16">
        <f t="shared" si="1"/>
        <v>3945.1478652197848</v>
      </c>
    </row>
    <row r="36" spans="1:4" x14ac:dyDescent="0.3">
      <c r="A36" s="16">
        <v>35</v>
      </c>
      <c r="B36" s="16">
        <v>3924.5882352941176</v>
      </c>
      <c r="C36" s="16">
        <f t="shared" si="0"/>
        <v>3969.63</v>
      </c>
      <c r="D36" s="16">
        <f t="shared" si="1"/>
        <v>3969.2868161471374</v>
      </c>
    </row>
    <row r="37" spans="1:4" x14ac:dyDescent="0.3">
      <c r="A37" s="16">
        <v>36</v>
      </c>
      <c r="B37" s="16">
        <v>4025.0588235294117</v>
      </c>
      <c r="C37" s="16">
        <f t="shared" si="0"/>
        <v>3992.5879999999997</v>
      </c>
      <c r="D37" s="16">
        <f t="shared" si="1"/>
        <v>3993.5734646949027</v>
      </c>
    </row>
    <row r="38" spans="1:4" x14ac:dyDescent="0.3">
      <c r="A38" s="16">
        <v>37</v>
      </c>
      <c r="B38" s="16">
        <v>4113</v>
      </c>
      <c r="C38" s="16">
        <f t="shared" si="0"/>
        <v>4015.5459999999998</v>
      </c>
      <c r="D38" s="16">
        <f t="shared" si="1"/>
        <v>4018.0087145720763</v>
      </c>
    </row>
    <row r="39" spans="1:4" x14ac:dyDescent="0.3">
      <c r="A39" s="16">
        <v>38</v>
      </c>
      <c r="B39" s="16">
        <v>4203.7647058823532</v>
      </c>
      <c r="C39" s="16">
        <f t="shared" si="0"/>
        <v>4038.5039999999999</v>
      </c>
      <c r="D39" s="16">
        <f t="shared" si="1"/>
        <v>4042.5934750171264</v>
      </c>
    </row>
    <row r="40" spans="1:4" x14ac:dyDescent="0.3">
      <c r="A40" s="16">
        <v>39</v>
      </c>
      <c r="B40" s="16">
        <v>4299.4705882352937</v>
      </c>
      <c r="C40" s="16">
        <f t="shared" si="0"/>
        <v>4061.462</v>
      </c>
      <c r="D40" s="16">
        <f t="shared" si="1"/>
        <v>4067.3286608318244</v>
      </c>
    </row>
    <row r="41" spans="1:4" x14ac:dyDescent="0.3">
      <c r="A41" s="16">
        <v>40</v>
      </c>
      <c r="B41" s="16">
        <v>4409.3529411764703</v>
      </c>
      <c r="C41" s="16">
        <f t="shared" si="0"/>
        <v>4084.42</v>
      </c>
      <c r="D41" s="16">
        <f t="shared" si="1"/>
        <v>4092.215192415289</v>
      </c>
    </row>
    <row r="42" spans="1:4" x14ac:dyDescent="0.3">
      <c r="A42" s="16">
        <v>41</v>
      </c>
      <c r="C42" s="16">
        <f t="shared" si="0"/>
        <v>4107.3779999999997</v>
      </c>
      <c r="D42" s="16">
        <f t="shared" si="1"/>
        <v>4117.2539957982326</v>
      </c>
    </row>
    <row r="43" spans="1:4" x14ac:dyDescent="0.3">
      <c r="A43" s="16">
        <v>42</v>
      </c>
      <c r="C43" s="16">
        <f t="shared" si="0"/>
        <v>4130.3359999999993</v>
      </c>
      <c r="D43" s="16">
        <f t="shared" si="1"/>
        <v>4142.4460026774177</v>
      </c>
    </row>
    <row r="44" spans="1:4" x14ac:dyDescent="0.3">
      <c r="A44" s="16">
        <v>43</v>
      </c>
      <c r="C44" s="16">
        <f t="shared" si="0"/>
        <v>4153.2939999999999</v>
      </c>
      <c r="D44" s="16">
        <f t="shared" si="1"/>
        <v>4167.7921504503256</v>
      </c>
    </row>
    <row r="45" spans="1:4" x14ac:dyDescent="0.3">
      <c r="A45" s="16">
        <v>44</v>
      </c>
      <c r="C45" s="16">
        <f t="shared" si="0"/>
        <v>4176.2519999999995</v>
      </c>
      <c r="D45" s="16">
        <f t="shared" si="1"/>
        <v>4193.2933822500408</v>
      </c>
    </row>
    <row r="46" spans="1:4" x14ac:dyDescent="0.3">
      <c r="A46" s="16">
        <v>45</v>
      </c>
      <c r="C46" s="16">
        <f t="shared" si="0"/>
        <v>4199.21</v>
      </c>
      <c r="D46" s="16">
        <f t="shared" si="1"/>
        <v>4218.9506469803418</v>
      </c>
    </row>
    <row r="47" spans="1:4" x14ac:dyDescent="0.3">
      <c r="A47" s="16">
        <v>46</v>
      </c>
      <c r="C47" s="16">
        <f t="shared" si="0"/>
        <v>4222.1679999999997</v>
      </c>
      <c r="D47" s="16">
        <f t="shared" si="1"/>
        <v>4244.7648993510074</v>
      </c>
    </row>
    <row r="48" spans="1:4" x14ac:dyDescent="0.3">
      <c r="A48" s="16">
        <v>47</v>
      </c>
      <c r="C48" s="16">
        <f t="shared" si="0"/>
        <v>4245.1260000000002</v>
      </c>
      <c r="D48" s="16">
        <f t="shared" si="1"/>
        <v>4270.7370999133482</v>
      </c>
    </row>
    <row r="49" spans="1:4" x14ac:dyDescent="0.3">
      <c r="A49" s="16">
        <v>48</v>
      </c>
      <c r="C49" s="16">
        <f t="shared" si="0"/>
        <v>4268.0839999999998</v>
      </c>
      <c r="D49" s="16">
        <f t="shared" si="1"/>
        <v>4296.8682150959439</v>
      </c>
    </row>
    <row r="50" spans="1:4" x14ac:dyDescent="0.3">
      <c r="A50" s="16">
        <v>49</v>
      </c>
      <c r="C50" s="16">
        <f t="shared" si="0"/>
        <v>4291.0419999999995</v>
      </c>
      <c r="D50" s="16">
        <f t="shared" si="1"/>
        <v>4323.1592172406044</v>
      </c>
    </row>
    <row r="51" spans="1:4" x14ac:dyDescent="0.3">
      <c r="A51" s="16">
        <v>50</v>
      </c>
      <c r="C51" s="16">
        <f t="shared" si="0"/>
        <v>4314</v>
      </c>
      <c r="D51" s="16">
        <f t="shared" si="1"/>
        <v>4349.6110846385554</v>
      </c>
    </row>
    <row r="52" spans="1:4" x14ac:dyDescent="0.3">
      <c r="A52" s="16">
        <v>51</v>
      </c>
      <c r="C52" s="16">
        <f t="shared" si="0"/>
        <v>4336.9579999999996</v>
      </c>
      <c r="D52" s="16">
        <f t="shared" si="1"/>
        <v>4376.2248015668329</v>
      </c>
    </row>
    <row r="53" spans="1:4" x14ac:dyDescent="0.3">
      <c r="A53" s="16">
        <v>52</v>
      </c>
      <c r="C53" s="16">
        <f t="shared" si="0"/>
        <v>4359.9159999999993</v>
      </c>
      <c r="D53" s="16">
        <f t="shared" si="1"/>
        <v>4403.0013583249138</v>
      </c>
    </row>
    <row r="54" spans="1:4" x14ac:dyDescent="0.3">
      <c r="A54" s="16">
        <v>53</v>
      </c>
      <c r="C54" s="16">
        <f t="shared" si="0"/>
        <v>4382.8739999999998</v>
      </c>
      <c r="D54" s="16">
        <f t="shared" si="1"/>
        <v>4429.9417512715672</v>
      </c>
    </row>
    <row r="55" spans="1:4" x14ac:dyDescent="0.3">
      <c r="A55" s="16">
        <v>54</v>
      </c>
      <c r="C55" s="16">
        <f t="shared" si="0"/>
        <v>4405.8320000000003</v>
      </c>
      <c r="D55" s="16">
        <f t="shared" si="1"/>
        <v>4457.0469828619207</v>
      </c>
    </row>
    <row r="56" spans="1:4" x14ac:dyDescent="0.3">
      <c r="A56" s="16">
        <v>55</v>
      </c>
      <c r="C56" s="16">
        <f t="shared" si="0"/>
        <v>4428.79</v>
      </c>
      <c r="D56" s="16">
        <f t="shared" si="1"/>
        <v>4484.3180616847694</v>
      </c>
    </row>
    <row r="57" spans="1:4" x14ac:dyDescent="0.3">
      <c r="A57" s="16">
        <v>56</v>
      </c>
      <c r="C57" s="16">
        <f t="shared" si="0"/>
        <v>4451.7479999999996</v>
      </c>
      <c r="D57" s="16">
        <f t="shared" si="1"/>
        <v>4511.7560025001048</v>
      </c>
    </row>
    <row r="58" spans="1:4" x14ac:dyDescent="0.3">
      <c r="A58" s="16">
        <v>57</v>
      </c>
      <c r="C58" s="16">
        <f t="shared" si="0"/>
        <v>4474.7060000000001</v>
      </c>
      <c r="D58" s="16">
        <f t="shared" si="1"/>
        <v>4539.3618262768687</v>
      </c>
    </row>
    <row r="59" spans="1:4" x14ac:dyDescent="0.3">
      <c r="A59" s="16">
        <v>58</v>
      </c>
      <c r="C59" s="16">
        <f t="shared" si="0"/>
        <v>4497.6639999999998</v>
      </c>
      <c r="D59" s="16">
        <f t="shared" si="1"/>
        <v>4567.1365602309506</v>
      </c>
    </row>
    <row r="60" spans="1:4" x14ac:dyDescent="0.3">
      <c r="A60" s="16">
        <v>59</v>
      </c>
      <c r="C60" s="16">
        <f t="shared" si="0"/>
        <v>4520.6219999999994</v>
      </c>
      <c r="D60" s="16">
        <f t="shared" si="1"/>
        <v>4595.0812378634037</v>
      </c>
    </row>
    <row r="61" spans="1:4" x14ac:dyDescent="0.3">
      <c r="A61" s="16">
        <v>60</v>
      </c>
      <c r="C61" s="16">
        <f t="shared" si="0"/>
        <v>4543.58</v>
      </c>
      <c r="D61" s="16">
        <f t="shared" si="1"/>
        <v>4623.1968989989091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4AF5-6785-4D3E-A71D-56F640E6F39F}">
  <dimension ref="A1:E61"/>
  <sheetViews>
    <sheetView topLeftCell="A37" workbookViewId="0">
      <selection activeCell="D64" sqref="D64"/>
    </sheetView>
  </sheetViews>
  <sheetFormatPr baseColWidth="10" defaultRowHeight="14.4" x14ac:dyDescent="0.3"/>
  <cols>
    <col min="3" max="3" width="17.6640625" customWidth="1"/>
    <col min="4" max="4" width="32.77734375" customWidth="1"/>
    <col min="5" max="5" width="33.5546875" customWidth="1"/>
  </cols>
  <sheetData>
    <row r="1" spans="1:5" x14ac:dyDescent="0.3">
      <c r="A1" t="s">
        <v>0</v>
      </c>
      <c r="B1" t="s">
        <v>1</v>
      </c>
      <c r="C1" t="s">
        <v>11</v>
      </c>
      <c r="D1" t="s">
        <v>12</v>
      </c>
      <c r="E1" t="s">
        <v>13</v>
      </c>
    </row>
    <row r="2" spans="1:5" x14ac:dyDescent="0.3">
      <c r="A2">
        <v>1</v>
      </c>
      <c r="B2">
        <v>2779</v>
      </c>
    </row>
    <row r="3" spans="1:5" x14ac:dyDescent="0.3">
      <c r="A3">
        <v>2</v>
      </c>
      <c r="B3">
        <v>2870</v>
      </c>
    </row>
    <row r="4" spans="1:5" x14ac:dyDescent="0.3">
      <c r="A4">
        <v>3</v>
      </c>
      <c r="B4">
        <v>3077</v>
      </c>
    </row>
    <row r="5" spans="1:5" x14ac:dyDescent="0.3">
      <c r="A5">
        <v>4</v>
      </c>
      <c r="B5">
        <v>2634</v>
      </c>
    </row>
    <row r="6" spans="1:5" x14ac:dyDescent="0.3">
      <c r="A6">
        <v>5</v>
      </c>
      <c r="B6">
        <v>2845</v>
      </c>
    </row>
    <row r="7" spans="1:5" x14ac:dyDescent="0.3">
      <c r="A7">
        <v>6</v>
      </c>
      <c r="B7">
        <v>3263</v>
      </c>
    </row>
    <row r="8" spans="1:5" x14ac:dyDescent="0.3">
      <c r="A8">
        <v>7</v>
      </c>
      <c r="B8">
        <v>2929</v>
      </c>
    </row>
    <row r="9" spans="1:5" x14ac:dyDescent="0.3">
      <c r="A9">
        <v>8</v>
      </c>
      <c r="B9">
        <v>3188</v>
      </c>
    </row>
    <row r="10" spans="1:5" x14ac:dyDescent="0.3">
      <c r="A10">
        <v>9</v>
      </c>
      <c r="B10">
        <v>2982</v>
      </c>
    </row>
    <row r="11" spans="1:5" x14ac:dyDescent="0.3">
      <c r="A11">
        <v>10</v>
      </c>
      <c r="B11">
        <v>3191</v>
      </c>
    </row>
    <row r="12" spans="1:5" x14ac:dyDescent="0.3">
      <c r="A12">
        <v>11</v>
      </c>
      <c r="B12">
        <v>3368</v>
      </c>
    </row>
    <row r="13" spans="1:5" x14ac:dyDescent="0.3">
      <c r="A13">
        <v>12</v>
      </c>
      <c r="B13">
        <v>3545</v>
      </c>
    </row>
    <row r="14" spans="1:5" x14ac:dyDescent="0.3">
      <c r="A14">
        <v>13</v>
      </c>
      <c r="B14">
        <v>3327</v>
      </c>
    </row>
    <row r="15" spans="1:5" x14ac:dyDescent="0.3">
      <c r="A15">
        <v>14</v>
      </c>
      <c r="B15">
        <v>3464</v>
      </c>
    </row>
    <row r="16" spans="1:5" x14ac:dyDescent="0.3">
      <c r="A16">
        <v>15</v>
      </c>
      <c r="B16">
        <v>3760</v>
      </c>
    </row>
    <row r="17" spans="1:2" x14ac:dyDescent="0.3">
      <c r="A17">
        <v>16</v>
      </c>
      <c r="B17">
        <v>3873</v>
      </c>
    </row>
    <row r="18" spans="1:2" x14ac:dyDescent="0.3">
      <c r="A18">
        <v>17</v>
      </c>
      <c r="B18">
        <v>3980</v>
      </c>
    </row>
    <row r="19" spans="1:2" x14ac:dyDescent="0.3">
      <c r="A19">
        <v>18</v>
      </c>
      <c r="B19">
        <v>4167</v>
      </c>
    </row>
    <row r="20" spans="1:2" x14ac:dyDescent="0.3">
      <c r="A20">
        <v>19</v>
      </c>
      <c r="B20">
        <v>4130</v>
      </c>
    </row>
    <row r="21" spans="1:2" x14ac:dyDescent="0.3">
      <c r="A21">
        <v>20</v>
      </c>
      <c r="B21">
        <v>3950</v>
      </c>
    </row>
    <row r="22" spans="1:2" x14ac:dyDescent="0.3">
      <c r="A22">
        <v>21</v>
      </c>
      <c r="B22">
        <v>3951</v>
      </c>
    </row>
    <row r="23" spans="1:2" x14ac:dyDescent="0.3">
      <c r="A23">
        <v>22</v>
      </c>
      <c r="B23">
        <v>3713</v>
      </c>
    </row>
    <row r="24" spans="1:2" x14ac:dyDescent="0.3">
      <c r="A24">
        <v>23</v>
      </c>
      <c r="B24">
        <v>3932</v>
      </c>
    </row>
    <row r="25" spans="1:2" x14ac:dyDescent="0.3">
      <c r="A25">
        <v>24</v>
      </c>
      <c r="B25">
        <v>4050</v>
      </c>
    </row>
    <row r="26" spans="1:2" x14ac:dyDescent="0.3">
      <c r="A26">
        <v>25</v>
      </c>
      <c r="B26">
        <v>3593</v>
      </c>
    </row>
    <row r="27" spans="1:2" x14ac:dyDescent="0.3">
      <c r="A27">
        <v>26</v>
      </c>
      <c r="B27">
        <v>3248</v>
      </c>
    </row>
    <row r="28" spans="1:2" x14ac:dyDescent="0.3">
      <c r="A28">
        <v>27</v>
      </c>
      <c r="B28">
        <v>3241</v>
      </c>
    </row>
    <row r="29" spans="1:2" x14ac:dyDescent="0.3">
      <c r="A29">
        <v>28</v>
      </c>
      <c r="B29">
        <v>3343</v>
      </c>
    </row>
    <row r="30" spans="1:2" x14ac:dyDescent="0.3">
      <c r="A30">
        <v>29</v>
      </c>
      <c r="B30">
        <v>3359</v>
      </c>
    </row>
    <row r="31" spans="1:2" x14ac:dyDescent="0.3">
      <c r="A31">
        <v>30</v>
      </c>
      <c r="B31">
        <v>3274</v>
      </c>
    </row>
    <row r="32" spans="1:2" x14ac:dyDescent="0.3">
      <c r="A32">
        <v>31</v>
      </c>
      <c r="B32">
        <v>3383</v>
      </c>
    </row>
    <row r="33" spans="1:2" x14ac:dyDescent="0.3">
      <c r="A33">
        <v>32</v>
      </c>
      <c r="B33">
        <v>3352</v>
      </c>
    </row>
    <row r="34" spans="1:2" x14ac:dyDescent="0.3">
      <c r="A34">
        <v>33</v>
      </c>
      <c r="B34">
        <v>3394</v>
      </c>
    </row>
    <row r="35" spans="1:2" x14ac:dyDescent="0.3">
      <c r="A35">
        <v>34</v>
      </c>
      <c r="B35">
        <v>3631</v>
      </c>
    </row>
    <row r="36" spans="1:2" x14ac:dyDescent="0.3">
      <c r="A36">
        <v>35</v>
      </c>
      <c r="B36">
        <v>3969</v>
      </c>
    </row>
    <row r="37" spans="1:2" x14ac:dyDescent="0.3">
      <c r="A37">
        <v>36</v>
      </c>
      <c r="B37">
        <v>4268</v>
      </c>
    </row>
    <row r="38" spans="1:2" x14ac:dyDescent="0.3">
      <c r="A38">
        <v>37</v>
      </c>
      <c r="B38">
        <v>4209</v>
      </c>
    </row>
    <row r="39" spans="1:2" x14ac:dyDescent="0.3">
      <c r="A39">
        <v>38</v>
      </c>
      <c r="B39">
        <v>4169</v>
      </c>
    </row>
    <row r="40" spans="1:2" x14ac:dyDescent="0.3">
      <c r="A40">
        <v>39</v>
      </c>
      <c r="B40">
        <v>4393</v>
      </c>
    </row>
    <row r="41" spans="1:2" x14ac:dyDescent="0.3">
      <c r="A41">
        <v>40</v>
      </c>
      <c r="B41">
        <v>4756</v>
      </c>
    </row>
    <row r="42" spans="1:2" x14ac:dyDescent="0.3">
      <c r="A42">
        <v>41</v>
      </c>
      <c r="B42">
        <v>4514</v>
      </c>
    </row>
    <row r="43" spans="1:2" x14ac:dyDescent="0.3">
      <c r="A43">
        <v>42</v>
      </c>
      <c r="B43">
        <v>4781</v>
      </c>
    </row>
    <row r="44" spans="1:2" x14ac:dyDescent="0.3">
      <c r="A44">
        <v>43</v>
      </c>
      <c r="B44">
        <v>4682</v>
      </c>
    </row>
    <row r="45" spans="1:2" x14ac:dyDescent="0.3">
      <c r="A45">
        <v>44</v>
      </c>
      <c r="B45">
        <v>4949</v>
      </c>
    </row>
    <row r="46" spans="1:2" x14ac:dyDescent="0.3">
      <c r="A46">
        <v>45</v>
      </c>
      <c r="B46">
        <v>4838</v>
      </c>
    </row>
    <row r="47" spans="1:2" x14ac:dyDescent="0.3">
      <c r="A47">
        <v>46</v>
      </c>
      <c r="B47">
        <v>4902</v>
      </c>
    </row>
    <row r="48" spans="1:2" x14ac:dyDescent="0.3">
      <c r="A48">
        <v>47</v>
      </c>
      <c r="B48">
        <v>4901</v>
      </c>
    </row>
    <row r="49" spans="1:5" x14ac:dyDescent="0.3">
      <c r="A49">
        <v>48</v>
      </c>
      <c r="B49">
        <v>5251</v>
      </c>
      <c r="C49">
        <v>5251</v>
      </c>
      <c r="D49" s="4">
        <v>5251</v>
      </c>
      <c r="E49" s="4">
        <v>5251</v>
      </c>
    </row>
    <row r="50" spans="1:5" x14ac:dyDescent="0.3">
      <c r="A50">
        <v>49</v>
      </c>
      <c r="C50">
        <f t="shared" ref="C50:C61" si="0">_xlfn.FORECAST.ETS(A50,$B$2:$B$49,$A$2:$A$49,12,1)</f>
        <v>4710.2132235665695</v>
      </c>
      <c r="D50" s="4">
        <f t="shared" ref="D50:D61" si="1">C50-_xlfn.FORECAST.ETS.CONFINT(A50,$B$2:$B$49,$A$2:$A$49,0.95,12,1)</f>
        <v>4042.0189744634185</v>
      </c>
      <c r="E50" s="4">
        <f t="shared" ref="E50:E61" si="2">C50+_xlfn.FORECAST.ETS.CONFINT(A50,$B$2:$B$49,$A$2:$A$49,0.95,12,1)</f>
        <v>5378.4074726697208</v>
      </c>
    </row>
    <row r="51" spans="1:5" x14ac:dyDescent="0.3">
      <c r="A51">
        <v>50</v>
      </c>
      <c r="C51">
        <f t="shared" si="0"/>
        <v>4620.915764333462</v>
      </c>
      <c r="D51" s="4">
        <f t="shared" si="1"/>
        <v>3947.3544176206246</v>
      </c>
      <c r="E51" s="4">
        <f t="shared" si="2"/>
        <v>5294.4771110462998</v>
      </c>
    </row>
    <row r="52" spans="1:5" x14ac:dyDescent="0.3">
      <c r="A52">
        <v>51</v>
      </c>
      <c r="C52">
        <f t="shared" si="0"/>
        <v>4777.1585238261323</v>
      </c>
      <c r="D52" s="4">
        <f t="shared" si="1"/>
        <v>4098.1886612084272</v>
      </c>
      <c r="E52" s="4">
        <f t="shared" si="2"/>
        <v>5456.1283864438374</v>
      </c>
    </row>
    <row r="53" spans="1:5" x14ac:dyDescent="0.3">
      <c r="A53">
        <v>52</v>
      </c>
      <c r="C53">
        <f t="shared" si="0"/>
        <v>4889.1132968950751</v>
      </c>
      <c r="D53" s="4">
        <f t="shared" si="1"/>
        <v>4204.6938296280241</v>
      </c>
      <c r="E53" s="4">
        <f t="shared" si="2"/>
        <v>5573.5327641621261</v>
      </c>
    </row>
    <row r="54" spans="1:5" x14ac:dyDescent="0.3">
      <c r="A54">
        <v>53</v>
      </c>
      <c r="C54">
        <f t="shared" si="0"/>
        <v>4956.4779222987308</v>
      </c>
      <c r="D54" s="4">
        <f t="shared" si="1"/>
        <v>4266.5680881567996</v>
      </c>
      <c r="E54" s="4">
        <f t="shared" si="2"/>
        <v>5646.3877564406621</v>
      </c>
    </row>
    <row r="55" spans="1:5" x14ac:dyDescent="0.3">
      <c r="A55">
        <v>54</v>
      </c>
      <c r="C55">
        <f t="shared" si="0"/>
        <v>5321.4956127656787</v>
      </c>
      <c r="D55" s="4">
        <f t="shared" si="1"/>
        <v>4626.0549729371496</v>
      </c>
      <c r="E55" s="4">
        <f t="shared" si="2"/>
        <v>6016.9362525942079</v>
      </c>
    </row>
    <row r="56" spans="1:5" x14ac:dyDescent="0.3">
      <c r="A56">
        <v>55</v>
      </c>
      <c r="C56">
        <f t="shared" si="0"/>
        <v>5139.8899630230098</v>
      </c>
      <c r="D56" s="4">
        <f t="shared" si="1"/>
        <v>4438.8783989391322</v>
      </c>
      <c r="E56" s="4">
        <f t="shared" si="2"/>
        <v>5840.9015271068874</v>
      </c>
    </row>
    <row r="57" spans="1:5" x14ac:dyDescent="0.3">
      <c r="A57">
        <v>56</v>
      </c>
      <c r="C57">
        <f t="shared" si="0"/>
        <v>5195.722261480023</v>
      </c>
      <c r="D57" s="4">
        <f t="shared" si="1"/>
        <v>4489.0999715857079</v>
      </c>
      <c r="E57" s="4">
        <f t="shared" si="2"/>
        <v>5902.3445513743382</v>
      </c>
    </row>
    <row r="58" spans="1:5" x14ac:dyDescent="0.3">
      <c r="A58">
        <v>57</v>
      </c>
      <c r="C58">
        <f t="shared" si="0"/>
        <v>5115.4521286902591</v>
      </c>
      <c r="D58" s="4">
        <f t="shared" si="1"/>
        <v>4403.1796251631986</v>
      </c>
      <c r="E58" s="4">
        <f t="shared" si="2"/>
        <v>5827.7246322173196</v>
      </c>
    </row>
    <row r="59" spans="1:5" x14ac:dyDescent="0.3">
      <c r="A59">
        <v>58</v>
      </c>
      <c r="C59">
        <f t="shared" si="0"/>
        <v>5106.8707072852249</v>
      </c>
      <c r="D59" s="4">
        <f t="shared" si="1"/>
        <v>4388.908812709964</v>
      </c>
      <c r="E59" s="4">
        <f t="shared" si="2"/>
        <v>5824.8326018604857</v>
      </c>
    </row>
    <row r="60" spans="1:5" x14ac:dyDescent="0.3">
      <c r="A60">
        <v>59</v>
      </c>
      <c r="C60">
        <f t="shared" si="0"/>
        <v>5321.6482995941769</v>
      </c>
      <c r="D60" s="4">
        <f t="shared" si="1"/>
        <v>4597.9581435973105</v>
      </c>
      <c r="E60" s="4">
        <f t="shared" si="2"/>
        <v>6045.3384555910434</v>
      </c>
    </row>
    <row r="61" spans="1:5" x14ac:dyDescent="0.3">
      <c r="A61">
        <v>60</v>
      </c>
      <c r="C61">
        <f t="shared" si="0"/>
        <v>5495.1355811792037</v>
      </c>
      <c r="D61" s="4">
        <f t="shared" si="1"/>
        <v>4765.6785970315241</v>
      </c>
      <c r="E61" s="4">
        <f t="shared" si="2"/>
        <v>6224.5925653268832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 d</vt:lpstr>
      <vt:lpstr>b</vt:lpstr>
      <vt:lpstr>c</vt:lpstr>
      <vt:lpstr>e</vt:lpstr>
      <vt:lpstr>f</vt:lpstr>
      <vt:lpstr>Prev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A. Angulo Bustios</dc:creator>
  <cp:lastModifiedBy>César Armando Angulo Bustios</cp:lastModifiedBy>
  <dcterms:created xsi:type="dcterms:W3CDTF">2017-07-07T16:12:53Z</dcterms:created>
  <dcterms:modified xsi:type="dcterms:W3CDTF">2024-06-28T15:06:13Z</dcterms:modified>
</cp:coreProperties>
</file>