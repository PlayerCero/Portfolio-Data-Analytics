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User\Desktop\PROYECTOS\Nueva carpeta (2)\"/>
    </mc:Choice>
  </mc:AlternateContent>
  <xr:revisionPtr revIDLastSave="0" documentId="8_{8B2B180B-A1B5-4B72-A9B2-74B80736881C}" xr6:coauthVersionLast="47" xr6:coauthVersionMax="47" xr10:uidLastSave="{00000000-0000-0000-0000-000000000000}"/>
  <bookViews>
    <workbookView xWindow="3634" yWindow="3634" windowWidth="24686" windowHeight="13055" activeTab="7" xr2:uid="{A8FD20A6-DA84-4FEA-8C80-6481E7AC96C3}"/>
  </bookViews>
  <sheets>
    <sheet name="Ejercicio 1" sheetId="1" r:id="rId1"/>
    <sheet name="Informe 1" sheetId="10" r:id="rId2"/>
    <sheet name="Resultados 1" sheetId="17" r:id="rId3"/>
    <sheet name="Límites 1" sheetId="11" r:id="rId4"/>
    <sheet name="Ejercicio 2" sheetId="2" r:id="rId5"/>
    <sheet name="Informe 2" sheetId="12" r:id="rId6"/>
    <sheet name="Resultados 2" sheetId="18" r:id="rId7"/>
    <sheet name="Límites 2" sheetId="13" r:id="rId8"/>
    <sheet name="Ejercicio 3" sheetId="3" r:id="rId9"/>
    <sheet name="Informe 3" sheetId="15" r:id="rId10"/>
    <sheet name="Resultados 3" sheetId="19" r:id="rId11"/>
    <sheet name="Límites 3" sheetId="16" r:id="rId12"/>
  </sheets>
  <definedNames>
    <definedName name="solver_adj" localSheetId="0" hidden="1">'Ejercicio 1'!#REF!</definedName>
    <definedName name="solver_adj" localSheetId="4" hidden="1">'Ejercicio 2'!#REF!</definedName>
    <definedName name="solver_adj" localSheetId="8" hidden="1">'Ejercicio 3'!#REF!</definedName>
    <definedName name="solver_adj" localSheetId="2" hidden="1">'Resultados 1'!$E$143:$H$143</definedName>
    <definedName name="solver_adj" localSheetId="6" hidden="1">'Resultados 2'!$F$36:$G$36</definedName>
    <definedName name="solver_adj" localSheetId="10" hidden="1">'Resultados 3'!$F$36:$G$36</definedName>
    <definedName name="solver_cvg" localSheetId="0" hidden="1">0.0001</definedName>
    <definedName name="solver_cvg" localSheetId="4" hidden="1">0.0001</definedName>
    <definedName name="solver_cvg" localSheetId="8" hidden="1">0.0001</definedName>
    <definedName name="solver_cvg" localSheetId="2" hidden="1">0.0001</definedName>
    <definedName name="solver_cvg" localSheetId="6" hidden="1">0.0001</definedName>
    <definedName name="solver_cvg" localSheetId="10" hidden="1">0.0001</definedName>
    <definedName name="solver_drv" localSheetId="0" hidden="1">1</definedName>
    <definedName name="solver_drv" localSheetId="4" hidden="1">1</definedName>
    <definedName name="solver_drv" localSheetId="8" hidden="1">1</definedName>
    <definedName name="solver_drv" localSheetId="2" hidden="1">1</definedName>
    <definedName name="solver_drv" localSheetId="6" hidden="1">1</definedName>
    <definedName name="solver_drv" localSheetId="10" hidden="1">1</definedName>
    <definedName name="solver_eng" localSheetId="0" hidden="1">2</definedName>
    <definedName name="solver_eng" localSheetId="4" hidden="1">2</definedName>
    <definedName name="solver_eng" localSheetId="8" hidden="1">2</definedName>
    <definedName name="solver_eng" localSheetId="2" hidden="1">2</definedName>
    <definedName name="solver_eng" localSheetId="6" hidden="1">2</definedName>
    <definedName name="solver_eng" localSheetId="10" hidden="1">2</definedName>
    <definedName name="solver_est" localSheetId="0" hidden="1">1</definedName>
    <definedName name="solver_est" localSheetId="4" hidden="1">1</definedName>
    <definedName name="solver_est" localSheetId="8" hidden="1">1</definedName>
    <definedName name="solver_est" localSheetId="2" hidden="1">1</definedName>
    <definedName name="solver_est" localSheetId="6" hidden="1">1</definedName>
    <definedName name="solver_est" localSheetId="10" hidden="1">1</definedName>
    <definedName name="solver_itr" localSheetId="0" hidden="1">2147483647</definedName>
    <definedName name="solver_itr" localSheetId="4" hidden="1">2147483647</definedName>
    <definedName name="solver_itr" localSheetId="8" hidden="1">2147483647</definedName>
    <definedName name="solver_itr" localSheetId="2" hidden="1">2147483647</definedName>
    <definedName name="solver_itr" localSheetId="6" hidden="1">2147483647</definedName>
    <definedName name="solver_itr" localSheetId="10" hidden="1">2147483647</definedName>
    <definedName name="solver_lhs1" localSheetId="0" hidden="1">'Ejercicio 1'!#REF!</definedName>
    <definedName name="solver_lhs1" localSheetId="4" hidden="1">'Ejercicio 2'!#REF!</definedName>
    <definedName name="solver_lhs1" localSheetId="8" hidden="1">'Ejercicio 3'!#REF!</definedName>
    <definedName name="solver_lhs1" localSheetId="2" hidden="1">'Resultados 1'!$E$143:$H$143</definedName>
    <definedName name="solver_lhs1" localSheetId="6" hidden="1">'Resultados 2'!$I$38:$I$42</definedName>
    <definedName name="solver_lhs1" localSheetId="10" hidden="1">'Resultados 3'!$I$38:$I$41</definedName>
    <definedName name="solver_lhs2" localSheetId="0" hidden="1">'Ejercicio 1'!#REF!</definedName>
    <definedName name="solver_lhs2" localSheetId="4" hidden="1">'Ejercicio 2'!#REF!</definedName>
    <definedName name="solver_lhs2" localSheetId="8" hidden="1">'Ejercicio 3'!#REF!</definedName>
    <definedName name="solver_lhs2" localSheetId="2" hidden="1">'Resultados 1'!$J$145:$J$147</definedName>
    <definedName name="solver_lhs2" localSheetId="6" hidden="1">'Resultados 2'!$I$130:$I$134</definedName>
    <definedName name="solver_lhs2" localSheetId="10" hidden="1">'Resultados 3'!$I$42</definedName>
    <definedName name="solver_lhs3" localSheetId="0" hidden="1">'Ejercicio 1'!#REF!</definedName>
    <definedName name="solver_lhs3" localSheetId="8" hidden="1">'Ejercicio 3'!#REF!</definedName>
    <definedName name="solver_lhs3" localSheetId="2" hidden="1">'Resultados 1'!$J$148</definedName>
    <definedName name="solver_lhs3" localSheetId="10" hidden="1">'Resultados 3'!$K$84</definedName>
    <definedName name="solver_mip" localSheetId="0" hidden="1">2147483647</definedName>
    <definedName name="solver_mip" localSheetId="4" hidden="1">2147483647</definedName>
    <definedName name="solver_mip" localSheetId="8" hidden="1">2147483647</definedName>
    <definedName name="solver_mip" localSheetId="2" hidden="1">2147483647</definedName>
    <definedName name="solver_mip" localSheetId="6" hidden="1">2147483647</definedName>
    <definedName name="solver_mip" localSheetId="10" hidden="1">2147483647</definedName>
    <definedName name="solver_mni" localSheetId="0" hidden="1">30</definedName>
    <definedName name="solver_mni" localSheetId="4" hidden="1">30</definedName>
    <definedName name="solver_mni" localSheetId="8" hidden="1">30</definedName>
    <definedName name="solver_mni" localSheetId="2" hidden="1">30</definedName>
    <definedName name="solver_mni" localSheetId="6" hidden="1">30</definedName>
    <definedName name="solver_mni" localSheetId="10" hidden="1">30</definedName>
    <definedName name="solver_mrt" localSheetId="0" hidden="1">0.075</definedName>
    <definedName name="solver_mrt" localSheetId="4" hidden="1">0.075</definedName>
    <definedName name="solver_mrt" localSheetId="8" hidden="1">0.075</definedName>
    <definedName name="solver_mrt" localSheetId="2" hidden="1">0.075</definedName>
    <definedName name="solver_mrt" localSheetId="6" hidden="1">0.075</definedName>
    <definedName name="solver_mrt" localSheetId="10" hidden="1">0.075</definedName>
    <definedName name="solver_msl" localSheetId="0" hidden="1">2</definedName>
    <definedName name="solver_msl" localSheetId="4" hidden="1">2</definedName>
    <definedName name="solver_msl" localSheetId="8" hidden="1">2</definedName>
    <definedName name="solver_msl" localSheetId="2" hidden="1">2</definedName>
    <definedName name="solver_msl" localSheetId="6" hidden="1">2</definedName>
    <definedName name="solver_msl" localSheetId="10" hidden="1">2</definedName>
    <definedName name="solver_neg" localSheetId="0" hidden="1">1</definedName>
    <definedName name="solver_neg" localSheetId="4" hidden="1">1</definedName>
    <definedName name="solver_neg" localSheetId="8" hidden="1">1</definedName>
    <definedName name="solver_neg" localSheetId="2" hidden="1">1</definedName>
    <definedName name="solver_neg" localSheetId="6" hidden="1">1</definedName>
    <definedName name="solver_neg" localSheetId="10" hidden="1">1</definedName>
    <definedName name="solver_nod" localSheetId="0" hidden="1">2147483647</definedName>
    <definedName name="solver_nod" localSheetId="4" hidden="1">2147483647</definedName>
    <definedName name="solver_nod" localSheetId="8" hidden="1">2147483647</definedName>
    <definedName name="solver_nod" localSheetId="2" hidden="1">2147483647</definedName>
    <definedName name="solver_nod" localSheetId="6" hidden="1">2147483647</definedName>
    <definedName name="solver_nod" localSheetId="10" hidden="1">2147483647</definedName>
    <definedName name="solver_num" localSheetId="0" hidden="1">3</definedName>
    <definedName name="solver_num" localSheetId="4" hidden="1">1</definedName>
    <definedName name="solver_num" localSheetId="8" hidden="1">2</definedName>
    <definedName name="solver_num" localSheetId="2" hidden="1">3</definedName>
    <definedName name="solver_num" localSheetId="6" hidden="1">1</definedName>
    <definedName name="solver_num" localSheetId="10" hidden="1">2</definedName>
    <definedName name="solver_nwt" localSheetId="0" hidden="1">1</definedName>
    <definedName name="solver_nwt" localSheetId="4" hidden="1">1</definedName>
    <definedName name="solver_nwt" localSheetId="8" hidden="1">1</definedName>
    <definedName name="solver_nwt" localSheetId="2" hidden="1">1</definedName>
    <definedName name="solver_nwt" localSheetId="6" hidden="1">1</definedName>
    <definedName name="solver_nwt" localSheetId="10" hidden="1">1</definedName>
    <definedName name="solver_opt" localSheetId="0" hidden="1">'Ejercicio 1'!#REF!</definedName>
    <definedName name="solver_opt" localSheetId="4" hidden="1">'Ejercicio 2'!#REF!</definedName>
    <definedName name="solver_opt" localSheetId="8" hidden="1">'Ejercicio 3'!#REF!</definedName>
    <definedName name="solver_opt" localSheetId="2" hidden="1">'Resultados 1'!$I$144</definedName>
    <definedName name="solver_opt" localSheetId="6" hidden="1">'Resultados 2'!$H$37</definedName>
    <definedName name="solver_opt" localSheetId="10" hidden="1">'Resultados 3'!$H$37</definedName>
    <definedName name="solver_pre" localSheetId="0" hidden="1">0.000001</definedName>
    <definedName name="solver_pre" localSheetId="4" hidden="1">0.000001</definedName>
    <definedName name="solver_pre" localSheetId="8" hidden="1">0.000001</definedName>
    <definedName name="solver_pre" localSheetId="2" hidden="1">0.000001</definedName>
    <definedName name="solver_pre" localSheetId="6" hidden="1">0.000001</definedName>
    <definedName name="solver_pre" localSheetId="10" hidden="1">0.000001</definedName>
    <definedName name="solver_rbv" localSheetId="0" hidden="1">1</definedName>
    <definedName name="solver_rbv" localSheetId="4" hidden="1">1</definedName>
    <definedName name="solver_rbv" localSheetId="8" hidden="1">1</definedName>
    <definedName name="solver_rbv" localSheetId="2" hidden="1">1</definedName>
    <definedName name="solver_rbv" localSheetId="6" hidden="1">1</definedName>
    <definedName name="solver_rbv" localSheetId="10" hidden="1">1</definedName>
    <definedName name="solver_rel1" localSheetId="0" hidden="1">3</definedName>
    <definedName name="solver_rel1" localSheetId="4" hidden="1">1</definedName>
    <definedName name="solver_rel1" localSheetId="8" hidden="1">1</definedName>
    <definedName name="solver_rel1" localSheetId="2" hidden="1">3</definedName>
    <definedName name="solver_rel1" localSheetId="6" hidden="1">1</definedName>
    <definedName name="solver_rel1" localSheetId="10" hidden="1">1</definedName>
    <definedName name="solver_rel2" localSheetId="0" hidden="1">3</definedName>
    <definedName name="solver_rel2" localSheetId="4" hidden="1">1</definedName>
    <definedName name="solver_rel2" localSheetId="8" hidden="1">3</definedName>
    <definedName name="solver_rel2" localSheetId="2" hidden="1">3</definedName>
    <definedName name="solver_rel2" localSheetId="6" hidden="1">1</definedName>
    <definedName name="solver_rel2" localSheetId="10" hidden="1">3</definedName>
    <definedName name="solver_rel3" localSheetId="0" hidden="1">2</definedName>
    <definedName name="solver_rel3" localSheetId="8" hidden="1">3</definedName>
    <definedName name="solver_rel3" localSheetId="2" hidden="1">2</definedName>
    <definedName name="solver_rel3" localSheetId="10" hidden="1">3</definedName>
    <definedName name="solver_rhs1" localSheetId="0" hidden="1">0</definedName>
    <definedName name="solver_rhs1" localSheetId="4" hidden="1">'Ejercicio 2'!#REF!</definedName>
    <definedName name="solver_rhs1" localSheetId="8" hidden="1">'Ejercicio 3'!#REF!</definedName>
    <definedName name="solver_rhs1" localSheetId="2" hidden="1">0</definedName>
    <definedName name="solver_rhs1" localSheetId="6" hidden="1">'Resultados 2'!$J$38:$J$42</definedName>
    <definedName name="solver_rhs1" localSheetId="10" hidden="1">'Resultados 3'!$J$38:$J$41</definedName>
    <definedName name="solver_rhs2" localSheetId="0" hidden="1">'Ejercicio 1'!#REF!</definedName>
    <definedName name="solver_rhs2" localSheetId="4" hidden="1">'Ejercicio 2'!#REF!</definedName>
    <definedName name="solver_rhs2" localSheetId="8" hidden="1">'Ejercicio 3'!#REF!</definedName>
    <definedName name="solver_rhs2" localSheetId="2" hidden="1">'Resultados 1'!$K$145:$K$147</definedName>
    <definedName name="solver_rhs2" localSheetId="6" hidden="1">'Resultados 2'!$J$130:$J$134</definedName>
    <definedName name="solver_rhs2" localSheetId="10" hidden="1">'Resultados 3'!$J$42</definedName>
    <definedName name="solver_rhs3" localSheetId="0" hidden="1">'Ejercicio 1'!#REF!</definedName>
    <definedName name="solver_rhs3" localSheetId="8" hidden="1">'Ejercicio 3'!#REF!</definedName>
    <definedName name="solver_rhs3" localSheetId="2" hidden="1">'Resultados 1'!$K$148</definedName>
    <definedName name="solver_rhs3" localSheetId="10" hidden="1">'Resultados 3'!$L$84</definedName>
    <definedName name="solver_rlx" localSheetId="0" hidden="1">2</definedName>
    <definedName name="solver_rlx" localSheetId="4" hidden="1">2</definedName>
    <definedName name="solver_rlx" localSheetId="8" hidden="1">2</definedName>
    <definedName name="solver_rlx" localSheetId="2" hidden="1">2</definedName>
    <definedName name="solver_rlx" localSheetId="6" hidden="1">2</definedName>
    <definedName name="solver_rlx" localSheetId="10" hidden="1">2</definedName>
    <definedName name="solver_rsd" localSheetId="0" hidden="1">0</definedName>
    <definedName name="solver_rsd" localSheetId="4" hidden="1">0</definedName>
    <definedName name="solver_rsd" localSheetId="8" hidden="1">0</definedName>
    <definedName name="solver_rsd" localSheetId="2" hidden="1">0</definedName>
    <definedName name="solver_rsd" localSheetId="6" hidden="1">0</definedName>
    <definedName name="solver_rsd" localSheetId="10" hidden="1">0</definedName>
    <definedName name="solver_scl" localSheetId="0" hidden="1">1</definedName>
    <definedName name="solver_scl" localSheetId="4" hidden="1">1</definedName>
    <definedName name="solver_scl" localSheetId="8" hidden="1">1</definedName>
    <definedName name="solver_scl" localSheetId="2" hidden="1">1</definedName>
    <definedName name="solver_scl" localSheetId="6" hidden="1">1</definedName>
    <definedName name="solver_scl" localSheetId="10" hidden="1">1</definedName>
    <definedName name="solver_sho" localSheetId="0" hidden="1">2</definedName>
    <definedName name="solver_sho" localSheetId="4" hidden="1">2</definedName>
    <definedName name="solver_sho" localSheetId="8" hidden="1">2</definedName>
    <definedName name="solver_sho" localSheetId="3" hidden="1">2</definedName>
    <definedName name="solver_sho" localSheetId="7" hidden="1">2</definedName>
    <definedName name="solver_sho" localSheetId="11" hidden="1">2</definedName>
    <definedName name="solver_sho" localSheetId="2" hidden="1">2</definedName>
    <definedName name="solver_sho" localSheetId="6" hidden="1">2</definedName>
    <definedName name="solver_sho" localSheetId="10" hidden="1">2</definedName>
    <definedName name="solver_ssz" localSheetId="0" hidden="1">100</definedName>
    <definedName name="solver_ssz" localSheetId="4" hidden="1">100</definedName>
    <definedName name="solver_ssz" localSheetId="8" hidden="1">100</definedName>
    <definedName name="solver_ssz" localSheetId="2" hidden="1">100</definedName>
    <definedName name="solver_ssz" localSheetId="6" hidden="1">100</definedName>
    <definedName name="solver_ssz" localSheetId="10" hidden="1">100</definedName>
    <definedName name="solver_tim" localSheetId="0" hidden="1">2147483647</definedName>
    <definedName name="solver_tim" localSheetId="4" hidden="1">2147483647</definedName>
    <definedName name="solver_tim" localSheetId="8" hidden="1">2147483647</definedName>
    <definedName name="solver_tim" localSheetId="2" hidden="1">2147483647</definedName>
    <definedName name="solver_tim" localSheetId="6" hidden="1">2147483647</definedName>
    <definedName name="solver_tim" localSheetId="10" hidden="1">2147483647</definedName>
    <definedName name="solver_tol" localSheetId="0" hidden="1">0.01</definedName>
    <definedName name="solver_tol" localSheetId="4" hidden="1">0.01</definedName>
    <definedName name="solver_tol" localSheetId="8" hidden="1">0.01</definedName>
    <definedName name="solver_tol" localSheetId="2" hidden="1">0.01</definedName>
    <definedName name="solver_tol" localSheetId="6" hidden="1">0.01</definedName>
    <definedName name="solver_tol" localSheetId="10" hidden="1">0.01</definedName>
    <definedName name="solver_typ" localSheetId="0" hidden="1">2</definedName>
    <definedName name="solver_typ" localSheetId="4" hidden="1">1</definedName>
    <definedName name="solver_typ" localSheetId="8" hidden="1">1</definedName>
    <definedName name="solver_typ" localSheetId="2" hidden="1">2</definedName>
    <definedName name="solver_typ" localSheetId="6" hidden="1">1</definedName>
    <definedName name="solver_typ" localSheetId="10" hidden="1">1</definedName>
    <definedName name="solver_val" localSheetId="0" hidden="1">0</definedName>
    <definedName name="solver_val" localSheetId="4" hidden="1">0</definedName>
    <definedName name="solver_val" localSheetId="8" hidden="1">0</definedName>
    <definedName name="solver_val" localSheetId="2" hidden="1">0</definedName>
    <definedName name="solver_val" localSheetId="6" hidden="1">0</definedName>
    <definedName name="solver_val" localSheetId="10" hidden="1">0</definedName>
    <definedName name="solver_ver" localSheetId="0" hidden="1">3</definedName>
    <definedName name="solver_ver" localSheetId="4" hidden="1">3</definedName>
    <definedName name="solver_ver" localSheetId="8" hidden="1">3</definedName>
    <definedName name="solver_ver" localSheetId="2" hidden="1">3</definedName>
    <definedName name="solver_ver" localSheetId="6" hidden="1">3</definedName>
    <definedName name="solver_ver" localSheetId="1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7" i="17" l="1"/>
  <c r="X46" i="17"/>
  <c r="P47" i="17"/>
  <c r="P46" i="17"/>
  <c r="H48" i="17"/>
  <c r="H47" i="17"/>
  <c r="H46" i="17"/>
  <c r="L41" i="17"/>
  <c r="X48" i="17" l="1"/>
  <c r="P48" i="17"/>
  <c r="J79" i="19" l="1"/>
  <c r="L84" i="19"/>
  <c r="I84" i="19"/>
  <c r="H84" i="19"/>
  <c r="K84" i="19" s="1"/>
  <c r="N84" i="19" s="1"/>
  <c r="L83" i="19"/>
  <c r="K83" i="19"/>
  <c r="I83" i="19"/>
  <c r="H83" i="19"/>
  <c r="L82" i="19"/>
  <c r="I82" i="19"/>
  <c r="H82" i="19"/>
  <c r="K82" i="19" s="1"/>
  <c r="N82" i="19" s="1"/>
  <c r="L81" i="19"/>
  <c r="I81" i="19"/>
  <c r="H81" i="19"/>
  <c r="K81" i="19" s="1"/>
  <c r="L80" i="19"/>
  <c r="I80" i="19"/>
  <c r="H80" i="19"/>
  <c r="J42" i="19"/>
  <c r="G42" i="19"/>
  <c r="F42" i="19"/>
  <c r="I42" i="19" s="1"/>
  <c r="L42" i="19" s="1"/>
  <c r="B69" i="19" s="1"/>
  <c r="J41" i="19"/>
  <c r="I41" i="19"/>
  <c r="G41" i="19"/>
  <c r="F41" i="19"/>
  <c r="J40" i="19"/>
  <c r="G40" i="19"/>
  <c r="F40" i="19"/>
  <c r="I40" i="19" s="1"/>
  <c r="J39" i="19"/>
  <c r="G39" i="19"/>
  <c r="F39" i="19"/>
  <c r="I39" i="19" s="1"/>
  <c r="L39" i="19" s="1"/>
  <c r="B66" i="19" s="1"/>
  <c r="J38" i="19"/>
  <c r="G38" i="19"/>
  <c r="F38" i="19"/>
  <c r="I38" i="19" s="1"/>
  <c r="K13" i="19"/>
  <c r="I79" i="19" s="1"/>
  <c r="I13" i="19"/>
  <c r="F37" i="19" s="1"/>
  <c r="J134" i="18"/>
  <c r="G134" i="18"/>
  <c r="I134" i="18" s="1"/>
  <c r="F134" i="18"/>
  <c r="J133" i="18"/>
  <c r="G133" i="18"/>
  <c r="I133" i="18" s="1"/>
  <c r="F133" i="18"/>
  <c r="J132" i="18"/>
  <c r="G132" i="18"/>
  <c r="F132" i="18"/>
  <c r="I132" i="18" s="1"/>
  <c r="J131" i="18"/>
  <c r="G131" i="18"/>
  <c r="F131" i="18"/>
  <c r="I131" i="18" s="1"/>
  <c r="L131" i="18" s="1"/>
  <c r="J130" i="18"/>
  <c r="G130" i="18"/>
  <c r="I130" i="18" s="1"/>
  <c r="F130" i="18"/>
  <c r="G129" i="18"/>
  <c r="F129" i="18"/>
  <c r="H129" i="18" s="1"/>
  <c r="J117" i="18"/>
  <c r="G117" i="18"/>
  <c r="F117" i="18"/>
  <c r="G116" i="18"/>
  <c r="I116" i="18" s="1"/>
  <c r="L116" i="18" s="1"/>
  <c r="F116" i="18"/>
  <c r="G115" i="18"/>
  <c r="I115" i="18" s="1"/>
  <c r="L115" i="18" s="1"/>
  <c r="F115" i="18"/>
  <c r="J114" i="18"/>
  <c r="G114" i="18"/>
  <c r="F114" i="18"/>
  <c r="I114" i="18" s="1"/>
  <c r="J113" i="18"/>
  <c r="G113" i="18"/>
  <c r="F113" i="18"/>
  <c r="I113" i="18" s="1"/>
  <c r="G112" i="18"/>
  <c r="F112" i="18"/>
  <c r="H112" i="18" s="1"/>
  <c r="H99" i="18"/>
  <c r="F99" i="18"/>
  <c r="H95" i="18"/>
  <c r="K95" i="18" s="1"/>
  <c r="H81" i="18"/>
  <c r="F81" i="18"/>
  <c r="H77" i="18"/>
  <c r="F77" i="18"/>
  <c r="H73" i="18"/>
  <c r="F73" i="18" s="1"/>
  <c r="H69" i="18"/>
  <c r="F69" i="18"/>
  <c r="H65" i="18"/>
  <c r="F65" i="18" s="1"/>
  <c r="J42" i="18"/>
  <c r="G42" i="18"/>
  <c r="F42" i="18"/>
  <c r="I42" i="18" s="1"/>
  <c r="J41" i="18"/>
  <c r="G41" i="18"/>
  <c r="F41" i="18"/>
  <c r="I41" i="18" s="1"/>
  <c r="J40" i="18"/>
  <c r="G40" i="18"/>
  <c r="F40" i="18"/>
  <c r="I40" i="18" s="1"/>
  <c r="J39" i="18"/>
  <c r="G39" i="18"/>
  <c r="I39" i="18" s="1"/>
  <c r="F39" i="18"/>
  <c r="J38" i="18"/>
  <c r="G38" i="18"/>
  <c r="I38" i="18" s="1"/>
  <c r="F38" i="18"/>
  <c r="G37" i="18"/>
  <c r="H37" i="18" s="1"/>
  <c r="F37" i="18"/>
  <c r="J148" i="17"/>
  <c r="M148" i="17" s="1"/>
  <c r="M147" i="17"/>
  <c r="K147" i="17"/>
  <c r="J147" i="17"/>
  <c r="J146" i="17"/>
  <c r="M146" i="17" s="1"/>
  <c r="J145" i="17"/>
  <c r="M145" i="17" s="1"/>
  <c r="H144" i="17"/>
  <c r="G144" i="17"/>
  <c r="I144" i="17" s="1"/>
  <c r="G152" i="17" s="1"/>
  <c r="F144" i="17"/>
  <c r="E144" i="17"/>
  <c r="J127" i="17"/>
  <c r="M127" i="17" s="1"/>
  <c r="J126" i="17"/>
  <c r="M126" i="17" s="1"/>
  <c r="J125" i="17"/>
  <c r="M125" i="17" s="1"/>
  <c r="J124" i="17"/>
  <c r="M124" i="17" s="1"/>
  <c r="I123" i="17"/>
  <c r="G131" i="17" s="1"/>
  <c r="H123" i="17"/>
  <c r="G123" i="17"/>
  <c r="F123" i="17"/>
  <c r="E123" i="17"/>
  <c r="H111" i="17"/>
  <c r="K111" i="17" s="1"/>
  <c r="F111" i="17"/>
  <c r="H107" i="17"/>
  <c r="F107" i="17" s="1"/>
  <c r="H103" i="17"/>
  <c r="K103" i="17" s="1"/>
  <c r="F103" i="17"/>
  <c r="H99" i="17"/>
  <c r="F99" i="17" s="1"/>
  <c r="K83" i="17"/>
  <c r="H83" i="17"/>
  <c r="F83" i="17"/>
  <c r="K77" i="17"/>
  <c r="K79" i="17" s="1"/>
  <c r="H77" i="17"/>
  <c r="H79" i="17" s="1"/>
  <c r="F77" i="17"/>
  <c r="K73" i="17"/>
  <c r="K71" i="17"/>
  <c r="H71" i="17"/>
  <c r="H73" i="17" s="1"/>
  <c r="F71" i="17"/>
  <c r="F73" i="17" s="1"/>
  <c r="K67" i="17"/>
  <c r="F67" i="17"/>
  <c r="K65" i="17"/>
  <c r="H65" i="17"/>
  <c r="H67" i="17" s="1"/>
  <c r="F65" i="17"/>
  <c r="J42" i="17"/>
  <c r="I42" i="17"/>
  <c r="J41" i="17"/>
  <c r="G41" i="17"/>
  <c r="F41" i="17"/>
  <c r="E41" i="17"/>
  <c r="D41" i="17"/>
  <c r="I41" i="17" s="1"/>
  <c r="T35" i="17" s="1"/>
  <c r="R37" i="17" s="1"/>
  <c r="G40" i="17"/>
  <c r="F40" i="17"/>
  <c r="E40" i="17"/>
  <c r="D40" i="17"/>
  <c r="I40" i="17" s="1"/>
  <c r="G39" i="17"/>
  <c r="F39" i="17"/>
  <c r="E39" i="17"/>
  <c r="D39" i="17"/>
  <c r="G38" i="17"/>
  <c r="F38" i="17"/>
  <c r="E38" i="17"/>
  <c r="D38" i="17"/>
  <c r="N24" i="17"/>
  <c r="N22" i="17"/>
  <c r="J40" i="17" s="1"/>
  <c r="N20" i="17"/>
  <c r="J39" i="17" s="1"/>
  <c r="K107" i="17" l="1"/>
  <c r="L42" i="17"/>
  <c r="I39" i="17"/>
  <c r="H38" i="17"/>
  <c r="G130" i="17" s="1"/>
  <c r="G132" i="17" s="1"/>
  <c r="L40" i="17"/>
  <c r="L38" i="18"/>
  <c r="I117" i="18"/>
  <c r="L133" i="18"/>
  <c r="L114" i="18"/>
  <c r="L132" i="18"/>
  <c r="L40" i="18"/>
  <c r="L42" i="18"/>
  <c r="L40" i="19"/>
  <c r="B67" i="19" s="1"/>
  <c r="K80" i="19"/>
  <c r="L38" i="19"/>
  <c r="B65" i="19" s="1"/>
  <c r="N81" i="19"/>
  <c r="L41" i="19"/>
  <c r="B68" i="19" s="1"/>
  <c r="N83" i="19"/>
  <c r="N80" i="19"/>
  <c r="G37" i="19"/>
  <c r="H37" i="19" s="1"/>
  <c r="H79" i="19"/>
  <c r="L113" i="18"/>
  <c r="L130" i="18"/>
  <c r="L41" i="18"/>
  <c r="L117" i="18"/>
  <c r="L39" i="18"/>
  <c r="L134" i="18"/>
  <c r="K73" i="18"/>
  <c r="L39" i="17"/>
  <c r="G151" i="17"/>
  <c r="G153" i="17" s="1"/>
</calcChain>
</file>

<file path=xl/sharedStrings.xml><?xml version="1.0" encoding="utf-8"?>
<sst xmlns="http://schemas.openxmlformats.org/spreadsheetml/2006/main" count="686" uniqueCount="165">
  <si>
    <t>PLANTEAMIENTO</t>
  </si>
  <si>
    <t>FUNCIÓN OBJETIVO</t>
  </si>
  <si>
    <t>MAX Z</t>
  </si>
  <si>
    <t>=</t>
  </si>
  <si>
    <t>+</t>
  </si>
  <si>
    <t>RESTRICCIONES</t>
  </si>
  <si>
    <t>:</t>
  </si>
  <si>
    <t>≤</t>
  </si>
  <si>
    <t>RESOLUCIÓN</t>
  </si>
  <si>
    <t>MIN Z</t>
  </si>
  <si>
    <t>F1</t>
  </si>
  <si>
    <t>F2</t>
  </si>
  <si>
    <t>F3</t>
  </si>
  <si>
    <t>F4</t>
  </si>
  <si>
    <t>SO</t>
  </si>
  <si>
    <t>R1</t>
  </si>
  <si>
    <t>R2</t>
  </si>
  <si>
    <t>R3</t>
  </si>
  <si>
    <t>MIN</t>
  </si>
  <si>
    <t>VARIABLES</t>
  </si>
  <si>
    <t>VALOR</t>
  </si>
  <si>
    <t>L. DERECHO</t>
  </si>
  <si>
    <t>SOLVER</t>
  </si>
  <si>
    <t>Microsoft Excel 16.0 Informe de sensibilidad</t>
  </si>
  <si>
    <t>Celdas de variables</t>
  </si>
  <si>
    <t>Celda</t>
  </si>
  <si>
    <t>Nombre</t>
  </si>
  <si>
    <t>Final</t>
  </si>
  <si>
    <t>Valor</t>
  </si>
  <si>
    <t>Reducido</t>
  </si>
  <si>
    <t>Coste</t>
  </si>
  <si>
    <t>Objetivo</t>
  </si>
  <si>
    <t>Coeficiente</t>
  </si>
  <si>
    <t>Permisible</t>
  </si>
  <si>
    <t>Aumentar</t>
  </si>
  <si>
    <t>Reducir</t>
  </si>
  <si>
    <t>Restricciones</t>
  </si>
  <si>
    <t>Sombra</t>
  </si>
  <si>
    <t>Precio</t>
  </si>
  <si>
    <t>Restricción</t>
  </si>
  <si>
    <t>Lado derecho</t>
  </si>
  <si>
    <t>SO F1</t>
  </si>
  <si>
    <t>SO F2</t>
  </si>
  <si>
    <t>SO F3</t>
  </si>
  <si>
    <t>SO F4</t>
  </si>
  <si>
    <t>≤ VALOR</t>
  </si>
  <si>
    <t>≥</t>
  </si>
  <si>
    <t>≥ VALOR</t>
  </si>
  <si>
    <t>R1 (Ensamblaje)</t>
  </si>
  <si>
    <t>R2 (Pintura)</t>
  </si>
  <si>
    <t>R3 (Control de Calidad)</t>
  </si>
  <si>
    <t>DELUXE (D)</t>
  </si>
  <si>
    <t>TURBO (T)</t>
  </si>
  <si>
    <t>R5 (Demanda de DELUXE)</t>
  </si>
  <si>
    <t>R4 (Demanda Semanal)</t>
  </si>
  <si>
    <t>D</t>
  </si>
  <si>
    <t>T</t>
  </si>
  <si>
    <t>MAX</t>
  </si>
  <si>
    <t>R4</t>
  </si>
  <si>
    <t>R5</t>
  </si>
  <si>
    <t>$P$28</t>
  </si>
  <si>
    <t>SO D</t>
  </si>
  <si>
    <t>$Q$28</t>
  </si>
  <si>
    <t>SO T</t>
  </si>
  <si>
    <t>$S$30</t>
  </si>
  <si>
    <t>$S$31</t>
  </si>
  <si>
    <t>$S$32</t>
  </si>
  <si>
    <t>$S$33</t>
  </si>
  <si>
    <t>$S$34</t>
  </si>
  <si>
    <t>HOLGURA</t>
  </si>
  <si>
    <t>R1 (Tejido)</t>
  </si>
  <si>
    <t>R2 (Lavado)</t>
  </si>
  <si>
    <t>R3 (Estampado)</t>
  </si>
  <si>
    <t>R4 (Termofijado)</t>
  </si>
  <si>
    <t>R5 (Costura)</t>
  </si>
  <si>
    <t>$O$33</t>
  </si>
  <si>
    <t>$P$33</t>
  </si>
  <si>
    <t>$R$35</t>
  </si>
  <si>
    <t>$R$36</t>
  </si>
  <si>
    <t>$R$37</t>
  </si>
  <si>
    <t>$R$38</t>
  </si>
  <si>
    <t>$R$39</t>
  </si>
  <si>
    <t>CLASE 1</t>
  </si>
  <si>
    <t>CLASE 2</t>
  </si>
  <si>
    <t>C1</t>
  </si>
  <si>
    <t>C2</t>
  </si>
  <si>
    <t>ANÁLISIS DE SENSIBILIDAD - RESTRICCIONES</t>
  </si>
  <si>
    <t>ANÁLISIS DE SENSIBILIDAD - CELDAS VARIABLES</t>
  </si>
  <si>
    <t>R4 (Total de Fertilizante)</t>
  </si>
  <si>
    <t>Hoja de cálculo: [TRABAJO 1 - MOP.xlsx]1.</t>
  </si>
  <si>
    <t>= VALOR</t>
  </si>
  <si>
    <t>TONELADAS</t>
  </si>
  <si>
    <t>Informe creado: 11/05/2024 21:02:55</t>
  </si>
  <si>
    <t>$N$32</t>
  </si>
  <si>
    <t>$O$32</t>
  </si>
  <si>
    <t>$P$32</t>
  </si>
  <si>
    <t>$Q$32</t>
  </si>
  <si>
    <t>$S$35</t>
  </si>
  <si>
    <t>$S$36</t>
  </si>
  <si>
    <t>$S$37</t>
  </si>
  <si>
    <t>Microsoft Excel 16.0 Informe de límites</t>
  </si>
  <si>
    <t>Variable</t>
  </si>
  <si>
    <t>Inferior</t>
  </si>
  <si>
    <t>Límite</t>
  </si>
  <si>
    <t>Resultado</t>
  </si>
  <si>
    <t>Superior</t>
  </si>
  <si>
    <t>$R$33</t>
  </si>
  <si>
    <t>MIN +</t>
  </si>
  <si>
    <t>PORCENTAJE</t>
  </si>
  <si>
    <t>∞</t>
  </si>
  <si>
    <t>F1: Toneladas del Fertilizante Básico 1</t>
  </si>
  <si>
    <t>F2: Toneladas del Fertilizante Básico 2</t>
  </si>
  <si>
    <t>F3: Toneladas del Fertilizante Básico 3</t>
  </si>
  <si>
    <t>F4: Toneladas del Fertilizante Básico 4</t>
  </si>
  <si>
    <t>R1 (Cantidad de Nitrógeno)</t>
  </si>
  <si>
    <t>R2 (Cantidad de Potasio)</t>
  </si>
  <si>
    <t>R3 (Cantidad de Fosfato)</t>
  </si>
  <si>
    <t>Para obtener un mayor beneficio conviene producir 1133.3333 congeladoras deluxe y ningún congelador Turbo.</t>
  </si>
  <si>
    <t>Interpretación</t>
  </si>
  <si>
    <t>Una holgura de 1666.6667 horas en la operación de ensamblado de refrigeradoras indica un excedente significativo de tiempo disponible en esa etapa del proceso de producción.</t>
  </si>
  <si>
    <t>La holgura toma un valor de cero; es decir, los kilogramos de pintura disponibles están siendo usados en su totalidad.</t>
  </si>
  <si>
    <t>Una holgura de 4133.3333 horas en la operación de control de calidad indica un excedente significativo de tiempo disponible en esa etapa del proceso de producción.</t>
  </si>
  <si>
    <t>Se requiere producir 566.66667 congeladoras más para satisfacer la demanda máxima del mercado.</t>
  </si>
  <si>
    <t>D: Cantidad de congeladores Deluxe</t>
  </si>
  <si>
    <t>T: Cantidad de congeladores Turbo</t>
  </si>
  <si>
    <t xml:space="preserve">El precio sombra al incrementar en 200 horas más a la operación de ensamblaje es cero debido a que el recurso asociado a esta restricción no se está utilizando completamente. En este caso, el precio sombra de esta restricción será cero porque un cambio en el lado derecho de la restricción no afectará la función objetivo. </t>
  </si>
  <si>
    <t>Además, el aumento en disponibilidad de horas para la operación de ensamblaje no genera un incremento en el valor de la F.O., por lo que no conviene incurrir en un aumento de horas debido a que conlleva un costo adicional.</t>
  </si>
  <si>
    <t>Por ende, no conviene aceptar la oferta.</t>
  </si>
  <si>
    <t>Clase 1: Cantidad de toallas con estampado clase 1</t>
  </si>
  <si>
    <t>Clase 2: Cantidad de toallas con estampado clase 2</t>
  </si>
  <si>
    <t>Se cumple con la producción mínima de 600 congeladoras del tipo Deluxe, se producen además 533.333 congeladores Deluxe más de lo que la demanda pide.</t>
  </si>
  <si>
    <t>Hoja de cálculo: [TRABAJO 1 - MOP.xlsx]2.</t>
  </si>
  <si>
    <t>Informe creado: 11/05/2024 22:20:31</t>
  </si>
  <si>
    <t>$O$36</t>
  </si>
  <si>
    <t>SO C1</t>
  </si>
  <si>
    <t>$P$36</t>
  </si>
  <si>
    <t>SO C2</t>
  </si>
  <si>
    <t>$R$40</t>
  </si>
  <si>
    <t>$R$41</t>
  </si>
  <si>
    <t>$R$42</t>
  </si>
  <si>
    <t>$Q$37</t>
  </si>
  <si>
    <t>MAX :</t>
  </si>
  <si>
    <t>Hoja de cálculo: [TRABAJO 1 - MOP.xlsx]3.</t>
  </si>
  <si>
    <t>Informe creado: 11/05/2024 22:21:25</t>
  </si>
  <si>
    <t>Diferencia</t>
  </si>
  <si>
    <t>Tonelada de F2 (12 Dólares)</t>
  </si>
  <si>
    <t>Tonelada de F2 (14 Dólares)</t>
  </si>
  <si>
    <t>Costo Total</t>
  </si>
  <si>
    <t>Fosfato 8% del total</t>
  </si>
  <si>
    <t>Fosfato 8.2% del total</t>
  </si>
  <si>
    <t>Interpretación de la solución óptima</t>
  </si>
  <si>
    <t>Para que la empresa logre maximizar su beneficio, debe producir 1133.3333 congeladores del tipo Deluxe y ninguna del tipo Turbo. Con ello, se obtiene un beneficio de 24933333.3 dólares</t>
  </si>
  <si>
    <t>Solución óptima</t>
  </si>
  <si>
    <t>Nitrógeno</t>
  </si>
  <si>
    <t>Cantidad usada en total</t>
  </si>
  <si>
    <t>toneladas</t>
  </si>
  <si>
    <t>Cantidad de Fosfato usado en la mezcla</t>
  </si>
  <si>
    <t>Porcentaje de Fostato en el fertilizante</t>
  </si>
  <si>
    <t>%</t>
  </si>
  <si>
    <t>Se cumple con el requerimiento de un mínimo de 20% de nitrógeno; la restricción se satisface de forma exacta</t>
  </si>
  <si>
    <t>Potasio</t>
  </si>
  <si>
    <t>Se cumple con el requerimiento de un mínimo de 30% de potasio; la restricción se satisface de forma exacta</t>
  </si>
  <si>
    <t>Fosfato</t>
  </si>
  <si>
    <t>Se cumple con el requerimiento de un mínimo de 8% de fosfato; se tiene una holgura de 0.125%</t>
  </si>
  <si>
    <t>Para que la empresa maximice su ganancia, no debe fabricar toallas con estampado clase 1 y debe fabricar 48 toallas con estampado clase 2 para obtener una ganancia de 100800 dólares.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</si>
</sst>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1"/>
      <color theme="1"/>
      <name val="Aptos Narrow"/>
      <family val="2"/>
    </font>
    <font>
      <b/>
      <sz val="11"/>
      <color rgb="FFFF0000"/>
      <name val="Aptos Narrow"/>
      <family val="2"/>
    </font>
    <font>
      <b/>
      <sz val="11"/>
      <color indexed="18"/>
      <name val="Aptos Narrow"/>
      <family val="2"/>
      <scheme val="minor"/>
    </font>
    <font>
      <sz val="8"/>
      <name val="Aptos Narrow"/>
      <family val="2"/>
      <scheme val="minor"/>
    </font>
    <font>
      <b/>
      <sz val="11"/>
      <color rgb="FFFF0000"/>
      <name val="Aptos Narrow"/>
      <family val="2"/>
      <scheme val="minor"/>
    </font>
    <font>
      <b/>
      <sz val="11"/>
      <color theme="6"/>
      <name val="Aptos Narrow"/>
      <family val="2"/>
      <scheme val="minor"/>
    </font>
    <font>
      <b/>
      <sz val="11"/>
      <color rgb="FF002060"/>
      <name val="Times New Roman"/>
      <family val="1"/>
    </font>
    <font>
      <sz val="11"/>
      <color rgb="FF002060"/>
      <name val="Times New Roman"/>
      <family val="1"/>
    </font>
  </fonts>
  <fills count="6">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64">
    <xf numFmtId="0" fontId="0" fillId="0" borderId="0" xfId="0"/>
    <xf numFmtId="0" fontId="3" fillId="0" borderId="0" xfId="0" applyFont="1" applyAlignment="1">
      <alignment horizontal="center"/>
    </xf>
    <xf numFmtId="0" fontId="3"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3" fillId="0" borderId="0" xfId="0" applyFont="1"/>
    <xf numFmtId="0" fontId="0" fillId="0" borderId="1" xfId="0" applyBorder="1" applyAlignment="1">
      <alignment horizontal="center" vertical="center"/>
    </xf>
    <xf numFmtId="0" fontId="3" fillId="0" borderId="1" xfId="0" applyFont="1" applyBorder="1" applyAlignment="1">
      <alignment horizontal="center" vertical="center"/>
    </xf>
    <xf numFmtId="0" fontId="0" fillId="4" borderId="1" xfId="0" applyFill="1" applyBorder="1" applyAlignment="1">
      <alignment horizontal="center" vertical="center"/>
    </xf>
    <xf numFmtId="0" fontId="5"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5" fillId="0" borderId="0" xfId="0" applyFont="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8" fillId="0" borderId="0" xfId="0" applyFont="1" applyAlignment="1">
      <alignment horizontal="center" vertical="center"/>
    </xf>
    <xf numFmtId="0" fontId="2" fillId="0" borderId="0" xfId="0" applyFont="1"/>
    <xf numFmtId="0" fontId="3" fillId="4" borderId="0" xfId="0" applyFont="1" applyFill="1" applyAlignment="1">
      <alignment horizontal="center" vertical="center"/>
    </xf>
    <xf numFmtId="0" fontId="4" fillId="4" borderId="0" xfId="0" applyFont="1" applyFill="1" applyAlignment="1">
      <alignment horizontal="center" vertical="center"/>
    </xf>
    <xf numFmtId="165" fontId="8" fillId="0" borderId="0" xfId="1" applyNumberFormat="1" applyFont="1" applyBorder="1" applyAlignment="1">
      <alignment horizontal="center" vertical="center"/>
    </xf>
    <xf numFmtId="10" fontId="8" fillId="0" borderId="0" xfId="1" applyNumberFormat="1" applyFont="1" applyAlignment="1">
      <alignment horizontal="center" vertical="center"/>
    </xf>
    <xf numFmtId="164" fontId="0" fillId="0" borderId="0" xfId="1" applyNumberFormat="1" applyFont="1"/>
    <xf numFmtId="0" fontId="0" fillId="0" borderId="0" xfId="1" applyNumberFormat="1" applyFont="1"/>
    <xf numFmtId="9" fontId="4" fillId="0" borderId="0" xfId="1" applyFont="1" applyAlignment="1">
      <alignment horizontal="center" vertical="center"/>
    </xf>
    <xf numFmtId="0" fontId="0" fillId="0" borderId="4" xfId="0" applyBorder="1"/>
    <xf numFmtId="0" fontId="0" fillId="0" borderId="5" xfId="0" applyBorder="1"/>
    <xf numFmtId="0" fontId="6" fillId="0" borderId="2" xfId="0" applyFont="1" applyBorder="1" applyAlignment="1">
      <alignment horizontal="center"/>
    </xf>
    <xf numFmtId="0" fontId="6" fillId="0" borderId="3" xfId="0" applyFont="1" applyBorder="1" applyAlignment="1">
      <alignment horizontal="center"/>
    </xf>
    <xf numFmtId="0" fontId="0" fillId="0" borderId="5" xfId="0" quotePrefix="1" applyBorder="1"/>
    <xf numFmtId="0" fontId="0" fillId="0" borderId="5" xfId="0" quotePrefix="1" applyBorder="1" applyAlignment="1">
      <alignment horizontal="center" vertical="center"/>
    </xf>
    <xf numFmtId="0" fontId="3" fillId="0" borderId="0" xfId="0" applyFont="1" applyAlignment="1">
      <alignment horizontal="center" vertical="center" wrapText="1"/>
    </xf>
    <xf numFmtId="9" fontId="5" fillId="0" borderId="0" xfId="1" applyFont="1" applyAlignment="1">
      <alignment horizontal="center" vertical="center"/>
    </xf>
    <xf numFmtId="0" fontId="10" fillId="0" borderId="0" xfId="0" applyFont="1" applyAlignment="1">
      <alignment horizontal="center" vertical="center"/>
    </xf>
    <xf numFmtId="0" fontId="10" fillId="0" borderId="0" xfId="0" applyFont="1"/>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0" fillId="0" borderId="1" xfId="0" applyBorder="1" applyAlignment="1">
      <alignment horizontal="center"/>
    </xf>
    <xf numFmtId="0" fontId="0" fillId="5" borderId="1" xfId="0" applyFill="1" applyBorder="1" applyAlignment="1">
      <alignment horizontal="center"/>
    </xf>
    <xf numFmtId="0" fontId="0" fillId="0" borderId="1" xfId="0" applyBorder="1" applyAlignment="1">
      <alignment horizontal="center" vertical="center" wrapText="1"/>
    </xf>
    <xf numFmtId="0" fontId="0" fillId="0" borderId="0" xfId="0" applyAlignment="1">
      <alignment horizontal="center" vertical="center" wrapText="1"/>
    </xf>
    <xf numFmtId="0" fontId="3" fillId="0" borderId="1" xfId="0" applyFont="1" applyBorder="1" applyAlignment="1">
      <alignment horizontal="center" vertical="center"/>
    </xf>
    <xf numFmtId="0" fontId="3" fillId="3" borderId="0" xfId="0" applyFont="1" applyFill="1" applyAlignment="1">
      <alignment horizontal="center"/>
    </xf>
    <xf numFmtId="0" fontId="3" fillId="0" borderId="0" xfId="0" applyFont="1" applyAlignment="1">
      <alignment horizontal="center"/>
    </xf>
    <xf numFmtId="0" fontId="3" fillId="4" borderId="0" xfId="0" applyFont="1" applyFill="1" applyAlignment="1">
      <alignment horizontal="center" vertical="center"/>
    </xf>
    <xf numFmtId="9" fontId="3" fillId="0" borderId="0" xfId="1" applyFont="1" applyAlignment="1">
      <alignment horizontal="center" vertical="center"/>
    </xf>
    <xf numFmtId="0" fontId="3" fillId="3" borderId="0" xfId="0" applyFont="1" applyFill="1" applyAlignment="1">
      <alignment horizontal="center" vertical="center"/>
    </xf>
    <xf numFmtId="0" fontId="3" fillId="2" borderId="0" xfId="0" applyFont="1" applyFill="1" applyAlignment="1">
      <alignment horizontal="center" vertical="center"/>
    </xf>
    <xf numFmtId="0" fontId="0" fillId="0" borderId="1" xfId="0"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xf>
    <xf numFmtId="0" fontId="10" fillId="0" borderId="0" xfId="0" applyFont="1" applyAlignment="1">
      <alignment horizontal="center" vertical="center" wrapText="1"/>
    </xf>
    <xf numFmtId="0" fontId="10" fillId="0" borderId="0" xfId="0" applyFont="1" applyAlignment="1">
      <alignment horizontal="center" vertical="center"/>
    </xf>
    <xf numFmtId="0" fontId="11" fillId="0" borderId="6" xfId="0" applyFont="1" applyBorder="1" applyAlignment="1">
      <alignment horizontal="center" vertical="center"/>
    </xf>
    <xf numFmtId="0" fontId="11" fillId="0" borderId="8" xfId="0" applyFont="1" applyBorder="1" applyAlignment="1">
      <alignment horizontal="center" vertical="center"/>
    </xf>
    <xf numFmtId="0" fontId="11" fillId="0" borderId="7" xfId="0" applyFont="1" applyBorder="1" applyAlignment="1">
      <alignment horizontal="center" vertical="center"/>
    </xf>
    <xf numFmtId="0" fontId="0" fillId="0" borderId="1" xfId="0" applyBorder="1" applyAlignment="1">
      <alignment horizontal="center" vertical="center"/>
    </xf>
    <xf numFmtId="0" fontId="10" fillId="0" borderId="6" xfId="0" applyFont="1" applyBorder="1" applyAlignment="1">
      <alignment horizontal="center" vertical="center"/>
    </xf>
    <xf numFmtId="0" fontId="10" fillId="0" borderId="8" xfId="0" applyFont="1" applyBorder="1" applyAlignment="1">
      <alignment horizontal="center" vertical="center"/>
    </xf>
    <xf numFmtId="0" fontId="10" fillId="0" borderId="7"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631638</xdr:colOff>
      <xdr:row>47</xdr:row>
      <xdr:rowOff>130914</xdr:rowOff>
    </xdr:to>
    <xdr:pic>
      <xdr:nvPicPr>
        <xdr:cNvPr id="2" name="Imagen 1">
          <a:extLst>
            <a:ext uri="{FF2B5EF4-FFF2-40B4-BE49-F238E27FC236}">
              <a16:creationId xmlns:a16="http://schemas.microsoft.com/office/drawing/2014/main" id="{410ED206-DE5C-18D7-E6D2-20905783AFB1}"/>
            </a:ext>
          </a:extLst>
        </xdr:cNvPr>
        <xdr:cNvPicPr>
          <a:picLocks noChangeAspect="1"/>
        </xdr:cNvPicPr>
      </xdr:nvPicPr>
      <xdr:blipFill>
        <a:blip xmlns:r="http://schemas.openxmlformats.org/officeDocument/2006/relationships" r:embed="rId1"/>
        <a:stretch>
          <a:fillRect/>
        </a:stretch>
      </xdr:blipFill>
      <xdr:spPr>
        <a:xfrm>
          <a:off x="0" y="0"/>
          <a:ext cx="7731685" cy="85577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10764</xdr:colOff>
      <xdr:row>0</xdr:row>
      <xdr:rowOff>139230</xdr:rowOff>
    </xdr:from>
    <xdr:ext cx="2389565" cy="269304"/>
    <xdr:sp macro="" textlink="">
      <xdr:nvSpPr>
        <xdr:cNvPr id="3" name="CuadroTexto 2">
          <a:extLst>
            <a:ext uri="{FF2B5EF4-FFF2-40B4-BE49-F238E27FC236}">
              <a16:creationId xmlns:a16="http://schemas.microsoft.com/office/drawing/2014/main" id="{9F1496AB-DFE3-42BB-9BA5-4457C5FAFBBE}"/>
            </a:ext>
          </a:extLst>
        </xdr:cNvPr>
        <xdr:cNvSpPr txBox="1"/>
      </xdr:nvSpPr>
      <xdr:spPr>
        <a:xfrm>
          <a:off x="8728044" y="139230"/>
          <a:ext cx="2389565"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a) Formule el modelo matemático</a:t>
          </a:r>
        </a:p>
      </xdr:txBody>
    </xdr:sp>
    <xdr:clientData/>
  </xdr:oneCellAnchor>
  <xdr:oneCellAnchor>
    <xdr:from>
      <xdr:col>2</xdr:col>
      <xdr:colOff>28127</xdr:colOff>
      <xdr:row>27</xdr:row>
      <xdr:rowOff>140308</xdr:rowOff>
    </xdr:from>
    <xdr:ext cx="4100033" cy="269304"/>
    <xdr:sp macro="" textlink="">
      <xdr:nvSpPr>
        <xdr:cNvPr id="4" name="CuadroTexto 3">
          <a:extLst>
            <a:ext uri="{FF2B5EF4-FFF2-40B4-BE49-F238E27FC236}">
              <a16:creationId xmlns:a16="http://schemas.microsoft.com/office/drawing/2014/main" id="{3B0CF233-4FE7-4BF4-BD9D-7906012F1015}"/>
            </a:ext>
          </a:extLst>
        </xdr:cNvPr>
        <xdr:cNvSpPr txBox="1"/>
      </xdr:nvSpPr>
      <xdr:spPr>
        <a:xfrm>
          <a:off x="8745407" y="5078068"/>
          <a:ext cx="4100033"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b) Resuelva el PL con Solver y encuentre la solución óptima</a:t>
          </a:r>
        </a:p>
      </xdr:txBody>
    </xdr:sp>
    <xdr:clientData/>
  </xdr:oneCellAnchor>
  <xdr:oneCellAnchor>
    <xdr:from>
      <xdr:col>2</xdr:col>
      <xdr:colOff>5089</xdr:colOff>
      <xdr:row>42</xdr:row>
      <xdr:rowOff>122653</xdr:rowOff>
    </xdr:from>
    <xdr:ext cx="6458819" cy="269304"/>
    <xdr:sp macro="" textlink="">
      <xdr:nvSpPr>
        <xdr:cNvPr id="5" name="CuadroTexto 4">
          <a:extLst>
            <a:ext uri="{FF2B5EF4-FFF2-40B4-BE49-F238E27FC236}">
              <a16:creationId xmlns:a16="http://schemas.microsoft.com/office/drawing/2014/main" id="{C08D5574-5213-43E8-A15E-383B9428B4E3}"/>
            </a:ext>
          </a:extLst>
        </xdr:cNvPr>
        <xdr:cNvSpPr txBox="1"/>
      </xdr:nvSpPr>
      <xdr:spPr>
        <a:xfrm>
          <a:off x="8722369" y="7803613"/>
          <a:ext cx="6458819"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c) ¿Las restricciones que corresponden a cada producto químico se satisfacen en forma exacta? </a:t>
          </a:r>
        </a:p>
      </xdr:txBody>
    </xdr:sp>
    <xdr:clientData/>
  </xdr:oneCellAnchor>
  <xdr:oneCellAnchor>
    <xdr:from>
      <xdr:col>2</xdr:col>
      <xdr:colOff>1622</xdr:colOff>
      <xdr:row>50</xdr:row>
      <xdr:rowOff>128549</xdr:rowOff>
    </xdr:from>
    <xdr:ext cx="7669472" cy="269304"/>
    <xdr:sp macro="" textlink="">
      <xdr:nvSpPr>
        <xdr:cNvPr id="6" name="CuadroTexto 5">
          <a:extLst>
            <a:ext uri="{FF2B5EF4-FFF2-40B4-BE49-F238E27FC236}">
              <a16:creationId xmlns:a16="http://schemas.microsoft.com/office/drawing/2014/main" id="{35249BA0-DBEF-4AA7-A405-1E6AA8A0B767}"/>
            </a:ext>
          </a:extLst>
        </xdr:cNvPr>
        <xdr:cNvSpPr txBox="1"/>
      </xdr:nvSpPr>
      <xdr:spPr>
        <a:xfrm>
          <a:off x="8718902" y="9272549"/>
          <a:ext cx="7669472"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d) Determine el intervalo dentro del cual cada uno de los productos químicos puede cambiar sin modificar la base.</a:t>
          </a:r>
        </a:p>
      </xdr:txBody>
    </xdr:sp>
    <xdr:clientData/>
  </xdr:oneCellAnchor>
  <xdr:oneCellAnchor>
    <xdr:from>
      <xdr:col>1</xdr:col>
      <xdr:colOff>785303</xdr:colOff>
      <xdr:row>84</xdr:row>
      <xdr:rowOff>119071</xdr:rowOff>
    </xdr:from>
    <xdr:ext cx="10690427" cy="269304"/>
    <xdr:sp macro="" textlink="">
      <xdr:nvSpPr>
        <xdr:cNvPr id="7" name="CuadroTexto 6">
          <a:extLst>
            <a:ext uri="{FF2B5EF4-FFF2-40B4-BE49-F238E27FC236}">
              <a16:creationId xmlns:a16="http://schemas.microsoft.com/office/drawing/2014/main" id="{C591C8C6-1181-40CB-8EE0-FD8A0EA0B9A5}"/>
            </a:ext>
          </a:extLst>
        </xdr:cNvPr>
        <xdr:cNvSpPr txBox="1"/>
      </xdr:nvSpPr>
      <xdr:spPr>
        <a:xfrm>
          <a:off x="8710103" y="15503851"/>
          <a:ext cx="10690427"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e) ¿Cómo podría cambiar los coeficientes de costos del primer fertilizante base sin modificar la base?, ¿qué impacto tendría el cambio sobre la solución óptima? </a:t>
          </a:r>
        </a:p>
      </xdr:txBody>
    </xdr:sp>
    <xdr:clientData/>
  </xdr:oneCellAnchor>
  <xdr:oneCellAnchor>
    <xdr:from>
      <xdr:col>2</xdr:col>
      <xdr:colOff>23302</xdr:colOff>
      <xdr:row>114</xdr:row>
      <xdr:rowOff>151708</xdr:rowOff>
    </xdr:from>
    <xdr:ext cx="12543370" cy="269304"/>
    <xdr:sp macro="" textlink="">
      <xdr:nvSpPr>
        <xdr:cNvPr id="8" name="CuadroTexto 7">
          <a:extLst>
            <a:ext uri="{FF2B5EF4-FFF2-40B4-BE49-F238E27FC236}">
              <a16:creationId xmlns:a16="http://schemas.microsoft.com/office/drawing/2014/main" id="{DA8850F0-E4BE-4827-B46D-3AD5FDC718CE}"/>
            </a:ext>
          </a:extLst>
        </xdr:cNvPr>
        <xdr:cNvSpPr txBox="1"/>
      </xdr:nvSpPr>
      <xdr:spPr>
        <a:xfrm>
          <a:off x="8740582" y="21045748"/>
          <a:ext cx="12543370"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f) Suponga que el costo del segundo fertilizante básico aumenta en $2 por tonelada. ¿Debe la compañía cambiar sus planes de utilizar las toneladas óptimas del F2?, ¿Por qué sí o por qué no?</a:t>
          </a:r>
        </a:p>
      </xdr:txBody>
    </xdr:sp>
    <xdr:clientData/>
  </xdr:oneCellAnchor>
  <xdr:oneCellAnchor>
    <xdr:from>
      <xdr:col>2</xdr:col>
      <xdr:colOff>13032</xdr:colOff>
      <xdr:row>135</xdr:row>
      <xdr:rowOff>134894</xdr:rowOff>
    </xdr:from>
    <xdr:ext cx="15614916" cy="269304"/>
    <xdr:sp macro="" textlink="">
      <xdr:nvSpPr>
        <xdr:cNvPr id="9" name="CuadroTexto 8">
          <a:extLst>
            <a:ext uri="{FF2B5EF4-FFF2-40B4-BE49-F238E27FC236}">
              <a16:creationId xmlns:a16="http://schemas.microsoft.com/office/drawing/2014/main" id="{3EA18B75-D59C-4A57-9FCB-F081E590BE0D}"/>
            </a:ext>
          </a:extLst>
        </xdr:cNvPr>
        <xdr:cNvSpPr txBox="1"/>
      </xdr:nvSpPr>
      <xdr:spPr>
        <a:xfrm>
          <a:off x="8730312" y="24869414"/>
          <a:ext cx="1561491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g) Suponga que después de que se ha aceptado el pedido del cliente, éste menciona que desea que el contenido del fosfato del fertilizante especial se aumente en 0,2% (2 toneladas). ¿Qué impacto tendría esto sobre el costo del fertilizante?</a:t>
          </a:r>
        </a:p>
      </xdr:txBody>
    </xdr:sp>
    <xdr:clientData/>
  </xdr:oneCellAnchor>
  <xdr:oneCellAnchor>
    <xdr:from>
      <xdr:col>12</xdr:col>
      <xdr:colOff>674321</xdr:colOff>
      <xdr:row>31</xdr:row>
      <xdr:rowOff>181882</xdr:rowOff>
    </xdr:from>
    <xdr:ext cx="10185673" cy="269304"/>
    <xdr:sp macro="" textlink="">
      <xdr:nvSpPr>
        <xdr:cNvPr id="10" name="CuadroTexto 9">
          <a:extLst>
            <a:ext uri="{FF2B5EF4-FFF2-40B4-BE49-F238E27FC236}">
              <a16:creationId xmlns:a16="http://schemas.microsoft.com/office/drawing/2014/main" id="{F09080B1-EF29-4DE6-AE1B-97AF3A7A0B1F}"/>
            </a:ext>
          </a:extLst>
        </xdr:cNvPr>
        <xdr:cNvSpPr txBox="1"/>
      </xdr:nvSpPr>
      <xdr:spPr>
        <a:xfrm>
          <a:off x="10220255" y="5892695"/>
          <a:ext cx="10185673"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baseline="0">
              <a:solidFill>
                <a:srgbClr val="002060"/>
              </a:solidFill>
              <a:latin typeface="Times New Roman" panose="02020603050405020304" pitchFamily="18" charset="0"/>
              <a:cs typeface="Times New Roman" panose="02020603050405020304" pitchFamily="18" charset="0"/>
            </a:rPr>
            <a:t>No, para la restricción de Nitrógeno y Potasio se satisface de manera exacta. En cambio para la restricción de Fosfato se tiene una cantidad mayor al 8%.</a:t>
          </a:r>
          <a:endParaRPr lang="es-PE" sz="1200" b="1">
            <a:solidFill>
              <a:srgbClr val="002060"/>
            </a:solidFill>
            <a:latin typeface="Times New Roman" panose="02020603050405020304" pitchFamily="18" charset="0"/>
            <a:cs typeface="Times New Roman" panose="02020603050405020304" pitchFamily="18" charset="0"/>
          </a:endParaRPr>
        </a:p>
      </xdr:txBody>
    </xdr:sp>
    <xdr:clientData/>
  </xdr:oneCellAnchor>
  <xdr:oneCellAnchor>
    <xdr:from>
      <xdr:col>2</xdr:col>
      <xdr:colOff>11526</xdr:colOff>
      <xdr:row>61</xdr:row>
      <xdr:rowOff>134471</xdr:rowOff>
    </xdr:from>
    <xdr:ext cx="6574813" cy="269304"/>
    <xdr:sp macro="" textlink="">
      <xdr:nvSpPr>
        <xdr:cNvPr id="11" name="CuadroTexto 10">
          <a:extLst>
            <a:ext uri="{FF2B5EF4-FFF2-40B4-BE49-F238E27FC236}">
              <a16:creationId xmlns:a16="http://schemas.microsoft.com/office/drawing/2014/main" id="{E6DA15DB-2409-4FD8-A2BC-884E771D7ED3}"/>
            </a:ext>
          </a:extLst>
        </xdr:cNvPr>
        <xdr:cNvSpPr txBox="1"/>
      </xdr:nvSpPr>
      <xdr:spPr>
        <a:xfrm>
          <a:off x="8728806" y="11313011"/>
          <a:ext cx="6574813"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002060"/>
              </a:solidFill>
              <a:latin typeface="Times New Roman" panose="02020603050405020304" pitchFamily="18" charset="0"/>
              <a:cs typeface="Times New Roman" panose="02020603050405020304" pitchFamily="18" charset="0"/>
            </a:rPr>
            <a:t>Las</a:t>
          </a:r>
          <a:r>
            <a:rPr lang="es-PE" sz="1200" b="1" baseline="0">
              <a:solidFill>
                <a:srgbClr val="002060"/>
              </a:solidFill>
              <a:latin typeface="Times New Roman" panose="02020603050405020304" pitchFamily="18" charset="0"/>
              <a:cs typeface="Times New Roman" panose="02020603050405020304" pitchFamily="18" charset="0"/>
            </a:rPr>
            <a:t> toneladas de Nitrógeno que puede tener la mezcla </a:t>
          </a:r>
          <a:r>
            <a:rPr lang="es-PE" sz="1200" b="1" baseline="0">
              <a:solidFill>
                <a:srgbClr val="002060"/>
              </a:solidFill>
              <a:effectLst/>
              <a:latin typeface="Times New Roman" panose="02020603050405020304" pitchFamily="18" charset="0"/>
              <a:ea typeface="+mn-ea"/>
              <a:cs typeface="Times New Roman" panose="02020603050405020304" pitchFamily="18" charset="0"/>
            </a:rPr>
            <a:t>sin que cambie la base puede variar entre:</a:t>
          </a:r>
          <a:endParaRPr lang="es-PE" sz="1200" b="1">
            <a:solidFill>
              <a:srgbClr val="002060"/>
            </a:solidFill>
            <a:latin typeface="Times New Roman" panose="02020603050405020304" pitchFamily="18" charset="0"/>
            <a:cs typeface="Times New Roman" panose="02020603050405020304" pitchFamily="18" charset="0"/>
          </a:endParaRPr>
        </a:p>
      </xdr:txBody>
    </xdr:sp>
    <xdr:clientData/>
  </xdr:oneCellAnchor>
  <xdr:oneCellAnchor>
    <xdr:from>
      <xdr:col>2</xdr:col>
      <xdr:colOff>7776</xdr:colOff>
      <xdr:row>95</xdr:row>
      <xdr:rowOff>147734</xdr:rowOff>
    </xdr:from>
    <xdr:ext cx="5206746" cy="269304"/>
    <xdr:sp macro="" textlink="">
      <xdr:nvSpPr>
        <xdr:cNvPr id="12" name="CuadroTexto 11">
          <a:extLst>
            <a:ext uri="{FF2B5EF4-FFF2-40B4-BE49-F238E27FC236}">
              <a16:creationId xmlns:a16="http://schemas.microsoft.com/office/drawing/2014/main" id="{B1377A56-0D4B-44CF-B1A1-0DF731DEE239}"/>
            </a:ext>
          </a:extLst>
        </xdr:cNvPr>
        <xdr:cNvSpPr txBox="1"/>
      </xdr:nvSpPr>
      <xdr:spPr>
        <a:xfrm>
          <a:off x="8725056" y="17567054"/>
          <a:ext cx="520674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002060"/>
              </a:solidFill>
              <a:latin typeface="Times New Roman" panose="02020603050405020304" pitchFamily="18" charset="0"/>
              <a:cs typeface="Times New Roman" panose="02020603050405020304" pitchFamily="18" charset="0"/>
            </a:rPr>
            <a:t>El</a:t>
          </a:r>
          <a:r>
            <a:rPr lang="es-PE" sz="1200" b="1" baseline="0">
              <a:solidFill>
                <a:srgbClr val="002060"/>
              </a:solidFill>
              <a:latin typeface="Times New Roman" panose="02020603050405020304" pitchFamily="18" charset="0"/>
              <a:cs typeface="Times New Roman" panose="02020603050405020304" pitchFamily="18" charset="0"/>
            </a:rPr>
            <a:t> costo del Fertilizante Básico 1 puede variar, sin que cambie la base, entre:</a:t>
          </a:r>
          <a:endParaRPr lang="es-PE" sz="1200" b="1">
            <a:solidFill>
              <a:srgbClr val="002060"/>
            </a:solidFill>
            <a:latin typeface="Times New Roman" panose="02020603050405020304" pitchFamily="18" charset="0"/>
            <a:cs typeface="Times New Roman" panose="02020603050405020304" pitchFamily="18" charset="0"/>
          </a:endParaRPr>
        </a:p>
      </xdr:txBody>
    </xdr:sp>
    <xdr:clientData/>
  </xdr:oneCellAnchor>
  <xdr:oneCellAnchor>
    <xdr:from>
      <xdr:col>2</xdr:col>
      <xdr:colOff>4666</xdr:colOff>
      <xdr:row>99</xdr:row>
      <xdr:rowOff>152399</xdr:rowOff>
    </xdr:from>
    <xdr:ext cx="5206746" cy="269304"/>
    <xdr:sp macro="" textlink="">
      <xdr:nvSpPr>
        <xdr:cNvPr id="13" name="CuadroTexto 12">
          <a:extLst>
            <a:ext uri="{FF2B5EF4-FFF2-40B4-BE49-F238E27FC236}">
              <a16:creationId xmlns:a16="http://schemas.microsoft.com/office/drawing/2014/main" id="{AA62C9A3-A861-4424-8815-57F7445019AE}"/>
            </a:ext>
          </a:extLst>
        </xdr:cNvPr>
        <xdr:cNvSpPr txBox="1"/>
      </xdr:nvSpPr>
      <xdr:spPr>
        <a:xfrm>
          <a:off x="8721946" y="18303239"/>
          <a:ext cx="520674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El costo del Fertilizante Básico 2 puede variar, sin que cambie la base, entre:</a:t>
          </a:r>
        </a:p>
      </xdr:txBody>
    </xdr:sp>
    <xdr:clientData/>
  </xdr:oneCellAnchor>
  <xdr:oneCellAnchor>
    <xdr:from>
      <xdr:col>2</xdr:col>
      <xdr:colOff>1556</xdr:colOff>
      <xdr:row>103</xdr:row>
      <xdr:rowOff>141513</xdr:rowOff>
    </xdr:from>
    <xdr:ext cx="5206746" cy="269304"/>
    <xdr:sp macro="" textlink="">
      <xdr:nvSpPr>
        <xdr:cNvPr id="14" name="CuadroTexto 13">
          <a:extLst>
            <a:ext uri="{FF2B5EF4-FFF2-40B4-BE49-F238E27FC236}">
              <a16:creationId xmlns:a16="http://schemas.microsoft.com/office/drawing/2014/main" id="{0415A34E-4E80-447D-9851-24AC6A532FBA}"/>
            </a:ext>
          </a:extLst>
        </xdr:cNvPr>
        <xdr:cNvSpPr txBox="1"/>
      </xdr:nvSpPr>
      <xdr:spPr>
        <a:xfrm>
          <a:off x="8718836" y="19023873"/>
          <a:ext cx="520674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El costo del Fertilizante Básico 3 puede variar, sin que cambie la base, entre:</a:t>
          </a:r>
        </a:p>
      </xdr:txBody>
    </xdr:sp>
    <xdr:clientData/>
  </xdr:oneCellAnchor>
  <xdr:oneCellAnchor>
    <xdr:from>
      <xdr:col>2</xdr:col>
      <xdr:colOff>21772</xdr:colOff>
      <xdr:row>107</xdr:row>
      <xdr:rowOff>153954</xdr:rowOff>
    </xdr:from>
    <xdr:ext cx="5206746" cy="269304"/>
    <xdr:sp macro="" textlink="">
      <xdr:nvSpPr>
        <xdr:cNvPr id="15" name="CuadroTexto 14">
          <a:extLst>
            <a:ext uri="{FF2B5EF4-FFF2-40B4-BE49-F238E27FC236}">
              <a16:creationId xmlns:a16="http://schemas.microsoft.com/office/drawing/2014/main" id="{5014CC57-C571-4D1B-9EE0-8676F3B4772F}"/>
            </a:ext>
          </a:extLst>
        </xdr:cNvPr>
        <xdr:cNvSpPr txBox="1"/>
      </xdr:nvSpPr>
      <xdr:spPr>
        <a:xfrm>
          <a:off x="8739052" y="19767834"/>
          <a:ext cx="520674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El costo del Fertilizante Básico 4 puede variar, sin que cambie la base, entre:</a:t>
          </a:r>
        </a:p>
      </xdr:txBody>
    </xdr:sp>
    <xdr:clientData/>
  </xdr:oneCellAnchor>
  <xdr:oneCellAnchor>
    <xdr:from>
      <xdr:col>12</xdr:col>
      <xdr:colOff>690848</xdr:colOff>
      <xdr:row>33</xdr:row>
      <xdr:rowOff>152589</xdr:rowOff>
    </xdr:from>
    <xdr:ext cx="4805098" cy="269304"/>
    <xdr:sp macro="" textlink="">
      <xdr:nvSpPr>
        <xdr:cNvPr id="16" name="CuadroTexto 15">
          <a:extLst>
            <a:ext uri="{FF2B5EF4-FFF2-40B4-BE49-F238E27FC236}">
              <a16:creationId xmlns:a16="http://schemas.microsoft.com/office/drawing/2014/main" id="{C4858290-5ED7-49B1-BDAA-5A82BFF167DB}"/>
            </a:ext>
          </a:extLst>
        </xdr:cNvPr>
        <xdr:cNvSpPr txBox="1"/>
      </xdr:nvSpPr>
      <xdr:spPr>
        <a:xfrm>
          <a:off x="10236782" y="6231842"/>
          <a:ext cx="4805098"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baseline="0">
              <a:solidFill>
                <a:srgbClr val="002060"/>
              </a:solidFill>
              <a:latin typeface="Times New Roman" panose="02020603050405020304" pitchFamily="18" charset="0"/>
              <a:cs typeface="Times New Roman" panose="02020603050405020304" pitchFamily="18" charset="0"/>
            </a:rPr>
            <a:t>La cantidad de Fosfato en 1000 toneladas de fertilizante especial es de:</a:t>
          </a:r>
          <a:endParaRPr lang="es-PE" sz="1200" b="1">
            <a:solidFill>
              <a:srgbClr val="002060"/>
            </a:solidFill>
            <a:latin typeface="Times New Roman" panose="02020603050405020304" pitchFamily="18" charset="0"/>
            <a:cs typeface="Times New Roman" panose="02020603050405020304" pitchFamily="18" charset="0"/>
          </a:endParaRPr>
        </a:p>
      </xdr:txBody>
    </xdr:sp>
    <xdr:clientData/>
  </xdr:oneCellAnchor>
  <xdr:oneCellAnchor>
    <xdr:from>
      <xdr:col>12</xdr:col>
      <xdr:colOff>668238</xdr:colOff>
      <xdr:row>35</xdr:row>
      <xdr:rowOff>144216</xdr:rowOff>
    </xdr:from>
    <xdr:ext cx="2808398" cy="269304"/>
    <xdr:sp macro="" textlink="">
      <xdr:nvSpPr>
        <xdr:cNvPr id="17" name="CuadroTexto 16">
          <a:extLst>
            <a:ext uri="{FF2B5EF4-FFF2-40B4-BE49-F238E27FC236}">
              <a16:creationId xmlns:a16="http://schemas.microsoft.com/office/drawing/2014/main" id="{BE78B22A-F870-4A33-82D0-D72F402D7C11}"/>
            </a:ext>
          </a:extLst>
        </xdr:cNvPr>
        <xdr:cNvSpPr txBox="1"/>
      </xdr:nvSpPr>
      <xdr:spPr>
        <a:xfrm>
          <a:off x="10214172" y="6591908"/>
          <a:ext cx="2808398"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baseline="0">
              <a:solidFill>
                <a:srgbClr val="002060"/>
              </a:solidFill>
              <a:latin typeface="Times New Roman" panose="02020603050405020304" pitchFamily="18" charset="0"/>
              <a:cs typeface="Times New Roman" panose="02020603050405020304" pitchFamily="18" charset="0"/>
            </a:rPr>
            <a:t>El porcentaje del total de fertilizante es:</a:t>
          </a:r>
          <a:endParaRPr lang="es-PE" sz="1200" b="1">
            <a:solidFill>
              <a:srgbClr val="002060"/>
            </a:solidFill>
            <a:latin typeface="Times New Roman" panose="02020603050405020304" pitchFamily="18" charset="0"/>
            <a:cs typeface="Times New Roman" panose="02020603050405020304" pitchFamily="18" charset="0"/>
          </a:endParaRPr>
        </a:p>
      </xdr:txBody>
    </xdr:sp>
    <xdr:clientData/>
  </xdr:oneCellAnchor>
  <xdr:oneCellAnchor>
    <xdr:from>
      <xdr:col>2</xdr:col>
      <xdr:colOff>3061</xdr:colOff>
      <xdr:row>67</xdr:row>
      <xdr:rowOff>136890</xdr:rowOff>
    </xdr:from>
    <xdr:ext cx="6348276" cy="269304"/>
    <xdr:sp macro="" textlink="">
      <xdr:nvSpPr>
        <xdr:cNvPr id="18" name="CuadroTexto 17">
          <a:extLst>
            <a:ext uri="{FF2B5EF4-FFF2-40B4-BE49-F238E27FC236}">
              <a16:creationId xmlns:a16="http://schemas.microsoft.com/office/drawing/2014/main" id="{F4638D70-C8EE-4AE8-813B-C9D3036B9414}"/>
            </a:ext>
          </a:extLst>
        </xdr:cNvPr>
        <xdr:cNvSpPr txBox="1"/>
      </xdr:nvSpPr>
      <xdr:spPr>
        <a:xfrm>
          <a:off x="8720341" y="12412710"/>
          <a:ext cx="634827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Las toneladas de Potasio que puede tener la mezcla sin que cambie la base puede variar entre:</a:t>
          </a:r>
        </a:p>
      </xdr:txBody>
    </xdr:sp>
    <xdr:clientData/>
  </xdr:oneCellAnchor>
  <xdr:oneCellAnchor>
    <xdr:from>
      <xdr:col>2</xdr:col>
      <xdr:colOff>8504</xdr:colOff>
      <xdr:row>73</xdr:row>
      <xdr:rowOff>141726</xdr:rowOff>
    </xdr:from>
    <xdr:ext cx="6356740" cy="269304"/>
    <xdr:sp macro="" textlink="">
      <xdr:nvSpPr>
        <xdr:cNvPr id="19" name="CuadroTexto 18">
          <a:extLst>
            <a:ext uri="{FF2B5EF4-FFF2-40B4-BE49-F238E27FC236}">
              <a16:creationId xmlns:a16="http://schemas.microsoft.com/office/drawing/2014/main" id="{5465A719-C130-4B78-9250-0F4CE5FFE12C}"/>
            </a:ext>
          </a:extLst>
        </xdr:cNvPr>
        <xdr:cNvSpPr txBox="1"/>
      </xdr:nvSpPr>
      <xdr:spPr>
        <a:xfrm>
          <a:off x="8725784" y="13514826"/>
          <a:ext cx="6356740"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Las toneladas de Fosfato que puede tener la mezcla sin que cambie la base puede variar entre:</a:t>
          </a:r>
        </a:p>
      </xdr:txBody>
    </xdr:sp>
    <xdr:clientData/>
  </xdr:oneCellAnchor>
  <xdr:oneCellAnchor>
    <xdr:from>
      <xdr:col>2</xdr:col>
      <xdr:colOff>8193</xdr:colOff>
      <xdr:row>112</xdr:row>
      <xdr:rowOff>131096</xdr:rowOff>
    </xdr:from>
    <xdr:ext cx="9529660" cy="269304"/>
    <xdr:sp macro="" textlink="">
      <xdr:nvSpPr>
        <xdr:cNvPr id="20" name="CuadroTexto 19">
          <a:extLst>
            <a:ext uri="{FF2B5EF4-FFF2-40B4-BE49-F238E27FC236}">
              <a16:creationId xmlns:a16="http://schemas.microsoft.com/office/drawing/2014/main" id="{49AF8C80-75FD-4AC5-9292-919AF1C89370}"/>
            </a:ext>
          </a:extLst>
        </xdr:cNvPr>
        <xdr:cNvSpPr txBox="1"/>
      </xdr:nvSpPr>
      <xdr:spPr>
        <a:xfrm>
          <a:off x="8725473" y="20659376"/>
          <a:ext cx="9529660"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002060"/>
              </a:solidFill>
              <a:latin typeface="Times New Roman" panose="02020603050405020304" pitchFamily="18" charset="0"/>
              <a:cs typeface="Times New Roman" panose="02020603050405020304" pitchFamily="18" charset="0"/>
            </a:rPr>
            <a:t>El</a:t>
          </a:r>
          <a:r>
            <a:rPr lang="es-PE" sz="1200" b="1" baseline="0">
              <a:solidFill>
                <a:srgbClr val="002060"/>
              </a:solidFill>
              <a:latin typeface="Times New Roman" panose="02020603050405020304" pitchFamily="18" charset="0"/>
              <a:cs typeface="Times New Roman" panose="02020603050405020304" pitchFamily="18" charset="0"/>
            </a:rPr>
            <a:t> cambio fuera del rango de sensibilidad de cualquiera de los costos va a cambiar la solución óptima y por lo tanto también la función objetivo.</a:t>
          </a:r>
          <a:endParaRPr lang="es-PE" sz="1200" b="1">
            <a:solidFill>
              <a:srgbClr val="002060"/>
            </a:solidFill>
            <a:latin typeface="Times New Roman" panose="02020603050405020304" pitchFamily="18" charset="0"/>
            <a:cs typeface="Times New Roman" panose="02020603050405020304" pitchFamily="18" charset="0"/>
          </a:endParaRPr>
        </a:p>
      </xdr:txBody>
    </xdr:sp>
    <xdr:clientData/>
  </xdr:oneCellAnchor>
  <xdr:oneCellAnchor>
    <xdr:from>
      <xdr:col>1</xdr:col>
      <xdr:colOff>783303</xdr:colOff>
      <xdr:row>132</xdr:row>
      <xdr:rowOff>136012</xdr:rowOff>
    </xdr:from>
    <xdr:ext cx="14892218" cy="269304"/>
    <xdr:sp macro="" textlink="">
      <xdr:nvSpPr>
        <xdr:cNvPr id="21" name="CuadroTexto 20">
          <a:extLst>
            <a:ext uri="{FF2B5EF4-FFF2-40B4-BE49-F238E27FC236}">
              <a16:creationId xmlns:a16="http://schemas.microsoft.com/office/drawing/2014/main" id="{356BA0F3-055C-4B36-AFF7-D6E8E3A8B0EF}"/>
            </a:ext>
          </a:extLst>
        </xdr:cNvPr>
        <xdr:cNvSpPr txBox="1"/>
      </xdr:nvSpPr>
      <xdr:spPr>
        <a:xfrm>
          <a:off x="8708103" y="24321892"/>
          <a:ext cx="14892218"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Por lo tanto, si el costo del fertilizante básico 2 aumenta en 2 dólares por tonelada, la compañía debe reconsiderar sus planes respecto al uso del fertilizante básico 2 debido a que el costo total se incrementaría en 187.5 dólares.</a:t>
          </a:r>
        </a:p>
      </xdr:txBody>
    </xdr:sp>
    <xdr:clientData/>
  </xdr:oneCellAnchor>
  <xdr:oneCellAnchor>
    <xdr:from>
      <xdr:col>1</xdr:col>
      <xdr:colOff>759482</xdr:colOff>
      <xdr:row>153</xdr:row>
      <xdr:rowOff>156344</xdr:rowOff>
    </xdr:from>
    <xdr:ext cx="15714238" cy="269304"/>
    <xdr:sp macro="" textlink="">
      <xdr:nvSpPr>
        <xdr:cNvPr id="22" name="CuadroTexto 21">
          <a:extLst>
            <a:ext uri="{FF2B5EF4-FFF2-40B4-BE49-F238E27FC236}">
              <a16:creationId xmlns:a16="http://schemas.microsoft.com/office/drawing/2014/main" id="{8283DA2C-55E0-44FD-98D1-A7ABA15DF36F}"/>
            </a:ext>
          </a:extLst>
        </xdr:cNvPr>
        <xdr:cNvSpPr txBox="1"/>
      </xdr:nvSpPr>
      <xdr:spPr>
        <a:xfrm>
          <a:off x="8684282" y="28182704"/>
          <a:ext cx="15714238"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Por consiguiente, un aumento del 0.2% provoca que la participación de fosfato en la producción alcance un mínimo del 8.2%. Este valor excede el límite superior del intervalo, lo que resulta en un cambio en la solución óptima del modelo.</a:t>
          </a:r>
        </a:p>
      </xdr:txBody>
    </xdr:sp>
    <xdr:clientData/>
  </xdr:oneCellAnchor>
  <xdr:oneCellAnchor>
    <xdr:from>
      <xdr:col>2</xdr:col>
      <xdr:colOff>15761</xdr:colOff>
      <xdr:row>79</xdr:row>
      <xdr:rowOff>148983</xdr:rowOff>
    </xdr:from>
    <xdr:ext cx="7245573" cy="269304"/>
    <xdr:sp macro="" textlink="">
      <xdr:nvSpPr>
        <xdr:cNvPr id="23" name="CuadroTexto 22">
          <a:extLst>
            <a:ext uri="{FF2B5EF4-FFF2-40B4-BE49-F238E27FC236}">
              <a16:creationId xmlns:a16="http://schemas.microsoft.com/office/drawing/2014/main" id="{025C31A4-B143-44CD-8045-A300EB7DF7A4}"/>
            </a:ext>
          </a:extLst>
        </xdr:cNvPr>
        <xdr:cNvSpPr txBox="1"/>
      </xdr:nvSpPr>
      <xdr:spPr>
        <a:xfrm>
          <a:off x="8733041" y="14619363"/>
          <a:ext cx="7245573"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Las toneladas de Fertilizante 1,</a:t>
          </a:r>
          <a:r>
            <a:rPr lang="es-PE" sz="1200" b="1" baseline="0">
              <a:solidFill>
                <a:srgbClr val="002060"/>
              </a:solidFill>
              <a:latin typeface="Times New Roman" panose="02020603050405020304" pitchFamily="18" charset="0"/>
              <a:ea typeface="+mn-ea"/>
              <a:cs typeface="Times New Roman" panose="02020603050405020304" pitchFamily="18" charset="0"/>
            </a:rPr>
            <a:t> 2, 3 y 4 </a:t>
          </a:r>
          <a:r>
            <a:rPr lang="es-PE" sz="1200" b="1">
              <a:solidFill>
                <a:srgbClr val="002060"/>
              </a:solidFill>
              <a:latin typeface="Times New Roman" panose="02020603050405020304" pitchFamily="18" charset="0"/>
              <a:ea typeface="+mn-ea"/>
              <a:cs typeface="Times New Roman" panose="02020603050405020304" pitchFamily="18" charset="0"/>
            </a:rPr>
            <a:t>que puede tener la mezcla sin que cambie la base puede variar entre:</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612586</xdr:colOff>
      <xdr:row>43</xdr:row>
      <xdr:rowOff>62066</xdr:rowOff>
    </xdr:to>
    <xdr:pic>
      <xdr:nvPicPr>
        <xdr:cNvPr id="2" name="Imagen 1">
          <a:extLst>
            <a:ext uri="{FF2B5EF4-FFF2-40B4-BE49-F238E27FC236}">
              <a16:creationId xmlns:a16="http://schemas.microsoft.com/office/drawing/2014/main" id="{A5D853D4-141D-B1E3-E1E2-74A7DA085E35}"/>
            </a:ext>
          </a:extLst>
        </xdr:cNvPr>
        <xdr:cNvPicPr>
          <a:picLocks noChangeAspect="1"/>
        </xdr:cNvPicPr>
      </xdr:nvPicPr>
      <xdr:blipFill>
        <a:blip xmlns:r="http://schemas.openxmlformats.org/officeDocument/2006/relationships" r:embed="rId1"/>
        <a:stretch>
          <a:fillRect/>
        </a:stretch>
      </xdr:blipFill>
      <xdr:spPr>
        <a:xfrm>
          <a:off x="0" y="0"/>
          <a:ext cx="7752422" cy="81413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2610</xdr:colOff>
      <xdr:row>0</xdr:row>
      <xdr:rowOff>142876</xdr:rowOff>
    </xdr:from>
    <xdr:ext cx="2389565" cy="269304"/>
    <xdr:sp macro="" textlink="">
      <xdr:nvSpPr>
        <xdr:cNvPr id="3" name="CuadroTexto 2">
          <a:extLst>
            <a:ext uri="{FF2B5EF4-FFF2-40B4-BE49-F238E27FC236}">
              <a16:creationId xmlns:a16="http://schemas.microsoft.com/office/drawing/2014/main" id="{89383210-8D50-46E8-AE0C-6177813F2829}"/>
            </a:ext>
          </a:extLst>
        </xdr:cNvPr>
        <xdr:cNvSpPr txBox="1"/>
      </xdr:nvSpPr>
      <xdr:spPr>
        <a:xfrm>
          <a:off x="8719890" y="142876"/>
          <a:ext cx="2389565"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a) Formule el modelo matemático</a:t>
          </a:r>
        </a:p>
      </xdr:txBody>
    </xdr:sp>
    <xdr:clientData/>
  </xdr:oneCellAnchor>
  <xdr:oneCellAnchor>
    <xdr:from>
      <xdr:col>2</xdr:col>
      <xdr:colOff>8481</xdr:colOff>
      <xdr:row>26</xdr:row>
      <xdr:rowOff>134263</xdr:rowOff>
    </xdr:from>
    <xdr:ext cx="4100033" cy="269304"/>
    <xdr:sp macro="" textlink="">
      <xdr:nvSpPr>
        <xdr:cNvPr id="4" name="CuadroTexto 3">
          <a:extLst>
            <a:ext uri="{FF2B5EF4-FFF2-40B4-BE49-F238E27FC236}">
              <a16:creationId xmlns:a16="http://schemas.microsoft.com/office/drawing/2014/main" id="{71950FF2-054C-4E6E-A982-DD77F801F611}"/>
            </a:ext>
          </a:extLst>
        </xdr:cNvPr>
        <xdr:cNvSpPr txBox="1"/>
      </xdr:nvSpPr>
      <xdr:spPr>
        <a:xfrm>
          <a:off x="8725761" y="4889143"/>
          <a:ext cx="4100033"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b) Resuelva el PL con Solver y encuentre la solución óptima</a:t>
          </a:r>
        </a:p>
      </xdr:txBody>
    </xdr:sp>
    <xdr:clientData/>
  </xdr:oneCellAnchor>
  <xdr:oneCellAnchor>
    <xdr:from>
      <xdr:col>2</xdr:col>
      <xdr:colOff>7599</xdr:colOff>
      <xdr:row>42</xdr:row>
      <xdr:rowOff>136464</xdr:rowOff>
    </xdr:from>
    <xdr:ext cx="6173421" cy="269304"/>
    <xdr:sp macro="" textlink="">
      <xdr:nvSpPr>
        <xdr:cNvPr id="5" name="CuadroTexto 4">
          <a:extLst>
            <a:ext uri="{FF2B5EF4-FFF2-40B4-BE49-F238E27FC236}">
              <a16:creationId xmlns:a16="http://schemas.microsoft.com/office/drawing/2014/main" id="{3966171F-5744-41D7-8052-FBC75E927F80}"/>
            </a:ext>
          </a:extLst>
        </xdr:cNvPr>
        <xdr:cNvSpPr txBox="1"/>
      </xdr:nvSpPr>
      <xdr:spPr>
        <a:xfrm>
          <a:off x="8724879" y="7817424"/>
          <a:ext cx="6173421"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c) Hallar el rango de factibilidad para las horas-máquina en el departamento de estampado</a:t>
          </a:r>
        </a:p>
      </xdr:txBody>
    </xdr:sp>
    <xdr:clientData/>
  </xdr:oneCellAnchor>
  <xdr:oneCellAnchor>
    <xdr:from>
      <xdr:col>2</xdr:col>
      <xdr:colOff>2205</xdr:colOff>
      <xdr:row>49</xdr:row>
      <xdr:rowOff>113691</xdr:rowOff>
    </xdr:from>
    <xdr:ext cx="7822398" cy="269304"/>
    <xdr:sp macro="" textlink="">
      <xdr:nvSpPr>
        <xdr:cNvPr id="6" name="CuadroTexto 5">
          <a:extLst>
            <a:ext uri="{FF2B5EF4-FFF2-40B4-BE49-F238E27FC236}">
              <a16:creationId xmlns:a16="http://schemas.microsoft.com/office/drawing/2014/main" id="{85D7CCC3-8BB4-4F28-8ADE-AD161A5F6E07}"/>
            </a:ext>
          </a:extLst>
        </xdr:cNvPr>
        <xdr:cNvSpPr txBox="1"/>
      </xdr:nvSpPr>
      <xdr:spPr>
        <a:xfrm>
          <a:off x="8719485" y="9074811"/>
          <a:ext cx="7822398"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d) Determine el intervalo dentro del cual el tiempo requerido por departamento puede cambiar sin modificar la base</a:t>
          </a:r>
        </a:p>
      </xdr:txBody>
    </xdr:sp>
    <xdr:clientData/>
  </xdr:oneCellAnchor>
  <xdr:oneCellAnchor>
    <xdr:from>
      <xdr:col>1</xdr:col>
      <xdr:colOff>780681</xdr:colOff>
      <xdr:row>82</xdr:row>
      <xdr:rowOff>121177</xdr:rowOff>
    </xdr:from>
    <xdr:ext cx="11003205" cy="269304"/>
    <xdr:sp macro="" textlink="">
      <xdr:nvSpPr>
        <xdr:cNvPr id="7" name="CuadroTexto 6">
          <a:extLst>
            <a:ext uri="{FF2B5EF4-FFF2-40B4-BE49-F238E27FC236}">
              <a16:creationId xmlns:a16="http://schemas.microsoft.com/office/drawing/2014/main" id="{FBEC2C51-593F-4D54-9052-467F6AE0E9B9}"/>
            </a:ext>
          </a:extLst>
        </xdr:cNvPr>
        <xdr:cNvSpPr txBox="1"/>
      </xdr:nvSpPr>
      <xdr:spPr>
        <a:xfrm>
          <a:off x="8705481" y="15140197"/>
          <a:ext cx="11003205"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e) ¿Cómo podría cambiar los coeficientes de ganancia de la toalla estampada clase 1 sin modificar la base?, ¿qué impacto tendría el cambio sobre la solución óptima?</a:t>
          </a:r>
        </a:p>
      </xdr:txBody>
    </xdr:sp>
    <xdr:clientData/>
  </xdr:oneCellAnchor>
  <xdr:oneCellAnchor>
    <xdr:from>
      <xdr:col>1</xdr:col>
      <xdr:colOff>791070</xdr:colOff>
      <xdr:row>102</xdr:row>
      <xdr:rowOff>110642</xdr:rowOff>
    </xdr:from>
    <xdr:ext cx="7990264" cy="269304"/>
    <xdr:sp macro="" textlink="">
      <xdr:nvSpPr>
        <xdr:cNvPr id="8" name="CuadroTexto 7">
          <a:extLst>
            <a:ext uri="{FF2B5EF4-FFF2-40B4-BE49-F238E27FC236}">
              <a16:creationId xmlns:a16="http://schemas.microsoft.com/office/drawing/2014/main" id="{53FDCFA9-EAB1-4899-A3D2-F7DF5461977E}"/>
            </a:ext>
          </a:extLst>
        </xdr:cNvPr>
        <xdr:cNvSpPr txBox="1"/>
      </xdr:nvSpPr>
      <xdr:spPr>
        <a:xfrm>
          <a:off x="8715870" y="18810122"/>
          <a:ext cx="799026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latin typeface="Times New Roman" panose="02020603050405020304" pitchFamily="18" charset="0"/>
              <a:cs typeface="Times New Roman" panose="02020603050405020304" pitchFamily="18" charset="0"/>
            </a:rPr>
            <a:t>Analizar los cambios en la solución en caso de que se presenten las siguientes situaciones pronosticadas por la gerencia:</a:t>
          </a:r>
          <a:endParaRPr lang="es-PE" sz="1200" b="1">
            <a:solidFill>
              <a:srgbClr val="FF0000"/>
            </a:solidFill>
            <a:latin typeface="Times New Roman" panose="02020603050405020304" pitchFamily="18" charset="0"/>
            <a:cs typeface="Times New Roman" panose="02020603050405020304" pitchFamily="18" charset="0"/>
          </a:endParaRPr>
        </a:p>
      </xdr:txBody>
    </xdr:sp>
    <xdr:clientData/>
  </xdr:oneCellAnchor>
  <xdr:oneCellAnchor>
    <xdr:from>
      <xdr:col>1</xdr:col>
      <xdr:colOff>787423</xdr:colOff>
      <xdr:row>103</xdr:row>
      <xdr:rowOff>125130</xdr:rowOff>
    </xdr:from>
    <xdr:ext cx="7250446" cy="269304"/>
    <xdr:sp macro="" textlink="">
      <xdr:nvSpPr>
        <xdr:cNvPr id="9" name="CuadroTexto 8">
          <a:extLst>
            <a:ext uri="{FF2B5EF4-FFF2-40B4-BE49-F238E27FC236}">
              <a16:creationId xmlns:a16="http://schemas.microsoft.com/office/drawing/2014/main" id="{34AAE573-747A-4BAC-AC96-F29C113CB14D}"/>
            </a:ext>
          </a:extLst>
        </xdr:cNvPr>
        <xdr:cNvSpPr txBox="1"/>
      </xdr:nvSpPr>
      <xdr:spPr>
        <a:xfrm>
          <a:off x="8712223" y="19007490"/>
          <a:ext cx="725044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f) Se adquirirá una rama para termofijar el estampado, con lo cual aumenta a 96 horas el tiempo disponible</a:t>
          </a:r>
        </a:p>
      </xdr:txBody>
    </xdr:sp>
    <xdr:clientData/>
  </xdr:oneCellAnchor>
  <xdr:oneCellAnchor>
    <xdr:from>
      <xdr:col>2</xdr:col>
      <xdr:colOff>19397</xdr:colOff>
      <xdr:row>120</xdr:row>
      <xdr:rowOff>171400</xdr:rowOff>
    </xdr:from>
    <xdr:ext cx="13465802" cy="269304"/>
    <xdr:sp macro="" textlink="">
      <xdr:nvSpPr>
        <xdr:cNvPr id="10" name="CuadroTexto 9">
          <a:extLst>
            <a:ext uri="{FF2B5EF4-FFF2-40B4-BE49-F238E27FC236}">
              <a16:creationId xmlns:a16="http://schemas.microsoft.com/office/drawing/2014/main" id="{8DBF0D8F-2179-4516-B4D5-610C1477AA51}"/>
            </a:ext>
          </a:extLst>
        </xdr:cNvPr>
        <xdr:cNvSpPr txBox="1"/>
      </xdr:nvSpPr>
      <xdr:spPr>
        <a:xfrm>
          <a:off x="8736677" y="22162720"/>
          <a:ext cx="13465802"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g) Los tintes de reactivo deben importarse a partir del siguiente mes, los cual incrementará los costos, por lo cual las ganancias percibidas por cada unidad de toallas estampadas tipo 1 serán de 2% menos.</a:t>
          </a:r>
        </a:p>
      </xdr:txBody>
    </xdr:sp>
    <xdr:clientData/>
  </xdr:oneCellAnchor>
  <xdr:oneCellAnchor>
    <xdr:from>
      <xdr:col>2</xdr:col>
      <xdr:colOff>5361</xdr:colOff>
      <xdr:row>44</xdr:row>
      <xdr:rowOff>138546</xdr:rowOff>
    </xdr:from>
    <xdr:ext cx="6819046" cy="269304"/>
    <xdr:sp macro="" textlink="">
      <xdr:nvSpPr>
        <xdr:cNvPr id="11" name="CuadroTexto 10">
          <a:extLst>
            <a:ext uri="{FF2B5EF4-FFF2-40B4-BE49-F238E27FC236}">
              <a16:creationId xmlns:a16="http://schemas.microsoft.com/office/drawing/2014/main" id="{9CC3E005-A450-4D8A-8B88-9F551078BE06}"/>
            </a:ext>
          </a:extLst>
        </xdr:cNvPr>
        <xdr:cNvSpPr txBox="1"/>
      </xdr:nvSpPr>
      <xdr:spPr>
        <a:xfrm>
          <a:off x="8722641" y="8185266"/>
          <a:ext cx="681904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002060"/>
              </a:solidFill>
              <a:latin typeface="Times New Roman" panose="02020603050405020304" pitchFamily="18" charset="0"/>
              <a:cs typeface="Times New Roman" panose="02020603050405020304" pitchFamily="18" charset="0"/>
            </a:rPr>
            <a:t>El</a:t>
          </a:r>
          <a:r>
            <a:rPr lang="es-PE" sz="1200" b="1" baseline="0">
              <a:solidFill>
                <a:srgbClr val="002060"/>
              </a:solidFill>
              <a:latin typeface="Times New Roman" panose="02020603050405020304" pitchFamily="18" charset="0"/>
              <a:cs typeface="Times New Roman" panose="02020603050405020304" pitchFamily="18" charset="0"/>
            </a:rPr>
            <a:t> rango de Horas-Máquina en el que es factible la solución del departamento de Estampado es entre:</a:t>
          </a:r>
          <a:endParaRPr lang="es-PE" sz="1200" b="1">
            <a:solidFill>
              <a:srgbClr val="002060"/>
            </a:solidFill>
            <a:latin typeface="Times New Roman" panose="02020603050405020304" pitchFamily="18" charset="0"/>
            <a:cs typeface="Times New Roman" panose="02020603050405020304" pitchFamily="18" charset="0"/>
          </a:endParaRPr>
        </a:p>
      </xdr:txBody>
    </xdr:sp>
    <xdr:clientData/>
  </xdr:oneCellAnchor>
  <xdr:oneCellAnchor>
    <xdr:from>
      <xdr:col>2</xdr:col>
      <xdr:colOff>0</xdr:colOff>
      <xdr:row>62</xdr:row>
      <xdr:rowOff>0</xdr:rowOff>
    </xdr:from>
    <xdr:ext cx="8606010" cy="269304"/>
    <xdr:sp macro="" textlink="">
      <xdr:nvSpPr>
        <xdr:cNvPr id="12" name="CuadroTexto 11">
          <a:extLst>
            <a:ext uri="{FF2B5EF4-FFF2-40B4-BE49-F238E27FC236}">
              <a16:creationId xmlns:a16="http://schemas.microsoft.com/office/drawing/2014/main" id="{06F3AEE2-01B9-4FEE-B79E-BBF2D9092DB2}"/>
            </a:ext>
          </a:extLst>
        </xdr:cNvPr>
        <xdr:cNvSpPr txBox="1"/>
      </xdr:nvSpPr>
      <xdr:spPr>
        <a:xfrm>
          <a:off x="8717280" y="11361420"/>
          <a:ext cx="8606010"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El intervalo de Horas-Máquina disponibles (semana) para el departamento</a:t>
          </a:r>
          <a:r>
            <a:rPr lang="es-PE" sz="1200" b="1" baseline="0">
              <a:solidFill>
                <a:srgbClr val="002060"/>
              </a:solidFill>
              <a:latin typeface="Times New Roman" panose="02020603050405020304" pitchFamily="18" charset="0"/>
              <a:ea typeface="+mn-ea"/>
              <a:cs typeface="Times New Roman" panose="02020603050405020304" pitchFamily="18" charset="0"/>
            </a:rPr>
            <a:t> de </a:t>
          </a:r>
          <a:r>
            <a:rPr lang="es-PE" sz="1200" b="1">
              <a:solidFill>
                <a:srgbClr val="002060"/>
              </a:solidFill>
              <a:latin typeface="Times New Roman" panose="02020603050405020304" pitchFamily="18" charset="0"/>
              <a:ea typeface="+mn-ea"/>
              <a:cs typeface="Times New Roman" panose="02020603050405020304" pitchFamily="18" charset="0"/>
            </a:rPr>
            <a:t>Tejido que puede variar sin que cambie la base</a:t>
          </a:r>
          <a:r>
            <a:rPr lang="es-PE" sz="1200" b="1" baseline="0">
              <a:solidFill>
                <a:srgbClr val="002060"/>
              </a:solidFill>
              <a:latin typeface="Times New Roman" panose="02020603050405020304" pitchFamily="18" charset="0"/>
              <a:ea typeface="+mn-ea"/>
              <a:cs typeface="Times New Roman" panose="02020603050405020304" pitchFamily="18" charset="0"/>
            </a:rPr>
            <a:t> </a:t>
          </a:r>
          <a:r>
            <a:rPr lang="es-PE" sz="1200" b="1">
              <a:solidFill>
                <a:srgbClr val="002060"/>
              </a:solidFill>
              <a:latin typeface="Times New Roman" panose="02020603050405020304" pitchFamily="18" charset="0"/>
              <a:ea typeface="+mn-ea"/>
              <a:cs typeface="Times New Roman" panose="02020603050405020304" pitchFamily="18" charset="0"/>
            </a:rPr>
            <a:t>es:</a:t>
          </a:r>
        </a:p>
      </xdr:txBody>
    </xdr:sp>
    <xdr:clientData/>
  </xdr:oneCellAnchor>
  <xdr:oneCellAnchor>
    <xdr:from>
      <xdr:col>2</xdr:col>
      <xdr:colOff>0</xdr:colOff>
      <xdr:row>91</xdr:row>
      <xdr:rowOff>138546</xdr:rowOff>
    </xdr:from>
    <xdr:ext cx="6476581" cy="269304"/>
    <xdr:sp macro="" textlink="">
      <xdr:nvSpPr>
        <xdr:cNvPr id="13" name="CuadroTexto 12">
          <a:extLst>
            <a:ext uri="{FF2B5EF4-FFF2-40B4-BE49-F238E27FC236}">
              <a16:creationId xmlns:a16="http://schemas.microsoft.com/office/drawing/2014/main" id="{AF8189C0-4A24-49E6-88DA-8BF16938052F}"/>
            </a:ext>
          </a:extLst>
        </xdr:cNvPr>
        <xdr:cNvSpPr txBox="1"/>
      </xdr:nvSpPr>
      <xdr:spPr>
        <a:xfrm>
          <a:off x="8717280" y="16826346"/>
          <a:ext cx="6476581"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solidFill>
                <a:srgbClr val="002060"/>
              </a:solidFill>
              <a:latin typeface="Times New Roman" panose="02020603050405020304" pitchFamily="18" charset="0"/>
              <a:ea typeface="+mn-ea"/>
              <a:cs typeface="Times New Roman" panose="02020603050405020304" pitchFamily="18" charset="0"/>
            </a:rPr>
            <a:t>El beneficio de la toalla con el estampado de Clase 1 puede variar, sin que cambie la base, entre:</a:t>
          </a:r>
        </a:p>
      </xdr:txBody>
    </xdr:sp>
    <xdr:clientData/>
  </xdr:oneCellAnchor>
  <xdr:oneCellAnchor>
    <xdr:from>
      <xdr:col>1</xdr:col>
      <xdr:colOff>783552</xdr:colOff>
      <xdr:row>95</xdr:row>
      <xdr:rowOff>129310</xdr:rowOff>
    </xdr:from>
    <xdr:ext cx="6476581" cy="269304"/>
    <xdr:sp macro="" textlink="">
      <xdr:nvSpPr>
        <xdr:cNvPr id="14" name="CuadroTexto 13">
          <a:extLst>
            <a:ext uri="{FF2B5EF4-FFF2-40B4-BE49-F238E27FC236}">
              <a16:creationId xmlns:a16="http://schemas.microsoft.com/office/drawing/2014/main" id="{D5874E67-73C0-4234-A83A-6F370FADE25B}"/>
            </a:ext>
          </a:extLst>
        </xdr:cNvPr>
        <xdr:cNvSpPr txBox="1"/>
      </xdr:nvSpPr>
      <xdr:spPr>
        <a:xfrm>
          <a:off x="8708352" y="17548630"/>
          <a:ext cx="6476581"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solidFill>
                <a:srgbClr val="002060"/>
              </a:solidFill>
              <a:latin typeface="Times New Roman" panose="02020603050405020304" pitchFamily="18" charset="0"/>
              <a:ea typeface="+mn-ea"/>
              <a:cs typeface="Times New Roman" panose="02020603050405020304" pitchFamily="18" charset="0"/>
            </a:rPr>
            <a:t>El beneficio de la toalla con el estampado de Clase 2 puede variar, sin que cambie la</a:t>
          </a:r>
          <a:r>
            <a:rPr lang="es-PE" sz="1200" b="1" baseline="0">
              <a:solidFill>
                <a:srgbClr val="002060"/>
              </a:solidFill>
              <a:latin typeface="Times New Roman" panose="02020603050405020304" pitchFamily="18" charset="0"/>
              <a:ea typeface="+mn-ea"/>
              <a:cs typeface="Times New Roman" panose="02020603050405020304" pitchFamily="18" charset="0"/>
            </a:rPr>
            <a:t> base</a:t>
          </a:r>
          <a:r>
            <a:rPr lang="es-PE" sz="1200" b="1">
              <a:solidFill>
                <a:srgbClr val="002060"/>
              </a:solidFill>
              <a:latin typeface="Times New Roman" panose="02020603050405020304" pitchFamily="18" charset="0"/>
              <a:ea typeface="+mn-ea"/>
              <a:cs typeface="Times New Roman" panose="02020603050405020304" pitchFamily="18" charset="0"/>
            </a:rPr>
            <a:t>, entre:</a:t>
          </a:r>
        </a:p>
      </xdr:txBody>
    </xdr:sp>
    <xdr:clientData/>
  </xdr:oneCellAnchor>
  <xdr:oneCellAnchor>
    <xdr:from>
      <xdr:col>1</xdr:col>
      <xdr:colOff>789710</xdr:colOff>
      <xdr:row>99</xdr:row>
      <xdr:rowOff>127771</xdr:rowOff>
    </xdr:from>
    <xdr:ext cx="9601283" cy="269304"/>
    <xdr:sp macro="" textlink="">
      <xdr:nvSpPr>
        <xdr:cNvPr id="15" name="CuadroTexto 14">
          <a:extLst>
            <a:ext uri="{FF2B5EF4-FFF2-40B4-BE49-F238E27FC236}">
              <a16:creationId xmlns:a16="http://schemas.microsoft.com/office/drawing/2014/main" id="{5E561BF2-0938-4F2D-A27D-178F5B2EAB3B}"/>
            </a:ext>
          </a:extLst>
        </xdr:cNvPr>
        <xdr:cNvSpPr txBox="1"/>
      </xdr:nvSpPr>
      <xdr:spPr>
        <a:xfrm>
          <a:off x="8714510" y="18278611"/>
          <a:ext cx="9601283"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002060"/>
              </a:solidFill>
              <a:latin typeface="Times New Roman" panose="02020603050405020304" pitchFamily="18" charset="0"/>
              <a:cs typeface="Times New Roman" panose="02020603050405020304" pitchFamily="18" charset="0"/>
            </a:rPr>
            <a:t>Si se cambiara</a:t>
          </a:r>
          <a:r>
            <a:rPr lang="es-PE" sz="1200" b="1" baseline="0">
              <a:solidFill>
                <a:srgbClr val="002060"/>
              </a:solidFill>
              <a:latin typeface="Times New Roman" panose="02020603050405020304" pitchFamily="18" charset="0"/>
              <a:cs typeface="Times New Roman" panose="02020603050405020304" pitchFamily="18" charset="0"/>
            </a:rPr>
            <a:t> el beneficio de la toalla con el estampado Clase 1 a por encima de $4200 la base cambiaría y ya convendría producir dicha toalla.</a:t>
          </a:r>
          <a:endParaRPr lang="es-PE" sz="1200" b="1">
            <a:solidFill>
              <a:srgbClr val="002060"/>
            </a:solidFill>
            <a:latin typeface="Times New Roman" panose="02020603050405020304" pitchFamily="18" charset="0"/>
            <a:cs typeface="Times New Roman" panose="02020603050405020304" pitchFamily="18" charset="0"/>
          </a:endParaRPr>
        </a:p>
      </xdr:txBody>
    </xdr:sp>
    <xdr:clientData/>
  </xdr:oneCellAnchor>
  <xdr:oneCellAnchor>
    <xdr:from>
      <xdr:col>2</xdr:col>
      <xdr:colOff>5508</xdr:colOff>
      <xdr:row>65</xdr:row>
      <xdr:rowOff>143218</xdr:rowOff>
    </xdr:from>
    <xdr:ext cx="8713026" cy="269304"/>
    <xdr:sp macro="" textlink="">
      <xdr:nvSpPr>
        <xdr:cNvPr id="16" name="CuadroTexto 15">
          <a:extLst>
            <a:ext uri="{FF2B5EF4-FFF2-40B4-BE49-F238E27FC236}">
              <a16:creationId xmlns:a16="http://schemas.microsoft.com/office/drawing/2014/main" id="{0E7BE5A9-40E6-455D-8EAF-77D5E4AC12CE}"/>
            </a:ext>
          </a:extLst>
        </xdr:cNvPr>
        <xdr:cNvSpPr txBox="1"/>
      </xdr:nvSpPr>
      <xdr:spPr>
        <a:xfrm>
          <a:off x="8722788" y="12053278"/>
          <a:ext cx="871302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El intervalo de Horas-Máquina disponibles (semana) para el departamento de Lavado que puede variar sin que cambie la base es:</a:t>
          </a:r>
        </a:p>
      </xdr:txBody>
    </xdr:sp>
    <xdr:clientData/>
  </xdr:oneCellAnchor>
  <xdr:oneCellAnchor>
    <xdr:from>
      <xdr:col>2</xdr:col>
      <xdr:colOff>1835</xdr:colOff>
      <xdr:row>69</xdr:row>
      <xdr:rowOff>121186</xdr:rowOff>
    </xdr:from>
    <xdr:ext cx="8960979" cy="269304"/>
    <xdr:sp macro="" textlink="">
      <xdr:nvSpPr>
        <xdr:cNvPr id="17" name="CuadroTexto 16">
          <a:extLst>
            <a:ext uri="{FF2B5EF4-FFF2-40B4-BE49-F238E27FC236}">
              <a16:creationId xmlns:a16="http://schemas.microsoft.com/office/drawing/2014/main" id="{15CFFC95-5907-4756-BE4A-F6A5383D62B7}"/>
            </a:ext>
          </a:extLst>
        </xdr:cNvPr>
        <xdr:cNvSpPr txBox="1"/>
      </xdr:nvSpPr>
      <xdr:spPr>
        <a:xfrm>
          <a:off x="8719115" y="12762766"/>
          <a:ext cx="8960979"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El intervalo de Horas-Máquina disponibles (semana) para el departamento</a:t>
          </a:r>
          <a:r>
            <a:rPr lang="es-PE" sz="1200" b="1" baseline="0">
              <a:solidFill>
                <a:srgbClr val="002060"/>
              </a:solidFill>
              <a:latin typeface="Times New Roman" panose="02020603050405020304" pitchFamily="18" charset="0"/>
              <a:ea typeface="+mn-ea"/>
              <a:cs typeface="Times New Roman" panose="02020603050405020304" pitchFamily="18" charset="0"/>
            </a:rPr>
            <a:t> de </a:t>
          </a:r>
          <a:r>
            <a:rPr lang="es-PE" sz="1200" b="1">
              <a:solidFill>
                <a:srgbClr val="002060"/>
              </a:solidFill>
              <a:latin typeface="Times New Roman" panose="02020603050405020304" pitchFamily="18" charset="0"/>
              <a:ea typeface="+mn-ea"/>
              <a:cs typeface="Times New Roman" panose="02020603050405020304" pitchFamily="18" charset="0"/>
            </a:rPr>
            <a:t>Estampado que puede variar sin que cambie la base es:</a:t>
          </a:r>
        </a:p>
      </xdr:txBody>
    </xdr:sp>
    <xdr:clientData/>
  </xdr:oneCellAnchor>
  <xdr:oneCellAnchor>
    <xdr:from>
      <xdr:col>1</xdr:col>
      <xdr:colOff>787704</xdr:colOff>
      <xdr:row>73</xdr:row>
      <xdr:rowOff>117513</xdr:rowOff>
    </xdr:from>
    <xdr:ext cx="9046066" cy="269304"/>
    <xdr:sp macro="" textlink="">
      <xdr:nvSpPr>
        <xdr:cNvPr id="18" name="CuadroTexto 17">
          <a:extLst>
            <a:ext uri="{FF2B5EF4-FFF2-40B4-BE49-F238E27FC236}">
              <a16:creationId xmlns:a16="http://schemas.microsoft.com/office/drawing/2014/main" id="{2FE6CCC3-7A05-4388-BFEB-BE193434DEFD}"/>
            </a:ext>
          </a:extLst>
        </xdr:cNvPr>
        <xdr:cNvSpPr txBox="1"/>
      </xdr:nvSpPr>
      <xdr:spPr>
        <a:xfrm>
          <a:off x="8712504" y="13490613"/>
          <a:ext cx="9046066"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El intervalo de Horas-Máquina disponibles (semana) para el departamento de Termofijado que puede variar sin que cambie la base es:</a:t>
          </a:r>
        </a:p>
      </xdr:txBody>
    </xdr:sp>
    <xdr:clientData/>
  </xdr:oneCellAnchor>
  <xdr:oneCellAnchor>
    <xdr:from>
      <xdr:col>2</xdr:col>
      <xdr:colOff>3671</xdr:colOff>
      <xdr:row>77</xdr:row>
      <xdr:rowOff>168925</xdr:rowOff>
    </xdr:from>
    <xdr:ext cx="8747010" cy="269304"/>
    <xdr:sp macro="" textlink="">
      <xdr:nvSpPr>
        <xdr:cNvPr id="19" name="CuadroTexto 18">
          <a:extLst>
            <a:ext uri="{FF2B5EF4-FFF2-40B4-BE49-F238E27FC236}">
              <a16:creationId xmlns:a16="http://schemas.microsoft.com/office/drawing/2014/main" id="{883C3A4F-DCA9-4048-8B14-50302D6F13DE}"/>
            </a:ext>
          </a:extLst>
        </xdr:cNvPr>
        <xdr:cNvSpPr txBox="1"/>
      </xdr:nvSpPr>
      <xdr:spPr>
        <a:xfrm>
          <a:off x="8720951" y="14273545"/>
          <a:ext cx="8747010"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s-PE" sz="1200" b="1">
              <a:solidFill>
                <a:srgbClr val="002060"/>
              </a:solidFill>
              <a:latin typeface="Times New Roman" panose="02020603050405020304" pitchFamily="18" charset="0"/>
              <a:ea typeface="+mn-ea"/>
              <a:cs typeface="Times New Roman" panose="02020603050405020304" pitchFamily="18" charset="0"/>
            </a:rPr>
            <a:t>El intervalo de Horas-Máquina disponibles (semana) para el departamento de Costura que puede variar sin que cambie la base</a:t>
          </a:r>
          <a:r>
            <a:rPr lang="es-PE" sz="1200" b="1" baseline="0">
              <a:solidFill>
                <a:srgbClr val="002060"/>
              </a:solidFill>
              <a:latin typeface="Times New Roman" panose="02020603050405020304" pitchFamily="18" charset="0"/>
              <a:ea typeface="+mn-ea"/>
              <a:cs typeface="Times New Roman" panose="02020603050405020304" pitchFamily="18" charset="0"/>
            </a:rPr>
            <a:t> </a:t>
          </a:r>
          <a:r>
            <a:rPr lang="es-PE" sz="1200" b="1">
              <a:solidFill>
                <a:srgbClr val="002060"/>
              </a:solidFill>
              <a:latin typeface="Times New Roman" panose="02020603050405020304" pitchFamily="18" charset="0"/>
              <a:ea typeface="+mn-ea"/>
              <a:cs typeface="Times New Roman" panose="02020603050405020304" pitchFamily="18" charset="0"/>
            </a:rPr>
            <a:t>es:</a:t>
          </a:r>
        </a:p>
      </xdr:txBody>
    </xdr:sp>
    <xdr:clientData/>
  </xdr:oneCellAnchor>
  <xdr:oneCellAnchor>
    <xdr:from>
      <xdr:col>2</xdr:col>
      <xdr:colOff>24009</xdr:colOff>
      <xdr:row>117</xdr:row>
      <xdr:rowOff>142117</xdr:rowOff>
    </xdr:from>
    <xdr:ext cx="10209828" cy="446276"/>
    <xdr:sp macro="" textlink="">
      <xdr:nvSpPr>
        <xdr:cNvPr id="20" name="CuadroTexto 19">
          <a:extLst>
            <a:ext uri="{FF2B5EF4-FFF2-40B4-BE49-F238E27FC236}">
              <a16:creationId xmlns:a16="http://schemas.microsoft.com/office/drawing/2014/main" id="{A4B11DA8-1AE5-4895-B88F-2B4750E081E7}"/>
            </a:ext>
          </a:extLst>
        </xdr:cNvPr>
        <xdr:cNvSpPr txBox="1"/>
      </xdr:nvSpPr>
      <xdr:spPr>
        <a:xfrm>
          <a:off x="1601172" y="21965443"/>
          <a:ext cx="10209828" cy="446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PE" sz="1200" b="1">
              <a:solidFill>
                <a:srgbClr val="002060"/>
              </a:solidFill>
              <a:latin typeface="Times New Roman" panose="02020603050405020304" pitchFamily="18" charset="0"/>
              <a:cs typeface="Times New Roman" panose="02020603050405020304" pitchFamily="18" charset="0"/>
            </a:rPr>
            <a:t>Si</a:t>
          </a:r>
          <a:r>
            <a:rPr lang="es-PE" sz="1200" b="1" baseline="0">
              <a:solidFill>
                <a:srgbClr val="002060"/>
              </a:solidFill>
              <a:latin typeface="Times New Roman" panose="02020603050405020304" pitchFamily="18" charset="0"/>
              <a:cs typeface="Times New Roman" panose="02020603050405020304" pitchFamily="18" charset="0"/>
            </a:rPr>
            <a:t> se compra una rama para termofijar y aumentar el tiempo Horas-Máquina en el departamento de Termojido la solución óptima no cambiaría; es decir, no produce toallas con estampado clase 1 y produce 48 toallas con estampado clase 2, manteniendo los 100800 dólares de ganancia.</a:t>
          </a:r>
          <a:endParaRPr lang="es-PE" sz="1200" b="1">
            <a:solidFill>
              <a:srgbClr val="002060"/>
            </a:solidFill>
            <a:latin typeface="Times New Roman" panose="02020603050405020304" pitchFamily="18" charset="0"/>
            <a:cs typeface="Times New Roman" panose="02020603050405020304" pitchFamily="18" charset="0"/>
          </a:endParaRPr>
        </a:p>
      </xdr:txBody>
    </xdr:sp>
    <xdr:clientData/>
  </xdr:oneCellAnchor>
  <xdr:oneCellAnchor>
    <xdr:from>
      <xdr:col>2</xdr:col>
      <xdr:colOff>2722</xdr:colOff>
      <xdr:row>134</xdr:row>
      <xdr:rowOff>142117</xdr:rowOff>
    </xdr:from>
    <xdr:ext cx="10256056" cy="446276"/>
    <xdr:sp macro="" textlink="">
      <xdr:nvSpPr>
        <xdr:cNvPr id="21" name="CuadroTexto 20">
          <a:extLst>
            <a:ext uri="{FF2B5EF4-FFF2-40B4-BE49-F238E27FC236}">
              <a16:creationId xmlns:a16="http://schemas.microsoft.com/office/drawing/2014/main" id="{DF1F3400-2CE5-4B0E-8064-4A85B0C101F3}"/>
            </a:ext>
          </a:extLst>
        </xdr:cNvPr>
        <xdr:cNvSpPr txBox="1"/>
      </xdr:nvSpPr>
      <xdr:spPr>
        <a:xfrm>
          <a:off x="1583166" y="24766006"/>
          <a:ext cx="10256056" cy="446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PE" sz="1200" b="1">
              <a:solidFill>
                <a:srgbClr val="002060"/>
              </a:solidFill>
              <a:latin typeface="Times New Roman" panose="02020603050405020304" pitchFamily="18" charset="0"/>
              <a:cs typeface="Times New Roman" panose="02020603050405020304" pitchFamily="18" charset="0"/>
            </a:rPr>
            <a:t>Si disminuyen las ganancias por las toallas de Clase 1 en un 2% debido al incremento de costos en tintes, la solución óptima no cambiará; es decir, no conviene producir toallas de Clase 1</a:t>
          </a:r>
          <a:r>
            <a:rPr lang="es-PE" sz="1200" b="1" baseline="0">
              <a:solidFill>
                <a:srgbClr val="002060"/>
              </a:solidFill>
              <a:latin typeface="Times New Roman" panose="02020603050405020304" pitchFamily="18" charset="0"/>
              <a:cs typeface="Times New Roman" panose="02020603050405020304" pitchFamily="18" charset="0"/>
            </a:rPr>
            <a:t>.</a:t>
          </a:r>
          <a:endParaRPr lang="es-PE" sz="1200" b="1">
            <a:solidFill>
              <a:srgbClr val="002060"/>
            </a:solidFill>
            <a:latin typeface="Times New Roman" panose="02020603050405020304" pitchFamily="18" charset="0"/>
            <a:cs typeface="Times New Roman" panose="02020603050405020304" pitchFamily="18" charset="0"/>
          </a:endParaRP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584007</xdr:colOff>
      <xdr:row>18</xdr:row>
      <xdr:rowOff>99534</xdr:rowOff>
    </xdr:to>
    <xdr:pic>
      <xdr:nvPicPr>
        <xdr:cNvPr id="2" name="Imagen 1">
          <a:extLst>
            <a:ext uri="{FF2B5EF4-FFF2-40B4-BE49-F238E27FC236}">
              <a16:creationId xmlns:a16="http://schemas.microsoft.com/office/drawing/2014/main" id="{F36B9E36-9A49-5129-1DBE-6205901CCAFC}"/>
            </a:ext>
          </a:extLst>
        </xdr:cNvPr>
        <xdr:cNvPicPr>
          <a:picLocks noChangeAspect="1"/>
        </xdr:cNvPicPr>
      </xdr:nvPicPr>
      <xdr:blipFill>
        <a:blip xmlns:r="http://schemas.openxmlformats.org/officeDocument/2006/relationships" r:embed="rId1"/>
        <a:stretch>
          <a:fillRect/>
        </a:stretch>
      </xdr:blipFill>
      <xdr:spPr>
        <a:xfrm>
          <a:off x="0" y="0"/>
          <a:ext cx="7735921" cy="34305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4918</xdr:colOff>
      <xdr:row>0</xdr:row>
      <xdr:rowOff>127869</xdr:rowOff>
    </xdr:from>
    <xdr:ext cx="12525480" cy="269304"/>
    <xdr:sp macro="" textlink="">
      <xdr:nvSpPr>
        <xdr:cNvPr id="3" name="CuadroTexto 2">
          <a:extLst>
            <a:ext uri="{FF2B5EF4-FFF2-40B4-BE49-F238E27FC236}">
              <a16:creationId xmlns:a16="http://schemas.microsoft.com/office/drawing/2014/main" id="{B4D91896-C609-4F91-AEFF-598DA4444580}"/>
            </a:ext>
          </a:extLst>
        </xdr:cNvPr>
        <xdr:cNvSpPr txBox="1"/>
      </xdr:nvSpPr>
      <xdr:spPr>
        <a:xfrm>
          <a:off x="8722198" y="127869"/>
          <a:ext cx="12525480"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a) Formular un modelo de Programación lineal que indique cuántos congeladores deben fabricarse de cada tipo para que el beneficio sea máximo, teniendo en cuenta el estudio de demanda</a:t>
          </a:r>
        </a:p>
      </xdr:txBody>
    </xdr:sp>
    <xdr:clientData/>
  </xdr:oneCellAnchor>
  <xdr:oneCellAnchor>
    <xdr:from>
      <xdr:col>2</xdr:col>
      <xdr:colOff>20842</xdr:colOff>
      <xdr:row>26</xdr:row>
      <xdr:rowOff>128118</xdr:rowOff>
    </xdr:from>
    <xdr:ext cx="6724661" cy="269304"/>
    <xdr:sp macro="" textlink="">
      <xdr:nvSpPr>
        <xdr:cNvPr id="4" name="CuadroTexto 3">
          <a:extLst>
            <a:ext uri="{FF2B5EF4-FFF2-40B4-BE49-F238E27FC236}">
              <a16:creationId xmlns:a16="http://schemas.microsoft.com/office/drawing/2014/main" id="{B02E16B5-EA0F-48A8-AE06-3DB627C0D2CB}"/>
            </a:ext>
          </a:extLst>
        </xdr:cNvPr>
        <xdr:cNvSpPr txBox="1"/>
      </xdr:nvSpPr>
      <xdr:spPr>
        <a:xfrm>
          <a:off x="8738122" y="4882998"/>
          <a:ext cx="6724661"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b) Resolverlo mediante el Solver. Interpretar la solución óptima incluyendo las variables de holgura</a:t>
          </a:r>
        </a:p>
      </xdr:txBody>
    </xdr:sp>
    <xdr:clientData/>
  </xdr:oneCellAnchor>
  <xdr:oneCellAnchor>
    <xdr:from>
      <xdr:col>2</xdr:col>
      <xdr:colOff>786742</xdr:colOff>
      <xdr:row>70</xdr:row>
      <xdr:rowOff>128122</xdr:rowOff>
    </xdr:from>
    <xdr:ext cx="9181424" cy="269304"/>
    <xdr:sp macro="" textlink="">
      <xdr:nvSpPr>
        <xdr:cNvPr id="5" name="CuadroTexto 4">
          <a:extLst>
            <a:ext uri="{FF2B5EF4-FFF2-40B4-BE49-F238E27FC236}">
              <a16:creationId xmlns:a16="http://schemas.microsoft.com/office/drawing/2014/main" id="{B8FA16E1-8AEC-4F54-87FA-B21191D17917}"/>
            </a:ext>
          </a:extLst>
        </xdr:cNvPr>
        <xdr:cNvSpPr txBox="1"/>
      </xdr:nvSpPr>
      <xdr:spPr>
        <a:xfrm>
          <a:off x="9504022" y="12975442"/>
          <a:ext cx="9181424"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PE" sz="1200" b="1">
              <a:solidFill>
                <a:srgbClr val="FF0000"/>
              </a:solidFill>
              <a:latin typeface="Times New Roman" panose="02020603050405020304" pitchFamily="18" charset="0"/>
              <a:cs typeface="Times New Roman" panose="02020603050405020304" pitchFamily="18" charset="0"/>
            </a:rPr>
            <a:t>c) Determinar los precios sombra de 200 horas más para ensamblaje con un costo adicional total de $750 000. ¿Debería aceptar la oferta?</a:t>
          </a:r>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35B0-026D-4B1C-AC3F-8B585D17319D}">
  <dimension ref="A125:A135"/>
  <sheetViews>
    <sheetView zoomScale="68" zoomScaleNormal="100" workbookViewId="0">
      <selection activeCell="L25" sqref="L25"/>
    </sheetView>
  </sheetViews>
  <sheetFormatPr baseColWidth="10" defaultRowHeight="14.6" x14ac:dyDescent="0.4"/>
  <sheetData>
    <row r="125" ht="14.4" customHeight="1" x14ac:dyDescent="0.4"/>
    <row r="126" ht="14.4" customHeight="1" x14ac:dyDescent="0.4"/>
    <row r="134" ht="14.4" customHeight="1" x14ac:dyDescent="0.4"/>
    <row r="135" ht="14.4" customHeight="1" x14ac:dyDescent="0.4"/>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EB2C1-DA51-4EA4-B935-161066A14DA2}">
  <dimension ref="A1:H20"/>
  <sheetViews>
    <sheetView showGridLines="0" workbookViewId="0">
      <selection activeCell="I11" sqref="I11"/>
    </sheetView>
  </sheetViews>
  <sheetFormatPr baseColWidth="10" defaultRowHeight="14.6" x14ac:dyDescent="0.4"/>
  <cols>
    <col min="1" max="1" width="2.3046875" customWidth="1"/>
    <col min="2" max="2" width="6.3046875" bestFit="1" customWidth="1"/>
    <col min="3" max="3" width="7.84375" bestFit="1" customWidth="1"/>
    <col min="4" max="4" width="6" bestFit="1" customWidth="1"/>
    <col min="5" max="5" width="8.84375" bestFit="1" customWidth="1"/>
    <col min="6" max="6" width="12.07421875" bestFit="1" customWidth="1"/>
    <col min="7" max="8" width="12" bestFit="1" customWidth="1"/>
  </cols>
  <sheetData>
    <row r="1" spans="1:8" x14ac:dyDescent="0.4">
      <c r="A1" s="5" t="s">
        <v>23</v>
      </c>
    </row>
    <row r="2" spans="1:8" x14ac:dyDescent="0.4">
      <c r="A2" s="5" t="s">
        <v>89</v>
      </c>
    </row>
    <row r="3" spans="1:8" x14ac:dyDescent="0.4">
      <c r="A3" s="5" t="s">
        <v>92</v>
      </c>
    </row>
    <row r="6" spans="1:8" ht="15" thickBot="1" x14ac:dyDescent="0.45">
      <c r="A6" t="s">
        <v>24</v>
      </c>
    </row>
    <row r="7" spans="1:8" x14ac:dyDescent="0.4">
      <c r="B7" s="28"/>
      <c r="C7" s="28"/>
      <c r="D7" s="28" t="s">
        <v>27</v>
      </c>
      <c r="E7" s="28" t="s">
        <v>29</v>
      </c>
      <c r="F7" s="28" t="s">
        <v>31</v>
      </c>
      <c r="G7" s="28" t="s">
        <v>33</v>
      </c>
      <c r="H7" s="28" t="s">
        <v>33</v>
      </c>
    </row>
    <row r="8" spans="1:8" ht="15" thickBot="1" x14ac:dyDescent="0.45">
      <c r="B8" s="29" t="s">
        <v>25</v>
      </c>
      <c r="C8" s="29" t="s">
        <v>26</v>
      </c>
      <c r="D8" s="29" t="s">
        <v>28</v>
      </c>
      <c r="E8" s="29" t="s">
        <v>30</v>
      </c>
      <c r="F8" s="29" t="s">
        <v>32</v>
      </c>
      <c r="G8" s="29" t="s">
        <v>34</v>
      </c>
      <c r="H8" s="29" t="s">
        <v>35</v>
      </c>
    </row>
    <row r="9" spans="1:8" x14ac:dyDescent="0.4">
      <c r="B9" s="26" t="s">
        <v>93</v>
      </c>
      <c r="C9" s="26" t="s">
        <v>41</v>
      </c>
      <c r="D9" s="26">
        <v>0</v>
      </c>
      <c r="E9" s="26">
        <v>1.2499999999999982</v>
      </c>
      <c r="F9" s="26">
        <v>16</v>
      </c>
      <c r="G9" s="26">
        <v>1E+30</v>
      </c>
      <c r="H9" s="26">
        <v>1.2499999999999982</v>
      </c>
    </row>
    <row r="10" spans="1:8" x14ac:dyDescent="0.4">
      <c r="B10" s="26" t="s">
        <v>94</v>
      </c>
      <c r="C10" s="26" t="s">
        <v>42</v>
      </c>
      <c r="D10" s="26">
        <v>187.50000000000014</v>
      </c>
      <c r="E10" s="26">
        <v>0</v>
      </c>
      <c r="F10" s="26">
        <v>12</v>
      </c>
      <c r="G10" s="26">
        <v>0.99999999999999822</v>
      </c>
      <c r="H10" s="26">
        <v>3</v>
      </c>
    </row>
    <row r="11" spans="1:8" x14ac:dyDescent="0.4">
      <c r="B11" s="26" t="s">
        <v>95</v>
      </c>
      <c r="C11" s="26" t="s">
        <v>43</v>
      </c>
      <c r="D11" s="26">
        <v>687.5</v>
      </c>
      <c r="E11" s="26">
        <v>0</v>
      </c>
      <c r="F11" s="26">
        <v>15</v>
      </c>
      <c r="G11" s="26">
        <v>4.9999999999999964</v>
      </c>
      <c r="H11" s="26">
        <v>4.5999999999999988</v>
      </c>
    </row>
    <row r="12" spans="1:8" ht="15" thickBot="1" x14ac:dyDescent="0.45">
      <c r="B12" s="27" t="s">
        <v>96</v>
      </c>
      <c r="C12" s="27" t="s">
        <v>44</v>
      </c>
      <c r="D12" s="27">
        <v>124.99999999999991</v>
      </c>
      <c r="E12" s="27">
        <v>0</v>
      </c>
      <c r="F12" s="27">
        <v>8</v>
      </c>
      <c r="G12" s="27">
        <v>3.4999999999999991</v>
      </c>
      <c r="H12" s="27">
        <v>2.4999999999999942</v>
      </c>
    </row>
    <row r="14" spans="1:8" ht="15" thickBot="1" x14ac:dyDescent="0.45">
      <c r="A14" t="s">
        <v>36</v>
      </c>
    </row>
    <row r="15" spans="1:8" x14ac:dyDescent="0.4">
      <c r="B15" s="28"/>
      <c r="C15" s="28"/>
      <c r="D15" s="28" t="s">
        <v>27</v>
      </c>
      <c r="E15" s="28" t="s">
        <v>37</v>
      </c>
      <c r="F15" s="28" t="s">
        <v>39</v>
      </c>
      <c r="G15" s="28" t="s">
        <v>33</v>
      </c>
      <c r="H15" s="28" t="s">
        <v>33</v>
      </c>
    </row>
    <row r="16" spans="1:8" ht="15" thickBot="1" x14ac:dyDescent="0.45">
      <c r="B16" s="29" t="s">
        <v>25</v>
      </c>
      <c r="C16" s="29" t="s">
        <v>26</v>
      </c>
      <c r="D16" s="29" t="s">
        <v>28</v>
      </c>
      <c r="E16" s="29" t="s">
        <v>38</v>
      </c>
      <c r="F16" s="29" t="s">
        <v>40</v>
      </c>
      <c r="G16" s="29" t="s">
        <v>34</v>
      </c>
      <c r="H16" s="29" t="s">
        <v>35</v>
      </c>
    </row>
    <row r="17" spans="2:8" x14ac:dyDescent="0.4">
      <c r="B17" s="26" t="s">
        <v>68</v>
      </c>
      <c r="C17" s="26" t="s">
        <v>47</v>
      </c>
      <c r="D17" s="26">
        <v>200.00000000000006</v>
      </c>
      <c r="E17" s="26">
        <v>13.125000000000004</v>
      </c>
      <c r="F17" s="26">
        <v>200</v>
      </c>
      <c r="G17" s="26">
        <v>1.3333333333332988</v>
      </c>
      <c r="H17" s="26">
        <v>42.857142857142883</v>
      </c>
    </row>
    <row r="18" spans="2:8" x14ac:dyDescent="0.4">
      <c r="B18" s="26" t="s">
        <v>97</v>
      </c>
      <c r="C18" s="26" t="s">
        <v>47</v>
      </c>
      <c r="D18" s="26">
        <v>300</v>
      </c>
      <c r="E18" s="26">
        <v>14.374999999999998</v>
      </c>
      <c r="F18" s="26">
        <v>300</v>
      </c>
      <c r="G18" s="26">
        <v>3.9999999999998948</v>
      </c>
      <c r="H18" s="26">
        <v>219.99999999999997</v>
      </c>
    </row>
    <row r="19" spans="2:8" x14ac:dyDescent="0.4">
      <c r="B19" s="26" t="s">
        <v>98</v>
      </c>
      <c r="C19" s="26" t="s">
        <v>47</v>
      </c>
      <c r="D19" s="26">
        <v>81.249999999999972</v>
      </c>
      <c r="E19" s="26">
        <v>0</v>
      </c>
      <c r="F19" s="26">
        <v>80</v>
      </c>
      <c r="G19" s="26">
        <v>1.249999999999968</v>
      </c>
      <c r="H19" s="26">
        <v>1E+30</v>
      </c>
    </row>
    <row r="20" spans="2:8" ht="15" thickBot="1" x14ac:dyDescent="0.45">
      <c r="B20" s="27" t="s">
        <v>99</v>
      </c>
      <c r="C20" s="30" t="s">
        <v>90</v>
      </c>
      <c r="D20" s="27">
        <v>1000</v>
      </c>
      <c r="E20" s="27">
        <v>6.6249999999999991</v>
      </c>
      <c r="F20" s="27">
        <v>1000</v>
      </c>
      <c r="G20" s="27">
        <v>1499.9999999999989</v>
      </c>
      <c r="H20" s="27">
        <v>3.4482758620688769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5F4B1-6328-4479-81D4-98F4E5FE6A08}">
  <dimension ref="C4:Y153"/>
  <sheetViews>
    <sheetView topLeftCell="A32" zoomScale="79" zoomScaleNormal="100" workbookViewId="0">
      <selection activeCell="N54" sqref="N54"/>
    </sheetView>
  </sheetViews>
  <sheetFormatPr baseColWidth="10" defaultRowHeight="14.6" x14ac:dyDescent="0.4"/>
  <cols>
    <col min="5" max="15" width="11.53515625" customWidth="1"/>
    <col min="17" max="17" width="11.53515625" customWidth="1"/>
    <col min="19" max="19" width="11.53515625" customWidth="1"/>
    <col min="21" max="21" width="11.69140625" bestFit="1" customWidth="1"/>
  </cols>
  <sheetData>
    <row r="4" spans="3:14" x14ac:dyDescent="0.4">
      <c r="C4" s="48" t="s">
        <v>0</v>
      </c>
      <c r="D4" s="48"/>
      <c r="E4" s="48"/>
      <c r="F4" s="48"/>
      <c r="G4" s="48"/>
      <c r="H4" s="48"/>
      <c r="I4" s="48"/>
      <c r="J4" s="48"/>
      <c r="K4" s="48"/>
      <c r="L4" s="48"/>
      <c r="M4" s="48"/>
      <c r="N4" s="48"/>
    </row>
    <row r="6" spans="3:14" x14ac:dyDescent="0.4">
      <c r="E6" s="43" t="s">
        <v>1</v>
      </c>
      <c r="F6" s="43"/>
      <c r="G6" s="43"/>
      <c r="H6" s="43"/>
      <c r="I6" s="43"/>
      <c r="J6" s="43"/>
    </row>
    <row r="7" spans="3:14" x14ac:dyDescent="0.4">
      <c r="C7" s="1"/>
      <c r="D7" s="1"/>
    </row>
    <row r="8" spans="3:14" x14ac:dyDescent="0.4">
      <c r="C8" s="1"/>
      <c r="D8" s="1"/>
      <c r="F8" s="50" t="s">
        <v>110</v>
      </c>
      <c r="G8" s="50"/>
      <c r="H8" s="50"/>
      <c r="I8" s="50"/>
    </row>
    <row r="9" spans="3:14" x14ac:dyDescent="0.4">
      <c r="C9" s="1"/>
      <c r="D9" s="1"/>
      <c r="F9" s="50" t="s">
        <v>111</v>
      </c>
      <c r="G9" s="50"/>
      <c r="H9" s="50"/>
      <c r="I9" s="50"/>
    </row>
    <row r="10" spans="3:14" x14ac:dyDescent="0.4">
      <c r="C10" s="1"/>
      <c r="D10" s="1"/>
      <c r="F10" s="50" t="s">
        <v>112</v>
      </c>
      <c r="G10" s="50"/>
      <c r="H10" s="50"/>
      <c r="I10" s="50"/>
    </row>
    <row r="11" spans="3:14" x14ac:dyDescent="0.4">
      <c r="C11" s="1"/>
      <c r="D11" s="1"/>
      <c r="F11" s="50" t="s">
        <v>113</v>
      </c>
      <c r="G11" s="50"/>
      <c r="H11" s="50"/>
      <c r="I11" s="50"/>
    </row>
    <row r="12" spans="3:14" x14ac:dyDescent="0.4">
      <c r="C12" s="1"/>
      <c r="D12" s="1"/>
      <c r="F12" s="32"/>
      <c r="G12" s="32"/>
      <c r="H12" s="32"/>
      <c r="I12" s="32"/>
    </row>
    <row r="13" spans="3:14" x14ac:dyDescent="0.4">
      <c r="D13" s="1"/>
      <c r="E13" s="1"/>
      <c r="F13" s="2" t="s">
        <v>10</v>
      </c>
      <c r="H13" s="2" t="s">
        <v>11</v>
      </c>
      <c r="J13" s="2" t="s">
        <v>12</v>
      </c>
      <c r="L13" s="2" t="s">
        <v>13</v>
      </c>
    </row>
    <row r="15" spans="3:14" x14ac:dyDescent="0.4">
      <c r="C15" s="45" t="s">
        <v>9</v>
      </c>
      <c r="D15" s="45"/>
      <c r="E15" s="19" t="s">
        <v>3</v>
      </c>
      <c r="F15" s="19">
        <v>16</v>
      </c>
      <c r="G15" s="19" t="s">
        <v>4</v>
      </c>
      <c r="H15" s="19">
        <v>12</v>
      </c>
      <c r="I15" s="19" t="s">
        <v>4</v>
      </c>
      <c r="J15" s="19">
        <v>15</v>
      </c>
      <c r="K15" s="19" t="s">
        <v>4</v>
      </c>
      <c r="L15" s="19">
        <v>8</v>
      </c>
    </row>
    <row r="16" spans="3:14" x14ac:dyDescent="0.4">
      <c r="J16" s="5"/>
    </row>
    <row r="17" spans="3:21" x14ac:dyDescent="0.4">
      <c r="E17" s="43" t="s">
        <v>5</v>
      </c>
      <c r="F17" s="43"/>
      <c r="G17" s="43"/>
      <c r="H17" s="43"/>
      <c r="I17" s="43"/>
      <c r="J17" s="43"/>
    </row>
    <row r="18" spans="3:21" x14ac:dyDescent="0.4">
      <c r="J18" s="5"/>
      <c r="N18" s="2"/>
      <c r="Q18" s="2"/>
      <c r="S18" s="2"/>
      <c r="U18" s="2"/>
    </row>
    <row r="19" spans="3:21" x14ac:dyDescent="0.4">
      <c r="J19" s="5"/>
    </row>
    <row r="20" spans="3:21" x14ac:dyDescent="0.4">
      <c r="C20" s="45" t="s">
        <v>114</v>
      </c>
      <c r="D20" s="45"/>
      <c r="E20" s="19" t="s">
        <v>6</v>
      </c>
      <c r="F20" s="19">
        <v>0.4</v>
      </c>
      <c r="G20" s="19" t="s">
        <v>4</v>
      </c>
      <c r="H20" s="19">
        <v>0.3</v>
      </c>
      <c r="I20" s="19" t="s">
        <v>4</v>
      </c>
      <c r="J20" s="19">
        <v>0.2</v>
      </c>
      <c r="K20" s="19" t="s">
        <v>4</v>
      </c>
      <c r="L20" s="19">
        <v>0.05</v>
      </c>
      <c r="M20" s="20" t="s">
        <v>46</v>
      </c>
      <c r="N20" s="19">
        <f>0.2*1000</f>
        <v>200</v>
      </c>
      <c r="P20" s="17"/>
      <c r="Q20" s="17"/>
      <c r="R20" s="17"/>
      <c r="S20" s="17"/>
      <c r="T20" s="17"/>
      <c r="U20" s="17"/>
    </row>
    <row r="21" spans="3:21" x14ac:dyDescent="0.4">
      <c r="E21" s="2"/>
      <c r="F21" s="2"/>
      <c r="G21" s="2"/>
      <c r="H21" s="2"/>
      <c r="I21" s="2"/>
      <c r="J21" s="2"/>
      <c r="K21" s="2"/>
      <c r="L21" s="2"/>
      <c r="M21" s="2"/>
      <c r="N21" s="2"/>
      <c r="P21" s="18"/>
      <c r="R21" s="18"/>
      <c r="T21" s="18"/>
    </row>
    <row r="22" spans="3:21" x14ac:dyDescent="0.4">
      <c r="C22" s="45" t="s">
        <v>115</v>
      </c>
      <c r="D22" s="45"/>
      <c r="E22" s="19" t="s">
        <v>6</v>
      </c>
      <c r="F22" s="19">
        <v>0.2</v>
      </c>
      <c r="G22" s="19" t="s">
        <v>4</v>
      </c>
      <c r="H22" s="19">
        <v>0.1</v>
      </c>
      <c r="I22" s="19" t="s">
        <v>4</v>
      </c>
      <c r="J22" s="19">
        <v>0.4</v>
      </c>
      <c r="K22" s="19" t="s">
        <v>4</v>
      </c>
      <c r="L22" s="19">
        <v>0.05</v>
      </c>
      <c r="M22" s="20" t="s">
        <v>46</v>
      </c>
      <c r="N22" s="19">
        <f>0.3*1000</f>
        <v>300</v>
      </c>
      <c r="P22" s="17"/>
      <c r="T22" s="17"/>
      <c r="U22" s="17"/>
    </row>
    <row r="23" spans="3:21" x14ac:dyDescent="0.4">
      <c r="C23" s="2"/>
      <c r="D23" s="2"/>
      <c r="E23" s="2"/>
      <c r="F23" s="2"/>
      <c r="G23" s="2"/>
      <c r="H23" s="2"/>
      <c r="I23" s="2"/>
      <c r="J23" s="2"/>
      <c r="K23" s="2"/>
      <c r="L23" s="2"/>
      <c r="M23" s="4"/>
      <c r="N23" s="2"/>
      <c r="P23" s="17"/>
      <c r="T23" s="17"/>
      <c r="U23" s="17"/>
    </row>
    <row r="24" spans="3:21" x14ac:dyDescent="0.4">
      <c r="C24" s="45" t="s">
        <v>116</v>
      </c>
      <c r="D24" s="45"/>
      <c r="E24" s="19" t="s">
        <v>6</v>
      </c>
      <c r="F24" s="19">
        <v>0.1</v>
      </c>
      <c r="G24" s="19" t="s">
        <v>4</v>
      </c>
      <c r="H24" s="19">
        <v>0.05</v>
      </c>
      <c r="I24" s="19" t="s">
        <v>4</v>
      </c>
      <c r="J24" s="19">
        <v>0.05</v>
      </c>
      <c r="K24" s="19" t="s">
        <v>4</v>
      </c>
      <c r="L24" s="19">
        <v>0.3</v>
      </c>
      <c r="M24" s="20" t="s">
        <v>46</v>
      </c>
      <c r="N24" s="19">
        <f>0.08*1000</f>
        <v>80</v>
      </c>
      <c r="P24" s="17"/>
      <c r="T24" s="17"/>
      <c r="U24" s="17"/>
    </row>
    <row r="25" spans="3:21" x14ac:dyDescent="0.4">
      <c r="G25" s="5"/>
    </row>
    <row r="26" spans="3:21" x14ac:dyDescent="0.4">
      <c r="C26" s="45" t="s">
        <v>88</v>
      </c>
      <c r="D26" s="45"/>
      <c r="E26" s="19" t="s">
        <v>6</v>
      </c>
      <c r="F26" s="19">
        <v>1</v>
      </c>
      <c r="G26" s="19" t="s">
        <v>4</v>
      </c>
      <c r="H26" s="19">
        <v>1</v>
      </c>
      <c r="I26" s="19" t="s">
        <v>4</v>
      </c>
      <c r="J26" s="19">
        <v>1</v>
      </c>
      <c r="K26" s="19" t="s">
        <v>4</v>
      </c>
      <c r="L26" s="19">
        <v>1</v>
      </c>
      <c r="M26" s="20" t="s">
        <v>3</v>
      </c>
      <c r="N26" s="19">
        <v>1000</v>
      </c>
    </row>
    <row r="27" spans="3:21" x14ac:dyDescent="0.4">
      <c r="C27" s="2"/>
      <c r="G27" s="2"/>
      <c r="H27" s="3"/>
      <c r="I27" s="2"/>
      <c r="J27" s="3"/>
      <c r="K27" s="2"/>
      <c r="L27" s="3"/>
      <c r="M27" s="4"/>
      <c r="N27" s="3"/>
    </row>
    <row r="29" spans="3:21" x14ac:dyDescent="0.4">
      <c r="G29" s="5"/>
    </row>
    <row r="31" spans="3:21" x14ac:dyDescent="0.4">
      <c r="C31" s="48" t="s">
        <v>8</v>
      </c>
      <c r="D31" s="48"/>
      <c r="E31" s="48"/>
      <c r="F31" s="48"/>
      <c r="G31" s="48"/>
      <c r="H31" s="48"/>
      <c r="I31" s="48"/>
      <c r="J31" s="48"/>
      <c r="K31" s="48"/>
      <c r="L31" s="48"/>
      <c r="M31" s="48"/>
      <c r="N31" s="48"/>
    </row>
    <row r="33" spans="3:25" x14ac:dyDescent="0.4">
      <c r="E33" s="43" t="s">
        <v>22</v>
      </c>
      <c r="F33" s="43"/>
      <c r="G33" s="43"/>
      <c r="H33" s="43"/>
      <c r="I33" s="43"/>
      <c r="J33" s="43"/>
    </row>
    <row r="35" spans="3:25" x14ac:dyDescent="0.4">
      <c r="C35" s="3"/>
      <c r="D35" s="42" t="s">
        <v>19</v>
      </c>
      <c r="E35" s="42"/>
      <c r="F35" s="42"/>
      <c r="G35" s="42"/>
      <c r="H35" s="3"/>
      <c r="I35" s="7" t="s">
        <v>20</v>
      </c>
      <c r="J35" s="7" t="s">
        <v>21</v>
      </c>
      <c r="L35" s="7" t="s">
        <v>69</v>
      </c>
      <c r="T35" s="14">
        <f>I41</f>
        <v>81.249999999999972</v>
      </c>
      <c r="U35" s="17" t="s">
        <v>91</v>
      </c>
    </row>
    <row r="36" spans="3:25" x14ac:dyDescent="0.4">
      <c r="C36" s="3"/>
      <c r="D36" s="7" t="s">
        <v>10</v>
      </c>
      <c r="E36" s="7" t="s">
        <v>11</v>
      </c>
      <c r="F36" s="7" t="s">
        <v>12</v>
      </c>
      <c r="G36" s="7" t="s">
        <v>13</v>
      </c>
      <c r="H36" s="3"/>
      <c r="I36" s="3"/>
      <c r="J36" s="3"/>
    </row>
    <row r="37" spans="3:25" x14ac:dyDescent="0.4">
      <c r="C37" s="7" t="s">
        <v>14</v>
      </c>
      <c r="D37" s="8">
        <v>0</v>
      </c>
      <c r="E37" s="8">
        <v>187.50000000000014</v>
      </c>
      <c r="F37" s="8">
        <v>687.5</v>
      </c>
      <c r="G37" s="8">
        <v>124.99999999999991</v>
      </c>
      <c r="H37" s="3"/>
      <c r="I37" s="3"/>
      <c r="J37" s="3"/>
      <c r="R37" s="21">
        <f>T35/1000</f>
        <v>8.1249999999999975E-2</v>
      </c>
    </row>
    <row r="38" spans="3:25" x14ac:dyDescent="0.4">
      <c r="C38" s="7" t="s">
        <v>18</v>
      </c>
      <c r="D38" s="6">
        <f>F15</f>
        <v>16</v>
      </c>
      <c r="E38" s="6">
        <f>H15</f>
        <v>12</v>
      </c>
      <c r="F38" s="6">
        <f>J15</f>
        <v>15</v>
      </c>
      <c r="G38" s="6">
        <f>L15</f>
        <v>8</v>
      </c>
      <c r="H38" s="8">
        <f>SUMPRODUCT(D37:G37,D38:G38)</f>
        <v>13562.500000000002</v>
      </c>
      <c r="I38" s="3"/>
      <c r="J38" s="3"/>
    </row>
    <row r="39" spans="3:25" x14ac:dyDescent="0.4">
      <c r="C39" s="7" t="s">
        <v>15</v>
      </c>
      <c r="D39" s="6">
        <f>F20</f>
        <v>0.4</v>
      </c>
      <c r="E39" s="6">
        <f>H20</f>
        <v>0.3</v>
      </c>
      <c r="F39" s="6">
        <f>J20</f>
        <v>0.2</v>
      </c>
      <c r="G39" s="6">
        <f>L20</f>
        <v>0.05</v>
      </c>
      <c r="H39" s="9" t="s">
        <v>46</v>
      </c>
      <c r="I39" s="8">
        <f>SUMPRODUCT(D37:G37,D39:G39)</f>
        <v>200.00000000000006</v>
      </c>
      <c r="J39" s="6">
        <f>N20</f>
        <v>200</v>
      </c>
      <c r="L39" s="16">
        <f>ROUND(J39-I39,2)</f>
        <v>0</v>
      </c>
    </row>
    <row r="40" spans="3:25" x14ac:dyDescent="0.4">
      <c r="C40" s="7" t="s">
        <v>16</v>
      </c>
      <c r="D40" s="6">
        <f>F22</f>
        <v>0.2</v>
      </c>
      <c r="E40" s="6">
        <f>H22</f>
        <v>0.1</v>
      </c>
      <c r="F40" s="6">
        <f>J22</f>
        <v>0.4</v>
      </c>
      <c r="G40" s="6">
        <f>L22</f>
        <v>0.05</v>
      </c>
      <c r="H40" s="9" t="s">
        <v>46</v>
      </c>
      <c r="I40" s="8">
        <f>SUMPRODUCT(D37:G37,D40:G40)</f>
        <v>300</v>
      </c>
      <c r="J40" s="6">
        <f>N22</f>
        <v>300</v>
      </c>
      <c r="L40" s="16">
        <f t="shared" ref="L40:L42" si="0">J40-I40</f>
        <v>0</v>
      </c>
    </row>
    <row r="41" spans="3:25" x14ac:dyDescent="0.4">
      <c r="C41" s="7" t="s">
        <v>17</v>
      </c>
      <c r="D41" s="6">
        <f>F24</f>
        <v>0.1</v>
      </c>
      <c r="E41" s="6">
        <f>H24</f>
        <v>0.05</v>
      </c>
      <c r="F41" s="6">
        <f>J24</f>
        <v>0.05</v>
      </c>
      <c r="G41" s="6">
        <f>L24</f>
        <v>0.3</v>
      </c>
      <c r="H41" s="9" t="s">
        <v>46</v>
      </c>
      <c r="I41" s="8">
        <f>SUMPRODUCT(D37:G37,D41:G41)</f>
        <v>81.249999999999972</v>
      </c>
      <c r="J41" s="6">
        <f>N24</f>
        <v>80</v>
      </c>
      <c r="L41" s="15">
        <f>J41-I41</f>
        <v>-1.2499999999999716</v>
      </c>
    </row>
    <row r="42" spans="3:25" x14ac:dyDescent="0.4">
      <c r="C42" s="7" t="s">
        <v>58</v>
      </c>
      <c r="D42" s="6">
        <v>1</v>
      </c>
      <c r="E42" s="6">
        <v>1</v>
      </c>
      <c r="F42" s="6">
        <v>1</v>
      </c>
      <c r="G42" s="6">
        <v>1</v>
      </c>
      <c r="H42" s="9" t="s">
        <v>3</v>
      </c>
      <c r="I42" s="8">
        <f>SUMPRODUCT(D37:G37,D42:G42)</f>
        <v>1000</v>
      </c>
      <c r="J42" s="6">
        <f>N26</f>
        <v>1000</v>
      </c>
      <c r="L42" s="16">
        <f t="shared" si="0"/>
        <v>0</v>
      </c>
    </row>
    <row r="43" spans="3:25" x14ac:dyDescent="0.4">
      <c r="E43" s="2"/>
      <c r="F43" s="3"/>
      <c r="G43" s="3"/>
      <c r="H43" s="3"/>
      <c r="I43" s="3"/>
      <c r="J43" s="14"/>
      <c r="K43" s="3"/>
      <c r="L43" s="3"/>
    </row>
    <row r="44" spans="3:25" x14ac:dyDescent="0.4">
      <c r="E44" s="2"/>
      <c r="F44" s="3"/>
      <c r="G44" s="3"/>
      <c r="H44" s="3"/>
      <c r="I44" s="3"/>
      <c r="J44" s="14"/>
      <c r="K44" s="3"/>
      <c r="L44" s="3"/>
    </row>
    <row r="45" spans="3:25" x14ac:dyDescent="0.4">
      <c r="C45" s="49" t="s">
        <v>153</v>
      </c>
      <c r="D45" s="49"/>
      <c r="E45" s="49"/>
      <c r="F45" s="49"/>
      <c r="G45" s="49"/>
      <c r="H45" s="49"/>
      <c r="I45" s="49"/>
      <c r="J45" s="14"/>
      <c r="K45" s="49" t="s">
        <v>160</v>
      </c>
      <c r="L45" s="49"/>
      <c r="M45" s="49"/>
      <c r="N45" s="49"/>
      <c r="O45" s="49"/>
      <c r="P45" s="49"/>
      <c r="Q45" s="49"/>
      <c r="S45" s="49" t="s">
        <v>162</v>
      </c>
      <c r="T45" s="49"/>
      <c r="U45" s="49"/>
      <c r="V45" s="49"/>
      <c r="W45" s="49"/>
      <c r="X45" s="49"/>
      <c r="Y45" s="49"/>
    </row>
    <row r="46" spans="3:25" x14ac:dyDescent="0.4">
      <c r="C46" s="49" t="s">
        <v>154</v>
      </c>
      <c r="D46" s="49"/>
      <c r="E46" s="49"/>
      <c r="F46" s="49"/>
      <c r="G46" s="49"/>
      <c r="H46" s="40">
        <f>SUM(D37:G37)</f>
        <v>1000</v>
      </c>
      <c r="I46" s="40" t="s">
        <v>155</v>
      </c>
      <c r="J46" s="14"/>
      <c r="K46" s="49" t="s">
        <v>154</v>
      </c>
      <c r="L46" s="49"/>
      <c r="M46" s="49"/>
      <c r="N46" s="49"/>
      <c r="O46" s="49"/>
      <c r="P46" s="40">
        <f>SUM(D37:G37)</f>
        <v>1000</v>
      </c>
      <c r="Q46" s="40" t="s">
        <v>155</v>
      </c>
      <c r="S46" s="49" t="s">
        <v>154</v>
      </c>
      <c r="T46" s="49"/>
      <c r="U46" s="49"/>
      <c r="V46" s="49"/>
      <c r="W46" s="49"/>
      <c r="X46" s="40">
        <f>SUM(D37:G37)</f>
        <v>1000</v>
      </c>
      <c r="Y46" s="40" t="s">
        <v>155</v>
      </c>
    </row>
    <row r="47" spans="3:25" x14ac:dyDescent="0.4">
      <c r="C47" s="49" t="s">
        <v>156</v>
      </c>
      <c r="D47" s="49"/>
      <c r="E47" s="49"/>
      <c r="F47" s="49"/>
      <c r="G47" s="49"/>
      <c r="H47" s="40">
        <f>E37*0.3+F37*0.2+G37*0.05</f>
        <v>200.00000000000006</v>
      </c>
      <c r="I47" s="40" t="s">
        <v>155</v>
      </c>
      <c r="J47" s="14"/>
      <c r="K47" s="49" t="s">
        <v>156</v>
      </c>
      <c r="L47" s="49"/>
      <c r="M47" s="49"/>
      <c r="N47" s="49"/>
      <c r="O47" s="49"/>
      <c r="P47" s="40">
        <f>E37*0.1+F37*0.4+G37*0.05</f>
        <v>300</v>
      </c>
      <c r="Q47" s="40" t="s">
        <v>155</v>
      </c>
      <c r="S47" s="49" t="s">
        <v>156</v>
      </c>
      <c r="T47" s="49"/>
      <c r="U47" s="49"/>
      <c r="V47" s="49"/>
      <c r="W47" s="49"/>
      <c r="X47" s="40">
        <f>E37*0.05+F37*0.05+G37*0.3</f>
        <v>81.249999999999972</v>
      </c>
      <c r="Y47" s="40" t="s">
        <v>155</v>
      </c>
    </row>
    <row r="48" spans="3:25" x14ac:dyDescent="0.4">
      <c r="C48" s="49" t="s">
        <v>157</v>
      </c>
      <c r="D48" s="49"/>
      <c r="E48" s="49"/>
      <c r="F48" s="49"/>
      <c r="G48" s="49"/>
      <c r="H48" s="40">
        <f>H47*100/H46</f>
        <v>20.000000000000007</v>
      </c>
      <c r="I48" s="40" t="s">
        <v>158</v>
      </c>
      <c r="K48" s="49" t="s">
        <v>157</v>
      </c>
      <c r="L48" s="49"/>
      <c r="M48" s="49"/>
      <c r="N48" s="49"/>
      <c r="O48" s="49"/>
      <c r="P48" s="40">
        <f>P47*100/P46</f>
        <v>30</v>
      </c>
      <c r="Q48" s="40" t="s">
        <v>158</v>
      </c>
      <c r="S48" s="49" t="s">
        <v>157</v>
      </c>
      <c r="T48" s="49"/>
      <c r="U48" s="49"/>
      <c r="V48" s="49"/>
      <c r="W48" s="49"/>
      <c r="X48" s="40">
        <f>X47*100/X46</f>
        <v>8.1249999999999964</v>
      </c>
      <c r="Y48" s="40" t="s">
        <v>158</v>
      </c>
    </row>
    <row r="49" spans="3:25" x14ac:dyDescent="0.4">
      <c r="C49" s="41"/>
      <c r="S49" s="41"/>
      <c r="T49" s="41"/>
      <c r="U49" s="41"/>
      <c r="V49" s="41"/>
      <c r="W49" s="41"/>
      <c r="X49" s="41"/>
      <c r="Y49" s="41"/>
    </row>
    <row r="50" spans="3:25" x14ac:dyDescent="0.4">
      <c r="C50" s="49" t="s">
        <v>159</v>
      </c>
      <c r="D50" s="49"/>
      <c r="E50" s="49"/>
      <c r="F50" s="49"/>
      <c r="G50" s="49"/>
      <c r="H50" s="49"/>
      <c r="I50" s="49"/>
      <c r="J50" s="14"/>
      <c r="K50" s="49" t="s">
        <v>161</v>
      </c>
      <c r="L50" s="49"/>
      <c r="M50" s="49"/>
      <c r="N50" s="49"/>
      <c r="O50" s="49"/>
      <c r="P50" s="49"/>
      <c r="Q50" s="49"/>
      <c r="S50" s="49" t="s">
        <v>163</v>
      </c>
      <c r="T50" s="49"/>
      <c r="U50" s="49"/>
      <c r="V50" s="49"/>
      <c r="W50" s="49"/>
      <c r="X50" s="49"/>
      <c r="Y50" s="49"/>
    </row>
    <row r="51" spans="3:25" x14ac:dyDescent="0.4">
      <c r="C51" s="49"/>
      <c r="D51" s="49"/>
      <c r="E51" s="49"/>
      <c r="F51" s="49"/>
      <c r="G51" s="49"/>
      <c r="H51" s="49"/>
      <c r="I51" s="49"/>
      <c r="J51" s="14"/>
      <c r="K51" s="49"/>
      <c r="L51" s="49"/>
      <c r="M51" s="49"/>
      <c r="N51" s="49"/>
      <c r="O51" s="49"/>
      <c r="P51" s="49"/>
      <c r="Q51" s="49"/>
      <c r="S51" s="49"/>
      <c r="T51" s="49"/>
      <c r="U51" s="49"/>
      <c r="V51" s="49"/>
      <c r="W51" s="49"/>
      <c r="X51" s="49"/>
      <c r="Y51" s="49"/>
    </row>
    <row r="52" spans="3:25" x14ac:dyDescent="0.4">
      <c r="E52" s="2"/>
      <c r="F52" s="3"/>
      <c r="G52" s="3"/>
      <c r="H52" s="3"/>
      <c r="I52" s="3"/>
      <c r="J52" s="14"/>
      <c r="K52" s="3"/>
      <c r="L52" s="3"/>
    </row>
    <row r="54" spans="3:25" x14ac:dyDescent="0.4">
      <c r="C54" s="47" t="s">
        <v>86</v>
      </c>
      <c r="D54" s="47"/>
      <c r="E54" s="47"/>
      <c r="F54" s="47"/>
      <c r="G54" s="47"/>
      <c r="H54" s="47"/>
      <c r="L54" s="3"/>
    </row>
    <row r="55" spans="3:25" ht="15" thickBot="1" x14ac:dyDescent="0.45">
      <c r="E55" s="3"/>
      <c r="F55" s="3"/>
      <c r="G55" s="3"/>
      <c r="H55" s="3"/>
      <c r="I55" s="3"/>
      <c r="J55" s="3"/>
      <c r="K55" s="3"/>
      <c r="L55" s="3"/>
    </row>
    <row r="56" spans="3:25" x14ac:dyDescent="0.4">
      <c r="C56" s="10"/>
      <c r="D56" s="10"/>
      <c r="E56" s="10" t="s">
        <v>27</v>
      </c>
      <c r="F56" s="10" t="s">
        <v>37</v>
      </c>
      <c r="G56" s="10" t="s">
        <v>39</v>
      </c>
      <c r="H56" s="10" t="s">
        <v>33</v>
      </c>
      <c r="I56" s="10" t="s">
        <v>33</v>
      </c>
    </row>
    <row r="57" spans="3:25" ht="15" thickBot="1" x14ac:dyDescent="0.45">
      <c r="C57" s="11" t="s">
        <v>25</v>
      </c>
      <c r="D57" s="11" t="s">
        <v>26</v>
      </c>
      <c r="E57" s="11" t="s">
        <v>28</v>
      </c>
      <c r="F57" s="11" t="s">
        <v>38</v>
      </c>
      <c r="G57" s="11" t="s">
        <v>40</v>
      </c>
      <c r="H57" s="11" t="s">
        <v>34</v>
      </c>
      <c r="I57" s="11" t="s">
        <v>35</v>
      </c>
    </row>
    <row r="58" spans="3:25" x14ac:dyDescent="0.4">
      <c r="C58" s="12" t="s">
        <v>68</v>
      </c>
      <c r="D58" s="12" t="s">
        <v>47</v>
      </c>
      <c r="E58" s="12">
        <v>200.00000000000006</v>
      </c>
      <c r="F58" s="12">
        <v>13.125000000000004</v>
      </c>
      <c r="G58" s="12">
        <v>200</v>
      </c>
      <c r="H58" s="12">
        <v>1.3333333333332988</v>
      </c>
      <c r="I58" s="12">
        <v>42.857142857142883</v>
      </c>
    </row>
    <row r="59" spans="3:25" x14ac:dyDescent="0.4">
      <c r="C59" s="12" t="s">
        <v>97</v>
      </c>
      <c r="D59" s="12" t="s">
        <v>47</v>
      </c>
      <c r="E59" s="12">
        <v>300</v>
      </c>
      <c r="F59" s="12">
        <v>14.374999999999998</v>
      </c>
      <c r="G59" s="12">
        <v>300</v>
      </c>
      <c r="H59" s="12">
        <v>3.9999999999998948</v>
      </c>
      <c r="I59" s="12">
        <v>219.99999999999997</v>
      </c>
    </row>
    <row r="60" spans="3:25" x14ac:dyDescent="0.4">
      <c r="C60" s="12" t="s">
        <v>98</v>
      </c>
      <c r="D60" s="12" t="s">
        <v>47</v>
      </c>
      <c r="E60" s="12">
        <v>81.249999999999972</v>
      </c>
      <c r="F60" s="12">
        <v>0</v>
      </c>
      <c r="G60" s="12">
        <v>80</v>
      </c>
      <c r="H60" s="12">
        <v>1.249999999999968</v>
      </c>
      <c r="I60" s="12">
        <v>1E+30</v>
      </c>
    </row>
    <row r="61" spans="3:25" ht="15" thickBot="1" x14ac:dyDescent="0.45">
      <c r="C61" s="13" t="s">
        <v>99</v>
      </c>
      <c r="D61" s="31" t="s">
        <v>90</v>
      </c>
      <c r="E61" s="13">
        <v>1000</v>
      </c>
      <c r="F61" s="13">
        <v>6.6249999999999991</v>
      </c>
      <c r="G61" s="13">
        <v>1000</v>
      </c>
      <c r="H61" s="13">
        <v>1499.9999999999989</v>
      </c>
      <c r="I61" s="13">
        <v>3.4482758620688769</v>
      </c>
    </row>
    <row r="62" spans="3:25" x14ac:dyDescent="0.4">
      <c r="E62" s="3"/>
    </row>
    <row r="65" spans="3:11" x14ac:dyDescent="0.4">
      <c r="C65" s="44" t="s">
        <v>91</v>
      </c>
      <c r="D65" s="44"/>
      <c r="F65" s="19">
        <f>G58-I58</f>
        <v>157.14285714285711</v>
      </c>
      <c r="G65" s="20" t="s">
        <v>7</v>
      </c>
      <c r="H65" s="45">
        <f>G58</f>
        <v>200</v>
      </c>
      <c r="I65" s="45"/>
      <c r="J65" s="20" t="s">
        <v>7</v>
      </c>
      <c r="K65" s="19">
        <f>G58+H58</f>
        <v>201.33333333333329</v>
      </c>
    </row>
    <row r="67" spans="3:11" x14ac:dyDescent="0.4">
      <c r="C67" s="44" t="s">
        <v>108</v>
      </c>
      <c r="D67" s="44"/>
      <c r="F67" s="22">
        <f>F65/1000</f>
        <v>0.15714285714285711</v>
      </c>
      <c r="G67" s="25" t="s">
        <v>7</v>
      </c>
      <c r="H67" s="46">
        <f>H65/1000</f>
        <v>0.2</v>
      </c>
      <c r="I67" s="46"/>
      <c r="J67" s="25" t="s">
        <v>7</v>
      </c>
      <c r="K67" s="22">
        <f>K65/1000</f>
        <v>0.20133333333333328</v>
      </c>
    </row>
    <row r="68" spans="3:11" x14ac:dyDescent="0.4">
      <c r="H68" s="5"/>
      <c r="I68" s="5"/>
    </row>
    <row r="69" spans="3:11" x14ac:dyDescent="0.4">
      <c r="H69" s="5"/>
      <c r="I69" s="5"/>
    </row>
    <row r="70" spans="3:11" x14ac:dyDescent="0.4">
      <c r="H70" s="5"/>
      <c r="I70" s="5"/>
    </row>
    <row r="71" spans="3:11" x14ac:dyDescent="0.4">
      <c r="C71" s="44" t="s">
        <v>91</v>
      </c>
      <c r="D71" s="44"/>
      <c r="F71" s="19">
        <f>G59-I59</f>
        <v>80.000000000000028</v>
      </c>
      <c r="G71" s="20" t="s">
        <v>7</v>
      </c>
      <c r="H71" s="45">
        <f>G59</f>
        <v>300</v>
      </c>
      <c r="I71" s="45"/>
      <c r="J71" s="20" t="s">
        <v>7</v>
      </c>
      <c r="K71" s="19">
        <f>G59+H59</f>
        <v>303.99999999999989</v>
      </c>
    </row>
    <row r="73" spans="3:11" x14ac:dyDescent="0.4">
      <c r="C73" s="44" t="s">
        <v>108</v>
      </c>
      <c r="D73" s="44"/>
      <c r="F73" s="22">
        <f>F71/1000</f>
        <v>8.0000000000000029E-2</v>
      </c>
      <c r="G73" s="25" t="s">
        <v>7</v>
      </c>
      <c r="H73" s="46">
        <f>H71/1000</f>
        <v>0.3</v>
      </c>
      <c r="I73" s="46"/>
      <c r="J73" s="25" t="s">
        <v>7</v>
      </c>
      <c r="K73" s="22">
        <f>K71/1000</f>
        <v>0.30399999999999988</v>
      </c>
    </row>
    <row r="74" spans="3:11" x14ac:dyDescent="0.4">
      <c r="H74" s="5"/>
      <c r="I74" s="5"/>
    </row>
    <row r="75" spans="3:11" x14ac:dyDescent="0.4">
      <c r="F75" s="17"/>
      <c r="G75" s="2"/>
      <c r="H75" s="2"/>
      <c r="I75" s="2"/>
      <c r="J75" s="2"/>
      <c r="K75" s="17"/>
    </row>
    <row r="76" spans="3:11" x14ac:dyDescent="0.4">
      <c r="H76" s="5"/>
      <c r="I76" s="5"/>
    </row>
    <row r="77" spans="3:11" x14ac:dyDescent="0.4">
      <c r="C77" s="44" t="s">
        <v>91</v>
      </c>
      <c r="D77" s="44"/>
      <c r="F77" s="19">
        <f>G60-I60</f>
        <v>-1E+30</v>
      </c>
      <c r="G77" s="20" t="s">
        <v>7</v>
      </c>
      <c r="H77" s="45">
        <f>G60</f>
        <v>80</v>
      </c>
      <c r="I77" s="45"/>
      <c r="J77" s="20" t="s">
        <v>7</v>
      </c>
      <c r="K77" s="19">
        <f>G60+H60</f>
        <v>81.249999999999972</v>
      </c>
    </row>
    <row r="79" spans="3:11" x14ac:dyDescent="0.4">
      <c r="C79" s="44" t="s">
        <v>108</v>
      </c>
      <c r="D79" s="44"/>
      <c r="F79" s="33">
        <v>0</v>
      </c>
      <c r="G79" s="25" t="s">
        <v>7</v>
      </c>
      <c r="H79" s="46">
        <f>H77/1000</f>
        <v>0.08</v>
      </c>
      <c r="I79" s="46"/>
      <c r="J79" s="25" t="s">
        <v>7</v>
      </c>
      <c r="K79" s="22">
        <f>K77/1000</f>
        <v>8.1249999999999975E-2</v>
      </c>
    </row>
    <row r="83" spans="3:12" x14ac:dyDescent="0.4">
      <c r="C83" s="44" t="s">
        <v>91</v>
      </c>
      <c r="D83" s="44"/>
      <c r="F83" s="19">
        <f>G61-I61</f>
        <v>996.55172413793116</v>
      </c>
      <c r="G83" s="20" t="s">
        <v>7</v>
      </c>
      <c r="H83" s="45">
        <f>G61</f>
        <v>1000</v>
      </c>
      <c r="I83" s="45"/>
      <c r="J83" s="20" t="s">
        <v>7</v>
      </c>
      <c r="K83" s="19">
        <f>G61+H61</f>
        <v>2499.9999999999991</v>
      </c>
    </row>
    <row r="84" spans="3:12" x14ac:dyDescent="0.4">
      <c r="F84" s="17"/>
      <c r="G84" s="4"/>
      <c r="H84" s="2"/>
      <c r="I84" s="2"/>
      <c r="J84" s="4"/>
      <c r="K84" s="17"/>
    </row>
    <row r="88" spans="3:12" x14ac:dyDescent="0.4">
      <c r="C88" s="47" t="s">
        <v>87</v>
      </c>
      <c r="D88" s="47"/>
      <c r="E88" s="47"/>
      <c r="F88" s="47"/>
      <c r="G88" s="47"/>
      <c r="H88" s="47"/>
    </row>
    <row r="89" spans="3:12" ht="15" thickBot="1" x14ac:dyDescent="0.45"/>
    <row r="90" spans="3:12" x14ac:dyDescent="0.4">
      <c r="C90" s="10"/>
      <c r="D90" s="10"/>
      <c r="E90" s="10" t="s">
        <v>27</v>
      </c>
      <c r="F90" s="10" t="s">
        <v>29</v>
      </c>
      <c r="G90" s="10" t="s">
        <v>31</v>
      </c>
      <c r="H90" s="10" t="s">
        <v>33</v>
      </c>
      <c r="I90" s="10" t="s">
        <v>33</v>
      </c>
    </row>
    <row r="91" spans="3:12" ht="15" thickBot="1" x14ac:dyDescent="0.45">
      <c r="C91" s="11" t="s">
        <v>25</v>
      </c>
      <c r="D91" s="11" t="s">
        <v>26</v>
      </c>
      <c r="E91" s="11" t="s">
        <v>28</v>
      </c>
      <c r="F91" s="11" t="s">
        <v>30</v>
      </c>
      <c r="G91" s="11" t="s">
        <v>32</v>
      </c>
      <c r="H91" s="11" t="s">
        <v>34</v>
      </c>
      <c r="I91" s="11" t="s">
        <v>35</v>
      </c>
    </row>
    <row r="92" spans="3:12" x14ac:dyDescent="0.4">
      <c r="C92" s="12" t="s">
        <v>93</v>
      </c>
      <c r="D92" s="12" t="s">
        <v>41</v>
      </c>
      <c r="E92" s="12">
        <v>0</v>
      </c>
      <c r="F92" s="12">
        <v>1.2499999999999982</v>
      </c>
      <c r="G92" s="12">
        <v>16</v>
      </c>
      <c r="H92" s="12">
        <v>1E+30</v>
      </c>
      <c r="I92" s="12">
        <v>1.2499999999999982</v>
      </c>
    </row>
    <row r="93" spans="3:12" x14ac:dyDescent="0.4">
      <c r="C93" s="12" t="s">
        <v>94</v>
      </c>
      <c r="D93" s="12" t="s">
        <v>42</v>
      </c>
      <c r="E93" s="12">
        <v>187.50000000000014</v>
      </c>
      <c r="F93" s="12">
        <v>0</v>
      </c>
      <c r="G93" s="12">
        <v>12</v>
      </c>
      <c r="H93" s="12">
        <v>0.99999999999999822</v>
      </c>
      <c r="I93" s="12">
        <v>3</v>
      </c>
    </row>
    <row r="94" spans="3:12" x14ac:dyDescent="0.4">
      <c r="C94" s="12" t="s">
        <v>95</v>
      </c>
      <c r="D94" s="12" t="s">
        <v>43</v>
      </c>
      <c r="E94" s="12">
        <v>687.5</v>
      </c>
      <c r="F94" s="12">
        <v>0</v>
      </c>
      <c r="G94" s="12">
        <v>15</v>
      </c>
      <c r="H94" s="12">
        <v>4.9999999999999964</v>
      </c>
      <c r="I94" s="12">
        <v>4.5999999999999988</v>
      </c>
    </row>
    <row r="95" spans="3:12" ht="15" thickBot="1" x14ac:dyDescent="0.45">
      <c r="C95" s="13" t="s">
        <v>96</v>
      </c>
      <c r="D95" s="13" t="s">
        <v>44</v>
      </c>
      <c r="E95" s="13">
        <v>124.99999999999991</v>
      </c>
      <c r="F95" s="13">
        <v>0</v>
      </c>
      <c r="G95" s="13">
        <v>8</v>
      </c>
      <c r="H95" s="13">
        <v>3.4999999999999991</v>
      </c>
      <c r="I95" s="13">
        <v>2.4999999999999942</v>
      </c>
    </row>
    <row r="96" spans="3:12" x14ac:dyDescent="0.4">
      <c r="E96" s="3"/>
      <c r="F96" s="3"/>
      <c r="G96" s="3"/>
      <c r="H96" s="3"/>
      <c r="I96" s="3"/>
      <c r="J96" s="3"/>
      <c r="K96" s="3"/>
      <c r="L96" s="3"/>
    </row>
    <row r="97" spans="4:12" x14ac:dyDescent="0.4">
      <c r="E97" s="3"/>
      <c r="L97" s="3"/>
    </row>
    <row r="98" spans="4:12" x14ac:dyDescent="0.4">
      <c r="E98" s="3"/>
    </row>
    <row r="99" spans="4:12" x14ac:dyDescent="0.4">
      <c r="E99" s="3"/>
      <c r="F99" s="19">
        <f>H99-I92</f>
        <v>14.750000000000002</v>
      </c>
      <c r="G99" s="20" t="s">
        <v>7</v>
      </c>
      <c r="H99" s="45">
        <f>G92</f>
        <v>16</v>
      </c>
      <c r="I99" s="45"/>
      <c r="J99" s="20" t="s">
        <v>7</v>
      </c>
      <c r="K99" s="20" t="s">
        <v>109</v>
      </c>
    </row>
    <row r="100" spans="4:12" x14ac:dyDescent="0.4">
      <c r="H100" s="5"/>
      <c r="I100" s="5"/>
    </row>
    <row r="101" spans="4:12" x14ac:dyDescent="0.4">
      <c r="H101" s="5"/>
      <c r="I101" s="5"/>
    </row>
    <row r="102" spans="4:12" x14ac:dyDescent="0.4">
      <c r="H102" s="5"/>
      <c r="I102" s="5"/>
    </row>
    <row r="103" spans="4:12" x14ac:dyDescent="0.4">
      <c r="F103" s="19">
        <f>H103-I93</f>
        <v>9</v>
      </c>
      <c r="G103" s="20" t="s">
        <v>7</v>
      </c>
      <c r="H103" s="45">
        <f>G93</f>
        <v>12</v>
      </c>
      <c r="I103" s="45"/>
      <c r="J103" s="20" t="s">
        <v>7</v>
      </c>
      <c r="K103" s="19">
        <f>H103+H93</f>
        <v>12.999999999999998</v>
      </c>
    </row>
    <row r="104" spans="4:12" x14ac:dyDescent="0.4">
      <c r="H104" s="5"/>
      <c r="I104" s="5"/>
    </row>
    <row r="105" spans="4:12" x14ac:dyDescent="0.4">
      <c r="H105" s="5"/>
      <c r="I105" s="5"/>
    </row>
    <row r="106" spans="4:12" x14ac:dyDescent="0.4">
      <c r="D106" s="17"/>
      <c r="E106" s="2"/>
      <c r="F106" s="3"/>
      <c r="G106" s="3"/>
      <c r="H106" s="2"/>
      <c r="I106" s="17"/>
    </row>
    <row r="107" spans="4:12" x14ac:dyDescent="0.4">
      <c r="F107" s="19">
        <f>H107-I94</f>
        <v>10.400000000000002</v>
      </c>
      <c r="G107" s="20" t="s">
        <v>7</v>
      </c>
      <c r="H107" s="45">
        <f>G94</f>
        <v>15</v>
      </c>
      <c r="I107" s="45"/>
      <c r="J107" s="20" t="s">
        <v>7</v>
      </c>
      <c r="K107" s="19">
        <f>H107+H94</f>
        <v>19.999999999999996</v>
      </c>
    </row>
    <row r="108" spans="4:12" x14ac:dyDescent="0.4">
      <c r="D108" s="17"/>
      <c r="E108" s="2"/>
      <c r="F108" s="3"/>
      <c r="G108" s="3"/>
      <c r="H108" s="2"/>
      <c r="I108" s="17"/>
    </row>
    <row r="109" spans="4:12" x14ac:dyDescent="0.4">
      <c r="H109" s="5"/>
      <c r="I109" s="5"/>
    </row>
    <row r="110" spans="4:12" x14ac:dyDescent="0.4">
      <c r="D110" s="17"/>
      <c r="E110" s="2"/>
      <c r="F110" s="3"/>
      <c r="G110" s="3"/>
      <c r="H110" s="2"/>
      <c r="I110" s="17"/>
    </row>
    <row r="111" spans="4:12" x14ac:dyDescent="0.4">
      <c r="F111" s="19">
        <f>H111-I95</f>
        <v>5.5000000000000053</v>
      </c>
      <c r="G111" s="20" t="s">
        <v>7</v>
      </c>
      <c r="H111" s="45">
        <f>G95</f>
        <v>8</v>
      </c>
      <c r="I111" s="45"/>
      <c r="J111" s="20" t="s">
        <v>7</v>
      </c>
      <c r="K111" s="19">
        <f>H111+H95</f>
        <v>11.5</v>
      </c>
    </row>
    <row r="118" spans="4:13" x14ac:dyDescent="0.4">
      <c r="F118" s="43" t="s">
        <v>22</v>
      </c>
      <c r="G118" s="43"/>
      <c r="H118" s="43"/>
      <c r="I118" s="43"/>
      <c r="J118" s="43"/>
      <c r="K118" s="43"/>
    </row>
    <row r="120" spans="4:13" x14ac:dyDescent="0.4">
      <c r="D120" s="3"/>
      <c r="E120" s="42" t="s">
        <v>19</v>
      </c>
      <c r="F120" s="42"/>
      <c r="G120" s="42"/>
      <c r="H120" s="42"/>
      <c r="I120" s="3"/>
      <c r="J120" s="7" t="s">
        <v>20</v>
      </c>
      <c r="K120" s="7" t="s">
        <v>21</v>
      </c>
      <c r="M120" s="7" t="s">
        <v>69</v>
      </c>
    </row>
    <row r="121" spans="4:13" x14ac:dyDescent="0.4">
      <c r="D121" s="3"/>
      <c r="E121" s="7" t="s">
        <v>10</v>
      </c>
      <c r="F121" s="7" t="s">
        <v>11</v>
      </c>
      <c r="G121" s="7" t="s">
        <v>12</v>
      </c>
      <c r="H121" s="7" t="s">
        <v>13</v>
      </c>
      <c r="I121" s="3"/>
      <c r="J121" s="3"/>
      <c r="K121" s="3"/>
    </row>
    <row r="122" spans="4:13" x14ac:dyDescent="0.4">
      <c r="D122" s="7" t="s">
        <v>14</v>
      </c>
      <c r="E122" s="8">
        <v>150.00000000000006</v>
      </c>
      <c r="F122" s="8">
        <v>0</v>
      </c>
      <c r="G122" s="8">
        <v>650</v>
      </c>
      <c r="H122" s="8">
        <v>200</v>
      </c>
      <c r="I122" s="3"/>
      <c r="J122" s="3"/>
      <c r="K122" s="3"/>
    </row>
    <row r="123" spans="4:13" x14ac:dyDescent="0.4">
      <c r="D123" s="7" t="s">
        <v>18</v>
      </c>
      <c r="E123" s="6">
        <f>F15</f>
        <v>16</v>
      </c>
      <c r="F123" s="6">
        <f>H15+2</f>
        <v>14</v>
      </c>
      <c r="G123" s="6">
        <f>J15</f>
        <v>15</v>
      </c>
      <c r="H123" s="6">
        <f>L15</f>
        <v>8</v>
      </c>
      <c r="I123" s="8">
        <f>SUMPRODUCT(E122:H122,E123:H123)</f>
        <v>13750</v>
      </c>
      <c r="J123" s="3"/>
      <c r="K123" s="3"/>
    </row>
    <row r="124" spans="4:13" x14ac:dyDescent="0.4">
      <c r="D124" s="7" t="s">
        <v>15</v>
      </c>
      <c r="E124" s="6">
        <v>0.4</v>
      </c>
      <c r="F124" s="6">
        <v>0.3</v>
      </c>
      <c r="G124" s="6">
        <v>0.2</v>
      </c>
      <c r="H124" s="6">
        <v>0.05</v>
      </c>
      <c r="I124" s="9" t="s">
        <v>46</v>
      </c>
      <c r="J124" s="8">
        <f>SUMPRODUCT($E$122:$H$122,E124:H124)</f>
        <v>200.00000000000003</v>
      </c>
      <c r="K124" s="6">
        <v>200</v>
      </c>
      <c r="M124" s="15">
        <f>ROUND(K124-J124,2)</f>
        <v>0</v>
      </c>
    </row>
    <row r="125" spans="4:13" ht="14.4" customHeight="1" x14ac:dyDescent="0.4">
      <c r="D125" s="7" t="s">
        <v>16</v>
      </c>
      <c r="E125" s="6">
        <v>0.2</v>
      </c>
      <c r="F125" s="6">
        <v>0.1</v>
      </c>
      <c r="G125" s="6">
        <v>0.4</v>
      </c>
      <c r="H125" s="6">
        <v>0.05</v>
      </c>
      <c r="I125" s="9" t="s">
        <v>46</v>
      </c>
      <c r="J125" s="8">
        <f t="shared" ref="J125:J127" si="1">SUMPRODUCT($E$122:$H$122,E125:H125)</f>
        <v>300</v>
      </c>
      <c r="K125" s="6">
        <v>300</v>
      </c>
      <c r="M125" s="15">
        <f>ROUND(K125-J125,2)</f>
        <v>0</v>
      </c>
    </row>
    <row r="126" spans="4:13" ht="14.4" customHeight="1" x14ac:dyDescent="0.4">
      <c r="D126" s="7" t="s">
        <v>17</v>
      </c>
      <c r="E126" s="6">
        <v>0.1</v>
      </c>
      <c r="F126" s="6">
        <v>0.05</v>
      </c>
      <c r="G126" s="6">
        <v>0.05</v>
      </c>
      <c r="H126" s="6">
        <v>0.3</v>
      </c>
      <c r="I126" s="9" t="s">
        <v>46</v>
      </c>
      <c r="J126" s="8">
        <f t="shared" si="1"/>
        <v>107.5</v>
      </c>
      <c r="K126" s="6">
        <v>80</v>
      </c>
      <c r="M126" s="15">
        <f t="shared" ref="M126:M127" si="2">K126-J126</f>
        <v>-27.5</v>
      </c>
    </row>
    <row r="127" spans="4:13" x14ac:dyDescent="0.4">
      <c r="D127" s="7" t="s">
        <v>58</v>
      </c>
      <c r="E127" s="6">
        <v>1</v>
      </c>
      <c r="F127" s="6">
        <v>1</v>
      </c>
      <c r="G127" s="6">
        <v>1</v>
      </c>
      <c r="H127" s="6">
        <v>1</v>
      </c>
      <c r="I127" s="9" t="s">
        <v>3</v>
      </c>
      <c r="J127" s="8">
        <f t="shared" si="1"/>
        <v>1000</v>
      </c>
      <c r="K127" s="6">
        <v>1000</v>
      </c>
      <c r="M127" s="15">
        <f t="shared" si="2"/>
        <v>0</v>
      </c>
    </row>
    <row r="129" spans="4:15" x14ac:dyDescent="0.4">
      <c r="G129" s="7" t="s">
        <v>147</v>
      </c>
    </row>
    <row r="130" spans="4:15" x14ac:dyDescent="0.4">
      <c r="D130" s="42" t="s">
        <v>145</v>
      </c>
      <c r="E130" s="42"/>
      <c r="F130" s="42"/>
      <c r="G130" s="38">
        <f>H38</f>
        <v>13562.500000000002</v>
      </c>
    </row>
    <row r="131" spans="4:15" x14ac:dyDescent="0.4">
      <c r="D131" s="42" t="s">
        <v>146</v>
      </c>
      <c r="E131" s="42"/>
      <c r="F131" s="42"/>
      <c r="G131" s="38">
        <f>I123</f>
        <v>13750</v>
      </c>
    </row>
    <row r="132" spans="4:15" x14ac:dyDescent="0.4">
      <c r="D132" s="42" t="s">
        <v>144</v>
      </c>
      <c r="E132" s="42"/>
      <c r="F132" s="42"/>
      <c r="G132" s="39">
        <f>G131-G130</f>
        <v>187.49999999999818</v>
      </c>
    </row>
    <row r="134" spans="4:15" ht="14.4" customHeight="1" x14ac:dyDescent="0.4"/>
    <row r="135" spans="4:15" ht="14.4" customHeight="1" x14ac:dyDescent="0.4"/>
    <row r="139" spans="4:15" x14ac:dyDescent="0.4">
      <c r="F139" s="43" t="s">
        <v>22</v>
      </c>
      <c r="G139" s="43"/>
      <c r="H139" s="43"/>
      <c r="I139" s="43"/>
      <c r="J139" s="43"/>
      <c r="K139" s="43"/>
    </row>
    <row r="141" spans="4:15" x14ac:dyDescent="0.4">
      <c r="D141" s="3"/>
      <c r="E141" s="42" t="s">
        <v>19</v>
      </c>
      <c r="F141" s="42"/>
      <c r="G141" s="42"/>
      <c r="H141" s="42"/>
      <c r="I141" s="3"/>
      <c r="J141" s="7" t="s">
        <v>20</v>
      </c>
      <c r="K141" s="7" t="s">
        <v>21</v>
      </c>
      <c r="M141" s="7" t="s">
        <v>69</v>
      </c>
    </row>
    <row r="142" spans="4:15" x14ac:dyDescent="0.4">
      <c r="D142" s="3"/>
      <c r="E142" s="7" t="s">
        <v>10</v>
      </c>
      <c r="F142" s="7" t="s">
        <v>11</v>
      </c>
      <c r="G142" s="7" t="s">
        <v>12</v>
      </c>
      <c r="H142" s="7" t="s">
        <v>13</v>
      </c>
      <c r="I142" s="3"/>
      <c r="J142" s="3"/>
      <c r="K142" s="3"/>
      <c r="O142" s="24"/>
    </row>
    <row r="143" spans="4:15" x14ac:dyDescent="0.4">
      <c r="D143" s="7" t="s">
        <v>14</v>
      </c>
      <c r="E143" s="8">
        <v>4.2857142857143913</v>
      </c>
      <c r="F143" s="8">
        <v>182.14285714285717</v>
      </c>
      <c r="G143" s="8">
        <v>686.42857142857133</v>
      </c>
      <c r="H143" s="8">
        <v>127.14285714285712</v>
      </c>
      <c r="I143" s="3"/>
      <c r="J143" s="3"/>
      <c r="K143" s="3"/>
    </row>
    <row r="144" spans="4:15" x14ac:dyDescent="0.4">
      <c r="D144" s="7" t="s">
        <v>18</v>
      </c>
      <c r="E144" s="6">
        <f>F15</f>
        <v>16</v>
      </c>
      <c r="F144" s="6">
        <f>H15</f>
        <v>12</v>
      </c>
      <c r="G144" s="6">
        <f>J15</f>
        <v>15</v>
      </c>
      <c r="H144" s="6">
        <f>L15</f>
        <v>8</v>
      </c>
      <c r="I144" s="8">
        <f>SUMPRODUCT(E143:H143,E144:H144)</f>
        <v>13567.857142857143</v>
      </c>
      <c r="J144" s="3"/>
      <c r="K144" s="3"/>
    </row>
    <row r="145" spans="4:15" x14ac:dyDescent="0.4">
      <c r="D145" s="7" t="s">
        <v>15</v>
      </c>
      <c r="E145" s="6">
        <v>0.4</v>
      </c>
      <c r="F145" s="6">
        <v>0.3</v>
      </c>
      <c r="G145" s="6">
        <v>0.2</v>
      </c>
      <c r="H145" s="6">
        <v>0.05</v>
      </c>
      <c r="I145" s="9" t="s">
        <v>46</v>
      </c>
      <c r="J145" s="8">
        <f>SUMPRODUCT(E143:H143,E145:H145)</f>
        <v>200.00000000000003</v>
      </c>
      <c r="K145" s="6">
        <v>200</v>
      </c>
      <c r="M145" s="15">
        <f>ROUND(K145-J145,2)</f>
        <v>0</v>
      </c>
      <c r="O145" s="23"/>
    </row>
    <row r="146" spans="4:15" x14ac:dyDescent="0.4">
      <c r="D146" s="7" t="s">
        <v>16</v>
      </c>
      <c r="E146" s="6">
        <v>0.2</v>
      </c>
      <c r="F146" s="6">
        <v>0.1</v>
      </c>
      <c r="G146" s="6">
        <v>0.4</v>
      </c>
      <c r="H146" s="6">
        <v>0.05</v>
      </c>
      <c r="I146" s="9" t="s">
        <v>46</v>
      </c>
      <c r="J146" s="8">
        <f>SUMPRODUCT(E143:H143,E146:H146)</f>
        <v>300</v>
      </c>
      <c r="K146" s="6">
        <v>300</v>
      </c>
      <c r="M146" s="15">
        <f>ROUND(K146-J146,2)</f>
        <v>0</v>
      </c>
    </row>
    <row r="147" spans="4:15" x14ac:dyDescent="0.4">
      <c r="D147" s="7" t="s">
        <v>17</v>
      </c>
      <c r="E147" s="6">
        <v>0.1</v>
      </c>
      <c r="F147" s="6">
        <v>0.05</v>
      </c>
      <c r="G147" s="6">
        <v>0.05</v>
      </c>
      <c r="H147" s="6">
        <v>0.3</v>
      </c>
      <c r="I147" s="9" t="s">
        <v>46</v>
      </c>
      <c r="J147" s="8">
        <f>SUMPRODUCT(E143:H143,E147:H147)</f>
        <v>82</v>
      </c>
      <c r="K147" s="6">
        <f>0.082*1000</f>
        <v>82</v>
      </c>
      <c r="M147" s="15">
        <f>ROUND(K147-J147,2)</f>
        <v>0</v>
      </c>
    </row>
    <row r="148" spans="4:15" x14ac:dyDescent="0.4">
      <c r="D148" s="7" t="s">
        <v>58</v>
      </c>
      <c r="E148" s="6">
        <v>1</v>
      </c>
      <c r="F148" s="6">
        <v>1</v>
      </c>
      <c r="G148" s="6">
        <v>1</v>
      </c>
      <c r="H148" s="6">
        <v>1</v>
      </c>
      <c r="I148" s="9" t="s">
        <v>3</v>
      </c>
      <c r="J148" s="8">
        <f>SUMPRODUCT(E143:H143,E148:H148)</f>
        <v>1000</v>
      </c>
      <c r="K148" s="6">
        <v>1000</v>
      </c>
      <c r="M148" s="15">
        <f t="shared" ref="M148" si="3">K148-J148</f>
        <v>0</v>
      </c>
    </row>
    <row r="150" spans="4:15" x14ac:dyDescent="0.4">
      <c r="G150" s="7" t="s">
        <v>147</v>
      </c>
    </row>
    <row r="151" spans="4:15" x14ac:dyDescent="0.4">
      <c r="D151" s="42" t="s">
        <v>148</v>
      </c>
      <c r="E151" s="42"/>
      <c r="F151" s="42"/>
      <c r="G151" s="38">
        <f>H38</f>
        <v>13562.500000000002</v>
      </c>
    </row>
    <row r="152" spans="4:15" x14ac:dyDescent="0.4">
      <c r="D152" s="42" t="s">
        <v>149</v>
      </c>
      <c r="E152" s="42"/>
      <c r="F152" s="42"/>
      <c r="G152" s="38">
        <f>I144</f>
        <v>13567.857142857143</v>
      </c>
    </row>
    <row r="153" spans="4:15" x14ac:dyDescent="0.4">
      <c r="D153" s="42" t="s">
        <v>144</v>
      </c>
      <c r="E153" s="42"/>
      <c r="F153" s="42"/>
      <c r="G153" s="39">
        <f>G152-G151</f>
        <v>5.357142857141298</v>
      </c>
    </row>
  </sheetData>
  <mergeCells count="60">
    <mergeCell ref="S45:Y45"/>
    <mergeCell ref="S46:W46"/>
    <mergeCell ref="S47:W47"/>
    <mergeCell ref="S48:W48"/>
    <mergeCell ref="S50:Y51"/>
    <mergeCell ref="C26:D26"/>
    <mergeCell ref="C4:N4"/>
    <mergeCell ref="E6:J6"/>
    <mergeCell ref="F8:I8"/>
    <mergeCell ref="F9:I9"/>
    <mergeCell ref="F10:I10"/>
    <mergeCell ref="F11:I11"/>
    <mergeCell ref="C15:D15"/>
    <mergeCell ref="E17:J17"/>
    <mergeCell ref="C20:D20"/>
    <mergeCell ref="C22:D22"/>
    <mergeCell ref="C24:D24"/>
    <mergeCell ref="C31:N31"/>
    <mergeCell ref="E33:J33"/>
    <mergeCell ref="D35:G35"/>
    <mergeCell ref="C54:H54"/>
    <mergeCell ref="C65:D65"/>
    <mergeCell ref="H65:I65"/>
    <mergeCell ref="C45:I45"/>
    <mergeCell ref="C46:G46"/>
    <mergeCell ref="C47:G47"/>
    <mergeCell ref="C48:G48"/>
    <mergeCell ref="C50:I51"/>
    <mergeCell ref="K45:Q45"/>
    <mergeCell ref="K46:O46"/>
    <mergeCell ref="K47:O47"/>
    <mergeCell ref="K48:O48"/>
    <mergeCell ref="K50:Q51"/>
    <mergeCell ref="C67:D67"/>
    <mergeCell ref="H67:I67"/>
    <mergeCell ref="C71:D71"/>
    <mergeCell ref="H71:I71"/>
    <mergeCell ref="C73:D73"/>
    <mergeCell ref="H73:I73"/>
    <mergeCell ref="F118:K118"/>
    <mergeCell ref="C77:D77"/>
    <mergeCell ref="H77:I77"/>
    <mergeCell ref="C79:D79"/>
    <mergeCell ref="H79:I79"/>
    <mergeCell ref="C83:D83"/>
    <mergeCell ref="H83:I83"/>
    <mergeCell ref="C88:H88"/>
    <mergeCell ref="H99:I99"/>
    <mergeCell ref="H103:I103"/>
    <mergeCell ref="H107:I107"/>
    <mergeCell ref="H111:I111"/>
    <mergeCell ref="D151:F151"/>
    <mergeCell ref="D152:F152"/>
    <mergeCell ref="D153:F153"/>
    <mergeCell ref="E120:H120"/>
    <mergeCell ref="D130:F130"/>
    <mergeCell ref="D131:F131"/>
    <mergeCell ref="D132:F132"/>
    <mergeCell ref="F139:K139"/>
    <mergeCell ref="E141:H14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B144F-F531-4C19-893E-9E70C17D796D}">
  <dimension ref="A1:J16"/>
  <sheetViews>
    <sheetView showGridLines="0" workbookViewId="0"/>
  </sheetViews>
  <sheetFormatPr baseColWidth="10" defaultRowHeight="14.6" x14ac:dyDescent="0.4"/>
  <cols>
    <col min="1" max="1" width="2.3046875" customWidth="1"/>
    <col min="2" max="2" width="5.84375" bestFit="1" customWidth="1"/>
    <col min="3" max="4" width="8" bestFit="1" customWidth="1"/>
    <col min="5" max="5" width="2.3046875" customWidth="1"/>
    <col min="6" max="6" width="7" bestFit="1" customWidth="1"/>
    <col min="7" max="7" width="9.3046875" bestFit="1" customWidth="1"/>
    <col min="8" max="8" width="2.3046875" customWidth="1"/>
    <col min="9" max="9" width="8.07421875" bestFit="1" customWidth="1"/>
    <col min="10" max="10" width="9.3046875" bestFit="1" customWidth="1"/>
  </cols>
  <sheetData>
    <row r="1" spans="1:10" x14ac:dyDescent="0.4">
      <c r="A1" s="5" t="s">
        <v>100</v>
      </c>
    </row>
    <row r="2" spans="1:10" x14ac:dyDescent="0.4">
      <c r="A2" s="5" t="s">
        <v>89</v>
      </c>
    </row>
    <row r="3" spans="1:10" x14ac:dyDescent="0.4">
      <c r="A3" s="5" t="s">
        <v>92</v>
      </c>
    </row>
    <row r="5" spans="1:10" ht="15" thickBot="1" x14ac:dyDescent="0.45"/>
    <row r="6" spans="1:10" x14ac:dyDescent="0.4">
      <c r="B6" s="28"/>
      <c r="C6" s="28" t="s">
        <v>31</v>
      </c>
      <c r="D6" s="28"/>
    </row>
    <row r="7" spans="1:10" ht="15" thickBot="1" x14ac:dyDescent="0.45">
      <c r="B7" s="29" t="s">
        <v>25</v>
      </c>
      <c r="C7" s="29" t="s">
        <v>26</v>
      </c>
      <c r="D7" s="29" t="s">
        <v>28</v>
      </c>
    </row>
    <row r="8" spans="1:10" ht="15" thickBot="1" x14ac:dyDescent="0.45">
      <c r="B8" s="27" t="s">
        <v>106</v>
      </c>
      <c r="C8" s="27" t="s">
        <v>107</v>
      </c>
      <c r="D8" s="27">
        <v>13562.500000000002</v>
      </c>
    </row>
    <row r="10" spans="1:10" ht="15" thickBot="1" x14ac:dyDescent="0.45"/>
    <row r="11" spans="1:10" x14ac:dyDescent="0.4">
      <c r="B11" s="28"/>
      <c r="C11" s="28" t="s">
        <v>101</v>
      </c>
      <c r="D11" s="28"/>
      <c r="F11" s="28" t="s">
        <v>102</v>
      </c>
      <c r="G11" s="28" t="s">
        <v>31</v>
      </c>
      <c r="I11" s="28" t="s">
        <v>105</v>
      </c>
      <c r="J11" s="28" t="s">
        <v>31</v>
      </c>
    </row>
    <row r="12" spans="1:10" ht="15" thickBot="1" x14ac:dyDescent="0.45">
      <c r="B12" s="29" t="s">
        <v>25</v>
      </c>
      <c r="C12" s="29" t="s">
        <v>26</v>
      </c>
      <c r="D12" s="29" t="s">
        <v>28</v>
      </c>
      <c r="F12" s="29" t="s">
        <v>103</v>
      </c>
      <c r="G12" s="29" t="s">
        <v>104</v>
      </c>
      <c r="I12" s="29" t="s">
        <v>103</v>
      </c>
      <c r="J12" s="29" t="s">
        <v>104</v>
      </c>
    </row>
    <row r="13" spans="1:10" x14ac:dyDescent="0.4">
      <c r="B13" s="26" t="s">
        <v>93</v>
      </c>
      <c r="C13" s="26" t="s">
        <v>41</v>
      </c>
      <c r="D13" s="26">
        <v>0</v>
      </c>
      <c r="F13" s="26">
        <v>0</v>
      </c>
      <c r="G13" s="26">
        <v>13562.500000000002</v>
      </c>
      <c r="I13" s="26">
        <v>0</v>
      </c>
      <c r="J13" s="26">
        <v>13562.500000000002</v>
      </c>
    </row>
    <row r="14" spans="1:10" x14ac:dyDescent="0.4">
      <c r="B14" s="26" t="s">
        <v>94</v>
      </c>
      <c r="C14" s="26" t="s">
        <v>42</v>
      </c>
      <c r="D14" s="26">
        <v>187.50000000000014</v>
      </c>
      <c r="F14" s="26">
        <v>187.50000000000011</v>
      </c>
      <c r="G14" s="26">
        <v>13562.500000000002</v>
      </c>
      <c r="I14" s="26">
        <v>187.50000000000011</v>
      </c>
      <c r="J14" s="26">
        <v>13562.500000000002</v>
      </c>
    </row>
    <row r="15" spans="1:10" x14ac:dyDescent="0.4">
      <c r="B15" s="26" t="s">
        <v>95</v>
      </c>
      <c r="C15" s="26" t="s">
        <v>43</v>
      </c>
      <c r="D15" s="26">
        <v>687.5</v>
      </c>
      <c r="F15" s="26">
        <v>687.5</v>
      </c>
      <c r="G15" s="26">
        <v>13562.500000000002</v>
      </c>
      <c r="I15" s="26">
        <v>687.5</v>
      </c>
      <c r="J15" s="26">
        <v>13562.500000000002</v>
      </c>
    </row>
    <row r="16" spans="1:10" ht="15" thickBot="1" x14ac:dyDescent="0.45">
      <c r="B16" s="27" t="s">
        <v>96</v>
      </c>
      <c r="C16" s="27" t="s">
        <v>44</v>
      </c>
      <c r="D16" s="27">
        <v>124.99999999999991</v>
      </c>
      <c r="F16" s="27">
        <v>124.99999999999989</v>
      </c>
      <c r="G16" s="27">
        <v>13562.5</v>
      </c>
      <c r="I16" s="27">
        <v>124.99999999999989</v>
      </c>
      <c r="J16" s="27">
        <v>13562.5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32A50-4465-4C82-A7D8-B682175CA568}">
  <dimension ref="A1"/>
  <sheetViews>
    <sheetView topLeftCell="A19" zoomScaleNormal="100" workbookViewId="0">
      <selection activeCell="N13" sqref="N13"/>
    </sheetView>
  </sheetViews>
  <sheetFormatPr baseColWidth="10" defaultRowHeight="14.6" x14ac:dyDescent="0.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0758F-0411-4C4B-8461-D10225B2DAAD}">
  <dimension ref="A1:H19"/>
  <sheetViews>
    <sheetView showGridLines="0" workbookViewId="0"/>
  </sheetViews>
  <sheetFormatPr baseColWidth="10" defaultRowHeight="14.6" x14ac:dyDescent="0.4"/>
  <cols>
    <col min="1" max="1" width="2.3046875" customWidth="1"/>
    <col min="2" max="2" width="6.3046875" bestFit="1" customWidth="1"/>
    <col min="3" max="3" width="7.84375" bestFit="1" customWidth="1"/>
    <col min="4" max="4" width="5.3046875" bestFit="1" customWidth="1"/>
    <col min="5" max="5" width="8.84375" bestFit="1" customWidth="1"/>
    <col min="6" max="6" width="12.07421875" bestFit="1" customWidth="1"/>
    <col min="7" max="8" width="10.07421875" bestFit="1" customWidth="1"/>
  </cols>
  <sheetData>
    <row r="1" spans="1:8" x14ac:dyDescent="0.4">
      <c r="A1" s="5" t="s">
        <v>23</v>
      </c>
    </row>
    <row r="2" spans="1:8" x14ac:dyDescent="0.4">
      <c r="A2" s="5" t="s">
        <v>131</v>
      </c>
    </row>
    <row r="3" spans="1:8" x14ac:dyDescent="0.4">
      <c r="A3" s="5" t="s">
        <v>132</v>
      </c>
    </row>
    <row r="6" spans="1:8" ht="15" thickBot="1" x14ac:dyDescent="0.45">
      <c r="A6" t="s">
        <v>24</v>
      </c>
    </row>
    <row r="7" spans="1:8" x14ac:dyDescent="0.4">
      <c r="B7" s="28"/>
      <c r="C7" s="28"/>
      <c r="D7" s="28" t="s">
        <v>27</v>
      </c>
      <c r="E7" s="28" t="s">
        <v>29</v>
      </c>
      <c r="F7" s="28" t="s">
        <v>31</v>
      </c>
      <c r="G7" s="28" t="s">
        <v>33</v>
      </c>
      <c r="H7" s="28" t="s">
        <v>33</v>
      </c>
    </row>
    <row r="8" spans="1:8" ht="15" thickBot="1" x14ac:dyDescent="0.45">
      <c r="B8" s="29" t="s">
        <v>25</v>
      </c>
      <c r="C8" s="29" t="s">
        <v>26</v>
      </c>
      <c r="D8" s="29" t="s">
        <v>28</v>
      </c>
      <c r="E8" s="29" t="s">
        <v>30</v>
      </c>
      <c r="F8" s="29" t="s">
        <v>32</v>
      </c>
      <c r="G8" s="29" t="s">
        <v>34</v>
      </c>
      <c r="H8" s="29" t="s">
        <v>35</v>
      </c>
    </row>
    <row r="9" spans="1:8" x14ac:dyDescent="0.4">
      <c r="B9" s="26" t="s">
        <v>133</v>
      </c>
      <c r="C9" s="26" t="s">
        <v>134</v>
      </c>
      <c r="D9" s="26">
        <v>0</v>
      </c>
      <c r="E9" s="26">
        <v>-1200</v>
      </c>
      <c r="F9" s="26">
        <v>3000</v>
      </c>
      <c r="G9" s="26">
        <v>1200</v>
      </c>
      <c r="H9" s="26">
        <v>1E+30</v>
      </c>
    </row>
    <row r="10" spans="1:8" ht="15" thickBot="1" x14ac:dyDescent="0.45">
      <c r="B10" s="27" t="s">
        <v>135</v>
      </c>
      <c r="C10" s="27" t="s">
        <v>136</v>
      </c>
      <c r="D10" s="27">
        <v>48</v>
      </c>
      <c r="E10" s="27">
        <v>0</v>
      </c>
      <c r="F10" s="27">
        <v>2100</v>
      </c>
      <c r="G10" s="27">
        <v>1E+30</v>
      </c>
      <c r="H10" s="27">
        <v>600</v>
      </c>
    </row>
    <row r="12" spans="1:8" ht="15" thickBot="1" x14ac:dyDescent="0.45">
      <c r="A12" t="s">
        <v>36</v>
      </c>
    </row>
    <row r="13" spans="1:8" x14ac:dyDescent="0.4">
      <c r="B13" s="28"/>
      <c r="C13" s="28"/>
      <c r="D13" s="28" t="s">
        <v>27</v>
      </c>
      <c r="E13" s="28" t="s">
        <v>37</v>
      </c>
      <c r="F13" s="28" t="s">
        <v>39</v>
      </c>
      <c r="G13" s="28" t="s">
        <v>33</v>
      </c>
      <c r="H13" s="28" t="s">
        <v>33</v>
      </c>
    </row>
    <row r="14" spans="1:8" ht="15" thickBot="1" x14ac:dyDescent="0.45">
      <c r="B14" s="29" t="s">
        <v>25</v>
      </c>
      <c r="C14" s="29" t="s">
        <v>26</v>
      </c>
      <c r="D14" s="29" t="s">
        <v>28</v>
      </c>
      <c r="E14" s="29" t="s">
        <v>38</v>
      </c>
      <c r="F14" s="29" t="s">
        <v>40</v>
      </c>
      <c r="G14" s="29" t="s">
        <v>34</v>
      </c>
      <c r="H14" s="29" t="s">
        <v>35</v>
      </c>
    </row>
    <row r="15" spans="1:8" x14ac:dyDescent="0.4">
      <c r="B15" s="26" t="s">
        <v>80</v>
      </c>
      <c r="C15" s="26" t="s">
        <v>45</v>
      </c>
      <c r="D15" s="26">
        <v>96</v>
      </c>
      <c r="E15" s="26">
        <v>0</v>
      </c>
      <c r="F15" s="26">
        <v>288</v>
      </c>
      <c r="G15" s="26">
        <v>1E+30</v>
      </c>
      <c r="H15" s="26">
        <v>192</v>
      </c>
    </row>
    <row r="16" spans="1:8" x14ac:dyDescent="0.4">
      <c r="B16" s="26" t="s">
        <v>81</v>
      </c>
      <c r="C16" s="26" t="s">
        <v>45</v>
      </c>
      <c r="D16" s="26">
        <v>48</v>
      </c>
      <c r="E16" s="26">
        <v>0</v>
      </c>
      <c r="F16" s="26">
        <v>192</v>
      </c>
      <c r="G16" s="26">
        <v>1E+30</v>
      </c>
      <c r="H16" s="26">
        <v>144</v>
      </c>
    </row>
    <row r="17" spans="2:8" x14ac:dyDescent="0.4">
      <c r="B17" s="26" t="s">
        <v>137</v>
      </c>
      <c r="C17" s="26" t="s">
        <v>45</v>
      </c>
      <c r="D17" s="26">
        <v>48</v>
      </c>
      <c r="E17" s="26">
        <v>2100</v>
      </c>
      <c r="F17" s="26">
        <v>48</v>
      </c>
      <c r="G17" s="26">
        <v>96</v>
      </c>
      <c r="H17" s="26">
        <v>48</v>
      </c>
    </row>
    <row r="18" spans="2:8" x14ac:dyDescent="0.4">
      <c r="B18" s="26" t="s">
        <v>138</v>
      </c>
      <c r="C18" s="26" t="s">
        <v>45</v>
      </c>
      <c r="D18" s="26">
        <v>0</v>
      </c>
      <c r="E18" s="26">
        <v>0</v>
      </c>
      <c r="F18" s="26">
        <v>48</v>
      </c>
      <c r="G18" s="26">
        <v>1E+30</v>
      </c>
      <c r="H18" s="26">
        <v>48</v>
      </c>
    </row>
    <row r="19" spans="2:8" ht="15" thickBot="1" x14ac:dyDescent="0.45">
      <c r="B19" s="27" t="s">
        <v>139</v>
      </c>
      <c r="C19" s="27" t="s">
        <v>45</v>
      </c>
      <c r="D19" s="27">
        <v>48</v>
      </c>
      <c r="E19" s="27">
        <v>0</v>
      </c>
      <c r="F19" s="27">
        <v>480</v>
      </c>
      <c r="G19" s="27">
        <v>1E+30</v>
      </c>
      <c r="H19" s="27">
        <v>432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1747D-24DD-4D7B-95F9-F9AB4967B9EB}">
  <dimension ref="C4:R134"/>
  <sheetViews>
    <sheetView topLeftCell="A52" zoomScale="84" zoomScaleNormal="100" workbookViewId="0">
      <selection activeCell="P128" sqref="P128"/>
    </sheetView>
  </sheetViews>
  <sheetFormatPr baseColWidth="10" defaultRowHeight="14.6" x14ac:dyDescent="0.4"/>
  <sheetData>
    <row r="4" spans="3:14" x14ac:dyDescent="0.4">
      <c r="C4" s="48" t="s">
        <v>0</v>
      </c>
      <c r="D4" s="48"/>
      <c r="E4" s="48"/>
      <c r="F4" s="48"/>
      <c r="G4" s="48"/>
      <c r="H4" s="48"/>
      <c r="I4" s="48"/>
      <c r="J4" s="48"/>
      <c r="K4" s="48"/>
      <c r="L4" s="48"/>
      <c r="M4" s="48"/>
      <c r="N4" s="48"/>
    </row>
    <row r="6" spans="3:14" x14ac:dyDescent="0.4">
      <c r="F6" s="43" t="s">
        <v>1</v>
      </c>
      <c r="G6" s="43"/>
      <c r="H6" s="43"/>
      <c r="I6" s="43"/>
      <c r="J6" s="43"/>
      <c r="K6" s="43"/>
    </row>
    <row r="8" spans="3:14" x14ac:dyDescent="0.4">
      <c r="G8" s="50" t="s">
        <v>128</v>
      </c>
      <c r="H8" s="50"/>
      <c r="I8" s="50"/>
      <c r="J8" s="50"/>
    </row>
    <row r="9" spans="3:14" x14ac:dyDescent="0.4">
      <c r="G9" s="50" t="s">
        <v>129</v>
      </c>
      <c r="H9" s="50"/>
      <c r="I9" s="50"/>
      <c r="J9" s="50"/>
    </row>
    <row r="10" spans="3:14" x14ac:dyDescent="0.4">
      <c r="C10" s="1"/>
      <c r="D10" s="1"/>
      <c r="E10" s="1"/>
    </row>
    <row r="11" spans="3:14" x14ac:dyDescent="0.4">
      <c r="G11" s="1"/>
      <c r="H11" s="1"/>
      <c r="I11" s="2" t="s">
        <v>82</v>
      </c>
      <c r="K11" s="2" t="s">
        <v>83</v>
      </c>
    </row>
    <row r="13" spans="3:14" x14ac:dyDescent="0.4">
      <c r="F13" s="45" t="s">
        <v>2</v>
      </c>
      <c r="G13" s="45"/>
      <c r="H13" s="19" t="s">
        <v>3</v>
      </c>
      <c r="I13" s="19">
        <v>3000</v>
      </c>
      <c r="J13" s="19" t="s">
        <v>4</v>
      </c>
      <c r="K13" s="19">
        <v>2100</v>
      </c>
    </row>
    <row r="14" spans="3:14" x14ac:dyDescent="0.4">
      <c r="K14" s="5"/>
    </row>
    <row r="15" spans="3:14" x14ac:dyDescent="0.4">
      <c r="F15" s="43" t="s">
        <v>5</v>
      </c>
      <c r="G15" s="43"/>
      <c r="H15" s="43"/>
      <c r="I15" s="43"/>
      <c r="J15" s="43"/>
      <c r="K15" s="43"/>
    </row>
    <row r="16" spans="3:14" x14ac:dyDescent="0.4">
      <c r="K16" s="5"/>
    </row>
    <row r="17" spans="3:18" x14ac:dyDescent="0.4">
      <c r="E17" s="45" t="s">
        <v>70</v>
      </c>
      <c r="F17" s="45"/>
      <c r="G17" s="45"/>
      <c r="H17" s="19" t="s">
        <v>6</v>
      </c>
      <c r="I17" s="19">
        <v>2</v>
      </c>
      <c r="J17" s="19" t="s">
        <v>4</v>
      </c>
      <c r="K17" s="19">
        <v>2</v>
      </c>
      <c r="L17" s="20" t="s">
        <v>7</v>
      </c>
      <c r="M17" s="19">
        <v>288</v>
      </c>
    </row>
    <row r="18" spans="3:18" x14ac:dyDescent="0.4">
      <c r="H18" s="2"/>
      <c r="I18" s="3"/>
      <c r="J18" s="2"/>
      <c r="K18" s="3"/>
      <c r="L18" s="2"/>
      <c r="M18" s="3"/>
    </row>
    <row r="19" spans="3:18" x14ac:dyDescent="0.4">
      <c r="E19" s="45" t="s">
        <v>71</v>
      </c>
      <c r="F19" s="45"/>
      <c r="G19" s="45"/>
      <c r="H19" s="19" t="s">
        <v>6</v>
      </c>
      <c r="I19" s="19">
        <v>1</v>
      </c>
      <c r="J19" s="19" t="s">
        <v>4</v>
      </c>
      <c r="K19" s="19">
        <v>1</v>
      </c>
      <c r="L19" s="20" t="s">
        <v>7</v>
      </c>
      <c r="M19" s="19">
        <v>192</v>
      </c>
    </row>
    <row r="20" spans="3:18" x14ac:dyDescent="0.4">
      <c r="H20" s="2"/>
      <c r="I20" s="3"/>
      <c r="J20" s="2"/>
      <c r="K20" s="3"/>
      <c r="L20" s="2"/>
      <c r="M20" s="3"/>
    </row>
    <row r="21" spans="3:18" x14ac:dyDescent="0.4">
      <c r="E21" s="45" t="s">
        <v>72</v>
      </c>
      <c r="F21" s="45"/>
      <c r="G21" s="45"/>
      <c r="H21" s="19" t="s">
        <v>6</v>
      </c>
      <c r="I21" s="19">
        <v>2</v>
      </c>
      <c r="J21" s="19" t="s">
        <v>4</v>
      </c>
      <c r="K21" s="19">
        <v>1</v>
      </c>
      <c r="L21" s="20" t="s">
        <v>7</v>
      </c>
      <c r="M21" s="19">
        <v>48</v>
      </c>
    </row>
    <row r="22" spans="3:18" x14ac:dyDescent="0.4">
      <c r="G22" s="5"/>
    </row>
    <row r="23" spans="3:18" x14ac:dyDescent="0.4">
      <c r="E23" s="45" t="s">
        <v>73</v>
      </c>
      <c r="F23" s="45"/>
      <c r="G23" s="45"/>
      <c r="H23" s="19" t="s">
        <v>6</v>
      </c>
      <c r="I23" s="19">
        <v>2</v>
      </c>
      <c r="J23" s="19" t="s">
        <v>4</v>
      </c>
      <c r="K23" s="19">
        <v>0</v>
      </c>
      <c r="L23" s="20" t="s">
        <v>7</v>
      </c>
      <c r="M23" s="19">
        <v>48</v>
      </c>
    </row>
    <row r="25" spans="3:18" x14ac:dyDescent="0.4">
      <c r="E25" s="45" t="s">
        <v>74</v>
      </c>
      <c r="F25" s="45"/>
      <c r="G25" s="45"/>
      <c r="H25" s="19" t="s">
        <v>6</v>
      </c>
      <c r="I25" s="19">
        <v>1</v>
      </c>
      <c r="J25" s="19" t="s">
        <v>4</v>
      </c>
      <c r="K25" s="19">
        <v>1</v>
      </c>
      <c r="L25" s="20" t="s">
        <v>7</v>
      </c>
      <c r="M25" s="19">
        <v>480</v>
      </c>
    </row>
    <row r="26" spans="3:18" x14ac:dyDescent="0.4">
      <c r="E26" s="2"/>
      <c r="F26" s="2"/>
      <c r="G26" s="2"/>
      <c r="H26" s="2"/>
      <c r="I26" s="3"/>
      <c r="J26" s="2"/>
      <c r="K26" s="3"/>
      <c r="L26" s="4"/>
      <c r="M26" s="3"/>
    </row>
    <row r="27" spans="3:18" x14ac:dyDescent="0.4">
      <c r="E27" s="2"/>
      <c r="F27" s="2"/>
      <c r="G27" s="2"/>
      <c r="H27" s="2"/>
      <c r="I27" s="3"/>
      <c r="J27" s="2"/>
      <c r="K27" s="3"/>
      <c r="L27" s="4"/>
      <c r="M27" s="3"/>
    </row>
    <row r="28" spans="3:18" x14ac:dyDescent="0.4">
      <c r="E28" s="2"/>
      <c r="F28" s="2"/>
      <c r="G28" s="2"/>
      <c r="H28" s="2"/>
      <c r="I28" s="3"/>
      <c r="J28" s="2"/>
      <c r="K28" s="3"/>
      <c r="L28" s="4"/>
      <c r="M28" s="3"/>
    </row>
    <row r="30" spans="3:18" x14ac:dyDescent="0.4">
      <c r="C30" s="48" t="s">
        <v>8</v>
      </c>
      <c r="D30" s="48"/>
      <c r="E30" s="48"/>
      <c r="F30" s="48"/>
      <c r="G30" s="48"/>
      <c r="H30" s="48"/>
      <c r="I30" s="48"/>
      <c r="J30" s="48"/>
      <c r="K30" s="48"/>
      <c r="L30" s="48"/>
      <c r="M30" s="48"/>
      <c r="N30" s="48"/>
    </row>
    <row r="32" spans="3:18" x14ac:dyDescent="0.4">
      <c r="F32" s="43" t="s">
        <v>22</v>
      </c>
      <c r="G32" s="43"/>
      <c r="H32" s="43"/>
      <c r="I32" s="43"/>
      <c r="J32" s="43"/>
      <c r="K32" s="43"/>
      <c r="N32" s="54" t="s">
        <v>152</v>
      </c>
      <c r="O32" s="54"/>
      <c r="P32" s="54"/>
      <c r="Q32" s="54"/>
      <c r="R32" s="54"/>
    </row>
    <row r="33" spans="5:18" x14ac:dyDescent="0.4">
      <c r="N33" s="53" t="s">
        <v>164</v>
      </c>
      <c r="O33" s="53"/>
      <c r="P33" s="53"/>
      <c r="Q33" s="53"/>
      <c r="R33" s="53"/>
    </row>
    <row r="34" spans="5:18" x14ac:dyDescent="0.4">
      <c r="E34" s="3"/>
      <c r="F34" s="51" t="s">
        <v>19</v>
      </c>
      <c r="G34" s="52"/>
      <c r="I34" s="7" t="s">
        <v>20</v>
      </c>
      <c r="J34" s="7" t="s">
        <v>21</v>
      </c>
      <c r="L34" s="7" t="s">
        <v>69</v>
      </c>
      <c r="N34" s="53"/>
      <c r="O34" s="53"/>
      <c r="P34" s="53"/>
      <c r="Q34" s="53"/>
      <c r="R34" s="53"/>
    </row>
    <row r="35" spans="5:18" x14ac:dyDescent="0.4">
      <c r="E35" s="3"/>
      <c r="F35" s="7" t="s">
        <v>84</v>
      </c>
      <c r="G35" s="7" t="s">
        <v>85</v>
      </c>
      <c r="J35" s="3"/>
      <c r="K35" s="3"/>
      <c r="N35" s="53"/>
      <c r="O35" s="53"/>
      <c r="P35" s="53"/>
      <c r="Q35" s="53"/>
      <c r="R35" s="53"/>
    </row>
    <row r="36" spans="5:18" x14ac:dyDescent="0.4">
      <c r="E36" s="7" t="s">
        <v>14</v>
      </c>
      <c r="F36" s="8">
        <v>0</v>
      </c>
      <c r="G36" s="8">
        <v>48</v>
      </c>
      <c r="J36" s="3"/>
      <c r="K36" s="3"/>
    </row>
    <row r="37" spans="5:18" x14ac:dyDescent="0.4">
      <c r="E37" s="7" t="s">
        <v>57</v>
      </c>
      <c r="F37" s="6">
        <f>I13</f>
        <v>3000</v>
      </c>
      <c r="G37" s="6">
        <f>K13</f>
        <v>2100</v>
      </c>
      <c r="H37" s="8">
        <f>SUMPRODUCT(F36:G36,F37:G37)</f>
        <v>100800</v>
      </c>
      <c r="K37" s="3"/>
    </row>
    <row r="38" spans="5:18" x14ac:dyDescent="0.4">
      <c r="E38" s="7" t="s">
        <v>15</v>
      </c>
      <c r="F38" s="6">
        <f>I17</f>
        <v>2</v>
      </c>
      <c r="G38" s="6">
        <f>K17</f>
        <v>2</v>
      </c>
      <c r="H38" s="9" t="s">
        <v>7</v>
      </c>
      <c r="I38" s="8">
        <f>SUMPRODUCT(F36:G36,F38:G38)</f>
        <v>96</v>
      </c>
      <c r="J38" s="6">
        <f>M17</f>
        <v>288</v>
      </c>
      <c r="L38" s="16">
        <f>J38-I38</f>
        <v>192</v>
      </c>
    </row>
    <row r="39" spans="5:18" x14ac:dyDescent="0.4">
      <c r="E39" s="7" t="s">
        <v>16</v>
      </c>
      <c r="F39" s="6">
        <f>I19</f>
        <v>1</v>
      </c>
      <c r="G39" s="6">
        <f>K19</f>
        <v>1</v>
      </c>
      <c r="H39" s="9" t="s">
        <v>7</v>
      </c>
      <c r="I39" s="8">
        <f>SUMPRODUCT(F36:G36,F39:G39)</f>
        <v>48</v>
      </c>
      <c r="J39" s="6">
        <f>M19</f>
        <v>192</v>
      </c>
      <c r="L39" s="16">
        <f t="shared" ref="L39:L42" si="0">J39-I39</f>
        <v>144</v>
      </c>
    </row>
    <row r="40" spans="5:18" x14ac:dyDescent="0.4">
      <c r="E40" s="7" t="s">
        <v>17</v>
      </c>
      <c r="F40" s="6">
        <f>I21</f>
        <v>2</v>
      </c>
      <c r="G40" s="6">
        <f>K21</f>
        <v>1</v>
      </c>
      <c r="H40" s="9" t="s">
        <v>7</v>
      </c>
      <c r="I40" s="8">
        <f>SUMPRODUCT(F36:G36,F40:G40)</f>
        <v>48</v>
      </c>
      <c r="J40" s="6">
        <f>M21</f>
        <v>48</v>
      </c>
      <c r="L40" s="15">
        <f t="shared" si="0"/>
        <v>0</v>
      </c>
    </row>
    <row r="41" spans="5:18" x14ac:dyDescent="0.4">
      <c r="E41" s="7" t="s">
        <v>58</v>
      </c>
      <c r="F41" s="6">
        <f>I23</f>
        <v>2</v>
      </c>
      <c r="G41" s="6">
        <f>K23</f>
        <v>0</v>
      </c>
      <c r="H41" s="9" t="s">
        <v>7</v>
      </c>
      <c r="I41" s="8">
        <f>SUMPRODUCT(F36:G36,F41:G41)</f>
        <v>0</v>
      </c>
      <c r="J41" s="6">
        <f>M23</f>
        <v>48</v>
      </c>
      <c r="L41" s="16">
        <f t="shared" si="0"/>
        <v>48</v>
      </c>
    </row>
    <row r="42" spans="5:18" x14ac:dyDescent="0.4">
      <c r="E42" s="7" t="s">
        <v>59</v>
      </c>
      <c r="F42" s="6">
        <f>I25</f>
        <v>1</v>
      </c>
      <c r="G42" s="6">
        <f>K25</f>
        <v>1</v>
      </c>
      <c r="H42" s="9" t="s">
        <v>7</v>
      </c>
      <c r="I42" s="8">
        <f>SUMPRODUCT(F36:G36,F42:G42)</f>
        <v>48</v>
      </c>
      <c r="J42" s="6">
        <f>M25</f>
        <v>480</v>
      </c>
      <c r="L42" s="16">
        <f t="shared" si="0"/>
        <v>432</v>
      </c>
    </row>
    <row r="48" spans="5:18" x14ac:dyDescent="0.4">
      <c r="F48" s="19">
        <v>0</v>
      </c>
      <c r="G48" s="20" t="s">
        <v>7</v>
      </c>
      <c r="H48" s="45">
        <v>48</v>
      </c>
      <c r="I48" s="45"/>
      <c r="J48" s="20" t="s">
        <v>7</v>
      </c>
      <c r="K48" s="19">
        <v>144</v>
      </c>
    </row>
    <row r="53" spans="3:9" x14ac:dyDescent="0.4">
      <c r="C53" s="47" t="s">
        <v>86</v>
      </c>
      <c r="D53" s="47"/>
      <c r="E53" s="47"/>
      <c r="F53" s="47"/>
      <c r="G53" s="47"/>
      <c r="H53" s="47"/>
    </row>
    <row r="54" spans="3:9" ht="15" thickBot="1" x14ac:dyDescent="0.45"/>
    <row r="55" spans="3:9" x14ac:dyDescent="0.4">
      <c r="C55" s="10"/>
      <c r="D55" s="10"/>
      <c r="E55" s="10" t="s">
        <v>27</v>
      </c>
      <c r="F55" s="10" t="s">
        <v>37</v>
      </c>
      <c r="G55" s="10" t="s">
        <v>39</v>
      </c>
      <c r="H55" s="10" t="s">
        <v>33</v>
      </c>
      <c r="I55" s="10" t="s">
        <v>33</v>
      </c>
    </row>
    <row r="56" spans="3:9" ht="15" thickBot="1" x14ac:dyDescent="0.45">
      <c r="C56" s="11" t="s">
        <v>25</v>
      </c>
      <c r="D56" s="11" t="s">
        <v>26</v>
      </c>
      <c r="E56" s="11" t="s">
        <v>28</v>
      </c>
      <c r="F56" s="11" t="s">
        <v>38</v>
      </c>
      <c r="G56" s="11" t="s">
        <v>40</v>
      </c>
      <c r="H56" s="11" t="s">
        <v>34</v>
      </c>
      <c r="I56" s="11" t="s">
        <v>35</v>
      </c>
    </row>
    <row r="57" spans="3:9" x14ac:dyDescent="0.4">
      <c r="C57" s="12" t="s">
        <v>77</v>
      </c>
      <c r="D57" s="12" t="s">
        <v>45</v>
      </c>
      <c r="E57" s="12">
        <v>96</v>
      </c>
      <c r="F57" s="12">
        <v>0</v>
      </c>
      <c r="G57" s="12">
        <v>288</v>
      </c>
      <c r="H57" s="12">
        <v>1E+30</v>
      </c>
      <c r="I57" s="12">
        <v>192</v>
      </c>
    </row>
    <row r="58" spans="3:9" x14ac:dyDescent="0.4">
      <c r="C58" s="12" t="s">
        <v>78</v>
      </c>
      <c r="D58" s="12" t="s">
        <v>45</v>
      </c>
      <c r="E58" s="12">
        <v>48</v>
      </c>
      <c r="F58" s="12">
        <v>0</v>
      </c>
      <c r="G58" s="12">
        <v>192</v>
      </c>
      <c r="H58" s="12">
        <v>1E+30</v>
      </c>
      <c r="I58" s="12">
        <v>144</v>
      </c>
    </row>
    <row r="59" spans="3:9" x14ac:dyDescent="0.4">
      <c r="C59" s="12" t="s">
        <v>79</v>
      </c>
      <c r="D59" s="12" t="s">
        <v>45</v>
      </c>
      <c r="E59" s="12">
        <v>48</v>
      </c>
      <c r="F59" s="12">
        <v>2100</v>
      </c>
      <c r="G59" s="12">
        <v>48</v>
      </c>
      <c r="H59" s="12">
        <v>96</v>
      </c>
      <c r="I59" s="12">
        <v>48</v>
      </c>
    </row>
    <row r="60" spans="3:9" x14ac:dyDescent="0.4">
      <c r="C60" s="12" t="s">
        <v>80</v>
      </c>
      <c r="D60" s="12" t="s">
        <v>45</v>
      </c>
      <c r="E60" s="12">
        <v>0</v>
      </c>
      <c r="F60" s="12">
        <v>0</v>
      </c>
      <c r="G60" s="12">
        <v>48</v>
      </c>
      <c r="H60" s="12">
        <v>1E+30</v>
      </c>
      <c r="I60" s="12">
        <v>48</v>
      </c>
    </row>
    <row r="61" spans="3:9" ht="15" thickBot="1" x14ac:dyDescent="0.45">
      <c r="C61" s="13" t="s">
        <v>81</v>
      </c>
      <c r="D61" s="13" t="s">
        <v>45</v>
      </c>
      <c r="E61" s="13">
        <v>48</v>
      </c>
      <c r="F61" s="13">
        <v>0</v>
      </c>
      <c r="G61" s="13">
        <v>480</v>
      </c>
      <c r="H61" s="13">
        <v>1E+30</v>
      </c>
      <c r="I61" s="13">
        <v>432</v>
      </c>
    </row>
    <row r="65" spans="6:11" x14ac:dyDescent="0.4">
      <c r="F65" s="19">
        <f>H65-I57</f>
        <v>96</v>
      </c>
      <c r="G65" s="20" t="s">
        <v>7</v>
      </c>
      <c r="H65" s="45">
        <f>G57</f>
        <v>288</v>
      </c>
      <c r="I65" s="45"/>
      <c r="J65" s="20" t="s">
        <v>7</v>
      </c>
      <c r="K65" s="20" t="s">
        <v>109</v>
      </c>
    </row>
    <row r="69" spans="6:11" x14ac:dyDescent="0.4">
      <c r="F69" s="19">
        <f>H69-I58</f>
        <v>48</v>
      </c>
      <c r="G69" s="20" t="s">
        <v>7</v>
      </c>
      <c r="H69" s="45">
        <f>G58</f>
        <v>192</v>
      </c>
      <c r="I69" s="45"/>
      <c r="J69" s="20" t="s">
        <v>7</v>
      </c>
      <c r="K69" s="20" t="s">
        <v>109</v>
      </c>
    </row>
    <row r="73" spans="6:11" x14ac:dyDescent="0.4">
      <c r="F73" s="19">
        <f>H73-I60</f>
        <v>0</v>
      </c>
      <c r="G73" s="20" t="s">
        <v>7</v>
      </c>
      <c r="H73" s="45">
        <f>G59</f>
        <v>48</v>
      </c>
      <c r="I73" s="45"/>
      <c r="J73" s="20" t="s">
        <v>7</v>
      </c>
      <c r="K73" s="19">
        <f>H73+H59</f>
        <v>144</v>
      </c>
    </row>
    <row r="77" spans="6:11" x14ac:dyDescent="0.4">
      <c r="F77" s="19">
        <f>H77-I60</f>
        <v>0</v>
      </c>
      <c r="G77" s="20" t="s">
        <v>7</v>
      </c>
      <c r="H77" s="45">
        <f>G60</f>
        <v>48</v>
      </c>
      <c r="I77" s="45"/>
      <c r="J77" s="20" t="s">
        <v>7</v>
      </c>
      <c r="K77" s="20" t="s">
        <v>109</v>
      </c>
    </row>
    <row r="81" spans="3:11" x14ac:dyDescent="0.4">
      <c r="F81" s="19">
        <f>H81-I61</f>
        <v>48</v>
      </c>
      <c r="G81" s="20" t="s">
        <v>7</v>
      </c>
      <c r="H81" s="45">
        <f>G61</f>
        <v>480</v>
      </c>
      <c r="I81" s="45"/>
      <c r="J81" s="20" t="s">
        <v>7</v>
      </c>
      <c r="K81" s="20" t="s">
        <v>109</v>
      </c>
    </row>
    <row r="86" spans="3:11" x14ac:dyDescent="0.4">
      <c r="C86" s="47" t="s">
        <v>87</v>
      </c>
      <c r="D86" s="47"/>
      <c r="E86" s="47"/>
      <c r="F86" s="47"/>
      <c r="G86" s="47"/>
      <c r="H86" s="47"/>
    </row>
    <row r="87" spans="3:11" ht="15" thickBot="1" x14ac:dyDescent="0.45"/>
    <row r="88" spans="3:11" x14ac:dyDescent="0.4">
      <c r="C88" s="10"/>
      <c r="D88" s="10"/>
      <c r="E88" s="10" t="s">
        <v>27</v>
      </c>
      <c r="F88" s="10" t="s">
        <v>29</v>
      </c>
      <c r="G88" s="10" t="s">
        <v>31</v>
      </c>
      <c r="H88" s="10" t="s">
        <v>33</v>
      </c>
      <c r="I88" s="10" t="s">
        <v>33</v>
      </c>
    </row>
    <row r="89" spans="3:11" ht="15" thickBot="1" x14ac:dyDescent="0.45">
      <c r="C89" s="11" t="s">
        <v>25</v>
      </c>
      <c r="D89" s="11" t="s">
        <v>26</v>
      </c>
      <c r="E89" s="11" t="s">
        <v>28</v>
      </c>
      <c r="F89" s="11" t="s">
        <v>30</v>
      </c>
      <c r="G89" s="11" t="s">
        <v>32</v>
      </c>
      <c r="H89" s="11" t="s">
        <v>34</v>
      </c>
      <c r="I89" s="11" t="s">
        <v>35</v>
      </c>
    </row>
    <row r="90" spans="3:11" x14ac:dyDescent="0.4">
      <c r="C90" s="12" t="s">
        <v>75</v>
      </c>
      <c r="D90" s="12" t="s">
        <v>61</v>
      </c>
      <c r="E90" s="12">
        <v>0</v>
      </c>
      <c r="F90" s="12">
        <v>-1200</v>
      </c>
      <c r="G90" s="12">
        <v>3000</v>
      </c>
      <c r="H90" s="12">
        <v>1200</v>
      </c>
      <c r="I90" s="12">
        <v>1E+30</v>
      </c>
    </row>
    <row r="91" spans="3:11" ht="15" thickBot="1" x14ac:dyDescent="0.45">
      <c r="C91" s="13" t="s">
        <v>76</v>
      </c>
      <c r="D91" s="13" t="s">
        <v>63</v>
      </c>
      <c r="E91" s="13">
        <v>48</v>
      </c>
      <c r="F91" s="13">
        <v>0</v>
      </c>
      <c r="G91" s="13">
        <v>2100</v>
      </c>
      <c r="H91" s="13">
        <v>1E+30</v>
      </c>
      <c r="I91" s="13">
        <v>600</v>
      </c>
    </row>
    <row r="95" spans="3:11" x14ac:dyDescent="0.4">
      <c r="F95" s="19">
        <v>0</v>
      </c>
      <c r="G95" s="20" t="s">
        <v>7</v>
      </c>
      <c r="H95" s="45">
        <f>G90</f>
        <v>3000</v>
      </c>
      <c r="I95" s="45"/>
      <c r="J95" s="20" t="s">
        <v>7</v>
      </c>
      <c r="K95" s="19">
        <f>H95+H90</f>
        <v>4200</v>
      </c>
    </row>
    <row r="99" spans="5:12" x14ac:dyDescent="0.4">
      <c r="F99" s="19">
        <f>H99-I91</f>
        <v>1500</v>
      </c>
      <c r="G99" s="20" t="s">
        <v>7</v>
      </c>
      <c r="H99" s="45">
        <f>G91</f>
        <v>2100</v>
      </c>
      <c r="I99" s="45"/>
      <c r="J99" s="20" t="s">
        <v>7</v>
      </c>
      <c r="K99" s="20" t="s">
        <v>109</v>
      </c>
    </row>
    <row r="107" spans="5:12" x14ac:dyDescent="0.4">
      <c r="F107" s="43" t="s">
        <v>22</v>
      </c>
      <c r="G107" s="43"/>
      <c r="H107" s="43"/>
      <c r="I107" s="43"/>
      <c r="J107" s="43"/>
      <c r="K107" s="43"/>
    </row>
    <row r="109" spans="5:12" x14ac:dyDescent="0.4">
      <c r="E109" s="3"/>
      <c r="F109" s="51" t="s">
        <v>19</v>
      </c>
      <c r="G109" s="52"/>
      <c r="I109" s="7" t="s">
        <v>20</v>
      </c>
      <c r="J109" s="7" t="s">
        <v>21</v>
      </c>
      <c r="L109" s="7" t="s">
        <v>69</v>
      </c>
    </row>
    <row r="110" spans="5:12" x14ac:dyDescent="0.4">
      <c r="E110" s="3"/>
      <c r="F110" s="7" t="s">
        <v>84</v>
      </c>
      <c r="G110" s="7" t="s">
        <v>85</v>
      </c>
      <c r="J110" s="3"/>
      <c r="K110" s="3"/>
    </row>
    <row r="111" spans="5:12" x14ac:dyDescent="0.4">
      <c r="E111" s="7" t="s">
        <v>14</v>
      </c>
      <c r="F111" s="8">
        <v>0</v>
      </c>
      <c r="G111" s="8">
        <v>48</v>
      </c>
      <c r="J111" s="3"/>
      <c r="K111" s="3"/>
    </row>
    <row r="112" spans="5:12" x14ac:dyDescent="0.4">
      <c r="E112" s="7" t="s">
        <v>57</v>
      </c>
      <c r="F112" s="6">
        <f>I13</f>
        <v>3000</v>
      </c>
      <c r="G112" s="6">
        <f>K13</f>
        <v>2100</v>
      </c>
      <c r="H112" s="8">
        <f>SUMPRODUCT(F111:G111,F112:G112)</f>
        <v>100800</v>
      </c>
      <c r="K112" s="3"/>
    </row>
    <row r="113" spans="5:12" x14ac:dyDescent="0.4">
      <c r="E113" s="7" t="s">
        <v>15</v>
      </c>
      <c r="F113" s="6">
        <f>I17</f>
        <v>2</v>
      </c>
      <c r="G113" s="6">
        <f>K17</f>
        <v>2</v>
      </c>
      <c r="H113" s="9" t="s">
        <v>7</v>
      </c>
      <c r="I113" s="8">
        <f>SUMPRODUCT(F111:G111,F113:G113)</f>
        <v>96</v>
      </c>
      <c r="J113" s="6">
        <f>M17</f>
        <v>288</v>
      </c>
      <c r="L113" s="16">
        <f>J113-I113</f>
        <v>192</v>
      </c>
    </row>
    <row r="114" spans="5:12" x14ac:dyDescent="0.4">
      <c r="E114" s="7" t="s">
        <v>16</v>
      </c>
      <c r="F114" s="6">
        <f>I19</f>
        <v>1</v>
      </c>
      <c r="G114" s="6">
        <f>K19</f>
        <v>1</v>
      </c>
      <c r="H114" s="9" t="s">
        <v>7</v>
      </c>
      <c r="I114" s="8">
        <f>SUMPRODUCT(F111:G111,F114:G114)</f>
        <v>48</v>
      </c>
      <c r="J114" s="6">
        <f>M19</f>
        <v>192</v>
      </c>
      <c r="L114" s="15">
        <f t="shared" ref="L114:L117" si="1">J114-I114</f>
        <v>144</v>
      </c>
    </row>
    <row r="115" spans="5:12" x14ac:dyDescent="0.4">
      <c r="E115" s="7" t="s">
        <v>17</v>
      </c>
      <c r="F115" s="6">
        <f>I21</f>
        <v>2</v>
      </c>
      <c r="G115" s="6">
        <f>K21</f>
        <v>1</v>
      </c>
      <c r="H115" s="9" t="s">
        <v>7</v>
      </c>
      <c r="I115" s="8">
        <f>SUMPRODUCT(F111:G111,F115:G115)</f>
        <v>48</v>
      </c>
      <c r="J115" s="6">
        <v>48</v>
      </c>
      <c r="L115" s="16">
        <f t="shared" si="1"/>
        <v>0</v>
      </c>
    </row>
    <row r="116" spans="5:12" x14ac:dyDescent="0.4">
      <c r="E116" s="7" t="s">
        <v>58</v>
      </c>
      <c r="F116" s="6">
        <f>I23</f>
        <v>2</v>
      </c>
      <c r="G116" s="6">
        <f>K23</f>
        <v>0</v>
      </c>
      <c r="H116" s="9" t="s">
        <v>7</v>
      </c>
      <c r="I116" s="8">
        <f>SUMPRODUCT(F111:G111,F116:G116)</f>
        <v>0</v>
      </c>
      <c r="J116" s="6">
        <v>96</v>
      </c>
      <c r="L116" s="16">
        <f t="shared" si="1"/>
        <v>96</v>
      </c>
    </row>
    <row r="117" spans="5:12" x14ac:dyDescent="0.4">
      <c r="E117" s="7" t="s">
        <v>59</v>
      </c>
      <c r="F117" s="6">
        <f>I25</f>
        <v>1</v>
      </c>
      <c r="G117" s="6">
        <f>K25</f>
        <v>1</v>
      </c>
      <c r="H117" s="9" t="s">
        <v>7</v>
      </c>
      <c r="I117" s="8">
        <f>SUMPRODUCT(F111:G111,F117:G117)</f>
        <v>48</v>
      </c>
      <c r="J117" s="6">
        <f>M25</f>
        <v>480</v>
      </c>
      <c r="L117" s="15">
        <f t="shared" si="1"/>
        <v>432</v>
      </c>
    </row>
    <row r="124" spans="5:12" x14ac:dyDescent="0.4">
      <c r="F124" s="43" t="s">
        <v>22</v>
      </c>
      <c r="G124" s="43"/>
      <c r="H124" s="43"/>
      <c r="I124" s="43"/>
      <c r="J124" s="43"/>
      <c r="K124" s="43"/>
    </row>
    <row r="126" spans="5:12" x14ac:dyDescent="0.4">
      <c r="E126" s="3"/>
      <c r="F126" s="51" t="s">
        <v>19</v>
      </c>
      <c r="G126" s="52"/>
      <c r="I126" s="7" t="s">
        <v>20</v>
      </c>
      <c r="J126" s="7" t="s">
        <v>21</v>
      </c>
      <c r="L126" s="7" t="s">
        <v>69</v>
      </c>
    </row>
    <row r="127" spans="5:12" x14ac:dyDescent="0.4">
      <c r="E127" s="3"/>
      <c r="F127" s="7" t="s">
        <v>84</v>
      </c>
      <c r="G127" s="7" t="s">
        <v>85</v>
      </c>
      <c r="J127" s="3"/>
      <c r="K127" s="3"/>
    </row>
    <row r="128" spans="5:12" x14ac:dyDescent="0.4">
      <c r="E128" s="7" t="s">
        <v>14</v>
      </c>
      <c r="F128" s="8">
        <v>0</v>
      </c>
      <c r="G128" s="8">
        <v>48</v>
      </c>
      <c r="J128" s="3"/>
      <c r="K128" s="3"/>
    </row>
    <row r="129" spans="5:12" x14ac:dyDescent="0.4">
      <c r="E129" s="7" t="s">
        <v>57</v>
      </c>
      <c r="F129" s="6">
        <f>I13*0.98</f>
        <v>2940</v>
      </c>
      <c r="G129" s="6">
        <f>K13</f>
        <v>2100</v>
      </c>
      <c r="H129" s="8">
        <f>SUMPRODUCT(F128:G128,F129:G129)</f>
        <v>100800</v>
      </c>
      <c r="K129" s="3"/>
    </row>
    <row r="130" spans="5:12" x14ac:dyDescent="0.4">
      <c r="E130" s="7" t="s">
        <v>15</v>
      </c>
      <c r="F130" s="6">
        <f>I17</f>
        <v>2</v>
      </c>
      <c r="G130" s="6">
        <f>K17</f>
        <v>2</v>
      </c>
      <c r="H130" s="9" t="s">
        <v>7</v>
      </c>
      <c r="I130" s="8">
        <f>SUMPRODUCT(F128:G128,F130:G130)</f>
        <v>96</v>
      </c>
      <c r="J130" s="6">
        <f>M17</f>
        <v>288</v>
      </c>
      <c r="L130" s="16">
        <f>J130-I130</f>
        <v>192</v>
      </c>
    </row>
    <row r="131" spans="5:12" x14ac:dyDescent="0.4">
      <c r="E131" s="7" t="s">
        <v>16</v>
      </c>
      <c r="F131" s="6">
        <f>I19</f>
        <v>1</v>
      </c>
      <c r="G131" s="6">
        <f>K19</f>
        <v>1</v>
      </c>
      <c r="H131" s="9" t="s">
        <v>7</v>
      </c>
      <c r="I131" s="8">
        <f>SUMPRODUCT(F128:G128,F131:G131)</f>
        <v>48</v>
      </c>
      <c r="J131" s="6">
        <f>M19</f>
        <v>192</v>
      </c>
      <c r="L131" s="15">
        <f t="shared" ref="L131:L134" si="2">J131-I131</f>
        <v>144</v>
      </c>
    </row>
    <row r="132" spans="5:12" x14ac:dyDescent="0.4">
      <c r="E132" s="7" t="s">
        <v>17</v>
      </c>
      <c r="F132" s="6">
        <f>I21</f>
        <v>2</v>
      </c>
      <c r="G132" s="6">
        <f>K21</f>
        <v>1</v>
      </c>
      <c r="H132" s="9" t="s">
        <v>7</v>
      </c>
      <c r="I132" s="8">
        <f>SUMPRODUCT(F128:G128,F132:G132)</f>
        <v>48</v>
      </c>
      <c r="J132" s="6">
        <f>M21</f>
        <v>48</v>
      </c>
      <c r="L132" s="16">
        <f t="shared" si="2"/>
        <v>0</v>
      </c>
    </row>
    <row r="133" spans="5:12" x14ac:dyDescent="0.4">
      <c r="E133" s="7" t="s">
        <v>58</v>
      </c>
      <c r="F133" s="6">
        <f>I23</f>
        <v>2</v>
      </c>
      <c r="G133" s="6">
        <f>K23</f>
        <v>0</v>
      </c>
      <c r="H133" s="9" t="s">
        <v>7</v>
      </c>
      <c r="I133" s="8">
        <f>SUMPRODUCT(F128:G128,F133:G133)</f>
        <v>0</v>
      </c>
      <c r="J133" s="6">
        <f>M23</f>
        <v>48</v>
      </c>
      <c r="L133" s="16">
        <f t="shared" si="2"/>
        <v>48</v>
      </c>
    </row>
    <row r="134" spans="5:12" x14ac:dyDescent="0.4">
      <c r="E134" s="7" t="s">
        <v>59</v>
      </c>
      <c r="F134" s="6">
        <f>I25</f>
        <v>1</v>
      </c>
      <c r="G134" s="6">
        <f>K25</f>
        <v>1</v>
      </c>
      <c r="H134" s="9" t="s">
        <v>7</v>
      </c>
      <c r="I134" s="8">
        <f>SUMPRODUCT(F128:G128,F134:G134)</f>
        <v>48</v>
      </c>
      <c r="J134" s="6">
        <f>M25</f>
        <v>480</v>
      </c>
      <c r="L134" s="15">
        <f t="shared" si="2"/>
        <v>432</v>
      </c>
    </row>
  </sheetData>
  <mergeCells count="30">
    <mergeCell ref="F15:K15"/>
    <mergeCell ref="N33:R35"/>
    <mergeCell ref="N32:R32"/>
    <mergeCell ref="C4:N4"/>
    <mergeCell ref="F6:K6"/>
    <mergeCell ref="G8:J8"/>
    <mergeCell ref="G9:J9"/>
    <mergeCell ref="F13:G13"/>
    <mergeCell ref="H69:I69"/>
    <mergeCell ref="E17:G17"/>
    <mergeCell ref="E19:G19"/>
    <mergeCell ref="E21:G21"/>
    <mergeCell ref="E23:G23"/>
    <mergeCell ref="E25:G25"/>
    <mergeCell ref="C30:N30"/>
    <mergeCell ref="F32:K32"/>
    <mergeCell ref="F34:G34"/>
    <mergeCell ref="H48:I48"/>
    <mergeCell ref="C53:H53"/>
    <mergeCell ref="H65:I65"/>
    <mergeCell ref="F107:K107"/>
    <mergeCell ref="F109:G109"/>
    <mergeCell ref="F124:K124"/>
    <mergeCell ref="F126:G126"/>
    <mergeCell ref="H73:I73"/>
    <mergeCell ref="H77:I77"/>
    <mergeCell ref="H81:I81"/>
    <mergeCell ref="C86:H86"/>
    <mergeCell ref="H95:I95"/>
    <mergeCell ref="H99:I9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3C5C5-91AE-46DA-977B-E92BB792FA0C}">
  <dimension ref="A1:J14"/>
  <sheetViews>
    <sheetView showGridLines="0" tabSelected="1" workbookViewId="0"/>
  </sheetViews>
  <sheetFormatPr baseColWidth="10" defaultRowHeight="14.6" x14ac:dyDescent="0.4"/>
  <cols>
    <col min="1" max="1" width="2.3046875" customWidth="1"/>
    <col min="2" max="2" width="5.84375" bestFit="1" customWidth="1"/>
    <col min="3" max="3" width="8" bestFit="1" customWidth="1"/>
    <col min="4" max="4" width="7" bestFit="1" customWidth="1"/>
    <col min="5" max="5" width="2.3046875" customWidth="1"/>
    <col min="6" max="6" width="7" bestFit="1" customWidth="1"/>
    <col min="7" max="7" width="9.3046875" bestFit="1" customWidth="1"/>
    <col min="8" max="8" width="2.3046875" customWidth="1"/>
    <col min="9" max="9" width="8.07421875" bestFit="1" customWidth="1"/>
    <col min="10" max="10" width="9.3046875" bestFit="1" customWidth="1"/>
  </cols>
  <sheetData>
    <row r="1" spans="1:10" x14ac:dyDescent="0.4">
      <c r="A1" s="5" t="s">
        <v>100</v>
      </c>
    </row>
    <row r="2" spans="1:10" x14ac:dyDescent="0.4">
      <c r="A2" s="5" t="s">
        <v>131</v>
      </c>
    </row>
    <row r="3" spans="1:10" x14ac:dyDescent="0.4">
      <c r="A3" s="5" t="s">
        <v>132</v>
      </c>
    </row>
    <row r="5" spans="1:10" ht="15" thickBot="1" x14ac:dyDescent="0.45"/>
    <row r="6" spans="1:10" x14ac:dyDescent="0.4">
      <c r="B6" s="28"/>
      <c r="C6" s="28" t="s">
        <v>31</v>
      </c>
      <c r="D6" s="28"/>
    </row>
    <row r="7" spans="1:10" ht="15" thickBot="1" x14ac:dyDescent="0.45">
      <c r="B7" s="29" t="s">
        <v>25</v>
      </c>
      <c r="C7" s="29" t="s">
        <v>26</v>
      </c>
      <c r="D7" s="29" t="s">
        <v>28</v>
      </c>
    </row>
    <row r="8" spans="1:10" ht="15" thickBot="1" x14ac:dyDescent="0.45">
      <c r="B8" s="27" t="s">
        <v>140</v>
      </c>
      <c r="C8" s="27" t="s">
        <v>141</v>
      </c>
      <c r="D8" s="27">
        <v>100800</v>
      </c>
    </row>
    <row r="10" spans="1:10" ht="15" thickBot="1" x14ac:dyDescent="0.45"/>
    <row r="11" spans="1:10" x14ac:dyDescent="0.4">
      <c r="B11" s="28"/>
      <c r="C11" s="28" t="s">
        <v>101</v>
      </c>
      <c r="D11" s="28"/>
      <c r="F11" s="28" t="s">
        <v>102</v>
      </c>
      <c r="G11" s="28" t="s">
        <v>31</v>
      </c>
      <c r="I11" s="28" t="s">
        <v>105</v>
      </c>
      <c r="J11" s="28" t="s">
        <v>31</v>
      </c>
    </row>
    <row r="12" spans="1:10" ht="15" thickBot="1" x14ac:dyDescent="0.45">
      <c r="B12" s="29" t="s">
        <v>25</v>
      </c>
      <c r="C12" s="29" t="s">
        <v>26</v>
      </c>
      <c r="D12" s="29" t="s">
        <v>28</v>
      </c>
      <c r="F12" s="29" t="s">
        <v>103</v>
      </c>
      <c r="G12" s="29" t="s">
        <v>104</v>
      </c>
      <c r="I12" s="29" t="s">
        <v>103</v>
      </c>
      <c r="J12" s="29" t="s">
        <v>104</v>
      </c>
    </row>
    <row r="13" spans="1:10" x14ac:dyDescent="0.4">
      <c r="B13" s="26" t="s">
        <v>133</v>
      </c>
      <c r="C13" s="26" t="s">
        <v>134</v>
      </c>
      <c r="D13" s="26">
        <v>0</v>
      </c>
      <c r="F13" s="26">
        <v>0</v>
      </c>
      <c r="G13" s="26">
        <v>100800</v>
      </c>
      <c r="I13" s="26">
        <v>0</v>
      </c>
      <c r="J13" s="26">
        <v>100800</v>
      </c>
    </row>
    <row r="14" spans="1:10" ht="15" thickBot="1" x14ac:dyDescent="0.45">
      <c r="B14" s="27" t="s">
        <v>135</v>
      </c>
      <c r="C14" s="27" t="s">
        <v>136</v>
      </c>
      <c r="D14" s="27">
        <v>48</v>
      </c>
      <c r="F14" s="27">
        <v>0</v>
      </c>
      <c r="G14" s="27">
        <v>0</v>
      </c>
      <c r="I14" s="27">
        <v>48</v>
      </c>
      <c r="J14" s="27">
        <v>100800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B7B3-9582-4400-A009-39746DBB3594}">
  <dimension ref="K62:P95"/>
  <sheetViews>
    <sheetView zoomScaleNormal="100" workbookViewId="0">
      <selection activeCell="J24" sqref="J24"/>
    </sheetView>
  </sheetViews>
  <sheetFormatPr baseColWidth="10" defaultRowHeight="14.6" x14ac:dyDescent="0.4"/>
  <sheetData>
    <row r="62" spans="11:14" x14ac:dyDescent="0.4">
      <c r="M62" s="3"/>
      <c r="N62" s="3"/>
    </row>
    <row r="63" spans="11:14" x14ac:dyDescent="0.4">
      <c r="K63" s="3"/>
      <c r="L63" s="3"/>
      <c r="M63" s="3"/>
      <c r="N63" s="3"/>
    </row>
    <row r="64" spans="11:14" ht="14.4" customHeight="1" x14ac:dyDescent="0.4"/>
    <row r="65" spans="11:14" ht="14.4" customHeight="1" x14ac:dyDescent="0.4"/>
    <row r="66" spans="11:14" ht="14.4" customHeight="1" x14ac:dyDescent="0.4"/>
    <row r="67" spans="11:14" ht="14.4" customHeight="1" x14ac:dyDescent="0.4"/>
    <row r="68" spans="11:14" ht="14.4" customHeight="1" x14ac:dyDescent="0.4"/>
    <row r="69" spans="11:14" ht="14.4" customHeight="1" x14ac:dyDescent="0.4">
      <c r="M69" s="3"/>
      <c r="N69" s="3"/>
    </row>
    <row r="70" spans="11:14" x14ac:dyDescent="0.4">
      <c r="K70" s="3"/>
      <c r="L70" s="3"/>
      <c r="M70" s="3"/>
      <c r="N70" s="3"/>
    </row>
    <row r="85" spans="15:16" x14ac:dyDescent="0.4">
      <c r="O85" s="35"/>
    </row>
    <row r="89" spans="15:16" ht="14.4" customHeight="1" x14ac:dyDescent="0.4"/>
    <row r="95" spans="15:16" x14ac:dyDescent="0.4">
      <c r="P95" s="35"/>
    </row>
  </sheetData>
  <phoneticPr fontId="7"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D9218-D576-4EBC-ADA9-793155C776FE}">
  <dimension ref="A1:H19"/>
  <sheetViews>
    <sheetView showGridLines="0" workbookViewId="0"/>
  </sheetViews>
  <sheetFormatPr baseColWidth="10" defaultRowHeight="14.6" x14ac:dyDescent="0.4"/>
  <cols>
    <col min="1" max="1" width="2.3046875" customWidth="1"/>
    <col min="2" max="2" width="6.3046875" bestFit="1" customWidth="1"/>
    <col min="3" max="3" width="7.84375" bestFit="1" customWidth="1"/>
    <col min="4" max="5" width="12" bestFit="1" customWidth="1"/>
    <col min="6" max="6" width="12.07421875" bestFit="1" customWidth="1"/>
    <col min="7" max="8" width="12" bestFit="1" customWidth="1"/>
  </cols>
  <sheetData>
    <row r="1" spans="1:8" x14ac:dyDescent="0.4">
      <c r="A1" s="5" t="s">
        <v>23</v>
      </c>
    </row>
    <row r="2" spans="1:8" x14ac:dyDescent="0.4">
      <c r="A2" s="5" t="s">
        <v>142</v>
      </c>
    </row>
    <row r="3" spans="1:8" x14ac:dyDescent="0.4">
      <c r="A3" s="5" t="s">
        <v>143</v>
      </c>
    </row>
    <row r="6" spans="1:8" ht="15" thickBot="1" x14ac:dyDescent="0.45">
      <c r="A6" t="s">
        <v>24</v>
      </c>
    </row>
    <row r="7" spans="1:8" x14ac:dyDescent="0.4">
      <c r="B7" s="28"/>
      <c r="C7" s="28"/>
      <c r="D7" s="28" t="s">
        <v>27</v>
      </c>
      <c r="E7" s="28" t="s">
        <v>29</v>
      </c>
      <c r="F7" s="28" t="s">
        <v>31</v>
      </c>
      <c r="G7" s="28" t="s">
        <v>33</v>
      </c>
      <c r="H7" s="28" t="s">
        <v>33</v>
      </c>
    </row>
    <row r="8" spans="1:8" ht="15" thickBot="1" x14ac:dyDescent="0.45">
      <c r="B8" s="29" t="s">
        <v>25</v>
      </c>
      <c r="C8" s="29" t="s">
        <v>26</v>
      </c>
      <c r="D8" s="29" t="s">
        <v>28</v>
      </c>
      <c r="E8" s="29" t="s">
        <v>30</v>
      </c>
      <c r="F8" s="29" t="s">
        <v>32</v>
      </c>
      <c r="G8" s="29" t="s">
        <v>34</v>
      </c>
      <c r="H8" s="29" t="s">
        <v>35</v>
      </c>
    </row>
    <row r="9" spans="1:8" x14ac:dyDescent="0.4">
      <c r="B9" s="26" t="s">
        <v>133</v>
      </c>
      <c r="C9" s="26" t="s">
        <v>61</v>
      </c>
      <c r="D9" s="26">
        <v>1133.3333333333333</v>
      </c>
      <c r="E9" s="26">
        <v>0</v>
      </c>
      <c r="F9" s="26">
        <v>22000</v>
      </c>
      <c r="G9" s="26">
        <v>1E+30</v>
      </c>
      <c r="H9" s="26">
        <v>12000</v>
      </c>
    </row>
    <row r="10" spans="1:8" ht="15" thickBot="1" x14ac:dyDescent="0.45">
      <c r="B10" s="27" t="s">
        <v>135</v>
      </c>
      <c r="C10" s="27" t="s">
        <v>63</v>
      </c>
      <c r="D10" s="27">
        <v>0</v>
      </c>
      <c r="E10" s="27">
        <v>-24000</v>
      </c>
      <c r="F10" s="27">
        <v>20000</v>
      </c>
      <c r="G10" s="27">
        <v>24000</v>
      </c>
      <c r="H10" s="27">
        <v>1E+30</v>
      </c>
    </row>
    <row r="12" spans="1:8" ht="15" thickBot="1" x14ac:dyDescent="0.45">
      <c r="A12" t="s">
        <v>36</v>
      </c>
    </row>
    <row r="13" spans="1:8" x14ac:dyDescent="0.4">
      <c r="B13" s="28"/>
      <c r="C13" s="28"/>
      <c r="D13" s="28" t="s">
        <v>27</v>
      </c>
      <c r="E13" s="28" t="s">
        <v>37</v>
      </c>
      <c r="F13" s="28" t="s">
        <v>39</v>
      </c>
      <c r="G13" s="28" t="s">
        <v>33</v>
      </c>
      <c r="H13" s="28" t="s">
        <v>33</v>
      </c>
    </row>
    <row r="14" spans="1:8" ht="15" thickBot="1" x14ac:dyDescent="0.45">
      <c r="B14" s="29" t="s">
        <v>25</v>
      </c>
      <c r="C14" s="29" t="s">
        <v>26</v>
      </c>
      <c r="D14" s="29" t="s">
        <v>28</v>
      </c>
      <c r="E14" s="29" t="s">
        <v>38</v>
      </c>
      <c r="F14" s="29" t="s">
        <v>40</v>
      </c>
      <c r="G14" s="29" t="s">
        <v>34</v>
      </c>
      <c r="H14" s="29" t="s">
        <v>35</v>
      </c>
    </row>
    <row r="15" spans="1:8" x14ac:dyDescent="0.4">
      <c r="B15" s="26" t="s">
        <v>80</v>
      </c>
      <c r="C15" s="26" t="s">
        <v>45</v>
      </c>
      <c r="D15" s="26">
        <v>2833.333333333333</v>
      </c>
      <c r="E15" s="26">
        <v>0</v>
      </c>
      <c r="F15" s="26">
        <v>4500</v>
      </c>
      <c r="G15" s="26">
        <v>1E+30</v>
      </c>
      <c r="H15" s="26">
        <v>1666.666666666667</v>
      </c>
    </row>
    <row r="16" spans="1:8" x14ac:dyDescent="0.4">
      <c r="B16" s="26" t="s">
        <v>81</v>
      </c>
      <c r="C16" s="26" t="s">
        <v>45</v>
      </c>
      <c r="D16" s="26">
        <v>3400</v>
      </c>
      <c r="E16" s="26">
        <v>7333.333333333333</v>
      </c>
      <c r="F16" s="26">
        <v>3400</v>
      </c>
      <c r="G16" s="26">
        <v>885.71428571428601</v>
      </c>
      <c r="H16" s="26">
        <v>1599.9999999999998</v>
      </c>
    </row>
    <row r="17" spans="2:8" x14ac:dyDescent="0.4">
      <c r="B17" s="26" t="s">
        <v>137</v>
      </c>
      <c r="C17" s="26" t="s">
        <v>45</v>
      </c>
      <c r="D17" s="26">
        <v>15866.666666666666</v>
      </c>
      <c r="E17" s="26">
        <v>0</v>
      </c>
      <c r="F17" s="26">
        <v>20000</v>
      </c>
      <c r="G17" s="26">
        <v>1E+30</v>
      </c>
      <c r="H17" s="26">
        <v>4133.3333333333339</v>
      </c>
    </row>
    <row r="18" spans="2:8" x14ac:dyDescent="0.4">
      <c r="B18" s="26" t="s">
        <v>138</v>
      </c>
      <c r="C18" s="26" t="s">
        <v>45</v>
      </c>
      <c r="D18" s="26">
        <v>1133.3333333333333</v>
      </c>
      <c r="E18" s="26">
        <v>0</v>
      </c>
      <c r="F18" s="26">
        <v>1700</v>
      </c>
      <c r="G18" s="26">
        <v>1E+30</v>
      </c>
      <c r="H18" s="26">
        <v>566.66666666666674</v>
      </c>
    </row>
    <row r="19" spans="2:8" ht="15" thickBot="1" x14ac:dyDescent="0.45">
      <c r="B19" s="27" t="s">
        <v>139</v>
      </c>
      <c r="C19" s="27" t="s">
        <v>47</v>
      </c>
      <c r="D19" s="27">
        <v>1133.3333333333333</v>
      </c>
      <c r="E19" s="27">
        <v>0</v>
      </c>
      <c r="F19" s="27">
        <v>600</v>
      </c>
      <c r="G19" s="27">
        <v>533.33333333333326</v>
      </c>
      <c r="H19" s="27">
        <v>1E+30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3DA95-6DEC-4B39-8605-F8B88BF66B16}">
  <dimension ref="B4:AG95"/>
  <sheetViews>
    <sheetView zoomScale="101" zoomScaleNormal="100" workbookViewId="0">
      <selection activeCell="S74" sqref="S74"/>
    </sheetView>
  </sheetViews>
  <sheetFormatPr baseColWidth="10" defaultRowHeight="14.6" x14ac:dyDescent="0.4"/>
  <sheetData>
    <row r="4" spans="3:14" x14ac:dyDescent="0.4">
      <c r="C4" s="48" t="s">
        <v>0</v>
      </c>
      <c r="D4" s="48"/>
      <c r="E4" s="48"/>
      <c r="F4" s="48"/>
      <c r="G4" s="48"/>
      <c r="H4" s="48"/>
      <c r="I4" s="48"/>
      <c r="J4" s="48"/>
      <c r="K4" s="48"/>
      <c r="L4" s="48"/>
      <c r="M4" s="48"/>
      <c r="N4" s="48"/>
    </row>
    <row r="6" spans="3:14" x14ac:dyDescent="0.4">
      <c r="F6" s="43" t="s">
        <v>1</v>
      </c>
      <c r="G6" s="43"/>
      <c r="H6" s="43"/>
      <c r="I6" s="43"/>
      <c r="J6" s="43"/>
      <c r="K6" s="43"/>
    </row>
    <row r="8" spans="3:14" x14ac:dyDescent="0.4">
      <c r="G8" s="50" t="s">
        <v>123</v>
      </c>
      <c r="H8" s="50"/>
      <c r="I8" s="50"/>
      <c r="J8" s="50"/>
    </row>
    <row r="9" spans="3:14" x14ac:dyDescent="0.4">
      <c r="C9" s="1"/>
      <c r="D9" s="1"/>
      <c r="E9" s="1"/>
      <c r="G9" s="50" t="s">
        <v>124</v>
      </c>
      <c r="H9" s="50"/>
      <c r="I9" s="50"/>
      <c r="J9" s="50"/>
    </row>
    <row r="10" spans="3:14" x14ac:dyDescent="0.4">
      <c r="C10" s="1"/>
      <c r="D10" s="1"/>
      <c r="E10" s="1"/>
    </row>
    <row r="11" spans="3:14" x14ac:dyDescent="0.4">
      <c r="G11" s="1"/>
      <c r="H11" s="1"/>
      <c r="I11" s="2" t="s">
        <v>51</v>
      </c>
      <c r="K11" s="2" t="s">
        <v>52</v>
      </c>
    </row>
    <row r="13" spans="3:14" x14ac:dyDescent="0.4">
      <c r="F13" s="45" t="s">
        <v>2</v>
      </c>
      <c r="G13" s="45"/>
      <c r="H13" s="19" t="s">
        <v>3</v>
      </c>
      <c r="I13" s="19">
        <f>52000-30000</f>
        <v>22000</v>
      </c>
      <c r="J13" s="19" t="s">
        <v>4</v>
      </c>
      <c r="K13" s="19">
        <f>48000-28000</f>
        <v>20000</v>
      </c>
    </row>
    <row r="14" spans="3:14" x14ac:dyDescent="0.4">
      <c r="K14" s="5"/>
    </row>
    <row r="15" spans="3:14" x14ac:dyDescent="0.4">
      <c r="F15" s="43" t="s">
        <v>5</v>
      </c>
      <c r="G15" s="43"/>
      <c r="H15" s="43"/>
      <c r="I15" s="43"/>
      <c r="J15" s="43"/>
      <c r="K15" s="43"/>
    </row>
    <row r="16" spans="3:14" x14ac:dyDescent="0.4">
      <c r="K16" s="5"/>
    </row>
    <row r="17" spans="3:14" x14ac:dyDescent="0.4">
      <c r="E17" s="45" t="s">
        <v>48</v>
      </c>
      <c r="F17" s="45"/>
      <c r="G17" s="45"/>
      <c r="H17" s="19" t="s">
        <v>6</v>
      </c>
      <c r="I17" s="19">
        <v>2.5</v>
      </c>
      <c r="J17" s="19" t="s">
        <v>4</v>
      </c>
      <c r="K17" s="19">
        <v>3</v>
      </c>
      <c r="L17" s="20" t="s">
        <v>7</v>
      </c>
      <c r="M17" s="19">
        <v>4500</v>
      </c>
    </row>
    <row r="18" spans="3:14" x14ac:dyDescent="0.4">
      <c r="H18" s="2"/>
      <c r="I18" s="3"/>
      <c r="J18" s="2"/>
      <c r="K18" s="3"/>
      <c r="L18" s="2"/>
      <c r="M18" s="3"/>
    </row>
    <row r="19" spans="3:14" x14ac:dyDescent="0.4">
      <c r="E19" s="45" t="s">
        <v>49</v>
      </c>
      <c r="F19" s="45"/>
      <c r="G19" s="45"/>
      <c r="H19" s="19" t="s">
        <v>6</v>
      </c>
      <c r="I19" s="19">
        <v>3</v>
      </c>
      <c r="J19" s="19" t="s">
        <v>4</v>
      </c>
      <c r="K19" s="19">
        <v>6</v>
      </c>
      <c r="L19" s="20" t="s">
        <v>7</v>
      </c>
      <c r="M19" s="19">
        <v>3400</v>
      </c>
    </row>
    <row r="20" spans="3:14" x14ac:dyDescent="0.4">
      <c r="H20" s="2"/>
      <c r="I20" s="3"/>
      <c r="J20" s="2"/>
      <c r="K20" s="3"/>
      <c r="L20" s="2"/>
      <c r="M20" s="3"/>
    </row>
    <row r="21" spans="3:14" x14ac:dyDescent="0.4">
      <c r="E21" s="45" t="s">
        <v>50</v>
      </c>
      <c r="F21" s="45"/>
      <c r="G21" s="45"/>
      <c r="H21" s="19" t="s">
        <v>6</v>
      </c>
      <c r="I21" s="19">
        <v>14</v>
      </c>
      <c r="J21" s="19" t="s">
        <v>4</v>
      </c>
      <c r="K21" s="19">
        <v>10</v>
      </c>
      <c r="L21" s="20" t="s">
        <v>7</v>
      </c>
      <c r="M21" s="19">
        <v>20000</v>
      </c>
    </row>
    <row r="22" spans="3:14" x14ac:dyDescent="0.4">
      <c r="G22" s="5"/>
    </row>
    <row r="23" spans="3:14" x14ac:dyDescent="0.4">
      <c r="E23" s="45" t="s">
        <v>54</v>
      </c>
      <c r="F23" s="45"/>
      <c r="G23" s="45"/>
      <c r="H23" s="19" t="s">
        <v>6</v>
      </c>
      <c r="I23" s="19">
        <v>1</v>
      </c>
      <c r="J23" s="19" t="s">
        <v>4</v>
      </c>
      <c r="K23" s="19">
        <v>1</v>
      </c>
      <c r="L23" s="20" t="s">
        <v>7</v>
      </c>
      <c r="M23" s="19">
        <v>1700</v>
      </c>
    </row>
    <row r="25" spans="3:14" x14ac:dyDescent="0.4">
      <c r="E25" s="45" t="s">
        <v>53</v>
      </c>
      <c r="F25" s="45"/>
      <c r="G25" s="45"/>
      <c r="H25" s="19" t="s">
        <v>6</v>
      </c>
      <c r="I25" s="19">
        <v>1</v>
      </c>
      <c r="J25" s="19" t="s">
        <v>4</v>
      </c>
      <c r="K25" s="19">
        <v>0</v>
      </c>
      <c r="L25" s="20" t="s">
        <v>46</v>
      </c>
      <c r="M25" s="19">
        <v>600</v>
      </c>
    </row>
    <row r="26" spans="3:14" x14ac:dyDescent="0.4">
      <c r="E26" s="2"/>
      <c r="F26" s="2"/>
      <c r="G26" s="2"/>
      <c r="H26" s="2"/>
      <c r="I26" s="3"/>
      <c r="J26" s="2"/>
      <c r="K26" s="3"/>
      <c r="L26" s="4"/>
      <c r="M26" s="3"/>
    </row>
    <row r="27" spans="3:14" x14ac:dyDescent="0.4">
      <c r="E27" s="2"/>
      <c r="F27" s="2"/>
      <c r="G27" s="2"/>
      <c r="H27" s="2"/>
      <c r="I27" s="3"/>
      <c r="J27" s="2"/>
      <c r="K27" s="3"/>
      <c r="L27" s="4"/>
      <c r="M27" s="3"/>
    </row>
    <row r="28" spans="3:14" x14ac:dyDescent="0.4">
      <c r="E28" s="2"/>
      <c r="F28" s="2"/>
      <c r="G28" s="2"/>
      <c r="H28" s="2"/>
      <c r="I28" s="3"/>
      <c r="J28" s="2"/>
      <c r="K28" s="3"/>
      <c r="L28" s="4"/>
      <c r="M28" s="3"/>
    </row>
    <row r="30" spans="3:14" x14ac:dyDescent="0.4">
      <c r="C30" s="48" t="s">
        <v>8</v>
      </c>
      <c r="D30" s="48"/>
      <c r="E30" s="48"/>
      <c r="F30" s="48"/>
      <c r="G30" s="48"/>
      <c r="H30" s="48"/>
      <c r="I30" s="48"/>
      <c r="J30" s="48"/>
      <c r="K30" s="48"/>
      <c r="L30" s="48"/>
      <c r="M30" s="48"/>
      <c r="N30" s="48"/>
    </row>
    <row r="32" spans="3:14" x14ac:dyDescent="0.4">
      <c r="F32" s="43" t="s">
        <v>22</v>
      </c>
      <c r="G32" s="43"/>
      <c r="H32" s="43"/>
      <c r="I32" s="43"/>
      <c r="J32" s="43"/>
      <c r="K32" s="43"/>
    </row>
    <row r="34" spans="3:12" x14ac:dyDescent="0.4">
      <c r="E34" s="3"/>
      <c r="F34" s="51" t="s">
        <v>19</v>
      </c>
      <c r="G34" s="52"/>
      <c r="I34" s="7" t="s">
        <v>20</v>
      </c>
      <c r="J34" s="7" t="s">
        <v>21</v>
      </c>
      <c r="L34" s="7" t="s">
        <v>69</v>
      </c>
    </row>
    <row r="35" spans="3:12" x14ac:dyDescent="0.4">
      <c r="E35" s="3"/>
      <c r="F35" s="7" t="s">
        <v>55</v>
      </c>
      <c r="G35" s="7" t="s">
        <v>56</v>
      </c>
      <c r="J35" s="3"/>
      <c r="K35" s="3"/>
    </row>
    <row r="36" spans="3:12" x14ac:dyDescent="0.4">
      <c r="E36" s="7" t="s">
        <v>14</v>
      </c>
      <c r="F36" s="8">
        <v>1133.3333333333333</v>
      </c>
      <c r="G36" s="8">
        <v>0</v>
      </c>
      <c r="J36" s="3"/>
      <c r="K36" s="3"/>
    </row>
    <row r="37" spans="3:12" x14ac:dyDescent="0.4">
      <c r="E37" s="7" t="s">
        <v>57</v>
      </c>
      <c r="F37" s="6">
        <f>I13</f>
        <v>22000</v>
      </c>
      <c r="G37" s="6">
        <f>K13</f>
        <v>20000</v>
      </c>
      <c r="H37" s="8">
        <f>SUMPRODUCT(F36:G36,F37:G37)</f>
        <v>24933333.333333332</v>
      </c>
      <c r="K37" s="3"/>
    </row>
    <row r="38" spans="3:12" x14ac:dyDescent="0.4">
      <c r="E38" s="7" t="s">
        <v>15</v>
      </c>
      <c r="F38" s="6">
        <f>I17</f>
        <v>2.5</v>
      </c>
      <c r="G38" s="6">
        <f>K17</f>
        <v>3</v>
      </c>
      <c r="H38" s="9" t="s">
        <v>7</v>
      </c>
      <c r="I38" s="8">
        <f>SUMPRODUCT(F36:G36,F38:G38)</f>
        <v>2833.333333333333</v>
      </c>
      <c r="J38" s="6">
        <f>M17</f>
        <v>4500</v>
      </c>
      <c r="L38" s="16">
        <f>J38-I38</f>
        <v>1666.666666666667</v>
      </c>
    </row>
    <row r="39" spans="3:12" x14ac:dyDescent="0.4">
      <c r="E39" s="7" t="s">
        <v>16</v>
      </c>
      <c r="F39" s="6">
        <f>I19</f>
        <v>3</v>
      </c>
      <c r="G39" s="6">
        <f>K19</f>
        <v>6</v>
      </c>
      <c r="H39" s="9" t="s">
        <v>7</v>
      </c>
      <c r="I39" s="8">
        <f>SUMPRODUCT(F36:G36,F39:G39)</f>
        <v>3400</v>
      </c>
      <c r="J39" s="6">
        <f>M19</f>
        <v>3400</v>
      </c>
      <c r="L39" s="15">
        <f t="shared" ref="L39:L42" si="0">J39-I39</f>
        <v>0</v>
      </c>
    </row>
    <row r="40" spans="3:12" x14ac:dyDescent="0.4">
      <c r="E40" s="7" t="s">
        <v>17</v>
      </c>
      <c r="F40" s="6">
        <f>I21</f>
        <v>14</v>
      </c>
      <c r="G40" s="6">
        <f>K21</f>
        <v>10</v>
      </c>
      <c r="H40" s="9" t="s">
        <v>7</v>
      </c>
      <c r="I40" s="8">
        <f>SUMPRODUCT(F36:G36,F40:G40)</f>
        <v>15866.666666666666</v>
      </c>
      <c r="J40" s="6">
        <f>M21</f>
        <v>20000</v>
      </c>
      <c r="L40" s="16">
        <f t="shared" si="0"/>
        <v>4133.3333333333339</v>
      </c>
    </row>
    <row r="41" spans="3:12" x14ac:dyDescent="0.4">
      <c r="E41" s="7" t="s">
        <v>58</v>
      </c>
      <c r="F41" s="6">
        <f>I23</f>
        <v>1</v>
      </c>
      <c r="G41" s="6">
        <f>K23</f>
        <v>1</v>
      </c>
      <c r="H41" s="9" t="s">
        <v>7</v>
      </c>
      <c r="I41" s="8">
        <f>SUMPRODUCT(F36:G36,F41:G41)</f>
        <v>1133.3333333333333</v>
      </c>
      <c r="J41" s="6">
        <f>M23</f>
        <v>1700</v>
      </c>
      <c r="L41" s="16">
        <f t="shared" si="0"/>
        <v>566.66666666666674</v>
      </c>
    </row>
    <row r="42" spans="3:12" x14ac:dyDescent="0.4">
      <c r="E42" s="7" t="s">
        <v>59</v>
      </c>
      <c r="F42" s="6">
        <f>I25</f>
        <v>1</v>
      </c>
      <c r="G42" s="6">
        <f>K25</f>
        <v>0</v>
      </c>
      <c r="H42" s="9" t="s">
        <v>46</v>
      </c>
      <c r="I42" s="8">
        <f>SUMPRODUCT(F36:G36,F42:G42)</f>
        <v>1133.3333333333333</v>
      </c>
      <c r="J42" s="6">
        <f>M25</f>
        <v>600</v>
      </c>
      <c r="L42" s="16">
        <f t="shared" si="0"/>
        <v>-533.33333333333326</v>
      </c>
    </row>
    <row r="44" spans="3:12" x14ac:dyDescent="0.4">
      <c r="C44" s="47" t="s">
        <v>86</v>
      </c>
      <c r="D44" s="47"/>
      <c r="E44" s="47"/>
      <c r="F44" s="47"/>
      <c r="G44" s="47"/>
      <c r="H44" s="47"/>
    </row>
    <row r="45" spans="3:12" ht="15" thickBot="1" x14ac:dyDescent="0.45"/>
    <row r="46" spans="3:12" x14ac:dyDescent="0.4">
      <c r="F46" s="10"/>
      <c r="G46" s="10"/>
      <c r="H46" s="10" t="s">
        <v>27</v>
      </c>
      <c r="I46" s="10" t="s">
        <v>29</v>
      </c>
      <c r="J46" s="10" t="s">
        <v>31</v>
      </c>
      <c r="K46" s="10" t="s">
        <v>33</v>
      </c>
      <c r="L46" s="10" t="s">
        <v>33</v>
      </c>
    </row>
    <row r="47" spans="3:12" ht="15" thickBot="1" x14ac:dyDescent="0.45">
      <c r="F47" s="11" t="s">
        <v>25</v>
      </c>
      <c r="G47" s="11" t="s">
        <v>26</v>
      </c>
      <c r="H47" s="11" t="s">
        <v>28</v>
      </c>
      <c r="I47" s="11" t="s">
        <v>30</v>
      </c>
      <c r="J47" s="11" t="s">
        <v>32</v>
      </c>
      <c r="K47" s="11" t="s">
        <v>34</v>
      </c>
      <c r="L47" s="11" t="s">
        <v>35</v>
      </c>
    </row>
    <row r="48" spans="3:12" x14ac:dyDescent="0.4">
      <c r="F48" s="12" t="s">
        <v>60</v>
      </c>
      <c r="G48" s="12" t="s">
        <v>61</v>
      </c>
      <c r="H48" s="12">
        <v>1133.3333333333333</v>
      </c>
      <c r="I48" s="12">
        <v>0</v>
      </c>
      <c r="J48" s="12">
        <v>22000</v>
      </c>
      <c r="K48" s="12">
        <v>1E+30</v>
      </c>
      <c r="L48" s="12">
        <v>12000</v>
      </c>
    </row>
    <row r="49" spans="2:33" ht="15" thickBot="1" x14ac:dyDescent="0.45">
      <c r="F49" s="13" t="s">
        <v>62</v>
      </c>
      <c r="G49" s="13" t="s">
        <v>63</v>
      </c>
      <c r="H49" s="13">
        <v>0</v>
      </c>
      <c r="I49" s="13">
        <v>-24000</v>
      </c>
      <c r="J49" s="13">
        <v>20000</v>
      </c>
      <c r="K49" s="13">
        <v>24000</v>
      </c>
      <c r="L49" s="13">
        <v>1E+30</v>
      </c>
    </row>
    <row r="51" spans="2:33" x14ac:dyDescent="0.4">
      <c r="C51" s="47" t="s">
        <v>86</v>
      </c>
      <c r="D51" s="47"/>
      <c r="E51" s="47"/>
      <c r="F51" s="47"/>
      <c r="G51" s="47"/>
      <c r="H51" s="47"/>
    </row>
    <row r="52" spans="2:33" ht="15" thickBot="1" x14ac:dyDescent="0.45"/>
    <row r="53" spans="2:33" x14ac:dyDescent="0.4">
      <c r="F53" s="10"/>
      <c r="G53" s="10"/>
      <c r="H53" s="10" t="s">
        <v>27</v>
      </c>
      <c r="I53" s="10" t="s">
        <v>37</v>
      </c>
      <c r="J53" s="10" t="s">
        <v>39</v>
      </c>
      <c r="K53" s="10" t="s">
        <v>33</v>
      </c>
      <c r="L53" s="10" t="s">
        <v>33</v>
      </c>
    </row>
    <row r="54" spans="2:33" ht="15" thickBot="1" x14ac:dyDescent="0.45">
      <c r="F54" s="11" t="s">
        <v>25</v>
      </c>
      <c r="G54" s="11" t="s">
        <v>26</v>
      </c>
      <c r="H54" s="11" t="s">
        <v>28</v>
      </c>
      <c r="I54" s="11" t="s">
        <v>38</v>
      </c>
      <c r="J54" s="11" t="s">
        <v>40</v>
      </c>
      <c r="K54" s="11" t="s">
        <v>34</v>
      </c>
      <c r="L54" s="11" t="s">
        <v>35</v>
      </c>
    </row>
    <row r="55" spans="2:33" x14ac:dyDescent="0.4">
      <c r="F55" s="12" t="s">
        <v>64</v>
      </c>
      <c r="G55" s="12" t="s">
        <v>45</v>
      </c>
      <c r="H55" s="12">
        <v>2833.333333333333</v>
      </c>
      <c r="I55" s="12">
        <v>0</v>
      </c>
      <c r="J55" s="12">
        <v>4500</v>
      </c>
      <c r="K55" s="12">
        <v>1E+30</v>
      </c>
      <c r="L55" s="12">
        <v>1666.666666666667</v>
      </c>
    </row>
    <row r="56" spans="2:33" x14ac:dyDescent="0.4">
      <c r="F56" s="12" t="s">
        <v>65</v>
      </c>
      <c r="G56" s="12" t="s">
        <v>45</v>
      </c>
      <c r="H56" s="12">
        <v>3400</v>
      </c>
      <c r="I56" s="12">
        <v>7333.333333333333</v>
      </c>
      <c r="J56" s="12">
        <v>3400</v>
      </c>
      <c r="K56" s="12">
        <v>885.71428571428601</v>
      </c>
      <c r="L56" s="12">
        <v>1599.9999999999998</v>
      </c>
    </row>
    <row r="57" spans="2:33" x14ac:dyDescent="0.4">
      <c r="F57" s="12" t="s">
        <v>66</v>
      </c>
      <c r="G57" s="12" t="s">
        <v>45</v>
      </c>
      <c r="H57" s="12">
        <v>15866.666666666666</v>
      </c>
      <c r="I57" s="12">
        <v>0</v>
      </c>
      <c r="J57" s="12">
        <v>20000</v>
      </c>
      <c r="K57" s="12">
        <v>1E+30</v>
      </c>
      <c r="L57" s="12">
        <v>4133.3333333333339</v>
      </c>
    </row>
    <row r="58" spans="2:33" x14ac:dyDescent="0.4">
      <c r="F58" s="12" t="s">
        <v>67</v>
      </c>
      <c r="G58" s="12" t="s">
        <v>45</v>
      </c>
      <c r="H58" s="12">
        <v>1133.3333333333333</v>
      </c>
      <c r="I58" s="12">
        <v>0</v>
      </c>
      <c r="J58" s="12">
        <v>1700</v>
      </c>
      <c r="K58" s="12">
        <v>1E+30</v>
      </c>
      <c r="L58" s="12">
        <v>566.66666666666674</v>
      </c>
    </row>
    <row r="59" spans="2:33" ht="15" thickBot="1" x14ac:dyDescent="0.45">
      <c r="F59" s="13" t="s">
        <v>68</v>
      </c>
      <c r="G59" s="13" t="s">
        <v>47</v>
      </c>
      <c r="H59" s="13">
        <v>1133.3333333333333</v>
      </c>
      <c r="I59" s="13">
        <v>0</v>
      </c>
      <c r="J59" s="13">
        <v>600</v>
      </c>
      <c r="K59" s="13">
        <v>533.33333333333326</v>
      </c>
      <c r="L59" s="13">
        <v>1E+30</v>
      </c>
    </row>
    <row r="62" spans="2:33" x14ac:dyDescent="0.4">
      <c r="E62" s="60" t="s">
        <v>117</v>
      </c>
      <c r="F62" s="60"/>
      <c r="G62" s="60"/>
      <c r="H62" s="60"/>
      <c r="I62" s="60"/>
      <c r="J62" s="60"/>
      <c r="K62" s="60"/>
      <c r="L62" s="60"/>
      <c r="M62" s="60"/>
      <c r="N62" s="60"/>
      <c r="O62" s="60"/>
      <c r="P62" s="3"/>
      <c r="Q62" s="3"/>
    </row>
    <row r="63" spans="2:33" x14ac:dyDescent="0.4">
      <c r="B63" s="3"/>
      <c r="C63" s="3"/>
      <c r="D63" s="3"/>
      <c r="E63" s="3"/>
      <c r="F63" s="3"/>
      <c r="G63" s="3"/>
      <c r="H63" s="3"/>
      <c r="I63" s="3"/>
      <c r="J63" s="3"/>
      <c r="K63" s="3"/>
      <c r="L63" s="3"/>
      <c r="M63" s="3"/>
      <c r="N63" s="3"/>
      <c r="O63" s="3"/>
      <c r="P63" s="3"/>
      <c r="Q63" s="3"/>
    </row>
    <row r="64" spans="2:33" ht="14.4" customHeight="1" x14ac:dyDescent="0.4">
      <c r="B64" s="36" t="s">
        <v>20</v>
      </c>
      <c r="C64" s="61" t="s">
        <v>118</v>
      </c>
      <c r="D64" s="62"/>
      <c r="E64" s="62"/>
      <c r="F64" s="62"/>
      <c r="G64" s="62"/>
      <c r="H64" s="62"/>
      <c r="I64" s="62"/>
      <c r="J64" s="62"/>
      <c r="K64" s="62"/>
      <c r="L64" s="62"/>
      <c r="M64" s="62"/>
      <c r="N64" s="62"/>
      <c r="O64" s="62"/>
      <c r="P64" s="62"/>
      <c r="Q64" s="63"/>
      <c r="S64" s="61" t="s">
        <v>150</v>
      </c>
      <c r="T64" s="62"/>
      <c r="U64" s="62"/>
      <c r="V64" s="62"/>
      <c r="W64" s="62"/>
      <c r="X64" s="62"/>
      <c r="Y64" s="62"/>
      <c r="Z64" s="62"/>
      <c r="AA64" s="62"/>
      <c r="AB64" s="62"/>
      <c r="AC64" s="62"/>
      <c r="AD64" s="62"/>
      <c r="AE64" s="62"/>
      <c r="AF64" s="62"/>
      <c r="AG64" s="63"/>
    </row>
    <row r="65" spans="2:33" ht="14.4" customHeight="1" x14ac:dyDescent="0.4">
      <c r="B65" s="37">
        <f>L38</f>
        <v>1666.666666666667</v>
      </c>
      <c r="C65" s="57" t="s">
        <v>119</v>
      </c>
      <c r="D65" s="58"/>
      <c r="E65" s="58"/>
      <c r="F65" s="58"/>
      <c r="G65" s="58"/>
      <c r="H65" s="58"/>
      <c r="I65" s="58"/>
      <c r="J65" s="58"/>
      <c r="K65" s="58"/>
      <c r="L65" s="58"/>
      <c r="M65" s="58"/>
      <c r="N65" s="58"/>
      <c r="O65" s="58"/>
      <c r="P65" s="58"/>
      <c r="Q65" s="59"/>
      <c r="S65" s="49" t="s">
        <v>151</v>
      </c>
      <c r="T65" s="49"/>
      <c r="U65" s="49"/>
      <c r="V65" s="49"/>
      <c r="W65" s="49"/>
      <c r="X65" s="49"/>
      <c r="Y65" s="49"/>
      <c r="Z65" s="49"/>
      <c r="AA65" s="49"/>
      <c r="AB65" s="49"/>
      <c r="AC65" s="49"/>
      <c r="AD65" s="49"/>
      <c r="AE65" s="49"/>
      <c r="AF65" s="49"/>
      <c r="AG65" s="49"/>
    </row>
    <row r="66" spans="2:33" ht="14.4" customHeight="1" x14ac:dyDescent="0.4">
      <c r="B66" s="37">
        <f>L39</f>
        <v>0</v>
      </c>
      <c r="C66" s="57" t="s">
        <v>120</v>
      </c>
      <c r="D66" s="58"/>
      <c r="E66" s="58"/>
      <c r="F66" s="58"/>
      <c r="G66" s="58"/>
      <c r="H66" s="58"/>
      <c r="I66" s="58"/>
      <c r="J66" s="58"/>
      <c r="K66" s="58"/>
      <c r="L66" s="58"/>
      <c r="M66" s="58"/>
      <c r="N66" s="58"/>
      <c r="O66" s="58"/>
      <c r="P66" s="58"/>
      <c r="Q66" s="59"/>
      <c r="S66" s="49"/>
      <c r="T66" s="49"/>
      <c r="U66" s="49"/>
      <c r="V66" s="49"/>
      <c r="W66" s="49"/>
      <c r="X66" s="49"/>
      <c r="Y66" s="49"/>
      <c r="Z66" s="49"/>
      <c r="AA66" s="49"/>
      <c r="AB66" s="49"/>
      <c r="AC66" s="49"/>
      <c r="AD66" s="49"/>
      <c r="AE66" s="49"/>
      <c r="AF66" s="49"/>
      <c r="AG66" s="49"/>
    </row>
    <row r="67" spans="2:33" ht="14.4" customHeight="1" x14ac:dyDescent="0.4">
      <c r="B67" s="37">
        <f>L40</f>
        <v>4133.3333333333339</v>
      </c>
      <c r="C67" s="57" t="s">
        <v>121</v>
      </c>
      <c r="D67" s="58"/>
      <c r="E67" s="58"/>
      <c r="F67" s="58"/>
      <c r="G67" s="58"/>
      <c r="H67" s="58"/>
      <c r="I67" s="58"/>
      <c r="J67" s="58"/>
      <c r="K67" s="58"/>
      <c r="L67" s="58"/>
      <c r="M67" s="58"/>
      <c r="N67" s="58"/>
      <c r="O67" s="58"/>
      <c r="P67" s="58"/>
      <c r="Q67" s="59"/>
      <c r="S67" s="49"/>
      <c r="T67" s="49"/>
      <c r="U67" s="49"/>
      <c r="V67" s="49"/>
      <c r="W67" s="49"/>
      <c r="X67" s="49"/>
      <c r="Y67" s="49"/>
      <c r="Z67" s="49"/>
      <c r="AA67" s="49"/>
      <c r="AB67" s="49"/>
      <c r="AC67" s="49"/>
      <c r="AD67" s="49"/>
      <c r="AE67" s="49"/>
      <c r="AF67" s="49"/>
      <c r="AG67" s="49"/>
    </row>
    <row r="68" spans="2:33" ht="14.4" customHeight="1" x14ac:dyDescent="0.4">
      <c r="B68" s="37">
        <f>L41</f>
        <v>566.66666666666674</v>
      </c>
      <c r="C68" s="57" t="s">
        <v>122</v>
      </c>
      <c r="D68" s="58"/>
      <c r="E68" s="58"/>
      <c r="F68" s="58"/>
      <c r="G68" s="58"/>
      <c r="H68" s="58"/>
      <c r="I68" s="58"/>
      <c r="J68" s="58"/>
      <c r="K68" s="58"/>
      <c r="L68" s="58"/>
      <c r="M68" s="58"/>
      <c r="N68" s="58"/>
      <c r="O68" s="58"/>
      <c r="P68" s="58"/>
      <c r="Q68" s="59"/>
      <c r="S68" s="49"/>
      <c r="T68" s="49"/>
      <c r="U68" s="49"/>
      <c r="V68" s="49"/>
      <c r="W68" s="49"/>
      <c r="X68" s="49"/>
      <c r="Y68" s="49"/>
      <c r="Z68" s="49"/>
      <c r="AA68" s="49"/>
      <c r="AB68" s="49"/>
      <c r="AC68" s="49"/>
      <c r="AD68" s="49"/>
      <c r="AE68" s="49"/>
      <c r="AF68" s="49"/>
      <c r="AG68" s="49"/>
    </row>
    <row r="69" spans="2:33" ht="14.4" customHeight="1" x14ac:dyDescent="0.4">
      <c r="B69" s="37">
        <f>L42</f>
        <v>-533.33333333333326</v>
      </c>
      <c r="C69" s="57" t="s">
        <v>130</v>
      </c>
      <c r="D69" s="58"/>
      <c r="E69" s="58"/>
      <c r="F69" s="58"/>
      <c r="G69" s="58"/>
      <c r="H69" s="58"/>
      <c r="I69" s="58"/>
      <c r="J69" s="58"/>
      <c r="K69" s="58"/>
      <c r="L69" s="58"/>
      <c r="M69" s="58"/>
      <c r="N69" s="58"/>
      <c r="O69" s="58"/>
      <c r="P69" s="58"/>
      <c r="Q69" s="59"/>
      <c r="S69" s="49"/>
      <c r="T69" s="49"/>
      <c r="U69" s="49"/>
      <c r="V69" s="49"/>
      <c r="W69" s="49"/>
      <c r="X69" s="49"/>
      <c r="Y69" s="49"/>
      <c r="Z69" s="49"/>
      <c r="AA69" s="49"/>
      <c r="AB69" s="49"/>
      <c r="AC69" s="49"/>
      <c r="AD69" s="49"/>
      <c r="AE69" s="49"/>
      <c r="AF69" s="49"/>
      <c r="AG69" s="49"/>
    </row>
    <row r="70" spans="2:33" x14ac:dyDescent="0.4">
      <c r="B70" s="3"/>
      <c r="C70" s="3"/>
      <c r="D70" s="3"/>
      <c r="E70" s="3"/>
      <c r="F70" s="3"/>
      <c r="G70" s="3"/>
      <c r="H70" s="3"/>
      <c r="I70" s="3"/>
      <c r="J70" s="3"/>
      <c r="K70" s="3"/>
      <c r="L70" s="3"/>
      <c r="M70" s="3"/>
      <c r="N70" s="3"/>
      <c r="O70" s="3"/>
      <c r="P70" s="3"/>
      <c r="Q70" s="3"/>
    </row>
    <row r="74" spans="2:33" x14ac:dyDescent="0.4">
      <c r="H74" s="43" t="s">
        <v>22</v>
      </c>
      <c r="I74" s="43"/>
      <c r="J74" s="43"/>
      <c r="K74" s="43"/>
      <c r="L74" s="43"/>
      <c r="M74" s="43"/>
    </row>
    <row r="76" spans="2:33" x14ac:dyDescent="0.4">
      <c r="G76" s="3"/>
      <c r="H76" s="51" t="s">
        <v>19</v>
      </c>
      <c r="I76" s="52"/>
      <c r="K76" s="7" t="s">
        <v>20</v>
      </c>
      <c r="L76" s="7" t="s">
        <v>21</v>
      </c>
      <c r="N76" s="7" t="s">
        <v>69</v>
      </c>
    </row>
    <row r="77" spans="2:33" x14ac:dyDescent="0.4">
      <c r="G77" s="3"/>
      <c r="H77" s="7" t="s">
        <v>55</v>
      </c>
      <c r="I77" s="7" t="s">
        <v>56</v>
      </c>
      <c r="L77" s="3"/>
      <c r="M77" s="3"/>
    </row>
    <row r="78" spans="2:33" x14ac:dyDescent="0.4">
      <c r="G78" s="7" t="s">
        <v>14</v>
      </c>
      <c r="H78" s="8">
        <v>1133.3333333333333</v>
      </c>
      <c r="I78" s="8">
        <v>0</v>
      </c>
      <c r="L78" s="3"/>
      <c r="M78" s="3"/>
    </row>
    <row r="79" spans="2:33" x14ac:dyDescent="0.4">
      <c r="G79" s="7" t="s">
        <v>57</v>
      </c>
      <c r="H79" s="6">
        <f>I13</f>
        <v>22000</v>
      </c>
      <c r="I79" s="6">
        <f>K13</f>
        <v>20000</v>
      </c>
      <c r="J79" s="8">
        <f>SUMPRODUCT(H78:I78,H79:I79)</f>
        <v>24933333.333333332</v>
      </c>
      <c r="M79" s="3"/>
    </row>
    <row r="80" spans="2:33" x14ac:dyDescent="0.4">
      <c r="G80" s="7" t="s">
        <v>15</v>
      </c>
      <c r="H80" s="6">
        <f>I17</f>
        <v>2.5</v>
      </c>
      <c r="I80" s="6">
        <f>K17</f>
        <v>3</v>
      </c>
      <c r="J80" s="9" t="s">
        <v>7</v>
      </c>
      <c r="K80" s="8">
        <f>SUMPRODUCT(H78:I78,H80:I80)</f>
        <v>2833.333333333333</v>
      </c>
      <c r="L80" s="6">
        <f>M17+200</f>
        <v>4700</v>
      </c>
      <c r="N80" s="16">
        <f>L80-K80</f>
        <v>1866.666666666667</v>
      </c>
    </row>
    <row r="81" spans="2:19" x14ac:dyDescent="0.4">
      <c r="G81" s="7" t="s">
        <v>16</v>
      </c>
      <c r="H81" s="6">
        <f>I19</f>
        <v>3</v>
      </c>
      <c r="I81" s="6">
        <f>K19</f>
        <v>6</v>
      </c>
      <c r="J81" s="9" t="s">
        <v>7</v>
      </c>
      <c r="K81" s="8">
        <f>SUMPRODUCT(H78:I78,H81:I81)</f>
        <v>3400</v>
      </c>
      <c r="L81" s="6">
        <f>M19</f>
        <v>3400</v>
      </c>
      <c r="N81" s="15">
        <f t="shared" ref="N81:N84" si="1">L81-K81</f>
        <v>0</v>
      </c>
    </row>
    <row r="82" spans="2:19" x14ac:dyDescent="0.4">
      <c r="G82" s="7" t="s">
        <v>17</v>
      </c>
      <c r="H82" s="6">
        <f>I21</f>
        <v>14</v>
      </c>
      <c r="I82" s="6">
        <f>K21</f>
        <v>10</v>
      </c>
      <c r="J82" s="9" t="s">
        <v>7</v>
      </c>
      <c r="K82" s="8">
        <f>SUMPRODUCT(H78:I78,H82:I82)</f>
        <v>15866.666666666666</v>
      </c>
      <c r="L82" s="6">
        <f>M21</f>
        <v>20000</v>
      </c>
      <c r="N82" s="16">
        <f t="shared" si="1"/>
        <v>4133.3333333333339</v>
      </c>
    </row>
    <row r="83" spans="2:19" x14ac:dyDescent="0.4">
      <c r="G83" s="7" t="s">
        <v>58</v>
      </c>
      <c r="H83" s="6">
        <f>I23</f>
        <v>1</v>
      </c>
      <c r="I83" s="6">
        <f>K23</f>
        <v>1</v>
      </c>
      <c r="J83" s="9" t="s">
        <v>7</v>
      </c>
      <c r="K83" s="8">
        <f>SUMPRODUCT(H78:I78,H83:I83)</f>
        <v>1133.3333333333333</v>
      </c>
      <c r="L83" s="6">
        <f>M23</f>
        <v>1700</v>
      </c>
      <c r="N83" s="16">
        <f t="shared" si="1"/>
        <v>566.66666666666674</v>
      </c>
    </row>
    <row r="84" spans="2:19" x14ac:dyDescent="0.4">
      <c r="G84" s="7" t="s">
        <v>59</v>
      </c>
      <c r="H84" s="6">
        <f>I25</f>
        <v>1</v>
      </c>
      <c r="I84" s="6">
        <f>K25</f>
        <v>0</v>
      </c>
      <c r="J84" s="9" t="s">
        <v>46</v>
      </c>
      <c r="K84" s="8">
        <f>SUMPRODUCT(H78:I78,H84:I84)</f>
        <v>1133.3333333333333</v>
      </c>
      <c r="L84" s="6">
        <f>M25</f>
        <v>600</v>
      </c>
      <c r="N84" s="16">
        <f t="shared" si="1"/>
        <v>-533.33333333333326</v>
      </c>
    </row>
    <row r="86" spans="2:19" x14ac:dyDescent="0.4">
      <c r="B86" s="55" t="s">
        <v>125</v>
      </c>
      <c r="C86" s="55"/>
      <c r="D86" s="55"/>
      <c r="E86" s="55"/>
      <c r="F86" s="55"/>
      <c r="G86" s="55"/>
      <c r="H86" s="55"/>
      <c r="I86" s="55"/>
      <c r="J86" s="55"/>
      <c r="K86" s="55"/>
      <c r="L86" s="55"/>
      <c r="M86" s="55"/>
      <c r="N86" s="55"/>
      <c r="O86" s="55"/>
      <c r="P86" s="55"/>
      <c r="Q86" s="55"/>
    </row>
    <row r="87" spans="2:19" x14ac:dyDescent="0.4">
      <c r="B87" s="55"/>
      <c r="C87" s="55"/>
      <c r="D87" s="55"/>
      <c r="E87" s="55"/>
      <c r="F87" s="55"/>
      <c r="G87" s="55"/>
      <c r="H87" s="55"/>
      <c r="I87" s="55"/>
      <c r="J87" s="55"/>
      <c r="K87" s="55"/>
      <c r="L87" s="55"/>
      <c r="M87" s="55"/>
      <c r="N87" s="55"/>
      <c r="O87" s="55"/>
      <c r="P87" s="55"/>
      <c r="Q87" s="55"/>
    </row>
    <row r="88" spans="2:19" x14ac:dyDescent="0.4">
      <c r="B88" s="34"/>
      <c r="C88" s="34"/>
      <c r="D88" s="34"/>
      <c r="E88" s="34"/>
      <c r="F88" s="34"/>
      <c r="G88" s="34"/>
      <c r="H88" s="34"/>
      <c r="I88" s="34"/>
      <c r="J88" s="34"/>
      <c r="K88" s="34"/>
      <c r="L88" s="34"/>
      <c r="M88" s="34"/>
      <c r="N88" s="34"/>
      <c r="O88" s="34"/>
      <c r="P88" s="34"/>
      <c r="Q88" s="34"/>
    </row>
    <row r="89" spans="2:19" x14ac:dyDescent="0.4">
      <c r="B89" s="55" t="s">
        <v>126</v>
      </c>
      <c r="C89" s="55"/>
      <c r="D89" s="55"/>
      <c r="E89" s="55"/>
      <c r="F89" s="55"/>
      <c r="G89" s="55"/>
      <c r="H89" s="55"/>
      <c r="I89" s="55"/>
      <c r="J89" s="55"/>
      <c r="K89" s="55"/>
      <c r="L89" s="55"/>
      <c r="M89" s="55"/>
      <c r="N89" s="55"/>
      <c r="O89" s="55"/>
      <c r="P89" s="55"/>
      <c r="Q89" s="55"/>
    </row>
    <row r="90" spans="2:19" x14ac:dyDescent="0.4">
      <c r="B90" s="55"/>
      <c r="C90" s="55"/>
      <c r="D90" s="55"/>
      <c r="E90" s="55"/>
      <c r="F90" s="55"/>
      <c r="G90" s="55"/>
      <c r="H90" s="55"/>
      <c r="I90" s="55"/>
      <c r="J90" s="55"/>
      <c r="K90" s="55"/>
      <c r="L90" s="55"/>
      <c r="M90" s="55"/>
      <c r="N90" s="55"/>
      <c r="O90" s="55"/>
      <c r="P90" s="55"/>
      <c r="Q90" s="55"/>
    </row>
    <row r="91" spans="2:19" x14ac:dyDescent="0.4">
      <c r="B91" s="34"/>
      <c r="C91" s="34"/>
      <c r="D91" s="34"/>
      <c r="E91" s="34"/>
      <c r="F91" s="34"/>
      <c r="G91" s="34"/>
      <c r="H91" s="34"/>
      <c r="I91" s="34"/>
      <c r="J91" s="34"/>
      <c r="K91" s="34"/>
      <c r="L91" s="34"/>
      <c r="M91" s="34"/>
      <c r="N91" s="34"/>
      <c r="O91" s="34"/>
      <c r="P91" s="34"/>
      <c r="Q91" s="34"/>
    </row>
    <row r="92" spans="2:19" x14ac:dyDescent="0.4">
      <c r="B92" s="56" t="s">
        <v>127</v>
      </c>
      <c r="C92" s="56"/>
      <c r="D92" s="56"/>
      <c r="E92" s="56"/>
      <c r="F92" s="56"/>
      <c r="G92" s="56"/>
      <c r="H92" s="56"/>
      <c r="I92" s="56"/>
      <c r="J92" s="56"/>
      <c r="K92" s="56"/>
      <c r="L92" s="56"/>
      <c r="M92" s="56"/>
      <c r="N92" s="56"/>
      <c r="O92" s="56"/>
      <c r="P92" s="56"/>
      <c r="Q92" s="56"/>
    </row>
    <row r="95" spans="2:19" x14ac:dyDescent="0.4">
      <c r="S95" s="35"/>
    </row>
  </sheetData>
  <mergeCells count="30">
    <mergeCell ref="F15:K15"/>
    <mergeCell ref="S64:AG64"/>
    <mergeCell ref="S65:AG69"/>
    <mergeCell ref="C4:N4"/>
    <mergeCell ref="F6:K6"/>
    <mergeCell ref="G8:J8"/>
    <mergeCell ref="G9:J9"/>
    <mergeCell ref="F13:G13"/>
    <mergeCell ref="C64:Q64"/>
    <mergeCell ref="E17:G17"/>
    <mergeCell ref="E19:G19"/>
    <mergeCell ref="E21:G21"/>
    <mergeCell ref="E23:G23"/>
    <mergeCell ref="E25:G25"/>
    <mergeCell ref="C30:N30"/>
    <mergeCell ref="F32:K32"/>
    <mergeCell ref="F34:G34"/>
    <mergeCell ref="C44:H44"/>
    <mergeCell ref="C51:H51"/>
    <mergeCell ref="E62:O62"/>
    <mergeCell ref="H76:I76"/>
    <mergeCell ref="B86:Q87"/>
    <mergeCell ref="B89:Q90"/>
    <mergeCell ref="B92:Q92"/>
    <mergeCell ref="C65:Q65"/>
    <mergeCell ref="C66:Q66"/>
    <mergeCell ref="C67:Q67"/>
    <mergeCell ref="C68:Q68"/>
    <mergeCell ref="C69:Q69"/>
    <mergeCell ref="H74:M7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23C1-F4DF-4354-8C79-0E20456983EA}">
  <dimension ref="A1:J14"/>
  <sheetViews>
    <sheetView showGridLines="0" workbookViewId="0"/>
  </sheetViews>
  <sheetFormatPr baseColWidth="10" defaultRowHeight="14.6" x14ac:dyDescent="0.4"/>
  <cols>
    <col min="1" max="1" width="2.3046875" customWidth="1"/>
    <col min="2" max="2" width="5.84375" bestFit="1" customWidth="1"/>
    <col min="3" max="3" width="8" bestFit="1" customWidth="1"/>
    <col min="4" max="4" width="11" bestFit="1" customWidth="1"/>
    <col min="5" max="5" width="2.3046875" customWidth="1"/>
    <col min="6" max="6" width="7" bestFit="1" customWidth="1"/>
    <col min="7" max="7" width="9.3046875" bestFit="1" customWidth="1"/>
    <col min="8" max="8" width="2.3046875" customWidth="1"/>
    <col min="9" max="9" width="8.07421875" bestFit="1" customWidth="1"/>
    <col min="10" max="10" width="9.3046875" bestFit="1" customWidth="1"/>
  </cols>
  <sheetData>
    <row r="1" spans="1:10" x14ac:dyDescent="0.4">
      <c r="A1" s="5" t="s">
        <v>100</v>
      </c>
    </row>
    <row r="2" spans="1:10" x14ac:dyDescent="0.4">
      <c r="A2" s="5" t="s">
        <v>142</v>
      </c>
    </row>
    <row r="3" spans="1:10" x14ac:dyDescent="0.4">
      <c r="A3" s="5" t="s">
        <v>143</v>
      </c>
    </row>
    <row r="5" spans="1:10" ht="15" thickBot="1" x14ac:dyDescent="0.45"/>
    <row r="6" spans="1:10" x14ac:dyDescent="0.4">
      <c r="B6" s="28"/>
      <c r="C6" s="28" t="s">
        <v>31</v>
      </c>
      <c r="D6" s="28"/>
    </row>
    <row r="7" spans="1:10" ht="15" thickBot="1" x14ac:dyDescent="0.45">
      <c r="B7" s="29" t="s">
        <v>25</v>
      </c>
      <c r="C7" s="29" t="s">
        <v>26</v>
      </c>
      <c r="D7" s="29" t="s">
        <v>28</v>
      </c>
    </row>
    <row r="8" spans="1:10" ht="15" thickBot="1" x14ac:dyDescent="0.45">
      <c r="B8" s="27" t="s">
        <v>140</v>
      </c>
      <c r="C8" s="27" t="s">
        <v>141</v>
      </c>
      <c r="D8" s="27">
        <v>24933333.333333332</v>
      </c>
    </row>
    <row r="10" spans="1:10" ht="15" thickBot="1" x14ac:dyDescent="0.45"/>
    <row r="11" spans="1:10" x14ac:dyDescent="0.4">
      <c r="B11" s="28"/>
      <c r="C11" s="28" t="s">
        <v>101</v>
      </c>
      <c r="D11" s="28"/>
      <c r="F11" s="28" t="s">
        <v>102</v>
      </c>
      <c r="G11" s="28" t="s">
        <v>31</v>
      </c>
      <c r="I11" s="28" t="s">
        <v>105</v>
      </c>
      <c r="J11" s="28" t="s">
        <v>31</v>
      </c>
    </row>
    <row r="12" spans="1:10" ht="15" thickBot="1" x14ac:dyDescent="0.45">
      <c r="B12" s="29" t="s">
        <v>25</v>
      </c>
      <c r="C12" s="29" t="s">
        <v>26</v>
      </c>
      <c r="D12" s="29" t="s">
        <v>28</v>
      </c>
      <c r="F12" s="29" t="s">
        <v>103</v>
      </c>
      <c r="G12" s="29" t="s">
        <v>104</v>
      </c>
      <c r="I12" s="29" t="s">
        <v>103</v>
      </c>
      <c r="J12" s="29" t="s">
        <v>104</v>
      </c>
    </row>
    <row r="13" spans="1:10" x14ac:dyDescent="0.4">
      <c r="B13" s="26" t="s">
        <v>133</v>
      </c>
      <c r="C13" s="26" t="s">
        <v>61</v>
      </c>
      <c r="D13" s="26">
        <v>1133.3333333333333</v>
      </c>
      <c r="F13" s="26">
        <v>600</v>
      </c>
      <c r="G13" s="26">
        <v>13200000</v>
      </c>
      <c r="I13" s="26">
        <v>1133.3333333333333</v>
      </c>
      <c r="J13" s="26">
        <v>24933333.333333332</v>
      </c>
    </row>
    <row r="14" spans="1:10" ht="15" thickBot="1" x14ac:dyDescent="0.45">
      <c r="B14" s="27" t="s">
        <v>135</v>
      </c>
      <c r="C14" s="27" t="s">
        <v>63</v>
      </c>
      <c r="D14" s="27">
        <v>0</v>
      </c>
      <c r="F14" s="27">
        <v>0</v>
      </c>
      <c r="G14" s="27">
        <v>24933333.333333332</v>
      </c>
      <c r="I14" s="27">
        <v>0</v>
      </c>
      <c r="J14" s="27">
        <v>24933333.333333332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Ejercicio 1</vt:lpstr>
      <vt:lpstr>Informe 1</vt:lpstr>
      <vt:lpstr>Resultados 1</vt:lpstr>
      <vt:lpstr>Límites 1</vt:lpstr>
      <vt:lpstr>Ejercicio 2</vt:lpstr>
      <vt:lpstr>Informe 2</vt:lpstr>
      <vt:lpstr>Resultados 2</vt:lpstr>
      <vt:lpstr>Límites 2</vt:lpstr>
      <vt:lpstr>Ejercicio 3</vt:lpstr>
      <vt:lpstr>Informe 3</vt:lpstr>
      <vt:lpstr>Resultados 3</vt:lpstr>
      <vt:lpstr>Límites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CUADRADO VENTURA REYNALDO ANDRES</dc:creator>
  <cp:lastModifiedBy>Eric salinas</cp:lastModifiedBy>
  <dcterms:created xsi:type="dcterms:W3CDTF">2024-05-05T14:40:07Z</dcterms:created>
  <dcterms:modified xsi:type="dcterms:W3CDTF">2026-03-12T20:22:50Z</dcterms:modified>
</cp:coreProperties>
</file>