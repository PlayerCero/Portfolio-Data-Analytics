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3C3FE2-6182-45CE-97D5-C7EDDDDF36F8}" xr6:coauthVersionLast="47" xr6:coauthVersionMax="47" xr10:uidLastSave="{00000000-0000-0000-0000-000000000000}"/>
  <bookViews>
    <workbookView xWindow="75" yWindow="90" windowWidth="28410" windowHeight="16500" tabRatio="787" firstSheet="4" activeTab="9" xr2:uid="{00000000-000D-0000-FFFF-FFFF00000000}"/>
  </bookViews>
  <sheets>
    <sheet name="Inicio" sheetId="101" r:id="rId1"/>
    <sheet name="Función Promedio" sheetId="90" r:id="rId2"/>
    <sheet name="Base_de_Datos-1" sheetId="102" r:id="rId3"/>
    <sheet name="Función Promedio.Si" sheetId="92" r:id="rId4"/>
    <sheet name="Promedio.Si.Conjunto" sheetId="93" r:id="rId5"/>
    <sheet name="Función Contar.Si" sheetId="95" r:id="rId6"/>
    <sheet name="Contar.Si.Conjunto" sheetId="97" r:id="rId7"/>
    <sheet name="Contara,Contar.Blanco,Max,Min" sheetId="98" r:id="rId8"/>
    <sheet name="K.Esimo.Mayor | K.Esimo.Menor" sheetId="103" r:id="rId9"/>
    <sheet name="Max.Si.Conjunto Min.Si.Conjunto" sheetId="104" r:id="rId10"/>
  </sheets>
  <definedNames>
    <definedName name="_Order1" hidden="1">255</definedName>
    <definedName name="_Order2" hidden="1">0</definedName>
    <definedName name="anscount" hidden="1">2</definedName>
    <definedName name="CURSO">'Contar.Si.Conjunto'!$F$18:$F$118</definedName>
    <definedName name="ECONTINUA">'Función Contar.Si'!$P$14:$P$36</definedName>
    <definedName name="EF">'Función Contar.Si'!$R$14:$R$36</definedName>
    <definedName name="EFINAL">'Función Contar.Si'!$R$14:$R$36</definedName>
    <definedName name="EGRESOS">'Base_de_Datos-1'!$E$8:$E$67</definedName>
    <definedName name="EP">'Función Contar.Si'!$Q$14:$Q$36</definedName>
    <definedName name="INGRESOS">'Base_de_Datos-1'!$D$8:$D$67</definedName>
    <definedName name="limcount" hidden="1">2</definedName>
    <definedName name="LISTA_MES">'Base_de_Datos-1'!$I$7:$I$12</definedName>
    <definedName name="LISTA_SUCURSAL">'Base_de_Datos-1'!$J$7:$J$16</definedName>
    <definedName name="LISTA_SUCURSAL2">'Base_de_Datos-1'!$L$7:$L$10</definedName>
    <definedName name="MENSUALIDAD">'Contar.Si.Conjunto'!$G$18:$G$118</definedName>
    <definedName name="MES">'Base_de_Datos-1'!$C$8:$C$67</definedName>
    <definedName name="OBSERVACION">'Contar.Si.Conjunto'!$I$18:$I$118</definedName>
    <definedName name="PF">'Función Contar.Si'!$S$14:$S$35</definedName>
    <definedName name="producto">'Contara,Contar.Blanco,Max,Min'!$D$14:$D$33</definedName>
    <definedName name="PROMEDIOFINAL">'Función Contar.Si'!$S$14:$S$36</definedName>
    <definedName name="REGION">'Contar.Si.Conjunto'!$E$18:$E$118</definedName>
    <definedName name="sencount" hidden="1">4</definedName>
    <definedName name="SUCURSAL">'Base_de_Datos-1'!$B$8:$B$67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04" l="1"/>
  <c r="G43" i="104"/>
  <c r="F45" i="103"/>
  <c r="J13" i="103"/>
  <c r="J14" i="103"/>
  <c r="J15" i="103"/>
  <c r="J16" i="103"/>
  <c r="J17" i="103"/>
  <c r="J18" i="103"/>
  <c r="J19" i="103"/>
  <c r="J20" i="103"/>
  <c r="J21" i="103"/>
  <c r="J22" i="103"/>
  <c r="J23" i="103"/>
  <c r="J24" i="103"/>
  <c r="J25" i="103"/>
  <c r="J26" i="103"/>
  <c r="J27" i="103"/>
  <c r="J28" i="103"/>
  <c r="J29" i="103"/>
  <c r="J30" i="103"/>
  <c r="J31" i="103"/>
  <c r="J32" i="103"/>
  <c r="J33" i="103"/>
  <c r="J34" i="103"/>
  <c r="J35" i="103"/>
  <c r="J36" i="103"/>
  <c r="J37" i="103"/>
  <c r="J12" i="103"/>
  <c r="J95" i="98"/>
  <c r="J93" i="98"/>
  <c r="J91" i="98"/>
  <c r="J81" i="98"/>
  <c r="J79" i="98"/>
  <c r="J77" i="98"/>
  <c r="J75" i="98"/>
  <c r="J73" i="98"/>
  <c r="J71" i="98"/>
  <c r="J67" i="98"/>
  <c r="J69" i="98"/>
  <c r="J65" i="98"/>
  <c r="J63" i="98"/>
  <c r="J52" i="98"/>
  <c r="J50" i="98"/>
  <c r="J48" i="98"/>
  <c r="F41" i="95"/>
  <c r="J37" i="98"/>
  <c r="E167" i="97"/>
  <c r="E168" i="97"/>
  <c r="E169" i="97"/>
  <c r="E170" i="97"/>
  <c r="E166" i="97"/>
  <c r="E158" i="97"/>
  <c r="E159" i="97"/>
  <c r="E160" i="97"/>
  <c r="E161" i="97"/>
  <c r="E157" i="97"/>
  <c r="E149" i="97"/>
  <c r="E150" i="97"/>
  <c r="E151" i="97"/>
  <c r="E152" i="97"/>
  <c r="E148" i="97"/>
  <c r="I137" i="97"/>
  <c r="F137" i="97"/>
  <c r="G137" i="97"/>
  <c r="H137" i="97"/>
  <c r="E137" i="97"/>
  <c r="I125" i="97"/>
  <c r="I126" i="97"/>
  <c r="I127" i="97"/>
  <c r="I128" i="97"/>
  <c r="H125" i="97"/>
  <c r="H126" i="97"/>
  <c r="H127" i="97"/>
  <c r="H128" i="97"/>
  <c r="G125" i="97"/>
  <c r="G126" i="97"/>
  <c r="G127" i="97"/>
  <c r="G128" i="97"/>
  <c r="F125" i="97"/>
  <c r="F126" i="97"/>
  <c r="F127" i="97"/>
  <c r="F128" i="97"/>
  <c r="I124" i="97"/>
  <c r="F124" i="97"/>
  <c r="G124" i="97"/>
  <c r="H124" i="97"/>
  <c r="E124" i="97"/>
  <c r="E125" i="97"/>
  <c r="E126" i="97"/>
  <c r="E127" i="97"/>
  <c r="E128" i="97"/>
  <c r="F49" i="95"/>
  <c r="F47" i="95"/>
  <c r="F45" i="95"/>
  <c r="F43" i="95"/>
  <c r="E19" i="93"/>
  <c r="H13" i="93"/>
  <c r="H11" i="93"/>
  <c r="H9" i="93"/>
  <c r="D28" i="92"/>
  <c r="D23" i="92"/>
  <c r="H17" i="92"/>
  <c r="H15" i="92"/>
  <c r="H13" i="92"/>
  <c r="H11" i="92"/>
  <c r="H9" i="92"/>
  <c r="N105" i="90"/>
  <c r="N106" i="90"/>
  <c r="N107" i="90"/>
  <c r="N108" i="90"/>
  <c r="N109" i="90"/>
  <c r="N110" i="90"/>
  <c r="N111" i="90"/>
  <c r="N112" i="90"/>
  <c r="N113" i="90"/>
  <c r="N114" i="90"/>
  <c r="N115" i="90"/>
  <c r="N116" i="90"/>
  <c r="N117" i="90"/>
  <c r="N118" i="90"/>
  <c r="N119" i="90"/>
  <c r="N120" i="90"/>
  <c r="N121" i="90"/>
  <c r="N122" i="90"/>
  <c r="N123" i="90"/>
  <c r="N124" i="90"/>
  <c r="N125" i="90"/>
  <c r="N126" i="90"/>
  <c r="N127" i="90"/>
  <c r="N128" i="90"/>
  <c r="N129" i="90"/>
  <c r="N130" i="90"/>
  <c r="N131" i="90"/>
  <c r="N132" i="90"/>
  <c r="N133" i="90"/>
  <c r="N134" i="90"/>
  <c r="N135" i="90"/>
  <c r="N136" i="90"/>
  <c r="N137" i="90"/>
  <c r="N138" i="90"/>
  <c r="N139" i="90"/>
  <c r="N140" i="90"/>
  <c r="N141" i="90"/>
  <c r="N142" i="90"/>
  <c r="N143" i="90"/>
  <c r="N104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58" i="90"/>
  <c r="K52" i="90"/>
  <c r="K50" i="90"/>
  <c r="K48" i="90"/>
  <c r="K4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16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K34" i="90"/>
  <c r="K35" i="90"/>
  <c r="K36" i="90"/>
  <c r="K37" i="90"/>
  <c r="K38" i="90"/>
  <c r="K39" i="90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J17" i="104"/>
  <c r="J16" i="104"/>
  <c r="J15" i="104"/>
  <c r="J14" i="104"/>
  <c r="J13" i="104"/>
  <c r="J12" i="104"/>
  <c r="F43" i="103" l="1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14" i="95"/>
  <c r="K15" i="95"/>
  <c r="S15" i="95" s="1"/>
  <c r="K16" i="95"/>
  <c r="K17" i="95"/>
  <c r="K18" i="95"/>
  <c r="K19" i="95"/>
  <c r="S19" i="95" s="1"/>
  <c r="K20" i="95"/>
  <c r="K21" i="95"/>
  <c r="K22" i="95"/>
  <c r="K23" i="95"/>
  <c r="S23" i="95" s="1"/>
  <c r="K24" i="95"/>
  <c r="K25" i="95"/>
  <c r="K26" i="95"/>
  <c r="K27" i="95"/>
  <c r="S27" i="95" s="1"/>
  <c r="K28" i="95"/>
  <c r="K29" i="95"/>
  <c r="K30" i="95"/>
  <c r="K31" i="95"/>
  <c r="S31" i="95" s="1"/>
  <c r="K32" i="95"/>
  <c r="K33" i="95"/>
  <c r="K34" i="95"/>
  <c r="K35" i="95"/>
  <c r="S35" i="95" s="1"/>
  <c r="K36" i="95"/>
  <c r="K14" i="95"/>
  <c r="S36" i="95" l="1"/>
  <c r="S32" i="95"/>
  <c r="S28" i="95"/>
  <c r="S24" i="95"/>
  <c r="S20" i="95"/>
  <c r="S16" i="95"/>
  <c r="S14" i="95"/>
  <c r="S29" i="95"/>
  <c r="S25" i="95"/>
  <c r="S17" i="95"/>
  <c r="S33" i="95"/>
  <c r="S21" i="95"/>
  <c r="S34" i="95"/>
  <c r="S30" i="95"/>
  <c r="S26" i="95"/>
  <c r="S22" i="95"/>
  <c r="S18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</authors>
  <commentList>
    <comment ref="K15" authorId="0" shapeId="0" xr:uid="{00000000-0006-0000-01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Suma de </t>
        </r>
        <r>
          <rPr>
            <b/>
            <sz val="10"/>
            <color indexed="81"/>
            <rFont val="Arial Unicode MS"/>
            <family val="2"/>
          </rPr>
          <t>Enero</t>
        </r>
        <r>
          <rPr>
            <sz val="10"/>
            <color indexed="81"/>
            <rFont val="Arial Unicode MS"/>
            <family val="2"/>
          </rPr>
          <t xml:space="preserve"> a </t>
        </r>
        <r>
          <rPr>
            <b/>
            <sz val="10"/>
            <color indexed="81"/>
            <rFont val="Arial Unicode MS"/>
            <family val="2"/>
          </rPr>
          <t>Junio.</t>
        </r>
      </text>
    </comment>
    <comment ref="N57" authorId="0" shapeId="0" xr:uid="{00000000-0006-0000-01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Aplicar la </t>
        </r>
        <r>
          <rPr>
            <b/>
            <sz val="10"/>
            <color indexed="81"/>
            <rFont val="Arial Unicode MS"/>
            <family val="2"/>
          </rPr>
          <t xml:space="preserve">Función PROMEDIO </t>
        </r>
        <r>
          <rPr>
            <sz val="10"/>
            <color indexed="81"/>
            <rFont val="Arial Unicode MS"/>
            <family val="2"/>
          </rPr>
          <t xml:space="preserve">redondeando a 2 decimales. Aplique las Funciónes </t>
        </r>
        <r>
          <rPr>
            <b/>
            <sz val="10"/>
            <color indexed="81"/>
            <rFont val="Arial Unicode MS"/>
            <family val="2"/>
          </rPr>
          <t>REDONDEAR</t>
        </r>
        <r>
          <rPr>
            <sz val="10"/>
            <color indexed="81"/>
            <rFont val="Arial Unicode MS"/>
            <family val="2"/>
          </rPr>
          <t xml:space="preserve"> y </t>
        </r>
        <r>
          <rPr>
            <b/>
            <sz val="10"/>
            <color indexed="81"/>
            <rFont val="Arial Unicode MS"/>
            <family val="2"/>
          </rPr>
          <t>PROMEDIO</t>
        </r>
      </text>
    </comment>
    <comment ref="N103" authorId="0" shapeId="0" xr:uid="{48CD45B6-5318-433C-A4F2-6741AD0C674C}">
      <text>
        <r>
          <rPr>
            <sz val="10"/>
            <color indexed="81"/>
            <rFont val="Arial Unicode MS"/>
            <family val="2"/>
          </rPr>
          <t>Calcular el</t>
        </r>
        <r>
          <rPr>
            <b/>
            <sz val="10"/>
            <color indexed="81"/>
            <rFont val="Arial Unicode MS"/>
            <family val="2"/>
          </rPr>
          <t xml:space="preserve"> PROMEDIO PONDERADO </t>
        </r>
        <r>
          <rPr>
            <sz val="10"/>
            <color indexed="81"/>
            <rFont val="Arial Unicode MS"/>
          </rPr>
          <t>y</t>
        </r>
        <r>
          <rPr>
            <b/>
            <sz val="10"/>
            <color indexed="81"/>
            <rFont val="Arial Unicode MS"/>
            <family val="2"/>
          </rPr>
          <t xml:space="preserve"> </t>
        </r>
        <r>
          <rPr>
            <sz val="10"/>
            <color indexed="81"/>
            <rFont val="Arial Unicode MS"/>
            <family val="2"/>
          </rPr>
          <t>redondearlo a 2 decimales.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C22" authorId="0" shapeId="0" xr:uid="{00000000-0006-0000-0300-000001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meses.</t>
        </r>
      </text>
    </comment>
    <comment ref="C27" authorId="0" shapeId="0" xr:uid="{00000000-0006-0000-0300-000002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las 4 sucursales</t>
        </r>
        <r>
          <rPr>
            <b/>
            <sz val="10"/>
            <color indexed="81"/>
            <rFont val="Arial Unicode MS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C18" authorId="0" shapeId="0" xr:uid="{00000000-0006-0000-0400-000001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meses.</t>
        </r>
      </text>
    </comment>
    <comment ref="D18" authorId="0" shapeId="0" xr:uid="{00000000-0006-0000-0400-000002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sucursales.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</authors>
  <commentList>
    <comment ref="K13" authorId="0" shapeId="0" xr:uid="{00000000-0006-0000-06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Aplicativa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  <comment ref="P13" authorId="0" shapeId="0" xr:uid="{00000000-0006-0000-06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Continua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  <author>ALUMNO</author>
  </authors>
  <commentList>
    <comment ref="Q19" authorId="0" shapeId="0" xr:uid="{00000000-0006-0000-0800-000001000000}">
      <text>
        <r>
          <rPr>
            <b/>
            <sz val="10"/>
            <color indexed="81"/>
            <rFont val="Arial Unicode MS"/>
            <family val="2"/>
          </rPr>
          <t>Prof. José Huangal Castillo: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Continua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  <comment ref="D123" authorId="1" shapeId="0" xr:uid="{00000000-0006-0000-08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</t>
        </r>
        <r>
          <rPr>
            <b/>
            <sz val="10"/>
            <color indexed="81"/>
            <rFont val="Arial Unicode MS"/>
            <family val="2"/>
          </rPr>
          <t>estudiantes de cada región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  <comment ref="D133" authorId="1" shapeId="0" xr:uid="{00000000-0006-0000-08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estudiantes </t>
        </r>
        <r>
          <rPr>
            <b/>
            <sz val="10"/>
            <color indexed="81"/>
            <rFont val="Arial Unicode MS"/>
            <family val="2"/>
          </rPr>
          <t>aprobados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  <comment ref="D156" authorId="1" shapeId="0" xr:uid="{00000000-0006-0000-08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</t>
        </r>
        <r>
          <rPr>
            <b/>
            <sz val="10"/>
            <color indexed="81"/>
            <rFont val="Arial Unicode MS"/>
            <family val="2"/>
          </rPr>
          <t>estudiantes de cada región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Marmanillo Santana Jorge Luis</author>
  </authors>
  <commentList>
    <comment ref="J11" authorId="0" shapeId="0" xr:uid="{00000000-0006-0000-0A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Redondear el promedio  a 2 decimales. </t>
        </r>
        <r>
          <rPr>
            <b/>
            <sz val="10"/>
            <color indexed="81"/>
            <rFont val="Arial Unicode MS"/>
            <family val="2"/>
          </rPr>
          <t>(Utilice la Función Redondear y Promedio)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Marmanillo Santana Jorge Luis</author>
  </authors>
  <commentList>
    <comment ref="J11" authorId="0" shapeId="0" xr:uid="{140968A3-56D2-4223-B9EA-816765F2329B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Redondear el promedio  a 2 decimales. </t>
        </r>
        <r>
          <rPr>
            <b/>
            <sz val="10"/>
            <color indexed="81"/>
            <rFont val="Arial Unicode MS"/>
            <family val="2"/>
          </rPr>
          <t>(Utilice la Función Redondear y Promedio)</t>
        </r>
      </text>
    </comment>
  </commentList>
</comments>
</file>

<file path=xl/sharedStrings.xml><?xml version="1.0" encoding="utf-8"?>
<sst xmlns="http://schemas.openxmlformats.org/spreadsheetml/2006/main" count="1561" uniqueCount="538">
  <si>
    <t>Sintaxis:</t>
  </si>
  <si>
    <t>José</t>
  </si>
  <si>
    <t>Carlos</t>
  </si>
  <si>
    <t>Luis</t>
  </si>
  <si>
    <t>Patricia</t>
  </si>
  <si>
    <t>Promedio</t>
  </si>
  <si>
    <t>Nombre</t>
  </si>
  <si>
    <t>M</t>
  </si>
  <si>
    <t>Jorge</t>
  </si>
  <si>
    <t>Carmen</t>
  </si>
  <si>
    <t>Alfredo</t>
  </si>
  <si>
    <t>Alumno(a)</t>
  </si>
  <si>
    <t>Curso</t>
  </si>
  <si>
    <t>Promedio
Final</t>
  </si>
  <si>
    <t>Observación</t>
  </si>
  <si>
    <t>Excel</t>
  </si>
  <si>
    <t>Aprobado</t>
  </si>
  <si>
    <t>N</t>
  </si>
  <si>
    <t>Word</t>
  </si>
  <si>
    <t>T</t>
  </si>
  <si>
    <t>Desaprobado</t>
  </si>
  <si>
    <t>Windows</t>
  </si>
  <si>
    <t>Nombres</t>
  </si>
  <si>
    <t>Tania</t>
  </si>
  <si>
    <t>SAAVEDRA</t>
  </si>
  <si>
    <t>CASTRO</t>
  </si>
  <si>
    <t>Ejercicio 1:</t>
  </si>
  <si>
    <t>Función Promedio</t>
  </si>
  <si>
    <t>Función Contar</t>
  </si>
  <si>
    <t>Función Contara</t>
  </si>
  <si>
    <t>Función Contar.Si</t>
  </si>
  <si>
    <t>Función Contar.Blanco</t>
  </si>
  <si>
    <t>Función Max</t>
  </si>
  <si>
    <t>Función Min</t>
  </si>
  <si>
    <t>1. Función Promedio</t>
  </si>
  <si>
    <t xml:space="preserve"> =Promedio(número1, [número],...)</t>
  </si>
  <si>
    <t>Lima</t>
  </si>
  <si>
    <t>La Libertad</t>
  </si>
  <si>
    <t>Piura</t>
  </si>
  <si>
    <t>Cuzco</t>
  </si>
  <si>
    <t>Loreto</t>
  </si>
  <si>
    <t>Enero</t>
  </si>
  <si>
    <t>Febrero</t>
  </si>
  <si>
    <t>Marzo</t>
  </si>
  <si>
    <t>Abril</t>
  </si>
  <si>
    <t>Mayo</t>
  </si>
  <si>
    <t>Junio</t>
  </si>
  <si>
    <t>Arequipa</t>
  </si>
  <si>
    <t>Junin</t>
  </si>
  <si>
    <t>Lambayeque</t>
  </si>
  <si>
    <t>Ica</t>
  </si>
  <si>
    <t>Madre de Dios</t>
  </si>
  <si>
    <t>San Martin</t>
  </si>
  <si>
    <t>Amazonas</t>
  </si>
  <si>
    <t>Cajamarca</t>
  </si>
  <si>
    <t>Tacna</t>
  </si>
  <si>
    <t>Tumbes</t>
  </si>
  <si>
    <t>Cerro de Pasco</t>
  </si>
  <si>
    <t>Moquegua</t>
  </si>
  <si>
    <t>Ancash</t>
  </si>
  <si>
    <t>Ayacucho</t>
  </si>
  <si>
    <t>Ucayali</t>
  </si>
  <si>
    <t>Apurimac</t>
  </si>
  <si>
    <t>Huancavelica</t>
  </si>
  <si>
    <t>Huánuco</t>
  </si>
  <si>
    <t>Total en Stock</t>
  </si>
  <si>
    <t>Promedio Semestral</t>
  </si>
  <si>
    <t>Responder las siguientes preguntas:</t>
  </si>
  <si>
    <t>1. Calcular el Promedio de los meses de Enero y Marzo</t>
  </si>
  <si>
    <t>2. Calcular el promedio de los Departamentos de La Libertad y Lima</t>
  </si>
  <si>
    <t>Ejercicio 2:</t>
  </si>
  <si>
    <t>Nº.</t>
  </si>
  <si>
    <t xml:space="preserve">Código </t>
  </si>
  <si>
    <t>Apellido Paterno</t>
  </si>
  <si>
    <t>Apellido Materno</t>
  </si>
  <si>
    <t>Fecha Nac.</t>
  </si>
  <si>
    <t>Facultad</t>
  </si>
  <si>
    <t>Nota Parcial</t>
  </si>
  <si>
    <t>Nota Final</t>
  </si>
  <si>
    <t>Nota Laboratorio</t>
  </si>
  <si>
    <t>ROJAS</t>
  </si>
  <si>
    <t>STEPHANIE</t>
  </si>
  <si>
    <t>Agronomia</t>
  </si>
  <si>
    <t>CEPEDA</t>
  </si>
  <si>
    <t>BERNAL</t>
  </si>
  <si>
    <t>MANUEL</t>
  </si>
  <si>
    <t>Biologia</t>
  </si>
  <si>
    <t>CHAPARRO</t>
  </si>
  <si>
    <t>PENA</t>
  </si>
  <si>
    <t>SEBASTIAN</t>
  </si>
  <si>
    <t>Economia</t>
  </si>
  <si>
    <t>DE LA CERDA</t>
  </si>
  <si>
    <t>SARA</t>
  </si>
  <si>
    <t>Quimica</t>
  </si>
  <si>
    <t>DUCCI</t>
  </si>
  <si>
    <t>BOETSCH</t>
  </si>
  <si>
    <t>RAIMUNDO</t>
  </si>
  <si>
    <t>ECHEVERRIA</t>
  </si>
  <si>
    <t>GALVEZ</t>
  </si>
  <si>
    <t>ANA MARIA</t>
  </si>
  <si>
    <t>ELICER</t>
  </si>
  <si>
    <t>COOPMAN</t>
  </si>
  <si>
    <t>FRANCISCO</t>
  </si>
  <si>
    <t>EMHART</t>
  </si>
  <si>
    <t>GARCIA</t>
  </si>
  <si>
    <t>CRISTIAN</t>
  </si>
  <si>
    <t>FARAH</t>
  </si>
  <si>
    <t>CHANGKUON</t>
  </si>
  <si>
    <t>HUGO JOSE</t>
  </si>
  <si>
    <t>FERNANDEZ</t>
  </si>
  <si>
    <t>ONTIVEROS</t>
  </si>
  <si>
    <t>ANA EMILSE</t>
  </si>
  <si>
    <t>SONNENBERG</t>
  </si>
  <si>
    <t>JAVIER</t>
  </si>
  <si>
    <t>FINDEL</t>
  </si>
  <si>
    <t>DAVILA</t>
  </si>
  <si>
    <t>GERT ERWIN</t>
  </si>
  <si>
    <t>GIGLIO</t>
  </si>
  <si>
    <t>MAYOL</t>
  </si>
  <si>
    <t>JOSE MIGUEL</t>
  </si>
  <si>
    <t>GONZALEZ</t>
  </si>
  <si>
    <t>LARRAIN</t>
  </si>
  <si>
    <t>JOSE ANTONIO</t>
  </si>
  <si>
    <t>GUAJARDO</t>
  </si>
  <si>
    <t>MARCHANT</t>
  </si>
  <si>
    <t>DIEGO IGNACIO</t>
  </si>
  <si>
    <t>GUZMAN</t>
  </si>
  <si>
    <t>BARRIENTOS</t>
  </si>
  <si>
    <t>HERNANDEZ</t>
  </si>
  <si>
    <t>PALMA</t>
  </si>
  <si>
    <t>GUSTAVO</t>
  </si>
  <si>
    <t>HERRERA</t>
  </si>
  <si>
    <t>ERNANI</t>
  </si>
  <si>
    <t>OSCAR FELIPE</t>
  </si>
  <si>
    <t>HONORATO</t>
  </si>
  <si>
    <t>GARRETON</t>
  </si>
  <si>
    <t>LUIS FELIPE</t>
  </si>
  <si>
    <t>IRIBARRA</t>
  </si>
  <si>
    <t>BRADANOVICH</t>
  </si>
  <si>
    <t>IRIGOYEN</t>
  </si>
  <si>
    <t>RUBIO</t>
  </si>
  <si>
    <t>JAVIER IGNACIO</t>
  </si>
  <si>
    <t>LOPEZ</t>
  </si>
  <si>
    <t>LUIS MARIA</t>
  </si>
  <si>
    <t>MALDONADO</t>
  </si>
  <si>
    <t>UBALDE</t>
  </si>
  <si>
    <t>KARLA FLOR</t>
  </si>
  <si>
    <t>RODRIGUEZ</t>
  </si>
  <si>
    <t>RUIZ</t>
  </si>
  <si>
    <t>MARCOS JESUS</t>
  </si>
  <si>
    <t>SALAS</t>
  </si>
  <si>
    <t>JUAREZ</t>
  </si>
  <si>
    <t>GONZALO MANUEL</t>
  </si>
  <si>
    <t>SAMAME</t>
  </si>
  <si>
    <t>REYES</t>
  </si>
  <si>
    <t>MANUEL ALEJANDRO</t>
  </si>
  <si>
    <t>LAM</t>
  </si>
  <si>
    <t>TORRES</t>
  </si>
  <si>
    <t>ALEJANDRA MARIA</t>
  </si>
  <si>
    <t>CATTONE</t>
  </si>
  <si>
    <t>JOSE LUIS</t>
  </si>
  <si>
    <t>CHOY</t>
  </si>
  <si>
    <t>REATEGUI</t>
  </si>
  <si>
    <t>LUIS FERNANDO</t>
  </si>
  <si>
    <t>LAVI</t>
  </si>
  <si>
    <t>BRIVIO</t>
  </si>
  <si>
    <t>RAIMUNDO JAVIER</t>
  </si>
  <si>
    <t>PHILCO</t>
  </si>
  <si>
    <t>IRIARTE</t>
  </si>
  <si>
    <t>JAVIER ENRIQUE</t>
  </si>
  <si>
    <t>MORALES</t>
  </si>
  <si>
    <t>YAULI</t>
  </si>
  <si>
    <t>RENATO JOSE</t>
  </si>
  <si>
    <t>FAJARDO</t>
  </si>
  <si>
    <t>GIL</t>
  </si>
  <si>
    <t>LILIANA ELENA</t>
  </si>
  <si>
    <t>TARAZONA</t>
  </si>
  <si>
    <t>VASQUEZ</t>
  </si>
  <si>
    <t>KAREM DIANA</t>
  </si>
  <si>
    <t>VELIZ</t>
  </si>
  <si>
    <t>KAM</t>
  </si>
  <si>
    <t>DANIEL CARLOS</t>
  </si>
  <si>
    <t>FEIJO</t>
  </si>
  <si>
    <t>OLAVIDE</t>
  </si>
  <si>
    <t>CARLOS PATRICIO</t>
  </si>
  <si>
    <t>HORNA</t>
  </si>
  <si>
    <t>GRAU</t>
  </si>
  <si>
    <t>VALERIA ANDREA</t>
  </si>
  <si>
    <t>UGAZ</t>
  </si>
  <si>
    <t>ANDREA LUISA</t>
  </si>
  <si>
    <t>MATOS</t>
  </si>
  <si>
    <t>FERNANDO JOSE</t>
  </si>
  <si>
    <t>PEREZ</t>
  </si>
  <si>
    <t>DIOS</t>
  </si>
  <si>
    <t>PILAR ROSARIO</t>
  </si>
  <si>
    <t>Ejercicio 3:</t>
  </si>
  <si>
    <t>Id</t>
  </si>
  <si>
    <t>Aptitud 
(15%)</t>
  </si>
  <si>
    <t>Evaluación Aplicativa (35%)</t>
  </si>
  <si>
    <t>Evaluación Continua (15%)</t>
  </si>
  <si>
    <t>Examen Parcial
(17%)</t>
  </si>
  <si>
    <t>Examen Final
(18%)</t>
  </si>
  <si>
    <t>Nota 1</t>
  </si>
  <si>
    <t>ACOSTA ARMAS SANDRA PAOLA</t>
  </si>
  <si>
    <t>ALCANTARA CHANDUVI CRISTOPHER</t>
  </si>
  <si>
    <t>ALMONACID PINEDA VIVIANA THAIS</t>
  </si>
  <si>
    <t>BALBIN CUSQUISIBAN DARIANA ISABEL</t>
  </si>
  <si>
    <t>CAMASCA CENENO JHOEL LUIS</t>
  </si>
  <si>
    <t>CARBAJAL HUANCAS CARLOS ABEL</t>
  </si>
  <si>
    <t>CASTILLO AGUIRRE GUADALUPE VANESSA</t>
  </si>
  <si>
    <t>CCASA TICONA NELLY</t>
  </si>
  <si>
    <t>CONDORI PALOMINO LUCERO</t>
  </si>
  <si>
    <t>ENCARNACIÓN VENTURA FELICITA</t>
  </si>
  <si>
    <t>FLORES DE LA MATA ANGEEL JOHAGNETH VALERIA</t>
  </si>
  <si>
    <t>HUAYLLASCO RAMOS JOHANA</t>
  </si>
  <si>
    <t>LEON BLAS ROSMERY JHUDIT</t>
  </si>
  <si>
    <t>MENDOZA ALZAMORA GABRIELA</t>
  </si>
  <si>
    <t>NUNINGO NONINGO JUAN LUIS</t>
  </si>
  <si>
    <t>ORIZANO CABELLO DOMINGO ALFREDO</t>
  </si>
  <si>
    <t>PEDRAZA ORCCOAPAZA JEAN PIERE</t>
  </si>
  <si>
    <t>QUISPE QUISPE KEVIN HERMOGENES</t>
  </si>
  <si>
    <t>QUISPE VILLENA JORDI DAVID</t>
  </si>
  <si>
    <t>RAMOS BARRIENTOS FLOR MARIA</t>
  </si>
  <si>
    <t>RIVERA MARCA NATALI</t>
  </si>
  <si>
    <t>SILVA REATEGUI PATRICIA</t>
  </si>
  <si>
    <t>VELASQUEZ ROCA LILIANA</t>
  </si>
  <si>
    <t>Promedio Final</t>
  </si>
  <si>
    <t>REGISTRO DE NOTAS</t>
  </si>
  <si>
    <t>Apellidos y Nombres</t>
  </si>
  <si>
    <t>Nota 2</t>
  </si>
  <si>
    <t>Nota 3</t>
  </si>
  <si>
    <t>Nota 4</t>
  </si>
  <si>
    <t>Ejercicio 4:</t>
  </si>
  <si>
    <t>Ejercicio 5:</t>
  </si>
  <si>
    <t>Turno</t>
  </si>
  <si>
    <t>Cursos</t>
  </si>
  <si>
    <t>1. Función PROMEDIO.SI</t>
  </si>
  <si>
    <t xml:space="preserve"> =PROMEDIO.SI(Rango,Criterio,[Rango_Promedio)</t>
  </si>
  <si>
    <t>Sucursal</t>
  </si>
  <si>
    <t>Mes</t>
  </si>
  <si>
    <t>Ingresos</t>
  </si>
  <si>
    <t xml:space="preserve"> Egresos</t>
  </si>
  <si>
    <t>Trujillo</t>
  </si>
  <si>
    <t>Chiclayo</t>
  </si>
  <si>
    <t>Huanuco</t>
  </si>
  <si>
    <t>Pucallpa</t>
  </si>
  <si>
    <t>mayo</t>
  </si>
  <si>
    <t>Ejercicio 6:</t>
  </si>
  <si>
    <t>Ejercicio 7:</t>
  </si>
  <si>
    <t>1. Función PROMEDIO.SI.CONJUNTO</t>
  </si>
  <si>
    <t xml:space="preserve"> =PROMEDIO.SI.CONJUNTO(Rango_Promedio,Rango_Criterio1,Criterio1...)</t>
  </si>
  <si>
    <r>
      <t xml:space="preserve">Promedio de ingresos </t>
    </r>
    <r>
      <rPr>
        <sz val="10"/>
        <color rgb="FF002060"/>
        <rFont val="Arial Unicode MS"/>
        <family val="2"/>
      </rPr>
      <t>de aquellas sucursales que hayan tenido un</t>
    </r>
    <r>
      <rPr>
        <b/>
        <sz val="10"/>
        <color rgb="FF002060"/>
        <rFont val="Arial Unicode MS"/>
        <family val="2"/>
      </rPr>
      <t xml:space="preserve"> ingreso mayor a S/. 140,000.00 </t>
    </r>
    <r>
      <rPr>
        <sz val="10"/>
        <color rgb="FF002060"/>
        <rFont val="Arial Unicode MS"/>
        <family val="2"/>
      </rPr>
      <t xml:space="preserve">en el </t>
    </r>
    <r>
      <rPr>
        <b/>
        <sz val="10"/>
        <color rgb="FF002060"/>
        <rFont val="Arial Unicode MS"/>
        <family val="2"/>
      </rPr>
      <t>Mes de Enero.</t>
    </r>
  </si>
  <si>
    <r>
      <t xml:space="preserve">Necesito obtener el </t>
    </r>
    <r>
      <rPr>
        <b/>
        <sz val="10"/>
        <color rgb="FF002060"/>
        <rFont val="Arial Unicode MS"/>
        <family val="2"/>
      </rPr>
      <t>promedio de ingresos</t>
    </r>
    <r>
      <rPr>
        <sz val="10"/>
        <color rgb="FF002060"/>
        <rFont val="Arial Unicode MS"/>
        <family val="2"/>
      </rPr>
      <t xml:space="preserve"> de aquellas sucursales que hayan tenido un </t>
    </r>
    <r>
      <rPr>
        <b/>
        <sz val="10"/>
        <color rgb="FF002060"/>
        <rFont val="Arial Unicode MS"/>
        <family val="2"/>
      </rPr>
      <t xml:space="preserve">egreso menor a S/. 120,000.00 </t>
    </r>
    <r>
      <rPr>
        <sz val="10"/>
        <color rgb="FF002060"/>
        <rFont val="Arial Unicode MS"/>
        <family val="2"/>
      </rPr>
      <t xml:space="preserve">del </t>
    </r>
    <r>
      <rPr>
        <b/>
        <sz val="10"/>
        <color rgb="FF002060"/>
        <rFont val="Arial Unicode MS"/>
        <family val="2"/>
      </rPr>
      <t>mes de Junio.</t>
    </r>
  </si>
  <si>
    <r>
      <t xml:space="preserve">Necesito obtener el </t>
    </r>
    <r>
      <rPr>
        <b/>
        <sz val="10"/>
        <color rgb="FF002060"/>
        <rFont val="Arial Unicode MS"/>
        <family val="2"/>
      </rPr>
      <t>promedio de ingresos</t>
    </r>
    <r>
      <rPr>
        <sz val="10"/>
        <color rgb="FF002060"/>
        <rFont val="Arial Unicode MS"/>
        <family val="2"/>
      </rPr>
      <t xml:space="preserve"> de la </t>
    </r>
    <r>
      <rPr>
        <b/>
        <sz val="10"/>
        <color rgb="FF002060"/>
        <rFont val="Arial Unicode MS"/>
        <family val="2"/>
      </rPr>
      <t xml:space="preserve">Sucursal de Cuzco </t>
    </r>
    <r>
      <rPr>
        <sz val="10"/>
        <color rgb="FF002060"/>
        <rFont val="Arial Unicode MS"/>
        <family val="2"/>
      </rPr>
      <t xml:space="preserve">del </t>
    </r>
    <r>
      <rPr>
        <b/>
        <sz val="10"/>
        <color rgb="FF002060"/>
        <rFont val="Arial Unicode MS"/>
        <family val="2"/>
      </rPr>
      <t>mes de Mayo.</t>
    </r>
  </si>
  <si>
    <r>
      <t xml:space="preserve">Calcular el </t>
    </r>
    <r>
      <rPr>
        <b/>
        <sz val="10"/>
        <color rgb="FF002060"/>
        <rFont val="Arial Unicode MS"/>
        <family val="2"/>
      </rPr>
      <t>Promedio de Ingresos por Meses y por sucursal</t>
    </r>
  </si>
  <si>
    <t>Región</t>
  </si>
  <si>
    <t>código</t>
  </si>
  <si>
    <t>Adán</t>
  </si>
  <si>
    <t>Este</t>
  </si>
  <si>
    <t>Alberto</t>
  </si>
  <si>
    <t>Access</t>
  </si>
  <si>
    <t>Alcides</t>
  </si>
  <si>
    <t>Sur</t>
  </si>
  <si>
    <t>Alejandrina</t>
  </si>
  <si>
    <t>Alejandro</t>
  </si>
  <si>
    <t>Oeste</t>
  </si>
  <si>
    <t>Alex</t>
  </si>
  <si>
    <t>Power Point</t>
  </si>
  <si>
    <t>Alfonso</t>
  </si>
  <si>
    <t>Centro</t>
  </si>
  <si>
    <t>Alicia</t>
  </si>
  <si>
    <t>Norte</t>
  </si>
  <si>
    <t>Alonso</t>
  </si>
  <si>
    <t>Amelia</t>
  </si>
  <si>
    <t>Ana</t>
  </si>
  <si>
    <t>Andrés</t>
  </si>
  <si>
    <t>Angel</t>
  </si>
  <si>
    <t>Antonio</t>
  </si>
  <si>
    <t>Armando</t>
  </si>
  <si>
    <t>Arturo</t>
  </si>
  <si>
    <t>Aurelio</t>
  </si>
  <si>
    <t>Cynthia</t>
  </si>
  <si>
    <t>Dagoberto</t>
  </si>
  <si>
    <t>Daniel</t>
  </si>
  <si>
    <t>Dany</t>
  </si>
  <si>
    <t>Diana</t>
  </si>
  <si>
    <t>Dominga</t>
  </si>
  <si>
    <t>Edson</t>
  </si>
  <si>
    <t>Elba</t>
  </si>
  <si>
    <t>Elías</t>
  </si>
  <si>
    <t>Elisa</t>
  </si>
  <si>
    <t>Enrique</t>
  </si>
  <si>
    <t>Erika</t>
  </si>
  <si>
    <t>Ernesto</t>
  </si>
  <si>
    <t>Fabiola</t>
  </si>
  <si>
    <t>Faustino</t>
  </si>
  <si>
    <t>Florencio</t>
  </si>
  <si>
    <t>Gabriel</t>
  </si>
  <si>
    <t>Gertrudis</t>
  </si>
  <si>
    <t>Giannina</t>
  </si>
  <si>
    <t>Giovanna</t>
  </si>
  <si>
    <t>Heli</t>
  </si>
  <si>
    <t>Inés</t>
  </si>
  <si>
    <t>Irazema</t>
  </si>
  <si>
    <t>Isabel</t>
  </si>
  <si>
    <t>Israel</t>
  </si>
  <si>
    <t>Iván</t>
  </si>
  <si>
    <t>Janeth</t>
  </si>
  <si>
    <t>Javier</t>
  </si>
  <si>
    <t>Jenny</t>
  </si>
  <si>
    <t>Jesús</t>
  </si>
  <si>
    <t>Joel</t>
  </si>
  <si>
    <t>Josué</t>
  </si>
  <si>
    <t>Juan</t>
  </si>
  <si>
    <t>Leonidas</t>
  </si>
  <si>
    <t>Lidia</t>
  </si>
  <si>
    <t>Lizeth</t>
  </si>
  <si>
    <t>Magaly</t>
  </si>
  <si>
    <t>Manuel</t>
  </si>
  <si>
    <t>Marcos</t>
  </si>
  <si>
    <t>María</t>
  </si>
  <si>
    <t>Marina</t>
  </si>
  <si>
    <t>Mario</t>
  </si>
  <si>
    <t>Marita</t>
  </si>
  <si>
    <t>Maritza</t>
  </si>
  <si>
    <t>Mercedes</t>
  </si>
  <si>
    <t>Moisés</t>
  </si>
  <si>
    <t>Nancy</t>
  </si>
  <si>
    <t>Natividad</t>
  </si>
  <si>
    <t>Noé</t>
  </si>
  <si>
    <t>Octavio</t>
  </si>
  <si>
    <t>Oscar</t>
  </si>
  <si>
    <t>Pedro</t>
  </si>
  <si>
    <t>Rafael</t>
  </si>
  <si>
    <t>Raquel</t>
  </si>
  <si>
    <t>Raúl</t>
  </si>
  <si>
    <t>Regina</t>
  </si>
  <si>
    <t>Renán</t>
  </si>
  <si>
    <t>Ricardo</t>
  </si>
  <si>
    <t>Roberto</t>
  </si>
  <si>
    <t>Romell</t>
  </si>
  <si>
    <t>Ronald</t>
  </si>
  <si>
    <t>Ronaldo</t>
  </si>
  <si>
    <t>Rubén</t>
  </si>
  <si>
    <t>Salomón</t>
  </si>
  <si>
    <t>Sonia</t>
  </si>
  <si>
    <t>Teresa</t>
  </si>
  <si>
    <t>Ulises</t>
  </si>
  <si>
    <t>Vanessa</t>
  </si>
  <si>
    <t>Viviana</t>
  </si>
  <si>
    <t>Vladimir</t>
  </si>
  <si>
    <t>Walter</t>
  </si>
  <si>
    <t>William</t>
  </si>
  <si>
    <t>Yenny</t>
  </si>
  <si>
    <t>Yesenia</t>
  </si>
  <si>
    <t>Zaida</t>
  </si>
  <si>
    <t>Elvis</t>
  </si>
  <si>
    <t>NSP</t>
  </si>
  <si>
    <t>RET</t>
  </si>
  <si>
    <r>
      <t xml:space="preserve">Dada la siguiente tabla resolver </t>
    </r>
    <r>
      <rPr>
        <b/>
        <sz val="10"/>
        <color rgb="FF002060"/>
        <rFont val="Arial Unicode MS"/>
        <family val="2"/>
      </rPr>
      <t>las siguientes preguntas:</t>
    </r>
  </si>
  <si>
    <t>Resolver las siguientes preguntas:</t>
  </si>
  <si>
    <t>1. Función CONTAR.SI</t>
  </si>
  <si>
    <t xml:space="preserve"> =CONTAR.SI(Rango, Criterio)</t>
  </si>
  <si>
    <r>
      <t xml:space="preserve">Cuantos estudiantes no tienen </t>
    </r>
    <r>
      <rPr>
        <b/>
        <sz val="10"/>
        <color rgb="FF002060"/>
        <rFont val="Arial Unicode MS"/>
        <family val="2"/>
      </rPr>
      <t>Nota de Aptitud</t>
    </r>
  </si>
  <si>
    <r>
      <t xml:space="preserve">Cuantos estudiantes </t>
    </r>
    <r>
      <rPr>
        <b/>
        <sz val="10"/>
        <color rgb="FF002060"/>
        <rFont val="Arial Unicode MS"/>
        <family val="2"/>
      </rPr>
      <t>no se presentaro</t>
    </r>
    <r>
      <rPr>
        <sz val="10"/>
        <color rgb="FF002060"/>
        <rFont val="Arial Unicode MS"/>
        <family val="2"/>
      </rPr>
      <t>n 
al</t>
    </r>
    <r>
      <rPr>
        <b/>
        <sz val="10"/>
        <color rgb="FF002060"/>
        <rFont val="Arial Unicode MS"/>
        <family val="2"/>
      </rPr>
      <t xml:space="preserve"> Examen Parcial</t>
    </r>
  </si>
  <si>
    <t>Carrera</t>
  </si>
  <si>
    <t>Molina Garcia, Luis</t>
  </si>
  <si>
    <t>Rivera Tello, Juan</t>
  </si>
  <si>
    <t>Castillo del Aguila, Irene</t>
  </si>
  <si>
    <t>CONTA</t>
  </si>
  <si>
    <t>Arana Blas, David</t>
  </si>
  <si>
    <t>Gallardo Paz, Ruth</t>
  </si>
  <si>
    <t>Ramos Cruz, Eduardo</t>
  </si>
  <si>
    <t>Pastrana Quispe, Arturo</t>
  </si>
  <si>
    <t>Condezo Llanos, Paul</t>
  </si>
  <si>
    <t>Amaro Herrera, Lucia</t>
  </si>
  <si>
    <t>Qispe Quispe, Sonia</t>
  </si>
  <si>
    <t>Zegarra Molina, Antonio</t>
  </si>
  <si>
    <t>Loyola Anselmo, Raul</t>
  </si>
  <si>
    <t>Martinez Garcia, Juan</t>
  </si>
  <si>
    <t>Alfaro Costa, Marlene</t>
  </si>
  <si>
    <t>Quispe Arana, Pedro</t>
  </si>
  <si>
    <t>Huaman Flores, Amelia</t>
  </si>
  <si>
    <t>Salazar Torres, Adrian</t>
  </si>
  <si>
    <t>Flores Casas, Andrea</t>
  </si>
  <si>
    <t>Torres Garcia, Claudia</t>
  </si>
  <si>
    <t>Herrera Rengifo, Marcos</t>
  </si>
  <si>
    <t>Andrade Koz, Amelia</t>
  </si>
  <si>
    <t>Romero Peña, Juan</t>
  </si>
  <si>
    <t>Salas Perez, Daniel</t>
  </si>
  <si>
    <t>Huaman Velez, Rocio</t>
  </si>
  <si>
    <t>Cruz Molina, Medalid</t>
  </si>
  <si>
    <t>Rojas Blas, Martha</t>
  </si>
  <si>
    <t>ADM</t>
  </si>
  <si>
    <t>DISE</t>
  </si>
  <si>
    <t>Ejemplo1:</t>
  </si>
  <si>
    <t>Ejemplo2:</t>
  </si>
  <si>
    <t>Ejemplo3:</t>
  </si>
  <si>
    <t>1. Función CONTAR.SI.CONJUNTO</t>
  </si>
  <si>
    <r>
      <t xml:space="preserve">La función </t>
    </r>
    <r>
      <rPr>
        <b/>
        <sz val="10"/>
        <color rgb="FF002060"/>
        <rFont val="Arial Unicode MS"/>
        <family val="2"/>
      </rPr>
      <t xml:space="preserve">CONTAR.SI.CONJUNTO </t>
    </r>
    <r>
      <rPr>
        <sz val="10"/>
        <color rgb="FF002060"/>
        <rFont val="Arial Unicode MS"/>
        <family val="2"/>
      </rPr>
      <t xml:space="preserve">en Excel nos permite contar los elementos de un rango que cumplen con los criterios definidos. Esta función nos permite especificar </t>
    </r>
    <r>
      <rPr>
        <b/>
        <sz val="10"/>
        <color rgb="FF002060"/>
        <rFont val="Arial Unicode MS"/>
        <family val="2"/>
      </rPr>
      <t>hasta 127 criterios.</t>
    </r>
  </si>
  <si>
    <t xml:space="preserve"> =CONTAR.SI.CONJUNTO(Rango_criterio1, Criterio1,...)</t>
  </si>
  <si>
    <t>Mensualidad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</si>
  <si>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por Region y Curso:</t>
    </r>
  </si>
  <si>
    <t>Colocar nombres a los siguientes rangos: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</si>
  <si>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Aprobados por Curso:</t>
    </r>
  </si>
  <si>
    <t>Cantidad de Estudiantes aprobados por curso:</t>
  </si>
  <si>
    <t>Ejemplo4: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</si>
  <si>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Desaprobados por Región:</t>
    </r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</si>
  <si>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Aprobados por Región:</t>
    </r>
  </si>
  <si>
    <t>Cantidad de Estudiantes Aprobados</t>
  </si>
  <si>
    <t>Ejemplo5: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</si>
  <si>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que cancelaron mas 350 soles por región:</t>
    </r>
  </si>
  <si>
    <t>Cantidad de Estudiantes</t>
  </si>
  <si>
    <t>Cantidad de Estudiantes Desprobados</t>
  </si>
  <si>
    <t>1. Función CONTARA:</t>
  </si>
  <si>
    <r>
      <t xml:space="preserve">La función </t>
    </r>
    <r>
      <rPr>
        <b/>
        <sz val="10"/>
        <color rgb="FF002060"/>
        <rFont val="Arial Unicode MS"/>
        <family val="2"/>
      </rPr>
      <t>CONTARA</t>
    </r>
    <r>
      <rPr>
        <sz val="10"/>
        <color rgb="FF002060"/>
        <rFont val="Arial Unicode MS"/>
        <family val="2"/>
      </rPr>
      <t xml:space="preserve"> cuenta la cantidad de celdas que no están vacías en un intervalo.</t>
    </r>
  </si>
  <si>
    <t xml:space="preserve"> =CONTARA(valor1,[valor2],…)</t>
  </si>
  <si>
    <t>Cuadro de Ingresos en Soles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</si>
  <si>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</si>
  <si>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</si>
  <si>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</si>
  <si>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</si>
  <si>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</si>
  <si>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</si>
  <si>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</si>
  <si>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</si>
  <si>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</si>
  <si>
    <t>Producto J</t>
  </si>
  <si>
    <t>Producto K</t>
  </si>
  <si>
    <t>Producto L</t>
  </si>
  <si>
    <t>Producto M</t>
  </si>
  <si>
    <t>Producto N</t>
  </si>
  <si>
    <t>Producto O</t>
  </si>
  <si>
    <t>Producto P</t>
  </si>
  <si>
    <t>Producto Q</t>
  </si>
  <si>
    <t>Producto R</t>
  </si>
  <si>
    <t>Producto S</t>
  </si>
  <si>
    <t>Producto T</t>
  </si>
  <si>
    <r>
      <t xml:space="preserve">La </t>
    </r>
    <r>
      <rPr>
        <b/>
        <sz val="10"/>
        <color rgb="FF002060"/>
        <rFont val="Arial Unicode MS"/>
        <family val="2"/>
      </rPr>
      <t xml:space="preserve">función MAX </t>
    </r>
    <r>
      <rPr>
        <sz val="10"/>
        <color rgb="FF002060"/>
        <rFont val="Arial Unicode MS"/>
        <family val="2"/>
      </rPr>
      <t xml:space="preserve">en Excel es de gran ayuda siempre que necesitemos obtener </t>
    </r>
    <r>
      <rPr>
        <b/>
        <sz val="10"/>
        <color rgb="FF002060"/>
        <rFont val="Arial Unicode MS"/>
        <family val="2"/>
      </rPr>
      <t>el valor máximo de un conjunto de valores</t>
    </r>
    <r>
      <rPr>
        <sz val="10"/>
        <color rgb="FF002060"/>
        <rFont val="Arial Unicode MS"/>
        <family val="2"/>
      </rPr>
      <t xml:space="preserve"> que puede ser una lista de números ubicados en uno o varios rangos de nuestra hoja de Excel.</t>
    </r>
  </si>
  <si>
    <t xml:space="preserve"> =MAX(número1,[número2],…)</t>
  </si>
  <si>
    <t>Resolver las Siguientes Preguntas:</t>
  </si>
  <si>
    <t>Pregunta1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</si>
  <si>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Enero</t>
    </r>
  </si>
  <si>
    <t>Pregunta2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</si>
  <si>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Junio</t>
    </r>
  </si>
  <si>
    <t>Pregunta3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</si>
  <si>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Febrero y Abril: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</si>
  <si>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Marzo y Mayo:</t>
    </r>
  </si>
  <si>
    <t>Pregunta4</t>
  </si>
  <si>
    <t>Pregunta5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</si>
  <si>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A hasta la D</t>
    </r>
    <r>
      <rPr>
        <sz val="10"/>
        <color rgb="FF002060"/>
        <rFont val="Arial Unicode MS"/>
        <family val="2"/>
      </rPr>
      <t xml:space="preserve">, del mes de </t>
    </r>
    <r>
      <rPr>
        <b/>
        <sz val="10"/>
        <color rgb="FF002060"/>
        <rFont val="Arial Unicode MS"/>
        <family val="2"/>
      </rPr>
      <t>Junio: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</si>
  <si>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E hasta la H</t>
    </r>
    <r>
      <rPr>
        <sz val="10"/>
        <color rgb="FF002060"/>
        <rFont val="Arial Unicode MS"/>
        <family val="2"/>
      </rPr>
      <t xml:space="preserve">, y desde la </t>
    </r>
    <r>
      <rPr>
        <b/>
        <sz val="10"/>
        <color rgb="FF002060"/>
        <rFont val="Arial Unicode MS"/>
        <family val="2"/>
      </rPr>
      <t xml:space="preserve">Q hasta T </t>
    </r>
    <r>
      <rPr>
        <sz val="10"/>
        <color rgb="FF002060"/>
        <rFont val="Arial Unicode MS"/>
        <family val="2"/>
      </rPr>
      <t xml:space="preserve">del mes de </t>
    </r>
    <r>
      <rPr>
        <b/>
        <sz val="10"/>
        <color rgb="FF002060"/>
        <rFont val="Arial Unicode MS"/>
        <family val="2"/>
      </rPr>
      <t>Marzo:</t>
    </r>
  </si>
  <si>
    <t>Pregunta6</t>
  </si>
  <si>
    <t>Pregunta7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</si>
  <si>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segundo bimestre</t>
    </r>
  </si>
  <si>
    <t>Pregunta8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</si>
  <si>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Primer y Tercer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</si>
  <si>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Producto M</t>
    </r>
  </si>
  <si>
    <t>Pregunta9</t>
  </si>
  <si>
    <t>Pregunta10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</si>
  <si>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entre </t>
    </r>
    <r>
      <rPr>
        <b/>
        <sz val="10"/>
        <color rgb="FF002060"/>
        <rFont val="Arial Unicode MS"/>
        <family val="2"/>
      </rPr>
      <t>Producto M y Producto T</t>
    </r>
  </si>
  <si>
    <t>2. Función CONTAR.BLANCO:</t>
  </si>
  <si>
    <t>3. Función MAX:</t>
  </si>
  <si>
    <r>
      <t xml:space="preserve">La Función </t>
    </r>
    <r>
      <rPr>
        <b/>
        <sz val="10"/>
        <color rgb="FF002060"/>
        <rFont val="Arial Unicode MS"/>
        <family val="2"/>
      </rPr>
      <t>CONTAR.BLANCO</t>
    </r>
    <r>
      <rPr>
        <sz val="10"/>
        <color rgb="FF002060"/>
        <rFont val="Arial Unicode MS"/>
        <family val="2"/>
      </rPr>
      <t xml:space="preserve"> en Excel permite contar el número de celdas en blanco de un rango específico.</t>
    </r>
  </si>
  <si>
    <t xml:space="preserve"> =CONTAR.BLANCO(rango)</t>
  </si>
  <si>
    <r>
      <t>1. Cuantos Productos no tienen precio en el</t>
    </r>
    <r>
      <rPr>
        <b/>
        <sz val="10"/>
        <color rgb="FF002060"/>
        <rFont val="Arial Unicode MS"/>
        <family val="2"/>
      </rPr>
      <t xml:space="preserve"> primer bimestre.</t>
    </r>
  </si>
  <si>
    <r>
      <t>1. Cuantos</t>
    </r>
    <r>
      <rPr>
        <b/>
        <sz val="10"/>
        <color rgb="FF002060"/>
        <rFont val="Arial Unicode MS"/>
        <family val="2"/>
      </rPr>
      <t xml:space="preserve"> Productos existen en la Tabla</t>
    </r>
  </si>
  <si>
    <t xml:space="preserve"> =MIN(número1,[número2],…)</t>
  </si>
  <si>
    <t>4. Función MIN:</t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</si>
  <si>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Junio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</si>
  <si>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Febrero y Abril: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</si>
  <si>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Marzo y Mayo: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</si>
  <si>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A hasta la D</t>
    </r>
    <r>
      <rPr>
        <sz val="10"/>
        <color rgb="FF002060"/>
        <rFont val="Arial Unicode MS"/>
        <family val="2"/>
      </rPr>
      <t xml:space="preserve">, del mes de </t>
    </r>
    <r>
      <rPr>
        <b/>
        <sz val="10"/>
        <color rgb="FF002060"/>
        <rFont val="Arial Unicode MS"/>
        <family val="2"/>
      </rPr>
      <t>Junio: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</si>
  <si>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E hasta la H</t>
    </r>
    <r>
      <rPr>
        <sz val="10"/>
        <color rgb="FF002060"/>
        <rFont val="Arial Unicode MS"/>
        <family val="2"/>
      </rPr>
      <t xml:space="preserve">, y desde la </t>
    </r>
    <r>
      <rPr>
        <b/>
        <sz val="10"/>
        <color rgb="FF002060"/>
        <rFont val="Arial Unicode MS"/>
        <family val="2"/>
      </rPr>
      <t xml:space="preserve">Q hasta T </t>
    </r>
    <r>
      <rPr>
        <sz val="10"/>
        <color rgb="FF002060"/>
        <rFont val="Arial Unicode MS"/>
        <family val="2"/>
      </rPr>
      <t xml:space="preserve">del mes de </t>
    </r>
    <r>
      <rPr>
        <b/>
        <sz val="10"/>
        <color rgb="FF002060"/>
        <rFont val="Arial Unicode MS"/>
        <family val="2"/>
      </rPr>
      <t>Marzo: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</si>
  <si>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segundo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</si>
  <si>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Primer y Tercer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</si>
  <si>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Enero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</si>
  <si>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Producto M</t>
    </r>
  </si>
  <si>
    <t>Resolver las Siguientes Preguntas: (Utilice la tabla del Ejercicio 1)</t>
  </si>
  <si>
    <r>
      <t xml:space="preserve">La </t>
    </r>
    <r>
      <rPr>
        <b/>
        <sz val="10"/>
        <color rgb="FF002060"/>
        <rFont val="Arial Unicode MS"/>
        <family val="2"/>
      </rPr>
      <t xml:space="preserve">función MIN </t>
    </r>
    <r>
      <rPr>
        <sz val="10"/>
        <color rgb="FF002060"/>
        <rFont val="Arial Unicode MS"/>
        <family val="2"/>
      </rPr>
      <t xml:space="preserve">en Excel es de gran ayuda siempre que necesitemos obtener </t>
    </r>
    <r>
      <rPr>
        <b/>
        <sz val="10"/>
        <color rgb="FF002060"/>
        <rFont val="Arial Unicode MS"/>
        <family val="2"/>
      </rPr>
      <t>el valor mínimo de un conjunto de valores</t>
    </r>
    <r>
      <rPr>
        <sz val="10"/>
        <color rgb="FF002060"/>
        <rFont val="Arial Unicode MS"/>
        <family val="2"/>
      </rPr>
      <t xml:space="preserve"> que puede ser una lista de números ubicados en uno o varios rangos de nuestra hoja de Excel.</t>
    </r>
  </si>
  <si>
    <t>3. Calcular el promedio de los meses Febrero, Abril, Mayo y Junio con excepción de los meses de Enero y Marzo</t>
  </si>
  <si>
    <t>4. Calcular el promedio del último Trimestre:</t>
  </si>
  <si>
    <t xml:space="preserve"> =K.ESIMO.MAYOR(matriz,k)</t>
  </si>
  <si>
    <t>1. Función K.ESIMO.MAYOR | K.ESIMO.MENOR</t>
  </si>
  <si>
    <t>Ejemplo:</t>
  </si>
  <si>
    <t>¿Cuál es la tercera nota más baja?</t>
  </si>
  <si>
    <t>¿Cuál es la segunda nota más alta?</t>
  </si>
  <si>
    <r>
      <t xml:space="preserve">La función </t>
    </r>
    <r>
      <rPr>
        <b/>
        <sz val="10"/>
        <color rgb="FF002060"/>
        <rFont val="Arial Unicode MS"/>
        <family val="2"/>
      </rPr>
      <t>PROMEDIO.SI.CONJUNTO</t>
    </r>
    <r>
      <rPr>
        <sz val="10"/>
        <color rgb="FF002060"/>
        <rFont val="Arial Unicode MS"/>
        <family val="2"/>
      </rPr>
      <t xml:space="preserve"> nos devuelve el promedio de un rango de celdas que cumplan con las condiciones definidas. Esta función nos permitirá incluir hasta 127 criterios distintos para las celdas que deseamos considerar.
</t>
    </r>
    <r>
      <rPr>
        <b/>
        <sz val="12"/>
        <color rgb="FFFF0000"/>
        <rFont val="Arial Unicode MS"/>
      </rPr>
      <t>Utilice la hoja Base de datos 1</t>
    </r>
  </si>
  <si>
    <t>FUNCIÓN PROMEDIO</t>
  </si>
  <si>
    <t>EMPRESA INVERSIONES SAC - INGRESOS Y EGRESOS</t>
  </si>
  <si>
    <t>FUNCIÓN PROMEDIO.SI</t>
  </si>
  <si>
    <t>FUNCIÓN PROMEDIO.SI.CONJUNTO</t>
  </si>
  <si>
    <t>FUNCIÓN CONTAR.SI</t>
  </si>
  <si>
    <t>FUNCIÓN CONTAR.SI.CONJUNTO</t>
  </si>
  <si>
    <t>Función K.Esimo.Mayor</t>
  </si>
  <si>
    <t>Función K.Esimo.Menor</t>
  </si>
  <si>
    <r>
      <t>2. Cuantos Productos no tienen precio en el</t>
    </r>
    <r>
      <rPr>
        <b/>
        <sz val="10"/>
        <color rgb="FF002060"/>
        <rFont val="Arial Unicode MS"/>
        <family val="2"/>
      </rPr>
      <t xml:space="preserve"> mes de junio.</t>
    </r>
  </si>
  <si>
    <r>
      <t xml:space="preserve">3. Cuantos Productos no tienen precio en el </t>
    </r>
    <r>
      <rPr>
        <b/>
        <sz val="10"/>
        <color rgb="FF002060"/>
        <rFont val="Arial Unicode MS"/>
      </rPr>
      <t>mes de abril.</t>
    </r>
  </si>
  <si>
    <t>FUNCIÓN MAX.SI.CONJUNTO | MIN.SI.CONJUNTO</t>
  </si>
  <si>
    <t>1. FUNCIÓN MAX.SI.CONJUNTO | MIN.SI.CONJUNTO</t>
  </si>
  <si>
    <t>=MAX.SI.CONJUNTO(RangoMax; RangoCriterios1,Criterios1;…)    |    =MIN.SI.CONJUNTO(RangoMin; RangoCriterios1,Criterios1;…)</t>
  </si>
  <si>
    <t>¿Cuál es la nota más alta de los que están aprobados?</t>
  </si>
  <si>
    <t>Ejemplos:</t>
  </si>
  <si>
    <t>Responder a las siguientes preguntas:</t>
  </si>
  <si>
    <t>Departamentos</t>
  </si>
  <si>
    <t>Función Max.Si.Conjunto</t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</si>
  <si>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>PROMEDIO</t>
    </r>
    <r>
      <rPr>
        <sz val="12"/>
        <color rgb="FF002060"/>
        <rFont val="Arial Unicode MS"/>
        <family val="2"/>
      </rPr>
      <t>:</t>
    </r>
  </si>
  <si>
    <r>
      <t xml:space="preserve">La función PROMEDIO es una de las funciones estadísticas más 
utilizadas en Excel. </t>
    </r>
    <r>
      <rPr>
        <b/>
        <sz val="11"/>
        <color rgb="FF002060"/>
        <rFont val="Arial Unicode MS"/>
        <family val="2"/>
      </rPr>
      <t>PROMEDIO se utiliza para encontrar la media aritmética en una lista de valores</t>
    </r>
    <r>
      <rPr>
        <sz val="11"/>
        <color rgb="FF002060"/>
        <rFont val="Arial Unicode MS"/>
        <family val="2"/>
      </rPr>
      <t xml:space="preserve"> o argumentos</t>
    </r>
  </si>
  <si>
    <t>Base de Datos de Stock de Productos de cada sucursal a nivel nacional del primer Semestre del año 2020</t>
  </si>
  <si>
    <r>
      <rPr>
        <b/>
        <sz val="11"/>
        <color rgb="FF002060"/>
        <rFont val="Arial Unicode MS"/>
        <family val="2"/>
      </rPr>
      <t>Crear nombres a Rangos:</t>
    </r>
    <r>
      <rPr>
        <sz val="11"/>
        <color rgb="FF002060"/>
        <rFont val="Arial Unicode MS"/>
        <family val="2"/>
      </rPr>
      <t xml:space="preserve">
 - Seleccionar toda la base de datos
 - Presionas las siguientes teclas: </t>
    </r>
    <r>
      <rPr>
        <b/>
        <sz val="11"/>
        <color rgb="FF002060"/>
        <rFont val="Arial Unicode MS"/>
        <family val="2"/>
      </rPr>
      <t>CTRL + F3</t>
    </r>
  </si>
  <si>
    <r>
      <t>La función</t>
    </r>
    <r>
      <rPr>
        <b/>
        <sz val="11"/>
        <color rgb="FF002060"/>
        <rFont val="Arial Unicode MS"/>
      </rPr>
      <t xml:space="preserve"> PROMEDIO.SI</t>
    </r>
    <r>
      <rPr>
        <sz val="11"/>
        <color rgb="FF002060"/>
        <rFont val="Arial Unicode MS"/>
      </rPr>
      <t xml:space="preserve"> en Excel nos permite</t>
    </r>
    <r>
      <rPr>
        <b/>
        <sz val="11"/>
        <color rgb="FF002060"/>
        <rFont val="Arial Unicode MS"/>
      </rPr>
      <t xml:space="preserve"> obtener el promedio o media aritmética de un grupo de celdas que cumplan con un criterio.</t>
    </r>
    <r>
      <rPr>
        <sz val="11"/>
        <color rgb="FF002060"/>
        <rFont val="Arial Unicode MS"/>
      </rPr>
      <t xml:space="preserve"> Dicho criterio es el que determina si una celda es tomada en cuenta o no dentro del cálculo.            </t>
    </r>
    <r>
      <rPr>
        <b/>
        <sz val="11"/>
        <color rgb="FF002060"/>
        <rFont val="Arial Unicode MS"/>
      </rPr>
      <t>Utilice la hoja Base de datos 1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</si>
  <si>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ingresos</t>
    </r>
    <r>
      <rPr>
        <sz val="11"/>
        <color rgb="FF002060"/>
        <rFont val="Arial Unicode MS"/>
        <family val="2"/>
      </rPr>
      <t xml:space="preserve"> de aquellas sucursales que hayan tenido un </t>
    </r>
    <r>
      <rPr>
        <b/>
        <sz val="11"/>
        <color rgb="FF002060"/>
        <rFont val="Arial Unicode MS"/>
        <family val="2"/>
      </rPr>
      <t>egreso menor a S/. 100,000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</si>
  <si>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ingresos</t>
    </r>
    <r>
      <rPr>
        <sz val="11"/>
        <color rgb="FF002060"/>
        <rFont val="Arial Unicode MS"/>
        <family val="2"/>
      </rPr>
      <t xml:space="preserve"> de la </t>
    </r>
    <r>
      <rPr>
        <b/>
        <sz val="11"/>
        <color rgb="FF002060"/>
        <rFont val="Arial Unicode MS"/>
        <family val="2"/>
      </rPr>
      <t>Sucursal de Trujillo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</si>
  <si>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Egresos</t>
    </r>
    <r>
      <rPr>
        <sz val="11"/>
        <color rgb="FF002060"/>
        <rFont val="Arial Unicode MS"/>
        <family val="2"/>
      </rPr>
      <t xml:space="preserve"> del Mes de Junio.</t>
    </r>
  </si>
  <si>
    <r>
      <t xml:space="preserve">Promedio de Egresos </t>
    </r>
    <r>
      <rPr>
        <sz val="11"/>
        <color rgb="FF002060"/>
        <rFont val="Arial Unicode MS"/>
        <family val="2"/>
      </rPr>
      <t>de aquellas sucursales que hayan tenido un</t>
    </r>
    <r>
      <rPr>
        <b/>
        <sz val="11"/>
        <color rgb="FF002060"/>
        <rFont val="Arial Unicode MS"/>
        <family val="2"/>
      </rPr>
      <t xml:space="preserve"> Egresos menores a S/. 98,000,00. </t>
    </r>
  </si>
  <si>
    <r>
      <t xml:space="preserve">Calcular el </t>
    </r>
    <r>
      <rPr>
        <b/>
        <sz val="11"/>
        <color rgb="FF002060"/>
        <rFont val="Arial Unicode MS"/>
        <family val="2"/>
      </rPr>
      <t>Promedio de Ingresos por Meses</t>
    </r>
  </si>
  <si>
    <r>
      <t xml:space="preserve">Calcular el </t>
    </r>
    <r>
      <rPr>
        <b/>
        <sz val="11"/>
        <color rgb="FF002060"/>
        <rFont val="Arial Unicode MS"/>
        <family val="2"/>
      </rPr>
      <t>Promedio de Egresos de las sucursales de Trujillo, Cuzco, Piura y Arequipa.</t>
    </r>
  </si>
  <si>
    <r>
      <t xml:space="preserve">Dada la siguiente tabla resolver </t>
    </r>
    <r>
      <rPr>
        <b/>
        <sz val="11"/>
        <color rgb="FF002060"/>
        <rFont val="Arial Unicode MS"/>
        <family val="2"/>
      </rPr>
      <t>las siguientes preguntas:</t>
    </r>
  </si>
  <si>
    <r>
      <t xml:space="preserve">La función </t>
    </r>
    <r>
      <rPr>
        <b/>
        <sz val="11"/>
        <color rgb="FF002060"/>
        <rFont val="Arial Unicode MS"/>
        <family val="2"/>
      </rPr>
      <t xml:space="preserve">CONTAR.SI </t>
    </r>
    <r>
      <rPr>
        <sz val="11"/>
        <color rgb="FF002060"/>
        <rFont val="Arial Unicode MS"/>
        <family val="2"/>
      </rPr>
      <t xml:space="preserve">en Excel nos da la oportunidad de contar el </t>
    </r>
    <r>
      <rPr>
        <b/>
        <sz val="11"/>
        <color rgb="FF002060"/>
        <rFont val="Arial Unicode MS"/>
        <family val="2"/>
      </rPr>
      <t>número de celdas de un rango que cumplan con un criterio establecido</t>
    </r>
    <r>
      <rPr>
        <sz val="11"/>
        <color rgb="FF002060"/>
        <rFont val="Arial Unicode MS"/>
        <family val="2"/>
      </rPr>
      <t>. Solamente cuando el valor de dichas celdas cumple la condición es considerada dentro de la cuenta.</t>
    </r>
  </si>
  <si>
    <t>FUNCIONES CONTARA, CONTAR.BLANCO, MAX, MIN</t>
  </si>
  <si>
    <t>FUNCIÓN K.ESIMO.MAYOR | K.ESIMO.MENOR</t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</si>
  <si>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 xml:space="preserve">PROMEDIO </t>
    </r>
    <r>
      <rPr>
        <sz val="12"/>
        <color rgb="FF002060"/>
        <rFont val="Arial Unicode MS"/>
        <family val="2"/>
      </rPr>
      <t xml:space="preserve">redondeando a </t>
    </r>
    <r>
      <rPr>
        <b/>
        <sz val="12"/>
        <color rgb="FF002060"/>
        <rFont val="Arial Unicode MS"/>
        <family val="2"/>
      </rPr>
      <t>2 decimales:</t>
    </r>
    <r>
      <rPr>
        <sz val="12"/>
        <color rgb="FF002060"/>
        <rFont val="Arial Unicode MS"/>
        <family val="2"/>
      </rPr>
      <t xml:space="preserve">
Aplicar Formato condicional a las </t>
    </r>
    <r>
      <rPr>
        <b/>
        <sz val="12"/>
        <color rgb="FF002060"/>
        <rFont val="Arial Unicode MS"/>
        <family val="2"/>
      </rPr>
      <t>notas y promedio menores de 12.5 de color rojo y los mayores o iguales a 12.5 de color azul</t>
    </r>
    <r>
      <rPr>
        <sz val="12"/>
        <color rgb="FF002060"/>
        <rFont val="Arial Unicode MS"/>
        <family val="2"/>
      </rPr>
      <t>.</t>
    </r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</si>
  <si>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 xml:space="preserve">PROMEDIO PONDERADO </t>
    </r>
    <r>
      <rPr>
        <sz val="12"/>
        <color rgb="FF002060"/>
        <rFont val="Arial Unicode MS"/>
      </rPr>
      <t xml:space="preserve">en base al peso porcentual de cada nota. </t>
    </r>
    <r>
      <rPr>
        <sz val="12"/>
        <color rgb="FF002060"/>
        <rFont val="Arial Unicode MS"/>
        <family val="2"/>
      </rPr>
      <t>Aplicar Formato condicional a las notas y promedio menores de 12.5 de color rojo y los mayores o iguales a 12.5 de color azul.</t>
    </r>
  </si>
  <si>
    <t>Función Promedio.Si</t>
  </si>
  <si>
    <t>Función Promedio.Si.Conjunto</t>
  </si>
  <si>
    <r>
      <t xml:space="preserve">Promedio de ingresos </t>
    </r>
    <r>
      <rPr>
        <sz val="11"/>
        <color rgb="FF002060"/>
        <rFont val="Arial Unicode MS"/>
        <family val="2"/>
      </rPr>
      <t>de aquellas sucursales que hayan tenido un</t>
    </r>
    <r>
      <rPr>
        <b/>
        <sz val="11"/>
        <color rgb="FF002060"/>
        <rFont val="Arial Unicode MS"/>
        <family val="2"/>
      </rPr>
      <t xml:space="preserve"> ingreso mayor a S/. 120,000.00. </t>
    </r>
  </si>
  <si>
    <r>
      <t xml:space="preserve">Cuantos estudiantes tienen </t>
    </r>
    <r>
      <rPr>
        <b/>
        <sz val="10"/>
        <color rgb="FF002060"/>
        <rFont val="Arial Unicode MS"/>
        <family val="2"/>
      </rPr>
      <t>Examen Final 
Desaprobado (&lt;12.5)</t>
    </r>
  </si>
  <si>
    <r>
      <t xml:space="preserve">Cuantos estudiantes </t>
    </r>
    <r>
      <rPr>
        <b/>
        <sz val="10"/>
        <color rgb="FF002060"/>
        <rFont val="Arial Unicode MS"/>
        <family val="2"/>
      </rPr>
      <t>Aprobaron (&gt;=12.5)</t>
    </r>
  </si>
  <si>
    <r>
      <t xml:space="preserve">Cuantos estudiantes </t>
    </r>
    <r>
      <rPr>
        <b/>
        <sz val="10"/>
        <color rgb="FF002060"/>
        <rFont val="Arial Unicode MS"/>
        <family val="2"/>
      </rPr>
      <t>Desaprobaron</t>
    </r>
    <r>
      <rPr>
        <sz val="10"/>
        <color rgb="FF002060"/>
        <rFont val="Arial Unicode MS"/>
        <family val="2"/>
      </rPr>
      <t xml:space="preserve"> la</t>
    </r>
    <r>
      <rPr>
        <b/>
        <sz val="10"/>
        <color rgb="FF002060"/>
        <rFont val="Arial Unicode MS"/>
        <family val="2"/>
      </rPr>
      <t xml:space="preserve"> Evaluación Continua. (&lt;12.5)</t>
    </r>
  </si>
  <si>
    <t>Función Contar.Si.Conjunto</t>
  </si>
  <si>
    <t>Producto</t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</si>
  <si>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entre </t>
    </r>
    <r>
      <rPr>
        <b/>
        <sz val="10"/>
        <color rgb="FF002060"/>
        <rFont val="Arial Unicode MS"/>
        <family val="2"/>
      </rPr>
      <t>Producto M y Producto T</t>
    </r>
  </si>
  <si>
    <t>¿Cuál es la nota más baja del turno Tarde y de la carrera de CONTA?</t>
  </si>
  <si>
    <r>
      <t xml:space="preserve">1. Colocar el nombre de </t>
    </r>
    <r>
      <rPr>
        <b/>
        <sz val="10"/>
        <color rgb="FF002060"/>
        <rFont val="Arial Unicode MS"/>
        <family val="2"/>
      </rPr>
      <t xml:space="preserve">REGIÓN </t>
    </r>
    <r>
      <rPr>
        <sz val="10"/>
        <color rgb="FF002060"/>
        <rFont val="Arial Unicode MS"/>
        <family val="2"/>
      </rPr>
      <t>al siguiente rango: E18</t>
    </r>
    <r>
      <rPr>
        <b/>
        <sz val="10"/>
        <color rgb="FF002060"/>
        <rFont val="Arial Unicode MS"/>
        <family val="2"/>
      </rPr>
      <t>:E125</t>
    </r>
  </si>
  <si>
    <r>
      <t xml:space="preserve">2. Colocar el nombre de </t>
    </r>
    <r>
      <rPr>
        <b/>
        <sz val="10"/>
        <color rgb="FF002060"/>
        <rFont val="Arial Unicode MS"/>
        <family val="2"/>
      </rPr>
      <t xml:space="preserve">CURSO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F18:F125</t>
    </r>
  </si>
  <si>
    <r>
      <t xml:space="preserve">3. Colocar el nombre de </t>
    </r>
    <r>
      <rPr>
        <b/>
        <sz val="10"/>
        <color rgb="FF002060"/>
        <rFont val="Arial Unicode MS"/>
        <family val="2"/>
      </rPr>
      <t xml:space="preserve">MENSUALIDAD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G18:G125</t>
    </r>
  </si>
  <si>
    <r>
      <t xml:space="preserve">4. Colocar el nombre de </t>
    </r>
    <r>
      <rPr>
        <b/>
        <sz val="10"/>
        <color rgb="FF002060"/>
        <rFont val="Arial Unicode MS"/>
        <family val="2"/>
      </rPr>
      <t xml:space="preserve">OBSERVACIÓN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I18:I125</t>
    </r>
  </si>
  <si>
    <t xml:space="preserve">contara para letras y numeros , contar para letras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</si>
</sst>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&quot;S/.&quot;\ * #,##0.00_ ;_ &quot;S/.&quot;\ * \-#,##0.00_ ;_ &quot;S/.&quot;\ * &quot;-&quot;??_ ;_ @_ "/>
    <numFmt numFmtId="165" formatCode="_-[$€]* #,##0.00_-;\-[$€]* #,##0.00_-;_-[$€]* &quot;-&quot;??_-;_-@_-"/>
    <numFmt numFmtId="166" formatCode="0.0000"/>
    <numFmt numFmtId="167" formatCode="&quot;S/.&quot;\ #,##0.00;[Red]&quot;S/.&quot;\ #,##0.00"/>
    <numFmt numFmtId="168" formatCode="00"/>
    <numFmt numFmtId="169" formatCode="00.00"/>
    <numFmt numFmtId="170" formatCode="&quot;S/.&quot;\ #,##0.00"/>
    <numFmt numFmtId="171" formatCode="0000"/>
    <numFmt numFmtId="172" formatCode="&quot;&quot;\&amp;&quot;NSP&quot;"/>
    <numFmt numFmtId="173" formatCode="#,##0.00\ &quot;€&quot;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2060"/>
      <name val="Bookman Old Style"/>
      <family val="1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sz val="10"/>
      <color rgb="FF002060"/>
      <name val="Bookman Old Style"/>
      <family val="1"/>
    </font>
    <font>
      <b/>
      <sz val="10"/>
      <color indexed="81"/>
      <name val="Arial Unicode MS"/>
      <family val="2"/>
    </font>
    <font>
      <b/>
      <sz val="10"/>
      <color rgb="FF002060"/>
      <name val="Arial Unicode MS"/>
      <family val="2"/>
    </font>
    <font>
      <sz val="10"/>
      <color rgb="FF002060"/>
      <name val="Arial Unicode MS"/>
      <family val="2"/>
    </font>
    <font>
      <b/>
      <sz val="12"/>
      <color rgb="FF002060"/>
      <name val="Arial Unicode MS"/>
      <family val="2"/>
    </font>
    <font>
      <b/>
      <sz val="12"/>
      <color theme="0"/>
      <name val="Arial Unicode MS"/>
      <family val="2"/>
    </font>
    <font>
      <u/>
      <sz val="10"/>
      <color theme="10"/>
      <name val="Arial"/>
      <family val="2"/>
    </font>
    <font>
      <sz val="11"/>
      <color rgb="FF002060"/>
      <name val="Arial Unicode MS"/>
      <family val="2"/>
    </font>
    <font>
      <b/>
      <sz val="10"/>
      <color theme="0"/>
      <name val="Arial Unicode MS"/>
      <family val="2"/>
    </font>
    <font>
      <sz val="10"/>
      <name val="Arial Unicode MS"/>
      <family val="2"/>
    </font>
    <font>
      <b/>
      <sz val="10"/>
      <color indexed="56"/>
      <name val="Arial Unicode MS"/>
      <family val="2"/>
    </font>
    <font>
      <sz val="11"/>
      <name val="Bookman Old Style"/>
      <family val="1"/>
    </font>
    <font>
      <b/>
      <sz val="11"/>
      <color theme="0"/>
      <name val="Arial Unicode MS"/>
      <family val="2"/>
    </font>
    <font>
      <sz val="10"/>
      <name val="Bookman Old Style"/>
      <family val="1"/>
    </font>
    <font>
      <b/>
      <sz val="14"/>
      <color rgb="FF002060"/>
      <name val="Arial Unicode MS"/>
      <family val="2"/>
    </font>
    <font>
      <sz val="10"/>
      <color indexed="81"/>
      <name val="Arial Unicode MS"/>
      <family val="2"/>
    </font>
    <font>
      <sz val="11"/>
      <color theme="0"/>
      <name val="Arial Unicode MS"/>
      <family val="2"/>
    </font>
    <font>
      <sz val="10"/>
      <color rgb="FF002060"/>
      <name val="Arial"/>
      <family val="2"/>
    </font>
    <font>
      <b/>
      <sz val="10"/>
      <name val="Arial Unicode MS"/>
      <family val="2"/>
    </font>
    <font>
      <b/>
      <sz val="10"/>
      <color indexed="9"/>
      <name val="Arial Unicode MS"/>
      <family val="2"/>
    </font>
    <font>
      <b/>
      <u/>
      <sz val="10"/>
      <color rgb="FF002060"/>
      <name val="Arial Unicode MS"/>
      <family val="2"/>
    </font>
    <font>
      <b/>
      <sz val="14"/>
      <color theme="0"/>
      <name val="Arial Unicode MS"/>
      <family val="2"/>
    </font>
    <font>
      <b/>
      <sz val="12"/>
      <color rgb="FFFF0000"/>
      <name val="Arial Unicode MS"/>
    </font>
    <font>
      <b/>
      <sz val="16"/>
      <color theme="0"/>
      <name val="Arial Unicode MS"/>
      <family val="2"/>
    </font>
    <font>
      <b/>
      <sz val="12"/>
      <color rgb="FF0070C0"/>
      <name val="Arial"/>
      <family val="2"/>
    </font>
    <font>
      <b/>
      <sz val="12"/>
      <color rgb="FF002060"/>
      <name val="Arial Unicode MS"/>
    </font>
    <font>
      <b/>
      <sz val="14"/>
      <color rgb="FF002060"/>
      <name val="Arial Unicode MS"/>
    </font>
    <font>
      <b/>
      <sz val="10"/>
      <color rgb="FF002060"/>
      <name val="Arial Unicode MS"/>
    </font>
    <font>
      <b/>
      <sz val="11"/>
      <color rgb="FF002060"/>
      <name val="Arial Unicode MS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4"/>
      <name val="Arial"/>
      <family val="2"/>
    </font>
    <font>
      <sz val="16"/>
      <name val="Bookman Old Style"/>
      <family val="1"/>
    </font>
    <font>
      <b/>
      <sz val="16"/>
      <color indexed="12"/>
      <name val="Bookman Old Style"/>
      <family val="1"/>
    </font>
    <font>
      <sz val="11"/>
      <color theme="1"/>
      <name val="Arial"/>
      <family val="2"/>
    </font>
    <font>
      <sz val="11"/>
      <color rgb="FF002060"/>
      <name val="Arial Unicode MS"/>
    </font>
    <font>
      <sz val="12"/>
      <color rgb="FF002060"/>
      <name val="Arial Unicode MS"/>
      <family val="2"/>
    </font>
    <font>
      <b/>
      <sz val="11"/>
      <color rgb="FF002060"/>
      <name val="Arial Unicode MS"/>
      <family val="2"/>
    </font>
    <font>
      <sz val="11"/>
      <color rgb="FF002060"/>
      <name val="Arial"/>
      <family val="2"/>
    </font>
    <font>
      <b/>
      <sz val="16"/>
      <color rgb="FF002060"/>
      <name val="Arial Unicode MS"/>
    </font>
    <font>
      <sz val="16"/>
      <color rgb="FF002060"/>
      <name val="Arial Unicode MS"/>
    </font>
    <font>
      <b/>
      <sz val="18"/>
      <color theme="0"/>
      <name val="Arial Unicode MS"/>
      <family val="2"/>
    </font>
    <font>
      <b/>
      <sz val="12"/>
      <color theme="0"/>
      <name val="Arial Unicode MS"/>
    </font>
    <font>
      <b/>
      <sz val="11"/>
      <color rgb="FF002060"/>
      <name val="Arial"/>
      <family val="2"/>
    </font>
    <font>
      <b/>
      <sz val="14"/>
      <color rgb="FFC00000"/>
      <name val="Arial Unicode MS"/>
      <family val="2"/>
    </font>
    <font>
      <sz val="12"/>
      <color rgb="FF002060"/>
      <name val="Arial Unicode MS"/>
    </font>
    <font>
      <sz val="10"/>
      <color indexed="81"/>
      <name val="Arial Unicode MS"/>
    </font>
    <font>
      <b/>
      <sz val="16"/>
      <color rgb="FF002060"/>
      <name val="Arial Unicode MS"/>
      <family val="2"/>
    </font>
    <font>
      <sz val="16"/>
      <name val="Arial"/>
      <family val="2"/>
    </font>
    <font>
      <b/>
      <sz val="16"/>
      <color rgb="FF00206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darkGray">
        <fgColor indexed="9"/>
        <bgColor theme="0"/>
      </patternFill>
    </fill>
    <fill>
      <patternFill patternType="solid">
        <fgColor theme="0"/>
        <bgColor indexed="15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24"/>
      </patternFill>
    </fill>
    <fill>
      <patternFill patternType="solid">
        <fgColor theme="1"/>
        <bgColor theme="0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medium">
        <color theme="1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/>
      <right style="medium">
        <color theme="1"/>
      </right>
      <top style="medium">
        <color theme="1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C00000"/>
      </left>
      <right style="hair">
        <color rgb="FFC00000"/>
      </right>
      <top style="medium">
        <color rgb="FFC00000"/>
      </top>
      <bottom style="medium">
        <color theme="1"/>
      </bottom>
      <diagonal/>
    </border>
    <border>
      <left style="hair">
        <color rgb="FFC00000"/>
      </left>
      <right style="hair">
        <color rgb="FFC00000"/>
      </right>
      <top style="medium">
        <color rgb="FFC00000"/>
      </top>
      <bottom style="medium">
        <color theme="1"/>
      </bottom>
      <diagonal/>
    </border>
    <border>
      <left style="hair">
        <color rgb="FFC00000"/>
      </left>
      <right style="medium">
        <color rgb="FFC00000"/>
      </right>
      <top style="medium">
        <color rgb="FFC00000"/>
      </top>
      <bottom style="medium">
        <color theme="1"/>
      </bottom>
      <diagonal/>
    </border>
  </borders>
  <cellStyleXfs count="26">
    <xf numFmtId="0" fontId="0" fillId="0" borderId="0"/>
    <xf numFmtId="16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4" fillId="0" borderId="0"/>
    <xf numFmtId="0" fontId="3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0" fontId="2" fillId="0" borderId="0"/>
    <xf numFmtId="0" fontId="1" fillId="0" borderId="0"/>
    <xf numFmtId="0" fontId="7" fillId="0" borderId="0"/>
    <xf numFmtId="0" fontId="7" fillId="0" borderId="0"/>
    <xf numFmtId="0" fontId="19" fillId="0" borderId="0" applyNumberFormat="0" applyFill="0" applyBorder="0" applyAlignment="0" applyProtection="0"/>
  </cellStyleXfs>
  <cellXfs count="298">
    <xf numFmtId="0" fontId="0" fillId="0" borderId="0" xfId="0"/>
    <xf numFmtId="0" fontId="16" fillId="3" borderId="0" xfId="17" applyFont="1" applyFill="1" applyProtection="1">
      <protection locked="0"/>
    </xf>
    <xf numFmtId="0" fontId="20" fillId="3" borderId="0" xfId="17" applyFont="1" applyFill="1" applyProtection="1">
      <protection locked="0"/>
    </xf>
    <xf numFmtId="0" fontId="22" fillId="3" borderId="0" xfId="0" applyFont="1" applyFill="1" applyProtection="1">
      <protection locked="0"/>
    </xf>
    <xf numFmtId="0" fontId="23" fillId="3" borderId="0" xfId="0" applyFont="1" applyFill="1" applyProtection="1">
      <protection locked="0"/>
    </xf>
    <xf numFmtId="0" fontId="24" fillId="3" borderId="0" xfId="0" applyFont="1" applyFill="1" applyProtection="1">
      <protection locked="0"/>
    </xf>
    <xf numFmtId="0" fontId="15" fillId="3" borderId="9" xfId="0" applyFont="1" applyFill="1" applyBorder="1" applyProtection="1">
      <protection locked="0"/>
    </xf>
    <xf numFmtId="0" fontId="16" fillId="3" borderId="0" xfId="0" applyFont="1" applyFill="1" applyProtection="1">
      <protection locked="0"/>
    </xf>
    <xf numFmtId="0" fontId="15" fillId="3" borderId="5" xfId="0" applyFont="1" applyFill="1" applyBorder="1" applyProtection="1">
      <protection locked="0"/>
    </xf>
    <xf numFmtId="0" fontId="16" fillId="3" borderId="11" xfId="0" applyFont="1" applyFill="1" applyBorder="1" applyProtection="1">
      <protection locked="0"/>
    </xf>
    <xf numFmtId="0" fontId="16" fillId="3" borderId="3" xfId="19" applyFont="1" applyFill="1" applyBorder="1" applyAlignment="1" applyProtection="1">
      <alignment horizontal="left" vertical="center"/>
      <protection locked="0"/>
    </xf>
    <xf numFmtId="0" fontId="10" fillId="3" borderId="4" xfId="19" applyFont="1" applyFill="1" applyBorder="1" applyProtection="1">
      <protection locked="0"/>
    </xf>
    <xf numFmtId="0" fontId="10" fillId="3" borderId="2" xfId="19" applyFont="1" applyFill="1" applyBorder="1" applyProtection="1">
      <protection locked="0"/>
    </xf>
    <xf numFmtId="0" fontId="26" fillId="3" borderId="0" xfId="0" applyFont="1" applyFill="1" applyProtection="1">
      <protection locked="0"/>
    </xf>
    <xf numFmtId="0" fontId="13" fillId="3" borderId="0" xfId="0" applyFont="1" applyFill="1" applyProtection="1">
      <protection locked="0"/>
    </xf>
    <xf numFmtId="0" fontId="26" fillId="3" borderId="0" xfId="0" applyFont="1" applyFill="1" applyAlignment="1" applyProtection="1">
      <alignment horizontal="center"/>
      <protection locked="0"/>
    </xf>
    <xf numFmtId="0" fontId="22" fillId="3" borderId="0" xfId="10" applyFont="1" applyFill="1" applyProtection="1">
      <protection locked="0"/>
    </xf>
    <xf numFmtId="0" fontId="23" fillId="3" borderId="0" xfId="10" applyFont="1" applyFill="1" applyProtection="1">
      <protection locked="0"/>
    </xf>
    <xf numFmtId="0" fontId="24" fillId="3" borderId="0" xfId="10" applyFont="1" applyFill="1" applyProtection="1">
      <protection locked="0"/>
    </xf>
    <xf numFmtId="0" fontId="15" fillId="3" borderId="9" xfId="10" applyFont="1" applyFill="1" applyBorder="1" applyProtection="1">
      <protection locked="0"/>
    </xf>
    <xf numFmtId="0" fontId="16" fillId="3" borderId="0" xfId="10" applyFont="1" applyFill="1" applyProtection="1">
      <protection locked="0"/>
    </xf>
    <xf numFmtId="0" fontId="15" fillId="3" borderId="5" xfId="10" applyFont="1" applyFill="1" applyBorder="1" applyProtection="1">
      <protection locked="0"/>
    </xf>
    <xf numFmtId="0" fontId="16" fillId="3" borderId="11" xfId="10" applyFont="1" applyFill="1" applyBorder="1" applyProtection="1">
      <protection locked="0"/>
    </xf>
    <xf numFmtId="0" fontId="15" fillId="3" borderId="5" xfId="10" applyFont="1" applyFill="1" applyBorder="1" applyAlignment="1" applyProtection="1">
      <alignment vertical="center"/>
      <protection locked="0"/>
    </xf>
    <xf numFmtId="0" fontId="15" fillId="3" borderId="9" xfId="10" applyFont="1" applyFill="1" applyBorder="1" applyAlignment="1" applyProtection="1">
      <alignment horizontal="left"/>
      <protection locked="0"/>
    </xf>
    <xf numFmtId="0" fontId="10" fillId="3" borderId="0" xfId="19" applyFont="1" applyFill="1" applyProtection="1">
      <protection locked="0"/>
    </xf>
    <xf numFmtId="168" fontId="16" fillId="3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16" fillId="3" borderId="3" xfId="0" applyFont="1" applyFill="1" applyBorder="1" applyAlignment="1" applyProtection="1">
      <alignment horizontal="left" vertical="center"/>
      <protection locked="0"/>
    </xf>
    <xf numFmtId="0" fontId="21" fillId="4" borderId="1" xfId="10" applyFont="1" applyFill="1" applyBorder="1" applyAlignment="1" applyProtection="1">
      <alignment horizontal="center" vertical="center"/>
      <protection locked="0"/>
    </xf>
    <xf numFmtId="0" fontId="16" fillId="3" borderId="1" xfId="10" applyFont="1" applyFill="1" applyBorder="1" applyAlignment="1" applyProtection="1">
      <alignment horizontal="center" vertical="center"/>
      <protection locked="0"/>
    </xf>
    <xf numFmtId="170" fontId="16" fillId="3" borderId="1" xfId="10" applyNumberFormat="1" applyFont="1" applyFill="1" applyBorder="1" applyAlignment="1" applyProtection="1">
      <alignment horizontal="center" vertical="center"/>
      <protection locked="0"/>
    </xf>
    <xf numFmtId="0" fontId="7" fillId="3" borderId="0" xfId="10" applyFill="1" applyProtection="1">
      <protection locked="0"/>
    </xf>
    <xf numFmtId="0" fontId="7" fillId="3" borderId="10" xfId="10" applyFill="1" applyBorder="1" applyProtection="1">
      <protection locked="0"/>
    </xf>
    <xf numFmtId="0" fontId="7" fillId="3" borderId="11" xfId="10" applyFill="1" applyBorder="1" applyProtection="1">
      <protection locked="0"/>
    </xf>
    <xf numFmtId="0" fontId="7" fillId="3" borderId="12" xfId="10" applyFill="1" applyBorder="1" applyProtection="1">
      <protection locked="0"/>
    </xf>
    <xf numFmtId="0" fontId="7" fillId="3" borderId="4" xfId="10" applyFill="1" applyBorder="1" applyProtection="1">
      <protection locked="0"/>
    </xf>
    <xf numFmtId="0" fontId="7" fillId="3" borderId="2" xfId="10" applyFill="1" applyBorder="1" applyProtection="1">
      <protection locked="0"/>
    </xf>
    <xf numFmtId="0" fontId="16" fillId="3" borderId="1" xfId="24" applyFont="1" applyFill="1" applyBorder="1" applyAlignment="1" applyProtection="1">
      <alignment vertical="center"/>
      <protection locked="0"/>
    </xf>
    <xf numFmtId="0" fontId="16" fillId="3" borderId="1" xfId="24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vertical="center"/>
      <protection locked="0"/>
    </xf>
    <xf numFmtId="170" fontId="16" fillId="0" borderId="1" xfId="0" applyNumberFormat="1" applyFont="1" applyBorder="1" applyAlignment="1" applyProtection="1">
      <alignment horizontal="center" vertical="center"/>
      <protection locked="0"/>
    </xf>
    <xf numFmtId="170" fontId="16" fillId="3" borderId="3" xfId="0" applyNumberFormat="1" applyFont="1" applyFill="1" applyBorder="1" applyAlignment="1" applyProtection="1">
      <alignment horizontal="center" vertical="center"/>
      <protection locked="0"/>
    </xf>
    <xf numFmtId="170" fontId="16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3" xfId="10" applyFont="1" applyFill="1" applyBorder="1" applyAlignment="1" applyProtection="1">
      <alignment vertical="center"/>
      <protection locked="0"/>
    </xf>
    <xf numFmtId="0" fontId="16" fillId="3" borderId="4" xfId="0" applyFont="1" applyFill="1" applyBorder="1" applyAlignment="1" applyProtection="1">
      <alignment horizontal="left" vertical="center"/>
      <protection locked="0"/>
    </xf>
    <xf numFmtId="0" fontId="16" fillId="3" borderId="11" xfId="0" applyFont="1" applyFill="1" applyBorder="1" applyAlignment="1" applyProtection="1">
      <alignment horizontal="left" vertical="center"/>
      <protection locked="0"/>
    </xf>
    <xf numFmtId="0" fontId="31" fillId="3" borderId="2" xfId="10" applyFont="1" applyFill="1" applyBorder="1" applyAlignment="1" applyProtection="1">
      <alignment horizontal="center" vertical="center"/>
      <protection locked="0"/>
    </xf>
    <xf numFmtId="0" fontId="31" fillId="3" borderId="0" xfId="10" applyFont="1" applyFill="1" applyAlignment="1" applyProtection="1">
      <alignment horizontal="center" vertical="center"/>
      <protection locked="0"/>
    </xf>
    <xf numFmtId="0" fontId="31" fillId="3" borderId="1" xfId="1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3" borderId="3" xfId="10" applyFont="1" applyFill="1" applyBorder="1" applyAlignment="1" applyProtection="1">
      <alignment vertical="center"/>
      <protection locked="0"/>
    </xf>
    <xf numFmtId="0" fontId="16" fillId="3" borderId="4" xfId="10" applyFont="1" applyFill="1" applyBorder="1" applyAlignment="1" applyProtection="1">
      <alignment vertical="center"/>
      <protection locked="0"/>
    </xf>
    <xf numFmtId="0" fontId="21" fillId="3" borderId="0" xfId="10" applyFont="1" applyFill="1" applyAlignment="1" applyProtection="1">
      <alignment horizontal="center" vertical="center"/>
      <protection locked="0"/>
    </xf>
    <xf numFmtId="0" fontId="16" fillId="3" borderId="3" xfId="10" applyFont="1" applyFill="1" applyBorder="1" applyAlignment="1" applyProtection="1">
      <alignment horizontal="left" vertical="center" wrapText="1"/>
      <protection locked="0"/>
    </xf>
    <xf numFmtId="0" fontId="16" fillId="3" borderId="4" xfId="10" applyFont="1" applyFill="1" applyBorder="1" applyAlignment="1" applyProtection="1">
      <alignment horizontal="left" vertical="center" wrapText="1"/>
      <protection locked="0"/>
    </xf>
    <xf numFmtId="0" fontId="16" fillId="3" borderId="2" xfId="10" applyFont="1" applyFill="1" applyBorder="1" applyAlignment="1" applyProtection="1">
      <alignment horizontal="left" vertical="center" wrapText="1"/>
      <protection locked="0"/>
    </xf>
    <xf numFmtId="170" fontId="16" fillId="3" borderId="0" xfId="10" applyNumberFormat="1" applyFont="1" applyFill="1" applyAlignment="1" applyProtection="1">
      <alignment horizontal="center" vertical="center"/>
      <protection locked="0"/>
    </xf>
    <xf numFmtId="0" fontId="16" fillId="3" borderId="6" xfId="10" applyFont="1" applyFill="1" applyBorder="1" applyAlignment="1" applyProtection="1">
      <alignment horizontal="left" vertical="center"/>
      <protection locked="0"/>
    </xf>
    <xf numFmtId="0" fontId="7" fillId="3" borderId="7" xfId="10" applyFill="1" applyBorder="1" applyProtection="1">
      <protection locked="0"/>
    </xf>
    <xf numFmtId="0" fontId="7" fillId="3" borderId="8" xfId="10" applyFill="1" applyBorder="1" applyProtection="1">
      <protection locked="0"/>
    </xf>
    <xf numFmtId="0" fontId="16" fillId="3" borderId="9" xfId="10" applyFont="1" applyFill="1" applyBorder="1" applyAlignment="1" applyProtection="1">
      <alignment horizontal="left" vertical="center"/>
      <protection locked="0"/>
    </xf>
    <xf numFmtId="0" fontId="16" fillId="3" borderId="5" xfId="10" applyFont="1" applyFill="1" applyBorder="1" applyAlignment="1" applyProtection="1">
      <alignment horizontal="left" vertical="center"/>
      <protection locked="0"/>
    </xf>
    <xf numFmtId="0" fontId="16" fillId="5" borderId="1" xfId="22" applyFont="1" applyFill="1" applyBorder="1" applyAlignment="1" applyProtection="1">
      <alignment horizontal="center" vertical="center"/>
      <protection locked="0"/>
    </xf>
    <xf numFmtId="2" fontId="16" fillId="5" borderId="1" xfId="22" applyNumberFormat="1" applyFont="1" applyFill="1" applyBorder="1" applyAlignment="1" applyProtection="1">
      <alignment horizontal="center" vertical="center"/>
      <protection locked="0"/>
    </xf>
    <xf numFmtId="2" fontId="16" fillId="6" borderId="1" xfId="22" applyNumberFormat="1" applyFont="1" applyFill="1" applyBorder="1" applyAlignment="1" applyProtection="1">
      <alignment horizontal="center" vertical="center"/>
      <protection locked="0"/>
    </xf>
    <xf numFmtId="0" fontId="16" fillId="6" borderId="1" xfId="22" applyFont="1" applyFill="1" applyBorder="1" applyAlignment="1" applyProtection="1">
      <alignment horizontal="center" vertical="center"/>
      <protection locked="0"/>
    </xf>
    <xf numFmtId="171" fontId="16" fillId="6" borderId="1" xfId="22" applyNumberFormat="1" applyFont="1" applyFill="1" applyBorder="1" applyAlignment="1" applyProtection="1">
      <alignment horizontal="center" vertical="center"/>
      <protection locked="0"/>
    </xf>
    <xf numFmtId="0" fontId="16" fillId="7" borderId="1" xfId="22" applyFont="1" applyFill="1" applyBorder="1" applyAlignment="1" applyProtection="1">
      <alignment horizontal="left" vertical="center"/>
      <protection locked="0"/>
    </xf>
    <xf numFmtId="0" fontId="16" fillId="7" borderId="1" xfId="22" applyFont="1" applyFill="1" applyBorder="1" applyAlignment="1" applyProtection="1">
      <alignment horizontal="center" vertical="center"/>
      <protection locked="0"/>
    </xf>
    <xf numFmtId="0" fontId="33" fillId="0" borderId="0" xfId="23" applyFont="1" applyAlignment="1" applyProtection="1">
      <alignment vertical="center"/>
      <protection locked="0"/>
    </xf>
    <xf numFmtId="0" fontId="30" fillId="3" borderId="0" xfId="10" applyFont="1" applyFill="1" applyProtection="1">
      <protection locked="0"/>
    </xf>
    <xf numFmtId="0" fontId="16" fillId="3" borderId="2" xfId="1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16" fillId="3" borderId="3" xfId="0" applyFont="1" applyFill="1" applyBorder="1" applyAlignment="1" applyProtection="1">
      <alignment vertical="center"/>
      <protection locked="0"/>
    </xf>
    <xf numFmtId="0" fontId="16" fillId="3" borderId="2" xfId="0" applyFont="1" applyFill="1" applyBorder="1" applyAlignment="1" applyProtection="1">
      <alignment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vertical="center"/>
      <protection locked="0"/>
    </xf>
    <xf numFmtId="0" fontId="0" fillId="3" borderId="2" xfId="0" applyFill="1" applyBorder="1" applyProtection="1">
      <protection locked="0"/>
    </xf>
    <xf numFmtId="0" fontId="7" fillId="3" borderId="0" xfId="0" applyFont="1" applyFill="1" applyProtection="1">
      <protection locked="0"/>
    </xf>
    <xf numFmtId="0" fontId="16" fillId="3" borderId="14" xfId="0" applyFont="1" applyFill="1" applyBorder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2" fontId="0" fillId="3" borderId="0" xfId="0" applyNumberFormat="1" applyFill="1" applyProtection="1">
      <protection locked="0"/>
    </xf>
    <xf numFmtId="0" fontId="15" fillId="3" borderId="0" xfId="17" applyFont="1" applyFill="1" applyProtection="1">
      <protection locked="0"/>
    </xf>
    <xf numFmtId="0" fontId="16" fillId="3" borderId="0" xfId="10" applyFont="1" applyFill="1"/>
    <xf numFmtId="173" fontId="16" fillId="3" borderId="0" xfId="10" applyNumberFormat="1" applyFont="1" applyFill="1"/>
    <xf numFmtId="0" fontId="16" fillId="3" borderId="1" xfId="10" applyFont="1" applyFill="1" applyBorder="1" applyAlignment="1">
      <alignment horizontal="center" vertical="center"/>
    </xf>
    <xf numFmtId="170" fontId="16" fillId="3" borderId="0" xfId="10" applyNumberFormat="1" applyFont="1" applyFill="1"/>
    <xf numFmtId="0" fontId="16" fillId="3" borderId="2" xfId="10" applyFont="1" applyFill="1" applyBorder="1" applyAlignment="1">
      <alignment horizontal="center" vertical="center"/>
    </xf>
    <xf numFmtId="0" fontId="16" fillId="3" borderId="0" xfId="10" applyFont="1" applyFill="1" applyAlignment="1" applyProtection="1">
      <alignment horizontal="center" vertical="center"/>
      <protection locked="0"/>
    </xf>
    <xf numFmtId="0" fontId="16" fillId="3" borderId="0" xfId="10" applyFont="1" applyFill="1" applyAlignment="1">
      <alignment horizontal="center" vertical="center"/>
    </xf>
    <xf numFmtId="0" fontId="30" fillId="3" borderId="7" xfId="10" applyFont="1" applyFill="1" applyBorder="1" applyAlignment="1" applyProtection="1">
      <alignment horizontal="center" vertical="center"/>
      <protection locked="0"/>
    </xf>
    <xf numFmtId="0" fontId="7" fillId="0" borderId="0" xfId="10" applyProtection="1">
      <protection locked="0"/>
    </xf>
    <xf numFmtId="170" fontId="16" fillId="2" borderId="0" xfId="10" applyNumberFormat="1" applyFont="1" applyFill="1" applyAlignment="1" applyProtection="1">
      <alignment horizontal="center" vertical="center"/>
      <protection locked="0"/>
    </xf>
    <xf numFmtId="0" fontId="39" fillId="5" borderId="1" xfId="22" applyFont="1" applyFill="1" applyBorder="1" applyAlignment="1" applyProtection="1">
      <alignment horizontal="center" vertical="center"/>
      <protection locked="0"/>
    </xf>
    <xf numFmtId="1" fontId="27" fillId="2" borderId="1" xfId="10" applyNumberFormat="1" applyFont="1" applyFill="1" applyBorder="1" applyAlignment="1" applyProtection="1">
      <alignment horizontal="center" vertical="center"/>
      <protection locked="0"/>
    </xf>
    <xf numFmtId="170" fontId="39" fillId="2" borderId="0" xfId="10" applyNumberFormat="1" applyFont="1" applyFill="1" applyAlignment="1" applyProtection="1">
      <alignment horizontal="center" vertical="center"/>
      <protection locked="0"/>
    </xf>
    <xf numFmtId="169" fontId="38" fillId="3" borderId="1" xfId="0" applyNumberFormat="1" applyFont="1" applyFill="1" applyBorder="1" applyAlignment="1" applyProtection="1">
      <alignment horizontal="center" vertical="center"/>
      <protection locked="0"/>
    </xf>
    <xf numFmtId="0" fontId="25" fillId="8" borderId="0" xfId="19" applyFont="1" applyFill="1" applyAlignment="1" applyProtection="1">
      <alignment horizontal="center" vertical="center"/>
      <protection locked="0"/>
    </xf>
    <xf numFmtId="0" fontId="30" fillId="3" borderId="0" xfId="10" applyFont="1" applyFill="1" applyAlignment="1" applyProtection="1">
      <alignment horizontal="center" vertical="center"/>
      <protection locked="0"/>
    </xf>
    <xf numFmtId="0" fontId="44" fillId="3" borderId="0" xfId="10" applyFont="1" applyFill="1" applyProtection="1">
      <protection locked="0"/>
    </xf>
    <xf numFmtId="0" fontId="16" fillId="9" borderId="0" xfId="17" applyFont="1" applyFill="1" applyProtection="1">
      <protection locked="0"/>
    </xf>
    <xf numFmtId="0" fontId="12" fillId="9" borderId="0" xfId="0" applyFont="1" applyFill="1" applyProtection="1">
      <protection locked="0"/>
    </xf>
    <xf numFmtId="0" fontId="11" fillId="9" borderId="0" xfId="0" applyFont="1" applyFill="1" applyAlignment="1" applyProtection="1">
      <alignment horizontal="left"/>
      <protection locked="0"/>
    </xf>
    <xf numFmtId="0" fontId="18" fillId="9" borderId="0" xfId="0" applyFont="1" applyFill="1" applyAlignment="1" applyProtection="1">
      <alignment vertical="center"/>
      <protection locked="0"/>
    </xf>
    <xf numFmtId="0" fontId="45" fillId="9" borderId="0" xfId="0" applyFont="1" applyFill="1" applyProtection="1">
      <protection locked="0"/>
    </xf>
    <xf numFmtId="0" fontId="46" fillId="9" borderId="0" xfId="0" applyFont="1" applyFill="1" applyAlignment="1" applyProtection="1">
      <alignment horizontal="left"/>
      <protection locked="0"/>
    </xf>
    <xf numFmtId="0" fontId="36" fillId="9" borderId="0" xfId="0" applyFont="1" applyFill="1" applyAlignment="1" applyProtection="1">
      <alignment vertical="center"/>
      <protection locked="0"/>
    </xf>
    <xf numFmtId="0" fontId="25" fillId="9" borderId="1" xfId="0" applyFont="1" applyFill="1" applyBorder="1" applyAlignment="1" applyProtection="1">
      <alignment horizontal="center" vertical="center"/>
      <protection locked="0"/>
    </xf>
    <xf numFmtId="0" fontId="25" fillId="9" borderId="16" xfId="0" applyFont="1" applyFill="1" applyBorder="1" applyAlignment="1" applyProtection="1">
      <alignment horizontal="center" vertical="center"/>
      <protection locked="0"/>
    </xf>
    <xf numFmtId="0" fontId="25" fillId="9" borderId="16" xfId="0" applyFont="1" applyFill="1" applyBorder="1" applyAlignment="1" applyProtection="1">
      <alignment horizontal="center" vertical="center" wrapText="1"/>
      <protection locked="0"/>
    </xf>
    <xf numFmtId="0" fontId="25" fillId="9" borderId="17" xfId="0" applyFont="1" applyFill="1" applyBorder="1" applyAlignment="1" applyProtection="1">
      <alignment horizontal="center" vertical="center" wrapText="1"/>
      <protection locked="0"/>
    </xf>
    <xf numFmtId="0" fontId="25" fillId="9" borderId="15" xfId="0" applyFont="1" applyFill="1" applyBorder="1" applyAlignment="1" applyProtection="1">
      <alignment horizontal="center" vertical="center"/>
      <protection locked="0"/>
    </xf>
    <xf numFmtId="0" fontId="47" fillId="3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 vertical="center" wrapText="1"/>
      <protection locked="0"/>
    </xf>
    <xf numFmtId="0" fontId="21" fillId="9" borderId="23" xfId="0" applyFont="1" applyFill="1" applyBorder="1" applyAlignment="1" applyProtection="1">
      <alignment horizontal="center" vertical="center" wrapText="1"/>
      <protection locked="0"/>
    </xf>
    <xf numFmtId="0" fontId="21" fillId="9" borderId="24" xfId="0" applyFont="1" applyFill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left" vertical="center"/>
      <protection locked="0"/>
    </xf>
    <xf numFmtId="14" fontId="16" fillId="0" borderId="26" xfId="0" applyNumberFormat="1" applyFont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left" vertical="center"/>
      <protection locked="0"/>
    </xf>
    <xf numFmtId="14" fontId="16" fillId="0" borderId="29" xfId="0" applyNumberFormat="1" applyFont="1" applyBorder="1" applyAlignment="1" applyProtection="1">
      <alignment horizontal="center" vertical="center"/>
      <protection locked="0"/>
    </xf>
    <xf numFmtId="0" fontId="21" fillId="9" borderId="1" xfId="10" applyFont="1" applyFill="1" applyBorder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16" fillId="11" borderId="0" xfId="0" applyFont="1" applyFill="1" applyAlignment="1" applyProtection="1">
      <alignment horizontal="center" vertical="center"/>
      <protection locked="0"/>
    </xf>
    <xf numFmtId="0" fontId="48" fillId="3" borderId="18" xfId="0" applyFont="1" applyFill="1" applyBorder="1" applyAlignment="1" applyProtection="1">
      <alignment vertical="center"/>
      <protection locked="0"/>
    </xf>
    <xf numFmtId="0" fontId="48" fillId="3" borderId="1" xfId="0" applyFont="1" applyFill="1" applyBorder="1" applyAlignment="1" applyProtection="1">
      <alignment horizontal="center" vertical="center"/>
      <protection locked="0"/>
    </xf>
    <xf numFmtId="0" fontId="48" fillId="3" borderId="20" xfId="0" applyFont="1" applyFill="1" applyBorder="1" applyAlignment="1" applyProtection="1">
      <alignment vertical="center"/>
      <protection locked="0"/>
    </xf>
    <xf numFmtId="0" fontId="48" fillId="3" borderId="21" xfId="0" applyFont="1" applyFill="1" applyBorder="1" applyAlignment="1" applyProtection="1">
      <alignment horizontal="center" vertical="center"/>
      <protection locked="0"/>
    </xf>
    <xf numFmtId="0" fontId="49" fillId="3" borderId="3" xfId="19" applyFont="1" applyFill="1" applyBorder="1" applyAlignment="1" applyProtection="1">
      <alignment horizontal="left" vertical="center"/>
      <protection locked="0"/>
    </xf>
    <xf numFmtId="0" fontId="50" fillId="3" borderId="9" xfId="0" applyFont="1" applyFill="1" applyBorder="1" applyProtection="1">
      <protection locked="0"/>
    </xf>
    <xf numFmtId="0" fontId="20" fillId="3" borderId="0" xfId="0" applyFont="1" applyFill="1" applyProtection="1">
      <protection locked="0"/>
    </xf>
    <xf numFmtId="0" fontId="51" fillId="3" borderId="0" xfId="0" applyFont="1" applyFill="1" applyProtection="1">
      <protection locked="0"/>
    </xf>
    <xf numFmtId="0" fontId="51" fillId="3" borderId="10" xfId="0" applyFont="1" applyFill="1" applyBorder="1" applyProtection="1">
      <protection locked="0"/>
    </xf>
    <xf numFmtId="0" fontId="50" fillId="3" borderId="5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51" fillId="3" borderId="11" xfId="0" applyFont="1" applyFill="1" applyBorder="1" applyProtection="1">
      <protection locked="0"/>
    </xf>
    <xf numFmtId="0" fontId="51" fillId="3" borderId="12" xfId="0" applyFont="1" applyFill="1" applyBorder="1" applyProtection="1">
      <protection locked="0"/>
    </xf>
    <xf numFmtId="0" fontId="20" fillId="3" borderId="0" xfId="0" applyFont="1" applyFill="1" applyAlignment="1" applyProtection="1">
      <alignment vertical="center"/>
      <protection locked="0"/>
    </xf>
    <xf numFmtId="0" fontId="51" fillId="11" borderId="0" xfId="0" applyFont="1" applyFill="1" applyProtection="1">
      <protection locked="0"/>
    </xf>
    <xf numFmtId="0" fontId="30" fillId="3" borderId="10" xfId="0" applyFont="1" applyFill="1" applyBorder="1" applyProtection="1">
      <protection locked="0"/>
    </xf>
    <xf numFmtId="0" fontId="30" fillId="3" borderId="11" xfId="0" applyFont="1" applyFill="1" applyBorder="1" applyProtection="1">
      <protection locked="0"/>
    </xf>
    <xf numFmtId="0" fontId="30" fillId="3" borderId="12" xfId="0" applyFont="1" applyFill="1" applyBorder="1" applyProtection="1">
      <protection locked="0"/>
    </xf>
    <xf numFmtId="0" fontId="20" fillId="3" borderId="3" xfId="0" applyFont="1" applyFill="1" applyBorder="1" applyAlignment="1" applyProtection="1">
      <alignment vertical="center"/>
      <protection locked="0"/>
    </xf>
    <xf numFmtId="0" fontId="52" fillId="3" borderId="1" xfId="0" applyFont="1" applyFill="1" applyBorder="1" applyAlignment="1" applyProtection="1">
      <alignment horizontal="center" vertical="center"/>
      <protection locked="0"/>
    </xf>
    <xf numFmtId="170" fontId="52" fillId="3" borderId="1" xfId="0" applyNumberFormat="1" applyFont="1" applyFill="1" applyBorder="1" applyAlignment="1" applyProtection="1">
      <alignment horizontal="center" vertical="center"/>
      <protection locked="0"/>
    </xf>
    <xf numFmtId="170" fontId="52" fillId="2" borderId="1" xfId="0" applyNumberFormat="1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/>
      <protection locked="0"/>
    </xf>
    <xf numFmtId="0" fontId="53" fillId="3" borderId="1" xfId="0" applyFont="1" applyFill="1" applyBorder="1" applyAlignment="1" applyProtection="1">
      <alignment horizontal="center" vertical="center"/>
      <protection locked="0"/>
    </xf>
    <xf numFmtId="0" fontId="34" fillId="9" borderId="0" xfId="0" applyFont="1" applyFill="1" applyAlignment="1" applyProtection="1">
      <alignment vertical="center"/>
      <protection locked="0"/>
    </xf>
    <xf numFmtId="0" fontId="54" fillId="9" borderId="0" xfId="0" applyFont="1" applyFill="1" applyAlignment="1" applyProtection="1">
      <alignment horizontal="right" vertical="center"/>
      <protection locked="0"/>
    </xf>
    <xf numFmtId="0" fontId="20" fillId="3" borderId="3" xfId="19" applyFont="1" applyFill="1" applyBorder="1" applyAlignment="1" applyProtection="1">
      <alignment horizontal="left" vertical="center"/>
      <protection locked="0"/>
    </xf>
    <xf numFmtId="0" fontId="17" fillId="3" borderId="9" xfId="10" applyFont="1" applyFill="1" applyBorder="1" applyProtection="1">
      <protection locked="0"/>
    </xf>
    <xf numFmtId="0" fontId="50" fillId="3" borderId="5" xfId="10" applyFont="1" applyFill="1" applyBorder="1" applyProtection="1">
      <protection locked="0"/>
    </xf>
    <xf numFmtId="0" fontId="16" fillId="3" borderId="25" xfId="10" applyFont="1" applyFill="1" applyBorder="1" applyAlignment="1" applyProtection="1">
      <alignment horizontal="center" vertical="center"/>
      <protection locked="0"/>
    </xf>
    <xf numFmtId="0" fontId="16" fillId="3" borderId="26" xfId="10" applyFont="1" applyFill="1" applyBorder="1" applyAlignment="1" applyProtection="1">
      <alignment horizontal="left" vertical="center"/>
      <protection locked="0"/>
    </xf>
    <xf numFmtId="0" fontId="16" fillId="3" borderId="26" xfId="10" applyFont="1" applyFill="1" applyBorder="1" applyAlignment="1" applyProtection="1">
      <alignment horizontal="center" vertical="center"/>
      <protection locked="0"/>
    </xf>
    <xf numFmtId="168" fontId="16" fillId="3" borderId="26" xfId="10" applyNumberFormat="1" applyFont="1" applyFill="1" applyBorder="1" applyAlignment="1" applyProtection="1">
      <alignment horizontal="center" vertical="center"/>
      <protection locked="0"/>
    </xf>
    <xf numFmtId="169" fontId="16" fillId="3" borderId="27" xfId="10" applyNumberFormat="1" applyFont="1" applyFill="1" applyBorder="1" applyAlignment="1" applyProtection="1">
      <alignment horizontal="center" vertical="center"/>
      <protection locked="0"/>
    </xf>
    <xf numFmtId="172" fontId="16" fillId="3" borderId="26" xfId="10" applyNumberFormat="1" applyFont="1" applyFill="1" applyBorder="1" applyAlignment="1" applyProtection="1">
      <alignment horizontal="center" vertical="center"/>
      <protection locked="0"/>
    </xf>
    <xf numFmtId="0" fontId="16" fillId="3" borderId="28" xfId="10" applyFont="1" applyFill="1" applyBorder="1" applyAlignment="1" applyProtection="1">
      <alignment horizontal="center" vertical="center"/>
      <protection locked="0"/>
    </xf>
    <xf numFmtId="0" fontId="16" fillId="3" borderId="29" xfId="10" applyFont="1" applyFill="1" applyBorder="1" applyAlignment="1" applyProtection="1">
      <alignment horizontal="left" vertical="center"/>
      <protection locked="0"/>
    </xf>
    <xf numFmtId="0" fontId="16" fillId="3" borderId="29" xfId="10" applyFont="1" applyFill="1" applyBorder="1" applyAlignment="1" applyProtection="1">
      <alignment horizontal="center" vertical="center"/>
      <protection locked="0"/>
    </xf>
    <xf numFmtId="168" fontId="16" fillId="3" borderId="29" xfId="10" applyNumberFormat="1" applyFont="1" applyFill="1" applyBorder="1" applyAlignment="1" applyProtection="1">
      <alignment horizontal="center" vertical="center"/>
      <protection locked="0"/>
    </xf>
    <xf numFmtId="169" fontId="16" fillId="3" borderId="30" xfId="10" applyNumberFormat="1" applyFont="1" applyFill="1" applyBorder="1" applyAlignment="1" applyProtection="1">
      <alignment horizontal="center" vertical="center"/>
      <protection locked="0"/>
    </xf>
    <xf numFmtId="0" fontId="25" fillId="9" borderId="23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/>
      <protection locked="0"/>
    </xf>
    <xf numFmtId="0" fontId="25" fillId="9" borderId="26" xfId="10" applyFont="1" applyFill="1" applyBorder="1" applyAlignment="1" applyProtection="1">
      <alignment horizontal="center" vertical="center"/>
      <protection locked="0"/>
    </xf>
    <xf numFmtId="0" fontId="18" fillId="9" borderId="0" xfId="10" applyFont="1" applyFill="1" applyAlignment="1" applyProtection="1">
      <alignment vertical="center"/>
      <protection locked="0"/>
    </xf>
    <xf numFmtId="0" fontId="18" fillId="8" borderId="0" xfId="0" applyFont="1" applyFill="1" applyAlignment="1" applyProtection="1">
      <alignment vertical="center"/>
      <protection locked="0"/>
    </xf>
    <xf numFmtId="0" fontId="18" fillId="8" borderId="0" xfId="19" applyFont="1" applyFill="1" applyAlignment="1" applyProtection="1">
      <alignment vertical="center"/>
      <protection locked="0"/>
    </xf>
    <xf numFmtId="0" fontId="50" fillId="3" borderId="13" xfId="0" applyFont="1" applyFill="1" applyBorder="1" applyAlignment="1" applyProtection="1">
      <alignment horizontal="left" vertical="center"/>
      <protection locked="0"/>
    </xf>
    <xf numFmtId="0" fontId="21" fillId="8" borderId="0" xfId="0" applyFont="1" applyFill="1" applyAlignment="1" applyProtection="1">
      <alignment vertical="center"/>
      <protection locked="0"/>
    </xf>
    <xf numFmtId="0" fontId="22" fillId="8" borderId="0" xfId="0" applyFont="1" applyFill="1" applyProtection="1">
      <protection locked="0"/>
    </xf>
    <xf numFmtId="0" fontId="18" fillId="8" borderId="0" xfId="10" applyFont="1" applyFill="1" applyAlignment="1" applyProtection="1">
      <alignment vertical="center"/>
      <protection locked="0"/>
    </xf>
    <xf numFmtId="0" fontId="25" fillId="8" borderId="0" xfId="10" applyFont="1" applyFill="1" applyAlignment="1" applyProtection="1">
      <alignment vertical="center"/>
      <protection locked="0"/>
    </xf>
    <xf numFmtId="0" fontId="55" fillId="8" borderId="1" xfId="10" applyFont="1" applyFill="1" applyBorder="1" applyAlignment="1" applyProtection="1">
      <alignment horizontal="center" vertical="center"/>
      <protection locked="0"/>
    </xf>
    <xf numFmtId="0" fontId="52" fillId="2" borderId="1" xfId="10" applyFont="1" applyFill="1" applyBorder="1" applyAlignment="1" applyProtection="1">
      <alignment horizontal="center" vertical="center"/>
      <protection locked="0"/>
    </xf>
    <xf numFmtId="168" fontId="52" fillId="2" borderId="1" xfId="10" applyNumberFormat="1" applyFont="1" applyFill="1" applyBorder="1" applyAlignment="1" applyProtection="1">
      <alignment horizontal="center" vertical="center"/>
      <protection locked="0"/>
    </xf>
    <xf numFmtId="1" fontId="52" fillId="2" borderId="1" xfId="10" applyNumberFormat="1" applyFont="1" applyFill="1" applyBorder="1" applyAlignment="1" applyProtection="1">
      <alignment horizontal="center" vertical="center"/>
      <protection locked="0"/>
    </xf>
    <xf numFmtId="0" fontId="21" fillId="8" borderId="0" xfId="10" applyFont="1" applyFill="1" applyAlignment="1" applyProtection="1">
      <alignment vertical="center"/>
      <protection locked="0"/>
    </xf>
    <xf numFmtId="0" fontId="22" fillId="8" borderId="0" xfId="10" applyFont="1" applyFill="1" applyProtection="1">
      <protection locked="0"/>
    </xf>
    <xf numFmtId="0" fontId="32" fillId="12" borderId="22" xfId="22" applyFont="1" applyFill="1" applyBorder="1" applyAlignment="1" applyProtection="1">
      <alignment horizontal="center" vertical="center"/>
      <protection locked="0"/>
    </xf>
    <xf numFmtId="0" fontId="32" fillId="12" borderId="23" xfId="22" applyFont="1" applyFill="1" applyBorder="1" applyAlignment="1" applyProtection="1">
      <alignment horizontal="center" vertical="center"/>
      <protection locked="0"/>
    </xf>
    <xf numFmtId="0" fontId="32" fillId="12" borderId="23" xfId="22" applyFont="1" applyFill="1" applyBorder="1" applyAlignment="1" applyProtection="1">
      <alignment horizontal="center" vertical="center" wrapText="1"/>
      <protection locked="0"/>
    </xf>
    <xf numFmtId="0" fontId="32" fillId="12" borderId="24" xfId="22" applyFont="1" applyFill="1" applyBorder="1" applyAlignment="1" applyProtection="1">
      <alignment horizontal="center" vertical="center"/>
      <protection locked="0"/>
    </xf>
    <xf numFmtId="0" fontId="16" fillId="5" borderId="25" xfId="22" applyFont="1" applyFill="1" applyBorder="1" applyAlignment="1" applyProtection="1">
      <alignment horizontal="left" vertical="center"/>
      <protection locked="0"/>
    </xf>
    <xf numFmtId="0" fontId="16" fillId="5" borderId="26" xfId="22" applyFont="1" applyFill="1" applyBorder="1" applyAlignment="1" applyProtection="1">
      <alignment horizontal="center" vertical="center"/>
      <protection locked="0"/>
    </xf>
    <xf numFmtId="2" fontId="16" fillId="5" borderId="26" xfId="22" applyNumberFormat="1" applyFont="1" applyFill="1" applyBorder="1" applyAlignment="1" applyProtection="1">
      <alignment horizontal="center" vertical="center"/>
      <protection locked="0"/>
    </xf>
    <xf numFmtId="2" fontId="16" fillId="6" borderId="26" xfId="22" applyNumberFormat="1" applyFont="1" applyFill="1" applyBorder="1" applyAlignment="1" applyProtection="1">
      <alignment horizontal="center" vertical="center"/>
      <protection locked="0"/>
    </xf>
    <xf numFmtId="0" fontId="16" fillId="6" borderId="26" xfId="22" applyFont="1" applyFill="1" applyBorder="1" applyAlignment="1" applyProtection="1">
      <alignment horizontal="center" vertical="center"/>
      <protection locked="0"/>
    </xf>
    <xf numFmtId="171" fontId="16" fillId="6" borderId="27" xfId="22" applyNumberFormat="1" applyFont="1" applyFill="1" applyBorder="1" applyAlignment="1" applyProtection="1">
      <alignment horizontal="center" vertical="center"/>
      <protection locked="0"/>
    </xf>
    <xf numFmtId="0" fontId="16" fillId="5" borderId="28" xfId="22" applyFont="1" applyFill="1" applyBorder="1" applyAlignment="1" applyProtection="1">
      <alignment horizontal="left" vertical="center"/>
      <protection locked="0"/>
    </xf>
    <xf numFmtId="0" fontId="16" fillId="5" borderId="29" xfId="22" applyFont="1" applyFill="1" applyBorder="1" applyAlignment="1" applyProtection="1">
      <alignment horizontal="center" vertical="center"/>
      <protection locked="0"/>
    </xf>
    <xf numFmtId="2" fontId="16" fillId="5" borderId="29" xfId="22" applyNumberFormat="1" applyFont="1" applyFill="1" applyBorder="1" applyAlignment="1" applyProtection="1">
      <alignment horizontal="center" vertical="center"/>
      <protection locked="0"/>
    </xf>
    <xf numFmtId="2" fontId="16" fillId="6" borderId="29" xfId="22" applyNumberFormat="1" applyFont="1" applyFill="1" applyBorder="1" applyAlignment="1" applyProtection="1">
      <alignment horizontal="center" vertical="center"/>
      <protection locked="0"/>
    </xf>
    <xf numFmtId="0" fontId="16" fillId="6" borderId="29" xfId="22" applyFont="1" applyFill="1" applyBorder="1" applyAlignment="1" applyProtection="1">
      <alignment horizontal="center" vertical="center"/>
      <protection locked="0"/>
    </xf>
    <xf numFmtId="171" fontId="16" fillId="6" borderId="30" xfId="22" applyNumberFormat="1" applyFont="1" applyFill="1" applyBorder="1" applyAlignment="1" applyProtection="1">
      <alignment horizontal="center" vertical="center"/>
      <protection locked="0"/>
    </xf>
    <xf numFmtId="0" fontId="21" fillId="13" borderId="1" xfId="22" applyFont="1" applyFill="1" applyBorder="1" applyAlignment="1" applyProtection="1">
      <alignment horizontal="center" vertical="center"/>
      <protection locked="0"/>
    </xf>
    <xf numFmtId="0" fontId="21" fillId="13" borderId="1" xfId="22" applyFont="1" applyFill="1" applyBorder="1" applyAlignment="1" applyProtection="1">
      <alignment horizontal="center" vertical="center" wrapText="1"/>
      <protection locked="0"/>
    </xf>
    <xf numFmtId="0" fontId="7" fillId="9" borderId="0" xfId="10" applyFill="1" applyProtection="1">
      <protection locked="0"/>
    </xf>
    <xf numFmtId="0" fontId="21" fillId="9" borderId="3" xfId="0" applyFont="1" applyFill="1" applyBorder="1" applyAlignment="1" applyProtection="1">
      <alignment horizontal="center" vertical="center"/>
      <protection locked="0"/>
    </xf>
    <xf numFmtId="0" fontId="21" fillId="9" borderId="2" xfId="0" applyFont="1" applyFill="1" applyBorder="1" applyAlignment="1" applyProtection="1">
      <alignment horizontal="center" vertical="center"/>
      <protection locked="0"/>
    </xf>
    <xf numFmtId="0" fontId="30" fillId="3" borderId="10" xfId="10" applyFont="1" applyFill="1" applyBorder="1" applyProtection="1">
      <protection locked="0"/>
    </xf>
    <xf numFmtId="0" fontId="30" fillId="3" borderId="11" xfId="10" applyFont="1" applyFill="1" applyBorder="1" applyProtection="1">
      <protection locked="0"/>
    </xf>
    <xf numFmtId="0" fontId="30" fillId="3" borderId="12" xfId="10" applyFont="1" applyFill="1" applyBorder="1" applyProtection="1">
      <protection locked="0"/>
    </xf>
    <xf numFmtId="0" fontId="21" fillId="9" borderId="0" xfId="10" applyFont="1" applyFill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30" fillId="3" borderId="32" xfId="10" applyFont="1" applyFill="1" applyBorder="1" applyAlignment="1" applyProtection="1">
      <alignment horizontal="center" vertical="center"/>
      <protection locked="0"/>
    </xf>
    <xf numFmtId="0" fontId="56" fillId="3" borderId="0" xfId="10" applyFont="1" applyFill="1" applyProtection="1">
      <protection locked="0"/>
    </xf>
    <xf numFmtId="0" fontId="42" fillId="9" borderId="0" xfId="10" applyFont="1" applyFill="1" applyAlignment="1" applyProtection="1">
      <alignment horizontal="left" vertical="center"/>
      <protection locked="0"/>
    </xf>
    <xf numFmtId="0" fontId="43" fillId="9" borderId="0" xfId="10" applyFont="1" applyFill="1" applyProtection="1">
      <protection locked="0"/>
    </xf>
    <xf numFmtId="0" fontId="30" fillId="9" borderId="7" xfId="10" applyFont="1" applyFill="1" applyBorder="1" applyAlignment="1" applyProtection="1">
      <alignment horizontal="center" vertical="center"/>
      <protection locked="0"/>
    </xf>
    <xf numFmtId="0" fontId="50" fillId="3" borderId="5" xfId="10" quotePrefix="1" applyFont="1" applyFill="1" applyBorder="1" applyProtection="1">
      <protection locked="0"/>
    </xf>
    <xf numFmtId="9" fontId="42" fillId="8" borderId="34" xfId="0" applyNumberFormat="1" applyFont="1" applyFill="1" applyBorder="1" applyAlignment="1" applyProtection="1">
      <alignment horizontal="center" vertical="center"/>
      <protection locked="0"/>
    </xf>
    <xf numFmtId="9" fontId="42" fillId="8" borderId="36" xfId="0" applyNumberFormat="1" applyFont="1" applyFill="1" applyBorder="1" applyAlignment="1" applyProtection="1">
      <alignment horizontal="center" vertical="center"/>
      <protection locked="0"/>
    </xf>
    <xf numFmtId="9" fontId="42" fillId="8" borderId="35" xfId="0" applyNumberFormat="1" applyFont="1" applyFill="1" applyBorder="1" applyAlignment="1" applyProtection="1">
      <alignment horizontal="center" vertical="center"/>
      <protection locked="0"/>
    </xf>
    <xf numFmtId="0" fontId="52" fillId="2" borderId="2" xfId="0" applyFont="1" applyFill="1" applyBorder="1" applyAlignment="1" applyProtection="1">
      <alignment horizontal="center" vertical="center"/>
      <protection locked="0"/>
    </xf>
    <xf numFmtId="2" fontId="52" fillId="2" borderId="19" xfId="0" applyNumberFormat="1" applyFont="1" applyFill="1" applyBorder="1" applyAlignment="1" applyProtection="1">
      <alignment horizontal="center" vertical="center"/>
      <protection locked="0"/>
    </xf>
    <xf numFmtId="2" fontId="52" fillId="2" borderId="0" xfId="0" applyNumberFormat="1" applyFont="1" applyFill="1" applyAlignment="1" applyProtection="1">
      <alignment horizontal="center" vertical="center"/>
      <protection locked="0"/>
    </xf>
    <xf numFmtId="2" fontId="52" fillId="2" borderId="27" xfId="0" applyNumberFormat="1" applyFont="1" applyFill="1" applyBorder="1" applyAlignment="1" applyProtection="1">
      <alignment horizontal="center" vertical="center"/>
      <protection locked="0"/>
    </xf>
    <xf numFmtId="0" fontId="52" fillId="5" borderId="1" xfId="22" applyFont="1" applyFill="1" applyBorder="1" applyAlignment="1" applyProtection="1">
      <alignment horizontal="center" vertical="center"/>
      <protection locked="0"/>
    </xf>
    <xf numFmtId="0" fontId="60" fillId="2" borderId="1" xfId="10" applyFont="1" applyFill="1" applyBorder="1" applyAlignment="1" applyProtection="1">
      <alignment horizontal="center" vertical="center"/>
      <protection locked="0"/>
    </xf>
    <xf numFmtId="0" fontId="61" fillId="3" borderId="0" xfId="10" applyFont="1" applyFill="1" applyAlignment="1" applyProtection="1">
      <alignment horizontal="center" vertical="center"/>
      <protection locked="0"/>
    </xf>
    <xf numFmtId="170" fontId="52" fillId="2" borderId="0" xfId="10" applyNumberFormat="1" applyFont="1" applyFill="1" applyAlignment="1" applyProtection="1">
      <alignment horizontal="center" vertical="center"/>
      <protection locked="0"/>
    </xf>
    <xf numFmtId="2" fontId="62" fillId="2" borderId="31" xfId="10" applyNumberFormat="1" applyFont="1" applyFill="1" applyBorder="1" applyAlignment="1" applyProtection="1">
      <alignment horizontal="center" vertical="center"/>
      <protection locked="0"/>
    </xf>
    <xf numFmtId="2" fontId="62" fillId="2" borderId="33" xfId="10" applyNumberFormat="1" applyFont="1" applyFill="1" applyBorder="1" applyAlignment="1" applyProtection="1">
      <alignment horizontal="center" vertical="center"/>
      <protection locked="0"/>
    </xf>
    <xf numFmtId="0" fontId="37" fillId="10" borderId="0" xfId="25" applyFont="1" applyFill="1" applyAlignment="1" applyProtection="1">
      <alignment horizontal="center" vertical="center"/>
      <protection locked="0"/>
    </xf>
    <xf numFmtId="0" fontId="37" fillId="3" borderId="0" xfId="25" applyFont="1" applyFill="1" applyAlignment="1" applyProtection="1">
      <alignment horizontal="center" vertical="center"/>
      <protection locked="0"/>
    </xf>
    <xf numFmtId="0" fontId="20" fillId="3" borderId="6" xfId="0" applyFont="1" applyFill="1" applyBorder="1" applyAlignment="1" applyProtection="1">
      <alignment horizontal="left" vertical="center" wrapText="1"/>
      <protection locked="0"/>
    </xf>
    <xf numFmtId="0" fontId="20" fillId="3" borderId="7" xfId="0" applyFont="1" applyFill="1" applyBorder="1" applyAlignment="1" applyProtection="1">
      <alignment horizontal="left" vertical="center" wrapText="1"/>
      <protection locked="0"/>
    </xf>
    <xf numFmtId="0" fontId="20" fillId="3" borderId="8" xfId="0" applyFont="1" applyFill="1" applyBorder="1" applyAlignment="1" applyProtection="1">
      <alignment horizontal="left" vertical="center" wrapText="1"/>
      <protection locked="0"/>
    </xf>
    <xf numFmtId="0" fontId="57" fillId="3" borderId="0" xfId="0" applyFont="1" applyFill="1" applyAlignment="1" applyProtection="1">
      <alignment horizontal="center" vertical="center"/>
      <protection locked="0"/>
    </xf>
    <xf numFmtId="0" fontId="49" fillId="3" borderId="3" xfId="19" applyFont="1" applyFill="1" applyBorder="1" applyAlignment="1" applyProtection="1">
      <alignment horizontal="left" vertical="center" wrapText="1"/>
      <protection locked="0"/>
    </xf>
    <xf numFmtId="0" fontId="49" fillId="3" borderId="4" xfId="19" applyFont="1" applyFill="1" applyBorder="1" applyAlignment="1" applyProtection="1">
      <alignment horizontal="left" vertical="center" wrapText="1"/>
      <protection locked="0"/>
    </xf>
    <xf numFmtId="0" fontId="49" fillId="3" borderId="2" xfId="19" applyFont="1" applyFill="1" applyBorder="1" applyAlignment="1" applyProtection="1">
      <alignment horizontal="left" vertical="center" wrapText="1"/>
      <protection locked="0"/>
    </xf>
    <xf numFmtId="0" fontId="36" fillId="9" borderId="0" xfId="0" applyFont="1" applyFill="1" applyAlignment="1" applyProtection="1">
      <alignment horizontal="center" vertical="center"/>
      <protection locked="0"/>
    </xf>
    <xf numFmtId="0" fontId="18" fillId="8" borderId="0" xfId="10" applyFont="1" applyFill="1" applyAlignment="1">
      <alignment horizontal="center" vertical="center"/>
    </xf>
    <xf numFmtId="0" fontId="20" fillId="3" borderId="3" xfId="10" applyFont="1" applyFill="1" applyBorder="1" applyAlignment="1">
      <alignment horizontal="left" vertical="center" wrapText="1"/>
    </xf>
    <xf numFmtId="0" fontId="20" fillId="3" borderId="2" xfId="10" applyFont="1" applyFill="1" applyBorder="1" applyAlignment="1">
      <alignment horizontal="left" vertical="center" wrapText="1"/>
    </xf>
    <xf numFmtId="0" fontId="20" fillId="3" borderId="3" xfId="19" applyFont="1" applyFill="1" applyBorder="1" applyAlignment="1" applyProtection="1">
      <alignment horizontal="left" vertical="center" wrapText="1"/>
      <protection locked="0"/>
    </xf>
    <xf numFmtId="0" fontId="20" fillId="3" borderId="4" xfId="19" applyFont="1" applyFill="1" applyBorder="1" applyAlignment="1" applyProtection="1">
      <alignment horizontal="left" vertical="center" wrapText="1"/>
      <protection locked="0"/>
    </xf>
    <xf numFmtId="0" fontId="20" fillId="3" borderId="2" xfId="19" applyFont="1" applyFill="1" applyBorder="1" applyAlignment="1" applyProtection="1">
      <alignment horizontal="left" vertical="center" wrapText="1"/>
      <protection locked="0"/>
    </xf>
    <xf numFmtId="0" fontId="50" fillId="3" borderId="3" xfId="19" applyFont="1" applyFill="1" applyBorder="1" applyAlignment="1" applyProtection="1">
      <alignment horizontal="left" vertical="center" wrapText="1"/>
      <protection locked="0"/>
    </xf>
    <xf numFmtId="0" fontId="48" fillId="3" borderId="6" xfId="0" applyFont="1" applyFill="1" applyBorder="1" applyAlignment="1" applyProtection="1">
      <alignment horizontal="left" vertical="center" wrapText="1"/>
      <protection locked="0"/>
    </xf>
    <xf numFmtId="0" fontId="48" fillId="3" borderId="7" xfId="0" applyFont="1" applyFill="1" applyBorder="1" applyAlignment="1" applyProtection="1">
      <alignment horizontal="left" vertical="center" wrapText="1"/>
      <protection locked="0"/>
    </xf>
    <xf numFmtId="0" fontId="48" fillId="3" borderId="8" xfId="0" applyFont="1" applyFill="1" applyBorder="1" applyAlignment="1" applyProtection="1">
      <alignment horizontal="left" vertical="center" wrapText="1"/>
      <protection locked="0"/>
    </xf>
    <xf numFmtId="0" fontId="16" fillId="3" borderId="3" xfId="19" applyFont="1" applyFill="1" applyBorder="1" applyAlignment="1" applyProtection="1">
      <alignment horizontal="left" vertical="center" wrapText="1"/>
      <protection locked="0"/>
    </xf>
    <xf numFmtId="0" fontId="16" fillId="3" borderId="4" xfId="19" applyFont="1" applyFill="1" applyBorder="1" applyAlignment="1" applyProtection="1">
      <alignment horizontal="left" vertical="center" wrapText="1"/>
      <protection locked="0"/>
    </xf>
    <xf numFmtId="0" fontId="16" fillId="3" borderId="2" xfId="19" applyFont="1" applyFill="1" applyBorder="1" applyAlignment="1" applyProtection="1">
      <alignment horizontal="left" vertical="center" wrapText="1"/>
      <protection locked="0"/>
    </xf>
    <xf numFmtId="0" fontId="16" fillId="3" borderId="6" xfId="0" applyFont="1" applyFill="1" applyBorder="1" applyAlignment="1" applyProtection="1">
      <alignment horizontal="left" vertical="center" wrapText="1"/>
      <protection locked="0"/>
    </xf>
    <xf numFmtId="0" fontId="16" fillId="3" borderId="7" xfId="0" applyFont="1" applyFill="1" applyBorder="1" applyAlignment="1" applyProtection="1">
      <alignment horizontal="left" vertical="center" wrapText="1"/>
      <protection locked="0"/>
    </xf>
    <xf numFmtId="0" fontId="16" fillId="3" borderId="8" xfId="0" applyFont="1" applyFill="1" applyBorder="1" applyAlignment="1" applyProtection="1">
      <alignment horizontal="left" vertical="center" wrapText="1"/>
      <protection locked="0"/>
    </xf>
    <xf numFmtId="0" fontId="15" fillId="3" borderId="3" xfId="19" applyFont="1" applyFill="1" applyBorder="1" applyAlignment="1" applyProtection="1">
      <alignment horizontal="left" vertical="center" wrapText="1"/>
      <protection locked="0"/>
    </xf>
    <xf numFmtId="0" fontId="21" fillId="9" borderId="24" xfId="10" applyFont="1" applyFill="1" applyBorder="1" applyAlignment="1" applyProtection="1">
      <alignment horizontal="center" vertical="center" wrapText="1"/>
      <protection locked="0"/>
    </xf>
    <xf numFmtId="0" fontId="21" fillId="9" borderId="27" xfId="10" applyFont="1" applyFill="1" applyBorder="1" applyAlignment="1" applyProtection="1">
      <alignment horizontal="center" vertical="center" wrapText="1"/>
      <protection locked="0"/>
    </xf>
    <xf numFmtId="0" fontId="20" fillId="3" borderId="6" xfId="10" applyFont="1" applyFill="1" applyBorder="1" applyAlignment="1" applyProtection="1">
      <alignment horizontal="left" vertical="center" wrapText="1"/>
      <protection locked="0"/>
    </xf>
    <xf numFmtId="0" fontId="20" fillId="3" borderId="7" xfId="10" applyFont="1" applyFill="1" applyBorder="1" applyAlignment="1" applyProtection="1">
      <alignment horizontal="left" vertical="center" wrapText="1"/>
      <protection locked="0"/>
    </xf>
    <xf numFmtId="0" fontId="20" fillId="3" borderId="8" xfId="10" applyFont="1" applyFill="1" applyBorder="1" applyAlignment="1" applyProtection="1">
      <alignment horizontal="left" vertical="center" wrapText="1"/>
      <protection locked="0"/>
    </xf>
    <xf numFmtId="0" fontId="27" fillId="3" borderId="6" xfId="10" applyFont="1" applyFill="1" applyBorder="1" applyAlignment="1" applyProtection="1">
      <alignment horizontal="center" vertical="center"/>
      <protection locked="0"/>
    </xf>
    <xf numFmtId="0" fontId="27" fillId="3" borderId="7" xfId="10" applyFont="1" applyFill="1" applyBorder="1" applyAlignment="1" applyProtection="1">
      <alignment horizontal="center" vertical="center"/>
      <protection locked="0"/>
    </xf>
    <xf numFmtId="0" fontId="27" fillId="3" borderId="8" xfId="10" applyFont="1" applyFill="1" applyBorder="1" applyAlignment="1" applyProtection="1">
      <alignment horizontal="center" vertical="center"/>
      <protection locked="0"/>
    </xf>
    <xf numFmtId="0" fontId="29" fillId="9" borderId="22" xfId="10" applyFont="1" applyFill="1" applyBorder="1" applyAlignment="1" applyProtection="1">
      <alignment horizontal="center" vertical="center"/>
      <protection locked="0"/>
    </xf>
    <xf numFmtId="0" fontId="29" fillId="9" borderId="25" xfId="10" applyFont="1" applyFill="1" applyBorder="1" applyAlignment="1" applyProtection="1">
      <alignment horizontal="center" vertical="center"/>
      <protection locked="0"/>
    </xf>
    <xf numFmtId="0" fontId="25" fillId="9" borderId="23" xfId="10" applyFont="1" applyFill="1" applyBorder="1" applyAlignment="1" applyProtection="1">
      <alignment horizontal="center" vertical="center"/>
      <protection locked="0"/>
    </xf>
    <xf numFmtId="0" fontId="25" fillId="9" borderId="26" xfId="10" applyFont="1" applyFill="1" applyBorder="1" applyAlignment="1" applyProtection="1">
      <alignment horizontal="center" vertical="center"/>
      <protection locked="0"/>
    </xf>
    <xf numFmtId="0" fontId="21" fillId="9" borderId="23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 wrapText="1"/>
      <protection locked="0"/>
    </xf>
    <xf numFmtId="0" fontId="34" fillId="9" borderId="0" xfId="0" applyFont="1" applyFill="1" applyAlignment="1" applyProtection="1">
      <alignment horizontal="center" vertical="center"/>
      <protection locked="0"/>
    </xf>
    <xf numFmtId="0" fontId="25" fillId="13" borderId="3" xfId="22" applyFont="1" applyFill="1" applyBorder="1" applyAlignment="1" applyProtection="1">
      <alignment horizontal="center" vertical="center"/>
      <protection locked="0"/>
    </xf>
    <xf numFmtId="0" fontId="25" fillId="13" borderId="4" xfId="22" applyFont="1" applyFill="1" applyBorder="1" applyAlignment="1" applyProtection="1">
      <alignment horizontal="center" vertical="center"/>
      <protection locked="0"/>
    </xf>
    <xf numFmtId="0" fontId="25" fillId="13" borderId="2" xfId="22" applyFont="1" applyFill="1" applyBorder="1" applyAlignment="1" applyProtection="1">
      <alignment horizontal="center" vertical="center"/>
      <protection locked="0"/>
    </xf>
    <xf numFmtId="0" fontId="16" fillId="3" borderId="6" xfId="10" applyFont="1" applyFill="1" applyBorder="1" applyAlignment="1" applyProtection="1">
      <alignment horizontal="left" vertical="center" wrapText="1"/>
      <protection locked="0"/>
    </xf>
    <xf numFmtId="0" fontId="16" fillId="3" borderId="7" xfId="10" applyFont="1" applyFill="1" applyBorder="1" applyAlignment="1" applyProtection="1">
      <alignment horizontal="left" vertical="center" wrapText="1"/>
      <protection locked="0"/>
    </xf>
    <xf numFmtId="0" fontId="16" fillId="3" borderId="8" xfId="10" applyFont="1" applyFill="1" applyBorder="1" applyAlignment="1" applyProtection="1">
      <alignment horizontal="left" vertical="center" wrapText="1"/>
      <protection locked="0"/>
    </xf>
    <xf numFmtId="0" fontId="25" fillId="9" borderId="0" xfId="10" applyFont="1" applyFill="1" applyAlignment="1" applyProtection="1">
      <alignment horizontal="center" vertical="center"/>
      <protection locked="0"/>
    </xf>
    <xf numFmtId="0" fontId="16" fillId="3" borderId="3" xfId="10" applyFont="1" applyFill="1" applyBorder="1" applyAlignment="1" applyProtection="1">
      <alignment horizontal="left" vertical="center" wrapText="1"/>
      <protection locked="0"/>
    </xf>
    <xf numFmtId="0" fontId="16" fillId="3" borderId="4" xfId="10" applyFont="1" applyFill="1" applyBorder="1" applyAlignment="1" applyProtection="1">
      <alignment horizontal="left" vertical="center" wrapText="1"/>
      <protection locked="0"/>
    </xf>
    <xf numFmtId="0" fontId="16" fillId="3" borderId="2" xfId="1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5" fillId="8" borderId="0" xfId="10" applyFont="1" applyFill="1" applyAlignment="1" applyProtection="1">
      <alignment horizontal="left" vertical="center"/>
      <protection locked="0"/>
    </xf>
    <xf numFmtId="0" fontId="21" fillId="8" borderId="0" xfId="10" applyFont="1" applyFill="1" applyAlignment="1" applyProtection="1">
      <alignment horizontal="left" vertical="center"/>
      <protection locked="0"/>
    </xf>
    <xf numFmtId="0" fontId="38" fillId="3" borderId="3" xfId="19" applyFont="1" applyFill="1" applyBorder="1" applyAlignment="1" applyProtection="1">
      <alignment horizontal="left" vertical="center" wrapText="1"/>
      <protection locked="0"/>
    </xf>
    <xf numFmtId="0" fontId="38" fillId="3" borderId="4" xfId="19" applyFont="1" applyFill="1" applyBorder="1" applyAlignment="1" applyProtection="1">
      <alignment horizontal="left" vertical="center" wrapText="1"/>
      <protection locked="0"/>
    </xf>
    <xf numFmtId="0" fontId="38" fillId="3" borderId="2" xfId="19" applyFont="1" applyFill="1" applyBorder="1" applyAlignment="1" applyProtection="1">
      <alignment horizontal="left" vertical="center" wrapText="1"/>
      <protection locked="0"/>
    </xf>
    <xf numFmtId="0" fontId="7" fillId="14" borderId="0" xfId="10" applyFill="1" applyProtection="1">
      <protection locked="0"/>
    </xf>
    <xf numFmtId="170" fontId="7" fillId="3" borderId="0" xfId="10" applyNumberFormat="1" applyFill="1" applyProtection="1">
      <protection locked="0"/>
    </xf>
  </cellXfs>
  <cellStyles count="26">
    <cellStyle name="Euro" xfId="1" xr:uid="{00000000-0005-0000-0000-000000000000}"/>
    <cellStyle name="Hipervínculo" xfId="25" builtinId="8"/>
    <cellStyle name="Hipervínculo 2" xfId="9" xr:uid="{00000000-0005-0000-0000-000002000000}"/>
    <cellStyle name="Hipervínculo 3" xfId="18" xr:uid="{00000000-0005-0000-0000-000003000000}"/>
    <cellStyle name="Millares [0] 2" xfId="2" xr:uid="{00000000-0005-0000-0000-000004000000}"/>
    <cellStyle name="Millares 2" xfId="3" xr:uid="{00000000-0005-0000-0000-000005000000}"/>
    <cellStyle name="Millares 2 2" xfId="12" xr:uid="{00000000-0005-0000-0000-000006000000}"/>
    <cellStyle name="Moneda 2" xfId="4" xr:uid="{00000000-0005-0000-0000-000007000000}"/>
    <cellStyle name="Moneda 2 2" xfId="13" xr:uid="{00000000-0005-0000-0000-000008000000}"/>
    <cellStyle name="Moneda 3" xfId="5" xr:uid="{00000000-0005-0000-0000-000009000000}"/>
    <cellStyle name="Moneda 4" xfId="20" xr:uid="{00000000-0005-0000-0000-00000A000000}"/>
    <cellStyle name="Normal" xfId="0" builtinId="0"/>
    <cellStyle name="Normal 16" xfId="24" xr:uid="{00000000-0005-0000-0000-00000C000000}"/>
    <cellStyle name="Normal 2" xfId="6" xr:uid="{00000000-0005-0000-0000-00000D000000}"/>
    <cellStyle name="Normal 2 2" xfId="10" xr:uid="{00000000-0005-0000-0000-00000E000000}"/>
    <cellStyle name="Normal 2 2 2" xfId="22" xr:uid="{00000000-0005-0000-0000-00000F000000}"/>
    <cellStyle name="Normal 2_Muestra Funciones Estadísticas" xfId="15" xr:uid="{00000000-0005-0000-0000-000010000000}"/>
    <cellStyle name="Normal 3" xfId="7" xr:uid="{00000000-0005-0000-0000-000011000000}"/>
    <cellStyle name="Normal 3 2" xfId="19" xr:uid="{00000000-0005-0000-0000-000012000000}"/>
    <cellStyle name="Normal 4" xfId="8" xr:uid="{00000000-0005-0000-0000-000013000000}"/>
    <cellStyle name="Normal 4 2" xfId="14" xr:uid="{00000000-0005-0000-0000-000014000000}"/>
    <cellStyle name="Normal 4 3" xfId="17" xr:uid="{00000000-0005-0000-0000-000015000000}"/>
    <cellStyle name="Normal 4 4" xfId="23" xr:uid="{00000000-0005-0000-0000-000016000000}"/>
    <cellStyle name="Normal 4_Muestra Funciones Estadísticas" xfId="11" xr:uid="{00000000-0005-0000-0000-000017000000}"/>
    <cellStyle name="Normal 5" xfId="16" xr:uid="{00000000-0005-0000-0000-000018000000}"/>
    <cellStyle name="Normal 6" xfId="21" xr:uid="{00000000-0005-0000-0000-000019000000}"/>
  </cellStyles>
  <dxfs count="7">
    <dxf>
      <font>
        <b/>
        <i val="0"/>
        <color rgb="FF002060"/>
      </font>
      <fill>
        <patternFill patternType="solid">
          <fgColor auto="1"/>
          <bgColor rgb="FF99CCFF"/>
        </patternFill>
      </fill>
    </dxf>
    <dxf>
      <font>
        <b/>
        <i val="0"/>
        <color rgb="FF002060"/>
      </font>
      <fill>
        <patternFill patternType="solid">
          <fgColor auto="1"/>
          <bgColor rgb="FF99CCFF"/>
        </patternFill>
      </fill>
    </dxf>
    <dxf>
      <font>
        <color rgb="FF00B0F0"/>
      </font>
    </dxf>
    <dxf>
      <font>
        <color rgb="FF9C0006"/>
      </font>
    </dxf>
    <dxf>
      <font>
        <color rgb="FF00B0F0"/>
      </font>
    </dxf>
    <dxf>
      <font>
        <color rgb="FF9C0006"/>
      </font>
    </dxf>
    <dxf>
      <font>
        <color rgb="FF00B0F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66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652934</xdr:colOff>
      <xdr:row>0</xdr:row>
      <xdr:rowOff>0</xdr:rowOff>
    </xdr:from>
    <xdr:ext cx="7509620" cy="940642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1337715-5CAE-4F51-A667-385B87521CF4}"/>
            </a:ext>
          </a:extLst>
        </xdr:cNvPr>
        <xdr:cNvSpPr/>
      </xdr:nvSpPr>
      <xdr:spPr>
        <a:xfrm>
          <a:off x="904394" y="0"/>
          <a:ext cx="7509620" cy="9406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</a:rPr>
            <a:t>Funciones Estadísticas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10</xdr:row>
      <xdr:rowOff>38101</xdr:rowOff>
    </xdr:from>
    <xdr:to>
      <xdr:col>6</xdr:col>
      <xdr:colOff>714715</xdr:colOff>
      <xdr:row>11</xdr:row>
      <xdr:rowOff>9526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4714876"/>
          <a:ext cx="476590" cy="533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238125</xdr:colOff>
      <xdr:row>10</xdr:row>
      <xdr:rowOff>47625</xdr:rowOff>
    </xdr:from>
    <xdr:to>
      <xdr:col>7</xdr:col>
      <xdr:colOff>714715</xdr:colOff>
      <xdr:row>10</xdr:row>
      <xdr:rowOff>533400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4724400"/>
          <a:ext cx="476590" cy="4857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219075</xdr:colOff>
      <xdr:row>10</xdr:row>
      <xdr:rowOff>47626</xdr:rowOff>
    </xdr:from>
    <xdr:to>
      <xdr:col>8</xdr:col>
      <xdr:colOff>695665</xdr:colOff>
      <xdr:row>11</xdr:row>
      <xdr:rowOff>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3025" y="4724401"/>
          <a:ext cx="476590" cy="51435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10</xdr:row>
      <xdr:rowOff>38101</xdr:rowOff>
    </xdr:from>
    <xdr:to>
      <xdr:col>6</xdr:col>
      <xdr:colOff>714715</xdr:colOff>
      <xdr:row>11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559A71-3ADD-4722-9350-A8D6141B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3745" y="3314701"/>
          <a:ext cx="476590" cy="5276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238125</xdr:colOff>
      <xdr:row>10</xdr:row>
      <xdr:rowOff>47625</xdr:rowOff>
    </xdr:from>
    <xdr:to>
      <xdr:col>7</xdr:col>
      <xdr:colOff>714715</xdr:colOff>
      <xdr:row>10</xdr:row>
      <xdr:rowOff>533400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7DF3A-99A9-4ED6-9B46-A598E1F09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2465" y="3324225"/>
          <a:ext cx="476590" cy="4857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219075</xdr:colOff>
      <xdr:row>10</xdr:row>
      <xdr:rowOff>47626</xdr:rowOff>
    </xdr:from>
    <xdr:to>
      <xdr:col>8</xdr:col>
      <xdr:colOff>695665</xdr:colOff>
      <xdr:row>11</xdr:row>
      <xdr:rowOff>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A897AC-EA39-4CAD-AB20-989FAA6C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10675" y="3324226"/>
          <a:ext cx="476590" cy="50863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uangaljose@yahoo.es" TargetMode="External"/><Relationship Id="rId1" Type="http://schemas.openxmlformats.org/officeDocument/2006/relationships/hyperlink" Target="mailto:huangaljose@yahoo.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42"/>
  <sheetViews>
    <sheetView showGridLines="0" workbookViewId="0">
      <selection activeCell="G8" sqref="G8:I8"/>
    </sheetView>
  </sheetViews>
  <sheetFormatPr baseColWidth="10" defaultColWidth="0" defaultRowHeight="12.75" zeroHeight="1"/>
  <cols>
    <col min="1" max="1" width="3.5703125" customWidth="1"/>
    <col min="2" max="5" width="11.5703125" customWidth="1"/>
    <col min="6" max="6" width="0.85546875" customWidth="1"/>
    <col min="7" max="9" width="11.5703125" customWidth="1"/>
    <col min="10" max="10" width="0.85546875" customWidth="1"/>
    <col min="11" max="14" width="11.5703125" customWidth="1"/>
    <col min="15" max="16384" width="11.5703125" hidden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2.4500000000000002" customHeight="1"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</row>
    <row r="7" spans="2:13" ht="9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ht="39.950000000000003" customHeight="1">
      <c r="B8" s="1"/>
      <c r="C8" s="238" t="s">
        <v>27</v>
      </c>
      <c r="D8" s="238"/>
      <c r="E8" s="238"/>
      <c r="F8" s="2"/>
      <c r="G8" s="238" t="s">
        <v>523</v>
      </c>
      <c r="H8" s="238"/>
      <c r="I8" s="238"/>
      <c r="J8" s="2"/>
      <c r="K8" s="238" t="s">
        <v>524</v>
      </c>
      <c r="L8" s="238"/>
      <c r="M8" s="238"/>
    </row>
    <row r="9" spans="2:13" ht="5.0999999999999996" customHeight="1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39.950000000000003" customHeight="1">
      <c r="B10" s="1"/>
      <c r="C10" s="238" t="s">
        <v>30</v>
      </c>
      <c r="D10" s="238"/>
      <c r="E10" s="238"/>
      <c r="F10" s="2"/>
      <c r="G10" s="238" t="s">
        <v>529</v>
      </c>
      <c r="H10" s="238"/>
      <c r="I10" s="238"/>
      <c r="J10" s="2"/>
      <c r="K10" s="238" t="s">
        <v>29</v>
      </c>
      <c r="L10" s="238"/>
      <c r="M10" s="238"/>
    </row>
    <row r="11" spans="2:13" ht="5.0999999999999996" customHeight="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39.950000000000003" customHeight="1">
      <c r="B12" s="1"/>
      <c r="C12" s="238" t="s">
        <v>28</v>
      </c>
      <c r="D12" s="238"/>
      <c r="E12" s="238"/>
      <c r="F12" s="2"/>
      <c r="G12" s="238" t="s">
        <v>31</v>
      </c>
      <c r="H12" s="238"/>
      <c r="I12" s="238"/>
      <c r="J12" s="2"/>
      <c r="K12" s="238" t="s">
        <v>32</v>
      </c>
      <c r="L12" s="238"/>
      <c r="M12" s="238"/>
    </row>
    <row r="13" spans="2:13" ht="5.0999999999999996" customHeight="1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39.950000000000003" customHeight="1">
      <c r="B14" s="1"/>
      <c r="C14" s="238" t="s">
        <v>33</v>
      </c>
      <c r="D14" s="238"/>
      <c r="E14" s="238"/>
      <c r="F14" s="2"/>
      <c r="G14" s="238" t="s">
        <v>494</v>
      </c>
      <c r="H14" s="238"/>
      <c r="I14" s="238"/>
      <c r="J14" s="2"/>
      <c r="K14" s="238" t="s">
        <v>495</v>
      </c>
      <c r="L14" s="238"/>
      <c r="M14" s="238"/>
    </row>
    <row r="15" spans="2:13" ht="5.0999999999999996" customHeight="1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39.950000000000003" customHeight="1">
      <c r="B16" s="1"/>
      <c r="C16" s="238" t="s">
        <v>505</v>
      </c>
      <c r="D16" s="238"/>
      <c r="E16" s="238"/>
      <c r="F16" s="2"/>
      <c r="G16" s="239"/>
      <c r="H16" s="239"/>
      <c r="I16" s="239"/>
      <c r="J16" s="2"/>
      <c r="K16" s="239"/>
      <c r="L16" s="239"/>
      <c r="M16" s="239"/>
    </row>
    <row r="17" spans="2:13" ht="2.4500000000000002" customHeight="1"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hidden="1">
      <c r="B19" s="1"/>
      <c r="C19" s="1"/>
      <c r="D19" s="1"/>
      <c r="E19" s="1"/>
      <c r="F19" s="1"/>
      <c r="G19" s="90"/>
      <c r="H19" s="1"/>
      <c r="I19" s="1"/>
      <c r="J19" s="1"/>
      <c r="K19" s="1"/>
      <c r="L19" s="1"/>
      <c r="M19" s="1"/>
    </row>
    <row r="32" spans="2:13"/>
    <row r="33"/>
    <row r="34"/>
    <row r="35"/>
    <row r="42"/>
  </sheetData>
  <mergeCells count="15">
    <mergeCell ref="C16:E16"/>
    <mergeCell ref="G16:I16"/>
    <mergeCell ref="K16:M16"/>
    <mergeCell ref="C8:E8"/>
    <mergeCell ref="G8:I8"/>
    <mergeCell ref="K8:M8"/>
    <mergeCell ref="C10:E10"/>
    <mergeCell ref="G10:I10"/>
    <mergeCell ref="K10:M10"/>
    <mergeCell ref="C12:E12"/>
    <mergeCell ref="G12:I12"/>
    <mergeCell ref="K12:M12"/>
    <mergeCell ref="C14:E14"/>
    <mergeCell ref="G14:I14"/>
    <mergeCell ref="K14:M14"/>
  </mergeCells>
  <hyperlinks>
    <hyperlink ref="G8:I8" location="'Función Promedio.Si'!A1" display="Función Promedio.SI" xr:uid="{00000000-0004-0000-0000-000000000000}"/>
    <hyperlink ref="K8:M8" location="Promedio.Si.Conjunto!A1" display="Función Promedio.SI.Conjunto" xr:uid="{00000000-0004-0000-0000-000001000000}"/>
    <hyperlink ref="C8:E8" location="'Función Promedio'!A1" display="Función Promedio" xr:uid="{00000000-0004-0000-0000-000002000000}"/>
    <hyperlink ref="C14:E14" location="'Contara,Contar.Blanco,Max,Min'!A1" display="Función Min" xr:uid="{00000000-0004-0000-0000-000003000000}"/>
    <hyperlink ref="K12:M12" location="'Contara,Contar.Blanco,Max,Min'!A1" display="Función Max" xr:uid="{00000000-0004-0000-0000-000004000000}"/>
    <hyperlink ref="G12:I12" location="'Contara,Contar.Blanco,Max,Min'!A1" display="Función Contar.Blanco" xr:uid="{00000000-0004-0000-0000-000005000000}"/>
    <hyperlink ref="C12:E12" location="'Contara,Contar.Blanco,Max,Min'!A1" display="Función Contara" xr:uid="{00000000-0004-0000-0000-000006000000}"/>
    <hyperlink ref="K10:M10" location="'Contara,Contar.Blanco,Max,Min'!A1" display="Función Contar" xr:uid="{00000000-0004-0000-0000-000007000000}"/>
    <hyperlink ref="C10:E10" location="'Función Contar.Si'!A1" display="Función Contar.Si" xr:uid="{00000000-0004-0000-0000-000008000000}"/>
    <hyperlink ref="G10:I10" location="Contar.Si.Conjunto!A1" display="Función Contar.Si.Conjunto" xr:uid="{00000000-0004-0000-0000-000009000000}"/>
    <hyperlink ref="G14:I14" location="'K.Esimo.Mayor | K.Esimo.Menor'!A1" display="Función K.Esimo.Mayor" xr:uid="{703EA494-4D17-40DC-96CA-90473A60E04F}"/>
    <hyperlink ref="K14:M14" location="'K.Esimo.Mayor | K.Esimo.Menor'!A1" display="Función K.Esimo.Menor" xr:uid="{AC97A276-82D1-432D-BDD8-4DBEE27390D0}"/>
    <hyperlink ref="C16:E16" location="'Max.Si.Conjunto Min.Si.Conjunto'!A1" display="Función Max.Si.Conjunto" xr:uid="{CE6ECA46-5DCA-433E-A6C2-963985E2FA8B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>
    <tabColor theme="1"/>
  </sheetPr>
  <dimension ref="B1:N440"/>
  <sheetViews>
    <sheetView topLeftCell="A97" zoomScaleNormal="100" workbookViewId="0">
      <selection activeCell="P118" sqref="P118"/>
    </sheetView>
  </sheetViews>
  <sheetFormatPr baseColWidth="10" defaultColWidth="11.42578125" defaultRowHeight="12.75"/>
  <cols>
    <col min="1" max="1" width="4.140625" style="31" customWidth="1"/>
    <col min="2" max="2" width="11.42578125" style="31"/>
    <col min="3" max="4" width="17.42578125" style="31" customWidth="1"/>
    <col min="5" max="5" width="24.140625" style="31" customWidth="1"/>
    <col min="6" max="6" width="17.140625" style="31" customWidth="1"/>
    <col min="7" max="7" width="13.85546875" style="31" customWidth="1"/>
    <col min="8" max="8" width="18" style="31" customWidth="1"/>
    <col min="9" max="9" width="15" style="31" customWidth="1"/>
    <col min="10" max="10" width="12.140625" style="31" customWidth="1"/>
    <col min="11" max="11" width="15" style="31" customWidth="1"/>
    <col min="12" max="12" width="14.42578125" style="31" customWidth="1"/>
    <col min="13" max="13" width="14.140625" style="31" customWidth="1"/>
    <col min="14" max="14" width="22" style="31" customWidth="1"/>
    <col min="15" max="15" width="19.42578125" style="31" customWidth="1"/>
    <col min="16" max="16" width="19" style="31" customWidth="1"/>
    <col min="17" max="18" width="18.85546875" style="31" customWidth="1"/>
    <col min="19" max="19" width="0.85546875" style="31" customWidth="1"/>
    <col min="20" max="20" width="16.42578125" style="31" customWidth="1"/>
    <col min="21" max="16384" width="11.42578125" style="31"/>
  </cols>
  <sheetData>
    <row r="1" spans="2:12" s="112" customFormat="1" ht="36" customHeight="1">
      <c r="C1" s="113"/>
      <c r="D1" s="114"/>
      <c r="E1" s="114"/>
      <c r="F1" s="114"/>
      <c r="G1" s="247" t="s">
        <v>488</v>
      </c>
      <c r="H1" s="247"/>
      <c r="I1" s="114"/>
      <c r="J1" s="114"/>
    </row>
    <row r="2" spans="2:12" ht="12" customHeight="1"/>
    <row r="3" spans="2:12" ht="30" customHeight="1">
      <c r="B3" s="180" t="s">
        <v>34</v>
      </c>
      <c r="C3" s="180"/>
      <c r="D3" s="3"/>
      <c r="E3" s="3"/>
    </row>
    <row r="4" spans="2:12" ht="6.75" customHeight="1">
      <c r="B4" s="4"/>
      <c r="C4" s="3"/>
      <c r="D4" s="3"/>
      <c r="E4" s="3"/>
    </row>
    <row r="5" spans="2:12" ht="52.5" customHeight="1">
      <c r="B5" s="5"/>
      <c r="C5" s="240" t="s">
        <v>507</v>
      </c>
      <c r="D5" s="241"/>
      <c r="E5" s="241"/>
      <c r="F5" s="241"/>
      <c r="G5" s="242"/>
    </row>
    <row r="6" spans="2:12" ht="20.100000000000001" customHeight="1">
      <c r="B6" s="5"/>
      <c r="C6" s="140" t="s">
        <v>0</v>
      </c>
      <c r="D6" s="141"/>
      <c r="E6" s="141"/>
      <c r="F6" s="142"/>
      <c r="G6" s="143"/>
    </row>
    <row r="7" spans="2:12" ht="20.100000000000001" customHeight="1">
      <c r="B7" s="5"/>
      <c r="C7" s="144" t="s">
        <v>35</v>
      </c>
      <c r="D7" s="145"/>
      <c r="E7" s="145"/>
      <c r="F7" s="146"/>
      <c r="G7" s="147"/>
    </row>
    <row r="8" spans="2:12" ht="12" customHeight="1"/>
    <row r="9" spans="2:12" ht="30" customHeight="1">
      <c r="C9" s="181" t="s">
        <v>26</v>
      </c>
      <c r="D9" s="139" t="s">
        <v>506</v>
      </c>
      <c r="E9" s="11"/>
      <c r="F9" s="12"/>
      <c r="G9" s="13"/>
      <c r="H9" s="13"/>
      <c r="I9" s="13"/>
      <c r="J9" s="13"/>
    </row>
    <row r="10" spans="2:12" ht="9" customHeight="1">
      <c r="B10" s="13"/>
      <c r="C10" s="13"/>
      <c r="D10" s="13"/>
      <c r="E10" s="13"/>
      <c r="F10" s="13"/>
      <c r="G10" s="13"/>
      <c r="H10" s="13"/>
      <c r="I10" s="13"/>
      <c r="J10" s="13"/>
    </row>
    <row r="11" spans="2:12" ht="30" customHeight="1">
      <c r="D11" s="243" t="s">
        <v>508</v>
      </c>
      <c r="E11" s="243"/>
      <c r="F11" s="243"/>
      <c r="G11" s="243"/>
      <c r="H11" s="243"/>
      <c r="I11" s="243"/>
      <c r="J11" s="243"/>
      <c r="K11" s="243"/>
      <c r="L11" s="243"/>
    </row>
    <row r="12" spans="2:12" ht="2.1" customHeight="1"/>
    <row r="13" spans="2:12" ht="2.1" customHeight="1"/>
    <row r="14" spans="2:12" ht="2.1" customHeight="1" thickBot="1"/>
    <row r="15" spans="2:12" ht="44.25" customHeight="1">
      <c r="D15" s="119" t="s">
        <v>504</v>
      </c>
      <c r="E15" s="116" t="s">
        <v>41</v>
      </c>
      <c r="F15" s="116" t="s">
        <v>42</v>
      </c>
      <c r="G15" s="116" t="s">
        <v>43</v>
      </c>
      <c r="H15" s="116" t="s">
        <v>44</v>
      </c>
      <c r="I15" s="116" t="s">
        <v>45</v>
      </c>
      <c r="J15" s="116" t="s">
        <v>46</v>
      </c>
      <c r="K15" s="117" t="s">
        <v>65</v>
      </c>
      <c r="L15" s="118" t="s">
        <v>66</v>
      </c>
    </row>
    <row r="16" spans="2:12" ht="30" customHeight="1">
      <c r="D16" s="135" t="s">
        <v>47</v>
      </c>
      <c r="E16" s="136">
        <v>1342</v>
      </c>
      <c r="F16" s="136">
        <v>2534</v>
      </c>
      <c r="G16" s="136">
        <v>1267</v>
      </c>
      <c r="H16" s="136">
        <v>2312</v>
      </c>
      <c r="I16" s="136">
        <v>1000</v>
      </c>
      <c r="J16" s="136">
        <v>1234</v>
      </c>
      <c r="K16" s="228">
        <f t="shared" ref="K16:K39" si="0">SUM(E16:J16)</f>
        <v>9689</v>
      </c>
      <c r="L16" s="229">
        <f>AVERAGE(E16:J16)</f>
        <v>1614.8333333333333</v>
      </c>
    </row>
    <row r="17" spans="4:12" ht="30" customHeight="1">
      <c r="D17" s="135" t="s">
        <v>36</v>
      </c>
      <c r="E17" s="136">
        <v>567</v>
      </c>
      <c r="F17" s="136">
        <v>234</v>
      </c>
      <c r="G17" s="136">
        <v>123</v>
      </c>
      <c r="H17" s="136">
        <v>675</v>
      </c>
      <c r="I17" s="136">
        <v>8774</v>
      </c>
      <c r="J17" s="136">
        <v>345</v>
      </c>
      <c r="K17" s="228">
        <f t="shared" si="0"/>
        <v>10718</v>
      </c>
      <c r="L17" s="229">
        <f t="shared" ref="L17:L39" si="1">AVERAGE(E17:J17)</f>
        <v>1786.3333333333333</v>
      </c>
    </row>
    <row r="18" spans="4:12" ht="30" customHeight="1">
      <c r="D18" s="135" t="s">
        <v>48</v>
      </c>
      <c r="E18" s="136">
        <v>345</v>
      </c>
      <c r="F18" s="136">
        <v>234</v>
      </c>
      <c r="G18" s="136">
        <v>455</v>
      </c>
      <c r="H18" s="136">
        <v>234</v>
      </c>
      <c r="I18" s="136">
        <v>123</v>
      </c>
      <c r="J18" s="136">
        <v>556</v>
      </c>
      <c r="K18" s="228">
        <f t="shared" si="0"/>
        <v>1947</v>
      </c>
      <c r="L18" s="229">
        <f t="shared" si="1"/>
        <v>324.5</v>
      </c>
    </row>
    <row r="19" spans="4:12" ht="30" customHeight="1">
      <c r="D19" s="135" t="s">
        <v>39</v>
      </c>
      <c r="E19" s="136">
        <v>346</v>
      </c>
      <c r="F19" s="136">
        <v>235</v>
      </c>
      <c r="G19" s="136">
        <v>456</v>
      </c>
      <c r="H19" s="136">
        <v>235</v>
      </c>
      <c r="I19" s="136">
        <v>124</v>
      </c>
      <c r="J19" s="136">
        <v>557</v>
      </c>
      <c r="K19" s="228">
        <f t="shared" si="0"/>
        <v>1953</v>
      </c>
      <c r="L19" s="229">
        <f t="shared" si="1"/>
        <v>325.5</v>
      </c>
    </row>
    <row r="20" spans="4:12" ht="30" customHeight="1">
      <c r="D20" s="135" t="s">
        <v>37</v>
      </c>
      <c r="E20" s="136">
        <v>347</v>
      </c>
      <c r="F20" s="136">
        <v>236</v>
      </c>
      <c r="G20" s="136">
        <v>457</v>
      </c>
      <c r="H20" s="136">
        <v>236</v>
      </c>
      <c r="I20" s="136">
        <v>125</v>
      </c>
      <c r="J20" s="136">
        <v>558</v>
      </c>
      <c r="K20" s="228">
        <f t="shared" si="0"/>
        <v>1959</v>
      </c>
      <c r="L20" s="229">
        <f t="shared" si="1"/>
        <v>326.5</v>
      </c>
    </row>
    <row r="21" spans="4:12" ht="30" customHeight="1">
      <c r="D21" s="135" t="s">
        <v>49</v>
      </c>
      <c r="E21" s="136">
        <v>348</v>
      </c>
      <c r="F21" s="136">
        <v>237</v>
      </c>
      <c r="G21" s="136">
        <v>458</v>
      </c>
      <c r="H21" s="136">
        <v>237</v>
      </c>
      <c r="I21" s="136">
        <v>126</v>
      </c>
      <c r="J21" s="136">
        <v>559</v>
      </c>
      <c r="K21" s="228">
        <f t="shared" si="0"/>
        <v>1965</v>
      </c>
      <c r="L21" s="229">
        <f t="shared" si="1"/>
        <v>327.5</v>
      </c>
    </row>
    <row r="22" spans="4:12" ht="30" customHeight="1">
      <c r="D22" s="135" t="s">
        <v>38</v>
      </c>
      <c r="E22" s="136">
        <v>349</v>
      </c>
      <c r="F22" s="136">
        <v>238</v>
      </c>
      <c r="G22" s="136">
        <v>459</v>
      </c>
      <c r="H22" s="136">
        <v>238</v>
      </c>
      <c r="I22" s="136">
        <v>127</v>
      </c>
      <c r="J22" s="136">
        <v>560</v>
      </c>
      <c r="K22" s="228">
        <f t="shared" si="0"/>
        <v>1971</v>
      </c>
      <c r="L22" s="229">
        <f t="shared" si="1"/>
        <v>328.5</v>
      </c>
    </row>
    <row r="23" spans="4:12" ht="30" customHeight="1">
      <c r="D23" s="135" t="s">
        <v>50</v>
      </c>
      <c r="E23" s="136">
        <v>350</v>
      </c>
      <c r="F23" s="136">
        <v>239</v>
      </c>
      <c r="G23" s="136">
        <v>460</v>
      </c>
      <c r="H23" s="136">
        <v>239</v>
      </c>
      <c r="I23" s="136">
        <v>128</v>
      </c>
      <c r="J23" s="136">
        <v>561</v>
      </c>
      <c r="K23" s="228">
        <f t="shared" si="0"/>
        <v>1977</v>
      </c>
      <c r="L23" s="229">
        <f t="shared" si="1"/>
        <v>329.5</v>
      </c>
    </row>
    <row r="24" spans="4:12" ht="30" customHeight="1">
      <c r="D24" s="135" t="s">
        <v>51</v>
      </c>
      <c r="E24" s="136">
        <v>351</v>
      </c>
      <c r="F24" s="136">
        <v>240</v>
      </c>
      <c r="G24" s="136">
        <v>461</v>
      </c>
      <c r="H24" s="136">
        <v>240</v>
      </c>
      <c r="I24" s="136">
        <v>129</v>
      </c>
      <c r="J24" s="136">
        <v>562</v>
      </c>
      <c r="K24" s="228">
        <f t="shared" si="0"/>
        <v>1983</v>
      </c>
      <c r="L24" s="229">
        <f t="shared" si="1"/>
        <v>330.5</v>
      </c>
    </row>
    <row r="25" spans="4:12" ht="30" customHeight="1">
      <c r="D25" s="135" t="s">
        <v>48</v>
      </c>
      <c r="E25" s="136">
        <v>352</v>
      </c>
      <c r="F25" s="136">
        <v>241</v>
      </c>
      <c r="G25" s="136">
        <v>462</v>
      </c>
      <c r="H25" s="136">
        <v>241</v>
      </c>
      <c r="I25" s="136">
        <v>130</v>
      </c>
      <c r="J25" s="136">
        <v>563</v>
      </c>
      <c r="K25" s="228">
        <f t="shared" si="0"/>
        <v>1989</v>
      </c>
      <c r="L25" s="229">
        <f t="shared" si="1"/>
        <v>331.5</v>
      </c>
    </row>
    <row r="26" spans="4:12" ht="30" customHeight="1">
      <c r="D26" s="135" t="s">
        <v>40</v>
      </c>
      <c r="E26" s="136">
        <v>353</v>
      </c>
      <c r="F26" s="136">
        <v>242</v>
      </c>
      <c r="G26" s="136">
        <v>463</v>
      </c>
      <c r="H26" s="136">
        <v>242</v>
      </c>
      <c r="I26" s="136">
        <v>131</v>
      </c>
      <c r="J26" s="136">
        <v>564</v>
      </c>
      <c r="K26" s="228">
        <f t="shared" si="0"/>
        <v>1995</v>
      </c>
      <c r="L26" s="229">
        <f t="shared" si="1"/>
        <v>332.5</v>
      </c>
    </row>
    <row r="27" spans="4:12" ht="30" customHeight="1">
      <c r="D27" s="135" t="s">
        <v>52</v>
      </c>
      <c r="E27" s="136">
        <v>354</v>
      </c>
      <c r="F27" s="136">
        <v>243</v>
      </c>
      <c r="G27" s="136">
        <v>464</v>
      </c>
      <c r="H27" s="136">
        <v>243</v>
      </c>
      <c r="I27" s="136">
        <v>132</v>
      </c>
      <c r="J27" s="136">
        <v>565</v>
      </c>
      <c r="K27" s="228">
        <f t="shared" si="0"/>
        <v>2001</v>
      </c>
      <c r="L27" s="229">
        <f t="shared" si="1"/>
        <v>333.5</v>
      </c>
    </row>
    <row r="28" spans="4:12" ht="30" customHeight="1">
      <c r="D28" s="135" t="s">
        <v>53</v>
      </c>
      <c r="E28" s="136">
        <v>355</v>
      </c>
      <c r="F28" s="136">
        <v>244</v>
      </c>
      <c r="G28" s="136">
        <v>465</v>
      </c>
      <c r="H28" s="136">
        <v>244</v>
      </c>
      <c r="I28" s="136">
        <v>133</v>
      </c>
      <c r="J28" s="136">
        <v>566</v>
      </c>
      <c r="K28" s="228">
        <f t="shared" si="0"/>
        <v>2007</v>
      </c>
      <c r="L28" s="229">
        <f t="shared" si="1"/>
        <v>334.5</v>
      </c>
    </row>
    <row r="29" spans="4:12" ht="30" customHeight="1">
      <c r="D29" s="135" t="s">
        <v>54</v>
      </c>
      <c r="E29" s="136">
        <v>356</v>
      </c>
      <c r="F29" s="136">
        <v>245</v>
      </c>
      <c r="G29" s="136">
        <v>466</v>
      </c>
      <c r="H29" s="136">
        <v>245</v>
      </c>
      <c r="I29" s="136">
        <v>134</v>
      </c>
      <c r="J29" s="136">
        <v>567</v>
      </c>
      <c r="K29" s="228">
        <f t="shared" si="0"/>
        <v>2013</v>
      </c>
      <c r="L29" s="229">
        <f t="shared" si="1"/>
        <v>335.5</v>
      </c>
    </row>
    <row r="30" spans="4:12" ht="30" customHeight="1">
      <c r="D30" s="135" t="s">
        <v>55</v>
      </c>
      <c r="E30" s="136">
        <v>357</v>
      </c>
      <c r="F30" s="136">
        <v>246</v>
      </c>
      <c r="G30" s="136">
        <v>467</v>
      </c>
      <c r="H30" s="136">
        <v>246</v>
      </c>
      <c r="I30" s="136">
        <v>135</v>
      </c>
      <c r="J30" s="136">
        <v>568</v>
      </c>
      <c r="K30" s="228">
        <f t="shared" si="0"/>
        <v>2019</v>
      </c>
      <c r="L30" s="229">
        <f t="shared" si="1"/>
        <v>336.5</v>
      </c>
    </row>
    <row r="31" spans="4:12" ht="30" customHeight="1">
      <c r="D31" s="135" t="s">
        <v>56</v>
      </c>
      <c r="E31" s="136">
        <v>358</v>
      </c>
      <c r="F31" s="136">
        <v>247</v>
      </c>
      <c r="G31" s="136">
        <v>468</v>
      </c>
      <c r="H31" s="136">
        <v>247</v>
      </c>
      <c r="I31" s="136">
        <v>136</v>
      </c>
      <c r="J31" s="136">
        <v>569</v>
      </c>
      <c r="K31" s="228">
        <f t="shared" si="0"/>
        <v>2025</v>
      </c>
      <c r="L31" s="229">
        <f t="shared" si="1"/>
        <v>337.5</v>
      </c>
    </row>
    <row r="32" spans="4:12" ht="30" customHeight="1">
      <c r="D32" s="135" t="s">
        <v>57</v>
      </c>
      <c r="E32" s="136">
        <v>359</v>
      </c>
      <c r="F32" s="136">
        <v>248</v>
      </c>
      <c r="G32" s="136">
        <v>469</v>
      </c>
      <c r="H32" s="136">
        <v>248</v>
      </c>
      <c r="I32" s="136">
        <v>137</v>
      </c>
      <c r="J32" s="136">
        <v>570</v>
      </c>
      <c r="K32" s="228">
        <f t="shared" si="0"/>
        <v>2031</v>
      </c>
      <c r="L32" s="229">
        <f t="shared" si="1"/>
        <v>338.5</v>
      </c>
    </row>
    <row r="33" spans="4:12" ht="30" customHeight="1">
      <c r="D33" s="135" t="s">
        <v>58</v>
      </c>
      <c r="E33" s="136">
        <v>360</v>
      </c>
      <c r="F33" s="136">
        <v>249</v>
      </c>
      <c r="G33" s="136">
        <v>470</v>
      </c>
      <c r="H33" s="136">
        <v>249</v>
      </c>
      <c r="I33" s="136">
        <v>138</v>
      </c>
      <c r="J33" s="136">
        <v>571</v>
      </c>
      <c r="K33" s="228">
        <f t="shared" si="0"/>
        <v>2037</v>
      </c>
      <c r="L33" s="229">
        <f t="shared" si="1"/>
        <v>339.5</v>
      </c>
    </row>
    <row r="34" spans="4:12" ht="30" customHeight="1">
      <c r="D34" s="135" t="s">
        <v>59</v>
      </c>
      <c r="E34" s="136">
        <v>361</v>
      </c>
      <c r="F34" s="136">
        <v>250</v>
      </c>
      <c r="G34" s="136">
        <v>471</v>
      </c>
      <c r="H34" s="136">
        <v>250</v>
      </c>
      <c r="I34" s="136">
        <v>139</v>
      </c>
      <c r="J34" s="136">
        <v>572</v>
      </c>
      <c r="K34" s="228">
        <f t="shared" si="0"/>
        <v>2043</v>
      </c>
      <c r="L34" s="229">
        <f t="shared" si="1"/>
        <v>340.5</v>
      </c>
    </row>
    <row r="35" spans="4:12" ht="30" customHeight="1">
      <c r="D35" s="135" t="s">
        <v>60</v>
      </c>
      <c r="E35" s="136">
        <v>362</v>
      </c>
      <c r="F35" s="136">
        <v>251</v>
      </c>
      <c r="G35" s="136">
        <v>472</v>
      </c>
      <c r="H35" s="136">
        <v>251</v>
      </c>
      <c r="I35" s="136">
        <v>140</v>
      </c>
      <c r="J35" s="136">
        <v>573</v>
      </c>
      <c r="K35" s="228">
        <f t="shared" si="0"/>
        <v>2049</v>
      </c>
      <c r="L35" s="229">
        <f t="shared" si="1"/>
        <v>341.5</v>
      </c>
    </row>
    <row r="36" spans="4:12" ht="30" customHeight="1">
      <c r="D36" s="135" t="s">
        <v>61</v>
      </c>
      <c r="E36" s="136">
        <v>363</v>
      </c>
      <c r="F36" s="136">
        <v>252</v>
      </c>
      <c r="G36" s="136">
        <v>473</v>
      </c>
      <c r="H36" s="136">
        <v>252</v>
      </c>
      <c r="I36" s="136">
        <v>141</v>
      </c>
      <c r="J36" s="136">
        <v>574</v>
      </c>
      <c r="K36" s="228">
        <f t="shared" si="0"/>
        <v>2055</v>
      </c>
      <c r="L36" s="229">
        <f t="shared" si="1"/>
        <v>342.5</v>
      </c>
    </row>
    <row r="37" spans="4:12" ht="30" customHeight="1">
      <c r="D37" s="135" t="s">
        <v>62</v>
      </c>
      <c r="E37" s="136">
        <v>364</v>
      </c>
      <c r="F37" s="136">
        <v>253</v>
      </c>
      <c r="G37" s="136">
        <v>474</v>
      </c>
      <c r="H37" s="136">
        <v>253</v>
      </c>
      <c r="I37" s="136">
        <v>142</v>
      </c>
      <c r="J37" s="136">
        <v>575</v>
      </c>
      <c r="K37" s="228">
        <f t="shared" si="0"/>
        <v>2061</v>
      </c>
      <c r="L37" s="229">
        <f t="shared" si="1"/>
        <v>343.5</v>
      </c>
    </row>
    <row r="38" spans="4:12" ht="30" customHeight="1">
      <c r="D38" s="135" t="s">
        <v>63</v>
      </c>
      <c r="E38" s="136">
        <v>365</v>
      </c>
      <c r="F38" s="136">
        <v>254</v>
      </c>
      <c r="G38" s="136">
        <v>475</v>
      </c>
      <c r="H38" s="136">
        <v>254</v>
      </c>
      <c r="I38" s="136">
        <v>143</v>
      </c>
      <c r="J38" s="136">
        <v>576</v>
      </c>
      <c r="K38" s="228">
        <f t="shared" si="0"/>
        <v>2067</v>
      </c>
      <c r="L38" s="229">
        <f t="shared" si="1"/>
        <v>344.5</v>
      </c>
    </row>
    <row r="39" spans="4:12" ht="30" customHeight="1" thickBot="1">
      <c r="D39" s="137" t="s">
        <v>64</v>
      </c>
      <c r="E39" s="138">
        <v>366</v>
      </c>
      <c r="F39" s="138">
        <v>255</v>
      </c>
      <c r="G39" s="138">
        <v>476</v>
      </c>
      <c r="H39" s="138">
        <v>255</v>
      </c>
      <c r="I39" s="138">
        <v>144</v>
      </c>
      <c r="J39" s="138">
        <v>577</v>
      </c>
      <c r="K39" s="228">
        <f t="shared" si="0"/>
        <v>2073</v>
      </c>
      <c r="L39" s="229">
        <f t="shared" si="1"/>
        <v>345.5</v>
      </c>
    </row>
    <row r="40" spans="4:12" ht="2.1" customHeight="1"/>
    <row r="41" spans="4:12" ht="2.1" customHeight="1"/>
    <row r="42" spans="4:12" ht="2.1" customHeight="1"/>
    <row r="43" spans="4:12" ht="30" customHeight="1"/>
    <row r="44" spans="4:12" ht="30" customHeight="1">
      <c r="D44" s="182" t="s">
        <v>67</v>
      </c>
      <c r="E44" s="87"/>
      <c r="F44" s="88"/>
      <c r="G44" s="88"/>
    </row>
    <row r="45" spans="4:12" ht="5.0999999999999996" customHeight="1">
      <c r="D45" s="120"/>
    </row>
    <row r="46" spans="4:12" ht="30" customHeight="1">
      <c r="D46" s="148" t="s">
        <v>68</v>
      </c>
      <c r="K46" s="230">
        <f>AVERAGE(E16:E39,G16:G39)</f>
        <v>445.02083333333331</v>
      </c>
    </row>
    <row r="47" spans="4:12" ht="2.1" customHeight="1">
      <c r="D47" s="149"/>
      <c r="E47" s="133"/>
      <c r="F47" s="133"/>
      <c r="G47" s="133"/>
      <c r="H47" s="133"/>
      <c r="I47" s="133"/>
      <c r="K47" s="134"/>
    </row>
    <row r="48" spans="4:12" ht="30" customHeight="1">
      <c r="D48" s="148" t="s">
        <v>69</v>
      </c>
      <c r="K48" s="230">
        <f>AVERAGE(E20:J20,E17:J17)</f>
        <v>1056.4166666666667</v>
      </c>
    </row>
    <row r="49" spans="3:14" ht="2.1" customHeight="1">
      <c r="D49" s="149"/>
      <c r="E49" s="133"/>
      <c r="F49" s="133"/>
      <c r="G49" s="133"/>
      <c r="H49" s="133"/>
      <c r="I49" s="133"/>
      <c r="K49" s="134"/>
    </row>
    <row r="50" spans="3:14" ht="30" customHeight="1">
      <c r="D50" s="148" t="s">
        <v>480</v>
      </c>
      <c r="K50" s="230">
        <f>AVERAGE(F16:F39,H16:H39,I16:I39,J16:J39)</f>
        <v>450.6875</v>
      </c>
      <c r="M50" s="89"/>
    </row>
    <row r="51" spans="3:14" ht="2.1" customHeight="1">
      <c r="D51" s="149"/>
      <c r="E51" s="133"/>
      <c r="F51" s="133"/>
      <c r="G51" s="133"/>
      <c r="H51" s="133"/>
      <c r="I51" s="133"/>
      <c r="K51" s="134"/>
    </row>
    <row r="52" spans="3:14" ht="30" customHeight="1">
      <c r="D52" s="148" t="s">
        <v>481</v>
      </c>
      <c r="K52" s="230">
        <f>AVERAGE(H16:J39)</f>
        <v>487.76388888888891</v>
      </c>
    </row>
    <row r="53" spans="3:14" ht="2.1" customHeight="1">
      <c r="D53" s="133"/>
      <c r="E53" s="133"/>
      <c r="F53" s="133"/>
      <c r="G53" s="133"/>
      <c r="H53" s="133"/>
      <c r="I53" s="133"/>
      <c r="K53" s="133"/>
    </row>
    <row r="54" spans="3:14" ht="30" customHeight="1"/>
    <row r="55" spans="3:14" ht="48" customHeight="1">
      <c r="C55" s="181" t="s">
        <v>70</v>
      </c>
      <c r="D55" s="244" t="s">
        <v>521</v>
      </c>
      <c r="E55" s="245"/>
      <c r="F55" s="245"/>
      <c r="G55" s="245"/>
      <c r="H55" s="246"/>
    </row>
    <row r="56" spans="3:14" ht="15" customHeight="1" thickBot="1"/>
    <row r="57" spans="3:14" ht="30" customHeight="1">
      <c r="D57" s="121" t="s">
        <v>71</v>
      </c>
      <c r="E57" s="122" t="s">
        <v>72</v>
      </c>
      <c r="F57" s="122" t="s">
        <v>73</v>
      </c>
      <c r="G57" s="122" t="s">
        <v>74</v>
      </c>
      <c r="H57" s="122" t="s">
        <v>22</v>
      </c>
      <c r="I57" s="122" t="s">
        <v>75</v>
      </c>
      <c r="J57" s="122" t="s">
        <v>76</v>
      </c>
      <c r="K57" s="122" t="s">
        <v>77</v>
      </c>
      <c r="L57" s="122" t="s">
        <v>78</v>
      </c>
      <c r="M57" s="122" t="s">
        <v>79</v>
      </c>
      <c r="N57" s="123" t="s">
        <v>5</v>
      </c>
    </row>
    <row r="58" spans="3:14" ht="30" customHeight="1">
      <c r="D58" s="124">
        <v>1</v>
      </c>
      <c r="E58" s="125">
        <v>3628906</v>
      </c>
      <c r="F58" s="126" t="s">
        <v>25</v>
      </c>
      <c r="G58" s="126" t="s">
        <v>80</v>
      </c>
      <c r="H58" s="126" t="s">
        <v>81</v>
      </c>
      <c r="I58" s="127">
        <v>32944</v>
      </c>
      <c r="J58" s="126" t="s">
        <v>82</v>
      </c>
      <c r="K58" s="125">
        <v>14</v>
      </c>
      <c r="L58" s="125">
        <v>13</v>
      </c>
      <c r="M58" s="125">
        <v>17</v>
      </c>
      <c r="N58" s="231">
        <f>AVERAGE(K58:M58)</f>
        <v>14.666666666666666</v>
      </c>
    </row>
    <row r="59" spans="3:14" ht="30" customHeight="1">
      <c r="D59" s="124">
        <v>2</v>
      </c>
      <c r="E59" s="125">
        <v>2627183</v>
      </c>
      <c r="F59" s="126" t="s">
        <v>83</v>
      </c>
      <c r="G59" s="126" t="s">
        <v>84</v>
      </c>
      <c r="H59" s="126" t="s">
        <v>85</v>
      </c>
      <c r="I59" s="127">
        <v>33952</v>
      </c>
      <c r="J59" s="126" t="s">
        <v>86</v>
      </c>
      <c r="K59" s="125">
        <v>12</v>
      </c>
      <c r="L59" s="125">
        <v>13</v>
      </c>
      <c r="M59" s="125">
        <v>16</v>
      </c>
      <c r="N59" s="231">
        <f t="shared" ref="N59:N97" si="2">AVERAGE(K59:M59)</f>
        <v>13.666666666666666</v>
      </c>
    </row>
    <row r="60" spans="3:14" ht="30" customHeight="1">
      <c r="D60" s="124">
        <v>3</v>
      </c>
      <c r="E60" s="125">
        <v>1626701</v>
      </c>
      <c r="F60" s="126" t="s">
        <v>87</v>
      </c>
      <c r="G60" s="126" t="s">
        <v>88</v>
      </c>
      <c r="H60" s="126" t="s">
        <v>89</v>
      </c>
      <c r="I60" s="127">
        <v>34945</v>
      </c>
      <c r="J60" s="126" t="s">
        <v>90</v>
      </c>
      <c r="K60" s="125">
        <v>15</v>
      </c>
      <c r="L60" s="125">
        <v>14</v>
      </c>
      <c r="M60" s="125">
        <v>15</v>
      </c>
      <c r="N60" s="231">
        <f t="shared" si="2"/>
        <v>14.666666666666666</v>
      </c>
    </row>
    <row r="61" spans="3:14" ht="30" customHeight="1">
      <c r="D61" s="124">
        <v>4</v>
      </c>
      <c r="E61" s="125">
        <v>2120526</v>
      </c>
      <c r="F61" s="126" t="s">
        <v>91</v>
      </c>
      <c r="G61" s="126" t="s">
        <v>25</v>
      </c>
      <c r="H61" s="126" t="s">
        <v>92</v>
      </c>
      <c r="I61" s="127">
        <v>34382</v>
      </c>
      <c r="J61" s="126" t="s">
        <v>93</v>
      </c>
      <c r="K61" s="125">
        <v>8</v>
      </c>
      <c r="L61" s="125">
        <v>12</v>
      </c>
      <c r="M61" s="125">
        <v>14</v>
      </c>
      <c r="N61" s="231">
        <f t="shared" si="2"/>
        <v>11.333333333333334</v>
      </c>
    </row>
    <row r="62" spans="3:14" ht="30" customHeight="1">
      <c r="D62" s="124">
        <v>5</v>
      </c>
      <c r="E62" s="125">
        <v>3629317</v>
      </c>
      <c r="F62" s="126" t="s">
        <v>94</v>
      </c>
      <c r="G62" s="126" t="s">
        <v>95</v>
      </c>
      <c r="H62" s="126" t="s">
        <v>96</v>
      </c>
      <c r="I62" s="127">
        <v>32981</v>
      </c>
      <c r="J62" s="126" t="s">
        <v>82</v>
      </c>
      <c r="K62" s="125">
        <v>15</v>
      </c>
      <c r="L62" s="125">
        <v>17</v>
      </c>
      <c r="M62" s="125">
        <v>15</v>
      </c>
      <c r="N62" s="231">
        <f t="shared" si="2"/>
        <v>15.666666666666666</v>
      </c>
    </row>
    <row r="63" spans="3:14" ht="30" customHeight="1">
      <c r="D63" s="124">
        <v>6</v>
      </c>
      <c r="E63" s="125">
        <v>3627888</v>
      </c>
      <c r="F63" s="126" t="s">
        <v>97</v>
      </c>
      <c r="G63" s="126" t="s">
        <v>98</v>
      </c>
      <c r="H63" s="126" t="s">
        <v>99</v>
      </c>
      <c r="I63" s="127">
        <v>34797</v>
      </c>
      <c r="J63" s="126" t="s">
        <v>93</v>
      </c>
      <c r="K63" s="125">
        <v>16</v>
      </c>
      <c r="L63" s="125">
        <v>14</v>
      </c>
      <c r="M63" s="125">
        <v>12</v>
      </c>
      <c r="N63" s="231">
        <f t="shared" si="2"/>
        <v>14</v>
      </c>
    </row>
    <row r="64" spans="3:14" ht="30" customHeight="1">
      <c r="D64" s="124">
        <v>7</v>
      </c>
      <c r="E64" s="125">
        <v>2625776</v>
      </c>
      <c r="F64" s="126" t="s">
        <v>100</v>
      </c>
      <c r="G64" s="126" t="s">
        <v>101</v>
      </c>
      <c r="H64" s="126" t="s">
        <v>102</v>
      </c>
      <c r="I64" s="127">
        <v>33792</v>
      </c>
      <c r="J64" s="126" t="s">
        <v>90</v>
      </c>
      <c r="K64" s="125">
        <v>8</v>
      </c>
      <c r="L64" s="125">
        <v>9</v>
      </c>
      <c r="M64" s="125">
        <v>9</v>
      </c>
      <c r="N64" s="231">
        <f t="shared" si="2"/>
        <v>8.6666666666666661</v>
      </c>
    </row>
    <row r="65" spans="2:14" ht="30" customHeight="1">
      <c r="D65" s="124">
        <v>8</v>
      </c>
      <c r="E65" s="125">
        <v>2626853</v>
      </c>
      <c r="F65" s="126" t="s">
        <v>103</v>
      </c>
      <c r="G65" s="126" t="s">
        <v>104</v>
      </c>
      <c r="H65" s="126" t="s">
        <v>105</v>
      </c>
      <c r="I65" s="127">
        <v>34412</v>
      </c>
      <c r="J65" s="126" t="s">
        <v>86</v>
      </c>
      <c r="K65" s="125">
        <v>14</v>
      </c>
      <c r="L65" s="125">
        <v>12</v>
      </c>
      <c r="M65" s="125">
        <v>13</v>
      </c>
      <c r="N65" s="231">
        <f t="shared" si="2"/>
        <v>13</v>
      </c>
    </row>
    <row r="66" spans="2:14" ht="30" customHeight="1">
      <c r="D66" s="124">
        <v>9</v>
      </c>
      <c r="E66" s="125">
        <v>5631815</v>
      </c>
      <c r="F66" s="126" t="s">
        <v>106</v>
      </c>
      <c r="G66" s="126" t="s">
        <v>107</v>
      </c>
      <c r="H66" s="126" t="s">
        <v>108</v>
      </c>
      <c r="I66" s="127">
        <v>34766</v>
      </c>
      <c r="J66" s="126" t="s">
        <v>82</v>
      </c>
      <c r="K66" s="125">
        <v>15</v>
      </c>
      <c r="L66" s="125">
        <v>17</v>
      </c>
      <c r="M66" s="125">
        <v>10</v>
      </c>
      <c r="N66" s="231">
        <f t="shared" si="2"/>
        <v>14</v>
      </c>
    </row>
    <row r="67" spans="2:14" ht="30" customHeight="1">
      <c r="D67" s="124">
        <v>10</v>
      </c>
      <c r="E67" s="125">
        <v>3628604</v>
      </c>
      <c r="F67" s="126" t="s">
        <v>109</v>
      </c>
      <c r="G67" s="126" t="s">
        <v>110</v>
      </c>
      <c r="H67" s="126" t="s">
        <v>111</v>
      </c>
      <c r="I67" s="127">
        <v>33763</v>
      </c>
      <c r="J67" s="126" t="s">
        <v>86</v>
      </c>
      <c r="K67" s="125">
        <v>15</v>
      </c>
      <c r="L67" s="125">
        <v>18</v>
      </c>
      <c r="M67" s="125">
        <v>12</v>
      </c>
      <c r="N67" s="231">
        <f t="shared" si="2"/>
        <v>15</v>
      </c>
    </row>
    <row r="68" spans="2:14" ht="30" customHeight="1">
      <c r="D68" s="124">
        <v>11</v>
      </c>
      <c r="E68" s="125">
        <v>2626276</v>
      </c>
      <c r="F68" s="126" t="s">
        <v>109</v>
      </c>
      <c r="G68" s="126" t="s">
        <v>112</v>
      </c>
      <c r="H68" s="126" t="s">
        <v>113</v>
      </c>
      <c r="I68" s="127">
        <v>33859</v>
      </c>
      <c r="J68" s="126" t="s">
        <v>90</v>
      </c>
      <c r="K68" s="125">
        <v>16</v>
      </c>
      <c r="L68" s="125">
        <v>12</v>
      </c>
      <c r="M68" s="125">
        <v>19</v>
      </c>
      <c r="N68" s="231">
        <f t="shared" si="2"/>
        <v>15.666666666666666</v>
      </c>
    </row>
    <row r="69" spans="2:14" ht="30" customHeight="1">
      <c r="D69" s="124">
        <v>12</v>
      </c>
      <c r="E69" s="125">
        <v>3627810</v>
      </c>
      <c r="F69" s="126" t="s">
        <v>114</v>
      </c>
      <c r="G69" s="126" t="s">
        <v>115</v>
      </c>
      <c r="H69" s="126" t="s">
        <v>116</v>
      </c>
      <c r="I69" s="127">
        <v>34919</v>
      </c>
      <c r="J69" s="126" t="s">
        <v>90</v>
      </c>
      <c r="K69" s="125">
        <v>7</v>
      </c>
      <c r="L69" s="125">
        <v>16</v>
      </c>
      <c r="M69" s="125">
        <v>14</v>
      </c>
      <c r="N69" s="231">
        <f t="shared" si="2"/>
        <v>12.333333333333334</v>
      </c>
    </row>
    <row r="70" spans="2:14" ht="30" customHeight="1">
      <c r="D70" s="124">
        <v>13</v>
      </c>
      <c r="E70" s="125">
        <v>2629161</v>
      </c>
      <c r="F70" s="126" t="s">
        <v>117</v>
      </c>
      <c r="G70" s="126" t="s">
        <v>118</v>
      </c>
      <c r="H70" s="126" t="s">
        <v>119</v>
      </c>
      <c r="I70" s="127">
        <v>33642</v>
      </c>
      <c r="J70" s="126" t="s">
        <v>86</v>
      </c>
      <c r="K70" s="125">
        <v>19</v>
      </c>
      <c r="L70" s="125">
        <v>11</v>
      </c>
      <c r="M70" s="125">
        <v>16</v>
      </c>
      <c r="N70" s="231">
        <f t="shared" si="2"/>
        <v>15.333333333333334</v>
      </c>
    </row>
    <row r="71" spans="2:14" ht="30" customHeight="1">
      <c r="D71" s="124">
        <v>14</v>
      </c>
      <c r="E71" s="125">
        <v>2626101</v>
      </c>
      <c r="F71" s="126" t="s">
        <v>120</v>
      </c>
      <c r="G71" s="126" t="s">
        <v>121</v>
      </c>
      <c r="H71" s="126" t="s">
        <v>122</v>
      </c>
      <c r="I71" s="127">
        <v>35012</v>
      </c>
      <c r="J71" s="126" t="s">
        <v>93</v>
      </c>
      <c r="K71" s="125">
        <v>14</v>
      </c>
      <c r="L71" s="125">
        <v>16</v>
      </c>
      <c r="M71" s="125">
        <v>13</v>
      </c>
      <c r="N71" s="231">
        <f t="shared" si="2"/>
        <v>14.333333333333334</v>
      </c>
    </row>
    <row r="72" spans="2:14" ht="30" customHeight="1">
      <c r="D72" s="124">
        <v>15</v>
      </c>
      <c r="E72" s="125">
        <v>3630994</v>
      </c>
      <c r="F72" s="126" t="s">
        <v>123</v>
      </c>
      <c r="G72" s="126" t="s">
        <v>124</v>
      </c>
      <c r="H72" s="126" t="s">
        <v>125</v>
      </c>
      <c r="I72" s="127">
        <v>34438</v>
      </c>
      <c r="J72" s="126" t="s">
        <v>86</v>
      </c>
      <c r="K72" s="125">
        <v>17</v>
      </c>
      <c r="L72" s="125">
        <v>13</v>
      </c>
      <c r="M72" s="125">
        <v>10</v>
      </c>
      <c r="N72" s="231">
        <f t="shared" si="2"/>
        <v>13.333333333333334</v>
      </c>
    </row>
    <row r="73" spans="2:14" ht="30" customHeight="1">
      <c r="B73" s="13"/>
      <c r="C73" s="13"/>
      <c r="D73" s="124">
        <v>16</v>
      </c>
      <c r="E73" s="125">
        <v>1626523</v>
      </c>
      <c r="F73" s="126" t="s">
        <v>126</v>
      </c>
      <c r="G73" s="126" t="s">
        <v>127</v>
      </c>
      <c r="H73" s="126" t="s">
        <v>102</v>
      </c>
      <c r="I73" s="127">
        <v>35022</v>
      </c>
      <c r="J73" s="126" t="s">
        <v>82</v>
      </c>
      <c r="K73" s="125">
        <v>13</v>
      </c>
      <c r="L73" s="125">
        <v>17</v>
      </c>
      <c r="M73" s="125">
        <v>9</v>
      </c>
      <c r="N73" s="231">
        <f t="shared" si="2"/>
        <v>13</v>
      </c>
    </row>
    <row r="74" spans="2:14" ht="30" customHeight="1">
      <c r="B74" s="13"/>
      <c r="C74" s="13"/>
      <c r="D74" s="124">
        <v>17</v>
      </c>
      <c r="E74" s="125">
        <v>8627178</v>
      </c>
      <c r="F74" s="126" t="s">
        <v>128</v>
      </c>
      <c r="G74" s="126" t="s">
        <v>129</v>
      </c>
      <c r="H74" s="126" t="s">
        <v>130</v>
      </c>
      <c r="I74" s="127">
        <v>33674</v>
      </c>
      <c r="J74" s="126" t="s">
        <v>82</v>
      </c>
      <c r="K74" s="125">
        <v>7</v>
      </c>
      <c r="L74" s="125">
        <v>14</v>
      </c>
      <c r="M74" s="125">
        <v>14</v>
      </c>
      <c r="N74" s="231">
        <f t="shared" si="2"/>
        <v>11.666666666666666</v>
      </c>
    </row>
    <row r="75" spans="2:14" ht="30" customHeight="1">
      <c r="B75" s="13"/>
      <c r="C75" s="13"/>
      <c r="D75" s="124">
        <v>18</v>
      </c>
      <c r="E75" s="125">
        <v>9182017</v>
      </c>
      <c r="F75" s="126" t="s">
        <v>131</v>
      </c>
      <c r="G75" s="126" t="s">
        <v>132</v>
      </c>
      <c r="H75" s="126" t="s">
        <v>133</v>
      </c>
      <c r="I75" s="127">
        <v>33697</v>
      </c>
      <c r="J75" s="126" t="s">
        <v>86</v>
      </c>
      <c r="K75" s="125">
        <v>17</v>
      </c>
      <c r="L75" s="125">
        <v>11</v>
      </c>
      <c r="M75" s="125">
        <v>12</v>
      </c>
      <c r="N75" s="231">
        <f t="shared" si="2"/>
        <v>13.333333333333334</v>
      </c>
    </row>
    <row r="76" spans="2:14" ht="30" customHeight="1">
      <c r="D76" s="124">
        <v>19</v>
      </c>
      <c r="E76" s="125">
        <v>4627970</v>
      </c>
      <c r="F76" s="126" t="s">
        <v>134</v>
      </c>
      <c r="G76" s="126" t="s">
        <v>135</v>
      </c>
      <c r="H76" s="126" t="s">
        <v>136</v>
      </c>
      <c r="I76" s="127">
        <v>34493</v>
      </c>
      <c r="J76" s="126" t="s">
        <v>82</v>
      </c>
      <c r="K76" s="125">
        <v>10</v>
      </c>
      <c r="L76" s="125">
        <v>17</v>
      </c>
      <c r="M76" s="125">
        <v>13</v>
      </c>
      <c r="N76" s="231">
        <f t="shared" si="2"/>
        <v>13.333333333333334</v>
      </c>
    </row>
    <row r="77" spans="2:14" ht="30" customHeight="1">
      <c r="D77" s="124">
        <v>20</v>
      </c>
      <c r="E77" s="125">
        <v>2182289</v>
      </c>
      <c r="F77" s="126" t="s">
        <v>137</v>
      </c>
      <c r="G77" s="126" t="s">
        <v>138</v>
      </c>
      <c r="H77" s="126" t="s">
        <v>89</v>
      </c>
      <c r="I77" s="127">
        <v>35053</v>
      </c>
      <c r="J77" s="126" t="s">
        <v>86</v>
      </c>
      <c r="K77" s="125">
        <v>16</v>
      </c>
      <c r="L77" s="125">
        <v>14</v>
      </c>
      <c r="M77" s="125">
        <v>16</v>
      </c>
      <c r="N77" s="231">
        <f t="shared" si="2"/>
        <v>15.333333333333334</v>
      </c>
    </row>
    <row r="78" spans="2:14" ht="30" customHeight="1">
      <c r="D78" s="124">
        <v>21</v>
      </c>
      <c r="E78" s="125">
        <v>3629732</v>
      </c>
      <c r="F78" s="126" t="s">
        <v>139</v>
      </c>
      <c r="G78" s="126" t="s">
        <v>140</v>
      </c>
      <c r="H78" s="126" t="s">
        <v>141</v>
      </c>
      <c r="I78" s="127">
        <v>34337</v>
      </c>
      <c r="J78" s="126" t="s">
        <v>82</v>
      </c>
      <c r="K78" s="125">
        <v>11</v>
      </c>
      <c r="L78" s="125">
        <v>12</v>
      </c>
      <c r="M78" s="125">
        <v>8</v>
      </c>
      <c r="N78" s="231">
        <f t="shared" si="2"/>
        <v>10.333333333333334</v>
      </c>
    </row>
    <row r="79" spans="2:14" ht="30" customHeight="1">
      <c r="D79" s="124">
        <v>22</v>
      </c>
      <c r="E79" s="125">
        <v>4957640</v>
      </c>
      <c r="F79" s="126" t="s">
        <v>142</v>
      </c>
      <c r="G79" s="126" t="s">
        <v>110</v>
      </c>
      <c r="H79" s="126" t="s">
        <v>143</v>
      </c>
      <c r="I79" s="127">
        <v>34257</v>
      </c>
      <c r="J79" s="126" t="s">
        <v>90</v>
      </c>
      <c r="K79" s="125">
        <v>12</v>
      </c>
      <c r="L79" s="125">
        <v>13</v>
      </c>
      <c r="M79" s="125">
        <v>15</v>
      </c>
      <c r="N79" s="231">
        <f t="shared" si="2"/>
        <v>13.333333333333334</v>
      </c>
    </row>
    <row r="80" spans="2:14" ht="30" customHeight="1">
      <c r="D80" s="124">
        <v>23</v>
      </c>
      <c r="E80" s="125">
        <v>1591502</v>
      </c>
      <c r="F80" s="126" t="s">
        <v>144</v>
      </c>
      <c r="G80" s="126" t="s">
        <v>145</v>
      </c>
      <c r="H80" s="126" t="s">
        <v>146</v>
      </c>
      <c r="I80" s="127">
        <v>33863</v>
      </c>
      <c r="J80" s="126" t="s">
        <v>93</v>
      </c>
      <c r="K80" s="125">
        <v>8</v>
      </c>
      <c r="L80" s="125">
        <v>16</v>
      </c>
      <c r="M80" s="125">
        <v>11</v>
      </c>
      <c r="N80" s="231">
        <f t="shared" si="2"/>
        <v>11.666666666666666</v>
      </c>
    </row>
    <row r="81" spans="4:14" ht="30" customHeight="1">
      <c r="D81" s="124">
        <v>24</v>
      </c>
      <c r="E81" s="125">
        <v>2183092</v>
      </c>
      <c r="F81" s="126" t="s">
        <v>147</v>
      </c>
      <c r="G81" s="126" t="s">
        <v>148</v>
      </c>
      <c r="H81" s="126" t="s">
        <v>149</v>
      </c>
      <c r="I81" s="127">
        <v>34671</v>
      </c>
      <c r="J81" s="126" t="s">
        <v>90</v>
      </c>
      <c r="K81" s="125">
        <v>20</v>
      </c>
      <c r="L81" s="125">
        <v>10</v>
      </c>
      <c r="M81" s="125">
        <v>8</v>
      </c>
      <c r="N81" s="231">
        <f t="shared" si="2"/>
        <v>12.666666666666666</v>
      </c>
    </row>
    <row r="82" spans="4:14" ht="30" customHeight="1">
      <c r="D82" s="124">
        <v>25</v>
      </c>
      <c r="E82" s="125">
        <v>6693873</v>
      </c>
      <c r="F82" s="126" t="s">
        <v>150</v>
      </c>
      <c r="G82" s="126" t="s">
        <v>151</v>
      </c>
      <c r="H82" s="126" t="s">
        <v>152</v>
      </c>
      <c r="I82" s="127">
        <v>33981</v>
      </c>
      <c r="J82" s="126" t="s">
        <v>93</v>
      </c>
      <c r="K82" s="125">
        <v>16</v>
      </c>
      <c r="L82" s="125">
        <v>10</v>
      </c>
      <c r="M82" s="125">
        <v>17</v>
      </c>
      <c r="N82" s="231">
        <f t="shared" si="2"/>
        <v>14.333333333333334</v>
      </c>
    </row>
    <row r="83" spans="4:14" ht="30" customHeight="1">
      <c r="D83" s="124">
        <v>26</v>
      </c>
      <c r="E83" s="125">
        <v>4732921</v>
      </c>
      <c r="F83" s="126" t="s">
        <v>153</v>
      </c>
      <c r="G83" s="126" t="s">
        <v>154</v>
      </c>
      <c r="H83" s="126" t="s">
        <v>155</v>
      </c>
      <c r="I83" s="127">
        <v>33695</v>
      </c>
      <c r="J83" s="126" t="s">
        <v>90</v>
      </c>
      <c r="K83" s="125">
        <v>12</v>
      </c>
      <c r="L83" s="125">
        <v>19</v>
      </c>
      <c r="M83" s="125">
        <v>15</v>
      </c>
      <c r="N83" s="231">
        <f t="shared" si="2"/>
        <v>15.333333333333334</v>
      </c>
    </row>
    <row r="84" spans="4:14" ht="30" customHeight="1">
      <c r="D84" s="124">
        <v>27</v>
      </c>
      <c r="E84" s="125">
        <v>2290698</v>
      </c>
      <c r="F84" s="126" t="s">
        <v>156</v>
      </c>
      <c r="G84" s="126" t="s">
        <v>157</v>
      </c>
      <c r="H84" s="126" t="s">
        <v>158</v>
      </c>
      <c r="I84" s="127">
        <v>34437</v>
      </c>
      <c r="J84" s="126" t="s">
        <v>82</v>
      </c>
      <c r="K84" s="125">
        <v>10</v>
      </c>
      <c r="L84" s="125">
        <v>17</v>
      </c>
      <c r="M84" s="125">
        <v>11</v>
      </c>
      <c r="N84" s="231">
        <f t="shared" si="2"/>
        <v>12.666666666666666</v>
      </c>
    </row>
    <row r="85" spans="4:14" ht="30" customHeight="1">
      <c r="D85" s="124">
        <v>28</v>
      </c>
      <c r="E85" s="125">
        <v>3440900</v>
      </c>
      <c r="F85" s="126" t="s">
        <v>104</v>
      </c>
      <c r="G85" s="126" t="s">
        <v>159</v>
      </c>
      <c r="H85" s="126" t="s">
        <v>160</v>
      </c>
      <c r="I85" s="127">
        <v>32958</v>
      </c>
      <c r="J85" s="126" t="s">
        <v>86</v>
      </c>
      <c r="K85" s="125">
        <v>13</v>
      </c>
      <c r="L85" s="125">
        <v>18</v>
      </c>
      <c r="M85" s="125">
        <v>10</v>
      </c>
      <c r="N85" s="231">
        <f t="shared" si="2"/>
        <v>13.666666666666666</v>
      </c>
    </row>
    <row r="86" spans="4:14" ht="30" customHeight="1">
      <c r="D86" s="124">
        <v>29</v>
      </c>
      <c r="E86" s="125">
        <v>1379395</v>
      </c>
      <c r="F86" s="126" t="s">
        <v>161</v>
      </c>
      <c r="G86" s="126" t="s">
        <v>162</v>
      </c>
      <c r="H86" s="126" t="s">
        <v>163</v>
      </c>
      <c r="I86" s="127">
        <v>32959</v>
      </c>
      <c r="J86" s="126" t="s">
        <v>82</v>
      </c>
      <c r="K86" s="125">
        <v>6</v>
      </c>
      <c r="L86" s="125">
        <v>10</v>
      </c>
      <c r="M86" s="125">
        <v>9</v>
      </c>
      <c r="N86" s="231">
        <f t="shared" si="2"/>
        <v>8.3333333333333339</v>
      </c>
    </row>
    <row r="87" spans="4:14" ht="30" customHeight="1">
      <c r="D87" s="124">
        <v>30</v>
      </c>
      <c r="E87" s="125">
        <v>6887299</v>
      </c>
      <c r="F87" s="126" t="s">
        <v>164</v>
      </c>
      <c r="G87" s="126" t="s">
        <v>165</v>
      </c>
      <c r="H87" s="126" t="s">
        <v>166</v>
      </c>
      <c r="I87" s="127">
        <v>34101</v>
      </c>
      <c r="J87" s="126" t="s">
        <v>86</v>
      </c>
      <c r="K87" s="125">
        <v>3</v>
      </c>
      <c r="L87" s="125">
        <v>14</v>
      </c>
      <c r="M87" s="125">
        <v>10</v>
      </c>
      <c r="N87" s="231">
        <f t="shared" si="2"/>
        <v>9</v>
      </c>
    </row>
    <row r="88" spans="4:14" ht="30" customHeight="1">
      <c r="D88" s="124">
        <v>31</v>
      </c>
      <c r="E88" s="125">
        <v>7229481</v>
      </c>
      <c r="F88" s="126" t="s">
        <v>167</v>
      </c>
      <c r="G88" s="126" t="s">
        <v>168</v>
      </c>
      <c r="H88" s="126" t="s">
        <v>169</v>
      </c>
      <c r="I88" s="127">
        <v>33866</v>
      </c>
      <c r="J88" s="126" t="s">
        <v>90</v>
      </c>
      <c r="K88" s="125">
        <v>11</v>
      </c>
      <c r="L88" s="125">
        <v>20</v>
      </c>
      <c r="M88" s="125">
        <v>9</v>
      </c>
      <c r="N88" s="231">
        <f t="shared" si="2"/>
        <v>13.333333333333334</v>
      </c>
    </row>
    <row r="89" spans="4:14" ht="30" customHeight="1">
      <c r="D89" s="124">
        <v>32</v>
      </c>
      <c r="E89" s="125">
        <v>6313581</v>
      </c>
      <c r="F89" s="126" t="s">
        <v>170</v>
      </c>
      <c r="G89" s="126" t="s">
        <v>171</v>
      </c>
      <c r="H89" s="126" t="s">
        <v>172</v>
      </c>
      <c r="I89" s="127">
        <v>33993</v>
      </c>
      <c r="J89" s="126" t="s">
        <v>86</v>
      </c>
      <c r="K89" s="125">
        <v>12</v>
      </c>
      <c r="L89" s="125">
        <v>12</v>
      </c>
      <c r="M89" s="125">
        <v>13</v>
      </c>
      <c r="N89" s="231">
        <f t="shared" si="2"/>
        <v>12.333333333333334</v>
      </c>
    </row>
    <row r="90" spans="4:14" ht="30" customHeight="1">
      <c r="D90" s="124">
        <v>33</v>
      </c>
      <c r="E90" s="125">
        <v>1322121</v>
      </c>
      <c r="F90" s="126" t="s">
        <v>173</v>
      </c>
      <c r="G90" s="126" t="s">
        <v>174</v>
      </c>
      <c r="H90" s="126" t="s">
        <v>175</v>
      </c>
      <c r="I90" s="127">
        <v>34333</v>
      </c>
      <c r="J90" s="126" t="s">
        <v>93</v>
      </c>
      <c r="K90" s="125">
        <v>4</v>
      </c>
      <c r="L90" s="125">
        <v>15</v>
      </c>
      <c r="M90" s="125">
        <v>19</v>
      </c>
      <c r="N90" s="231">
        <f t="shared" si="2"/>
        <v>12.666666666666666</v>
      </c>
    </row>
    <row r="91" spans="4:14" ht="30" customHeight="1">
      <c r="D91" s="124">
        <v>34</v>
      </c>
      <c r="E91" s="125">
        <v>3732253</v>
      </c>
      <c r="F91" s="126" t="s">
        <v>176</v>
      </c>
      <c r="G91" s="126" t="s">
        <v>177</v>
      </c>
      <c r="H91" s="126" t="s">
        <v>178</v>
      </c>
      <c r="I91" s="127">
        <v>33165</v>
      </c>
      <c r="J91" s="126" t="s">
        <v>90</v>
      </c>
      <c r="K91" s="125">
        <v>18</v>
      </c>
      <c r="L91" s="125">
        <v>20</v>
      </c>
      <c r="M91" s="125">
        <v>13</v>
      </c>
      <c r="N91" s="231">
        <f t="shared" si="2"/>
        <v>17</v>
      </c>
    </row>
    <row r="92" spans="4:14" ht="30" customHeight="1">
      <c r="D92" s="124">
        <v>35</v>
      </c>
      <c r="E92" s="125">
        <v>4532738</v>
      </c>
      <c r="F92" s="126" t="s">
        <v>179</v>
      </c>
      <c r="G92" s="126" t="s">
        <v>180</v>
      </c>
      <c r="H92" s="126" t="s">
        <v>181</v>
      </c>
      <c r="I92" s="127">
        <v>34555</v>
      </c>
      <c r="J92" s="126" t="s">
        <v>93</v>
      </c>
      <c r="K92" s="125">
        <v>6</v>
      </c>
      <c r="L92" s="125">
        <v>17</v>
      </c>
      <c r="M92" s="125">
        <v>17</v>
      </c>
      <c r="N92" s="231">
        <f t="shared" si="2"/>
        <v>13.333333333333334</v>
      </c>
    </row>
    <row r="93" spans="4:14" ht="30" customHeight="1">
      <c r="D93" s="124">
        <v>36</v>
      </c>
      <c r="E93" s="125">
        <v>6265587</v>
      </c>
      <c r="F93" s="126" t="s">
        <v>182</v>
      </c>
      <c r="G93" s="126" t="s">
        <v>183</v>
      </c>
      <c r="H93" s="126" t="s">
        <v>184</v>
      </c>
      <c r="I93" s="127">
        <v>34313</v>
      </c>
      <c r="J93" s="126" t="s">
        <v>82</v>
      </c>
      <c r="K93" s="125">
        <v>14</v>
      </c>
      <c r="L93" s="125">
        <v>12</v>
      </c>
      <c r="M93" s="125">
        <v>15</v>
      </c>
      <c r="N93" s="231">
        <f t="shared" si="2"/>
        <v>13.666666666666666</v>
      </c>
    </row>
    <row r="94" spans="4:14" ht="30" customHeight="1">
      <c r="D94" s="124">
        <v>37</v>
      </c>
      <c r="E94" s="125">
        <v>2415830</v>
      </c>
      <c r="F94" s="126" t="s">
        <v>185</v>
      </c>
      <c r="G94" s="126" t="s">
        <v>186</v>
      </c>
      <c r="H94" s="126" t="s">
        <v>187</v>
      </c>
      <c r="I94" s="127">
        <v>33642</v>
      </c>
      <c r="J94" s="126" t="s">
        <v>86</v>
      </c>
      <c r="K94" s="125">
        <v>13</v>
      </c>
      <c r="L94" s="125">
        <v>12</v>
      </c>
      <c r="M94" s="125">
        <v>9</v>
      </c>
      <c r="N94" s="231">
        <f t="shared" si="2"/>
        <v>11.333333333333334</v>
      </c>
    </row>
    <row r="95" spans="4:14" ht="30" customHeight="1">
      <c r="D95" s="124">
        <v>38</v>
      </c>
      <c r="E95" s="125">
        <v>5523442</v>
      </c>
      <c r="F95" s="126" t="s">
        <v>188</v>
      </c>
      <c r="G95" s="126" t="s">
        <v>151</v>
      </c>
      <c r="H95" s="126" t="s">
        <v>189</v>
      </c>
      <c r="I95" s="127">
        <v>34580</v>
      </c>
      <c r="J95" s="126" t="s">
        <v>93</v>
      </c>
      <c r="K95" s="125">
        <v>7</v>
      </c>
      <c r="L95" s="125">
        <v>18</v>
      </c>
      <c r="M95" s="125">
        <v>17</v>
      </c>
      <c r="N95" s="231">
        <f t="shared" si="2"/>
        <v>14</v>
      </c>
    </row>
    <row r="96" spans="4:14" ht="30" customHeight="1">
      <c r="D96" s="124">
        <v>39</v>
      </c>
      <c r="E96" s="125">
        <v>4967243</v>
      </c>
      <c r="F96" s="126" t="s">
        <v>24</v>
      </c>
      <c r="G96" s="126" t="s">
        <v>190</v>
      </c>
      <c r="H96" s="126" t="s">
        <v>191</v>
      </c>
      <c r="I96" s="127">
        <v>34550</v>
      </c>
      <c r="J96" s="126" t="s">
        <v>90</v>
      </c>
      <c r="K96" s="125">
        <v>12</v>
      </c>
      <c r="L96" s="125">
        <v>14</v>
      </c>
      <c r="M96" s="125">
        <v>20</v>
      </c>
      <c r="N96" s="231">
        <f t="shared" si="2"/>
        <v>15.333333333333334</v>
      </c>
    </row>
    <row r="97" spans="3:14" ht="30" customHeight="1" thickBot="1">
      <c r="D97" s="128">
        <v>40</v>
      </c>
      <c r="E97" s="129">
        <v>1630989</v>
      </c>
      <c r="F97" s="130" t="s">
        <v>192</v>
      </c>
      <c r="G97" s="130" t="s">
        <v>193</v>
      </c>
      <c r="H97" s="130" t="s">
        <v>194</v>
      </c>
      <c r="I97" s="131">
        <v>34610</v>
      </c>
      <c r="J97" s="130" t="s">
        <v>93</v>
      </c>
      <c r="K97" s="129">
        <v>11</v>
      </c>
      <c r="L97" s="129">
        <v>10</v>
      </c>
      <c r="M97" s="129">
        <v>13</v>
      </c>
      <c r="N97" s="231">
        <f t="shared" si="2"/>
        <v>11.333333333333334</v>
      </c>
    </row>
    <row r="98" spans="3:14" ht="30" customHeight="1"/>
    <row r="99" spans="3:14" ht="30" customHeight="1"/>
    <row r="100" spans="3:14" ht="30" customHeight="1"/>
    <row r="101" spans="3:14" ht="48" customHeight="1" thickBot="1">
      <c r="C101" s="181" t="s">
        <v>195</v>
      </c>
      <c r="D101" s="244" t="s">
        <v>522</v>
      </c>
      <c r="E101" s="245"/>
      <c r="F101" s="245"/>
      <c r="G101" s="245"/>
      <c r="H101" s="246"/>
    </row>
    <row r="102" spans="3:14" ht="25.7" customHeight="1" thickBot="1">
      <c r="K102" s="225">
        <v>0.15</v>
      </c>
      <c r="L102" s="227">
        <v>0.5</v>
      </c>
      <c r="M102" s="226">
        <v>0.35</v>
      </c>
    </row>
    <row r="103" spans="3:14" ht="30" customHeight="1">
      <c r="D103" s="121" t="s">
        <v>71</v>
      </c>
      <c r="E103" s="122" t="s">
        <v>72</v>
      </c>
      <c r="F103" s="122" t="s">
        <v>73</v>
      </c>
      <c r="G103" s="122" t="s">
        <v>74</v>
      </c>
      <c r="H103" s="122" t="s">
        <v>22</v>
      </c>
      <c r="I103" s="122" t="s">
        <v>75</v>
      </c>
      <c r="J103" s="122" t="s">
        <v>76</v>
      </c>
      <c r="K103" s="122" t="s">
        <v>77</v>
      </c>
      <c r="L103" s="122" t="s">
        <v>78</v>
      </c>
      <c r="M103" s="122" t="s">
        <v>79</v>
      </c>
      <c r="N103" s="123" t="s">
        <v>5</v>
      </c>
    </row>
    <row r="104" spans="3:14" ht="30" customHeight="1">
      <c r="D104" s="124">
        <v>1</v>
      </c>
      <c r="E104" s="125">
        <v>3628906</v>
      </c>
      <c r="F104" s="126" t="s">
        <v>25</v>
      </c>
      <c r="G104" s="126" t="s">
        <v>80</v>
      </c>
      <c r="H104" s="126" t="s">
        <v>81</v>
      </c>
      <c r="I104" s="127">
        <v>32944</v>
      </c>
      <c r="J104" s="126" t="s">
        <v>82</v>
      </c>
      <c r="K104" s="125">
        <v>14</v>
      </c>
      <c r="L104" s="125">
        <v>13</v>
      </c>
      <c r="M104" s="125">
        <v>17</v>
      </c>
      <c r="N104" s="231">
        <f>K104*$K$102+L104*$L$102+M104*$M$102</f>
        <v>14.549999999999999</v>
      </c>
    </row>
    <row r="105" spans="3:14" ht="30" customHeight="1">
      <c r="D105" s="124">
        <v>2</v>
      </c>
      <c r="E105" s="125">
        <v>2627183</v>
      </c>
      <c r="F105" s="126" t="s">
        <v>83</v>
      </c>
      <c r="G105" s="126" t="s">
        <v>84</v>
      </c>
      <c r="H105" s="126" t="s">
        <v>85</v>
      </c>
      <c r="I105" s="127">
        <v>33952</v>
      </c>
      <c r="J105" s="126" t="s">
        <v>86</v>
      </c>
      <c r="K105" s="125">
        <v>12</v>
      </c>
      <c r="L105" s="125">
        <v>13</v>
      </c>
      <c r="M105" s="125">
        <v>16</v>
      </c>
      <c r="N105" s="231">
        <f t="shared" ref="N105:N143" si="3">K105*$K$102+L105*$L$102+M105*$M$102</f>
        <v>13.9</v>
      </c>
    </row>
    <row r="106" spans="3:14" ht="30" customHeight="1">
      <c r="D106" s="124">
        <v>3</v>
      </c>
      <c r="E106" s="125">
        <v>1626701</v>
      </c>
      <c r="F106" s="126" t="s">
        <v>87</v>
      </c>
      <c r="G106" s="126" t="s">
        <v>88</v>
      </c>
      <c r="H106" s="126" t="s">
        <v>89</v>
      </c>
      <c r="I106" s="127">
        <v>34945</v>
      </c>
      <c r="J106" s="126" t="s">
        <v>90</v>
      </c>
      <c r="K106" s="125">
        <v>15</v>
      </c>
      <c r="L106" s="125">
        <v>14</v>
      </c>
      <c r="M106" s="125">
        <v>15</v>
      </c>
      <c r="N106" s="231">
        <f t="shared" si="3"/>
        <v>14.5</v>
      </c>
    </row>
    <row r="107" spans="3:14" ht="30" customHeight="1">
      <c r="D107" s="124">
        <v>4</v>
      </c>
      <c r="E107" s="125">
        <v>2120526</v>
      </c>
      <c r="F107" s="126" t="s">
        <v>91</v>
      </c>
      <c r="G107" s="126" t="s">
        <v>25</v>
      </c>
      <c r="H107" s="126" t="s">
        <v>92</v>
      </c>
      <c r="I107" s="127">
        <v>34382</v>
      </c>
      <c r="J107" s="126" t="s">
        <v>93</v>
      </c>
      <c r="K107" s="125">
        <v>8</v>
      </c>
      <c r="L107" s="125">
        <v>12</v>
      </c>
      <c r="M107" s="125">
        <v>14</v>
      </c>
      <c r="N107" s="231">
        <f t="shared" si="3"/>
        <v>12.1</v>
      </c>
    </row>
    <row r="108" spans="3:14" ht="30" customHeight="1">
      <c r="D108" s="124">
        <v>5</v>
      </c>
      <c r="E108" s="125">
        <v>3629317</v>
      </c>
      <c r="F108" s="126" t="s">
        <v>94</v>
      </c>
      <c r="G108" s="126" t="s">
        <v>95</v>
      </c>
      <c r="H108" s="126" t="s">
        <v>96</v>
      </c>
      <c r="I108" s="127">
        <v>32981</v>
      </c>
      <c r="J108" s="126" t="s">
        <v>82</v>
      </c>
      <c r="K108" s="125">
        <v>15</v>
      </c>
      <c r="L108" s="125">
        <v>17</v>
      </c>
      <c r="M108" s="125">
        <v>15</v>
      </c>
      <c r="N108" s="231">
        <f t="shared" si="3"/>
        <v>16</v>
      </c>
    </row>
    <row r="109" spans="3:14" ht="30" customHeight="1">
      <c r="D109" s="124">
        <v>6</v>
      </c>
      <c r="E109" s="125">
        <v>3627888</v>
      </c>
      <c r="F109" s="126" t="s">
        <v>97</v>
      </c>
      <c r="G109" s="126" t="s">
        <v>98</v>
      </c>
      <c r="H109" s="126" t="s">
        <v>99</v>
      </c>
      <c r="I109" s="127">
        <v>34797</v>
      </c>
      <c r="J109" s="126" t="s">
        <v>93</v>
      </c>
      <c r="K109" s="125">
        <v>16</v>
      </c>
      <c r="L109" s="125">
        <v>14</v>
      </c>
      <c r="M109" s="125">
        <v>12</v>
      </c>
      <c r="N109" s="231">
        <f t="shared" si="3"/>
        <v>13.6</v>
      </c>
    </row>
    <row r="110" spans="3:14" ht="30" customHeight="1">
      <c r="D110" s="124">
        <v>7</v>
      </c>
      <c r="E110" s="125">
        <v>2625776</v>
      </c>
      <c r="F110" s="126" t="s">
        <v>100</v>
      </c>
      <c r="G110" s="126" t="s">
        <v>101</v>
      </c>
      <c r="H110" s="126" t="s">
        <v>102</v>
      </c>
      <c r="I110" s="127">
        <v>33792</v>
      </c>
      <c r="J110" s="126" t="s">
        <v>90</v>
      </c>
      <c r="K110" s="125">
        <v>8</v>
      </c>
      <c r="L110" s="125">
        <v>9</v>
      </c>
      <c r="M110" s="125">
        <v>9</v>
      </c>
      <c r="N110" s="231">
        <f t="shared" si="3"/>
        <v>8.85</v>
      </c>
    </row>
    <row r="111" spans="3:14" ht="30" customHeight="1">
      <c r="D111" s="124">
        <v>8</v>
      </c>
      <c r="E111" s="125">
        <v>2626853</v>
      </c>
      <c r="F111" s="126" t="s">
        <v>103</v>
      </c>
      <c r="G111" s="126" t="s">
        <v>104</v>
      </c>
      <c r="H111" s="126" t="s">
        <v>105</v>
      </c>
      <c r="I111" s="127">
        <v>34412</v>
      </c>
      <c r="J111" s="126" t="s">
        <v>86</v>
      </c>
      <c r="K111" s="125">
        <v>14</v>
      </c>
      <c r="L111" s="125">
        <v>12</v>
      </c>
      <c r="M111" s="125">
        <v>13</v>
      </c>
      <c r="N111" s="231">
        <f t="shared" si="3"/>
        <v>12.649999999999999</v>
      </c>
    </row>
    <row r="112" spans="3:14" ht="30" customHeight="1">
      <c r="D112" s="124">
        <v>9</v>
      </c>
      <c r="E112" s="125">
        <v>5631815</v>
      </c>
      <c r="F112" s="126" t="s">
        <v>106</v>
      </c>
      <c r="G112" s="126" t="s">
        <v>107</v>
      </c>
      <c r="H112" s="126" t="s">
        <v>108</v>
      </c>
      <c r="I112" s="127">
        <v>34766</v>
      </c>
      <c r="J112" s="126" t="s">
        <v>82</v>
      </c>
      <c r="K112" s="125">
        <v>15</v>
      </c>
      <c r="L112" s="125">
        <v>17</v>
      </c>
      <c r="M112" s="125">
        <v>10</v>
      </c>
      <c r="N112" s="231">
        <f t="shared" si="3"/>
        <v>14.25</v>
      </c>
    </row>
    <row r="113" spans="2:14" ht="30" customHeight="1">
      <c r="D113" s="124">
        <v>10</v>
      </c>
      <c r="E113" s="125">
        <v>3628604</v>
      </c>
      <c r="F113" s="126" t="s">
        <v>109</v>
      </c>
      <c r="G113" s="126" t="s">
        <v>110</v>
      </c>
      <c r="H113" s="126" t="s">
        <v>111</v>
      </c>
      <c r="I113" s="127">
        <v>33763</v>
      </c>
      <c r="J113" s="126" t="s">
        <v>86</v>
      </c>
      <c r="K113" s="125">
        <v>15</v>
      </c>
      <c r="L113" s="125">
        <v>18</v>
      </c>
      <c r="M113" s="125">
        <v>12</v>
      </c>
      <c r="N113" s="231">
        <f t="shared" si="3"/>
        <v>15.45</v>
      </c>
    </row>
    <row r="114" spans="2:14" ht="30" customHeight="1">
      <c r="D114" s="124">
        <v>11</v>
      </c>
      <c r="E114" s="125">
        <v>2626276</v>
      </c>
      <c r="F114" s="126" t="s">
        <v>109</v>
      </c>
      <c r="G114" s="126" t="s">
        <v>112</v>
      </c>
      <c r="H114" s="126" t="s">
        <v>113</v>
      </c>
      <c r="I114" s="127">
        <v>33859</v>
      </c>
      <c r="J114" s="126" t="s">
        <v>90</v>
      </c>
      <c r="K114" s="125">
        <v>16</v>
      </c>
      <c r="L114" s="125">
        <v>12</v>
      </c>
      <c r="M114" s="125">
        <v>19</v>
      </c>
      <c r="N114" s="231">
        <f t="shared" si="3"/>
        <v>15.05</v>
      </c>
    </row>
    <row r="115" spans="2:14" ht="30" customHeight="1">
      <c r="D115" s="124">
        <v>12</v>
      </c>
      <c r="E115" s="125">
        <v>3627810</v>
      </c>
      <c r="F115" s="126" t="s">
        <v>114</v>
      </c>
      <c r="G115" s="126" t="s">
        <v>115</v>
      </c>
      <c r="H115" s="126" t="s">
        <v>116</v>
      </c>
      <c r="I115" s="127">
        <v>34919</v>
      </c>
      <c r="J115" s="126" t="s">
        <v>90</v>
      </c>
      <c r="K115" s="125">
        <v>7</v>
      </c>
      <c r="L115" s="125">
        <v>16</v>
      </c>
      <c r="M115" s="125">
        <v>14</v>
      </c>
      <c r="N115" s="231">
        <f t="shared" si="3"/>
        <v>13.95</v>
      </c>
    </row>
    <row r="116" spans="2:14" ht="30" customHeight="1">
      <c r="D116" s="124">
        <v>13</v>
      </c>
      <c r="E116" s="125">
        <v>2629161</v>
      </c>
      <c r="F116" s="126" t="s">
        <v>117</v>
      </c>
      <c r="G116" s="126" t="s">
        <v>118</v>
      </c>
      <c r="H116" s="126" t="s">
        <v>119</v>
      </c>
      <c r="I116" s="127">
        <v>33642</v>
      </c>
      <c r="J116" s="126" t="s">
        <v>86</v>
      </c>
      <c r="K116" s="125">
        <v>19</v>
      </c>
      <c r="L116" s="125">
        <v>11</v>
      </c>
      <c r="M116" s="125">
        <v>16</v>
      </c>
      <c r="N116" s="231">
        <f t="shared" si="3"/>
        <v>13.95</v>
      </c>
    </row>
    <row r="117" spans="2:14" ht="30" customHeight="1">
      <c r="D117" s="124">
        <v>14</v>
      </c>
      <c r="E117" s="125">
        <v>2626101</v>
      </c>
      <c r="F117" s="126" t="s">
        <v>120</v>
      </c>
      <c r="G117" s="126" t="s">
        <v>121</v>
      </c>
      <c r="H117" s="126" t="s">
        <v>122</v>
      </c>
      <c r="I117" s="127">
        <v>35012</v>
      </c>
      <c r="J117" s="126" t="s">
        <v>93</v>
      </c>
      <c r="K117" s="125">
        <v>14</v>
      </c>
      <c r="L117" s="125">
        <v>16</v>
      </c>
      <c r="M117" s="125">
        <v>13</v>
      </c>
      <c r="N117" s="231">
        <f t="shared" si="3"/>
        <v>14.649999999999999</v>
      </c>
    </row>
    <row r="118" spans="2:14" ht="30" customHeight="1">
      <c r="D118" s="124">
        <v>15</v>
      </c>
      <c r="E118" s="125">
        <v>3630994</v>
      </c>
      <c r="F118" s="126" t="s">
        <v>123</v>
      </c>
      <c r="G118" s="126" t="s">
        <v>124</v>
      </c>
      <c r="H118" s="126" t="s">
        <v>125</v>
      </c>
      <c r="I118" s="127">
        <v>34438</v>
      </c>
      <c r="J118" s="126" t="s">
        <v>86</v>
      </c>
      <c r="K118" s="125">
        <v>17</v>
      </c>
      <c r="L118" s="125">
        <v>13</v>
      </c>
      <c r="M118" s="125">
        <v>10</v>
      </c>
      <c r="N118" s="231">
        <f t="shared" si="3"/>
        <v>12.55</v>
      </c>
    </row>
    <row r="119" spans="2:14" ht="30" customHeight="1">
      <c r="B119" s="13"/>
      <c r="C119" s="13"/>
      <c r="D119" s="124">
        <v>16</v>
      </c>
      <c r="E119" s="125">
        <v>1626523</v>
      </c>
      <c r="F119" s="126" t="s">
        <v>126</v>
      </c>
      <c r="G119" s="126" t="s">
        <v>127</v>
      </c>
      <c r="H119" s="126" t="s">
        <v>102</v>
      </c>
      <c r="I119" s="127">
        <v>35022</v>
      </c>
      <c r="J119" s="126" t="s">
        <v>82</v>
      </c>
      <c r="K119" s="125">
        <v>13</v>
      </c>
      <c r="L119" s="125">
        <v>17</v>
      </c>
      <c r="M119" s="125">
        <v>9</v>
      </c>
      <c r="N119" s="231">
        <f t="shared" si="3"/>
        <v>13.6</v>
      </c>
    </row>
    <row r="120" spans="2:14" ht="30" customHeight="1">
      <c r="B120" s="13"/>
      <c r="C120" s="13"/>
      <c r="D120" s="124">
        <v>17</v>
      </c>
      <c r="E120" s="125">
        <v>8627178</v>
      </c>
      <c r="F120" s="126" t="s">
        <v>128</v>
      </c>
      <c r="G120" s="126" t="s">
        <v>129</v>
      </c>
      <c r="H120" s="126" t="s">
        <v>130</v>
      </c>
      <c r="I120" s="127">
        <v>33674</v>
      </c>
      <c r="J120" s="126" t="s">
        <v>82</v>
      </c>
      <c r="K120" s="125">
        <v>7</v>
      </c>
      <c r="L120" s="125">
        <v>14</v>
      </c>
      <c r="M120" s="125">
        <v>14</v>
      </c>
      <c r="N120" s="231">
        <f t="shared" si="3"/>
        <v>12.95</v>
      </c>
    </row>
    <row r="121" spans="2:14" ht="30" customHeight="1">
      <c r="B121" s="13"/>
      <c r="C121" s="13"/>
      <c r="D121" s="124">
        <v>18</v>
      </c>
      <c r="E121" s="125">
        <v>9182017</v>
      </c>
      <c r="F121" s="126" t="s">
        <v>131</v>
      </c>
      <c r="G121" s="126" t="s">
        <v>132</v>
      </c>
      <c r="H121" s="126" t="s">
        <v>133</v>
      </c>
      <c r="I121" s="127">
        <v>33697</v>
      </c>
      <c r="J121" s="126" t="s">
        <v>86</v>
      </c>
      <c r="K121" s="125">
        <v>17</v>
      </c>
      <c r="L121" s="125">
        <v>11</v>
      </c>
      <c r="M121" s="125">
        <v>12</v>
      </c>
      <c r="N121" s="231">
        <f t="shared" si="3"/>
        <v>12.25</v>
      </c>
    </row>
    <row r="122" spans="2:14" ht="30" customHeight="1">
      <c r="D122" s="124">
        <v>19</v>
      </c>
      <c r="E122" s="125">
        <v>4627970</v>
      </c>
      <c r="F122" s="126" t="s">
        <v>134</v>
      </c>
      <c r="G122" s="126" t="s">
        <v>135</v>
      </c>
      <c r="H122" s="126" t="s">
        <v>136</v>
      </c>
      <c r="I122" s="127">
        <v>34493</v>
      </c>
      <c r="J122" s="126" t="s">
        <v>82</v>
      </c>
      <c r="K122" s="125">
        <v>10</v>
      </c>
      <c r="L122" s="125">
        <v>17</v>
      </c>
      <c r="M122" s="125">
        <v>13</v>
      </c>
      <c r="N122" s="231">
        <f t="shared" si="3"/>
        <v>14.55</v>
      </c>
    </row>
    <row r="123" spans="2:14" ht="30" customHeight="1">
      <c r="D123" s="124">
        <v>20</v>
      </c>
      <c r="E123" s="125">
        <v>2182289</v>
      </c>
      <c r="F123" s="126" t="s">
        <v>137</v>
      </c>
      <c r="G123" s="126" t="s">
        <v>138</v>
      </c>
      <c r="H123" s="126" t="s">
        <v>89</v>
      </c>
      <c r="I123" s="127">
        <v>35053</v>
      </c>
      <c r="J123" s="126" t="s">
        <v>86</v>
      </c>
      <c r="K123" s="125">
        <v>16</v>
      </c>
      <c r="L123" s="125">
        <v>14</v>
      </c>
      <c r="M123" s="125">
        <v>16</v>
      </c>
      <c r="N123" s="231">
        <f t="shared" si="3"/>
        <v>15</v>
      </c>
    </row>
    <row r="124" spans="2:14" ht="30" customHeight="1">
      <c r="D124" s="124">
        <v>21</v>
      </c>
      <c r="E124" s="125">
        <v>3629732</v>
      </c>
      <c r="F124" s="126" t="s">
        <v>139</v>
      </c>
      <c r="G124" s="126" t="s">
        <v>140</v>
      </c>
      <c r="H124" s="126" t="s">
        <v>141</v>
      </c>
      <c r="I124" s="127">
        <v>34337</v>
      </c>
      <c r="J124" s="126" t="s">
        <v>82</v>
      </c>
      <c r="K124" s="125">
        <v>11</v>
      </c>
      <c r="L124" s="125">
        <v>12</v>
      </c>
      <c r="M124" s="125">
        <v>8</v>
      </c>
      <c r="N124" s="231">
        <f t="shared" si="3"/>
        <v>10.45</v>
      </c>
    </row>
    <row r="125" spans="2:14" ht="30" customHeight="1">
      <c r="D125" s="124">
        <v>22</v>
      </c>
      <c r="E125" s="125">
        <v>4957640</v>
      </c>
      <c r="F125" s="126" t="s">
        <v>142</v>
      </c>
      <c r="G125" s="126" t="s">
        <v>110</v>
      </c>
      <c r="H125" s="126" t="s">
        <v>143</v>
      </c>
      <c r="I125" s="127">
        <v>34257</v>
      </c>
      <c r="J125" s="126" t="s">
        <v>90</v>
      </c>
      <c r="K125" s="125">
        <v>12</v>
      </c>
      <c r="L125" s="125">
        <v>13</v>
      </c>
      <c r="M125" s="125">
        <v>15</v>
      </c>
      <c r="N125" s="231">
        <f t="shared" si="3"/>
        <v>13.55</v>
      </c>
    </row>
    <row r="126" spans="2:14" ht="30" customHeight="1">
      <c r="D126" s="124">
        <v>23</v>
      </c>
      <c r="E126" s="125">
        <v>1591502</v>
      </c>
      <c r="F126" s="126" t="s">
        <v>144</v>
      </c>
      <c r="G126" s="126" t="s">
        <v>145</v>
      </c>
      <c r="H126" s="126" t="s">
        <v>146</v>
      </c>
      <c r="I126" s="127">
        <v>33863</v>
      </c>
      <c r="J126" s="126" t="s">
        <v>93</v>
      </c>
      <c r="K126" s="125">
        <v>8</v>
      </c>
      <c r="L126" s="125">
        <v>16</v>
      </c>
      <c r="M126" s="125">
        <v>11</v>
      </c>
      <c r="N126" s="231">
        <f t="shared" si="3"/>
        <v>13.049999999999999</v>
      </c>
    </row>
    <row r="127" spans="2:14" ht="30" customHeight="1">
      <c r="D127" s="124">
        <v>24</v>
      </c>
      <c r="E127" s="125">
        <v>2183092</v>
      </c>
      <c r="F127" s="126" t="s">
        <v>147</v>
      </c>
      <c r="G127" s="126" t="s">
        <v>148</v>
      </c>
      <c r="H127" s="126" t="s">
        <v>149</v>
      </c>
      <c r="I127" s="127">
        <v>34671</v>
      </c>
      <c r="J127" s="126" t="s">
        <v>90</v>
      </c>
      <c r="K127" s="125">
        <v>20</v>
      </c>
      <c r="L127" s="125">
        <v>10</v>
      </c>
      <c r="M127" s="125">
        <v>8</v>
      </c>
      <c r="N127" s="231">
        <f t="shared" si="3"/>
        <v>10.8</v>
      </c>
    </row>
    <row r="128" spans="2:14" ht="30" customHeight="1">
      <c r="D128" s="124">
        <v>25</v>
      </c>
      <c r="E128" s="125">
        <v>6693873</v>
      </c>
      <c r="F128" s="126" t="s">
        <v>150</v>
      </c>
      <c r="G128" s="126" t="s">
        <v>151</v>
      </c>
      <c r="H128" s="126" t="s">
        <v>152</v>
      </c>
      <c r="I128" s="127">
        <v>33981</v>
      </c>
      <c r="J128" s="126" t="s">
        <v>93</v>
      </c>
      <c r="K128" s="125">
        <v>16</v>
      </c>
      <c r="L128" s="125">
        <v>10</v>
      </c>
      <c r="M128" s="125">
        <v>17</v>
      </c>
      <c r="N128" s="231">
        <f t="shared" si="3"/>
        <v>13.35</v>
      </c>
    </row>
    <row r="129" spans="4:14" ht="30" customHeight="1">
      <c r="D129" s="124">
        <v>26</v>
      </c>
      <c r="E129" s="125">
        <v>4732921</v>
      </c>
      <c r="F129" s="126" t="s">
        <v>153</v>
      </c>
      <c r="G129" s="126" t="s">
        <v>154</v>
      </c>
      <c r="H129" s="126" t="s">
        <v>155</v>
      </c>
      <c r="I129" s="127">
        <v>33695</v>
      </c>
      <c r="J129" s="126" t="s">
        <v>90</v>
      </c>
      <c r="K129" s="125">
        <v>12</v>
      </c>
      <c r="L129" s="125">
        <v>19</v>
      </c>
      <c r="M129" s="125">
        <v>15</v>
      </c>
      <c r="N129" s="231">
        <f t="shared" si="3"/>
        <v>16.55</v>
      </c>
    </row>
    <row r="130" spans="4:14" ht="30" customHeight="1">
      <c r="D130" s="124">
        <v>27</v>
      </c>
      <c r="E130" s="125">
        <v>2290698</v>
      </c>
      <c r="F130" s="126" t="s">
        <v>156</v>
      </c>
      <c r="G130" s="126" t="s">
        <v>157</v>
      </c>
      <c r="H130" s="126" t="s">
        <v>158</v>
      </c>
      <c r="I130" s="127">
        <v>34437</v>
      </c>
      <c r="J130" s="126" t="s">
        <v>82</v>
      </c>
      <c r="K130" s="125">
        <v>10</v>
      </c>
      <c r="L130" s="125">
        <v>17</v>
      </c>
      <c r="M130" s="125">
        <v>11</v>
      </c>
      <c r="N130" s="231">
        <f t="shared" si="3"/>
        <v>13.85</v>
      </c>
    </row>
    <row r="131" spans="4:14" ht="30" customHeight="1">
      <c r="D131" s="124">
        <v>28</v>
      </c>
      <c r="E131" s="125">
        <v>3440900</v>
      </c>
      <c r="F131" s="126" t="s">
        <v>104</v>
      </c>
      <c r="G131" s="126" t="s">
        <v>159</v>
      </c>
      <c r="H131" s="126" t="s">
        <v>160</v>
      </c>
      <c r="I131" s="127">
        <v>32958</v>
      </c>
      <c r="J131" s="126" t="s">
        <v>86</v>
      </c>
      <c r="K131" s="125">
        <v>13</v>
      </c>
      <c r="L131" s="125">
        <v>18</v>
      </c>
      <c r="M131" s="125">
        <v>10</v>
      </c>
      <c r="N131" s="231">
        <f t="shared" si="3"/>
        <v>14.45</v>
      </c>
    </row>
    <row r="132" spans="4:14" ht="30" customHeight="1">
      <c r="D132" s="124">
        <v>29</v>
      </c>
      <c r="E132" s="125">
        <v>1379395</v>
      </c>
      <c r="F132" s="126" t="s">
        <v>161</v>
      </c>
      <c r="G132" s="126" t="s">
        <v>162</v>
      </c>
      <c r="H132" s="126" t="s">
        <v>163</v>
      </c>
      <c r="I132" s="127">
        <v>32959</v>
      </c>
      <c r="J132" s="126" t="s">
        <v>82</v>
      </c>
      <c r="K132" s="125">
        <v>6</v>
      </c>
      <c r="L132" s="125">
        <v>10</v>
      </c>
      <c r="M132" s="125">
        <v>9</v>
      </c>
      <c r="N132" s="231">
        <f t="shared" si="3"/>
        <v>9.0500000000000007</v>
      </c>
    </row>
    <row r="133" spans="4:14" ht="30" customHeight="1">
      <c r="D133" s="124">
        <v>30</v>
      </c>
      <c r="E133" s="125">
        <v>6887299</v>
      </c>
      <c r="F133" s="126" t="s">
        <v>164</v>
      </c>
      <c r="G133" s="126" t="s">
        <v>165</v>
      </c>
      <c r="H133" s="126" t="s">
        <v>166</v>
      </c>
      <c r="I133" s="127">
        <v>34101</v>
      </c>
      <c r="J133" s="126" t="s">
        <v>86</v>
      </c>
      <c r="K133" s="125">
        <v>3</v>
      </c>
      <c r="L133" s="125">
        <v>14</v>
      </c>
      <c r="M133" s="125">
        <v>10</v>
      </c>
      <c r="N133" s="231">
        <f t="shared" si="3"/>
        <v>10.95</v>
      </c>
    </row>
    <row r="134" spans="4:14" ht="30" customHeight="1">
      <c r="D134" s="124">
        <v>31</v>
      </c>
      <c r="E134" s="125">
        <v>7229481</v>
      </c>
      <c r="F134" s="126" t="s">
        <v>167</v>
      </c>
      <c r="G134" s="126" t="s">
        <v>168</v>
      </c>
      <c r="H134" s="126" t="s">
        <v>169</v>
      </c>
      <c r="I134" s="127">
        <v>33866</v>
      </c>
      <c r="J134" s="126" t="s">
        <v>90</v>
      </c>
      <c r="K134" s="125">
        <v>11</v>
      </c>
      <c r="L134" s="125">
        <v>20</v>
      </c>
      <c r="M134" s="125">
        <v>9</v>
      </c>
      <c r="N134" s="231">
        <f t="shared" si="3"/>
        <v>14.8</v>
      </c>
    </row>
    <row r="135" spans="4:14" ht="30" customHeight="1">
      <c r="D135" s="124">
        <v>32</v>
      </c>
      <c r="E135" s="125">
        <v>6313581</v>
      </c>
      <c r="F135" s="126" t="s">
        <v>170</v>
      </c>
      <c r="G135" s="126" t="s">
        <v>171</v>
      </c>
      <c r="H135" s="126" t="s">
        <v>172</v>
      </c>
      <c r="I135" s="127">
        <v>33993</v>
      </c>
      <c r="J135" s="126" t="s">
        <v>86</v>
      </c>
      <c r="K135" s="125">
        <v>12</v>
      </c>
      <c r="L135" s="125">
        <v>12</v>
      </c>
      <c r="M135" s="125">
        <v>13</v>
      </c>
      <c r="N135" s="231">
        <f t="shared" si="3"/>
        <v>12.35</v>
      </c>
    </row>
    <row r="136" spans="4:14" ht="30" customHeight="1">
      <c r="D136" s="124">
        <v>33</v>
      </c>
      <c r="E136" s="125">
        <v>1322121</v>
      </c>
      <c r="F136" s="126" t="s">
        <v>173</v>
      </c>
      <c r="G136" s="126" t="s">
        <v>174</v>
      </c>
      <c r="H136" s="126" t="s">
        <v>175</v>
      </c>
      <c r="I136" s="127">
        <v>34333</v>
      </c>
      <c r="J136" s="126" t="s">
        <v>93</v>
      </c>
      <c r="K136" s="125">
        <v>4</v>
      </c>
      <c r="L136" s="125">
        <v>15</v>
      </c>
      <c r="M136" s="125">
        <v>19</v>
      </c>
      <c r="N136" s="231">
        <f t="shared" si="3"/>
        <v>14.75</v>
      </c>
    </row>
    <row r="137" spans="4:14" ht="30" customHeight="1">
      <c r="D137" s="124">
        <v>34</v>
      </c>
      <c r="E137" s="125">
        <v>3732253</v>
      </c>
      <c r="F137" s="126" t="s">
        <v>176</v>
      </c>
      <c r="G137" s="126" t="s">
        <v>177</v>
      </c>
      <c r="H137" s="126" t="s">
        <v>178</v>
      </c>
      <c r="I137" s="127">
        <v>33165</v>
      </c>
      <c r="J137" s="126" t="s">
        <v>90</v>
      </c>
      <c r="K137" s="125">
        <v>18</v>
      </c>
      <c r="L137" s="125">
        <v>20</v>
      </c>
      <c r="M137" s="125">
        <v>13</v>
      </c>
      <c r="N137" s="231">
        <f t="shared" si="3"/>
        <v>17.25</v>
      </c>
    </row>
    <row r="138" spans="4:14" ht="30" customHeight="1">
      <c r="D138" s="124">
        <v>35</v>
      </c>
      <c r="E138" s="125">
        <v>4532738</v>
      </c>
      <c r="F138" s="126" t="s">
        <v>179</v>
      </c>
      <c r="G138" s="126" t="s">
        <v>180</v>
      </c>
      <c r="H138" s="126" t="s">
        <v>181</v>
      </c>
      <c r="I138" s="127">
        <v>34555</v>
      </c>
      <c r="J138" s="126" t="s">
        <v>93</v>
      </c>
      <c r="K138" s="125">
        <v>6</v>
      </c>
      <c r="L138" s="125">
        <v>17</v>
      </c>
      <c r="M138" s="125">
        <v>17</v>
      </c>
      <c r="N138" s="231">
        <f t="shared" si="3"/>
        <v>15.35</v>
      </c>
    </row>
    <row r="139" spans="4:14" ht="30" customHeight="1">
      <c r="D139" s="124">
        <v>36</v>
      </c>
      <c r="E139" s="125">
        <v>6265587</v>
      </c>
      <c r="F139" s="126" t="s">
        <v>182</v>
      </c>
      <c r="G139" s="126" t="s">
        <v>183</v>
      </c>
      <c r="H139" s="126" t="s">
        <v>184</v>
      </c>
      <c r="I139" s="127">
        <v>34313</v>
      </c>
      <c r="J139" s="126" t="s">
        <v>82</v>
      </c>
      <c r="K139" s="125">
        <v>14</v>
      </c>
      <c r="L139" s="125">
        <v>12</v>
      </c>
      <c r="M139" s="125">
        <v>15</v>
      </c>
      <c r="N139" s="231">
        <f t="shared" si="3"/>
        <v>13.35</v>
      </c>
    </row>
    <row r="140" spans="4:14" ht="30" customHeight="1">
      <c r="D140" s="124">
        <v>37</v>
      </c>
      <c r="E140" s="125">
        <v>2415830</v>
      </c>
      <c r="F140" s="126" t="s">
        <v>185</v>
      </c>
      <c r="G140" s="126" t="s">
        <v>186</v>
      </c>
      <c r="H140" s="126" t="s">
        <v>187</v>
      </c>
      <c r="I140" s="127">
        <v>33642</v>
      </c>
      <c r="J140" s="126" t="s">
        <v>86</v>
      </c>
      <c r="K140" s="125">
        <v>13</v>
      </c>
      <c r="L140" s="125">
        <v>12</v>
      </c>
      <c r="M140" s="125">
        <v>9</v>
      </c>
      <c r="N140" s="231">
        <f t="shared" si="3"/>
        <v>11.1</v>
      </c>
    </row>
    <row r="141" spans="4:14" ht="30" customHeight="1">
      <c r="D141" s="124">
        <v>38</v>
      </c>
      <c r="E141" s="125">
        <v>5523442</v>
      </c>
      <c r="F141" s="126" t="s">
        <v>188</v>
      </c>
      <c r="G141" s="126" t="s">
        <v>151</v>
      </c>
      <c r="H141" s="126" t="s">
        <v>189</v>
      </c>
      <c r="I141" s="127">
        <v>34580</v>
      </c>
      <c r="J141" s="126" t="s">
        <v>93</v>
      </c>
      <c r="K141" s="125">
        <v>7</v>
      </c>
      <c r="L141" s="125">
        <v>18</v>
      </c>
      <c r="M141" s="125">
        <v>17</v>
      </c>
      <c r="N141" s="231">
        <f t="shared" si="3"/>
        <v>16</v>
      </c>
    </row>
    <row r="142" spans="4:14" ht="30" customHeight="1">
      <c r="D142" s="124">
        <v>39</v>
      </c>
      <c r="E142" s="125">
        <v>4967243</v>
      </c>
      <c r="F142" s="126" t="s">
        <v>24</v>
      </c>
      <c r="G142" s="126" t="s">
        <v>190</v>
      </c>
      <c r="H142" s="126" t="s">
        <v>191</v>
      </c>
      <c r="I142" s="127">
        <v>34550</v>
      </c>
      <c r="J142" s="126" t="s">
        <v>90</v>
      </c>
      <c r="K142" s="125">
        <v>12</v>
      </c>
      <c r="L142" s="125">
        <v>14</v>
      </c>
      <c r="M142" s="125">
        <v>20</v>
      </c>
      <c r="N142" s="231">
        <f t="shared" si="3"/>
        <v>15.8</v>
      </c>
    </row>
    <row r="143" spans="4:14" ht="30" customHeight="1" thickBot="1">
      <c r="D143" s="128">
        <v>40</v>
      </c>
      <c r="E143" s="129">
        <v>1630989</v>
      </c>
      <c r="F143" s="130" t="s">
        <v>192</v>
      </c>
      <c r="G143" s="130" t="s">
        <v>193</v>
      </c>
      <c r="H143" s="130" t="s">
        <v>194</v>
      </c>
      <c r="I143" s="131">
        <v>34610</v>
      </c>
      <c r="J143" s="130" t="s">
        <v>93</v>
      </c>
      <c r="K143" s="129">
        <v>11</v>
      </c>
      <c r="L143" s="129">
        <v>10</v>
      </c>
      <c r="M143" s="129">
        <v>13</v>
      </c>
      <c r="N143" s="231">
        <f t="shared" si="3"/>
        <v>11.2</v>
      </c>
    </row>
    <row r="144" spans="4:1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</sheetData>
  <sheetProtection formatCells="0" formatColumns="0" formatRows="0" selectLockedCells="1"/>
  <mergeCells count="5">
    <mergeCell ref="C5:G5"/>
    <mergeCell ref="D11:L11"/>
    <mergeCell ref="D55:H55"/>
    <mergeCell ref="G1:H1"/>
    <mergeCell ref="D101:H101"/>
  </mergeCells>
  <conditionalFormatting sqref="K104:M143">
    <cfRule type="cellIs" dxfId="6" priority="2" operator="greaterThanOrEqual">
      <formula>"12.5"</formula>
    </cfRule>
    <cfRule type="cellIs" dxfId="5" priority="3" operator="lessThan">
      <formula>12.5</formula>
    </cfRule>
  </conditionalFormatting>
  <conditionalFormatting sqref="K58:N97">
    <cfRule type="cellIs" dxfId="4" priority="4" operator="greaterThanOrEqual">
      <formula>"12.5"</formula>
    </cfRule>
    <cfRule type="cellIs" dxfId="3" priority="5" operator="lessThan">
      <formula>12.5</formula>
    </cfRule>
  </conditionalFormatting>
  <conditionalFormatting sqref="K104:N143">
    <cfRule type="cellIs" dxfId="2" priority="1" operator="greaterThanOrEqual">
      <formula>12.5</formula>
    </cfRule>
  </conditionalFormatting>
  <hyperlinks>
    <hyperlink ref="D75" r:id="rId1" display="huangaljose@yahoo.es" xr:uid="{00000000-0004-0000-0100-000000000000}"/>
    <hyperlink ref="D121" r:id="rId2" display="huangaljose@yahoo.es" xr:uid="{8C1D72F4-2710-4EBA-81EF-FEB0CF77ABC8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:L212"/>
  <sheetViews>
    <sheetView zoomScaleNormal="100" workbookViewId="0">
      <selection activeCell="F8" sqref="F8"/>
    </sheetView>
  </sheetViews>
  <sheetFormatPr baseColWidth="10" defaultColWidth="11.42578125" defaultRowHeight="12.75"/>
  <cols>
    <col min="1" max="1" width="10.85546875" style="91" bestFit="1" customWidth="1"/>
    <col min="2" max="2" width="21.85546875" style="91" customWidth="1"/>
    <col min="3" max="3" width="22.85546875" style="91" customWidth="1"/>
    <col min="4" max="4" width="22.140625" style="91" customWidth="1"/>
    <col min="5" max="5" width="21.5703125" style="91" customWidth="1"/>
    <col min="6" max="6" width="21" style="92" customWidth="1"/>
    <col min="7" max="7" width="13.5703125" style="91" customWidth="1"/>
    <col min="8" max="8" width="18.42578125" style="91" bestFit="1" customWidth="1"/>
    <col min="9" max="9" width="17.85546875" style="91" bestFit="1" customWidth="1"/>
    <col min="10" max="10" width="16" style="91" customWidth="1"/>
    <col min="11" max="11" width="20.42578125" style="91" customWidth="1"/>
    <col min="12" max="16384" width="11.42578125" style="91"/>
  </cols>
  <sheetData>
    <row r="2" spans="2:12" ht="30" customHeight="1">
      <c r="B2" s="248" t="s">
        <v>489</v>
      </c>
      <c r="C2" s="248"/>
      <c r="D2" s="248"/>
    </row>
    <row r="3" spans="2:12">
      <c r="F3" s="91"/>
    </row>
    <row r="4" spans="2:12" ht="63.75" customHeight="1">
      <c r="B4" s="249" t="s">
        <v>509</v>
      </c>
      <c r="C4" s="250"/>
      <c r="F4" s="91"/>
    </row>
    <row r="5" spans="2:12">
      <c r="F5" s="91"/>
    </row>
    <row r="6" spans="2:12" ht="20.45" customHeight="1">
      <c r="F6" s="91"/>
      <c r="I6" s="132" t="s">
        <v>239</v>
      </c>
      <c r="J6" s="132" t="s">
        <v>238</v>
      </c>
    </row>
    <row r="7" spans="2:12" ht="37.5" customHeight="1">
      <c r="B7" s="132" t="s">
        <v>238</v>
      </c>
      <c r="C7" s="132" t="s">
        <v>239</v>
      </c>
      <c r="D7" s="132" t="s">
        <v>240</v>
      </c>
      <c r="E7" s="132" t="s">
        <v>241</v>
      </c>
      <c r="F7" s="91"/>
      <c r="H7" s="96"/>
      <c r="I7" s="95" t="s">
        <v>41</v>
      </c>
      <c r="J7" s="93" t="s">
        <v>242</v>
      </c>
      <c r="L7" s="93" t="s">
        <v>242</v>
      </c>
    </row>
    <row r="8" spans="2:12" ht="30" customHeight="1">
      <c r="B8" s="34" t="s">
        <v>242</v>
      </c>
      <c r="C8" s="34" t="s">
        <v>41</v>
      </c>
      <c r="D8" s="35">
        <v>102345</v>
      </c>
      <c r="E8" s="35">
        <v>98456</v>
      </c>
      <c r="F8" s="91"/>
      <c r="H8" s="97"/>
      <c r="I8" s="95" t="s">
        <v>42</v>
      </c>
      <c r="J8" s="93" t="s">
        <v>55</v>
      </c>
      <c r="L8" s="93" t="s">
        <v>39</v>
      </c>
    </row>
    <row r="9" spans="2:12" ht="30" customHeight="1">
      <c r="B9" s="34" t="s">
        <v>55</v>
      </c>
      <c r="C9" s="34" t="s">
        <v>41</v>
      </c>
      <c r="D9" s="35">
        <v>123954</v>
      </c>
      <c r="E9" s="35">
        <v>99123</v>
      </c>
      <c r="F9" s="91"/>
      <c r="H9" s="97"/>
      <c r="I9" s="95" t="s">
        <v>43</v>
      </c>
      <c r="J9" s="93" t="s">
        <v>36</v>
      </c>
      <c r="L9" s="93" t="s">
        <v>38</v>
      </c>
    </row>
    <row r="10" spans="2:12" ht="30" customHeight="1">
      <c r="B10" s="34" t="s">
        <v>36</v>
      </c>
      <c r="C10" s="34" t="s">
        <v>41</v>
      </c>
      <c r="D10" s="35">
        <v>127376</v>
      </c>
      <c r="E10" s="35">
        <v>94652</v>
      </c>
      <c r="F10" s="91"/>
      <c r="H10" s="97"/>
      <c r="I10" s="95" t="s">
        <v>44</v>
      </c>
      <c r="J10" s="93" t="s">
        <v>39</v>
      </c>
      <c r="L10" s="93" t="s">
        <v>47</v>
      </c>
    </row>
    <row r="11" spans="2:12" ht="30" customHeight="1">
      <c r="B11" s="34" t="s">
        <v>39</v>
      </c>
      <c r="C11" s="34" t="s">
        <v>41</v>
      </c>
      <c r="D11" s="35">
        <v>145234</v>
      </c>
      <c r="E11" s="35">
        <v>97345</v>
      </c>
      <c r="F11" s="94"/>
      <c r="H11" s="97"/>
      <c r="I11" s="95" t="s">
        <v>45</v>
      </c>
      <c r="J11" s="93" t="s">
        <v>243</v>
      </c>
    </row>
    <row r="12" spans="2:12" ht="30" customHeight="1">
      <c r="B12" s="34" t="s">
        <v>243</v>
      </c>
      <c r="C12" s="34" t="s">
        <v>41</v>
      </c>
      <c r="D12" s="35">
        <v>183453</v>
      </c>
      <c r="E12" s="35">
        <v>97236</v>
      </c>
      <c r="F12" s="91"/>
      <c r="H12" s="97"/>
      <c r="I12" s="95" t="s">
        <v>46</v>
      </c>
      <c r="J12" s="93" t="s">
        <v>244</v>
      </c>
    </row>
    <row r="13" spans="2:12" ht="30" customHeight="1">
      <c r="B13" s="34" t="s">
        <v>244</v>
      </c>
      <c r="C13" s="34" t="s">
        <v>41</v>
      </c>
      <c r="D13" s="35">
        <v>153412</v>
      </c>
      <c r="E13" s="35">
        <v>95897</v>
      </c>
      <c r="F13" s="91"/>
      <c r="H13" s="97"/>
      <c r="J13" s="93" t="s">
        <v>52</v>
      </c>
    </row>
    <row r="14" spans="2:12" ht="30" customHeight="1">
      <c r="B14" s="34" t="s">
        <v>52</v>
      </c>
      <c r="C14" s="34" t="s">
        <v>41</v>
      </c>
      <c r="D14" s="35">
        <v>126387</v>
      </c>
      <c r="E14" s="35">
        <v>98265</v>
      </c>
      <c r="F14" s="91"/>
      <c r="H14" s="97"/>
      <c r="J14" s="93" t="s">
        <v>245</v>
      </c>
    </row>
    <row r="15" spans="2:12" ht="30" customHeight="1">
      <c r="B15" s="34" t="s">
        <v>245</v>
      </c>
      <c r="C15" s="34" t="s">
        <v>41</v>
      </c>
      <c r="D15" s="35">
        <v>125341</v>
      </c>
      <c r="E15" s="35">
        <v>100456</v>
      </c>
      <c r="F15" s="91"/>
      <c r="H15" s="97"/>
      <c r="J15" s="93" t="s">
        <v>38</v>
      </c>
    </row>
    <row r="16" spans="2:12" ht="30" customHeight="1">
      <c r="B16" s="34" t="s">
        <v>38</v>
      </c>
      <c r="C16" s="34" t="s">
        <v>41</v>
      </c>
      <c r="D16" s="35">
        <v>125340</v>
      </c>
      <c r="E16" s="35">
        <v>105278</v>
      </c>
      <c r="F16" s="91"/>
      <c r="H16" s="97"/>
      <c r="J16" s="93" t="s">
        <v>47</v>
      </c>
    </row>
    <row r="17" spans="2:8" ht="30" customHeight="1">
      <c r="B17" s="34" t="s">
        <v>47</v>
      </c>
      <c r="C17" s="34" t="s">
        <v>41</v>
      </c>
      <c r="D17" s="35">
        <v>123123</v>
      </c>
      <c r="E17" s="35">
        <v>104567</v>
      </c>
      <c r="F17" s="91"/>
      <c r="H17" s="97"/>
    </row>
    <row r="18" spans="2:8" ht="30" customHeight="1">
      <c r="B18" s="34" t="s">
        <v>242</v>
      </c>
      <c r="C18" s="34" t="s">
        <v>42</v>
      </c>
      <c r="D18" s="35">
        <v>123654</v>
      </c>
      <c r="E18" s="35">
        <v>100234</v>
      </c>
      <c r="F18" s="91"/>
    </row>
    <row r="19" spans="2:8" ht="30" customHeight="1">
      <c r="B19" s="34" t="s">
        <v>55</v>
      </c>
      <c r="C19" s="34" t="s">
        <v>42</v>
      </c>
      <c r="D19" s="35">
        <v>165234</v>
      </c>
      <c r="E19" s="35">
        <v>99888</v>
      </c>
      <c r="F19" s="91"/>
    </row>
    <row r="20" spans="2:8" ht="30" customHeight="1">
      <c r="B20" s="34" t="s">
        <v>36</v>
      </c>
      <c r="C20" s="34" t="s">
        <v>42</v>
      </c>
      <c r="D20" s="35">
        <v>162346</v>
      </c>
      <c r="E20" s="35">
        <v>98234</v>
      </c>
      <c r="F20" s="91"/>
    </row>
    <row r="21" spans="2:8" ht="30" customHeight="1">
      <c r="B21" s="34" t="s">
        <v>39</v>
      </c>
      <c r="C21" s="34" t="s">
        <v>42</v>
      </c>
      <c r="D21" s="35">
        <v>161879</v>
      </c>
      <c r="E21" s="35">
        <v>104523</v>
      </c>
      <c r="F21" s="91"/>
    </row>
    <row r="22" spans="2:8" ht="30" customHeight="1">
      <c r="B22" s="34" t="s">
        <v>243</v>
      </c>
      <c r="C22" s="34" t="s">
        <v>42</v>
      </c>
      <c r="D22" s="35">
        <v>153235</v>
      </c>
      <c r="E22" s="35">
        <v>106345</v>
      </c>
      <c r="F22" s="91"/>
    </row>
    <row r="23" spans="2:8" ht="30" customHeight="1">
      <c r="B23" s="34" t="s">
        <v>244</v>
      </c>
      <c r="C23" s="34" t="s">
        <v>42</v>
      </c>
      <c r="D23" s="35">
        <v>154236</v>
      </c>
      <c r="E23" s="35">
        <v>125234</v>
      </c>
      <c r="F23" s="91"/>
    </row>
    <row r="24" spans="2:8" ht="30" customHeight="1">
      <c r="B24" s="34" t="s">
        <v>52</v>
      </c>
      <c r="C24" s="34" t="s">
        <v>42</v>
      </c>
      <c r="D24" s="35">
        <v>156234</v>
      </c>
      <c r="E24" s="35">
        <v>122765</v>
      </c>
      <c r="F24" s="91"/>
    </row>
    <row r="25" spans="2:8" ht="30" customHeight="1">
      <c r="B25" s="34" t="s">
        <v>245</v>
      </c>
      <c r="C25" s="34" t="s">
        <v>42</v>
      </c>
      <c r="D25" s="35">
        <v>159675</v>
      </c>
      <c r="E25" s="35">
        <v>111056</v>
      </c>
      <c r="F25" s="91"/>
    </row>
    <row r="26" spans="2:8" ht="30" customHeight="1">
      <c r="B26" s="34" t="s">
        <v>38</v>
      </c>
      <c r="C26" s="34" t="s">
        <v>42</v>
      </c>
      <c r="D26" s="35">
        <v>158165</v>
      </c>
      <c r="E26" s="35">
        <v>112487</v>
      </c>
      <c r="F26" s="91"/>
    </row>
    <row r="27" spans="2:8" ht="30" customHeight="1">
      <c r="B27" s="34" t="s">
        <v>47</v>
      </c>
      <c r="C27" s="34" t="s">
        <v>42</v>
      </c>
      <c r="D27" s="35">
        <v>185154</v>
      </c>
      <c r="E27" s="35">
        <v>123123</v>
      </c>
      <c r="F27" s="91"/>
    </row>
    <row r="28" spans="2:8" ht="30" customHeight="1">
      <c r="B28" s="34" t="s">
        <v>242</v>
      </c>
      <c r="C28" s="34" t="s">
        <v>43</v>
      </c>
      <c r="D28" s="35">
        <v>157234</v>
      </c>
      <c r="E28" s="35">
        <v>109567</v>
      </c>
      <c r="F28" s="91"/>
    </row>
    <row r="29" spans="2:8" ht="30" customHeight="1">
      <c r="B29" s="34" t="s">
        <v>55</v>
      </c>
      <c r="C29" s="34" t="s">
        <v>43</v>
      </c>
      <c r="D29" s="35">
        <v>176234</v>
      </c>
      <c r="E29" s="35">
        <v>105879</v>
      </c>
      <c r="F29" s="91"/>
    </row>
    <row r="30" spans="2:8" ht="30" customHeight="1">
      <c r="B30" s="34" t="s">
        <v>36</v>
      </c>
      <c r="C30" s="34" t="s">
        <v>43</v>
      </c>
      <c r="D30" s="35">
        <v>198123</v>
      </c>
      <c r="E30" s="35">
        <v>119674</v>
      </c>
      <c r="F30" s="91"/>
    </row>
    <row r="31" spans="2:8" ht="30" customHeight="1">
      <c r="B31" s="34" t="s">
        <v>39</v>
      </c>
      <c r="C31" s="34" t="s">
        <v>43</v>
      </c>
      <c r="D31" s="35">
        <v>145653</v>
      </c>
      <c r="E31" s="35">
        <v>112390</v>
      </c>
      <c r="F31" s="91"/>
    </row>
    <row r="32" spans="2:8" ht="30" customHeight="1">
      <c r="B32" s="34" t="s">
        <v>243</v>
      </c>
      <c r="C32" s="34" t="s">
        <v>43</v>
      </c>
      <c r="D32" s="35">
        <v>137563</v>
      </c>
      <c r="E32" s="35">
        <v>126342</v>
      </c>
      <c r="F32" s="91"/>
    </row>
    <row r="33" spans="2:6" ht="30" customHeight="1">
      <c r="B33" s="34" t="s">
        <v>244</v>
      </c>
      <c r="C33" s="34" t="s">
        <v>43</v>
      </c>
      <c r="D33" s="35">
        <v>134876</v>
      </c>
      <c r="E33" s="35">
        <v>111034</v>
      </c>
      <c r="F33" s="91"/>
    </row>
    <row r="34" spans="2:6" ht="30" customHeight="1">
      <c r="B34" s="34" t="s">
        <v>52</v>
      </c>
      <c r="C34" s="34" t="s">
        <v>43</v>
      </c>
      <c r="D34" s="35">
        <v>148265</v>
      </c>
      <c r="E34" s="35">
        <v>123000</v>
      </c>
      <c r="F34" s="91"/>
    </row>
    <row r="35" spans="2:6" ht="30" customHeight="1">
      <c r="B35" s="34" t="s">
        <v>245</v>
      </c>
      <c r="C35" s="34" t="s">
        <v>43</v>
      </c>
      <c r="D35" s="35">
        <v>164123</v>
      </c>
      <c r="E35" s="35">
        <v>111034</v>
      </c>
      <c r="F35" s="91"/>
    </row>
    <row r="36" spans="2:6" ht="30" customHeight="1">
      <c r="B36" s="34" t="s">
        <v>38</v>
      </c>
      <c r="C36" s="34" t="s">
        <v>43</v>
      </c>
      <c r="D36" s="35">
        <v>169234</v>
      </c>
      <c r="E36" s="35">
        <v>99888</v>
      </c>
      <c r="F36" s="91"/>
    </row>
    <row r="37" spans="2:6" ht="30" customHeight="1">
      <c r="B37" s="34" t="s">
        <v>47</v>
      </c>
      <c r="C37" s="34" t="s">
        <v>43</v>
      </c>
      <c r="D37" s="35">
        <v>158234</v>
      </c>
      <c r="E37" s="35">
        <v>98234</v>
      </c>
      <c r="F37" s="91"/>
    </row>
    <row r="38" spans="2:6" ht="30" customHeight="1">
      <c r="B38" s="34" t="s">
        <v>242</v>
      </c>
      <c r="C38" s="34" t="s">
        <v>44</v>
      </c>
      <c r="D38" s="35">
        <v>143123</v>
      </c>
      <c r="E38" s="35">
        <v>104523</v>
      </c>
      <c r="F38" s="91"/>
    </row>
    <row r="39" spans="2:6" ht="30" customHeight="1">
      <c r="B39" s="34" t="s">
        <v>55</v>
      </c>
      <c r="C39" s="34" t="s">
        <v>44</v>
      </c>
      <c r="D39" s="35">
        <v>185125</v>
      </c>
      <c r="E39" s="35">
        <v>106345</v>
      </c>
      <c r="F39" s="91"/>
    </row>
    <row r="40" spans="2:6" ht="30" customHeight="1">
      <c r="B40" s="34" t="s">
        <v>36</v>
      </c>
      <c r="C40" s="34" t="s">
        <v>44</v>
      </c>
      <c r="D40" s="35">
        <v>136234</v>
      </c>
      <c r="E40" s="35">
        <v>125234</v>
      </c>
      <c r="F40" s="91"/>
    </row>
    <row r="41" spans="2:6" ht="30" customHeight="1">
      <c r="B41" s="34" t="s">
        <v>39</v>
      </c>
      <c r="C41" s="34" t="s">
        <v>44</v>
      </c>
      <c r="D41" s="35">
        <v>142678</v>
      </c>
      <c r="E41" s="35">
        <v>122765</v>
      </c>
      <c r="F41" s="91"/>
    </row>
    <row r="42" spans="2:6" ht="30" customHeight="1">
      <c r="B42" s="34" t="s">
        <v>243</v>
      </c>
      <c r="C42" s="34" t="s">
        <v>44</v>
      </c>
      <c r="D42" s="35">
        <v>183472</v>
      </c>
      <c r="E42" s="35">
        <v>111056</v>
      </c>
      <c r="F42" s="91"/>
    </row>
    <row r="43" spans="2:6" ht="30" customHeight="1">
      <c r="B43" s="34" t="s">
        <v>244</v>
      </c>
      <c r="C43" s="34" t="s">
        <v>44</v>
      </c>
      <c r="D43" s="35">
        <v>146239</v>
      </c>
      <c r="E43" s="35">
        <v>112487</v>
      </c>
      <c r="F43" s="91"/>
    </row>
    <row r="44" spans="2:6" ht="30" customHeight="1">
      <c r="B44" s="34" t="s">
        <v>52</v>
      </c>
      <c r="C44" s="34" t="s">
        <v>44</v>
      </c>
      <c r="D44" s="35">
        <v>173890</v>
      </c>
      <c r="E44" s="35">
        <v>123123</v>
      </c>
      <c r="F44" s="91"/>
    </row>
    <row r="45" spans="2:6" ht="30" customHeight="1">
      <c r="B45" s="34" t="s">
        <v>245</v>
      </c>
      <c r="C45" s="34" t="s">
        <v>44</v>
      </c>
      <c r="D45" s="35">
        <v>163486</v>
      </c>
      <c r="E45" s="35">
        <v>109567</v>
      </c>
      <c r="F45" s="91"/>
    </row>
    <row r="46" spans="2:6" ht="30" customHeight="1">
      <c r="B46" s="34" t="s">
        <v>38</v>
      </c>
      <c r="C46" s="34" t="s">
        <v>44</v>
      </c>
      <c r="D46" s="35">
        <v>164876</v>
      </c>
      <c r="E46" s="35">
        <v>105879</v>
      </c>
      <c r="F46" s="91"/>
    </row>
    <row r="47" spans="2:6" ht="30" customHeight="1">
      <c r="B47" s="34" t="s">
        <v>47</v>
      </c>
      <c r="C47" s="34" t="s">
        <v>44</v>
      </c>
      <c r="D47" s="35">
        <v>137459</v>
      </c>
      <c r="E47" s="35">
        <v>119674</v>
      </c>
      <c r="F47" s="91"/>
    </row>
    <row r="48" spans="2:6" ht="30" customHeight="1">
      <c r="B48" s="34" t="s">
        <v>242</v>
      </c>
      <c r="C48" s="34" t="s">
        <v>45</v>
      </c>
      <c r="D48" s="35">
        <v>125986</v>
      </c>
      <c r="E48" s="35">
        <v>112390</v>
      </c>
      <c r="F48" s="91"/>
    </row>
    <row r="49" spans="2:6" ht="30" customHeight="1">
      <c r="B49" s="34" t="s">
        <v>55</v>
      </c>
      <c r="C49" s="34" t="s">
        <v>45</v>
      </c>
      <c r="D49" s="35">
        <v>175234</v>
      </c>
      <c r="E49" s="35">
        <v>126342</v>
      </c>
      <c r="F49" s="91"/>
    </row>
    <row r="50" spans="2:6" ht="30" customHeight="1">
      <c r="B50" s="34" t="s">
        <v>36</v>
      </c>
      <c r="C50" s="34" t="s">
        <v>45</v>
      </c>
      <c r="D50" s="35">
        <v>197234</v>
      </c>
      <c r="E50" s="35">
        <v>111034</v>
      </c>
      <c r="F50" s="91"/>
    </row>
    <row r="51" spans="2:6" ht="30" customHeight="1">
      <c r="B51" s="34" t="s">
        <v>39</v>
      </c>
      <c r="C51" s="34" t="s">
        <v>45</v>
      </c>
      <c r="D51" s="35">
        <v>176234</v>
      </c>
      <c r="E51" s="35">
        <v>123000</v>
      </c>
      <c r="F51" s="91"/>
    </row>
    <row r="52" spans="2:6" ht="30" customHeight="1">
      <c r="B52" s="34" t="s">
        <v>243</v>
      </c>
      <c r="C52" s="34" t="s">
        <v>45</v>
      </c>
      <c r="D52" s="35">
        <v>198123</v>
      </c>
      <c r="E52" s="35">
        <v>111034</v>
      </c>
      <c r="F52" s="91"/>
    </row>
    <row r="53" spans="2:6" ht="30" customHeight="1">
      <c r="B53" s="34" t="s">
        <v>244</v>
      </c>
      <c r="C53" s="34" t="s">
        <v>45</v>
      </c>
      <c r="D53" s="35">
        <v>145653</v>
      </c>
      <c r="E53" s="35">
        <v>98265</v>
      </c>
      <c r="F53" s="91"/>
    </row>
    <row r="54" spans="2:6" ht="30" customHeight="1">
      <c r="B54" s="34" t="s">
        <v>52</v>
      </c>
      <c r="C54" s="34" t="s">
        <v>45</v>
      </c>
      <c r="D54" s="35">
        <v>137563</v>
      </c>
      <c r="E54" s="35">
        <v>100456</v>
      </c>
      <c r="F54" s="91"/>
    </row>
    <row r="55" spans="2:6" ht="30" customHeight="1">
      <c r="B55" s="34" t="s">
        <v>245</v>
      </c>
      <c r="C55" s="34" t="s">
        <v>45</v>
      </c>
      <c r="D55" s="35">
        <v>134876</v>
      </c>
      <c r="E55" s="35">
        <v>105278</v>
      </c>
      <c r="F55" s="91"/>
    </row>
    <row r="56" spans="2:6" ht="30" customHeight="1">
      <c r="B56" s="34" t="s">
        <v>38</v>
      </c>
      <c r="C56" s="34" t="s">
        <v>45</v>
      </c>
      <c r="D56" s="35">
        <v>148265</v>
      </c>
      <c r="E56" s="35">
        <v>104567</v>
      </c>
      <c r="F56" s="91"/>
    </row>
    <row r="57" spans="2:6" ht="30" customHeight="1">
      <c r="B57" s="34" t="s">
        <v>47</v>
      </c>
      <c r="C57" s="34" t="s">
        <v>246</v>
      </c>
      <c r="D57" s="35">
        <v>164123</v>
      </c>
      <c r="E57" s="35">
        <v>100234</v>
      </c>
      <c r="F57" s="91"/>
    </row>
    <row r="58" spans="2:6" ht="30" customHeight="1">
      <c r="B58" s="34" t="s">
        <v>242</v>
      </c>
      <c r="C58" s="34" t="s">
        <v>46</v>
      </c>
      <c r="D58" s="35">
        <v>169234</v>
      </c>
      <c r="E58" s="35">
        <v>99888</v>
      </c>
      <c r="F58" s="91"/>
    </row>
    <row r="59" spans="2:6" ht="30" customHeight="1">
      <c r="B59" s="34" t="s">
        <v>55</v>
      </c>
      <c r="C59" s="34" t="s">
        <v>46</v>
      </c>
      <c r="D59" s="35">
        <v>158234</v>
      </c>
      <c r="E59" s="35">
        <v>98234</v>
      </c>
      <c r="F59" s="91"/>
    </row>
    <row r="60" spans="2:6" ht="30" customHeight="1">
      <c r="B60" s="34" t="s">
        <v>36</v>
      </c>
      <c r="C60" s="34" t="s">
        <v>46</v>
      </c>
      <c r="D60" s="35">
        <v>143123</v>
      </c>
      <c r="E60" s="35">
        <v>104523</v>
      </c>
      <c r="F60" s="91"/>
    </row>
    <row r="61" spans="2:6" ht="30" customHeight="1">
      <c r="B61" s="34" t="s">
        <v>39</v>
      </c>
      <c r="C61" s="34" t="s">
        <v>46</v>
      </c>
      <c r="D61" s="35">
        <v>185125</v>
      </c>
      <c r="E61" s="35">
        <v>106345</v>
      </c>
      <c r="F61" s="94"/>
    </row>
    <row r="62" spans="2:6" ht="30" customHeight="1">
      <c r="B62" s="34" t="s">
        <v>243</v>
      </c>
      <c r="C62" s="34" t="s">
        <v>46</v>
      </c>
      <c r="D62" s="35">
        <v>136234</v>
      </c>
      <c r="E62" s="35">
        <v>125234</v>
      </c>
      <c r="F62" s="91"/>
    </row>
    <row r="63" spans="2:6" ht="30" customHeight="1">
      <c r="B63" s="34" t="s">
        <v>244</v>
      </c>
      <c r="C63" s="34" t="s">
        <v>46</v>
      </c>
      <c r="D63" s="35">
        <v>142678</v>
      </c>
      <c r="E63" s="35">
        <v>122765</v>
      </c>
      <c r="F63" s="91"/>
    </row>
    <row r="64" spans="2:6" ht="30" customHeight="1">
      <c r="B64" s="34" t="s">
        <v>52</v>
      </c>
      <c r="C64" s="34" t="s">
        <v>46</v>
      </c>
      <c r="D64" s="35">
        <v>183472</v>
      </c>
      <c r="E64" s="35">
        <v>111056</v>
      </c>
      <c r="F64" s="91"/>
    </row>
    <row r="65" spans="2:6" ht="30" customHeight="1">
      <c r="B65" s="34" t="s">
        <v>245</v>
      </c>
      <c r="C65" s="34" t="s">
        <v>46</v>
      </c>
      <c r="D65" s="35">
        <v>146239</v>
      </c>
      <c r="E65" s="35">
        <v>112487</v>
      </c>
      <c r="F65" s="91"/>
    </row>
    <row r="66" spans="2:6" ht="30" customHeight="1">
      <c r="B66" s="34" t="s">
        <v>38</v>
      </c>
      <c r="C66" s="34" t="s">
        <v>46</v>
      </c>
      <c r="D66" s="35">
        <v>173890</v>
      </c>
      <c r="E66" s="35">
        <v>123123</v>
      </c>
      <c r="F66" s="91"/>
    </row>
    <row r="67" spans="2:6" ht="30" customHeight="1">
      <c r="B67" s="34" t="s">
        <v>47</v>
      </c>
      <c r="C67" s="34" t="s">
        <v>46</v>
      </c>
      <c r="D67" s="35">
        <v>163486</v>
      </c>
      <c r="E67" s="35">
        <v>109567</v>
      </c>
      <c r="F67" s="91"/>
    </row>
    <row r="68" spans="2:6">
      <c r="F68" s="91"/>
    </row>
    <row r="69" spans="2:6">
      <c r="F69" s="91"/>
    </row>
    <row r="70" spans="2:6">
      <c r="F70" s="91"/>
    </row>
    <row r="71" spans="2:6">
      <c r="F71" s="91"/>
    </row>
    <row r="72" spans="2:6">
      <c r="F72" s="91"/>
    </row>
    <row r="73" spans="2:6">
      <c r="F73" s="91"/>
    </row>
    <row r="74" spans="2:6">
      <c r="F74" s="91"/>
    </row>
    <row r="75" spans="2:6">
      <c r="F75" s="91"/>
    </row>
    <row r="76" spans="2:6">
      <c r="F76" s="91"/>
    </row>
    <row r="77" spans="2:6">
      <c r="F77" s="91"/>
    </row>
    <row r="78" spans="2:6">
      <c r="F78" s="91"/>
    </row>
    <row r="79" spans="2:6">
      <c r="F79" s="91"/>
    </row>
    <row r="80" spans="2:6">
      <c r="F80" s="91"/>
    </row>
    <row r="81" spans="6:6">
      <c r="F81" s="91"/>
    </row>
    <row r="82" spans="6:6">
      <c r="F82" s="91"/>
    </row>
    <row r="83" spans="6:6">
      <c r="F83" s="91"/>
    </row>
    <row r="84" spans="6:6">
      <c r="F84" s="91"/>
    </row>
    <row r="85" spans="6:6">
      <c r="F85" s="91"/>
    </row>
    <row r="86" spans="6:6">
      <c r="F86" s="91"/>
    </row>
    <row r="87" spans="6:6">
      <c r="F87" s="91"/>
    </row>
    <row r="88" spans="6:6">
      <c r="F88" s="91"/>
    </row>
    <row r="89" spans="6:6">
      <c r="F89" s="91"/>
    </row>
    <row r="90" spans="6:6">
      <c r="F90" s="91"/>
    </row>
    <row r="91" spans="6:6">
      <c r="F91" s="91"/>
    </row>
    <row r="92" spans="6:6">
      <c r="F92" s="91"/>
    </row>
    <row r="93" spans="6:6">
      <c r="F93" s="91"/>
    </row>
    <row r="94" spans="6:6">
      <c r="F94" s="91"/>
    </row>
    <row r="95" spans="6:6">
      <c r="F95" s="91"/>
    </row>
    <row r="96" spans="6:6">
      <c r="F96" s="91"/>
    </row>
    <row r="97" spans="6:6">
      <c r="F97" s="91"/>
    </row>
    <row r="98" spans="6:6">
      <c r="F98" s="91"/>
    </row>
    <row r="99" spans="6:6">
      <c r="F99" s="91"/>
    </row>
    <row r="100" spans="6:6">
      <c r="F100" s="91"/>
    </row>
    <row r="101" spans="6:6">
      <c r="F101" s="91"/>
    </row>
    <row r="102" spans="6:6">
      <c r="F102" s="91"/>
    </row>
    <row r="103" spans="6:6">
      <c r="F103" s="91"/>
    </row>
    <row r="104" spans="6:6">
      <c r="F104" s="91"/>
    </row>
    <row r="105" spans="6:6">
      <c r="F105" s="91"/>
    </row>
    <row r="106" spans="6:6">
      <c r="F106" s="91"/>
    </row>
    <row r="107" spans="6:6">
      <c r="F107" s="91"/>
    </row>
    <row r="108" spans="6:6">
      <c r="F108" s="91"/>
    </row>
    <row r="109" spans="6:6">
      <c r="F109" s="91"/>
    </row>
    <row r="110" spans="6:6">
      <c r="F110" s="91"/>
    </row>
    <row r="111" spans="6:6">
      <c r="F111" s="91"/>
    </row>
    <row r="112" spans="6:6">
      <c r="F112" s="91"/>
    </row>
    <row r="113" spans="6:6">
      <c r="F113" s="91"/>
    </row>
    <row r="114" spans="6:6">
      <c r="F114" s="91"/>
    </row>
    <row r="115" spans="6:6">
      <c r="F115" s="91"/>
    </row>
    <row r="116" spans="6:6">
      <c r="F116" s="91"/>
    </row>
    <row r="117" spans="6:6">
      <c r="F117" s="91"/>
    </row>
    <row r="118" spans="6:6">
      <c r="F118" s="91"/>
    </row>
    <row r="119" spans="6:6">
      <c r="F119" s="91"/>
    </row>
    <row r="120" spans="6:6">
      <c r="F120" s="91"/>
    </row>
    <row r="121" spans="6:6">
      <c r="F121" s="91"/>
    </row>
    <row r="122" spans="6:6">
      <c r="F122" s="91"/>
    </row>
    <row r="123" spans="6:6">
      <c r="F123" s="91"/>
    </row>
    <row r="124" spans="6:6">
      <c r="F124" s="91"/>
    </row>
    <row r="125" spans="6:6">
      <c r="F125" s="91"/>
    </row>
    <row r="126" spans="6:6">
      <c r="F126" s="91"/>
    </row>
    <row r="127" spans="6:6">
      <c r="F127" s="91"/>
    </row>
    <row r="128" spans="6:6">
      <c r="F128" s="91"/>
    </row>
    <row r="129" spans="6:9">
      <c r="F129" s="91"/>
    </row>
    <row r="130" spans="6:9">
      <c r="F130" s="91"/>
      <c r="I130" s="33"/>
    </row>
    <row r="131" spans="6:9">
      <c r="F131" s="91"/>
      <c r="I131" s="93"/>
    </row>
    <row r="132" spans="6:9">
      <c r="F132" s="91"/>
      <c r="I132" s="93"/>
    </row>
    <row r="133" spans="6:9">
      <c r="F133" s="91"/>
      <c r="I133" s="93"/>
    </row>
    <row r="134" spans="6:9">
      <c r="F134" s="91"/>
      <c r="I134" s="93"/>
    </row>
    <row r="135" spans="6:9">
      <c r="F135" s="91"/>
      <c r="I135" s="93"/>
    </row>
    <row r="136" spans="6:9">
      <c r="F136" s="91"/>
      <c r="I136" s="93"/>
    </row>
    <row r="137" spans="6:9">
      <c r="F137" s="91"/>
      <c r="I137" s="93"/>
    </row>
    <row r="138" spans="6:9">
      <c r="F138" s="91"/>
      <c r="I138" s="93"/>
    </row>
    <row r="139" spans="6:9">
      <c r="F139" s="91"/>
      <c r="I139" s="93"/>
    </row>
    <row r="140" spans="6:9">
      <c r="F140" s="91"/>
      <c r="I140" s="93"/>
    </row>
    <row r="141" spans="6:9">
      <c r="F141" s="91"/>
      <c r="I141" s="93"/>
    </row>
    <row r="142" spans="6:9">
      <c r="F142" s="91"/>
      <c r="I142" s="93"/>
    </row>
    <row r="143" spans="6:9">
      <c r="F143" s="91"/>
      <c r="I143" s="93"/>
    </row>
    <row r="144" spans="6:9">
      <c r="F144" s="91"/>
      <c r="I144" s="93"/>
    </row>
    <row r="145" spans="6:9">
      <c r="F145" s="91"/>
      <c r="I145" s="93"/>
    </row>
    <row r="146" spans="6:9">
      <c r="F146" s="91"/>
      <c r="I146" s="93"/>
    </row>
    <row r="147" spans="6:9">
      <c r="F147" s="91"/>
      <c r="I147" s="93"/>
    </row>
    <row r="148" spans="6:9">
      <c r="F148" s="91"/>
      <c r="I148" s="93"/>
    </row>
    <row r="149" spans="6:9">
      <c r="F149" s="91"/>
      <c r="I149" s="93"/>
    </row>
    <row r="150" spans="6:9">
      <c r="F150" s="91"/>
      <c r="I150" s="93"/>
    </row>
    <row r="151" spans="6:9">
      <c r="F151" s="91"/>
      <c r="I151" s="93"/>
    </row>
    <row r="152" spans="6:9">
      <c r="F152" s="91"/>
      <c r="I152" s="93"/>
    </row>
    <row r="153" spans="6:9">
      <c r="F153" s="91"/>
      <c r="I153" s="93"/>
    </row>
    <row r="154" spans="6:9">
      <c r="F154" s="91"/>
      <c r="I154" s="93"/>
    </row>
    <row r="155" spans="6:9">
      <c r="F155" s="91"/>
      <c r="I155" s="93"/>
    </row>
    <row r="156" spans="6:9">
      <c r="F156" s="91"/>
      <c r="I156" s="93"/>
    </row>
    <row r="157" spans="6:9">
      <c r="F157" s="91"/>
      <c r="I157" s="93"/>
    </row>
    <row r="158" spans="6:9">
      <c r="F158" s="91"/>
      <c r="I158" s="93"/>
    </row>
    <row r="159" spans="6:9">
      <c r="F159" s="91"/>
      <c r="I159" s="93"/>
    </row>
    <row r="160" spans="6:9">
      <c r="F160" s="91"/>
      <c r="I160" s="93"/>
    </row>
    <row r="161" spans="6:9">
      <c r="F161" s="91"/>
      <c r="I161" s="93"/>
    </row>
    <row r="162" spans="6:9">
      <c r="F162" s="91"/>
      <c r="I162" s="93"/>
    </row>
    <row r="163" spans="6:9">
      <c r="F163" s="91"/>
      <c r="I163" s="93"/>
    </row>
    <row r="164" spans="6:9">
      <c r="F164" s="91"/>
      <c r="I164" s="93"/>
    </row>
    <row r="165" spans="6:9">
      <c r="F165" s="91"/>
      <c r="I165" s="93"/>
    </row>
    <row r="166" spans="6:9">
      <c r="F166" s="91"/>
      <c r="I166" s="93"/>
    </row>
    <row r="167" spans="6:9">
      <c r="F167" s="91"/>
      <c r="I167" s="93"/>
    </row>
    <row r="168" spans="6:9">
      <c r="F168" s="91"/>
      <c r="I168" s="93"/>
    </row>
    <row r="169" spans="6:9">
      <c r="F169" s="91"/>
      <c r="I169" s="93"/>
    </row>
    <row r="170" spans="6:9">
      <c r="F170" s="91"/>
      <c r="I170" s="93"/>
    </row>
    <row r="171" spans="6:9">
      <c r="F171" s="91"/>
      <c r="I171" s="93"/>
    </row>
    <row r="172" spans="6:9">
      <c r="F172" s="91"/>
      <c r="I172" s="93"/>
    </row>
    <row r="173" spans="6:9">
      <c r="F173" s="91"/>
      <c r="I173" s="93"/>
    </row>
    <row r="174" spans="6:9">
      <c r="F174" s="91"/>
      <c r="I174" s="93"/>
    </row>
    <row r="175" spans="6:9">
      <c r="F175" s="91"/>
      <c r="I175" s="93"/>
    </row>
    <row r="176" spans="6:9">
      <c r="F176" s="91"/>
      <c r="I176" s="93"/>
    </row>
    <row r="177" spans="6:9">
      <c r="F177" s="91"/>
      <c r="I177" s="93"/>
    </row>
    <row r="178" spans="6:9">
      <c r="F178" s="91"/>
      <c r="I178" s="93"/>
    </row>
    <row r="179" spans="6:9">
      <c r="F179" s="91"/>
      <c r="I179" s="93"/>
    </row>
    <row r="180" spans="6:9">
      <c r="F180" s="91"/>
      <c r="I180" s="93"/>
    </row>
    <row r="181" spans="6:9">
      <c r="F181" s="91"/>
      <c r="I181" s="93"/>
    </row>
    <row r="182" spans="6:9">
      <c r="F182" s="91"/>
      <c r="I182" s="93"/>
    </row>
    <row r="183" spans="6:9">
      <c r="F183" s="91"/>
      <c r="I183" s="93"/>
    </row>
    <row r="184" spans="6:9">
      <c r="F184" s="91"/>
      <c r="I184" s="93"/>
    </row>
    <row r="185" spans="6:9">
      <c r="F185" s="91"/>
      <c r="I185" s="93"/>
    </row>
    <row r="186" spans="6:9">
      <c r="F186" s="91"/>
      <c r="I186" s="93"/>
    </row>
    <row r="187" spans="6:9">
      <c r="F187" s="91"/>
      <c r="I187" s="93"/>
    </row>
    <row r="188" spans="6:9">
      <c r="F188" s="91"/>
      <c r="I188" s="93"/>
    </row>
    <row r="189" spans="6:9">
      <c r="F189" s="91"/>
      <c r="I189" s="93"/>
    </row>
    <row r="190" spans="6:9">
      <c r="F190" s="91"/>
      <c r="I190" s="93"/>
    </row>
    <row r="191" spans="6:9">
      <c r="F191" s="91"/>
    </row>
    <row r="192" spans="6:9">
      <c r="F192" s="91"/>
    </row>
    <row r="193" spans="6:6">
      <c r="F193" s="91"/>
    </row>
    <row r="194" spans="6:6">
      <c r="F194" s="91"/>
    </row>
    <row r="195" spans="6:6">
      <c r="F195" s="91"/>
    </row>
    <row r="196" spans="6:6">
      <c r="F196" s="91"/>
    </row>
    <row r="197" spans="6:6">
      <c r="F197" s="91"/>
    </row>
    <row r="198" spans="6:6">
      <c r="F198" s="91"/>
    </row>
    <row r="199" spans="6:6">
      <c r="F199" s="91"/>
    </row>
    <row r="200" spans="6:6">
      <c r="F200" s="91"/>
    </row>
    <row r="201" spans="6:6">
      <c r="F201" s="91"/>
    </row>
    <row r="202" spans="6:6">
      <c r="F202" s="91"/>
    </row>
    <row r="203" spans="6:6">
      <c r="F203" s="91"/>
    </row>
    <row r="204" spans="6:6">
      <c r="F204" s="91"/>
    </row>
    <row r="205" spans="6:6">
      <c r="F205" s="91"/>
    </row>
    <row r="206" spans="6:6">
      <c r="F206" s="91"/>
    </row>
    <row r="207" spans="6:6">
      <c r="F207" s="91"/>
    </row>
    <row r="208" spans="6:6">
      <c r="F208" s="91"/>
    </row>
    <row r="209" spans="6:6">
      <c r="F209" s="91"/>
    </row>
    <row r="210" spans="6:6">
      <c r="F210" s="91"/>
    </row>
    <row r="211" spans="6:6">
      <c r="F211" s="91"/>
    </row>
    <row r="212" spans="6:6">
      <c r="F212" s="91"/>
    </row>
  </sheetData>
  <mergeCells count="2">
    <mergeCell ref="B2:D2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>
    <tabColor theme="1"/>
  </sheetPr>
  <dimension ref="B1:O448"/>
  <sheetViews>
    <sheetView topLeftCell="A13" zoomScale="115" zoomScaleNormal="115" workbookViewId="0">
      <selection activeCell="D29" sqref="D29"/>
    </sheetView>
  </sheetViews>
  <sheetFormatPr baseColWidth="10" defaultColWidth="11.42578125" defaultRowHeight="12.75"/>
  <cols>
    <col min="1" max="1" width="4.140625" style="31" customWidth="1"/>
    <col min="2" max="2" width="11.42578125" style="31"/>
    <col min="3" max="3" width="20.42578125" style="31" customWidth="1"/>
    <col min="4" max="4" width="29" style="31" customWidth="1"/>
    <col min="5" max="5" width="51" style="31" customWidth="1"/>
    <col min="6" max="6" width="21.42578125" style="31" customWidth="1"/>
    <col min="7" max="7" width="0.5703125" style="31" customWidth="1"/>
    <col min="8" max="8" width="25.5703125" style="31" customWidth="1"/>
    <col min="9" max="9" width="18.5703125" style="31" customWidth="1"/>
    <col min="10" max="10" width="15.5703125" style="31" customWidth="1"/>
    <col min="11" max="11" width="19.140625" style="31" customWidth="1"/>
    <col min="12" max="12" width="17" style="31" hidden="1" customWidth="1"/>
    <col min="13" max="13" width="18.5703125" style="31" hidden="1" customWidth="1"/>
    <col min="14" max="14" width="22" style="31" hidden="1" customWidth="1"/>
    <col min="15" max="15" width="19.42578125" style="31" hidden="1" customWidth="1"/>
    <col min="16" max="16" width="19" style="31" customWidth="1"/>
    <col min="17" max="18" width="18.85546875" style="31" customWidth="1"/>
    <col min="19" max="19" width="0.85546875" style="31" customWidth="1"/>
    <col min="20" max="20" width="16.42578125" style="31" customWidth="1"/>
    <col min="21" max="16384" width="11.42578125" style="31"/>
  </cols>
  <sheetData>
    <row r="1" spans="2:15" s="109" customFormat="1" ht="37.700000000000003" customHeight="1">
      <c r="C1" s="110"/>
      <c r="D1" s="111"/>
      <c r="E1" s="247" t="s">
        <v>490</v>
      </c>
      <c r="F1" s="247"/>
      <c r="G1" s="247"/>
      <c r="H1" s="247"/>
      <c r="I1" s="111"/>
      <c r="J1" s="111"/>
    </row>
    <row r="2" spans="2:15" ht="12" customHeight="1"/>
    <row r="3" spans="2:15" ht="30" customHeight="1">
      <c r="B3" s="180" t="s">
        <v>236</v>
      </c>
      <c r="C3" s="183"/>
      <c r="D3" s="3"/>
      <c r="E3" s="3"/>
    </row>
    <row r="4" spans="2:15" ht="6.75" customHeight="1">
      <c r="B4" s="4"/>
      <c r="C4" s="3"/>
      <c r="D4" s="3"/>
      <c r="E4" s="3"/>
    </row>
    <row r="5" spans="2:15" ht="52.5" customHeight="1">
      <c r="B5" s="5"/>
      <c r="C5" s="255" t="s">
        <v>510</v>
      </c>
      <c r="D5" s="256"/>
      <c r="E5" s="256"/>
      <c r="F5" s="256"/>
      <c r="G5" s="257"/>
    </row>
    <row r="6" spans="2:15" ht="20.100000000000001" customHeight="1">
      <c r="B6" s="5"/>
      <c r="C6" s="140" t="s">
        <v>0</v>
      </c>
      <c r="D6" s="7"/>
      <c r="E6" s="7"/>
      <c r="F6" s="30"/>
      <c r="G6" s="150"/>
    </row>
    <row r="7" spans="2:15" ht="20.100000000000001" customHeight="1">
      <c r="B7" s="5"/>
      <c r="C7" s="144" t="s">
        <v>237</v>
      </c>
      <c r="D7" s="9"/>
      <c r="E7" s="9"/>
      <c r="F7" s="151"/>
      <c r="G7" s="152"/>
    </row>
    <row r="8" spans="2:15" ht="12" customHeight="1"/>
    <row r="9" spans="2:15" ht="38.1" customHeight="1">
      <c r="C9" s="105" t="s">
        <v>26</v>
      </c>
      <c r="D9" s="254" t="s">
        <v>525</v>
      </c>
      <c r="E9" s="252"/>
      <c r="F9" s="253"/>
      <c r="G9" s="13"/>
      <c r="H9" s="156">
        <f>AVERAGEIF(INGRESOS,"&gt;120000",INGRESOS)</f>
        <v>155670.49152542374</v>
      </c>
      <c r="I9" s="13"/>
      <c r="J9" s="13"/>
      <c r="L9" s="33" t="s">
        <v>238</v>
      </c>
      <c r="M9" s="33" t="s">
        <v>239</v>
      </c>
      <c r="N9" s="33" t="s">
        <v>240</v>
      </c>
      <c r="O9" s="33" t="s">
        <v>241</v>
      </c>
    </row>
    <row r="10" spans="2:15" ht="9" customHeight="1">
      <c r="B10" s="13"/>
      <c r="C10" s="15"/>
      <c r="D10" s="13"/>
      <c r="E10" s="13"/>
      <c r="F10" s="13"/>
      <c r="G10" s="13"/>
      <c r="H10" s="14"/>
      <c r="I10" s="13"/>
      <c r="J10" s="13"/>
      <c r="L10" s="34" t="s">
        <v>242</v>
      </c>
      <c r="M10" s="34" t="s">
        <v>41</v>
      </c>
      <c r="N10" s="35">
        <v>102345</v>
      </c>
      <c r="O10" s="35">
        <v>98456</v>
      </c>
    </row>
    <row r="11" spans="2:15" ht="38.1" customHeight="1">
      <c r="C11" s="105" t="s">
        <v>70</v>
      </c>
      <c r="D11" s="251" t="s">
        <v>511</v>
      </c>
      <c r="E11" s="252"/>
      <c r="F11" s="253"/>
      <c r="G11" s="13"/>
      <c r="H11" s="156">
        <f>AVERAGEIF(EGRESOS,"&lt;100000",EGRESOS)</f>
        <v>98114.642857142855</v>
      </c>
      <c r="L11" s="34" t="s">
        <v>55</v>
      </c>
      <c r="M11" s="34" t="s">
        <v>41</v>
      </c>
      <c r="N11" s="35">
        <v>123954</v>
      </c>
      <c r="O11" s="35">
        <v>99123</v>
      </c>
    </row>
    <row r="12" spans="2:15" ht="9" customHeight="1">
      <c r="C12" s="80"/>
      <c r="H12" s="30"/>
      <c r="L12" s="34" t="s">
        <v>36</v>
      </c>
      <c r="M12" s="34" t="s">
        <v>41</v>
      </c>
      <c r="N12" s="35">
        <v>127376</v>
      </c>
      <c r="O12" s="35">
        <v>94652</v>
      </c>
    </row>
    <row r="13" spans="2:15" ht="38.1" customHeight="1">
      <c r="C13" s="105" t="s">
        <v>195</v>
      </c>
      <c r="D13" s="251" t="s">
        <v>512</v>
      </c>
      <c r="E13" s="252"/>
      <c r="F13" s="253"/>
      <c r="G13" s="13"/>
      <c r="H13" s="156">
        <f>AVERAGEIF(SUCURSAL,"Trujillo",INGRESOS)</f>
        <v>136929.33333333334</v>
      </c>
      <c r="L13" s="34" t="s">
        <v>39</v>
      </c>
      <c r="M13" s="34" t="s">
        <v>41</v>
      </c>
      <c r="N13" s="35">
        <v>145234</v>
      </c>
      <c r="O13" s="35">
        <v>97345</v>
      </c>
    </row>
    <row r="14" spans="2:15" ht="9" customHeight="1">
      <c r="C14" s="80"/>
      <c r="H14" s="86"/>
      <c r="L14" s="34" t="s">
        <v>243</v>
      </c>
      <c r="M14" s="34" t="s">
        <v>41</v>
      </c>
      <c r="N14" s="35">
        <v>183453</v>
      </c>
      <c r="O14" s="35">
        <v>97236</v>
      </c>
    </row>
    <row r="15" spans="2:15" ht="38.1" customHeight="1">
      <c r="C15" s="105" t="s">
        <v>232</v>
      </c>
      <c r="D15" s="251" t="s">
        <v>513</v>
      </c>
      <c r="E15" s="252"/>
      <c r="F15" s="253"/>
      <c r="G15" s="13"/>
      <c r="H15" s="156">
        <f>AVERAGEIF(MES,"Junio",EGRESOS)</f>
        <v>111322.2</v>
      </c>
      <c r="L15" s="34" t="s">
        <v>244</v>
      </c>
      <c r="M15" s="34" t="s">
        <v>41</v>
      </c>
      <c r="N15" s="35">
        <v>153412</v>
      </c>
      <c r="O15" s="35">
        <v>95897</v>
      </c>
    </row>
    <row r="16" spans="2:15" ht="9" customHeight="1">
      <c r="C16" s="80"/>
      <c r="H16" s="86"/>
      <c r="L16" s="34" t="s">
        <v>52</v>
      </c>
      <c r="M16" s="34" t="s">
        <v>41</v>
      </c>
      <c r="N16" s="35">
        <v>126387</v>
      </c>
      <c r="O16" s="35">
        <v>98265</v>
      </c>
    </row>
    <row r="17" spans="3:15" ht="34.5" customHeight="1">
      <c r="C17" s="105" t="s">
        <v>233</v>
      </c>
      <c r="D17" s="254" t="s">
        <v>514</v>
      </c>
      <c r="E17" s="252"/>
      <c r="F17" s="253"/>
      <c r="G17" s="13"/>
      <c r="H17" s="156">
        <f>AVERAGEIF(EGRESOS,"&lt;98000",EGRESOS)</f>
        <v>96282.5</v>
      </c>
      <c r="L17" s="34" t="s">
        <v>245</v>
      </c>
      <c r="M17" s="34" t="s">
        <v>41</v>
      </c>
      <c r="N17" s="35">
        <v>125341</v>
      </c>
      <c r="O17" s="35">
        <v>100456</v>
      </c>
    </row>
    <row r="18" spans="3:15" ht="9" customHeight="1">
      <c r="C18" s="80"/>
      <c r="L18" s="34" t="s">
        <v>38</v>
      </c>
      <c r="M18" s="34" t="s">
        <v>41</v>
      </c>
      <c r="N18" s="35">
        <v>125340</v>
      </c>
      <c r="O18" s="35">
        <v>105278</v>
      </c>
    </row>
    <row r="19" spans="3:15" ht="30" customHeight="1">
      <c r="C19" s="105" t="s">
        <v>247</v>
      </c>
      <c r="D19" s="153" t="s">
        <v>515</v>
      </c>
      <c r="E19" s="82"/>
      <c r="L19" s="34" t="s">
        <v>47</v>
      </c>
      <c r="M19" s="34" t="s">
        <v>41</v>
      </c>
      <c r="N19" s="35">
        <v>123123</v>
      </c>
      <c r="O19" s="35">
        <v>104567</v>
      </c>
    </row>
    <row r="20" spans="3:15" ht="5.25" customHeight="1">
      <c r="L20" s="34" t="s">
        <v>242</v>
      </c>
      <c r="M20" s="34" t="s">
        <v>42</v>
      </c>
      <c r="N20" s="35">
        <v>123654</v>
      </c>
      <c r="O20" s="35">
        <v>100234</v>
      </c>
    </row>
    <row r="21" spans="3:15" ht="2.1" customHeight="1">
      <c r="C21" s="83"/>
      <c r="D21" s="83"/>
      <c r="L21" s="34" t="s">
        <v>55</v>
      </c>
      <c r="M21" s="34" t="s">
        <v>42</v>
      </c>
      <c r="N21" s="35">
        <v>165234</v>
      </c>
      <c r="O21" s="35">
        <v>99888</v>
      </c>
    </row>
    <row r="22" spans="3:15" ht="30" customHeight="1">
      <c r="C22" s="115" t="s">
        <v>239</v>
      </c>
      <c r="D22" s="115" t="s">
        <v>5</v>
      </c>
      <c r="L22" s="34" t="s">
        <v>36</v>
      </c>
      <c r="M22" s="34" t="s">
        <v>42</v>
      </c>
      <c r="N22" s="35">
        <v>162346</v>
      </c>
      <c r="O22" s="35">
        <v>98234</v>
      </c>
    </row>
    <row r="23" spans="3:15" ht="30" customHeight="1">
      <c r="C23" s="154" t="s">
        <v>41</v>
      </c>
      <c r="D23" s="155">
        <f>AVERAGEIF(MES,C23,INGRESOS)</f>
        <v>133596.5</v>
      </c>
      <c r="L23" s="34" t="s">
        <v>39</v>
      </c>
      <c r="M23" s="34" t="s">
        <v>42</v>
      </c>
      <c r="N23" s="35">
        <v>161879</v>
      </c>
      <c r="O23" s="35">
        <v>104523</v>
      </c>
    </row>
    <row r="24" spans="3:15" ht="10.5" customHeight="1">
      <c r="L24" s="34" t="s">
        <v>243</v>
      </c>
      <c r="M24" s="34" t="s">
        <v>42</v>
      </c>
      <c r="N24" s="35">
        <v>153235</v>
      </c>
      <c r="O24" s="35">
        <v>106345</v>
      </c>
    </row>
    <row r="25" spans="3:15" ht="30" customHeight="1">
      <c r="C25" s="105" t="s">
        <v>248</v>
      </c>
      <c r="D25" s="153" t="s">
        <v>516</v>
      </c>
      <c r="E25" s="84"/>
      <c r="F25" s="85"/>
      <c r="L25" s="34" t="s">
        <v>244</v>
      </c>
      <c r="M25" s="34" t="s">
        <v>42</v>
      </c>
      <c r="N25" s="35">
        <v>154236</v>
      </c>
      <c r="O25" s="35">
        <v>125234</v>
      </c>
    </row>
    <row r="26" spans="3:15" ht="9" customHeight="1">
      <c r="L26" s="34" t="s">
        <v>52</v>
      </c>
      <c r="M26" s="34" t="s">
        <v>42</v>
      </c>
      <c r="N26" s="35">
        <v>156234</v>
      </c>
      <c r="O26" s="35">
        <v>122765</v>
      </c>
    </row>
    <row r="27" spans="3:15" ht="30" customHeight="1">
      <c r="C27" s="157" t="s">
        <v>238</v>
      </c>
      <c r="D27" s="157" t="s">
        <v>5</v>
      </c>
      <c r="L27" s="34" t="s">
        <v>245</v>
      </c>
      <c r="M27" s="34" t="s">
        <v>42</v>
      </c>
      <c r="N27" s="35">
        <v>159675</v>
      </c>
      <c r="O27" s="35">
        <v>111056</v>
      </c>
    </row>
    <row r="28" spans="3:15" ht="30" customHeight="1">
      <c r="C28" s="154" t="s">
        <v>242</v>
      </c>
      <c r="D28" s="155">
        <f>AVERAGEIF(SUCURSAL,C28,EGRESOS)</f>
        <v>104176.33333333333</v>
      </c>
      <c r="L28" s="34" t="s">
        <v>38</v>
      </c>
      <c r="M28" s="34" t="s">
        <v>42</v>
      </c>
      <c r="N28" s="35">
        <v>158165</v>
      </c>
      <c r="O28" s="35">
        <v>112487</v>
      </c>
    </row>
    <row r="29" spans="3:15" ht="30" customHeight="1">
      <c r="L29" s="34" t="s">
        <v>47</v>
      </c>
      <c r="M29" s="34" t="s">
        <v>42</v>
      </c>
      <c r="N29" s="35">
        <v>185154</v>
      </c>
      <c r="O29" s="35">
        <v>123123</v>
      </c>
    </row>
    <row r="30" spans="3:15" ht="30" customHeight="1">
      <c r="L30" s="34" t="s">
        <v>244</v>
      </c>
      <c r="M30" s="34" t="s">
        <v>43</v>
      </c>
      <c r="N30" s="35">
        <v>134876</v>
      </c>
      <c r="O30" s="35">
        <v>111034</v>
      </c>
    </row>
    <row r="31" spans="3:15" ht="30" customHeight="1">
      <c r="L31" s="34" t="s">
        <v>52</v>
      </c>
      <c r="M31" s="34" t="s">
        <v>43</v>
      </c>
      <c r="N31" s="35">
        <v>148265</v>
      </c>
      <c r="O31" s="35">
        <v>123000</v>
      </c>
    </row>
    <row r="32" spans="3:15" ht="2.1" customHeight="1">
      <c r="L32" s="34" t="s">
        <v>245</v>
      </c>
      <c r="M32" s="34" t="s">
        <v>43</v>
      </c>
      <c r="N32" s="35">
        <v>164123</v>
      </c>
      <c r="O32" s="35">
        <v>111034</v>
      </c>
    </row>
    <row r="33" spans="12:15" ht="2.1" customHeight="1">
      <c r="L33" s="34" t="s">
        <v>38</v>
      </c>
      <c r="M33" s="34" t="s">
        <v>43</v>
      </c>
      <c r="N33" s="35">
        <v>169234</v>
      </c>
      <c r="O33" s="35">
        <v>99888</v>
      </c>
    </row>
    <row r="34" spans="12:15" ht="2.1" customHeight="1">
      <c r="L34" s="34" t="s">
        <v>47</v>
      </c>
      <c r="M34" s="34" t="s">
        <v>43</v>
      </c>
      <c r="N34" s="35">
        <v>158234</v>
      </c>
      <c r="O34" s="35">
        <v>98234</v>
      </c>
    </row>
    <row r="35" spans="12:15" ht="30" customHeight="1">
      <c r="L35" s="34" t="s">
        <v>242</v>
      </c>
      <c r="M35" s="34" t="s">
        <v>44</v>
      </c>
      <c r="N35" s="35">
        <v>143123</v>
      </c>
      <c r="O35" s="35">
        <v>104523</v>
      </c>
    </row>
    <row r="36" spans="12:15" ht="30" customHeight="1">
      <c r="L36" s="34" t="s">
        <v>55</v>
      </c>
      <c r="M36" s="34" t="s">
        <v>44</v>
      </c>
      <c r="N36" s="35">
        <v>185125</v>
      </c>
      <c r="O36" s="35">
        <v>106345</v>
      </c>
    </row>
    <row r="37" spans="12:15" ht="5.0999999999999996" customHeight="1">
      <c r="L37" s="34" t="s">
        <v>36</v>
      </c>
      <c r="M37" s="34" t="s">
        <v>44</v>
      </c>
      <c r="N37" s="35">
        <v>136234</v>
      </c>
      <c r="O37" s="35">
        <v>125234</v>
      </c>
    </row>
    <row r="38" spans="12:15" ht="30" customHeight="1">
      <c r="L38" s="34" t="s">
        <v>39</v>
      </c>
      <c r="M38" s="34" t="s">
        <v>44</v>
      </c>
      <c r="N38" s="35">
        <v>142678</v>
      </c>
      <c r="O38" s="35">
        <v>122765</v>
      </c>
    </row>
    <row r="39" spans="12:15" ht="2.1" customHeight="1">
      <c r="L39" s="34" t="s">
        <v>243</v>
      </c>
      <c r="M39" s="34" t="s">
        <v>44</v>
      </c>
      <c r="N39" s="35">
        <v>183472</v>
      </c>
      <c r="O39" s="35">
        <v>111056</v>
      </c>
    </row>
    <row r="40" spans="12:15" ht="30" customHeight="1"/>
    <row r="41" spans="12:15" ht="30" customHeight="1"/>
    <row r="42" spans="12:15" ht="30" customHeight="1"/>
    <row r="43" spans="12:15" ht="30" customHeight="1"/>
    <row r="44" spans="12:15" ht="30" customHeight="1"/>
    <row r="45" spans="12:15" ht="30" customHeight="1"/>
    <row r="46" spans="12:15" ht="30" customHeight="1"/>
    <row r="47" spans="12:15" ht="30" customHeight="1"/>
    <row r="48" spans="12:15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</sheetData>
  <sheetProtection formatCells="0" formatColumns="0" formatRows="0" selectLockedCells="1"/>
  <mergeCells count="7">
    <mergeCell ref="E1:H1"/>
    <mergeCell ref="D15:F15"/>
    <mergeCell ref="D17:F17"/>
    <mergeCell ref="C5:G5"/>
    <mergeCell ref="D9:F9"/>
    <mergeCell ref="D11:F11"/>
    <mergeCell ref="D13:F13"/>
  </mergeCells>
  <dataValidations count="2">
    <dataValidation type="list" allowBlank="1" showInputMessage="1" showErrorMessage="1" sqref="C23" xr:uid="{B6015D03-187D-4AD9-869F-0B7D3B095ED0}">
      <formula1>LISTA_MES</formula1>
    </dataValidation>
    <dataValidation type="list" allowBlank="1" showInputMessage="1" showErrorMessage="1" sqref="C28" xr:uid="{7D532459-9067-49C6-A520-F1287C18B696}">
      <formula1>LISTA_SUCURSAL2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>
    <tabColor theme="1"/>
  </sheetPr>
  <dimension ref="B1:N181"/>
  <sheetViews>
    <sheetView zoomScale="115" zoomScaleNormal="115" workbookViewId="0">
      <selection activeCell="H18" sqref="H18"/>
    </sheetView>
  </sheetViews>
  <sheetFormatPr baseColWidth="10" defaultColWidth="11.42578125" defaultRowHeight="12.75"/>
  <cols>
    <col min="1" max="1" width="4.140625" style="31" customWidth="1"/>
    <col min="2" max="2" width="11.42578125" style="31"/>
    <col min="3" max="4" width="20.42578125" style="31" customWidth="1"/>
    <col min="5" max="5" width="43.85546875" style="31" customWidth="1"/>
    <col min="6" max="6" width="21.42578125" style="31" customWidth="1"/>
    <col min="7" max="7" width="0.5703125" style="31" customWidth="1"/>
    <col min="8" max="8" width="30.42578125" style="31" customWidth="1"/>
    <col min="9" max="9" width="24.7109375" style="31" customWidth="1"/>
    <col min="10" max="10" width="15.5703125" style="31" customWidth="1"/>
    <col min="11" max="11" width="19.140625" style="31" hidden="1" customWidth="1"/>
    <col min="12" max="12" width="17" style="31" hidden="1" customWidth="1"/>
    <col min="13" max="13" width="18.5703125" style="31" hidden="1" customWidth="1"/>
    <col min="14" max="14" width="22" style="31" hidden="1" customWidth="1"/>
    <col min="15" max="15" width="19.42578125" style="31" customWidth="1"/>
    <col min="16" max="16" width="19" style="31" customWidth="1"/>
    <col min="17" max="18" width="18.85546875" style="31" customWidth="1"/>
    <col min="19" max="19" width="0.85546875" style="31" customWidth="1"/>
    <col min="20" max="20" width="16.42578125" style="31" customWidth="1"/>
    <col min="21" max="16384" width="11.42578125" style="31"/>
  </cols>
  <sheetData>
    <row r="1" spans="2:14" s="109" customFormat="1" ht="39" customHeight="1">
      <c r="C1" s="110"/>
      <c r="D1" s="111"/>
      <c r="E1" s="247" t="s">
        <v>491</v>
      </c>
      <c r="F1" s="247"/>
      <c r="G1" s="114"/>
      <c r="H1" s="114"/>
      <c r="I1" s="111"/>
      <c r="J1" s="111"/>
    </row>
    <row r="2" spans="2:14" ht="12" customHeight="1"/>
    <row r="3" spans="2:14" ht="30" customHeight="1">
      <c r="B3" s="180" t="s">
        <v>249</v>
      </c>
      <c r="C3" s="183"/>
      <c r="D3" s="184"/>
      <c r="E3" s="3"/>
    </row>
    <row r="4" spans="2:14" ht="6.75" customHeight="1">
      <c r="B4" s="4"/>
      <c r="C4" s="3"/>
      <c r="D4" s="3"/>
      <c r="E4" s="3"/>
    </row>
    <row r="5" spans="2:14" ht="52.5" customHeight="1">
      <c r="B5" s="5"/>
      <c r="C5" s="261" t="s">
        <v>487</v>
      </c>
      <c r="D5" s="262"/>
      <c r="E5" s="262"/>
      <c r="F5" s="262"/>
      <c r="G5" s="263"/>
    </row>
    <row r="6" spans="2:14" ht="20.100000000000001" customHeight="1">
      <c r="B6" s="5"/>
      <c r="C6" s="6" t="s">
        <v>0</v>
      </c>
      <c r="D6" s="7"/>
      <c r="E6" s="7"/>
      <c r="G6" s="77"/>
    </row>
    <row r="7" spans="2:14" ht="20.100000000000001" customHeight="1">
      <c r="B7" s="5"/>
      <c r="C7" s="8" t="s">
        <v>250</v>
      </c>
      <c r="D7" s="9"/>
      <c r="E7" s="9"/>
      <c r="F7" s="78"/>
      <c r="G7" s="79"/>
    </row>
    <row r="8" spans="2:14" ht="12" customHeight="1"/>
    <row r="9" spans="2:14" ht="38.1" customHeight="1">
      <c r="C9" s="105" t="s">
        <v>26</v>
      </c>
      <c r="D9" s="264" t="s">
        <v>251</v>
      </c>
      <c r="E9" s="259"/>
      <c r="F9" s="260"/>
      <c r="G9" s="13"/>
      <c r="H9" s="156">
        <f>AVERAGEIFS(INGRESOS,INGRESOS,"&gt;140000",MES,"Enero")</f>
        <v>160699.66666666666</v>
      </c>
      <c r="I9" s="13"/>
      <c r="J9" s="13"/>
      <c r="K9" s="33" t="s">
        <v>238</v>
      </c>
      <c r="L9" s="33" t="s">
        <v>239</v>
      </c>
      <c r="M9" s="33" t="s">
        <v>240</v>
      </c>
      <c r="N9" s="33" t="s">
        <v>241</v>
      </c>
    </row>
    <row r="10" spans="2:14" ht="9" customHeight="1">
      <c r="B10" s="13"/>
      <c r="C10" s="15"/>
      <c r="D10" s="13"/>
      <c r="E10" s="13"/>
      <c r="F10" s="13"/>
      <c r="G10" s="13"/>
      <c r="H10" s="14"/>
      <c r="I10" s="13"/>
      <c r="J10" s="13"/>
      <c r="K10" s="34" t="s">
        <v>242</v>
      </c>
      <c r="L10" s="34" t="s">
        <v>41</v>
      </c>
      <c r="M10" s="35">
        <v>102345</v>
      </c>
      <c r="N10" s="35">
        <v>98456</v>
      </c>
    </row>
    <row r="11" spans="2:14" ht="38.1" customHeight="1">
      <c r="C11" s="105" t="s">
        <v>70</v>
      </c>
      <c r="D11" s="258" t="s">
        <v>252</v>
      </c>
      <c r="E11" s="259"/>
      <c r="F11" s="260"/>
      <c r="G11" s="13"/>
      <c r="H11" s="156">
        <f>AVERAGEIFS(INGRESOS,EGRESOS,"&lt;120000",MES,"Junio")</f>
        <v>164130.42857142858</v>
      </c>
      <c r="K11" s="34" t="s">
        <v>55</v>
      </c>
      <c r="L11" s="34" t="s">
        <v>41</v>
      </c>
      <c r="M11" s="35">
        <v>123954</v>
      </c>
      <c r="N11" s="35">
        <v>99123</v>
      </c>
    </row>
    <row r="12" spans="2:14" ht="9" customHeight="1">
      <c r="C12" s="80"/>
      <c r="K12" s="34" t="s">
        <v>36</v>
      </c>
      <c r="L12" s="34" t="s">
        <v>41</v>
      </c>
      <c r="M12" s="35">
        <v>127376</v>
      </c>
      <c r="N12" s="35">
        <v>94652</v>
      </c>
    </row>
    <row r="13" spans="2:14" ht="38.1" customHeight="1">
      <c r="C13" s="105" t="s">
        <v>195</v>
      </c>
      <c r="D13" s="258" t="s">
        <v>253</v>
      </c>
      <c r="E13" s="259"/>
      <c r="F13" s="260"/>
      <c r="G13" s="13"/>
      <c r="H13" s="156">
        <f>AVERAGEIFS(INGRESOS,SUCURSAL,"Cuzco",MES,"Mayo")</f>
        <v>176234</v>
      </c>
      <c r="K13" s="34" t="s">
        <v>39</v>
      </c>
      <c r="L13" s="34" t="s">
        <v>41</v>
      </c>
      <c r="M13" s="35">
        <v>145234</v>
      </c>
      <c r="N13" s="35">
        <v>97345</v>
      </c>
    </row>
    <row r="14" spans="2:14" ht="9" customHeight="1">
      <c r="C14" s="80"/>
      <c r="K14" s="34" t="s">
        <v>243</v>
      </c>
      <c r="L14" s="34" t="s">
        <v>41</v>
      </c>
      <c r="M14" s="35">
        <v>183453</v>
      </c>
      <c r="N14" s="35">
        <v>97236</v>
      </c>
    </row>
    <row r="15" spans="2:14" ht="30" customHeight="1">
      <c r="C15" s="105" t="s">
        <v>232</v>
      </c>
      <c r="D15" s="81" t="s">
        <v>254</v>
      </c>
      <c r="E15" s="82"/>
      <c r="K15" s="34" t="s">
        <v>47</v>
      </c>
      <c r="L15" s="34" t="s">
        <v>41</v>
      </c>
      <c r="M15" s="35">
        <v>123123</v>
      </c>
      <c r="N15" s="35">
        <v>104567</v>
      </c>
    </row>
    <row r="16" spans="2:14" ht="5.25" customHeight="1">
      <c r="K16" s="34" t="s">
        <v>242</v>
      </c>
      <c r="L16" s="34" t="s">
        <v>42</v>
      </c>
      <c r="M16" s="35">
        <v>123654</v>
      </c>
      <c r="N16" s="35">
        <v>100234</v>
      </c>
    </row>
    <row r="17" spans="3:14" ht="2.1" customHeight="1">
      <c r="C17" s="83"/>
      <c r="D17" s="83"/>
      <c r="K17" s="34" t="s">
        <v>55</v>
      </c>
      <c r="L17" s="34" t="s">
        <v>42</v>
      </c>
      <c r="M17" s="35">
        <v>165234</v>
      </c>
      <c r="N17" s="35">
        <v>99888</v>
      </c>
    </row>
    <row r="18" spans="3:14" ht="30" customHeight="1">
      <c r="C18" s="157" t="s">
        <v>239</v>
      </c>
      <c r="D18" s="157" t="s">
        <v>238</v>
      </c>
      <c r="E18" s="157" t="s">
        <v>5</v>
      </c>
      <c r="K18" s="34" t="s">
        <v>36</v>
      </c>
      <c r="L18" s="34" t="s">
        <v>42</v>
      </c>
      <c r="M18" s="35">
        <v>162346</v>
      </c>
      <c r="N18" s="35">
        <v>98234</v>
      </c>
    </row>
    <row r="19" spans="3:14" ht="30" customHeight="1">
      <c r="C19" s="158" t="s">
        <v>41</v>
      </c>
      <c r="D19" s="158" t="s">
        <v>242</v>
      </c>
      <c r="E19" s="155">
        <f>AVERAGEIFS(INGRESOS,MES,C19,SUCURSAL,D19)</f>
        <v>102345</v>
      </c>
      <c r="K19" s="34" t="s">
        <v>39</v>
      </c>
      <c r="L19" s="34" t="s">
        <v>42</v>
      </c>
      <c r="M19" s="35">
        <v>161879</v>
      </c>
      <c r="N19" s="35">
        <v>104523</v>
      </c>
    </row>
    <row r="20" spans="3:14" ht="10.5" customHeight="1">
      <c r="K20" s="34" t="s">
        <v>243</v>
      </c>
      <c r="L20" s="34" t="s">
        <v>42</v>
      </c>
      <c r="M20" s="35">
        <v>153235</v>
      </c>
      <c r="N20" s="35">
        <v>106345</v>
      </c>
    </row>
    <row r="21" spans="3:14" ht="30" customHeight="1">
      <c r="K21" s="34" t="s">
        <v>47</v>
      </c>
      <c r="L21" s="34" t="s">
        <v>42</v>
      </c>
      <c r="M21" s="35">
        <v>185154</v>
      </c>
      <c r="N21" s="35">
        <v>123123</v>
      </c>
    </row>
    <row r="22" spans="3:14" ht="30" customHeight="1">
      <c r="K22" s="34" t="s">
        <v>243</v>
      </c>
      <c r="L22" s="34" t="s">
        <v>43</v>
      </c>
      <c r="M22" s="35">
        <v>137563</v>
      </c>
      <c r="N22" s="35">
        <v>126342</v>
      </c>
    </row>
    <row r="23" spans="3:14" ht="30" customHeight="1">
      <c r="K23" s="34" t="s">
        <v>244</v>
      </c>
      <c r="L23" s="34" t="s">
        <v>43</v>
      </c>
      <c r="M23" s="35">
        <v>134876</v>
      </c>
      <c r="N23" s="35">
        <v>111034</v>
      </c>
    </row>
    <row r="24" spans="3:14" ht="30" customHeight="1">
      <c r="K24" s="34" t="s">
        <v>52</v>
      </c>
      <c r="L24" s="34" t="s">
        <v>43</v>
      </c>
      <c r="M24" s="35">
        <v>148265</v>
      </c>
      <c r="N24" s="35">
        <v>123000</v>
      </c>
    </row>
    <row r="25" spans="3:14" ht="2.1" customHeight="1">
      <c r="K25" s="34" t="s">
        <v>245</v>
      </c>
      <c r="L25" s="34" t="s">
        <v>43</v>
      </c>
      <c r="M25" s="35">
        <v>164123</v>
      </c>
      <c r="N25" s="35">
        <v>111034</v>
      </c>
    </row>
    <row r="26" spans="3:14" ht="2.1" customHeight="1">
      <c r="K26" s="34" t="s">
        <v>38</v>
      </c>
      <c r="L26" s="34" t="s">
        <v>43</v>
      </c>
      <c r="M26" s="35">
        <v>169234</v>
      </c>
      <c r="N26" s="35">
        <v>99888</v>
      </c>
    </row>
    <row r="27" spans="3:14" ht="2.1" customHeight="1">
      <c r="K27" s="34" t="s">
        <v>47</v>
      </c>
      <c r="L27" s="34" t="s">
        <v>43</v>
      </c>
      <c r="M27" s="35">
        <v>158234</v>
      </c>
      <c r="N27" s="35">
        <v>98234</v>
      </c>
    </row>
    <row r="28" spans="3:14" ht="30" customHeight="1">
      <c r="K28" s="34" t="s">
        <v>242</v>
      </c>
      <c r="L28" s="34" t="s">
        <v>44</v>
      </c>
      <c r="M28" s="35">
        <v>143123</v>
      </c>
      <c r="N28" s="35">
        <v>104523</v>
      </c>
    </row>
    <row r="29" spans="3:14" ht="30" customHeight="1">
      <c r="K29" s="34" t="s">
        <v>55</v>
      </c>
      <c r="L29" s="34" t="s">
        <v>44</v>
      </c>
      <c r="M29" s="35">
        <v>185125</v>
      </c>
      <c r="N29" s="35">
        <v>106345</v>
      </c>
    </row>
    <row r="30" spans="3:14" ht="5.0999999999999996" customHeight="1">
      <c r="K30" s="34" t="s">
        <v>36</v>
      </c>
      <c r="L30" s="34" t="s">
        <v>44</v>
      </c>
      <c r="M30" s="35">
        <v>136234</v>
      </c>
      <c r="N30" s="35">
        <v>125234</v>
      </c>
    </row>
    <row r="31" spans="3:14" ht="30" customHeight="1">
      <c r="K31" s="34" t="s">
        <v>39</v>
      </c>
      <c r="L31" s="34" t="s">
        <v>44</v>
      </c>
      <c r="M31" s="35">
        <v>142678</v>
      </c>
      <c r="N31" s="35">
        <v>122765</v>
      </c>
    </row>
    <row r="32" spans="3:14" ht="2.1" customHeight="1">
      <c r="K32" s="34" t="s">
        <v>243</v>
      </c>
      <c r="L32" s="34" t="s">
        <v>44</v>
      </c>
      <c r="M32" s="35">
        <v>183472</v>
      </c>
      <c r="N32" s="35">
        <v>111056</v>
      </c>
    </row>
    <row r="33" spans="11:14" ht="30" customHeight="1">
      <c r="K33" s="34" t="s">
        <v>244</v>
      </c>
      <c r="L33" s="34" t="s">
        <v>44</v>
      </c>
      <c r="M33" s="35">
        <v>146239</v>
      </c>
      <c r="N33" s="35">
        <v>112487</v>
      </c>
    </row>
    <row r="34" spans="11:14" ht="2.1" customHeight="1">
      <c r="K34" s="34" t="s">
        <v>52</v>
      </c>
      <c r="L34" s="34" t="s">
        <v>44</v>
      </c>
      <c r="M34" s="35">
        <v>173890</v>
      </c>
      <c r="N34" s="35">
        <v>123123</v>
      </c>
    </row>
    <row r="35" spans="11:14" ht="30" customHeight="1">
      <c r="K35" s="34" t="s">
        <v>245</v>
      </c>
      <c r="L35" s="34" t="s">
        <v>44</v>
      </c>
      <c r="M35" s="35">
        <v>163486</v>
      </c>
      <c r="N35" s="35">
        <v>109567</v>
      </c>
    </row>
    <row r="36" spans="11:14" ht="2.1" customHeight="1">
      <c r="K36" s="34" t="s">
        <v>38</v>
      </c>
      <c r="L36" s="34" t="s">
        <v>44</v>
      </c>
      <c r="M36" s="35">
        <v>164876</v>
      </c>
      <c r="N36" s="35">
        <v>105879</v>
      </c>
    </row>
    <row r="37" spans="11:14" ht="30" customHeight="1">
      <c r="K37" s="34" t="s">
        <v>47</v>
      </c>
      <c r="L37" s="34" t="s">
        <v>44</v>
      </c>
      <c r="M37" s="35">
        <v>137459</v>
      </c>
      <c r="N37" s="35">
        <v>119674</v>
      </c>
    </row>
    <row r="38" spans="11:14" ht="2.1" customHeight="1">
      <c r="K38" s="34" t="s">
        <v>242</v>
      </c>
      <c r="L38" s="34" t="s">
        <v>45</v>
      </c>
      <c r="M38" s="35">
        <v>125986</v>
      </c>
      <c r="N38" s="35">
        <v>112390</v>
      </c>
    </row>
    <row r="39" spans="11:14" ht="30" customHeight="1">
      <c r="K39" s="34" t="s">
        <v>55</v>
      </c>
      <c r="L39" s="34" t="s">
        <v>45</v>
      </c>
      <c r="M39" s="35">
        <v>175234</v>
      </c>
      <c r="N39" s="35">
        <v>126342</v>
      </c>
    </row>
    <row r="40" spans="11:14" ht="30" customHeight="1"/>
    <row r="41" spans="11:14" ht="30" customHeight="1"/>
    <row r="42" spans="11:14" ht="30" customHeight="1"/>
    <row r="43" spans="11:14" ht="30" customHeight="1"/>
    <row r="44" spans="11:14" ht="30" customHeight="1"/>
    <row r="45" spans="11:14" ht="30" customHeight="1"/>
    <row r="46" spans="11:14" ht="30" customHeight="1"/>
    <row r="47" spans="11:14" ht="30" customHeight="1"/>
    <row r="48" spans="11:14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</sheetData>
  <sheetProtection formatCells="0" formatColumns="0" formatRows="0" selectLockedCells="1"/>
  <mergeCells count="5">
    <mergeCell ref="E1:F1"/>
    <mergeCell ref="D13:F13"/>
    <mergeCell ref="C5:G5"/>
    <mergeCell ref="D9:F9"/>
    <mergeCell ref="D11:F11"/>
  </mergeCells>
  <dataValidations count="2">
    <dataValidation type="list" allowBlank="1" showInputMessage="1" showErrorMessage="1" sqref="C19" xr:uid="{3B977FE4-371E-47AE-A71C-4D33C3F0D447}">
      <formula1>LISTA_MES</formula1>
    </dataValidation>
    <dataValidation type="list" allowBlank="1" showInputMessage="1" showErrorMessage="1" sqref="D19" xr:uid="{65532A85-00F4-408B-BEB0-48FB920802F1}">
      <formula1>LISTA_SUCURSAL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7">
    <tabColor theme="1"/>
  </sheetPr>
  <dimension ref="B1:S322"/>
  <sheetViews>
    <sheetView topLeftCell="B20" zoomScale="85" zoomScaleNormal="85" workbookViewId="0">
      <selection activeCell="G43" sqref="G43"/>
    </sheetView>
  </sheetViews>
  <sheetFormatPr baseColWidth="10" defaultColWidth="11.42578125" defaultRowHeight="12.75"/>
  <cols>
    <col min="1" max="1" width="4.140625" style="36" customWidth="1"/>
    <col min="2" max="2" width="11.42578125" style="36"/>
    <col min="3" max="3" width="17.42578125" style="36" customWidth="1"/>
    <col min="4" max="4" width="9.85546875" style="36" customWidth="1"/>
    <col min="5" max="5" width="71.85546875" style="36" customWidth="1"/>
    <col min="6" max="16" width="13.5703125" style="36" customWidth="1"/>
    <col min="17" max="17" width="19.140625" style="36" customWidth="1"/>
    <col min="18" max="18" width="17" style="36" customWidth="1"/>
    <col min="19" max="19" width="16.42578125" style="36" customWidth="1"/>
    <col min="20" max="16384" width="11.42578125" style="36"/>
  </cols>
  <sheetData>
    <row r="1" spans="2:19" s="109" customFormat="1" ht="33" customHeight="1">
      <c r="C1" s="110"/>
      <c r="D1" s="111"/>
      <c r="E1" s="160" t="s">
        <v>492</v>
      </c>
      <c r="F1" s="247"/>
      <c r="G1" s="247"/>
      <c r="H1" s="159"/>
      <c r="I1" s="159"/>
      <c r="J1" s="159"/>
      <c r="K1" s="159"/>
      <c r="L1" s="159"/>
      <c r="M1" s="159"/>
    </row>
    <row r="2" spans="2:19" ht="12" customHeight="1"/>
    <row r="3" spans="2:19" ht="30" customHeight="1">
      <c r="B3" s="185" t="s">
        <v>361</v>
      </c>
      <c r="C3" s="186"/>
      <c r="D3" s="16"/>
      <c r="E3" s="16"/>
    </row>
    <row r="4" spans="2:19" ht="6.75" customHeight="1">
      <c r="B4" s="17"/>
      <c r="C4" s="16"/>
      <c r="D4" s="16"/>
      <c r="E4" s="16"/>
    </row>
    <row r="5" spans="2:19" ht="36.75" customHeight="1">
      <c r="B5" s="18"/>
      <c r="C5" s="267" t="s">
        <v>518</v>
      </c>
      <c r="D5" s="268"/>
      <c r="E5" s="268"/>
      <c r="F5" s="268"/>
      <c r="G5" s="269"/>
    </row>
    <row r="6" spans="2:19" ht="20.100000000000001" customHeight="1">
      <c r="B6" s="18"/>
      <c r="C6" s="162" t="s">
        <v>0</v>
      </c>
      <c r="D6" s="20"/>
      <c r="E6" s="20"/>
      <c r="G6" s="37"/>
    </row>
    <row r="7" spans="2:19" ht="20.100000000000001" customHeight="1">
      <c r="B7" s="18"/>
      <c r="C7" s="163" t="s">
        <v>362</v>
      </c>
      <c r="D7" s="22"/>
      <c r="E7" s="22"/>
      <c r="F7" s="38"/>
      <c r="G7" s="39"/>
    </row>
    <row r="8" spans="2:19" ht="30" customHeight="1"/>
    <row r="9" spans="2:19" ht="30" customHeight="1">
      <c r="C9" s="105" t="s">
        <v>26</v>
      </c>
      <c r="D9" s="161" t="s">
        <v>517</v>
      </c>
      <c r="E9" s="11"/>
      <c r="F9" s="12"/>
    </row>
    <row r="10" spans="2:19" ht="30" customHeight="1"/>
    <row r="11" spans="2:19" ht="30" customHeight="1" thickBot="1">
      <c r="D11" s="270" t="s">
        <v>227</v>
      </c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2"/>
    </row>
    <row r="12" spans="2:19" ht="30" customHeight="1">
      <c r="D12" s="273" t="s">
        <v>196</v>
      </c>
      <c r="E12" s="275" t="s">
        <v>228</v>
      </c>
      <c r="F12" s="175" t="s">
        <v>197</v>
      </c>
      <c r="G12" s="275" t="s">
        <v>198</v>
      </c>
      <c r="H12" s="275"/>
      <c r="I12" s="275"/>
      <c r="J12" s="275"/>
      <c r="K12" s="275"/>
      <c r="L12" s="275" t="s">
        <v>199</v>
      </c>
      <c r="M12" s="275"/>
      <c r="N12" s="275"/>
      <c r="O12" s="275"/>
      <c r="P12" s="275"/>
      <c r="Q12" s="277" t="s">
        <v>200</v>
      </c>
      <c r="R12" s="277" t="s">
        <v>201</v>
      </c>
      <c r="S12" s="265" t="s">
        <v>226</v>
      </c>
    </row>
    <row r="13" spans="2:19" ht="30" customHeight="1">
      <c r="D13" s="274"/>
      <c r="E13" s="276"/>
      <c r="F13" s="176" t="s">
        <v>202</v>
      </c>
      <c r="G13" s="177" t="s">
        <v>202</v>
      </c>
      <c r="H13" s="177" t="s">
        <v>229</v>
      </c>
      <c r="I13" s="177" t="s">
        <v>230</v>
      </c>
      <c r="J13" s="177" t="s">
        <v>231</v>
      </c>
      <c r="K13" s="177" t="s">
        <v>5</v>
      </c>
      <c r="L13" s="178">
        <v>1</v>
      </c>
      <c r="M13" s="178">
        <v>2</v>
      </c>
      <c r="N13" s="178">
        <v>3</v>
      </c>
      <c r="O13" s="178">
        <v>4</v>
      </c>
      <c r="P13" s="177" t="s">
        <v>5</v>
      </c>
      <c r="Q13" s="278"/>
      <c r="R13" s="278"/>
      <c r="S13" s="266"/>
    </row>
    <row r="14" spans="2:19" ht="30" customHeight="1">
      <c r="D14" s="164">
        <v>1</v>
      </c>
      <c r="E14" s="165" t="s">
        <v>203</v>
      </c>
      <c r="F14" s="166">
        <v>14</v>
      </c>
      <c r="G14" s="167">
        <v>17</v>
      </c>
      <c r="H14" s="167">
        <v>17</v>
      </c>
      <c r="I14" s="167">
        <v>17</v>
      </c>
      <c r="J14" s="167">
        <v>17</v>
      </c>
      <c r="K14" s="167">
        <f>AVERAGE(G14:J14)</f>
        <v>17</v>
      </c>
      <c r="L14" s="167">
        <v>16</v>
      </c>
      <c r="M14" s="167">
        <v>16</v>
      </c>
      <c r="N14" s="167">
        <v>17</v>
      </c>
      <c r="O14" s="167">
        <v>17</v>
      </c>
      <c r="P14" s="167">
        <f>AVERAGE(L14:O14)</f>
        <v>16.5</v>
      </c>
      <c r="Q14" s="167">
        <v>13</v>
      </c>
      <c r="R14" s="167">
        <v>7</v>
      </c>
      <c r="S14" s="168">
        <f>IFERROR(F14*15%+K14*35%+P14*15%+Q14*17%+R14*18%,"-")</f>
        <v>13.994999999999999</v>
      </c>
    </row>
    <row r="15" spans="2:19" ht="30" customHeight="1">
      <c r="D15" s="164">
        <v>2</v>
      </c>
      <c r="E15" s="165" t="s">
        <v>204</v>
      </c>
      <c r="F15" s="166">
        <v>13</v>
      </c>
      <c r="G15" s="167" t="s">
        <v>357</v>
      </c>
      <c r="H15" s="167">
        <v>16</v>
      </c>
      <c r="I15" s="167">
        <v>13</v>
      </c>
      <c r="J15" s="167">
        <v>17</v>
      </c>
      <c r="K15" s="167">
        <f t="shared" ref="K15:K36" si="0">AVERAGE(G15:J15)</f>
        <v>15.333333333333334</v>
      </c>
      <c r="L15" s="167">
        <v>13</v>
      </c>
      <c r="M15" s="167">
        <v>16</v>
      </c>
      <c r="N15" s="167">
        <v>13</v>
      </c>
      <c r="O15" s="167">
        <v>13</v>
      </c>
      <c r="P15" s="167">
        <f t="shared" ref="P15:P36" si="1">AVERAGE(L15:O15)</f>
        <v>13.75</v>
      </c>
      <c r="Q15" s="169" t="s">
        <v>357</v>
      </c>
      <c r="R15" s="167">
        <v>8</v>
      </c>
      <c r="S15" s="168" t="str">
        <f>IFERROR(F15*15%+K15*35%+P15*15%+Q15*17%+R15*18%,"-")</f>
        <v>-</v>
      </c>
    </row>
    <row r="16" spans="2:19" ht="30" customHeight="1">
      <c r="D16" s="164">
        <v>3</v>
      </c>
      <c r="E16" s="165" t="s">
        <v>205</v>
      </c>
      <c r="F16" s="166">
        <v>14</v>
      </c>
      <c r="G16" s="167">
        <v>15</v>
      </c>
      <c r="H16" s="167">
        <v>0</v>
      </c>
      <c r="I16" s="167">
        <v>15</v>
      </c>
      <c r="J16" s="167">
        <v>15</v>
      </c>
      <c r="K16" s="167">
        <f t="shared" si="0"/>
        <v>11.25</v>
      </c>
      <c r="L16" s="167">
        <v>15</v>
      </c>
      <c r="M16" s="167">
        <v>15</v>
      </c>
      <c r="N16" s="167">
        <v>15</v>
      </c>
      <c r="O16" s="167" t="s">
        <v>357</v>
      </c>
      <c r="P16" s="167">
        <f t="shared" si="1"/>
        <v>15</v>
      </c>
      <c r="Q16" s="167">
        <v>14</v>
      </c>
      <c r="R16" s="167">
        <v>9</v>
      </c>
      <c r="S16" s="168">
        <f t="shared" ref="S16:S36" si="2">IFERROR(F16*15%+K16*35%+P16*15%+Q16*17%+R16*18%,"-")</f>
        <v>12.2875</v>
      </c>
    </row>
    <row r="17" spans="4:19" ht="30" customHeight="1">
      <c r="D17" s="164">
        <v>4</v>
      </c>
      <c r="E17" s="165" t="s">
        <v>206</v>
      </c>
      <c r="F17" s="166">
        <v>10</v>
      </c>
      <c r="G17" s="167">
        <v>15</v>
      </c>
      <c r="H17" s="167">
        <v>15</v>
      </c>
      <c r="I17" s="167">
        <v>0</v>
      </c>
      <c r="J17" s="167">
        <v>15</v>
      </c>
      <c r="K17" s="167">
        <f t="shared" si="0"/>
        <v>11.25</v>
      </c>
      <c r="L17" s="167">
        <v>13</v>
      </c>
      <c r="M17" s="167" t="s">
        <v>357</v>
      </c>
      <c r="N17" s="167">
        <v>17</v>
      </c>
      <c r="O17" s="167">
        <v>16</v>
      </c>
      <c r="P17" s="167">
        <f t="shared" si="1"/>
        <v>15.333333333333334</v>
      </c>
      <c r="Q17" s="167">
        <v>16</v>
      </c>
      <c r="R17" s="167">
        <v>7</v>
      </c>
      <c r="S17" s="168">
        <f t="shared" si="2"/>
        <v>11.717499999999999</v>
      </c>
    </row>
    <row r="18" spans="4:19" ht="30" customHeight="1">
      <c r="D18" s="164">
        <v>5</v>
      </c>
      <c r="E18" s="165" t="s">
        <v>207</v>
      </c>
      <c r="F18" s="166" t="s">
        <v>357</v>
      </c>
      <c r="G18" s="167">
        <v>13</v>
      </c>
      <c r="H18" s="167" t="s">
        <v>357</v>
      </c>
      <c r="I18" s="167">
        <v>15</v>
      </c>
      <c r="J18" s="167">
        <v>15</v>
      </c>
      <c r="K18" s="167">
        <f t="shared" si="0"/>
        <v>14.333333333333334</v>
      </c>
      <c r="L18" s="167">
        <v>15</v>
      </c>
      <c r="M18" s="167">
        <v>16</v>
      </c>
      <c r="N18" s="167">
        <v>13</v>
      </c>
      <c r="O18" s="167">
        <v>13</v>
      </c>
      <c r="P18" s="167">
        <f t="shared" si="1"/>
        <v>14.25</v>
      </c>
      <c r="Q18" s="167">
        <v>13</v>
      </c>
      <c r="R18" s="167">
        <v>8</v>
      </c>
      <c r="S18" s="168" t="str">
        <f t="shared" si="2"/>
        <v>-</v>
      </c>
    </row>
    <row r="19" spans="4:19" ht="30" customHeight="1">
      <c r="D19" s="164">
        <v>6</v>
      </c>
      <c r="E19" s="165" t="s">
        <v>208</v>
      </c>
      <c r="F19" s="167"/>
      <c r="G19" s="167">
        <v>14</v>
      </c>
      <c r="H19" s="167">
        <v>2</v>
      </c>
      <c r="I19" s="167">
        <v>15</v>
      </c>
      <c r="J19" s="167">
        <v>2</v>
      </c>
      <c r="K19" s="167">
        <f t="shared" si="0"/>
        <v>8.25</v>
      </c>
      <c r="L19" s="167">
        <v>2</v>
      </c>
      <c r="M19" s="167" t="s">
        <v>357</v>
      </c>
      <c r="N19" s="167">
        <v>2</v>
      </c>
      <c r="O19" s="167">
        <v>13</v>
      </c>
      <c r="P19" s="167">
        <f t="shared" si="1"/>
        <v>5.666666666666667</v>
      </c>
      <c r="Q19" s="167" t="s">
        <v>357</v>
      </c>
      <c r="R19" s="167">
        <v>13</v>
      </c>
      <c r="S19" s="168" t="str">
        <f t="shared" si="2"/>
        <v>-</v>
      </c>
    </row>
    <row r="20" spans="4:19" ht="30" customHeight="1">
      <c r="D20" s="164">
        <v>7</v>
      </c>
      <c r="E20" s="165" t="s">
        <v>209</v>
      </c>
      <c r="F20" s="166">
        <v>15</v>
      </c>
      <c r="G20" s="167" t="s">
        <v>357</v>
      </c>
      <c r="H20" s="167">
        <v>0</v>
      </c>
      <c r="I20" s="167">
        <v>15</v>
      </c>
      <c r="J20" s="167">
        <v>17</v>
      </c>
      <c r="K20" s="167">
        <f t="shared" si="0"/>
        <v>10.666666666666666</v>
      </c>
      <c r="L20" s="167">
        <v>13</v>
      </c>
      <c r="M20" s="167">
        <v>16</v>
      </c>
      <c r="N20" s="167" t="s">
        <v>357</v>
      </c>
      <c r="O20" s="167">
        <v>15</v>
      </c>
      <c r="P20" s="167">
        <f t="shared" si="1"/>
        <v>14.666666666666666</v>
      </c>
      <c r="Q20" s="167">
        <v>11</v>
      </c>
      <c r="R20" s="167">
        <v>7</v>
      </c>
      <c r="S20" s="168">
        <f t="shared" si="2"/>
        <v>11.313333333333331</v>
      </c>
    </row>
    <row r="21" spans="4:19" ht="30" customHeight="1">
      <c r="D21" s="164">
        <v>8</v>
      </c>
      <c r="E21" s="165" t="s">
        <v>210</v>
      </c>
      <c r="F21" s="166">
        <v>17</v>
      </c>
      <c r="G21" s="167">
        <v>14</v>
      </c>
      <c r="H21" s="167">
        <v>15</v>
      </c>
      <c r="I21" s="167">
        <v>13</v>
      </c>
      <c r="J21" s="167">
        <v>15</v>
      </c>
      <c r="K21" s="167">
        <f t="shared" si="0"/>
        <v>14.25</v>
      </c>
      <c r="L21" s="167">
        <v>13</v>
      </c>
      <c r="M21" s="167">
        <v>16</v>
      </c>
      <c r="N21" s="167">
        <v>15</v>
      </c>
      <c r="O21" s="167">
        <v>16</v>
      </c>
      <c r="P21" s="167">
        <f t="shared" si="1"/>
        <v>15</v>
      </c>
      <c r="Q21" s="167">
        <v>13</v>
      </c>
      <c r="R21" s="167">
        <v>13</v>
      </c>
      <c r="S21" s="168">
        <f t="shared" si="2"/>
        <v>14.337499999999999</v>
      </c>
    </row>
    <row r="22" spans="4:19" ht="30" customHeight="1">
      <c r="D22" s="164">
        <v>9</v>
      </c>
      <c r="E22" s="165" t="s">
        <v>211</v>
      </c>
      <c r="F22" s="166">
        <v>14</v>
      </c>
      <c r="G22" s="167">
        <v>15</v>
      </c>
      <c r="H22" s="167">
        <v>15</v>
      </c>
      <c r="I22" s="167">
        <v>15</v>
      </c>
      <c r="J22" s="167">
        <v>15</v>
      </c>
      <c r="K22" s="167">
        <f t="shared" si="0"/>
        <v>15</v>
      </c>
      <c r="L22" s="167">
        <v>13</v>
      </c>
      <c r="M22" s="167" t="s">
        <v>357</v>
      </c>
      <c r="N22" s="167"/>
      <c r="O22" s="167">
        <v>13</v>
      </c>
      <c r="P22" s="167">
        <f t="shared" si="1"/>
        <v>13</v>
      </c>
      <c r="Q22" s="167">
        <v>13</v>
      </c>
      <c r="R22" s="167">
        <v>9</v>
      </c>
      <c r="S22" s="168">
        <f t="shared" si="2"/>
        <v>13.129999999999997</v>
      </c>
    </row>
    <row r="23" spans="4:19" ht="30" customHeight="1">
      <c r="D23" s="164">
        <v>10</v>
      </c>
      <c r="E23" s="165" t="s">
        <v>212</v>
      </c>
      <c r="F23" s="166">
        <v>17</v>
      </c>
      <c r="G23" s="167">
        <v>0</v>
      </c>
      <c r="H23" s="167">
        <v>17</v>
      </c>
      <c r="I23" s="167">
        <v>16</v>
      </c>
      <c r="J23" s="167">
        <v>17</v>
      </c>
      <c r="K23" s="167">
        <f t="shared" si="0"/>
        <v>12.5</v>
      </c>
      <c r="L23" s="167">
        <v>16</v>
      </c>
      <c r="M23" s="167">
        <v>17</v>
      </c>
      <c r="N23" s="167">
        <v>16</v>
      </c>
      <c r="O23" s="167" t="s">
        <v>357</v>
      </c>
      <c r="P23" s="167">
        <f t="shared" si="1"/>
        <v>16.333333333333332</v>
      </c>
      <c r="Q23" s="167">
        <v>16</v>
      </c>
      <c r="R23" s="167">
        <v>14</v>
      </c>
      <c r="S23" s="168">
        <f t="shared" si="2"/>
        <v>14.615</v>
      </c>
    </row>
    <row r="24" spans="4:19" ht="30" customHeight="1">
      <c r="D24" s="164">
        <v>11</v>
      </c>
      <c r="E24" s="165" t="s">
        <v>213</v>
      </c>
      <c r="F24" s="166">
        <v>14</v>
      </c>
      <c r="G24" s="167">
        <v>2</v>
      </c>
      <c r="H24" s="167">
        <v>19</v>
      </c>
      <c r="I24" s="167">
        <v>2</v>
      </c>
      <c r="J24" s="167">
        <v>13</v>
      </c>
      <c r="K24" s="167">
        <f t="shared" si="0"/>
        <v>9</v>
      </c>
      <c r="L24" s="167">
        <v>13</v>
      </c>
      <c r="M24" s="167">
        <v>2</v>
      </c>
      <c r="N24" s="167">
        <v>2</v>
      </c>
      <c r="O24" s="167">
        <v>16</v>
      </c>
      <c r="P24" s="167">
        <f t="shared" si="1"/>
        <v>8.25</v>
      </c>
      <c r="Q24" s="167" t="s">
        <v>357</v>
      </c>
      <c r="R24" s="167">
        <v>3</v>
      </c>
      <c r="S24" s="168" t="str">
        <f t="shared" si="2"/>
        <v>-</v>
      </c>
    </row>
    <row r="25" spans="4:19" ht="30" customHeight="1">
      <c r="D25" s="164">
        <v>12</v>
      </c>
      <c r="E25" s="165" t="s">
        <v>214</v>
      </c>
      <c r="F25" s="166">
        <v>17</v>
      </c>
      <c r="G25" s="167" t="s">
        <v>357</v>
      </c>
      <c r="H25" s="167">
        <v>16</v>
      </c>
      <c r="I25" s="167">
        <v>15</v>
      </c>
      <c r="J25" s="167">
        <v>16</v>
      </c>
      <c r="K25" s="167">
        <f t="shared" si="0"/>
        <v>15.666666666666666</v>
      </c>
      <c r="L25" s="167">
        <v>13</v>
      </c>
      <c r="M25" s="167">
        <v>16</v>
      </c>
      <c r="N25" s="167">
        <v>16</v>
      </c>
      <c r="O25" s="167">
        <v>16</v>
      </c>
      <c r="P25" s="167">
        <f t="shared" si="1"/>
        <v>15.25</v>
      </c>
      <c r="Q25" s="167">
        <v>13</v>
      </c>
      <c r="R25" s="167">
        <v>5</v>
      </c>
      <c r="S25" s="168">
        <f t="shared" si="2"/>
        <v>13.430833333333331</v>
      </c>
    </row>
    <row r="26" spans="4:19" ht="30" customHeight="1">
      <c r="D26" s="164">
        <v>13</v>
      </c>
      <c r="E26" s="165" t="s">
        <v>215</v>
      </c>
      <c r="F26" s="166">
        <v>10</v>
      </c>
      <c r="G26" s="167" t="s">
        <v>358</v>
      </c>
      <c r="H26" s="167" t="s">
        <v>358</v>
      </c>
      <c r="I26" s="167" t="s">
        <v>358</v>
      </c>
      <c r="J26" s="167" t="s">
        <v>358</v>
      </c>
      <c r="K26" s="167" t="e">
        <f t="shared" si="0"/>
        <v>#DIV/0!</v>
      </c>
      <c r="L26" s="167" t="s">
        <v>358</v>
      </c>
      <c r="M26" s="167" t="s">
        <v>358</v>
      </c>
      <c r="N26" s="167" t="s">
        <v>358</v>
      </c>
      <c r="O26" s="167" t="s">
        <v>358</v>
      </c>
      <c r="P26" s="167" t="e">
        <f t="shared" si="1"/>
        <v>#DIV/0!</v>
      </c>
      <c r="Q26" s="167" t="s">
        <v>358</v>
      </c>
      <c r="R26" s="167" t="s">
        <v>358</v>
      </c>
      <c r="S26" s="168" t="str">
        <f t="shared" si="2"/>
        <v>-</v>
      </c>
    </row>
    <row r="27" spans="4:19" ht="30" customHeight="1">
      <c r="D27" s="164">
        <v>14</v>
      </c>
      <c r="E27" s="165" t="s">
        <v>216</v>
      </c>
      <c r="F27" s="166">
        <v>15</v>
      </c>
      <c r="G27" s="167">
        <v>17</v>
      </c>
      <c r="H27" s="167">
        <v>17</v>
      </c>
      <c r="I27" s="167">
        <v>16</v>
      </c>
      <c r="J27" s="167">
        <v>17</v>
      </c>
      <c r="K27" s="167">
        <f t="shared" si="0"/>
        <v>16.75</v>
      </c>
      <c r="L27" s="167">
        <v>13</v>
      </c>
      <c r="M27" s="167">
        <v>16</v>
      </c>
      <c r="N27" s="167">
        <v>15</v>
      </c>
      <c r="O27" s="167">
        <v>13</v>
      </c>
      <c r="P27" s="167">
        <f t="shared" si="1"/>
        <v>14.25</v>
      </c>
      <c r="Q27" s="167">
        <v>14</v>
      </c>
      <c r="R27" s="167">
        <v>4</v>
      </c>
      <c r="S27" s="168">
        <f t="shared" si="2"/>
        <v>13.350000000000001</v>
      </c>
    </row>
    <row r="28" spans="4:19" ht="30" customHeight="1">
      <c r="D28" s="164">
        <v>15</v>
      </c>
      <c r="E28" s="165" t="s">
        <v>217</v>
      </c>
      <c r="F28" s="166"/>
      <c r="G28" s="167">
        <v>17</v>
      </c>
      <c r="H28" s="167">
        <v>5</v>
      </c>
      <c r="I28" s="167">
        <v>5</v>
      </c>
      <c r="J28" s="167">
        <v>17</v>
      </c>
      <c r="K28" s="167">
        <f t="shared" si="0"/>
        <v>11</v>
      </c>
      <c r="L28" s="167">
        <v>16</v>
      </c>
      <c r="M28" s="167">
        <v>5</v>
      </c>
      <c r="N28" s="167">
        <v>16</v>
      </c>
      <c r="O28" s="167">
        <v>16</v>
      </c>
      <c r="P28" s="167">
        <f t="shared" si="1"/>
        <v>13.25</v>
      </c>
      <c r="Q28" s="167">
        <v>14</v>
      </c>
      <c r="R28" s="167">
        <v>7</v>
      </c>
      <c r="S28" s="168">
        <f t="shared" si="2"/>
        <v>9.4774999999999991</v>
      </c>
    </row>
    <row r="29" spans="4:19" ht="30" customHeight="1">
      <c r="D29" s="164">
        <v>16</v>
      </c>
      <c r="E29" s="165" t="s">
        <v>218</v>
      </c>
      <c r="F29" s="166">
        <v>14</v>
      </c>
      <c r="G29" s="167">
        <v>17</v>
      </c>
      <c r="H29" s="167">
        <v>15</v>
      </c>
      <c r="I29" s="167">
        <v>15</v>
      </c>
      <c r="J29" s="167">
        <v>17</v>
      </c>
      <c r="K29" s="167">
        <f t="shared" si="0"/>
        <v>16</v>
      </c>
      <c r="L29" s="167">
        <v>13</v>
      </c>
      <c r="M29" s="167" t="s">
        <v>357</v>
      </c>
      <c r="N29" s="167">
        <v>13</v>
      </c>
      <c r="O29" s="167">
        <v>13</v>
      </c>
      <c r="P29" s="167">
        <f t="shared" si="1"/>
        <v>13</v>
      </c>
      <c r="Q29" s="167">
        <v>13</v>
      </c>
      <c r="R29" s="167">
        <v>13</v>
      </c>
      <c r="S29" s="168">
        <f t="shared" si="2"/>
        <v>14.2</v>
      </c>
    </row>
    <row r="30" spans="4:19" ht="30" customHeight="1">
      <c r="D30" s="164">
        <v>17</v>
      </c>
      <c r="E30" s="165" t="s">
        <v>219</v>
      </c>
      <c r="F30" s="166">
        <v>17</v>
      </c>
      <c r="G30" s="167">
        <v>15</v>
      </c>
      <c r="H30" s="167" t="s">
        <v>357</v>
      </c>
      <c r="I30" s="167">
        <v>15</v>
      </c>
      <c r="J30" s="167">
        <v>15</v>
      </c>
      <c r="K30" s="167">
        <f t="shared" si="0"/>
        <v>15</v>
      </c>
      <c r="L30" s="167">
        <v>14</v>
      </c>
      <c r="M30" s="167">
        <v>16</v>
      </c>
      <c r="N30" s="167"/>
      <c r="O30" s="167">
        <v>16</v>
      </c>
      <c r="P30" s="167">
        <f t="shared" si="1"/>
        <v>15.333333333333334</v>
      </c>
      <c r="Q30" s="167">
        <v>14</v>
      </c>
      <c r="R30" s="167">
        <v>8</v>
      </c>
      <c r="S30" s="168">
        <f t="shared" si="2"/>
        <v>13.92</v>
      </c>
    </row>
    <row r="31" spans="4:19" ht="30" customHeight="1">
      <c r="D31" s="164">
        <v>18</v>
      </c>
      <c r="E31" s="165" t="s">
        <v>220</v>
      </c>
      <c r="F31" s="166">
        <v>17</v>
      </c>
      <c r="G31" s="167">
        <v>16</v>
      </c>
      <c r="H31" s="167">
        <v>17</v>
      </c>
      <c r="I31" s="167">
        <v>16</v>
      </c>
      <c r="J31" s="167">
        <v>17</v>
      </c>
      <c r="K31" s="167">
        <f t="shared" si="0"/>
        <v>16.5</v>
      </c>
      <c r="L31" s="167">
        <v>16</v>
      </c>
      <c r="M31" s="167">
        <v>16</v>
      </c>
      <c r="N31" s="167" t="s">
        <v>357</v>
      </c>
      <c r="O31" s="167">
        <v>16</v>
      </c>
      <c r="P31" s="167">
        <f t="shared" si="1"/>
        <v>16</v>
      </c>
      <c r="Q31" s="167">
        <v>14</v>
      </c>
      <c r="R31" s="167">
        <v>13</v>
      </c>
      <c r="S31" s="168">
        <f t="shared" si="2"/>
        <v>15.445</v>
      </c>
    </row>
    <row r="32" spans="4:19" ht="30" customHeight="1">
      <c r="D32" s="164">
        <v>19</v>
      </c>
      <c r="E32" s="165" t="s">
        <v>221</v>
      </c>
      <c r="F32" s="166"/>
      <c r="G32" s="167">
        <v>15</v>
      </c>
      <c r="H32" s="167">
        <v>15</v>
      </c>
      <c r="I32" s="167">
        <v>15</v>
      </c>
      <c r="J32" s="167">
        <v>15</v>
      </c>
      <c r="K32" s="167">
        <f t="shared" si="0"/>
        <v>15</v>
      </c>
      <c r="L32" s="167">
        <v>15</v>
      </c>
      <c r="M32" s="167">
        <v>15</v>
      </c>
      <c r="N32" s="167">
        <v>16</v>
      </c>
      <c r="O32" s="167">
        <v>16</v>
      </c>
      <c r="P32" s="167">
        <f t="shared" si="1"/>
        <v>15.5</v>
      </c>
      <c r="Q32" s="167">
        <v>9</v>
      </c>
      <c r="R32" s="167">
        <v>10</v>
      </c>
      <c r="S32" s="168">
        <f t="shared" si="2"/>
        <v>10.904999999999998</v>
      </c>
    </row>
    <row r="33" spans="4:19" ht="30" customHeight="1">
      <c r="D33" s="164">
        <v>20</v>
      </c>
      <c r="E33" s="165" t="s">
        <v>222</v>
      </c>
      <c r="F33" s="166">
        <v>10</v>
      </c>
      <c r="G33" s="167">
        <v>15</v>
      </c>
      <c r="H33" s="167" t="s">
        <v>357</v>
      </c>
      <c r="I33" s="167">
        <v>15</v>
      </c>
      <c r="J33" s="167">
        <v>15</v>
      </c>
      <c r="K33" s="167">
        <f t="shared" si="0"/>
        <v>15</v>
      </c>
      <c r="L33" s="167">
        <v>15</v>
      </c>
      <c r="M33" s="167" t="s">
        <v>357</v>
      </c>
      <c r="N33" s="167">
        <v>15</v>
      </c>
      <c r="O33" s="167">
        <v>13</v>
      </c>
      <c r="P33" s="167">
        <f t="shared" si="1"/>
        <v>14.333333333333334</v>
      </c>
      <c r="Q33" s="167" t="s">
        <v>357</v>
      </c>
      <c r="R33" s="167">
        <v>13</v>
      </c>
      <c r="S33" s="168" t="str">
        <f t="shared" si="2"/>
        <v>-</v>
      </c>
    </row>
    <row r="34" spans="4:19" ht="30" customHeight="1">
      <c r="D34" s="164">
        <v>21</v>
      </c>
      <c r="E34" s="165" t="s">
        <v>223</v>
      </c>
      <c r="F34" s="166">
        <v>17</v>
      </c>
      <c r="G34" s="167">
        <v>14</v>
      </c>
      <c r="H34" s="167">
        <v>16</v>
      </c>
      <c r="I34" s="167">
        <v>16</v>
      </c>
      <c r="J34" s="167">
        <v>16</v>
      </c>
      <c r="K34" s="167">
        <f t="shared" si="0"/>
        <v>15.5</v>
      </c>
      <c r="L34" s="167">
        <v>16</v>
      </c>
      <c r="M34" s="167">
        <v>16</v>
      </c>
      <c r="N34" s="167">
        <v>16</v>
      </c>
      <c r="O34" s="167">
        <v>16</v>
      </c>
      <c r="P34" s="167">
        <f t="shared" si="1"/>
        <v>16</v>
      </c>
      <c r="Q34" s="167">
        <v>13</v>
      </c>
      <c r="R34" s="167">
        <v>5</v>
      </c>
      <c r="S34" s="168">
        <f t="shared" si="2"/>
        <v>13.485000000000001</v>
      </c>
    </row>
    <row r="35" spans="4:19" ht="30" customHeight="1">
      <c r="D35" s="164">
        <v>22</v>
      </c>
      <c r="E35" s="165" t="s">
        <v>224</v>
      </c>
      <c r="F35" s="166">
        <v>15</v>
      </c>
      <c r="G35" s="167">
        <v>15</v>
      </c>
      <c r="H35" s="167">
        <v>15</v>
      </c>
      <c r="I35" s="167">
        <v>15</v>
      </c>
      <c r="J35" s="167">
        <v>15</v>
      </c>
      <c r="K35" s="167">
        <f t="shared" si="0"/>
        <v>15</v>
      </c>
      <c r="L35" s="167">
        <v>15</v>
      </c>
      <c r="M35" s="167" t="s">
        <v>357</v>
      </c>
      <c r="N35" s="167">
        <v>15</v>
      </c>
      <c r="O35" s="167">
        <v>16</v>
      </c>
      <c r="P35" s="167">
        <f t="shared" si="1"/>
        <v>15.333333333333334</v>
      </c>
      <c r="Q35" s="167">
        <v>13</v>
      </c>
      <c r="R35" s="167">
        <v>13</v>
      </c>
      <c r="S35" s="168">
        <f t="shared" si="2"/>
        <v>14.350000000000001</v>
      </c>
    </row>
    <row r="36" spans="4:19" ht="30" customHeight="1" thickBot="1">
      <c r="D36" s="170">
        <v>23</v>
      </c>
      <c r="E36" s="171" t="s">
        <v>225</v>
      </c>
      <c r="F36" s="172">
        <v>16</v>
      </c>
      <c r="G36" s="173" t="s">
        <v>357</v>
      </c>
      <c r="H36" s="173">
        <v>15</v>
      </c>
      <c r="I36" s="173">
        <v>15</v>
      </c>
      <c r="J36" s="173">
        <v>15</v>
      </c>
      <c r="K36" s="173">
        <f t="shared" si="0"/>
        <v>15</v>
      </c>
      <c r="L36" s="173">
        <v>14</v>
      </c>
      <c r="M36" s="173">
        <v>16</v>
      </c>
      <c r="N36" s="173">
        <v>15</v>
      </c>
      <c r="O36" s="173">
        <v>15</v>
      </c>
      <c r="P36" s="173">
        <f t="shared" si="1"/>
        <v>15</v>
      </c>
      <c r="Q36" s="173">
        <v>13</v>
      </c>
      <c r="R36" s="173">
        <v>8</v>
      </c>
      <c r="S36" s="174">
        <f t="shared" si="2"/>
        <v>13.549999999999999</v>
      </c>
    </row>
    <row r="37" spans="4:19" ht="2.1" customHeight="1"/>
    <row r="38" spans="4:19" ht="30" customHeight="1"/>
    <row r="39" spans="4:19" ht="30" customHeight="1">
      <c r="D39" s="179" t="s">
        <v>360</v>
      </c>
      <c r="E39" s="179"/>
    </row>
    <row r="40" spans="4:19" ht="2.1" customHeight="1"/>
    <row r="41" spans="4:19" ht="43.35" customHeight="1">
      <c r="D41" s="187">
        <v>1</v>
      </c>
      <c r="E41" s="76" t="s">
        <v>363</v>
      </c>
      <c r="F41" s="188">
        <f>COUNTIF(F14:F36,"")</f>
        <v>3</v>
      </c>
    </row>
    <row r="42" spans="4:19" ht="2.1" customHeight="1">
      <c r="F42" s="75"/>
    </row>
    <row r="43" spans="4:19" ht="39.75" customHeight="1">
      <c r="D43" s="187">
        <v>2</v>
      </c>
      <c r="E43" s="60" t="s">
        <v>364</v>
      </c>
      <c r="F43" s="188">
        <f>COUNTIF(EP,"NSP")</f>
        <v>4</v>
      </c>
    </row>
    <row r="44" spans="4:19" ht="2.1" customHeight="1">
      <c r="F44" s="75"/>
    </row>
    <row r="45" spans="4:19" ht="42" customHeight="1">
      <c r="D45" s="187">
        <v>3</v>
      </c>
      <c r="E45" s="60" t="s">
        <v>526</v>
      </c>
      <c r="F45" s="188">
        <f>COUNTIF(EF,"&lt;12,5")</f>
        <v>15</v>
      </c>
    </row>
    <row r="46" spans="4:19" ht="2.1" customHeight="1">
      <c r="F46" s="75"/>
    </row>
    <row r="47" spans="4:19" ht="39" customHeight="1">
      <c r="D47" s="187">
        <v>4</v>
      </c>
      <c r="E47" s="60" t="s">
        <v>527</v>
      </c>
      <c r="F47" s="189">
        <f>COUNTIF(PF,"&gt;12,5")</f>
        <v>11</v>
      </c>
    </row>
    <row r="48" spans="4:19" ht="2.1" customHeight="1"/>
    <row r="49" spans="4:6" ht="38.25" customHeight="1">
      <c r="D49" s="187">
        <v>5</v>
      </c>
      <c r="E49" s="60" t="s">
        <v>528</v>
      </c>
      <c r="F49" s="190">
        <f>COUNTIF(ECONTINUA,"&lt;12,5")</f>
        <v>2</v>
      </c>
    </row>
    <row r="50" spans="4:6" ht="30" customHeight="1"/>
    <row r="51" spans="4:6" ht="30" customHeight="1"/>
    <row r="52" spans="4:6" ht="30" customHeight="1"/>
    <row r="53" spans="4:6" ht="30" customHeight="1"/>
    <row r="54" spans="4:6" ht="30" customHeight="1"/>
    <row r="55" spans="4:6" ht="30" customHeight="1"/>
    <row r="56" spans="4:6" ht="30" customHeight="1"/>
    <row r="57" spans="4:6" ht="30" customHeight="1"/>
    <row r="58" spans="4:6" ht="30" customHeight="1"/>
    <row r="59" spans="4:6" ht="30" customHeight="1"/>
    <row r="60" spans="4:6" ht="30" customHeight="1"/>
    <row r="61" spans="4:6" ht="30" customHeight="1"/>
    <row r="62" spans="4:6" ht="30" customHeight="1"/>
    <row r="63" spans="4:6" ht="30" customHeight="1"/>
    <row r="64" spans="4:6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</sheetData>
  <sheetProtection formatCells="0" formatColumns="0" formatRows="0" selectLockedCells="1"/>
  <mergeCells count="10">
    <mergeCell ref="F1:G1"/>
    <mergeCell ref="S12:S13"/>
    <mergeCell ref="C5:G5"/>
    <mergeCell ref="D11:S11"/>
    <mergeCell ref="D12:D13"/>
    <mergeCell ref="E12:E13"/>
    <mergeCell ref="G12:K12"/>
    <mergeCell ref="L12:P12"/>
    <mergeCell ref="Q12:Q13"/>
    <mergeCell ref="R12:R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3">
    <tabColor theme="1"/>
  </sheetPr>
  <dimension ref="B1:Q455"/>
  <sheetViews>
    <sheetView topLeftCell="A158" zoomScale="115" zoomScaleNormal="115" workbookViewId="0">
      <selection activeCell="E170" sqref="E170"/>
    </sheetView>
  </sheetViews>
  <sheetFormatPr baseColWidth="10" defaultColWidth="11.42578125" defaultRowHeight="12.75"/>
  <cols>
    <col min="1" max="1" width="4.140625" style="36" customWidth="1"/>
    <col min="2" max="2" width="11.42578125" style="36"/>
    <col min="3" max="3" width="17.42578125" style="36" customWidth="1"/>
    <col min="4" max="4" width="28.140625" style="36" customWidth="1"/>
    <col min="5" max="5" width="28.5703125" style="36" customWidth="1"/>
    <col min="6" max="6" width="19.5703125" style="36" customWidth="1"/>
    <col min="7" max="8" width="17.5703125" style="36" customWidth="1"/>
    <col min="9" max="9" width="19.42578125" style="36" customWidth="1"/>
    <col min="10" max="17" width="13.5703125" style="36" customWidth="1"/>
    <col min="18" max="18" width="19.140625" style="36" customWidth="1"/>
    <col min="19" max="19" width="17" style="36" customWidth="1"/>
    <col min="20" max="20" width="0.85546875" style="36" customWidth="1"/>
    <col min="21" max="21" width="16.42578125" style="36" customWidth="1"/>
    <col min="22" max="16384" width="11.42578125" style="36"/>
  </cols>
  <sheetData>
    <row r="1" spans="2:14" s="109" customFormat="1" ht="28.7" customHeight="1">
      <c r="C1" s="110"/>
      <c r="D1" s="279" t="s">
        <v>493</v>
      </c>
      <c r="E1" s="279"/>
      <c r="F1" s="279"/>
      <c r="G1" s="159"/>
      <c r="H1" s="159"/>
      <c r="I1" s="159"/>
      <c r="J1" s="159"/>
      <c r="K1" s="159"/>
      <c r="L1" s="159"/>
      <c r="M1" s="159"/>
      <c r="N1" s="159"/>
    </row>
    <row r="2" spans="2:14" ht="12" customHeight="1"/>
    <row r="3" spans="2:14" ht="30" customHeight="1">
      <c r="B3" s="186" t="s">
        <v>398</v>
      </c>
      <c r="C3" s="191"/>
      <c r="D3" s="192"/>
      <c r="E3" s="16"/>
      <c r="F3" s="16"/>
    </row>
    <row r="4" spans="2:14" ht="6.75" customHeight="1">
      <c r="B4" s="17"/>
      <c r="C4" s="16"/>
      <c r="D4" s="16"/>
      <c r="E4" s="16"/>
      <c r="F4" s="16"/>
    </row>
    <row r="5" spans="2:14" ht="36.75" customHeight="1">
      <c r="B5" s="18"/>
      <c r="C5" s="283" t="s">
        <v>399</v>
      </c>
      <c r="D5" s="284"/>
      <c r="E5" s="284"/>
      <c r="F5" s="284"/>
      <c r="G5" s="284"/>
      <c r="H5" s="284"/>
      <c r="I5" s="284"/>
      <c r="J5" s="285"/>
    </row>
    <row r="6" spans="2:14" ht="20.100000000000001" customHeight="1">
      <c r="B6" s="18"/>
      <c r="C6" s="19" t="s">
        <v>0</v>
      </c>
      <c r="D6" s="20"/>
      <c r="E6" s="20"/>
      <c r="F6" s="20"/>
      <c r="J6" s="37"/>
    </row>
    <row r="7" spans="2:14" ht="20.100000000000001" customHeight="1">
      <c r="B7" s="18"/>
      <c r="C7" s="21" t="s">
        <v>400</v>
      </c>
      <c r="D7" s="22"/>
      <c r="E7" s="22"/>
      <c r="F7" s="22"/>
      <c r="G7" s="38"/>
      <c r="H7" s="38"/>
      <c r="I7" s="38"/>
      <c r="J7" s="39"/>
    </row>
    <row r="8" spans="2:14" ht="30" customHeight="1"/>
    <row r="9" spans="2:14" ht="30" customHeight="1">
      <c r="C9" s="105" t="s">
        <v>26</v>
      </c>
      <c r="D9" s="161" t="s">
        <v>517</v>
      </c>
      <c r="E9" s="11"/>
      <c r="F9" s="11"/>
      <c r="G9" s="12"/>
    </row>
    <row r="10" spans="2:14" ht="19.5" customHeight="1"/>
    <row r="11" spans="2:14" ht="30" customHeight="1">
      <c r="D11" s="286" t="s">
        <v>403</v>
      </c>
      <c r="E11" s="286"/>
      <c r="F11" s="286"/>
    </row>
    <row r="12" spans="2:14" ht="30" customHeight="1">
      <c r="D12" s="62" t="s">
        <v>533</v>
      </c>
      <c r="E12" s="63"/>
      <c r="F12" s="64"/>
    </row>
    <row r="13" spans="2:14" ht="30" customHeight="1">
      <c r="D13" s="65" t="s">
        <v>534</v>
      </c>
      <c r="F13" s="37"/>
    </row>
    <row r="14" spans="2:14" ht="30" customHeight="1">
      <c r="D14" s="65" t="s">
        <v>535</v>
      </c>
      <c r="F14" s="37"/>
    </row>
    <row r="15" spans="2:14" ht="30" customHeight="1">
      <c r="D15" s="66" t="s">
        <v>536</v>
      </c>
      <c r="E15" s="38"/>
      <c r="F15" s="39"/>
    </row>
    <row r="16" spans="2:14" ht="30" customHeight="1" thickBot="1"/>
    <row r="17" spans="4:17" ht="30" customHeight="1">
      <c r="D17" s="193" t="s">
        <v>6</v>
      </c>
      <c r="E17" s="194" t="s">
        <v>255</v>
      </c>
      <c r="F17" s="194" t="s">
        <v>12</v>
      </c>
      <c r="G17" s="195" t="s">
        <v>401</v>
      </c>
      <c r="H17" s="195" t="s">
        <v>226</v>
      </c>
      <c r="I17" s="194" t="s">
        <v>14</v>
      </c>
      <c r="J17" s="196" t="s">
        <v>256</v>
      </c>
    </row>
    <row r="18" spans="4:17" ht="20.100000000000001" customHeight="1">
      <c r="D18" s="197" t="s">
        <v>257</v>
      </c>
      <c r="E18" s="198" t="s">
        <v>258</v>
      </c>
      <c r="F18" s="198" t="s">
        <v>21</v>
      </c>
      <c r="G18" s="199">
        <v>380</v>
      </c>
      <c r="H18" s="200">
        <v>12</v>
      </c>
      <c r="I18" s="201" t="s">
        <v>20</v>
      </c>
      <c r="J18" s="202">
        <v>83</v>
      </c>
    </row>
    <row r="19" spans="4:17" ht="20.100000000000001" customHeight="1">
      <c r="D19" s="197" t="s">
        <v>259</v>
      </c>
      <c r="E19" s="198" t="s">
        <v>258</v>
      </c>
      <c r="F19" s="198" t="s">
        <v>260</v>
      </c>
      <c r="G19" s="199">
        <v>420</v>
      </c>
      <c r="H19" s="200">
        <v>12.5</v>
      </c>
      <c r="I19" s="201" t="s">
        <v>20</v>
      </c>
      <c r="J19" s="202">
        <v>75</v>
      </c>
    </row>
    <row r="20" spans="4:17" ht="20.100000000000001" customHeight="1">
      <c r="D20" s="197" t="s">
        <v>261</v>
      </c>
      <c r="E20" s="198" t="s">
        <v>262</v>
      </c>
      <c r="F20" s="198" t="s">
        <v>21</v>
      </c>
      <c r="G20" s="199">
        <v>380</v>
      </c>
      <c r="H20" s="200">
        <v>10.5</v>
      </c>
      <c r="I20" s="201" t="s">
        <v>20</v>
      </c>
      <c r="J20" s="202">
        <v>84</v>
      </c>
    </row>
    <row r="21" spans="4:17" ht="20.100000000000001" customHeight="1">
      <c r="D21" s="197" t="s">
        <v>263</v>
      </c>
      <c r="E21" s="198" t="s">
        <v>258</v>
      </c>
      <c r="F21" s="198" t="s">
        <v>260</v>
      </c>
      <c r="G21" s="199">
        <v>420</v>
      </c>
      <c r="H21" s="200">
        <v>16.5</v>
      </c>
      <c r="I21" s="201" t="s">
        <v>16</v>
      </c>
      <c r="J21" s="202">
        <v>25</v>
      </c>
    </row>
    <row r="22" spans="4:17" ht="20.100000000000001" customHeight="1">
      <c r="D22" s="197" t="s">
        <v>264</v>
      </c>
      <c r="E22" s="198" t="s">
        <v>265</v>
      </c>
      <c r="F22" s="198" t="s">
        <v>260</v>
      </c>
      <c r="G22" s="199">
        <v>165.6</v>
      </c>
      <c r="H22" s="200">
        <v>17.5</v>
      </c>
      <c r="I22" s="201" t="s">
        <v>16</v>
      </c>
      <c r="J22" s="202">
        <v>34</v>
      </c>
    </row>
    <row r="23" spans="4:17" ht="20.100000000000001" customHeight="1">
      <c r="D23" s="197" t="s">
        <v>266</v>
      </c>
      <c r="E23" s="198" t="s">
        <v>265</v>
      </c>
      <c r="F23" s="198" t="s">
        <v>15</v>
      </c>
      <c r="G23" s="199">
        <v>399</v>
      </c>
      <c r="H23" s="200">
        <v>16</v>
      </c>
      <c r="I23" s="201" t="s">
        <v>16</v>
      </c>
      <c r="J23" s="202">
        <v>91</v>
      </c>
    </row>
    <row r="24" spans="4:17" ht="20.100000000000001" customHeight="1">
      <c r="D24" s="197" t="s">
        <v>268</v>
      </c>
      <c r="E24" s="198" t="s">
        <v>265</v>
      </c>
      <c r="F24" s="198" t="s">
        <v>18</v>
      </c>
      <c r="G24" s="199">
        <v>399</v>
      </c>
      <c r="H24" s="200">
        <v>14</v>
      </c>
      <c r="I24" s="201" t="s">
        <v>16</v>
      </c>
      <c r="J24" s="202">
        <v>1</v>
      </c>
    </row>
    <row r="25" spans="4:17" ht="20.100000000000001" customHeight="1">
      <c r="D25" s="197" t="s">
        <v>10</v>
      </c>
      <c r="E25" s="198" t="s">
        <v>262</v>
      </c>
      <c r="F25" s="198" t="s">
        <v>267</v>
      </c>
      <c r="G25" s="199">
        <v>379</v>
      </c>
      <c r="H25" s="200">
        <v>15</v>
      </c>
      <c r="I25" s="201" t="s">
        <v>16</v>
      </c>
      <c r="J25" s="202">
        <v>53</v>
      </c>
    </row>
    <row r="26" spans="4:17" ht="20.100000000000001" customHeight="1">
      <c r="D26" s="197" t="s">
        <v>270</v>
      </c>
      <c r="E26" s="198" t="s">
        <v>269</v>
      </c>
      <c r="F26" s="198" t="s">
        <v>15</v>
      </c>
      <c r="G26" s="199">
        <v>399</v>
      </c>
      <c r="H26" s="200">
        <v>17</v>
      </c>
      <c r="I26" s="201" t="s">
        <v>16</v>
      </c>
      <c r="J26" s="202">
        <v>80</v>
      </c>
    </row>
    <row r="27" spans="4:17" ht="20.100000000000001" customHeight="1">
      <c r="D27" s="197" t="s">
        <v>272</v>
      </c>
      <c r="E27" s="198" t="s">
        <v>271</v>
      </c>
      <c r="F27" s="198" t="s">
        <v>21</v>
      </c>
      <c r="G27" s="199">
        <v>348</v>
      </c>
      <c r="H27" s="200">
        <v>14.5</v>
      </c>
      <c r="I27" s="201" t="s">
        <v>16</v>
      </c>
      <c r="J27" s="202">
        <v>89</v>
      </c>
    </row>
    <row r="28" spans="4:17" ht="20.100000000000001" customHeight="1">
      <c r="D28" s="197" t="s">
        <v>273</v>
      </c>
      <c r="E28" s="198" t="s">
        <v>269</v>
      </c>
      <c r="F28" s="198" t="s">
        <v>267</v>
      </c>
      <c r="G28" s="199">
        <v>420</v>
      </c>
      <c r="H28" s="200">
        <v>17.5</v>
      </c>
      <c r="I28" s="201" t="s">
        <v>16</v>
      </c>
      <c r="J28" s="202">
        <v>14</v>
      </c>
    </row>
    <row r="29" spans="4:17" ht="20.100000000000001" customHeight="1">
      <c r="D29" s="197" t="s">
        <v>274</v>
      </c>
      <c r="E29" s="198" t="s">
        <v>269</v>
      </c>
      <c r="F29" s="198" t="s">
        <v>15</v>
      </c>
      <c r="G29" s="199">
        <v>399</v>
      </c>
      <c r="H29" s="200">
        <v>13</v>
      </c>
      <c r="I29" s="201" t="s">
        <v>20</v>
      </c>
      <c r="J29" s="202">
        <v>100</v>
      </c>
    </row>
    <row r="30" spans="4:17" ht="20.100000000000001" customHeight="1">
      <c r="D30" s="197" t="s">
        <v>275</v>
      </c>
      <c r="E30" s="198" t="s">
        <v>265</v>
      </c>
      <c r="F30" s="198" t="s">
        <v>18</v>
      </c>
      <c r="G30" s="199">
        <v>399</v>
      </c>
      <c r="H30" s="200">
        <v>13</v>
      </c>
      <c r="I30" s="201" t="s">
        <v>20</v>
      </c>
      <c r="J30" s="202">
        <v>45</v>
      </c>
    </row>
    <row r="31" spans="4:17" ht="20.100000000000001" customHeight="1">
      <c r="D31" s="197" t="s">
        <v>276</v>
      </c>
      <c r="E31" s="198" t="s">
        <v>262</v>
      </c>
      <c r="F31" s="198" t="s">
        <v>21</v>
      </c>
      <c r="G31" s="199">
        <v>420</v>
      </c>
      <c r="H31" s="200">
        <v>18.5</v>
      </c>
      <c r="I31" s="201" t="s">
        <v>16</v>
      </c>
      <c r="J31" s="202">
        <v>48</v>
      </c>
    </row>
    <row r="32" spans="4:17" ht="20.100000000000001" customHeight="1">
      <c r="D32" s="197" t="s">
        <v>277</v>
      </c>
      <c r="E32" s="198" t="s">
        <v>258</v>
      </c>
      <c r="F32" s="198" t="s">
        <v>15</v>
      </c>
      <c r="G32" s="199">
        <v>399</v>
      </c>
      <c r="H32" s="200">
        <v>14</v>
      </c>
      <c r="I32" s="201" t="s">
        <v>16</v>
      </c>
      <c r="J32" s="202">
        <v>12</v>
      </c>
    </row>
    <row r="33" spans="4:10" ht="20.100000000000001" customHeight="1">
      <c r="D33" s="197" t="s">
        <v>278</v>
      </c>
      <c r="E33" s="198" t="s">
        <v>262</v>
      </c>
      <c r="F33" s="198" t="s">
        <v>18</v>
      </c>
      <c r="G33" s="199">
        <v>380</v>
      </c>
      <c r="H33" s="200">
        <v>14</v>
      </c>
      <c r="I33" s="201" t="s">
        <v>16</v>
      </c>
      <c r="J33" s="202">
        <v>79</v>
      </c>
    </row>
    <row r="34" spans="4:10" ht="20.100000000000001" customHeight="1">
      <c r="D34" s="197" t="s">
        <v>279</v>
      </c>
      <c r="E34" s="198" t="s">
        <v>265</v>
      </c>
      <c r="F34" s="198" t="s">
        <v>18</v>
      </c>
      <c r="G34" s="199">
        <v>380</v>
      </c>
      <c r="H34" s="200">
        <v>17.5</v>
      </c>
      <c r="I34" s="201" t="s">
        <v>16</v>
      </c>
      <c r="J34" s="202">
        <v>47</v>
      </c>
    </row>
    <row r="35" spans="4:10" ht="20.100000000000001" customHeight="1">
      <c r="D35" s="197" t="s">
        <v>280</v>
      </c>
      <c r="E35" s="198" t="s">
        <v>269</v>
      </c>
      <c r="F35" s="198" t="s">
        <v>18</v>
      </c>
      <c r="G35" s="199">
        <v>388</v>
      </c>
      <c r="H35" s="200">
        <v>12.5</v>
      </c>
      <c r="I35" s="201" t="s">
        <v>20</v>
      </c>
      <c r="J35" s="202">
        <v>64</v>
      </c>
    </row>
    <row r="36" spans="4:10" ht="20.100000000000001" customHeight="1">
      <c r="D36" s="197" t="s">
        <v>2</v>
      </c>
      <c r="E36" s="198" t="s">
        <v>258</v>
      </c>
      <c r="F36" s="198" t="s">
        <v>21</v>
      </c>
      <c r="G36" s="199">
        <v>420</v>
      </c>
      <c r="H36" s="200">
        <v>19</v>
      </c>
      <c r="I36" s="201" t="s">
        <v>16</v>
      </c>
      <c r="J36" s="202">
        <v>19</v>
      </c>
    </row>
    <row r="37" spans="4:10" ht="20.100000000000001" customHeight="1">
      <c r="D37" s="197" t="s">
        <v>9</v>
      </c>
      <c r="E37" s="198" t="s">
        <v>271</v>
      </c>
      <c r="F37" s="198" t="s">
        <v>15</v>
      </c>
      <c r="G37" s="199">
        <v>399</v>
      </c>
      <c r="H37" s="200">
        <v>14</v>
      </c>
      <c r="I37" s="201" t="s">
        <v>16</v>
      </c>
      <c r="J37" s="202">
        <v>33</v>
      </c>
    </row>
    <row r="38" spans="4:10" ht="20.100000000000001" customHeight="1">
      <c r="D38" s="197" t="s">
        <v>281</v>
      </c>
      <c r="E38" s="198" t="s">
        <v>265</v>
      </c>
      <c r="F38" s="198" t="s">
        <v>21</v>
      </c>
      <c r="G38" s="199">
        <v>399</v>
      </c>
      <c r="H38" s="200">
        <v>17</v>
      </c>
      <c r="I38" s="201" t="s">
        <v>16</v>
      </c>
      <c r="J38" s="202">
        <v>35</v>
      </c>
    </row>
    <row r="39" spans="4:10" ht="20.100000000000001" customHeight="1">
      <c r="D39" s="197" t="s">
        <v>282</v>
      </c>
      <c r="E39" s="198" t="s">
        <v>265</v>
      </c>
      <c r="F39" s="198" t="s">
        <v>260</v>
      </c>
      <c r="G39" s="199">
        <v>480</v>
      </c>
      <c r="H39" s="200">
        <v>16</v>
      </c>
      <c r="I39" s="201" t="s">
        <v>16</v>
      </c>
      <c r="J39" s="202">
        <v>51</v>
      </c>
    </row>
    <row r="40" spans="4:10" ht="20.100000000000001" customHeight="1">
      <c r="D40" s="197" t="s">
        <v>283</v>
      </c>
      <c r="E40" s="198" t="s">
        <v>265</v>
      </c>
      <c r="F40" s="198" t="s">
        <v>267</v>
      </c>
      <c r="G40" s="199">
        <v>480</v>
      </c>
      <c r="H40" s="200">
        <v>16</v>
      </c>
      <c r="I40" s="201" t="s">
        <v>16</v>
      </c>
      <c r="J40" s="202">
        <v>56</v>
      </c>
    </row>
    <row r="41" spans="4:10" ht="20.100000000000001" customHeight="1">
      <c r="D41" s="197" t="s">
        <v>284</v>
      </c>
      <c r="E41" s="198" t="s">
        <v>265</v>
      </c>
      <c r="F41" s="198" t="s">
        <v>21</v>
      </c>
      <c r="G41" s="199">
        <v>399</v>
      </c>
      <c r="H41" s="200">
        <v>11.5</v>
      </c>
      <c r="I41" s="201" t="s">
        <v>20</v>
      </c>
      <c r="J41" s="202">
        <v>43</v>
      </c>
    </row>
    <row r="42" spans="4:10" ht="20.100000000000001" customHeight="1">
      <c r="D42" s="197" t="s">
        <v>285</v>
      </c>
      <c r="E42" s="198" t="s">
        <v>258</v>
      </c>
      <c r="F42" s="198" t="s">
        <v>15</v>
      </c>
      <c r="G42" s="199">
        <v>420</v>
      </c>
      <c r="H42" s="200">
        <v>17.5</v>
      </c>
      <c r="I42" s="201" t="s">
        <v>16</v>
      </c>
      <c r="J42" s="202">
        <v>3</v>
      </c>
    </row>
    <row r="43" spans="4:10" ht="20.100000000000001" customHeight="1">
      <c r="D43" s="197" t="s">
        <v>286</v>
      </c>
      <c r="E43" s="198" t="s">
        <v>258</v>
      </c>
      <c r="F43" s="198" t="s">
        <v>18</v>
      </c>
      <c r="G43" s="199">
        <v>380</v>
      </c>
      <c r="H43" s="200">
        <v>13</v>
      </c>
      <c r="I43" s="201" t="s">
        <v>20</v>
      </c>
      <c r="J43" s="202">
        <v>37</v>
      </c>
    </row>
    <row r="44" spans="4:10" ht="20.100000000000001" customHeight="1">
      <c r="D44" s="197" t="s">
        <v>287</v>
      </c>
      <c r="E44" s="198" t="s">
        <v>258</v>
      </c>
      <c r="F44" s="198" t="s">
        <v>267</v>
      </c>
      <c r="G44" s="199">
        <v>380</v>
      </c>
      <c r="H44" s="200">
        <v>17.5</v>
      </c>
      <c r="I44" s="201" t="s">
        <v>16</v>
      </c>
      <c r="J44" s="202">
        <v>39</v>
      </c>
    </row>
    <row r="45" spans="4:10" ht="20.100000000000001" customHeight="1">
      <c r="D45" s="197" t="s">
        <v>288</v>
      </c>
      <c r="E45" s="198" t="s">
        <v>265</v>
      </c>
      <c r="F45" s="198" t="s">
        <v>21</v>
      </c>
      <c r="G45" s="199">
        <v>380</v>
      </c>
      <c r="H45" s="200">
        <v>16</v>
      </c>
      <c r="I45" s="201" t="s">
        <v>16</v>
      </c>
      <c r="J45" s="202">
        <v>38</v>
      </c>
    </row>
    <row r="46" spans="4:10" ht="20.100000000000001" customHeight="1">
      <c r="D46" s="197" t="s">
        <v>289</v>
      </c>
      <c r="E46" s="198" t="s">
        <v>269</v>
      </c>
      <c r="F46" s="198" t="s">
        <v>18</v>
      </c>
      <c r="G46" s="199">
        <v>420</v>
      </c>
      <c r="H46" s="200">
        <v>10.5</v>
      </c>
      <c r="I46" s="201" t="s">
        <v>20</v>
      </c>
      <c r="J46" s="202">
        <v>27</v>
      </c>
    </row>
    <row r="47" spans="4:10" ht="20.100000000000001" customHeight="1">
      <c r="D47" s="197" t="s">
        <v>290</v>
      </c>
      <c r="E47" s="198" t="s">
        <v>265</v>
      </c>
      <c r="F47" s="198" t="s">
        <v>21</v>
      </c>
      <c r="G47" s="199">
        <v>420</v>
      </c>
      <c r="H47" s="200">
        <v>12</v>
      </c>
      <c r="I47" s="201" t="s">
        <v>20</v>
      </c>
      <c r="J47" s="202">
        <v>10</v>
      </c>
    </row>
    <row r="48" spans="4:10" ht="20.100000000000001" customHeight="1">
      <c r="D48" s="197" t="s">
        <v>291</v>
      </c>
      <c r="E48" s="198" t="s">
        <v>265</v>
      </c>
      <c r="F48" s="198" t="s">
        <v>21</v>
      </c>
      <c r="G48" s="199">
        <v>399</v>
      </c>
      <c r="H48" s="200">
        <v>19</v>
      </c>
      <c r="I48" s="201" t="s">
        <v>16</v>
      </c>
      <c r="J48" s="202">
        <v>67</v>
      </c>
    </row>
    <row r="49" spans="4:10" ht="20.100000000000001" customHeight="1">
      <c r="D49" s="197" t="s">
        <v>292</v>
      </c>
      <c r="E49" s="198" t="s">
        <v>262</v>
      </c>
      <c r="F49" s="198" t="s">
        <v>18</v>
      </c>
      <c r="G49" s="199">
        <v>399</v>
      </c>
      <c r="H49" s="200">
        <v>17</v>
      </c>
      <c r="I49" s="201" t="s">
        <v>16</v>
      </c>
      <c r="J49" s="202">
        <v>99</v>
      </c>
    </row>
    <row r="50" spans="4:10" ht="20.100000000000001" customHeight="1">
      <c r="D50" s="197" t="s">
        <v>293</v>
      </c>
      <c r="E50" s="198" t="s">
        <v>265</v>
      </c>
      <c r="F50" s="198" t="s">
        <v>18</v>
      </c>
      <c r="G50" s="199">
        <v>480</v>
      </c>
      <c r="H50" s="200">
        <v>15.5</v>
      </c>
      <c r="I50" s="201" t="s">
        <v>16</v>
      </c>
      <c r="J50" s="202">
        <v>98</v>
      </c>
    </row>
    <row r="51" spans="4:10" ht="20.100000000000001" customHeight="1">
      <c r="D51" s="197" t="s">
        <v>294</v>
      </c>
      <c r="E51" s="198" t="s">
        <v>265</v>
      </c>
      <c r="F51" s="198" t="s">
        <v>260</v>
      </c>
      <c r="G51" s="199">
        <v>480</v>
      </c>
      <c r="H51" s="200">
        <v>11</v>
      </c>
      <c r="I51" s="201" t="s">
        <v>20</v>
      </c>
      <c r="J51" s="202">
        <v>5</v>
      </c>
    </row>
    <row r="52" spans="4:10" ht="20.100000000000001" customHeight="1">
      <c r="D52" s="197" t="s">
        <v>295</v>
      </c>
      <c r="E52" s="198" t="s">
        <v>262</v>
      </c>
      <c r="F52" s="198" t="s">
        <v>267</v>
      </c>
      <c r="G52" s="199">
        <v>350</v>
      </c>
      <c r="H52" s="200">
        <v>17</v>
      </c>
      <c r="I52" s="201" t="s">
        <v>16</v>
      </c>
      <c r="J52" s="202">
        <v>63</v>
      </c>
    </row>
    <row r="53" spans="4:10" ht="20.100000000000001" customHeight="1">
      <c r="D53" s="197" t="s">
        <v>296</v>
      </c>
      <c r="E53" s="198" t="s">
        <v>265</v>
      </c>
      <c r="F53" s="198" t="s">
        <v>15</v>
      </c>
      <c r="G53" s="199">
        <v>420</v>
      </c>
      <c r="H53" s="200">
        <v>15.5</v>
      </c>
      <c r="I53" s="201" t="s">
        <v>16</v>
      </c>
      <c r="J53" s="202">
        <v>13</v>
      </c>
    </row>
    <row r="54" spans="4:10" ht="20.100000000000001" customHeight="1">
      <c r="D54" s="197" t="s">
        <v>297</v>
      </c>
      <c r="E54" s="198" t="s">
        <v>262</v>
      </c>
      <c r="F54" s="198" t="s">
        <v>15</v>
      </c>
      <c r="G54" s="199">
        <v>399</v>
      </c>
      <c r="H54" s="200">
        <v>16.5</v>
      </c>
      <c r="I54" s="201" t="s">
        <v>16</v>
      </c>
      <c r="J54" s="202">
        <v>90</v>
      </c>
    </row>
    <row r="55" spans="4:10" ht="20.100000000000001" customHeight="1">
      <c r="D55" s="197" t="s">
        <v>298</v>
      </c>
      <c r="E55" s="198" t="s">
        <v>269</v>
      </c>
      <c r="F55" s="198" t="s">
        <v>260</v>
      </c>
      <c r="G55" s="199">
        <v>399</v>
      </c>
      <c r="H55" s="200">
        <v>10</v>
      </c>
      <c r="I55" s="201" t="s">
        <v>20</v>
      </c>
      <c r="J55" s="202">
        <v>88</v>
      </c>
    </row>
    <row r="56" spans="4:10" ht="20.100000000000001" customHeight="1">
      <c r="D56" s="197" t="s">
        <v>299</v>
      </c>
      <c r="E56" s="198" t="s">
        <v>269</v>
      </c>
      <c r="F56" s="198" t="s">
        <v>260</v>
      </c>
      <c r="G56" s="199">
        <v>380</v>
      </c>
      <c r="H56" s="200">
        <v>19</v>
      </c>
      <c r="I56" s="201" t="s">
        <v>16</v>
      </c>
      <c r="J56" s="202">
        <v>97</v>
      </c>
    </row>
    <row r="57" spans="4:10" ht="20.100000000000001" customHeight="1">
      <c r="D57" s="197" t="s">
        <v>300</v>
      </c>
      <c r="E57" s="198" t="s">
        <v>265</v>
      </c>
      <c r="F57" s="198" t="s">
        <v>260</v>
      </c>
      <c r="G57" s="199">
        <v>380</v>
      </c>
      <c r="H57" s="200">
        <v>13.5</v>
      </c>
      <c r="I57" s="201" t="s">
        <v>20</v>
      </c>
      <c r="J57" s="202">
        <v>16</v>
      </c>
    </row>
    <row r="58" spans="4:10" ht="20.100000000000001" customHeight="1">
      <c r="D58" s="197" t="s">
        <v>301</v>
      </c>
      <c r="E58" s="198" t="s">
        <v>271</v>
      </c>
      <c r="F58" s="198" t="s">
        <v>15</v>
      </c>
      <c r="G58" s="199">
        <v>450</v>
      </c>
      <c r="H58" s="200">
        <v>16.5</v>
      </c>
      <c r="I58" s="201" t="s">
        <v>16</v>
      </c>
      <c r="J58" s="202">
        <v>74</v>
      </c>
    </row>
    <row r="59" spans="4:10" ht="20.100000000000001" customHeight="1">
      <c r="D59" s="197" t="s">
        <v>302</v>
      </c>
      <c r="E59" s="198" t="s">
        <v>258</v>
      </c>
      <c r="F59" s="198" t="s">
        <v>15</v>
      </c>
      <c r="G59" s="199">
        <v>380</v>
      </c>
      <c r="H59" s="200">
        <v>19.5</v>
      </c>
      <c r="I59" s="201" t="s">
        <v>16</v>
      </c>
      <c r="J59" s="202">
        <v>42</v>
      </c>
    </row>
    <row r="60" spans="4:10" ht="20.100000000000001" customHeight="1">
      <c r="D60" s="197" t="s">
        <v>303</v>
      </c>
      <c r="E60" s="198" t="s">
        <v>271</v>
      </c>
      <c r="F60" s="198" t="s">
        <v>21</v>
      </c>
      <c r="G60" s="199">
        <v>399</v>
      </c>
      <c r="H60" s="200">
        <v>14.5</v>
      </c>
      <c r="I60" s="201" t="s">
        <v>16</v>
      </c>
      <c r="J60" s="202">
        <v>65</v>
      </c>
    </row>
    <row r="61" spans="4:10" ht="20.100000000000001" customHeight="1">
      <c r="D61" s="197" t="s">
        <v>304</v>
      </c>
      <c r="E61" s="198" t="s">
        <v>271</v>
      </c>
      <c r="F61" s="198" t="s">
        <v>21</v>
      </c>
      <c r="G61" s="199">
        <v>399</v>
      </c>
      <c r="H61" s="200">
        <v>12</v>
      </c>
      <c r="I61" s="201" t="s">
        <v>20</v>
      </c>
      <c r="J61" s="202">
        <v>17</v>
      </c>
    </row>
    <row r="62" spans="4:10" ht="20.100000000000001" customHeight="1">
      <c r="D62" s="197" t="s">
        <v>305</v>
      </c>
      <c r="E62" s="198" t="s">
        <v>262</v>
      </c>
      <c r="F62" s="198" t="s">
        <v>260</v>
      </c>
      <c r="G62" s="199">
        <v>399</v>
      </c>
      <c r="H62" s="200">
        <v>12</v>
      </c>
      <c r="I62" s="201" t="s">
        <v>20</v>
      </c>
      <c r="J62" s="202">
        <v>77</v>
      </c>
    </row>
    <row r="63" spans="4:10" ht="20.100000000000001" customHeight="1">
      <c r="D63" s="197" t="s">
        <v>306</v>
      </c>
      <c r="E63" s="198" t="s">
        <v>271</v>
      </c>
      <c r="F63" s="198" t="s">
        <v>267</v>
      </c>
      <c r="G63" s="199">
        <v>420</v>
      </c>
      <c r="H63" s="200">
        <v>17</v>
      </c>
      <c r="I63" s="201" t="s">
        <v>16</v>
      </c>
      <c r="J63" s="202">
        <v>26</v>
      </c>
    </row>
    <row r="64" spans="4:10" ht="20.100000000000001" customHeight="1">
      <c r="D64" s="197" t="s">
        <v>307</v>
      </c>
      <c r="E64" s="198" t="s">
        <v>271</v>
      </c>
      <c r="F64" s="198" t="s">
        <v>21</v>
      </c>
      <c r="G64" s="199">
        <v>420</v>
      </c>
      <c r="H64" s="200">
        <v>14.5</v>
      </c>
      <c r="I64" s="201" t="s">
        <v>16</v>
      </c>
      <c r="J64" s="202">
        <v>22</v>
      </c>
    </row>
    <row r="65" spans="4:10" ht="20.100000000000001" customHeight="1">
      <c r="D65" s="197" t="s">
        <v>308</v>
      </c>
      <c r="E65" s="198" t="s">
        <v>262</v>
      </c>
      <c r="F65" s="198" t="s">
        <v>267</v>
      </c>
      <c r="G65" s="199">
        <v>420</v>
      </c>
      <c r="H65" s="200">
        <v>8</v>
      </c>
      <c r="I65" s="201" t="s">
        <v>20</v>
      </c>
      <c r="J65" s="202">
        <v>44</v>
      </c>
    </row>
    <row r="66" spans="4:10" ht="20.100000000000001" customHeight="1">
      <c r="D66" s="197" t="s">
        <v>309</v>
      </c>
      <c r="E66" s="198" t="s">
        <v>258</v>
      </c>
      <c r="F66" s="198" t="s">
        <v>18</v>
      </c>
      <c r="G66" s="199">
        <v>388</v>
      </c>
      <c r="H66" s="200">
        <v>13.5</v>
      </c>
      <c r="I66" s="201" t="s">
        <v>20</v>
      </c>
      <c r="J66" s="202">
        <v>20</v>
      </c>
    </row>
    <row r="67" spans="4:10" ht="20.100000000000001" customHeight="1">
      <c r="D67" s="197" t="s">
        <v>310</v>
      </c>
      <c r="E67" s="198" t="s">
        <v>262</v>
      </c>
      <c r="F67" s="198" t="s">
        <v>260</v>
      </c>
      <c r="G67" s="199">
        <v>399</v>
      </c>
      <c r="H67" s="200">
        <v>16.5</v>
      </c>
      <c r="I67" s="201" t="s">
        <v>16</v>
      </c>
      <c r="J67" s="202">
        <v>68</v>
      </c>
    </row>
    <row r="68" spans="4:10" ht="20.100000000000001" customHeight="1">
      <c r="D68" s="197" t="s">
        <v>311</v>
      </c>
      <c r="E68" s="198" t="s">
        <v>271</v>
      </c>
      <c r="F68" s="198" t="s">
        <v>267</v>
      </c>
      <c r="G68" s="199">
        <v>399</v>
      </c>
      <c r="H68" s="200">
        <v>14</v>
      </c>
      <c r="I68" s="201" t="s">
        <v>16</v>
      </c>
      <c r="J68" s="202">
        <v>59</v>
      </c>
    </row>
    <row r="69" spans="4:10" ht="20.100000000000001" customHeight="1">
      <c r="D69" s="197" t="s">
        <v>8</v>
      </c>
      <c r="E69" s="198" t="s">
        <v>269</v>
      </c>
      <c r="F69" s="198" t="s">
        <v>267</v>
      </c>
      <c r="G69" s="199">
        <v>480</v>
      </c>
      <c r="H69" s="200">
        <v>17</v>
      </c>
      <c r="I69" s="201" t="s">
        <v>16</v>
      </c>
      <c r="J69" s="202">
        <v>73</v>
      </c>
    </row>
    <row r="70" spans="4:10" ht="20.100000000000001" customHeight="1">
      <c r="D70" s="197" t="s">
        <v>1</v>
      </c>
      <c r="E70" s="198" t="s">
        <v>262</v>
      </c>
      <c r="F70" s="198" t="s">
        <v>15</v>
      </c>
      <c r="G70" s="199">
        <v>399</v>
      </c>
      <c r="H70" s="200">
        <v>13.5</v>
      </c>
      <c r="I70" s="201" t="s">
        <v>20</v>
      </c>
      <c r="J70" s="202">
        <v>21</v>
      </c>
    </row>
    <row r="71" spans="4:10" ht="20.100000000000001" customHeight="1">
      <c r="D71" s="197" t="s">
        <v>312</v>
      </c>
      <c r="E71" s="198" t="s">
        <v>262</v>
      </c>
      <c r="F71" s="198" t="s">
        <v>21</v>
      </c>
      <c r="G71" s="199">
        <v>420</v>
      </c>
      <c r="H71" s="200">
        <v>12.5</v>
      </c>
      <c r="I71" s="201" t="s">
        <v>20</v>
      </c>
      <c r="J71" s="202">
        <v>85</v>
      </c>
    </row>
    <row r="72" spans="4:10" ht="20.100000000000001" customHeight="1">
      <c r="D72" s="197" t="s">
        <v>313</v>
      </c>
      <c r="E72" s="198" t="s">
        <v>271</v>
      </c>
      <c r="F72" s="198" t="s">
        <v>260</v>
      </c>
      <c r="G72" s="199">
        <v>380</v>
      </c>
      <c r="H72" s="200">
        <v>15.5</v>
      </c>
      <c r="I72" s="201" t="s">
        <v>16</v>
      </c>
      <c r="J72" s="202">
        <v>46</v>
      </c>
    </row>
    <row r="73" spans="4:10" ht="20.100000000000001" customHeight="1">
      <c r="D73" s="197" t="s">
        <v>314</v>
      </c>
      <c r="E73" s="198" t="s">
        <v>262</v>
      </c>
      <c r="F73" s="198" t="s">
        <v>15</v>
      </c>
      <c r="G73" s="199">
        <v>380</v>
      </c>
      <c r="H73" s="200">
        <v>15.5</v>
      </c>
      <c r="I73" s="201" t="s">
        <v>16</v>
      </c>
      <c r="J73" s="202">
        <v>6</v>
      </c>
    </row>
    <row r="74" spans="4:10" ht="20.100000000000001" customHeight="1">
      <c r="D74" s="197" t="s">
        <v>315</v>
      </c>
      <c r="E74" s="198" t="s">
        <v>265</v>
      </c>
      <c r="F74" s="198" t="s">
        <v>18</v>
      </c>
      <c r="G74" s="199">
        <v>380</v>
      </c>
      <c r="H74" s="200">
        <v>12.5</v>
      </c>
      <c r="I74" s="201" t="s">
        <v>20</v>
      </c>
      <c r="J74" s="202">
        <v>28</v>
      </c>
    </row>
    <row r="75" spans="4:10" ht="20.100000000000001" customHeight="1">
      <c r="D75" s="197" t="s">
        <v>316</v>
      </c>
      <c r="E75" s="198" t="s">
        <v>271</v>
      </c>
      <c r="F75" s="198" t="s">
        <v>18</v>
      </c>
      <c r="G75" s="199">
        <v>420</v>
      </c>
      <c r="H75" s="200">
        <v>15</v>
      </c>
      <c r="I75" s="201" t="s">
        <v>16</v>
      </c>
      <c r="J75" s="202">
        <v>49</v>
      </c>
    </row>
    <row r="76" spans="4:10" ht="20.100000000000001" customHeight="1">
      <c r="D76" s="197" t="s">
        <v>3</v>
      </c>
      <c r="E76" s="198" t="s">
        <v>258</v>
      </c>
      <c r="F76" s="198" t="s">
        <v>267</v>
      </c>
      <c r="G76" s="199">
        <v>420</v>
      </c>
      <c r="H76" s="200">
        <v>16.5</v>
      </c>
      <c r="I76" s="201" t="s">
        <v>16</v>
      </c>
      <c r="J76" s="202">
        <v>4</v>
      </c>
    </row>
    <row r="77" spans="4:10" ht="20.100000000000001" customHeight="1">
      <c r="D77" s="197" t="s">
        <v>317</v>
      </c>
      <c r="E77" s="198" t="s">
        <v>271</v>
      </c>
      <c r="F77" s="198" t="s">
        <v>267</v>
      </c>
      <c r="G77" s="199">
        <v>399</v>
      </c>
      <c r="H77" s="200">
        <v>9.5</v>
      </c>
      <c r="I77" s="201" t="s">
        <v>20</v>
      </c>
      <c r="J77" s="202">
        <v>18</v>
      </c>
    </row>
    <row r="78" spans="4:10" ht="20.100000000000001" customHeight="1">
      <c r="D78" s="197" t="s">
        <v>318</v>
      </c>
      <c r="E78" s="198" t="s">
        <v>271</v>
      </c>
      <c r="F78" s="198" t="s">
        <v>260</v>
      </c>
      <c r="G78" s="199">
        <v>399</v>
      </c>
      <c r="H78" s="200">
        <v>16</v>
      </c>
      <c r="I78" s="201" t="s">
        <v>16</v>
      </c>
      <c r="J78" s="202">
        <v>29</v>
      </c>
    </row>
    <row r="79" spans="4:10" ht="20.100000000000001" customHeight="1">
      <c r="D79" s="197" t="s">
        <v>319</v>
      </c>
      <c r="E79" s="198" t="s">
        <v>262</v>
      </c>
      <c r="F79" s="198" t="s">
        <v>15</v>
      </c>
      <c r="G79" s="199">
        <v>480</v>
      </c>
      <c r="H79" s="200">
        <v>15</v>
      </c>
      <c r="I79" s="201" t="s">
        <v>16</v>
      </c>
      <c r="J79" s="202">
        <v>24</v>
      </c>
    </row>
    <row r="80" spans="4:10" ht="20.100000000000001" customHeight="1">
      <c r="D80" s="197" t="s">
        <v>320</v>
      </c>
      <c r="E80" s="198" t="s">
        <v>262</v>
      </c>
      <c r="F80" s="198" t="s">
        <v>267</v>
      </c>
      <c r="G80" s="199">
        <v>480</v>
      </c>
      <c r="H80" s="200">
        <v>14</v>
      </c>
      <c r="I80" s="201" t="s">
        <v>16</v>
      </c>
      <c r="J80" s="202">
        <v>54</v>
      </c>
    </row>
    <row r="81" spans="4:10" ht="20.100000000000001" customHeight="1">
      <c r="D81" s="197" t="s">
        <v>321</v>
      </c>
      <c r="E81" s="198" t="s">
        <v>258</v>
      </c>
      <c r="F81" s="198" t="s">
        <v>21</v>
      </c>
      <c r="G81" s="199">
        <v>350</v>
      </c>
      <c r="H81" s="200">
        <v>11</v>
      </c>
      <c r="I81" s="201" t="s">
        <v>20</v>
      </c>
      <c r="J81" s="202">
        <v>40</v>
      </c>
    </row>
    <row r="82" spans="4:10" ht="20.100000000000001" customHeight="1">
      <c r="D82" s="197" t="s">
        <v>322</v>
      </c>
      <c r="E82" s="198" t="s">
        <v>265</v>
      </c>
      <c r="F82" s="198" t="s">
        <v>15</v>
      </c>
      <c r="G82" s="199">
        <v>420</v>
      </c>
      <c r="H82" s="200">
        <v>10</v>
      </c>
      <c r="I82" s="201" t="s">
        <v>20</v>
      </c>
      <c r="J82" s="202">
        <v>72</v>
      </c>
    </row>
    <row r="83" spans="4:10" ht="20.100000000000001" customHeight="1">
      <c r="D83" s="197" t="s">
        <v>323</v>
      </c>
      <c r="E83" s="198" t="s">
        <v>269</v>
      </c>
      <c r="F83" s="198" t="s">
        <v>21</v>
      </c>
      <c r="G83" s="199">
        <v>399</v>
      </c>
      <c r="H83" s="200">
        <v>13.5</v>
      </c>
      <c r="I83" s="201" t="s">
        <v>20</v>
      </c>
      <c r="J83" s="202">
        <v>61</v>
      </c>
    </row>
    <row r="84" spans="4:10" ht="20.100000000000001" customHeight="1">
      <c r="D84" s="197" t="s">
        <v>324</v>
      </c>
      <c r="E84" s="198" t="s">
        <v>258</v>
      </c>
      <c r="F84" s="198" t="s">
        <v>21</v>
      </c>
      <c r="G84" s="199">
        <v>399</v>
      </c>
      <c r="H84" s="200">
        <v>11</v>
      </c>
      <c r="I84" s="201" t="s">
        <v>20</v>
      </c>
      <c r="J84" s="202">
        <v>32</v>
      </c>
    </row>
    <row r="85" spans="4:10" ht="20.100000000000001" customHeight="1">
      <c r="D85" s="197" t="s">
        <v>325</v>
      </c>
      <c r="E85" s="198" t="s">
        <v>265</v>
      </c>
      <c r="F85" s="198" t="s">
        <v>260</v>
      </c>
      <c r="G85" s="199">
        <v>380</v>
      </c>
      <c r="H85" s="200">
        <v>13.5</v>
      </c>
      <c r="I85" s="201" t="s">
        <v>20</v>
      </c>
      <c r="J85" s="202">
        <v>58</v>
      </c>
    </row>
    <row r="86" spans="4:10" ht="20.100000000000001" customHeight="1">
      <c r="D86" s="197" t="s">
        <v>326</v>
      </c>
      <c r="E86" s="198" t="s">
        <v>265</v>
      </c>
      <c r="F86" s="198" t="s">
        <v>267</v>
      </c>
      <c r="G86" s="199">
        <v>380</v>
      </c>
      <c r="H86" s="200">
        <v>12.5</v>
      </c>
      <c r="I86" s="201" t="s">
        <v>20</v>
      </c>
      <c r="J86" s="202">
        <v>2</v>
      </c>
    </row>
    <row r="87" spans="4:10" ht="20.100000000000001" customHeight="1">
      <c r="D87" s="197" t="s">
        <v>327</v>
      </c>
      <c r="E87" s="198" t="s">
        <v>262</v>
      </c>
      <c r="F87" s="198" t="s">
        <v>260</v>
      </c>
      <c r="G87" s="199">
        <v>450</v>
      </c>
      <c r="H87" s="200">
        <v>18.5</v>
      </c>
      <c r="I87" s="201" t="s">
        <v>16</v>
      </c>
      <c r="J87" s="202">
        <v>96</v>
      </c>
    </row>
    <row r="88" spans="4:10" ht="20.100000000000001" customHeight="1">
      <c r="D88" s="197" t="s">
        <v>328</v>
      </c>
      <c r="E88" s="198" t="s">
        <v>258</v>
      </c>
      <c r="F88" s="198" t="s">
        <v>15</v>
      </c>
      <c r="G88" s="199">
        <v>380</v>
      </c>
      <c r="H88" s="200">
        <v>16.5</v>
      </c>
      <c r="I88" s="201" t="s">
        <v>16</v>
      </c>
      <c r="J88" s="202">
        <v>62</v>
      </c>
    </row>
    <row r="89" spans="4:10" ht="20.100000000000001" customHeight="1">
      <c r="D89" s="197" t="s">
        <v>329</v>
      </c>
      <c r="E89" s="198" t="s">
        <v>269</v>
      </c>
      <c r="F89" s="198" t="s">
        <v>18</v>
      </c>
      <c r="G89" s="199">
        <v>399</v>
      </c>
      <c r="H89" s="200">
        <v>12</v>
      </c>
      <c r="I89" s="201" t="s">
        <v>20</v>
      </c>
      <c r="J89" s="202">
        <v>94</v>
      </c>
    </row>
    <row r="90" spans="4:10" ht="20.100000000000001" customHeight="1">
      <c r="D90" s="197" t="s">
        <v>330</v>
      </c>
      <c r="E90" s="198" t="s">
        <v>271</v>
      </c>
      <c r="F90" s="198" t="s">
        <v>15</v>
      </c>
      <c r="G90" s="199">
        <v>399</v>
      </c>
      <c r="H90" s="200">
        <v>12.5</v>
      </c>
      <c r="I90" s="201" t="s">
        <v>20</v>
      </c>
      <c r="J90" s="202">
        <v>71</v>
      </c>
    </row>
    <row r="91" spans="4:10" ht="20.100000000000001" customHeight="1">
      <c r="D91" s="197" t="s">
        <v>331</v>
      </c>
      <c r="E91" s="198" t="s">
        <v>258</v>
      </c>
      <c r="F91" s="198" t="s">
        <v>267</v>
      </c>
      <c r="G91" s="199">
        <v>399</v>
      </c>
      <c r="H91" s="200">
        <v>11</v>
      </c>
      <c r="I91" s="201" t="s">
        <v>20</v>
      </c>
      <c r="J91" s="202">
        <v>55</v>
      </c>
    </row>
    <row r="92" spans="4:10" ht="20.100000000000001" customHeight="1">
      <c r="D92" s="197" t="s">
        <v>4</v>
      </c>
      <c r="E92" s="198" t="s">
        <v>269</v>
      </c>
      <c r="F92" s="198" t="s">
        <v>267</v>
      </c>
      <c r="G92" s="199">
        <v>420</v>
      </c>
      <c r="H92" s="200">
        <v>14</v>
      </c>
      <c r="I92" s="201" t="s">
        <v>16</v>
      </c>
      <c r="J92" s="202">
        <v>93</v>
      </c>
    </row>
    <row r="93" spans="4:10" ht="20.100000000000001" customHeight="1">
      <c r="D93" s="197" t="s">
        <v>332</v>
      </c>
      <c r="E93" s="198" t="s">
        <v>262</v>
      </c>
      <c r="F93" s="198" t="s">
        <v>18</v>
      </c>
      <c r="G93" s="199">
        <v>420</v>
      </c>
      <c r="H93" s="200">
        <v>11</v>
      </c>
      <c r="I93" s="201" t="s">
        <v>20</v>
      </c>
      <c r="J93" s="202">
        <v>9</v>
      </c>
    </row>
    <row r="94" spans="4:10" ht="20.100000000000001" customHeight="1">
      <c r="D94" s="197" t="s">
        <v>333</v>
      </c>
      <c r="E94" s="198" t="s">
        <v>262</v>
      </c>
      <c r="F94" s="198" t="s">
        <v>21</v>
      </c>
      <c r="G94" s="199">
        <v>420</v>
      </c>
      <c r="H94" s="200">
        <v>13.5</v>
      </c>
      <c r="I94" s="201" t="s">
        <v>20</v>
      </c>
      <c r="J94" s="202">
        <v>87</v>
      </c>
    </row>
    <row r="95" spans="4:10" ht="20.100000000000001" customHeight="1">
      <c r="D95" s="197" t="s">
        <v>334</v>
      </c>
      <c r="E95" s="198" t="s">
        <v>265</v>
      </c>
      <c r="F95" s="198" t="s">
        <v>267</v>
      </c>
      <c r="G95" s="199">
        <v>388</v>
      </c>
      <c r="H95" s="200">
        <v>14.5</v>
      </c>
      <c r="I95" s="201" t="s">
        <v>16</v>
      </c>
      <c r="J95" s="202">
        <v>57</v>
      </c>
    </row>
    <row r="96" spans="4:10" ht="20.100000000000001" customHeight="1">
      <c r="D96" s="197" t="s">
        <v>335</v>
      </c>
      <c r="E96" s="198" t="s">
        <v>271</v>
      </c>
      <c r="F96" s="198" t="s">
        <v>267</v>
      </c>
      <c r="G96" s="199">
        <v>399</v>
      </c>
      <c r="H96" s="200">
        <v>17</v>
      </c>
      <c r="I96" s="201" t="s">
        <v>16</v>
      </c>
      <c r="J96" s="202">
        <v>41</v>
      </c>
    </row>
    <row r="97" spans="4:10" ht="20.100000000000001" customHeight="1">
      <c r="D97" s="197" t="s">
        <v>336</v>
      </c>
      <c r="E97" s="198" t="s">
        <v>271</v>
      </c>
      <c r="F97" s="198" t="s">
        <v>18</v>
      </c>
      <c r="G97" s="199">
        <v>399</v>
      </c>
      <c r="H97" s="200">
        <v>16</v>
      </c>
      <c r="I97" s="201" t="s">
        <v>16</v>
      </c>
      <c r="J97" s="202">
        <v>60</v>
      </c>
    </row>
    <row r="98" spans="4:10" ht="20.100000000000001" customHeight="1">
      <c r="D98" s="197" t="s">
        <v>337</v>
      </c>
      <c r="E98" s="198" t="s">
        <v>262</v>
      </c>
      <c r="F98" s="198" t="s">
        <v>15</v>
      </c>
      <c r="G98" s="199">
        <v>480</v>
      </c>
      <c r="H98" s="200">
        <v>16</v>
      </c>
      <c r="I98" s="201" t="s">
        <v>16</v>
      </c>
      <c r="J98" s="202">
        <v>70</v>
      </c>
    </row>
    <row r="99" spans="4:10" ht="20.100000000000001" customHeight="1">
      <c r="D99" s="197" t="s">
        <v>338</v>
      </c>
      <c r="E99" s="198" t="s">
        <v>271</v>
      </c>
      <c r="F99" s="198" t="s">
        <v>15</v>
      </c>
      <c r="G99" s="199">
        <v>399</v>
      </c>
      <c r="H99" s="200">
        <v>14</v>
      </c>
      <c r="I99" s="201" t="s">
        <v>16</v>
      </c>
      <c r="J99" s="202">
        <v>78</v>
      </c>
    </row>
    <row r="100" spans="4:10" ht="20.100000000000001" customHeight="1">
      <c r="D100" s="197" t="s">
        <v>339</v>
      </c>
      <c r="E100" s="198" t="s">
        <v>265</v>
      </c>
      <c r="F100" s="198" t="s">
        <v>15</v>
      </c>
      <c r="G100" s="199">
        <v>420</v>
      </c>
      <c r="H100" s="200">
        <v>14</v>
      </c>
      <c r="I100" s="201" t="s">
        <v>16</v>
      </c>
      <c r="J100" s="202">
        <v>23</v>
      </c>
    </row>
    <row r="101" spans="4:10" ht="20.100000000000001" customHeight="1">
      <c r="D101" s="197" t="s">
        <v>340</v>
      </c>
      <c r="E101" s="198" t="s">
        <v>271</v>
      </c>
      <c r="F101" s="198" t="s">
        <v>21</v>
      </c>
      <c r="G101" s="199">
        <v>380</v>
      </c>
      <c r="H101" s="200">
        <v>13.5</v>
      </c>
      <c r="I101" s="201" t="s">
        <v>20</v>
      </c>
      <c r="J101" s="202">
        <v>82</v>
      </c>
    </row>
    <row r="102" spans="4:10" ht="20.100000000000001" customHeight="1">
      <c r="D102" s="197" t="s">
        <v>341</v>
      </c>
      <c r="E102" s="198" t="s">
        <v>269</v>
      </c>
      <c r="F102" s="198" t="s">
        <v>260</v>
      </c>
      <c r="G102" s="199">
        <v>380</v>
      </c>
      <c r="H102" s="200">
        <v>17</v>
      </c>
      <c r="I102" s="201" t="s">
        <v>16</v>
      </c>
      <c r="J102" s="202">
        <v>11</v>
      </c>
    </row>
    <row r="103" spans="4:10" ht="20.100000000000001" customHeight="1">
      <c r="D103" s="197" t="s">
        <v>342</v>
      </c>
      <c r="E103" s="198" t="s">
        <v>262</v>
      </c>
      <c r="F103" s="198" t="s">
        <v>260</v>
      </c>
      <c r="G103" s="199">
        <v>380</v>
      </c>
      <c r="H103" s="200">
        <v>13</v>
      </c>
      <c r="I103" s="201" t="s">
        <v>20</v>
      </c>
      <c r="J103" s="202">
        <v>76</v>
      </c>
    </row>
    <row r="104" spans="4:10" ht="20.100000000000001" customHeight="1">
      <c r="D104" s="197" t="s">
        <v>343</v>
      </c>
      <c r="E104" s="198" t="s">
        <v>271</v>
      </c>
      <c r="F104" s="198" t="s">
        <v>18</v>
      </c>
      <c r="G104" s="199">
        <v>420</v>
      </c>
      <c r="H104" s="200">
        <v>18</v>
      </c>
      <c r="I104" s="201" t="s">
        <v>16</v>
      </c>
      <c r="J104" s="202">
        <v>52</v>
      </c>
    </row>
    <row r="105" spans="4:10" ht="20.100000000000001" customHeight="1">
      <c r="D105" s="197" t="s">
        <v>344</v>
      </c>
      <c r="E105" s="198" t="s">
        <v>262</v>
      </c>
      <c r="F105" s="198" t="s">
        <v>267</v>
      </c>
      <c r="G105" s="199">
        <v>420</v>
      </c>
      <c r="H105" s="200">
        <v>14.5</v>
      </c>
      <c r="I105" s="201" t="s">
        <v>16</v>
      </c>
      <c r="J105" s="202">
        <v>30</v>
      </c>
    </row>
    <row r="106" spans="4:10" ht="20.100000000000001" customHeight="1">
      <c r="D106" s="197" t="s">
        <v>345</v>
      </c>
      <c r="E106" s="198" t="s">
        <v>262</v>
      </c>
      <c r="F106" s="198" t="s">
        <v>260</v>
      </c>
      <c r="G106" s="199">
        <v>399</v>
      </c>
      <c r="H106" s="200">
        <v>15.5</v>
      </c>
      <c r="I106" s="201" t="s">
        <v>16</v>
      </c>
      <c r="J106" s="202">
        <v>66</v>
      </c>
    </row>
    <row r="107" spans="4:10" ht="20.100000000000001" customHeight="1">
      <c r="D107" s="197" t="s">
        <v>23</v>
      </c>
      <c r="E107" s="198" t="s">
        <v>258</v>
      </c>
      <c r="F107" s="198" t="s">
        <v>260</v>
      </c>
      <c r="G107" s="199">
        <v>399</v>
      </c>
      <c r="H107" s="200">
        <v>20</v>
      </c>
      <c r="I107" s="201" t="s">
        <v>16</v>
      </c>
      <c r="J107" s="202">
        <v>7</v>
      </c>
    </row>
    <row r="108" spans="4:10" ht="20.100000000000001" customHeight="1">
      <c r="D108" s="197" t="s">
        <v>346</v>
      </c>
      <c r="E108" s="198" t="s">
        <v>265</v>
      </c>
      <c r="F108" s="198" t="s">
        <v>267</v>
      </c>
      <c r="G108" s="199">
        <v>480</v>
      </c>
      <c r="H108" s="200">
        <v>16.5</v>
      </c>
      <c r="I108" s="201" t="s">
        <v>16</v>
      </c>
      <c r="J108" s="202">
        <v>69</v>
      </c>
    </row>
    <row r="109" spans="4:10" ht="20.100000000000001" customHeight="1">
      <c r="D109" s="197" t="s">
        <v>347</v>
      </c>
      <c r="E109" s="198" t="s">
        <v>262</v>
      </c>
      <c r="F109" s="198" t="s">
        <v>18</v>
      </c>
      <c r="G109" s="199">
        <v>480</v>
      </c>
      <c r="H109" s="200">
        <v>12</v>
      </c>
      <c r="I109" s="201" t="s">
        <v>20</v>
      </c>
      <c r="J109" s="202">
        <v>92</v>
      </c>
    </row>
    <row r="110" spans="4:10" ht="20.100000000000001" customHeight="1">
      <c r="D110" s="197" t="s">
        <v>348</v>
      </c>
      <c r="E110" s="198" t="s">
        <v>271</v>
      </c>
      <c r="F110" s="198" t="s">
        <v>260</v>
      </c>
      <c r="G110" s="199">
        <v>350</v>
      </c>
      <c r="H110" s="200">
        <v>12</v>
      </c>
      <c r="I110" s="201" t="s">
        <v>20</v>
      </c>
      <c r="J110" s="202">
        <v>8</v>
      </c>
    </row>
    <row r="111" spans="4:10" ht="20.100000000000001" customHeight="1">
      <c r="D111" s="197" t="s">
        <v>349</v>
      </c>
      <c r="E111" s="198" t="s">
        <v>269</v>
      </c>
      <c r="F111" s="198" t="s">
        <v>15</v>
      </c>
      <c r="G111" s="199">
        <v>420</v>
      </c>
      <c r="H111" s="200">
        <v>13</v>
      </c>
      <c r="I111" s="201" t="s">
        <v>20</v>
      </c>
      <c r="J111" s="202">
        <v>36</v>
      </c>
    </row>
    <row r="112" spans="4:10" ht="20.100000000000001" customHeight="1">
      <c r="D112" s="197" t="s">
        <v>350</v>
      </c>
      <c r="E112" s="198" t="s">
        <v>262</v>
      </c>
      <c r="F112" s="198" t="s">
        <v>260</v>
      </c>
      <c r="G112" s="199">
        <v>399</v>
      </c>
      <c r="H112" s="200">
        <v>19.5</v>
      </c>
      <c r="I112" s="201" t="s">
        <v>16</v>
      </c>
      <c r="J112" s="202">
        <v>81</v>
      </c>
    </row>
    <row r="113" spans="3:10" ht="20.100000000000001" customHeight="1">
      <c r="D113" s="197" t="s">
        <v>351</v>
      </c>
      <c r="E113" s="198" t="s">
        <v>258</v>
      </c>
      <c r="F113" s="198" t="s">
        <v>18</v>
      </c>
      <c r="G113" s="199">
        <v>399</v>
      </c>
      <c r="H113" s="200">
        <v>11.5</v>
      </c>
      <c r="I113" s="201" t="s">
        <v>20</v>
      </c>
      <c r="J113" s="202">
        <v>95</v>
      </c>
    </row>
    <row r="114" spans="3:10" ht="20.100000000000001" customHeight="1">
      <c r="D114" s="197" t="s">
        <v>352</v>
      </c>
      <c r="E114" s="198" t="s">
        <v>271</v>
      </c>
      <c r="F114" s="198" t="s">
        <v>18</v>
      </c>
      <c r="G114" s="199">
        <v>380</v>
      </c>
      <c r="H114" s="200">
        <v>14</v>
      </c>
      <c r="I114" s="201" t="s">
        <v>16</v>
      </c>
      <c r="J114" s="202">
        <v>31</v>
      </c>
    </row>
    <row r="115" spans="3:10" ht="20.100000000000001" customHeight="1">
      <c r="D115" s="197" t="s">
        <v>353</v>
      </c>
      <c r="E115" s="198" t="s">
        <v>262</v>
      </c>
      <c r="F115" s="198" t="s">
        <v>21</v>
      </c>
      <c r="G115" s="199">
        <v>380</v>
      </c>
      <c r="H115" s="200">
        <v>10.5</v>
      </c>
      <c r="I115" s="201" t="s">
        <v>20</v>
      </c>
      <c r="J115" s="202">
        <v>50</v>
      </c>
    </row>
    <row r="116" spans="3:10" ht="20.100000000000001" customHeight="1">
      <c r="D116" s="197" t="s">
        <v>354</v>
      </c>
      <c r="E116" s="198" t="s">
        <v>258</v>
      </c>
      <c r="F116" s="198" t="s">
        <v>18</v>
      </c>
      <c r="G116" s="199">
        <v>450</v>
      </c>
      <c r="H116" s="200">
        <v>14.5</v>
      </c>
      <c r="I116" s="201" t="s">
        <v>16</v>
      </c>
      <c r="J116" s="202">
        <v>86</v>
      </c>
    </row>
    <row r="117" spans="3:10" ht="20.100000000000001" customHeight="1">
      <c r="D117" s="197" t="s">
        <v>355</v>
      </c>
      <c r="E117" s="198" t="s">
        <v>271</v>
      </c>
      <c r="F117" s="198" t="s">
        <v>267</v>
      </c>
      <c r="G117" s="199">
        <v>380</v>
      </c>
      <c r="H117" s="200">
        <v>9</v>
      </c>
      <c r="I117" s="201" t="s">
        <v>20</v>
      </c>
      <c r="J117" s="202">
        <v>15</v>
      </c>
    </row>
    <row r="118" spans="3:10" ht="20.100000000000001" customHeight="1" thickBot="1">
      <c r="D118" s="203" t="s">
        <v>356</v>
      </c>
      <c r="E118" s="204" t="s">
        <v>271</v>
      </c>
      <c r="F118" s="204" t="s">
        <v>15</v>
      </c>
      <c r="G118" s="205">
        <v>399</v>
      </c>
      <c r="H118" s="206">
        <v>15</v>
      </c>
      <c r="I118" s="207" t="s">
        <v>16</v>
      </c>
      <c r="J118" s="208">
        <v>101</v>
      </c>
    </row>
    <row r="119" spans="3:10" ht="30" customHeight="1"/>
    <row r="120" spans="3:10" ht="30" customHeight="1">
      <c r="C120" s="105" t="s">
        <v>395</v>
      </c>
      <c r="D120" s="258" t="s">
        <v>402</v>
      </c>
      <c r="E120" s="259"/>
      <c r="F120" s="259"/>
      <c r="G120" s="259"/>
      <c r="H120" s="260"/>
    </row>
    <row r="121" spans="3:10" ht="9" customHeight="1"/>
    <row r="122" spans="3:10" ht="30" customHeight="1">
      <c r="D122" s="72"/>
      <c r="E122" s="280" t="s">
        <v>235</v>
      </c>
      <c r="F122" s="281"/>
      <c r="G122" s="281"/>
      <c r="H122" s="281"/>
      <c r="I122" s="282"/>
    </row>
    <row r="123" spans="3:10" ht="30" customHeight="1">
      <c r="D123" s="209" t="s">
        <v>255</v>
      </c>
      <c r="E123" s="67" t="s">
        <v>260</v>
      </c>
      <c r="F123" s="68" t="s">
        <v>15</v>
      </c>
      <c r="G123" s="69" t="s">
        <v>267</v>
      </c>
      <c r="H123" s="70" t="s">
        <v>21</v>
      </c>
      <c r="I123" s="71" t="s">
        <v>18</v>
      </c>
    </row>
    <row r="124" spans="3:10" ht="30" customHeight="1">
      <c r="D124" s="73" t="s">
        <v>269</v>
      </c>
      <c r="E124" s="232">
        <f>COUNTIFS(REGION,$D124,CURSO,E$123)</f>
        <v>3</v>
      </c>
      <c r="F124" s="232">
        <f>COUNTIFS(REGION,$D124,CURSO,F$123)</f>
        <v>3</v>
      </c>
      <c r="G124" s="232">
        <f>COUNTIFS(REGION,$D124,CURSO,G$123)</f>
        <v>3</v>
      </c>
      <c r="H124" s="232">
        <f>COUNTIFS(REGION,$D124,CURSO,H$123)</f>
        <v>1</v>
      </c>
      <c r="I124" s="232">
        <f>COUNTIFS(REGION,$D124,CURSO,I$123)</f>
        <v>3</v>
      </c>
    </row>
    <row r="125" spans="3:10" ht="30" customHeight="1">
      <c r="D125" s="73" t="s">
        <v>258</v>
      </c>
      <c r="E125" s="232">
        <f>COUNTIFS(REGION,D125,CURSO,E$123)</f>
        <v>3</v>
      </c>
      <c r="F125" s="232">
        <f>COUNTIFS(REGION,$D125,CURSO,F$123)</f>
        <v>4</v>
      </c>
      <c r="G125" s="232">
        <f>COUNTIFS(REGION,$D125,CURSO,G$123)</f>
        <v>3</v>
      </c>
      <c r="H125" s="232">
        <f>COUNTIFS(REGION,$D125,CURSO,H$123)</f>
        <v>4</v>
      </c>
      <c r="I125" s="232">
        <f>COUNTIFS(REGION,$D125,CURSO,I$123)</f>
        <v>4</v>
      </c>
    </row>
    <row r="126" spans="3:10" ht="30" customHeight="1">
      <c r="D126" s="73" t="s">
        <v>271</v>
      </c>
      <c r="E126" s="232">
        <f>COUNTIFS(REGION,D126,CURSO,E$123)</f>
        <v>3</v>
      </c>
      <c r="F126" s="232">
        <f>COUNTIFS(REGION,$D126,CURSO,F$123)</f>
        <v>5</v>
      </c>
      <c r="G126" s="232">
        <f>COUNTIFS(REGION,$D126,CURSO,G$123)</f>
        <v>5</v>
      </c>
      <c r="H126" s="232">
        <f>COUNTIFS(REGION,$D126,CURSO,H$123)</f>
        <v>5</v>
      </c>
      <c r="I126" s="232">
        <f>COUNTIFS(REGION,$D126,CURSO,I$123)</f>
        <v>4</v>
      </c>
    </row>
    <row r="127" spans="3:10" ht="30" customHeight="1">
      <c r="D127" s="73" t="s">
        <v>265</v>
      </c>
      <c r="E127" s="232">
        <f>COUNTIFS(REGION,D127,CURSO,E$123)</f>
        <v>5</v>
      </c>
      <c r="F127" s="232">
        <f>COUNTIFS(REGION,$D127,CURSO,F$123)</f>
        <v>4</v>
      </c>
      <c r="G127" s="232">
        <f>COUNTIFS(REGION,$D127,CURSO,G$123)</f>
        <v>4</v>
      </c>
      <c r="H127" s="232">
        <f>COUNTIFS(REGION,$D127,CURSO,H$123)</f>
        <v>5</v>
      </c>
      <c r="I127" s="232">
        <f>COUNTIFS(REGION,$D127,CURSO,I$123)</f>
        <v>5</v>
      </c>
    </row>
    <row r="128" spans="3:10" ht="30" customHeight="1">
      <c r="D128" s="73" t="s">
        <v>262</v>
      </c>
      <c r="E128" s="232">
        <f>COUNTIFS(REGION,D128,CURSO,E$123)</f>
        <v>6</v>
      </c>
      <c r="F128" s="232">
        <f>COUNTIFS(REGION,$D128,CURSO,F$123)</f>
        <v>5</v>
      </c>
      <c r="G128" s="232">
        <f>COUNTIFS(REGION,$D128,CURSO,G$123)</f>
        <v>5</v>
      </c>
      <c r="H128" s="232">
        <f>COUNTIFS(REGION,$D128,CURSO,H$123)</f>
        <v>5</v>
      </c>
      <c r="I128" s="232">
        <f>COUNTIFS(REGION,$D128,CURSO,I$123)</f>
        <v>4</v>
      </c>
    </row>
    <row r="129" spans="3:10" ht="30" customHeight="1"/>
    <row r="130" spans="3:10" ht="30" customHeight="1">
      <c r="C130" s="105" t="s">
        <v>396</v>
      </c>
      <c r="D130" s="258" t="s">
        <v>404</v>
      </c>
      <c r="E130" s="259"/>
      <c r="F130" s="259"/>
      <c r="G130" s="259"/>
      <c r="H130" s="260"/>
    </row>
    <row r="131" spans="3:10" ht="12" customHeight="1"/>
    <row r="132" spans="3:10" ht="30" customHeight="1">
      <c r="D132" s="72"/>
      <c r="E132" s="280" t="s">
        <v>235</v>
      </c>
      <c r="F132" s="281"/>
      <c r="G132" s="281"/>
      <c r="H132" s="281"/>
      <c r="I132" s="282"/>
    </row>
    <row r="133" spans="3:10" ht="30" customHeight="1">
      <c r="D133" s="209" t="s">
        <v>12</v>
      </c>
      <c r="E133" s="67" t="s">
        <v>260</v>
      </c>
      <c r="F133" s="68" t="s">
        <v>15</v>
      </c>
      <c r="G133" s="69" t="s">
        <v>267</v>
      </c>
      <c r="H133" s="70" t="s">
        <v>21</v>
      </c>
      <c r="I133" s="71" t="s">
        <v>18</v>
      </c>
    </row>
    <row r="134" spans="3:10" ht="2.1" customHeight="1"/>
    <row r="135" spans="3:10" ht="2.1" customHeight="1">
      <c r="D135" s="211"/>
      <c r="E135" s="211"/>
      <c r="F135" s="211"/>
      <c r="G135" s="211"/>
      <c r="H135" s="211"/>
      <c r="I135" s="211"/>
    </row>
    <row r="136" spans="3:10" ht="2.1" customHeight="1"/>
    <row r="137" spans="3:10" ht="39.75" customHeight="1">
      <c r="D137" s="210" t="s">
        <v>405</v>
      </c>
      <c r="E137" s="232">
        <f>COUNTIFS(OBSERVACION,"Aprobado",CURSO,E133)</f>
        <v>12</v>
      </c>
      <c r="F137" s="232">
        <f>COUNTIFS(OBSERVACION,"Aprobado",CURSO,F133)</f>
        <v>16</v>
      </c>
      <c r="G137" s="232">
        <f>COUNTIFS(OBSERVACION,"Aprobado",CURSO,G133)</f>
        <v>15</v>
      </c>
      <c r="H137" s="232">
        <f>COUNTIFS(OBSERVACION,"Aprobado",CURSO,H133)</f>
        <v>8</v>
      </c>
      <c r="I137" s="232">
        <f>COUNTIFS(OBSERVACION,"Aprobado",CURSO,I133)</f>
        <v>10</v>
      </c>
    </row>
    <row r="138" spans="3:10" ht="2.1" customHeight="1"/>
    <row r="139" spans="3:10" ht="2.1" customHeight="1">
      <c r="D139" s="211"/>
      <c r="E139" s="211"/>
      <c r="F139" s="211"/>
      <c r="G139" s="211"/>
      <c r="H139" s="211"/>
      <c r="I139" s="211"/>
    </row>
    <row r="140" spans="3:10" ht="2.1" customHeight="1"/>
    <row r="141" spans="3:10" ht="30" customHeight="1"/>
    <row r="142" spans="3:10" ht="2.1" customHeight="1"/>
    <row r="143" spans="3:10" ht="2.1" customHeight="1">
      <c r="D143" s="99"/>
      <c r="E143" s="99"/>
      <c r="F143" s="99"/>
      <c r="G143" s="99"/>
      <c r="H143" s="99"/>
      <c r="I143" s="99"/>
      <c r="J143" s="99"/>
    </row>
    <row r="144" spans="3:10" ht="2.1" customHeight="1"/>
    <row r="145" spans="3:8" ht="30" customHeight="1">
      <c r="C145" s="105" t="s">
        <v>397</v>
      </c>
      <c r="D145" s="258" t="s">
        <v>408</v>
      </c>
      <c r="E145" s="259"/>
      <c r="F145" s="259"/>
      <c r="G145" s="259"/>
      <c r="H145" s="260"/>
    </row>
    <row r="146" spans="3:8" ht="9" customHeight="1"/>
    <row r="147" spans="3:8" ht="30" customHeight="1">
      <c r="D147" s="209" t="s">
        <v>255</v>
      </c>
      <c r="E147" s="210" t="s">
        <v>409</v>
      </c>
    </row>
    <row r="148" spans="3:8" ht="30" customHeight="1">
      <c r="D148" s="73" t="s">
        <v>269</v>
      </c>
      <c r="E148" s="101">
        <f>COUNTIFS(REGION,D148,OBSERVACION,"Aprobado")</f>
        <v>6</v>
      </c>
    </row>
    <row r="149" spans="3:8" ht="30" customHeight="1">
      <c r="D149" s="73" t="s">
        <v>258</v>
      </c>
      <c r="E149" s="101">
        <f>COUNTIFS(REGION,D149,OBSERVACION,"Aprobado")</f>
        <v>10</v>
      </c>
    </row>
    <row r="150" spans="3:8" ht="30" customHeight="1">
      <c r="D150" s="73" t="s">
        <v>271</v>
      </c>
      <c r="E150" s="101">
        <f>COUNTIFS(REGION,D150,OBSERVACION,"Aprobado")</f>
        <v>16</v>
      </c>
    </row>
    <row r="151" spans="3:8" ht="30" customHeight="1">
      <c r="D151" s="73" t="s">
        <v>265</v>
      </c>
      <c r="E151" s="101">
        <f>COUNTIFS(REGION,D151,OBSERVACION,"Aprobado")</f>
        <v>14</v>
      </c>
    </row>
    <row r="152" spans="3:8" ht="30" customHeight="1">
      <c r="D152" s="73" t="s">
        <v>262</v>
      </c>
      <c r="E152" s="101">
        <f>COUNTIFS(REGION,D152,OBSERVACION,"Aprobado")</f>
        <v>15</v>
      </c>
    </row>
    <row r="153" spans="3:8" ht="30" customHeight="1"/>
    <row r="154" spans="3:8" ht="30" customHeight="1">
      <c r="C154" s="105" t="s">
        <v>406</v>
      </c>
      <c r="D154" s="258" t="s">
        <v>407</v>
      </c>
      <c r="E154" s="259"/>
      <c r="F154" s="259"/>
      <c r="G154" s="259"/>
      <c r="H154" s="260"/>
    </row>
    <row r="155" spans="3:8" ht="8.25" customHeight="1"/>
    <row r="156" spans="3:8" ht="30" customHeight="1">
      <c r="D156" s="209" t="s">
        <v>255</v>
      </c>
      <c r="E156" s="210" t="s">
        <v>413</v>
      </c>
    </row>
    <row r="157" spans="3:8" ht="30" customHeight="1">
      <c r="D157" s="73" t="s">
        <v>269</v>
      </c>
      <c r="E157" s="232">
        <f>COUNTIFS(REGION,D157,OBSERVACION,"Desaprobado")</f>
        <v>7</v>
      </c>
    </row>
    <row r="158" spans="3:8" ht="30" customHeight="1">
      <c r="D158" s="73" t="s">
        <v>258</v>
      </c>
      <c r="E158" s="232">
        <f>COUNTIFS(REGION,D158,OBSERVACION,"Desaprobado")</f>
        <v>8</v>
      </c>
    </row>
    <row r="159" spans="3:8" ht="30" customHeight="1">
      <c r="D159" s="73" t="s">
        <v>271</v>
      </c>
      <c r="E159" s="232">
        <f>COUNTIFS(REGION,D159,OBSERVACION,"Desaprobado")</f>
        <v>6</v>
      </c>
    </row>
    <row r="160" spans="3:8" ht="30" customHeight="1">
      <c r="D160" s="73" t="s">
        <v>265</v>
      </c>
      <c r="E160" s="232">
        <f>COUNTIFS(REGION,D160,OBSERVACION,"Desaprobado")</f>
        <v>9</v>
      </c>
    </row>
    <row r="161" spans="3:8" ht="30" customHeight="1">
      <c r="D161" s="73" t="s">
        <v>262</v>
      </c>
      <c r="E161" s="232">
        <f>COUNTIFS(REGION,D161,OBSERVACION,"Desaprobado")</f>
        <v>10</v>
      </c>
    </row>
    <row r="162" spans="3:8" ht="30" customHeight="1"/>
    <row r="163" spans="3:8" ht="30" customHeight="1">
      <c r="C163" s="105" t="s">
        <v>410</v>
      </c>
      <c r="D163" s="258" t="s">
        <v>411</v>
      </c>
      <c r="E163" s="259"/>
      <c r="F163" s="259"/>
      <c r="G163" s="259"/>
      <c r="H163" s="260"/>
    </row>
    <row r="164" spans="3:8" ht="6.75" customHeight="1">
      <c r="D164" s="74"/>
    </row>
    <row r="165" spans="3:8" ht="30" customHeight="1">
      <c r="D165" s="209" t="s">
        <v>255</v>
      </c>
      <c r="E165" s="210" t="s">
        <v>412</v>
      </c>
    </row>
    <row r="166" spans="3:8" ht="30" customHeight="1">
      <c r="D166" s="73" t="s">
        <v>269</v>
      </c>
      <c r="E166" s="101">
        <f>COUNTIFS(REGION,D166,MENSUALIDAD,"&gt;350")</f>
        <v>13</v>
      </c>
    </row>
    <row r="167" spans="3:8" ht="30" customHeight="1">
      <c r="D167" s="73" t="s">
        <v>258</v>
      </c>
      <c r="E167" s="101">
        <f>COUNTIFS(REGION,D167,MENSUALIDAD,"&gt;350")</f>
        <v>17</v>
      </c>
    </row>
    <row r="168" spans="3:8" ht="30" customHeight="1">
      <c r="D168" s="73" t="s">
        <v>271</v>
      </c>
      <c r="E168" s="101">
        <f>COUNTIFS(REGION,D168,MENSUALIDAD,"&gt;350")</f>
        <v>20</v>
      </c>
    </row>
    <row r="169" spans="3:8" ht="30" customHeight="1">
      <c r="D169" s="73" t="s">
        <v>265</v>
      </c>
      <c r="E169" s="101">
        <f>COUNTIFS(REGION,D169,MENSUALIDAD,"&gt;350")</f>
        <v>22</v>
      </c>
    </row>
    <row r="170" spans="3:8" ht="30" customHeight="1">
      <c r="D170" s="73" t="s">
        <v>262</v>
      </c>
      <c r="E170" s="101">
        <f>COUNTIFS(REGION,D170,MENSUALIDAD,"&gt;350")</f>
        <v>24</v>
      </c>
    </row>
    <row r="171" spans="3:8" ht="30" customHeight="1"/>
    <row r="172" spans="3:8" ht="30" customHeight="1"/>
    <row r="173" spans="3:8" ht="30" customHeight="1"/>
    <row r="174" spans="3:8" ht="30" customHeight="1"/>
    <row r="175" spans="3:8" ht="30" customHeight="1"/>
    <row r="176" spans="3:8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</sheetData>
  <sheetProtection selectLockedCells="1"/>
  <mergeCells count="10">
    <mergeCell ref="D1:F1"/>
    <mergeCell ref="D163:H163"/>
    <mergeCell ref="D130:H130"/>
    <mergeCell ref="E132:I132"/>
    <mergeCell ref="D145:H145"/>
    <mergeCell ref="D154:H154"/>
    <mergeCell ref="E122:I122"/>
    <mergeCell ref="C5:J5"/>
    <mergeCell ref="D11:F11"/>
    <mergeCell ref="D120:H120"/>
  </mergeCells>
  <conditionalFormatting sqref="D78:F97">
    <cfRule type="expression" dxfId="1" priority="1">
      <formula>$S78="Debe"</formula>
    </cfRule>
  </conditionalFormatting>
  <conditionalFormatting sqref="H78:S97">
    <cfRule type="expression" dxfId="0" priority="2">
      <formula>$S78="Debe"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9">
    <tabColor theme="1"/>
  </sheetPr>
  <dimension ref="B1:N318"/>
  <sheetViews>
    <sheetView topLeftCell="A107" zoomScale="115" zoomScaleNormal="115" workbookViewId="0">
      <selection activeCell="L95" sqref="L95"/>
    </sheetView>
  </sheetViews>
  <sheetFormatPr baseColWidth="10" defaultColWidth="11.42578125" defaultRowHeight="12.75"/>
  <cols>
    <col min="1" max="1" width="4.140625" style="36" customWidth="1"/>
    <col min="2" max="2" width="11.42578125" style="36"/>
    <col min="3" max="3" width="17.42578125" style="36" customWidth="1"/>
    <col min="4" max="4" width="14.42578125" style="36" customWidth="1"/>
    <col min="5" max="6" width="13.5703125" style="36" customWidth="1"/>
    <col min="7" max="7" width="0.42578125" style="36" customWidth="1"/>
    <col min="8" max="8" width="16.5703125" style="36" customWidth="1"/>
    <col min="9" max="9" width="0.5703125" style="36" customWidth="1"/>
    <col min="10" max="10" width="21.85546875" style="36" customWidth="1"/>
    <col min="11" max="19" width="13.5703125" style="36" customWidth="1"/>
    <col min="20" max="20" width="19.140625" style="36" customWidth="1"/>
    <col min="21" max="21" width="17" style="36" customWidth="1"/>
    <col min="22" max="22" width="0.85546875" style="36" customWidth="1"/>
    <col min="23" max="23" width="16.42578125" style="36" customWidth="1"/>
    <col min="24" max="16384" width="11.42578125" style="36"/>
  </cols>
  <sheetData>
    <row r="1" spans="2:14" s="109" customFormat="1" ht="30.6" customHeight="1">
      <c r="C1" s="110"/>
      <c r="D1" s="111"/>
      <c r="E1" s="279" t="s">
        <v>519</v>
      </c>
      <c r="F1" s="279"/>
      <c r="G1" s="279"/>
      <c r="H1" s="279"/>
      <c r="I1" s="279"/>
      <c r="J1" s="279"/>
      <c r="K1" s="279"/>
      <c r="L1" s="159"/>
      <c r="M1" s="159"/>
      <c r="N1" s="159"/>
    </row>
    <row r="2" spans="2:14" ht="12" customHeight="1"/>
    <row r="3" spans="2:14" ht="30" customHeight="1">
      <c r="B3" s="186" t="s">
        <v>414</v>
      </c>
      <c r="C3" s="191"/>
      <c r="D3" s="192"/>
      <c r="E3" s="16"/>
      <c r="F3" s="16"/>
      <c r="G3" s="16"/>
    </row>
    <row r="4" spans="2:14" ht="6.75" customHeight="1">
      <c r="B4" s="17"/>
      <c r="C4" s="16"/>
      <c r="D4" s="16"/>
      <c r="E4" s="16"/>
      <c r="F4" s="16"/>
      <c r="G4" s="16"/>
    </row>
    <row r="5" spans="2:14" ht="27.75" customHeight="1">
      <c r="B5" s="18"/>
      <c r="C5" s="283" t="s">
        <v>415</v>
      </c>
      <c r="D5" s="284"/>
      <c r="E5" s="284"/>
      <c r="F5" s="284"/>
      <c r="G5" s="284"/>
      <c r="H5" s="284"/>
      <c r="I5" s="284"/>
      <c r="J5" s="284"/>
      <c r="K5" s="284"/>
      <c r="L5" s="285"/>
    </row>
    <row r="6" spans="2:14" ht="20.100000000000001" customHeight="1">
      <c r="B6" s="18"/>
      <c r="C6" s="19" t="s">
        <v>0</v>
      </c>
      <c r="D6" s="20"/>
      <c r="E6" s="20"/>
      <c r="F6" s="20"/>
      <c r="G6" s="20"/>
      <c r="H6" s="75"/>
      <c r="I6" s="75"/>
      <c r="J6" s="75"/>
      <c r="K6" s="75"/>
      <c r="L6" s="214"/>
    </row>
    <row r="7" spans="2:14" ht="20.100000000000001" customHeight="1">
      <c r="B7" s="18"/>
      <c r="C7" s="21" t="s">
        <v>416</v>
      </c>
      <c r="D7" s="22"/>
      <c r="E7" s="22"/>
      <c r="F7" s="22"/>
      <c r="G7" s="22"/>
      <c r="H7" s="215"/>
      <c r="I7" s="215"/>
      <c r="J7" s="215"/>
      <c r="K7" s="215"/>
      <c r="L7" s="216"/>
    </row>
    <row r="8" spans="2:14" ht="30" customHeight="1">
      <c r="C8" s="296" t="s">
        <v>537</v>
      </c>
    </row>
    <row r="9" spans="2:14" ht="30" customHeight="1">
      <c r="C9" s="105" t="s">
        <v>26</v>
      </c>
      <c r="D9" s="10" t="s">
        <v>359</v>
      </c>
      <c r="E9" s="11"/>
      <c r="F9" s="11"/>
      <c r="G9" s="11"/>
      <c r="H9" s="12"/>
      <c r="I9" s="25"/>
    </row>
    <row r="10" spans="2:14" ht="10.5" customHeight="1"/>
    <row r="11" spans="2:14" ht="30" customHeight="1">
      <c r="D11" s="290" t="s">
        <v>417</v>
      </c>
      <c r="E11" s="290"/>
      <c r="F11" s="290"/>
      <c r="G11" s="290"/>
      <c r="H11" s="290"/>
      <c r="I11" s="290"/>
      <c r="J11" s="290"/>
      <c r="K11" s="290"/>
      <c r="L11" s="290"/>
    </row>
    <row r="12" spans="2:14" ht="3" customHeight="1">
      <c r="D12" s="7"/>
      <c r="E12" s="7"/>
      <c r="F12" s="7"/>
      <c r="G12" s="7"/>
      <c r="H12" s="7"/>
      <c r="I12" s="7"/>
      <c r="J12" s="7"/>
      <c r="K12" s="7"/>
      <c r="L12" s="7"/>
    </row>
    <row r="13" spans="2:14" ht="30" customHeight="1">
      <c r="D13" s="157" t="s">
        <v>530</v>
      </c>
      <c r="E13" s="157" t="s">
        <v>41</v>
      </c>
      <c r="F13" s="212" t="s">
        <v>42</v>
      </c>
      <c r="G13" s="213"/>
      <c r="H13" s="212" t="s">
        <v>43</v>
      </c>
      <c r="I13" s="213"/>
      <c r="J13" s="157" t="s">
        <v>44</v>
      </c>
      <c r="K13" s="157" t="s">
        <v>45</v>
      </c>
      <c r="L13" s="157" t="s">
        <v>46</v>
      </c>
    </row>
    <row r="14" spans="2:14" ht="30" customHeight="1">
      <c r="D14" s="27" t="s">
        <v>418</v>
      </c>
      <c r="E14" s="45">
        <v>3256</v>
      </c>
      <c r="F14" s="46">
        <v>3500</v>
      </c>
      <c r="G14" s="47"/>
      <c r="H14" s="46">
        <v>2600</v>
      </c>
      <c r="I14" s="47"/>
      <c r="J14" s="45">
        <v>3500</v>
      </c>
      <c r="K14" s="45">
        <v>3569</v>
      </c>
      <c r="L14" s="45">
        <v>7821</v>
      </c>
    </row>
    <row r="15" spans="2:14" ht="30" customHeight="1">
      <c r="D15" s="27" t="s">
        <v>419</v>
      </c>
      <c r="E15" s="45">
        <v>1600</v>
      </c>
      <c r="F15" s="46"/>
      <c r="G15" s="47"/>
      <c r="H15" s="46">
        <v>2300</v>
      </c>
      <c r="I15" s="47"/>
      <c r="J15" s="45">
        <v>3400</v>
      </c>
      <c r="K15" s="45">
        <v>4563</v>
      </c>
      <c r="L15" s="45">
        <v>2630</v>
      </c>
    </row>
    <row r="16" spans="2:14" ht="30" customHeight="1">
      <c r="D16" s="27" t="s">
        <v>420</v>
      </c>
      <c r="E16" s="45">
        <v>1450</v>
      </c>
      <c r="F16" s="46">
        <v>5900</v>
      </c>
      <c r="G16" s="47"/>
      <c r="H16" s="46">
        <v>2750</v>
      </c>
      <c r="I16" s="47"/>
      <c r="J16" s="45">
        <v>5800</v>
      </c>
      <c r="K16" s="45"/>
      <c r="L16" s="45">
        <v>2587</v>
      </c>
    </row>
    <row r="17" spans="4:12" ht="30" customHeight="1">
      <c r="D17" s="27" t="s">
        <v>421</v>
      </c>
      <c r="E17" s="45">
        <v>2500</v>
      </c>
      <c r="F17" s="46">
        <v>4100</v>
      </c>
      <c r="G17" s="47"/>
      <c r="H17" s="46">
        <v>2100</v>
      </c>
      <c r="I17" s="47"/>
      <c r="J17" s="45">
        <v>4522</v>
      </c>
      <c r="K17" s="45">
        <v>1426</v>
      </c>
      <c r="L17" s="45">
        <v>4512</v>
      </c>
    </row>
    <row r="18" spans="4:12" ht="30" customHeight="1">
      <c r="D18" s="27" t="s">
        <v>422</v>
      </c>
      <c r="E18" s="45"/>
      <c r="F18" s="46">
        <v>2500</v>
      </c>
      <c r="G18" s="47"/>
      <c r="H18" s="46">
        <v>3200</v>
      </c>
      <c r="I18" s="47"/>
      <c r="J18" s="45">
        <v>1622</v>
      </c>
      <c r="K18" s="45">
        <v>5456</v>
      </c>
      <c r="L18" s="45">
        <v>2653</v>
      </c>
    </row>
    <row r="19" spans="4:12" ht="30" customHeight="1">
      <c r="D19" s="27" t="s">
        <v>423</v>
      </c>
      <c r="E19" s="45">
        <v>1600</v>
      </c>
      <c r="F19" s="46">
        <v>4800</v>
      </c>
      <c r="G19" s="47"/>
      <c r="H19" s="46">
        <v>2300</v>
      </c>
      <c r="I19" s="47"/>
      <c r="J19" s="45">
        <v>3400</v>
      </c>
      <c r="K19" s="45">
        <v>4563</v>
      </c>
      <c r="L19" s="45"/>
    </row>
    <row r="20" spans="4:12" ht="30" customHeight="1">
      <c r="D20" s="27" t="s">
        <v>424</v>
      </c>
      <c r="E20" s="45">
        <v>1450</v>
      </c>
      <c r="F20" s="46"/>
      <c r="G20" s="47"/>
      <c r="H20" s="46">
        <v>2750</v>
      </c>
      <c r="I20" s="47"/>
      <c r="J20" s="45">
        <v>5800</v>
      </c>
      <c r="K20" s="45">
        <v>4893</v>
      </c>
      <c r="L20" s="45">
        <v>2587</v>
      </c>
    </row>
    <row r="21" spans="4:12" ht="30" customHeight="1">
      <c r="D21" s="27" t="s">
        <v>425</v>
      </c>
      <c r="E21" s="45">
        <v>2500</v>
      </c>
      <c r="F21" s="46">
        <v>4100</v>
      </c>
      <c r="G21" s="47"/>
      <c r="H21" s="46">
        <v>2100</v>
      </c>
      <c r="I21" s="47"/>
      <c r="J21" s="45"/>
      <c r="K21" s="45">
        <v>1426</v>
      </c>
      <c r="L21" s="45">
        <v>4512</v>
      </c>
    </row>
    <row r="22" spans="4:12" ht="30" customHeight="1">
      <c r="D22" s="27" t="s">
        <v>426</v>
      </c>
      <c r="E22" s="45">
        <v>2600</v>
      </c>
      <c r="F22" s="46">
        <v>2500</v>
      </c>
      <c r="G22" s="47"/>
      <c r="H22" s="46"/>
      <c r="I22" s="47"/>
      <c r="J22" s="45">
        <v>1622</v>
      </c>
      <c r="K22" s="45">
        <v>3563</v>
      </c>
      <c r="L22" s="45"/>
    </row>
    <row r="23" spans="4:12" ht="30" customHeight="1">
      <c r="D23" s="27" t="s">
        <v>427</v>
      </c>
      <c r="E23" s="45">
        <v>3256</v>
      </c>
      <c r="F23" s="46">
        <v>3500</v>
      </c>
      <c r="G23" s="47"/>
      <c r="H23" s="46">
        <v>2600</v>
      </c>
      <c r="I23" s="47"/>
      <c r="J23" s="45">
        <v>3500</v>
      </c>
      <c r="K23" s="45">
        <v>3569</v>
      </c>
      <c r="L23" s="45">
        <v>7821</v>
      </c>
    </row>
    <row r="24" spans="4:12" ht="30" customHeight="1">
      <c r="D24" s="27" t="s">
        <v>428</v>
      </c>
      <c r="E24" s="45"/>
      <c r="F24" s="46">
        <v>4800</v>
      </c>
      <c r="G24" s="47"/>
      <c r="H24" s="46">
        <v>2300</v>
      </c>
      <c r="I24" s="47"/>
      <c r="J24" s="45">
        <v>3400</v>
      </c>
      <c r="K24" s="45">
        <v>4563</v>
      </c>
      <c r="L24" s="45">
        <v>2630</v>
      </c>
    </row>
    <row r="25" spans="4:12" ht="30" customHeight="1">
      <c r="D25" s="27" t="s">
        <v>429</v>
      </c>
      <c r="E25" s="45">
        <v>1450</v>
      </c>
      <c r="F25" s="46">
        <v>5900</v>
      </c>
      <c r="G25" s="47"/>
      <c r="H25" s="46">
        <v>2750</v>
      </c>
      <c r="I25" s="47"/>
      <c r="J25" s="45"/>
      <c r="K25" s="45"/>
      <c r="L25" s="45">
        <v>2587</v>
      </c>
    </row>
    <row r="26" spans="4:12" ht="30" customHeight="1">
      <c r="D26" s="27" t="s">
        <v>430</v>
      </c>
      <c r="E26" s="45">
        <v>2500</v>
      </c>
      <c r="F26" s="46">
        <v>4100</v>
      </c>
      <c r="G26" s="47"/>
      <c r="H26" s="46">
        <v>2100</v>
      </c>
      <c r="I26" s="47"/>
      <c r="J26" s="45">
        <v>4522</v>
      </c>
      <c r="K26" s="45">
        <v>1426</v>
      </c>
      <c r="L26" s="45">
        <v>4512</v>
      </c>
    </row>
    <row r="27" spans="4:12" ht="30" customHeight="1">
      <c r="D27" s="27" t="s">
        <v>431</v>
      </c>
      <c r="E27" s="45">
        <v>2600</v>
      </c>
      <c r="F27" s="46">
        <v>2500</v>
      </c>
      <c r="G27" s="47"/>
      <c r="H27" s="46">
        <v>3200</v>
      </c>
      <c r="I27" s="47"/>
      <c r="J27" s="45">
        <v>1622</v>
      </c>
      <c r="K27" s="45">
        <v>3563</v>
      </c>
      <c r="L27" s="45"/>
    </row>
    <row r="28" spans="4:12" ht="30" customHeight="1">
      <c r="D28" s="27" t="s">
        <v>432</v>
      </c>
      <c r="E28" s="45"/>
      <c r="F28" s="46">
        <v>5900</v>
      </c>
      <c r="G28" s="47"/>
      <c r="H28" s="46">
        <v>2750</v>
      </c>
      <c r="I28" s="47"/>
      <c r="J28" s="45">
        <v>5800</v>
      </c>
      <c r="K28" s="45">
        <v>4893</v>
      </c>
      <c r="L28" s="45">
        <v>2587</v>
      </c>
    </row>
    <row r="29" spans="4:12" ht="30" customHeight="1">
      <c r="D29" s="27" t="s">
        <v>433</v>
      </c>
      <c r="E29" s="45">
        <v>3256</v>
      </c>
      <c r="F29" s="46">
        <v>3500</v>
      </c>
      <c r="G29" s="47"/>
      <c r="H29" s="46">
        <v>2600</v>
      </c>
      <c r="I29" s="47"/>
      <c r="J29" s="45">
        <v>3500</v>
      </c>
      <c r="K29" s="45">
        <v>3569</v>
      </c>
      <c r="L29" s="45">
        <v>7821</v>
      </c>
    </row>
    <row r="30" spans="4:12" ht="30" customHeight="1">
      <c r="D30" s="27" t="s">
        <v>434</v>
      </c>
      <c r="E30" s="45"/>
      <c r="F30" s="46">
        <v>4800</v>
      </c>
      <c r="G30" s="47"/>
      <c r="H30" s="46">
        <v>2300</v>
      </c>
      <c r="I30" s="47"/>
      <c r="J30" s="45">
        <v>3400</v>
      </c>
      <c r="K30" s="45">
        <v>4563</v>
      </c>
      <c r="L30" s="45">
        <v>2630</v>
      </c>
    </row>
    <row r="31" spans="4:12" ht="30" customHeight="1">
      <c r="D31" s="27" t="s">
        <v>435</v>
      </c>
      <c r="E31" s="45">
        <v>1450</v>
      </c>
      <c r="F31" s="46">
        <v>5900</v>
      </c>
      <c r="G31" s="47"/>
      <c r="H31" s="46">
        <v>2750</v>
      </c>
      <c r="I31" s="47"/>
      <c r="J31" s="45">
        <v>5800</v>
      </c>
      <c r="K31" s="45"/>
      <c r="L31" s="45">
        <v>2587</v>
      </c>
    </row>
    <row r="32" spans="4:12" ht="30" customHeight="1">
      <c r="D32" s="27" t="s">
        <v>436</v>
      </c>
      <c r="E32" s="45">
        <v>2500</v>
      </c>
      <c r="F32" s="46">
        <v>4100</v>
      </c>
      <c r="G32" s="47"/>
      <c r="H32" s="46"/>
      <c r="I32" s="47"/>
      <c r="J32" s="45">
        <v>4522</v>
      </c>
      <c r="K32" s="45">
        <v>1426</v>
      </c>
      <c r="L32" s="45"/>
    </row>
    <row r="33" spans="2:12" ht="30" customHeight="1">
      <c r="D33" s="27" t="s">
        <v>437</v>
      </c>
      <c r="E33" s="45">
        <v>2600</v>
      </c>
      <c r="F33" s="46">
        <v>2500</v>
      </c>
      <c r="G33" s="47"/>
      <c r="H33" s="46">
        <v>3200</v>
      </c>
      <c r="I33" s="47"/>
      <c r="J33" s="45">
        <v>1622</v>
      </c>
      <c r="K33" s="45">
        <v>3563</v>
      </c>
      <c r="L33" s="45">
        <v>2653</v>
      </c>
    </row>
    <row r="34" spans="2:12" ht="30" customHeight="1"/>
    <row r="35" spans="2:12" ht="30" customHeight="1">
      <c r="D35" s="48" t="s">
        <v>440</v>
      </c>
      <c r="E35" s="40"/>
      <c r="F35" s="41"/>
      <c r="J35" s="234"/>
    </row>
    <row r="36" spans="2:12" ht="2.1" customHeight="1"/>
    <row r="37" spans="2:12" ht="30" customHeight="1">
      <c r="D37" s="32" t="s">
        <v>466</v>
      </c>
      <c r="E37" s="49"/>
      <c r="F37" s="49"/>
      <c r="G37" s="50"/>
      <c r="H37" s="51"/>
      <c r="I37" s="52"/>
      <c r="J37" s="233">
        <f>COUNTA(producto)</f>
        <v>20</v>
      </c>
    </row>
    <row r="38" spans="2:12" ht="2.1" customHeight="1"/>
    <row r="39" spans="2:12" ht="30" customHeight="1"/>
    <row r="40" spans="2:12" ht="30" customHeight="1">
      <c r="B40" s="186" t="s">
        <v>461</v>
      </c>
      <c r="C40" s="191"/>
      <c r="D40" s="192"/>
    </row>
    <row r="41" spans="2:12" ht="2.1" customHeight="1"/>
    <row r="42" spans="2:12" ht="30" customHeight="1">
      <c r="C42" s="283" t="s">
        <v>463</v>
      </c>
      <c r="D42" s="284"/>
      <c r="E42" s="284"/>
      <c r="F42" s="284"/>
      <c r="G42" s="284"/>
      <c r="H42" s="284"/>
      <c r="I42" s="284"/>
      <c r="J42" s="284"/>
      <c r="K42" s="284"/>
      <c r="L42" s="285"/>
    </row>
    <row r="43" spans="2:12" ht="15" customHeight="1">
      <c r="C43" s="19" t="s">
        <v>0</v>
      </c>
      <c r="D43" s="20"/>
      <c r="E43" s="20"/>
      <c r="F43" s="20"/>
      <c r="G43" s="20"/>
      <c r="L43" s="37"/>
    </row>
    <row r="44" spans="2:12" ht="30" customHeight="1">
      <c r="C44" s="23" t="s">
        <v>464</v>
      </c>
      <c r="D44" s="22"/>
      <c r="E44" s="22"/>
      <c r="F44" s="22"/>
      <c r="G44" s="22"/>
      <c r="H44" s="38"/>
      <c r="I44" s="38"/>
      <c r="J44" s="38"/>
      <c r="K44" s="38"/>
      <c r="L44" s="39"/>
    </row>
    <row r="45" spans="2:12" ht="14.25" customHeight="1"/>
    <row r="46" spans="2:12" ht="30" customHeight="1">
      <c r="D46" s="48" t="s">
        <v>478</v>
      </c>
      <c r="E46" s="40"/>
      <c r="F46" s="40"/>
      <c r="G46" s="40"/>
      <c r="H46" s="40"/>
      <c r="I46" s="40"/>
      <c r="J46" s="41"/>
    </row>
    <row r="47" spans="2:12" ht="2.1" customHeight="1"/>
    <row r="48" spans="2:12" ht="30" customHeight="1">
      <c r="D48" s="28" t="s">
        <v>465</v>
      </c>
      <c r="E48" s="28"/>
      <c r="F48" s="28"/>
      <c r="G48" s="54"/>
      <c r="H48" s="53"/>
      <c r="I48" s="52"/>
      <c r="J48" s="233">
        <f>COUNTBLANK(E14:F33)</f>
        <v>6</v>
      </c>
    </row>
    <row r="49" spans="2:12" ht="2.1" customHeight="1"/>
    <row r="50" spans="2:12" ht="30" customHeight="1">
      <c r="D50" s="28" t="s">
        <v>496</v>
      </c>
      <c r="E50" s="28"/>
      <c r="F50" s="28"/>
      <c r="G50" s="54"/>
      <c r="H50" s="53"/>
      <c r="I50" s="52"/>
      <c r="J50" s="233">
        <f>COUNTBLANK(L14:L33)</f>
        <v>4</v>
      </c>
    </row>
    <row r="51" spans="2:12" ht="2.1" customHeight="1"/>
    <row r="52" spans="2:12" ht="30" customHeight="1">
      <c r="D52" s="28" t="s">
        <v>497</v>
      </c>
      <c r="E52" s="28"/>
      <c r="F52" s="28"/>
      <c r="G52" s="54"/>
      <c r="H52" s="53"/>
      <c r="I52" s="52"/>
      <c r="J52" s="102">
        <f>COUNTBLANK(J14:J33)</f>
        <v>2</v>
      </c>
    </row>
    <row r="53" spans="2:12" ht="2.1" customHeight="1"/>
    <row r="54" spans="2:12" ht="30" customHeight="1"/>
    <row r="55" spans="2:12" ht="30" customHeight="1">
      <c r="B55" s="186" t="s">
        <v>462</v>
      </c>
      <c r="C55" s="191"/>
      <c r="D55" s="192"/>
    </row>
    <row r="56" spans="2:12" ht="2.1" customHeight="1"/>
    <row r="57" spans="2:12" ht="35.25" customHeight="1">
      <c r="C57" s="283" t="s">
        <v>438</v>
      </c>
      <c r="D57" s="284"/>
      <c r="E57" s="284"/>
      <c r="F57" s="284"/>
      <c r="G57" s="284"/>
      <c r="H57" s="284"/>
      <c r="I57" s="284"/>
      <c r="J57" s="284"/>
      <c r="K57" s="284"/>
      <c r="L57" s="285"/>
    </row>
    <row r="58" spans="2:12" ht="21" customHeight="1">
      <c r="C58" s="24" t="s">
        <v>0</v>
      </c>
      <c r="D58" s="20"/>
      <c r="E58" s="20"/>
      <c r="F58" s="20"/>
      <c r="G58" s="20"/>
      <c r="L58" s="37"/>
    </row>
    <row r="59" spans="2:12" ht="30" customHeight="1">
      <c r="C59" s="23" t="s">
        <v>439</v>
      </c>
      <c r="D59" s="22"/>
      <c r="E59" s="22"/>
      <c r="F59" s="22"/>
      <c r="G59" s="22"/>
      <c r="H59" s="38"/>
      <c r="I59" s="38"/>
      <c r="J59" s="38"/>
      <c r="K59" s="38"/>
      <c r="L59" s="39"/>
    </row>
    <row r="60" spans="2:12" ht="14.25" customHeight="1"/>
    <row r="61" spans="2:12" ht="30" customHeight="1">
      <c r="C61" s="48" t="s">
        <v>478</v>
      </c>
      <c r="D61" s="40"/>
      <c r="E61" s="40"/>
      <c r="F61" s="40"/>
      <c r="G61" s="40"/>
      <c r="H61" s="40"/>
      <c r="I61" s="40"/>
      <c r="J61" s="41"/>
    </row>
    <row r="62" spans="2:12" ht="2.1" customHeight="1"/>
    <row r="63" spans="2:12" ht="30" customHeight="1">
      <c r="C63" s="217" t="s">
        <v>441</v>
      </c>
      <c r="D63" s="55" t="s">
        <v>442</v>
      </c>
      <c r="E63" s="56"/>
      <c r="F63" s="56"/>
      <c r="G63" s="40"/>
      <c r="H63" s="41"/>
      <c r="J63" s="235">
        <f>MAX(E14:E33)</f>
        <v>3256</v>
      </c>
    </row>
    <row r="64" spans="2:12" ht="2.1" customHeight="1"/>
    <row r="65" spans="3:10" ht="30" customHeight="1">
      <c r="C65" s="217" t="s">
        <v>443</v>
      </c>
      <c r="D65" s="55" t="s">
        <v>444</v>
      </c>
      <c r="E65" s="56"/>
      <c r="F65" s="56"/>
      <c r="G65" s="40"/>
      <c r="H65" s="41"/>
      <c r="J65" s="103">
        <f>MAX(L14:L33)</f>
        <v>7821</v>
      </c>
    </row>
    <row r="66" spans="3:10" ht="2.1" customHeight="1"/>
    <row r="67" spans="3:10" ht="30" customHeight="1">
      <c r="C67" s="217" t="s">
        <v>445</v>
      </c>
      <c r="D67" s="55" t="s">
        <v>446</v>
      </c>
      <c r="E67" s="56"/>
      <c r="F67" s="56"/>
      <c r="G67" s="40"/>
      <c r="H67" s="41"/>
      <c r="J67" s="297">
        <f>MAX(F14:F33,J14:J33)</f>
        <v>5900</v>
      </c>
    </row>
    <row r="68" spans="3:10" ht="2.1" customHeight="1"/>
    <row r="69" spans="3:10" ht="30" customHeight="1">
      <c r="C69" s="217" t="s">
        <v>448</v>
      </c>
      <c r="D69" s="55" t="s">
        <v>447</v>
      </c>
      <c r="E69" s="56"/>
      <c r="F69" s="56"/>
      <c r="G69" s="40"/>
      <c r="H69" s="41"/>
      <c r="J69" s="235">
        <f>MAX(H14:H33,K14:K33)</f>
        <v>5456</v>
      </c>
    </row>
    <row r="70" spans="3:10" ht="2.1" customHeight="1"/>
    <row r="71" spans="3:10" ht="30" customHeight="1">
      <c r="C71" s="217" t="s">
        <v>449</v>
      </c>
      <c r="D71" s="287" t="s">
        <v>450</v>
      </c>
      <c r="E71" s="288"/>
      <c r="F71" s="288"/>
      <c r="G71" s="288"/>
      <c r="H71" s="289"/>
      <c r="J71" s="103">
        <f>MAX(L14:L17)</f>
        <v>7821</v>
      </c>
    </row>
    <row r="72" spans="3:10" ht="2.1" customHeight="1">
      <c r="C72" s="57"/>
      <c r="D72" s="58"/>
      <c r="E72" s="59"/>
      <c r="F72" s="59"/>
      <c r="G72" s="59"/>
      <c r="H72" s="60"/>
      <c r="J72" s="61"/>
    </row>
    <row r="73" spans="3:10" ht="30" customHeight="1">
      <c r="C73" s="217" t="s">
        <v>452</v>
      </c>
      <c r="D73" s="287" t="s">
        <v>451</v>
      </c>
      <c r="E73" s="288"/>
      <c r="F73" s="288"/>
      <c r="G73" s="288"/>
      <c r="H73" s="289"/>
      <c r="J73" s="103">
        <f>MAX(H18:H21,H30:H33)</f>
        <v>3200</v>
      </c>
    </row>
    <row r="74" spans="3:10" ht="2.1" customHeight="1"/>
    <row r="75" spans="3:10" ht="30" customHeight="1">
      <c r="C75" s="217" t="s">
        <v>453</v>
      </c>
      <c r="D75" s="55" t="s">
        <v>454</v>
      </c>
      <c r="E75" s="56"/>
      <c r="F75" s="56"/>
      <c r="G75" s="40"/>
      <c r="H75" s="41"/>
      <c r="J75" s="103">
        <f>MAX(H14:J33)</f>
        <v>5800</v>
      </c>
    </row>
    <row r="76" spans="3:10" ht="2.1" customHeight="1"/>
    <row r="77" spans="3:10" ht="30" customHeight="1">
      <c r="C77" s="217" t="s">
        <v>455</v>
      </c>
      <c r="D77" s="55" t="s">
        <v>456</v>
      </c>
      <c r="E77" s="56"/>
      <c r="F77" s="56"/>
      <c r="G77" s="40"/>
      <c r="H77" s="41"/>
      <c r="J77" s="103">
        <f>MAX(E14:F33,K14:L33)</f>
        <v>7821</v>
      </c>
    </row>
    <row r="78" spans="3:10" ht="2.1" customHeight="1"/>
    <row r="79" spans="3:10" ht="30" customHeight="1">
      <c r="C79" s="217" t="s">
        <v>458</v>
      </c>
      <c r="D79" s="55" t="s">
        <v>457</v>
      </c>
      <c r="E79" s="56"/>
      <c r="F79" s="56"/>
      <c r="G79" s="40"/>
      <c r="H79" s="41"/>
      <c r="J79" s="235">
        <f>MAX(D26:L26)</f>
        <v>4522</v>
      </c>
    </row>
    <row r="80" spans="3:10" ht="2.1" customHeight="1"/>
    <row r="81" spans="2:12" ht="30" customHeight="1">
      <c r="C81" s="217" t="s">
        <v>459</v>
      </c>
      <c r="D81" s="55" t="s">
        <v>460</v>
      </c>
      <c r="E81" s="56"/>
      <c r="F81" s="56"/>
      <c r="G81" s="40"/>
      <c r="H81" s="41"/>
      <c r="J81" s="235">
        <f>MAX(D26:L26,D33:L33)</f>
        <v>4522</v>
      </c>
    </row>
    <row r="82" spans="2:12" ht="30" customHeight="1"/>
    <row r="83" spans="2:12" ht="30" customHeight="1">
      <c r="B83" s="186" t="s">
        <v>468</v>
      </c>
      <c r="C83" s="191"/>
      <c r="D83" s="192"/>
    </row>
    <row r="84" spans="2:12" ht="3" customHeight="1"/>
    <row r="85" spans="2:12" ht="30" customHeight="1">
      <c r="C85" s="283" t="s">
        <v>479</v>
      </c>
      <c r="D85" s="284"/>
      <c r="E85" s="284"/>
      <c r="F85" s="284"/>
      <c r="G85" s="284"/>
      <c r="H85" s="284"/>
      <c r="I85" s="284"/>
      <c r="J85" s="284"/>
      <c r="K85" s="284"/>
      <c r="L85" s="285"/>
    </row>
    <row r="86" spans="2:12" ht="30" customHeight="1">
      <c r="C86" s="24" t="s">
        <v>0</v>
      </c>
      <c r="D86" s="20"/>
      <c r="E86" s="20"/>
      <c r="F86" s="20"/>
      <c r="G86" s="20"/>
      <c r="L86" s="37"/>
    </row>
    <row r="87" spans="2:12" ht="30" customHeight="1">
      <c r="C87" s="23" t="s">
        <v>467</v>
      </c>
      <c r="D87" s="22"/>
      <c r="E87" s="22"/>
      <c r="F87" s="22"/>
      <c r="G87" s="22"/>
      <c r="H87" s="38"/>
      <c r="I87" s="38"/>
      <c r="J87" s="38"/>
      <c r="K87" s="38"/>
      <c r="L87" s="39"/>
    </row>
    <row r="88" spans="2:12" ht="13.5" customHeight="1"/>
    <row r="89" spans="2:12" ht="30" customHeight="1">
      <c r="C89" s="48" t="s">
        <v>478</v>
      </c>
      <c r="D89" s="40"/>
      <c r="E89" s="40"/>
      <c r="F89" s="40"/>
      <c r="G89" s="40"/>
      <c r="H89" s="40"/>
      <c r="I89" s="40"/>
      <c r="J89" s="41"/>
    </row>
    <row r="90" spans="2:12" ht="2.1" customHeight="1"/>
    <row r="91" spans="2:12" ht="30" customHeight="1">
      <c r="C91" s="217" t="s">
        <v>441</v>
      </c>
      <c r="D91" s="55" t="s">
        <v>476</v>
      </c>
      <c r="E91" s="56"/>
      <c r="F91" s="56"/>
      <c r="G91" s="40"/>
      <c r="H91" s="41"/>
      <c r="J91" s="235">
        <f>MIN(E14:E33)</f>
        <v>1450</v>
      </c>
    </row>
    <row r="92" spans="2:12" ht="2.1" customHeight="1"/>
    <row r="93" spans="2:12" ht="30" customHeight="1">
      <c r="C93" s="217" t="s">
        <v>443</v>
      </c>
      <c r="D93" s="55" t="s">
        <v>469</v>
      </c>
      <c r="E93" s="56"/>
      <c r="F93" s="56"/>
      <c r="G93" s="40"/>
      <c r="H93" s="41"/>
      <c r="J93" s="235">
        <f>MIN(L14:L33)</f>
        <v>2587</v>
      </c>
    </row>
    <row r="94" spans="2:12" ht="2.1" customHeight="1"/>
    <row r="95" spans="2:12" ht="30" customHeight="1">
      <c r="C95" s="217" t="s">
        <v>445</v>
      </c>
      <c r="D95" s="55" t="s">
        <v>470</v>
      </c>
      <c r="E95" s="56"/>
      <c r="F95" s="56"/>
      <c r="G95" s="40"/>
      <c r="H95" s="41"/>
      <c r="J95" s="235">
        <f>MIN(F14:F33,J14:J33)</f>
        <v>1622</v>
      </c>
    </row>
    <row r="96" spans="2:12" ht="2.1" customHeight="1"/>
    <row r="97" spans="3:10" ht="30" customHeight="1">
      <c r="C97" s="217" t="s">
        <v>448</v>
      </c>
      <c r="D97" s="55" t="s">
        <v>471</v>
      </c>
      <c r="E97" s="56"/>
      <c r="F97" s="56"/>
      <c r="G97" s="40"/>
      <c r="H97" s="41"/>
      <c r="J97" s="100"/>
    </row>
    <row r="98" spans="3:10" ht="2.1" customHeight="1"/>
    <row r="99" spans="3:10" ht="30" customHeight="1">
      <c r="C99" s="217" t="s">
        <v>449</v>
      </c>
      <c r="D99" s="287" t="s">
        <v>472</v>
      </c>
      <c r="E99" s="288"/>
      <c r="F99" s="288"/>
      <c r="G99" s="288"/>
      <c r="H99" s="289"/>
      <c r="J99" s="235"/>
    </row>
    <row r="100" spans="3:10" ht="2.1" customHeight="1">
      <c r="C100" s="57"/>
      <c r="D100" s="58"/>
      <c r="E100" s="59"/>
      <c r="F100" s="59"/>
      <c r="G100" s="59"/>
      <c r="H100" s="60"/>
      <c r="J100" s="61"/>
    </row>
    <row r="101" spans="3:10" ht="30" customHeight="1">
      <c r="C101" s="217" t="s">
        <v>452</v>
      </c>
      <c r="D101" s="287" t="s">
        <v>473</v>
      </c>
      <c r="E101" s="288"/>
      <c r="F101" s="288"/>
      <c r="G101" s="288"/>
      <c r="H101" s="289"/>
      <c r="J101" s="235"/>
    </row>
    <row r="102" spans="3:10" ht="2.1" customHeight="1"/>
    <row r="103" spans="3:10" ht="30" customHeight="1">
      <c r="C103" s="217" t="s">
        <v>453</v>
      </c>
      <c r="D103" s="55" t="s">
        <v>474</v>
      </c>
      <c r="E103" s="56"/>
      <c r="F103" s="56"/>
      <c r="G103" s="40"/>
      <c r="H103" s="41"/>
      <c r="J103" s="100"/>
    </row>
    <row r="104" spans="3:10" ht="2.1" customHeight="1"/>
    <row r="105" spans="3:10" ht="30" customHeight="1">
      <c r="C105" s="217" t="s">
        <v>455</v>
      </c>
      <c r="D105" s="55" t="s">
        <v>475</v>
      </c>
      <c r="E105" s="56"/>
      <c r="F105" s="56"/>
      <c r="G105" s="40"/>
      <c r="H105" s="41"/>
      <c r="J105" s="235"/>
    </row>
    <row r="106" spans="3:10" ht="2.1" customHeight="1"/>
    <row r="107" spans="3:10" ht="30" customHeight="1">
      <c r="C107" s="217" t="s">
        <v>458</v>
      </c>
      <c r="D107" s="55" t="s">
        <v>477</v>
      </c>
      <c r="E107" s="56"/>
      <c r="F107" s="56"/>
      <c r="G107" s="40"/>
      <c r="H107" s="41"/>
      <c r="J107" s="235"/>
    </row>
    <row r="108" spans="3:10" ht="2.1" customHeight="1"/>
    <row r="109" spans="3:10" ht="30" customHeight="1">
      <c r="C109" s="217" t="s">
        <v>459</v>
      </c>
      <c r="D109" s="55" t="s">
        <v>531</v>
      </c>
      <c r="E109" s="56"/>
      <c r="F109" s="56"/>
      <c r="G109" s="40"/>
      <c r="H109" s="41"/>
      <c r="J109" s="235"/>
    </row>
    <row r="110" spans="3:10" ht="2.1" customHeight="1"/>
    <row r="111" spans="3:10" ht="30" customHeight="1"/>
    <row r="112" spans="3:10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</sheetData>
  <sheetProtection selectLockedCells="1"/>
  <mergeCells count="10">
    <mergeCell ref="C57:L57"/>
    <mergeCell ref="C5:L5"/>
    <mergeCell ref="D11:L11"/>
    <mergeCell ref="C42:L42"/>
    <mergeCell ref="E1:K1"/>
    <mergeCell ref="D71:H71"/>
    <mergeCell ref="D73:H73"/>
    <mergeCell ref="C85:L85"/>
    <mergeCell ref="D99:H99"/>
    <mergeCell ref="D101:H10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B1:N434"/>
  <sheetViews>
    <sheetView topLeftCell="A32" zoomScale="115" zoomScaleNormal="115" workbookViewId="0">
      <selection activeCell="F46" sqref="F46"/>
    </sheetView>
  </sheetViews>
  <sheetFormatPr baseColWidth="10" defaultColWidth="11.42578125" defaultRowHeight="12.75"/>
  <cols>
    <col min="1" max="1" width="4.140625" style="36" customWidth="1"/>
    <col min="2" max="2" width="11.42578125" style="36"/>
    <col min="3" max="3" width="17.42578125" style="36" customWidth="1"/>
    <col min="4" max="4" width="24.5703125" style="36" customWidth="1"/>
    <col min="5" max="5" width="21" style="36" customWidth="1"/>
    <col min="6" max="6" width="21.5703125" style="36" customWidth="1"/>
    <col min="7" max="7" width="17.42578125" style="36" customWidth="1"/>
    <col min="8" max="11" width="13.5703125" style="36" customWidth="1"/>
    <col min="12" max="12" width="1.42578125" style="36" customWidth="1"/>
    <col min="13" max="17" width="13.5703125" style="36" customWidth="1"/>
    <col min="18" max="18" width="19.140625" style="36" customWidth="1"/>
    <col min="19" max="19" width="17" style="36" customWidth="1"/>
    <col min="20" max="20" width="0.85546875" style="36" customWidth="1"/>
    <col min="21" max="21" width="16.42578125" style="36" customWidth="1"/>
    <col min="22" max="16384" width="11.42578125" style="36"/>
  </cols>
  <sheetData>
    <row r="1" spans="2:14" s="109" customFormat="1" ht="34.35" customHeight="1">
      <c r="C1" s="110"/>
      <c r="D1" s="111"/>
      <c r="E1" s="279" t="s">
        <v>520</v>
      </c>
      <c r="F1" s="279"/>
      <c r="G1" s="279"/>
      <c r="H1" s="159"/>
      <c r="I1" s="159"/>
      <c r="J1" s="159"/>
      <c r="K1" s="159"/>
      <c r="L1" s="159"/>
      <c r="M1" s="159"/>
      <c r="N1" s="159"/>
    </row>
    <row r="2" spans="2:14" ht="12" customHeight="1"/>
    <row r="3" spans="2:14" ht="30" customHeight="1">
      <c r="B3" s="291" t="s">
        <v>483</v>
      </c>
      <c r="C3" s="291"/>
      <c r="D3" s="291"/>
      <c r="E3" s="16"/>
      <c r="F3" s="16"/>
    </row>
    <row r="4" spans="2:14" ht="17.25" customHeight="1">
      <c r="B4" s="17"/>
      <c r="C4" s="16"/>
      <c r="D4" s="16"/>
      <c r="E4" s="16"/>
      <c r="F4" s="16"/>
    </row>
    <row r="5" spans="2:14" ht="2.4500000000000002" customHeight="1">
      <c r="B5" s="18"/>
      <c r="C5" s="283"/>
      <c r="D5" s="284"/>
      <c r="E5" s="284"/>
      <c r="F5" s="284"/>
      <c r="G5" s="284"/>
      <c r="H5" s="285"/>
    </row>
    <row r="6" spans="2:14" ht="20.100000000000001" customHeight="1">
      <c r="B6" s="18"/>
      <c r="C6" s="19" t="s">
        <v>0</v>
      </c>
      <c r="D6" s="20"/>
      <c r="E6" s="20"/>
      <c r="F6" s="20"/>
      <c r="H6" s="37"/>
    </row>
    <row r="7" spans="2:14" ht="20.100000000000001" customHeight="1">
      <c r="B7" s="18"/>
      <c r="C7" s="21" t="s">
        <v>482</v>
      </c>
      <c r="D7" s="22"/>
      <c r="E7" s="22"/>
      <c r="F7" s="22"/>
      <c r="G7" s="38"/>
      <c r="H7" s="39"/>
    </row>
    <row r="8" spans="2:14" ht="30" customHeight="1"/>
    <row r="9" spans="2:14" ht="30" customHeight="1">
      <c r="C9" s="105" t="s">
        <v>26</v>
      </c>
      <c r="D9" s="161" t="s">
        <v>517</v>
      </c>
      <c r="E9" s="11"/>
      <c r="F9" s="11"/>
      <c r="G9" s="12"/>
    </row>
    <row r="10" spans="2:14" ht="9" customHeight="1"/>
    <row r="11" spans="2:14" ht="44.25" customHeight="1">
      <c r="D11" s="157" t="s">
        <v>11</v>
      </c>
      <c r="E11" s="157" t="s">
        <v>365</v>
      </c>
      <c r="F11" s="157" t="s">
        <v>234</v>
      </c>
      <c r="G11" s="157"/>
      <c r="H11" s="157"/>
      <c r="I11" s="157"/>
      <c r="J11" s="218" t="s">
        <v>13</v>
      </c>
    </row>
    <row r="12" spans="2:14" ht="30" customHeight="1">
      <c r="D12" s="44" t="s">
        <v>366</v>
      </c>
      <c r="E12" s="44" t="s">
        <v>393</v>
      </c>
      <c r="F12" s="29" t="s">
        <v>7</v>
      </c>
      <c r="G12" s="26">
        <v>16</v>
      </c>
      <c r="H12" s="26">
        <v>9</v>
      </c>
      <c r="I12" s="26">
        <v>14</v>
      </c>
      <c r="J12" s="104">
        <f>AVERAGE(G12:I12)</f>
        <v>13</v>
      </c>
    </row>
    <row r="13" spans="2:14" ht="30" customHeight="1">
      <c r="D13" s="42" t="s">
        <v>367</v>
      </c>
      <c r="E13" s="42" t="s">
        <v>394</v>
      </c>
      <c r="F13" s="43" t="s">
        <v>19</v>
      </c>
      <c r="G13" s="26">
        <v>12</v>
      </c>
      <c r="H13" s="26">
        <v>13</v>
      </c>
      <c r="I13" s="26">
        <v>15</v>
      </c>
      <c r="J13" s="104">
        <f t="shared" ref="J13:J37" si="0">AVERAGE(G13:I13)</f>
        <v>13.333333333333334</v>
      </c>
    </row>
    <row r="14" spans="2:14" ht="30" customHeight="1">
      <c r="D14" s="42" t="s">
        <v>368</v>
      </c>
      <c r="E14" s="42" t="s">
        <v>369</v>
      </c>
      <c r="F14" s="43" t="s">
        <v>17</v>
      </c>
      <c r="G14" s="26">
        <v>13</v>
      </c>
      <c r="H14" s="26">
        <v>11</v>
      </c>
      <c r="I14" s="26">
        <v>10</v>
      </c>
      <c r="J14" s="104">
        <f t="shared" si="0"/>
        <v>11.333333333333334</v>
      </c>
    </row>
    <row r="15" spans="2:14" ht="26.45" customHeight="1">
      <c r="D15" s="42" t="s">
        <v>370</v>
      </c>
      <c r="E15" s="42" t="s">
        <v>393</v>
      </c>
      <c r="F15" s="43" t="s">
        <v>19</v>
      </c>
      <c r="G15" s="26">
        <v>15</v>
      </c>
      <c r="H15" s="26">
        <v>8</v>
      </c>
      <c r="I15" s="26">
        <v>8</v>
      </c>
      <c r="J15" s="104">
        <f t="shared" si="0"/>
        <v>10.333333333333334</v>
      </c>
    </row>
    <row r="16" spans="2:14" ht="30" customHeight="1">
      <c r="D16" s="42" t="s">
        <v>371</v>
      </c>
      <c r="E16" s="42" t="s">
        <v>394</v>
      </c>
      <c r="F16" s="43" t="s">
        <v>19</v>
      </c>
      <c r="G16" s="26">
        <v>17</v>
      </c>
      <c r="H16" s="26">
        <v>9</v>
      </c>
      <c r="I16" s="26">
        <v>16</v>
      </c>
      <c r="J16" s="104">
        <f t="shared" si="0"/>
        <v>14</v>
      </c>
    </row>
    <row r="17" spans="4:10" ht="30" customHeight="1">
      <c r="D17" s="42" t="s">
        <v>372</v>
      </c>
      <c r="E17" s="44" t="s">
        <v>393</v>
      </c>
      <c r="F17" s="43" t="s">
        <v>7</v>
      </c>
      <c r="G17" s="26">
        <v>9</v>
      </c>
      <c r="H17" s="26">
        <v>19</v>
      </c>
      <c r="I17" s="26">
        <v>14</v>
      </c>
      <c r="J17" s="104">
        <f t="shared" si="0"/>
        <v>14</v>
      </c>
    </row>
    <row r="18" spans="4:10" ht="30" customHeight="1">
      <c r="D18" s="42" t="s">
        <v>373</v>
      </c>
      <c r="E18" s="42" t="s">
        <v>394</v>
      </c>
      <c r="F18" s="43" t="s">
        <v>17</v>
      </c>
      <c r="G18" s="26">
        <v>10</v>
      </c>
      <c r="H18" s="26">
        <v>15</v>
      </c>
      <c r="I18" s="26">
        <v>9</v>
      </c>
      <c r="J18" s="104">
        <f t="shared" si="0"/>
        <v>11.333333333333334</v>
      </c>
    </row>
    <row r="19" spans="4:10" ht="30" customHeight="1">
      <c r="D19" s="42" t="s">
        <v>374</v>
      </c>
      <c r="E19" s="42" t="s">
        <v>369</v>
      </c>
      <c r="F19" s="29" t="s">
        <v>7</v>
      </c>
      <c r="G19" s="26">
        <v>20</v>
      </c>
      <c r="H19" s="26">
        <v>12</v>
      </c>
      <c r="I19" s="26">
        <v>9</v>
      </c>
      <c r="J19" s="104">
        <f t="shared" si="0"/>
        <v>13.666666666666666</v>
      </c>
    </row>
    <row r="20" spans="4:10" ht="30" customHeight="1">
      <c r="D20" s="42" t="s">
        <v>375</v>
      </c>
      <c r="E20" s="42" t="s">
        <v>394</v>
      </c>
      <c r="F20" s="43" t="s">
        <v>19</v>
      </c>
      <c r="G20" s="26">
        <v>20</v>
      </c>
      <c r="H20" s="26">
        <v>12</v>
      </c>
      <c r="I20" s="26">
        <v>12</v>
      </c>
      <c r="J20" s="104">
        <f t="shared" si="0"/>
        <v>14.666666666666666</v>
      </c>
    </row>
    <row r="21" spans="4:10" ht="30" customHeight="1">
      <c r="D21" s="42" t="s">
        <v>376</v>
      </c>
      <c r="E21" s="42" t="s">
        <v>394</v>
      </c>
      <c r="F21" s="43" t="s">
        <v>17</v>
      </c>
      <c r="G21" s="26">
        <v>19</v>
      </c>
      <c r="H21" s="26">
        <v>20</v>
      </c>
      <c r="I21" s="26">
        <v>12</v>
      </c>
      <c r="J21" s="104">
        <f t="shared" si="0"/>
        <v>17</v>
      </c>
    </row>
    <row r="22" spans="4:10" ht="30" customHeight="1">
      <c r="D22" s="42" t="s">
        <v>377</v>
      </c>
      <c r="E22" s="44" t="s">
        <v>393</v>
      </c>
      <c r="F22" s="43" t="s">
        <v>19</v>
      </c>
      <c r="G22" s="26">
        <v>14</v>
      </c>
      <c r="H22" s="26">
        <v>11</v>
      </c>
      <c r="I22" s="26">
        <v>16</v>
      </c>
      <c r="J22" s="104">
        <f t="shared" si="0"/>
        <v>13.666666666666666</v>
      </c>
    </row>
    <row r="23" spans="4:10" ht="30" customHeight="1">
      <c r="D23" s="42" t="s">
        <v>378</v>
      </c>
      <c r="E23" s="42" t="s">
        <v>394</v>
      </c>
      <c r="F23" s="43" t="s">
        <v>19</v>
      </c>
      <c r="G23" s="26">
        <v>15</v>
      </c>
      <c r="H23" s="26">
        <v>10</v>
      </c>
      <c r="I23" s="26">
        <v>19</v>
      </c>
      <c r="J23" s="104">
        <f t="shared" si="0"/>
        <v>14.666666666666666</v>
      </c>
    </row>
    <row r="24" spans="4:10" ht="30" customHeight="1">
      <c r="D24" s="42" t="s">
        <v>379</v>
      </c>
      <c r="E24" s="42" t="s">
        <v>369</v>
      </c>
      <c r="F24" s="43" t="s">
        <v>7</v>
      </c>
      <c r="G24" s="26">
        <v>11</v>
      </c>
      <c r="H24" s="26">
        <v>19</v>
      </c>
      <c r="I24" s="26">
        <v>18</v>
      </c>
      <c r="J24" s="104">
        <f t="shared" si="0"/>
        <v>16</v>
      </c>
    </row>
    <row r="25" spans="4:10" ht="30" customHeight="1">
      <c r="D25" s="42" t="s">
        <v>380</v>
      </c>
      <c r="E25" s="42" t="s">
        <v>393</v>
      </c>
      <c r="F25" s="43" t="s">
        <v>17</v>
      </c>
      <c r="G25" s="26">
        <v>17</v>
      </c>
      <c r="H25" s="26">
        <v>11</v>
      </c>
      <c r="I25" s="26">
        <v>14</v>
      </c>
      <c r="J25" s="104">
        <f t="shared" si="0"/>
        <v>14</v>
      </c>
    </row>
    <row r="26" spans="4:10" ht="30" customHeight="1">
      <c r="D26" s="42" t="s">
        <v>381</v>
      </c>
      <c r="E26" s="42" t="s">
        <v>393</v>
      </c>
      <c r="F26" s="29" t="s">
        <v>7</v>
      </c>
      <c r="G26" s="26">
        <v>14</v>
      </c>
      <c r="H26" s="26">
        <v>16</v>
      </c>
      <c r="I26" s="26">
        <v>9</v>
      </c>
      <c r="J26" s="104">
        <f t="shared" si="0"/>
        <v>13</v>
      </c>
    </row>
    <row r="27" spans="4:10" ht="30" customHeight="1">
      <c r="D27" s="42" t="s">
        <v>382</v>
      </c>
      <c r="E27" s="44" t="s">
        <v>393</v>
      </c>
      <c r="F27" s="43" t="s">
        <v>19</v>
      </c>
      <c r="G27" s="26">
        <v>15</v>
      </c>
      <c r="H27" s="26">
        <v>16</v>
      </c>
      <c r="I27" s="26">
        <v>10</v>
      </c>
      <c r="J27" s="104">
        <f t="shared" si="0"/>
        <v>13.666666666666666</v>
      </c>
    </row>
    <row r="28" spans="4:10" ht="30" customHeight="1">
      <c r="D28" s="42" t="s">
        <v>383</v>
      </c>
      <c r="E28" s="42" t="s">
        <v>394</v>
      </c>
      <c r="F28" s="43" t="s">
        <v>7</v>
      </c>
      <c r="G28" s="26">
        <v>9</v>
      </c>
      <c r="H28" s="26">
        <v>17</v>
      </c>
      <c r="I28" s="26">
        <v>12</v>
      </c>
      <c r="J28" s="104">
        <f t="shared" si="0"/>
        <v>12.666666666666666</v>
      </c>
    </row>
    <row r="29" spans="4:10" ht="30" customHeight="1">
      <c r="D29" s="42" t="s">
        <v>384</v>
      </c>
      <c r="E29" s="42" t="s">
        <v>369</v>
      </c>
      <c r="F29" s="43" t="s">
        <v>19</v>
      </c>
      <c r="G29" s="26">
        <v>9</v>
      </c>
      <c r="H29" s="26">
        <v>14</v>
      </c>
      <c r="I29" s="26">
        <v>12</v>
      </c>
      <c r="J29" s="104">
        <f t="shared" si="0"/>
        <v>11.666666666666666</v>
      </c>
    </row>
    <row r="30" spans="4:10" ht="30" customHeight="1">
      <c r="D30" s="42" t="s">
        <v>385</v>
      </c>
      <c r="E30" s="42" t="s">
        <v>393</v>
      </c>
      <c r="F30" s="43" t="s">
        <v>19</v>
      </c>
      <c r="G30" s="26">
        <v>16</v>
      </c>
      <c r="H30" s="26">
        <v>9</v>
      </c>
      <c r="I30" s="26">
        <v>17</v>
      </c>
      <c r="J30" s="104">
        <f t="shared" si="0"/>
        <v>14</v>
      </c>
    </row>
    <row r="31" spans="4:10" ht="30" customHeight="1">
      <c r="D31" s="42" t="s">
        <v>386</v>
      </c>
      <c r="E31" s="42" t="s">
        <v>394</v>
      </c>
      <c r="F31" s="43" t="s">
        <v>7</v>
      </c>
      <c r="G31" s="26">
        <v>20</v>
      </c>
      <c r="H31" s="26">
        <v>9</v>
      </c>
      <c r="I31" s="26">
        <v>20</v>
      </c>
      <c r="J31" s="104">
        <f t="shared" si="0"/>
        <v>16.333333333333332</v>
      </c>
    </row>
    <row r="32" spans="4:10" ht="30" customHeight="1">
      <c r="D32" s="42" t="s">
        <v>387</v>
      </c>
      <c r="E32" s="44" t="s">
        <v>393</v>
      </c>
      <c r="F32" s="43" t="s">
        <v>17</v>
      </c>
      <c r="G32" s="26">
        <v>10</v>
      </c>
      <c r="H32" s="26">
        <v>12</v>
      </c>
      <c r="I32" s="26">
        <v>13</v>
      </c>
      <c r="J32" s="104">
        <f t="shared" si="0"/>
        <v>11.666666666666666</v>
      </c>
    </row>
    <row r="33" spans="3:10" ht="30" customHeight="1">
      <c r="D33" s="42" t="s">
        <v>388</v>
      </c>
      <c r="E33" s="42" t="s">
        <v>394</v>
      </c>
      <c r="F33" s="43" t="s">
        <v>7</v>
      </c>
      <c r="G33" s="26">
        <v>13</v>
      </c>
      <c r="H33" s="26">
        <v>13</v>
      </c>
      <c r="I33" s="26">
        <v>13</v>
      </c>
      <c r="J33" s="104">
        <f t="shared" si="0"/>
        <v>13</v>
      </c>
    </row>
    <row r="34" spans="3:10" ht="30" customHeight="1">
      <c r="D34" s="42" t="s">
        <v>389</v>
      </c>
      <c r="E34" s="42" t="s">
        <v>369</v>
      </c>
      <c r="F34" s="43" t="s">
        <v>7</v>
      </c>
      <c r="G34" s="26">
        <v>9</v>
      </c>
      <c r="H34" s="26">
        <v>12</v>
      </c>
      <c r="I34" s="26">
        <v>9</v>
      </c>
      <c r="J34" s="104">
        <f t="shared" si="0"/>
        <v>10</v>
      </c>
    </row>
    <row r="35" spans="3:10" ht="30" customHeight="1">
      <c r="D35" s="42" t="s">
        <v>390</v>
      </c>
      <c r="E35" s="42" t="s">
        <v>393</v>
      </c>
      <c r="F35" s="43" t="s">
        <v>19</v>
      </c>
      <c r="G35" s="26">
        <v>9</v>
      </c>
      <c r="H35" s="26">
        <v>9</v>
      </c>
      <c r="I35" s="26">
        <v>8</v>
      </c>
      <c r="J35" s="104">
        <f t="shared" si="0"/>
        <v>8.6666666666666661</v>
      </c>
    </row>
    <row r="36" spans="3:10" ht="30" customHeight="1">
      <c r="D36" s="42" t="s">
        <v>391</v>
      </c>
      <c r="E36" s="42" t="s">
        <v>394</v>
      </c>
      <c r="F36" s="43" t="s">
        <v>17</v>
      </c>
      <c r="G36" s="26">
        <v>10</v>
      </c>
      <c r="H36" s="26">
        <v>10</v>
      </c>
      <c r="I36" s="26">
        <v>16</v>
      </c>
      <c r="J36" s="104">
        <f t="shared" si="0"/>
        <v>12</v>
      </c>
    </row>
    <row r="37" spans="3:10" ht="30" customHeight="1">
      <c r="D37" s="42" t="s">
        <v>392</v>
      </c>
      <c r="E37" s="42" t="s">
        <v>369</v>
      </c>
      <c r="F37" s="43" t="s">
        <v>17</v>
      </c>
      <c r="G37" s="43">
        <v>12</v>
      </c>
      <c r="H37" s="43">
        <v>15</v>
      </c>
      <c r="I37" s="43">
        <v>20</v>
      </c>
      <c r="J37" s="104">
        <f t="shared" si="0"/>
        <v>15.666666666666666</v>
      </c>
    </row>
    <row r="38" spans="3:10" ht="2.1" customHeight="1"/>
    <row r="39" spans="3:10" ht="39.75" customHeight="1"/>
    <row r="40" spans="3:10" ht="2.1" customHeight="1"/>
    <row r="41" spans="3:10" ht="36.75" customHeight="1">
      <c r="C41" s="105" t="s">
        <v>484</v>
      </c>
      <c r="D41" s="258"/>
      <c r="E41" s="259"/>
      <c r="F41" s="259"/>
      <c r="G41" s="260"/>
    </row>
    <row r="42" spans="3:10" ht="9.75" customHeight="1"/>
    <row r="43" spans="3:10" ht="34.5" customHeight="1">
      <c r="D43" s="220" t="s">
        <v>486</v>
      </c>
      <c r="F43" s="236">
        <f>LARGE(J12:J37,2)</f>
        <v>16.333333333333332</v>
      </c>
    </row>
    <row r="44" spans="3:10" ht="2.1" customHeight="1">
      <c r="F44" s="219"/>
    </row>
    <row r="45" spans="3:10" ht="32.25" customHeight="1">
      <c r="D45" s="220" t="s">
        <v>485</v>
      </c>
      <c r="F45" s="237">
        <f>SMALL(J12:J37,3)</f>
        <v>10.333333333333334</v>
      </c>
    </row>
    <row r="46" spans="3:10" ht="48" customHeight="1">
      <c r="F46" s="98"/>
    </row>
    <row r="47" spans="3:10" ht="30" customHeight="1"/>
    <row r="48" spans="3:10" ht="48" customHeight="1"/>
    <row r="49" ht="48" customHeight="1"/>
    <row r="50" ht="48" customHeight="1"/>
    <row r="51" ht="48" customHeight="1"/>
    <row r="52" ht="48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2.1" customHeight="1"/>
    <row r="68" ht="2.1" customHeight="1"/>
    <row r="69" ht="2.1" customHeight="1"/>
    <row r="70" ht="30" customHeight="1"/>
    <row r="71" ht="2.1" customHeight="1"/>
    <row r="72" ht="2.1" customHeight="1"/>
    <row r="73" ht="2.1" customHeight="1"/>
    <row r="74" ht="30" customHeight="1"/>
    <row r="75" ht="30" customHeight="1"/>
    <row r="76" ht="2.1" customHeight="1"/>
    <row r="77" ht="30" customHeight="1"/>
    <row r="78" ht="2.1" customHeight="1"/>
    <row r="79" ht="30" customHeight="1"/>
    <row r="80" ht="2.1" customHeight="1"/>
    <row r="81" ht="30" customHeight="1"/>
    <row r="82" ht="2.1" customHeight="1"/>
    <row r="83" ht="30" customHeight="1"/>
    <row r="84" ht="2.1" customHeight="1"/>
    <row r="85" ht="30" customHeight="1"/>
    <row r="86" ht="2.1" customHeight="1"/>
    <row r="87" ht="30" customHeight="1"/>
    <row r="88" ht="2.1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</sheetData>
  <mergeCells count="4">
    <mergeCell ref="E1:G1"/>
    <mergeCell ref="C5:H5"/>
    <mergeCell ref="D41:G41"/>
    <mergeCell ref="B3:D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2985-E21F-484A-8099-06884FF1884F}">
  <sheetPr>
    <tabColor theme="1"/>
  </sheetPr>
  <dimension ref="B1:N434"/>
  <sheetViews>
    <sheetView tabSelected="1" topLeftCell="A27" workbookViewId="0">
      <selection activeCell="M37" sqref="M37"/>
    </sheetView>
  </sheetViews>
  <sheetFormatPr baseColWidth="10" defaultColWidth="11.42578125" defaultRowHeight="12.75"/>
  <cols>
    <col min="1" max="1" width="4.140625" style="36" customWidth="1"/>
    <col min="2" max="2" width="11.42578125" style="36"/>
    <col min="3" max="3" width="17.42578125" style="36" customWidth="1"/>
    <col min="4" max="4" width="24.5703125" style="36" customWidth="1"/>
    <col min="5" max="5" width="21" style="36" customWidth="1"/>
    <col min="6" max="6" width="30" style="36" customWidth="1"/>
    <col min="7" max="7" width="17.42578125" style="36" customWidth="1"/>
    <col min="8" max="8" width="13.85546875" style="36" customWidth="1"/>
    <col min="9" max="11" width="13.5703125" style="36" customWidth="1"/>
    <col min="12" max="12" width="1.42578125" style="36" customWidth="1"/>
    <col min="13" max="17" width="13.5703125" style="36" customWidth="1"/>
    <col min="18" max="18" width="19.140625" style="36" customWidth="1"/>
    <col min="19" max="19" width="17" style="36" customWidth="1"/>
    <col min="20" max="20" width="0.85546875" style="36" customWidth="1"/>
    <col min="21" max="21" width="16.42578125" style="36" customWidth="1"/>
    <col min="22" max="16384" width="11.42578125" style="36"/>
  </cols>
  <sheetData>
    <row r="1" spans="2:14" s="109" customFormat="1" ht="32.450000000000003" customHeight="1">
      <c r="C1" s="110"/>
      <c r="D1" s="111"/>
      <c r="E1" s="279" t="s">
        <v>498</v>
      </c>
      <c r="F1" s="279"/>
      <c r="G1" s="279"/>
      <c r="H1" s="279"/>
      <c r="I1" s="159"/>
      <c r="J1" s="159"/>
      <c r="K1" s="159"/>
      <c r="L1" s="159"/>
      <c r="M1" s="159"/>
      <c r="N1" s="159"/>
    </row>
    <row r="2" spans="2:14" ht="12" customHeight="1"/>
    <row r="3" spans="2:14" ht="30" customHeight="1">
      <c r="B3" s="292" t="s">
        <v>499</v>
      </c>
      <c r="C3" s="292"/>
      <c r="D3" s="292"/>
      <c r="E3" s="16"/>
      <c r="F3" s="16"/>
    </row>
    <row r="4" spans="2:14" ht="17.25" customHeight="1">
      <c r="B4" s="17"/>
      <c r="C4" s="16"/>
      <c r="D4" s="16"/>
      <c r="E4" s="16"/>
      <c r="F4" s="16"/>
    </row>
    <row r="5" spans="2:14" ht="2.4500000000000002" customHeight="1">
      <c r="B5" s="18"/>
      <c r="C5" s="283"/>
      <c r="D5" s="284"/>
      <c r="E5" s="284"/>
      <c r="F5" s="284"/>
      <c r="G5" s="284"/>
      <c r="H5" s="285"/>
    </row>
    <row r="6" spans="2:14" ht="20.100000000000001" customHeight="1">
      <c r="B6" s="18"/>
      <c r="C6" s="162" t="s">
        <v>0</v>
      </c>
      <c r="D6" s="20"/>
      <c r="E6" s="20"/>
      <c r="F6" s="20"/>
      <c r="H6" s="37"/>
    </row>
    <row r="7" spans="2:14" ht="20.100000000000001" customHeight="1">
      <c r="B7" s="18"/>
      <c r="C7" s="224" t="s">
        <v>500</v>
      </c>
      <c r="D7" s="22"/>
      <c r="E7" s="22"/>
      <c r="F7" s="22"/>
      <c r="G7" s="38"/>
      <c r="H7" s="39"/>
    </row>
    <row r="8" spans="2:14" ht="30" customHeight="1"/>
    <row r="9" spans="2:14" ht="30" customHeight="1">
      <c r="C9" s="105" t="s">
        <v>26</v>
      </c>
      <c r="D9" s="10" t="s">
        <v>359</v>
      </c>
      <c r="E9" s="11"/>
      <c r="F9" s="11"/>
      <c r="G9" s="12"/>
    </row>
    <row r="10" spans="2:14" ht="9" customHeight="1"/>
    <row r="11" spans="2:14" ht="44.25" customHeight="1">
      <c r="D11" s="157" t="s">
        <v>11</v>
      </c>
      <c r="E11" s="157" t="s">
        <v>365</v>
      </c>
      <c r="F11" s="157" t="s">
        <v>234</v>
      </c>
      <c r="G11" s="157"/>
      <c r="H11" s="157"/>
      <c r="I11" s="157"/>
      <c r="J11" s="218" t="s">
        <v>13</v>
      </c>
    </row>
    <row r="12" spans="2:14" ht="30" customHeight="1">
      <c r="D12" s="44" t="s">
        <v>366</v>
      </c>
      <c r="E12" s="44" t="s">
        <v>393</v>
      </c>
      <c r="F12" s="29" t="s">
        <v>7</v>
      </c>
      <c r="G12" s="26">
        <v>16</v>
      </c>
      <c r="H12" s="26">
        <v>9</v>
      </c>
      <c r="I12" s="26">
        <v>14</v>
      </c>
      <c r="J12" s="104">
        <f>AVERAGE(G12:I12)</f>
        <v>13</v>
      </c>
    </row>
    <row r="13" spans="2:14" ht="30" customHeight="1">
      <c r="D13" s="42" t="s">
        <v>367</v>
      </c>
      <c r="E13" s="42" t="s">
        <v>394</v>
      </c>
      <c r="F13" s="43" t="s">
        <v>19</v>
      </c>
      <c r="G13" s="26">
        <v>12</v>
      </c>
      <c r="H13" s="26">
        <v>13</v>
      </c>
      <c r="I13" s="26">
        <v>15</v>
      </c>
      <c r="J13" s="104">
        <f t="shared" ref="J13:J37" si="0">AVERAGE(G13:I13)</f>
        <v>13.333333333333334</v>
      </c>
    </row>
    <row r="14" spans="2:14" ht="30" customHeight="1">
      <c r="D14" s="42" t="s">
        <v>368</v>
      </c>
      <c r="E14" s="42" t="s">
        <v>369</v>
      </c>
      <c r="F14" s="43" t="s">
        <v>17</v>
      </c>
      <c r="G14" s="26">
        <v>13</v>
      </c>
      <c r="H14" s="26">
        <v>11</v>
      </c>
      <c r="I14" s="26">
        <v>10</v>
      </c>
      <c r="J14" s="104">
        <f t="shared" si="0"/>
        <v>11.333333333333334</v>
      </c>
    </row>
    <row r="15" spans="2:14" ht="26.45" customHeight="1">
      <c r="D15" s="42" t="s">
        <v>370</v>
      </c>
      <c r="E15" s="42" t="s">
        <v>393</v>
      </c>
      <c r="F15" s="43" t="s">
        <v>19</v>
      </c>
      <c r="G15" s="26">
        <v>15</v>
      </c>
      <c r="H15" s="26">
        <v>8</v>
      </c>
      <c r="I15" s="26">
        <v>8</v>
      </c>
      <c r="J15" s="104">
        <f t="shared" si="0"/>
        <v>10.333333333333334</v>
      </c>
    </row>
    <row r="16" spans="2:14" ht="30" customHeight="1">
      <c r="D16" s="42" t="s">
        <v>371</v>
      </c>
      <c r="E16" s="42" t="s">
        <v>394</v>
      </c>
      <c r="F16" s="43" t="s">
        <v>19</v>
      </c>
      <c r="G16" s="26">
        <v>17</v>
      </c>
      <c r="H16" s="26">
        <v>9</v>
      </c>
      <c r="I16" s="26">
        <v>16</v>
      </c>
      <c r="J16" s="104">
        <f t="shared" si="0"/>
        <v>14</v>
      </c>
    </row>
    <row r="17" spans="4:10" ht="30" customHeight="1">
      <c r="D17" s="42" t="s">
        <v>372</v>
      </c>
      <c r="E17" s="44" t="s">
        <v>393</v>
      </c>
      <c r="F17" s="43" t="s">
        <v>7</v>
      </c>
      <c r="G17" s="26">
        <v>9</v>
      </c>
      <c r="H17" s="26">
        <v>19</v>
      </c>
      <c r="I17" s="26">
        <v>14</v>
      </c>
      <c r="J17" s="104">
        <f t="shared" si="0"/>
        <v>14</v>
      </c>
    </row>
    <row r="18" spans="4:10" ht="30" customHeight="1">
      <c r="D18" s="42" t="s">
        <v>373</v>
      </c>
      <c r="E18" s="42" t="s">
        <v>394</v>
      </c>
      <c r="F18" s="43" t="s">
        <v>17</v>
      </c>
      <c r="G18" s="26">
        <v>10</v>
      </c>
      <c r="H18" s="26">
        <v>15</v>
      </c>
      <c r="I18" s="26">
        <v>9</v>
      </c>
      <c r="J18" s="104">
        <f t="shared" si="0"/>
        <v>11.333333333333334</v>
      </c>
    </row>
    <row r="19" spans="4:10" ht="30" customHeight="1">
      <c r="D19" s="42" t="s">
        <v>374</v>
      </c>
      <c r="E19" s="42" t="s">
        <v>369</v>
      </c>
      <c r="F19" s="29" t="s">
        <v>7</v>
      </c>
      <c r="G19" s="26">
        <v>20</v>
      </c>
      <c r="H19" s="26">
        <v>12</v>
      </c>
      <c r="I19" s="26">
        <v>9</v>
      </c>
      <c r="J19" s="104">
        <f t="shared" si="0"/>
        <v>13.666666666666666</v>
      </c>
    </row>
    <row r="20" spans="4:10" ht="30" customHeight="1">
      <c r="D20" s="42" t="s">
        <v>375</v>
      </c>
      <c r="E20" s="42" t="s">
        <v>394</v>
      </c>
      <c r="F20" s="43" t="s">
        <v>19</v>
      </c>
      <c r="G20" s="26">
        <v>20</v>
      </c>
      <c r="H20" s="26">
        <v>12</v>
      </c>
      <c r="I20" s="26">
        <v>12</v>
      </c>
      <c r="J20" s="104">
        <f t="shared" si="0"/>
        <v>14.666666666666666</v>
      </c>
    </row>
    <row r="21" spans="4:10" ht="30" customHeight="1">
      <c r="D21" s="42" t="s">
        <v>376</v>
      </c>
      <c r="E21" s="42" t="s">
        <v>394</v>
      </c>
      <c r="F21" s="43" t="s">
        <v>17</v>
      </c>
      <c r="G21" s="26">
        <v>19</v>
      </c>
      <c r="H21" s="26">
        <v>20</v>
      </c>
      <c r="I21" s="26">
        <v>12</v>
      </c>
      <c r="J21" s="104">
        <f t="shared" si="0"/>
        <v>17</v>
      </c>
    </row>
    <row r="22" spans="4:10" ht="30" customHeight="1">
      <c r="D22" s="42" t="s">
        <v>377</v>
      </c>
      <c r="E22" s="44" t="s">
        <v>393</v>
      </c>
      <c r="F22" s="43" t="s">
        <v>19</v>
      </c>
      <c r="G22" s="26">
        <v>14</v>
      </c>
      <c r="H22" s="26">
        <v>11</v>
      </c>
      <c r="I22" s="26">
        <v>16</v>
      </c>
      <c r="J22" s="104">
        <f t="shared" si="0"/>
        <v>13.666666666666666</v>
      </c>
    </row>
    <row r="23" spans="4:10" ht="30" customHeight="1">
      <c r="D23" s="42" t="s">
        <v>378</v>
      </c>
      <c r="E23" s="42" t="s">
        <v>394</v>
      </c>
      <c r="F23" s="43" t="s">
        <v>19</v>
      </c>
      <c r="G23" s="26">
        <v>15</v>
      </c>
      <c r="H23" s="26">
        <v>10</v>
      </c>
      <c r="I23" s="26">
        <v>19</v>
      </c>
      <c r="J23" s="104">
        <f t="shared" si="0"/>
        <v>14.666666666666666</v>
      </c>
    </row>
    <row r="24" spans="4:10" ht="30" customHeight="1">
      <c r="D24" s="42" t="s">
        <v>379</v>
      </c>
      <c r="E24" s="42" t="s">
        <v>369</v>
      </c>
      <c r="F24" s="43" t="s">
        <v>7</v>
      </c>
      <c r="G24" s="26">
        <v>11</v>
      </c>
      <c r="H24" s="26">
        <v>19</v>
      </c>
      <c r="I24" s="26">
        <v>18</v>
      </c>
      <c r="J24" s="104">
        <f t="shared" si="0"/>
        <v>16</v>
      </c>
    </row>
    <row r="25" spans="4:10" ht="30" customHeight="1">
      <c r="D25" s="42" t="s">
        <v>380</v>
      </c>
      <c r="E25" s="42" t="s">
        <v>393</v>
      </c>
      <c r="F25" s="43" t="s">
        <v>17</v>
      </c>
      <c r="G25" s="26">
        <v>17</v>
      </c>
      <c r="H25" s="26">
        <v>11</v>
      </c>
      <c r="I25" s="26">
        <v>14</v>
      </c>
      <c r="J25" s="104">
        <f t="shared" si="0"/>
        <v>14</v>
      </c>
    </row>
    <row r="26" spans="4:10" ht="30" customHeight="1">
      <c r="D26" s="42" t="s">
        <v>381</v>
      </c>
      <c r="E26" s="42" t="s">
        <v>393</v>
      </c>
      <c r="F26" s="29" t="s">
        <v>7</v>
      </c>
      <c r="G26" s="26">
        <v>14</v>
      </c>
      <c r="H26" s="26">
        <v>16</v>
      </c>
      <c r="I26" s="26">
        <v>9</v>
      </c>
      <c r="J26" s="104">
        <f t="shared" si="0"/>
        <v>13</v>
      </c>
    </row>
    <row r="27" spans="4:10" ht="30" customHeight="1">
      <c r="D27" s="42" t="s">
        <v>382</v>
      </c>
      <c r="E27" s="44" t="s">
        <v>393</v>
      </c>
      <c r="F27" s="43" t="s">
        <v>19</v>
      </c>
      <c r="G27" s="26">
        <v>15</v>
      </c>
      <c r="H27" s="26">
        <v>16</v>
      </c>
      <c r="I27" s="26">
        <v>10</v>
      </c>
      <c r="J27" s="104">
        <f t="shared" si="0"/>
        <v>13.666666666666666</v>
      </c>
    </row>
    <row r="28" spans="4:10" ht="30" customHeight="1">
      <c r="D28" s="42" t="s">
        <v>383</v>
      </c>
      <c r="E28" s="42" t="s">
        <v>394</v>
      </c>
      <c r="F28" s="43" t="s">
        <v>7</v>
      </c>
      <c r="G28" s="26">
        <v>9</v>
      </c>
      <c r="H28" s="26">
        <v>17</v>
      </c>
      <c r="I28" s="26">
        <v>12</v>
      </c>
      <c r="J28" s="104">
        <f t="shared" si="0"/>
        <v>12.666666666666666</v>
      </c>
    </row>
    <row r="29" spans="4:10" ht="30" customHeight="1">
      <c r="D29" s="42" t="s">
        <v>384</v>
      </c>
      <c r="E29" s="42" t="s">
        <v>369</v>
      </c>
      <c r="F29" s="43" t="s">
        <v>19</v>
      </c>
      <c r="G29" s="26">
        <v>9</v>
      </c>
      <c r="H29" s="26">
        <v>14</v>
      </c>
      <c r="I29" s="26">
        <v>12</v>
      </c>
      <c r="J29" s="104">
        <f t="shared" si="0"/>
        <v>11.666666666666666</v>
      </c>
    </row>
    <row r="30" spans="4:10" ht="30" customHeight="1">
      <c r="D30" s="42" t="s">
        <v>385</v>
      </c>
      <c r="E30" s="42" t="s">
        <v>393</v>
      </c>
      <c r="F30" s="43" t="s">
        <v>19</v>
      </c>
      <c r="G30" s="26">
        <v>16</v>
      </c>
      <c r="H30" s="26">
        <v>9</v>
      </c>
      <c r="I30" s="26">
        <v>17</v>
      </c>
      <c r="J30" s="104">
        <f t="shared" si="0"/>
        <v>14</v>
      </c>
    </row>
    <row r="31" spans="4:10" ht="30" customHeight="1">
      <c r="D31" s="42" t="s">
        <v>386</v>
      </c>
      <c r="E31" s="42" t="s">
        <v>394</v>
      </c>
      <c r="F31" s="43" t="s">
        <v>7</v>
      </c>
      <c r="G31" s="26">
        <v>20</v>
      </c>
      <c r="H31" s="26">
        <v>9</v>
      </c>
      <c r="I31" s="26">
        <v>20</v>
      </c>
      <c r="J31" s="104">
        <f t="shared" si="0"/>
        <v>16.333333333333332</v>
      </c>
    </row>
    <row r="32" spans="4:10" ht="30" customHeight="1">
      <c r="D32" s="42" t="s">
        <v>387</v>
      </c>
      <c r="E32" s="44" t="s">
        <v>393</v>
      </c>
      <c r="F32" s="43" t="s">
        <v>17</v>
      </c>
      <c r="G32" s="26">
        <v>10</v>
      </c>
      <c r="H32" s="26">
        <v>12</v>
      </c>
      <c r="I32" s="26">
        <v>13</v>
      </c>
      <c r="J32" s="104">
        <f t="shared" si="0"/>
        <v>11.666666666666666</v>
      </c>
    </row>
    <row r="33" spans="3:10" ht="30" customHeight="1">
      <c r="D33" s="42" t="s">
        <v>388</v>
      </c>
      <c r="E33" s="42" t="s">
        <v>394</v>
      </c>
      <c r="F33" s="43" t="s">
        <v>7</v>
      </c>
      <c r="G33" s="26">
        <v>13</v>
      </c>
      <c r="H33" s="26">
        <v>13</v>
      </c>
      <c r="I33" s="26">
        <v>13</v>
      </c>
      <c r="J33" s="104">
        <f t="shared" si="0"/>
        <v>13</v>
      </c>
    </row>
    <row r="34" spans="3:10" ht="30" customHeight="1">
      <c r="D34" s="42" t="s">
        <v>389</v>
      </c>
      <c r="E34" s="42" t="s">
        <v>369</v>
      </c>
      <c r="F34" s="43" t="s">
        <v>7</v>
      </c>
      <c r="G34" s="26">
        <v>9</v>
      </c>
      <c r="H34" s="26">
        <v>12</v>
      </c>
      <c r="I34" s="26">
        <v>9</v>
      </c>
      <c r="J34" s="104">
        <f t="shared" si="0"/>
        <v>10</v>
      </c>
    </row>
    <row r="35" spans="3:10" ht="30" customHeight="1">
      <c r="D35" s="42" t="s">
        <v>390</v>
      </c>
      <c r="E35" s="42" t="s">
        <v>393</v>
      </c>
      <c r="F35" s="43" t="s">
        <v>19</v>
      </c>
      <c r="G35" s="26">
        <v>9</v>
      </c>
      <c r="H35" s="26">
        <v>9</v>
      </c>
      <c r="I35" s="26">
        <v>8</v>
      </c>
      <c r="J35" s="104">
        <f t="shared" si="0"/>
        <v>8.6666666666666661</v>
      </c>
    </row>
    <row r="36" spans="3:10" ht="30" customHeight="1">
      <c r="D36" s="42" t="s">
        <v>391</v>
      </c>
      <c r="E36" s="42" t="s">
        <v>394</v>
      </c>
      <c r="F36" s="43" t="s">
        <v>17</v>
      </c>
      <c r="G36" s="26">
        <v>10</v>
      </c>
      <c r="H36" s="26">
        <v>10</v>
      </c>
      <c r="I36" s="26">
        <v>16</v>
      </c>
      <c r="J36" s="104">
        <f t="shared" si="0"/>
        <v>12</v>
      </c>
    </row>
    <row r="37" spans="3:10" ht="30" customHeight="1">
      <c r="D37" s="42" t="s">
        <v>392</v>
      </c>
      <c r="E37" s="42" t="s">
        <v>369</v>
      </c>
      <c r="F37" s="43" t="s">
        <v>17</v>
      </c>
      <c r="G37" s="43">
        <v>12</v>
      </c>
      <c r="H37" s="43">
        <v>15</v>
      </c>
      <c r="I37" s="43">
        <v>20</v>
      </c>
      <c r="J37" s="104">
        <f t="shared" si="0"/>
        <v>15.666666666666666</v>
      </c>
    </row>
    <row r="38" spans="3:10" ht="2.1" customHeight="1"/>
    <row r="39" spans="3:10" ht="39.75" customHeight="1"/>
    <row r="40" spans="3:10" ht="2.1" customHeight="1"/>
    <row r="41" spans="3:10" ht="36.75" customHeight="1">
      <c r="C41" s="105" t="s">
        <v>502</v>
      </c>
      <c r="D41" s="293" t="s">
        <v>503</v>
      </c>
      <c r="E41" s="294"/>
      <c r="F41" s="294"/>
      <c r="G41" s="295"/>
    </row>
    <row r="42" spans="3:10" ht="9.75" customHeight="1"/>
    <row r="43" spans="3:10" ht="39.950000000000003" customHeight="1">
      <c r="D43" s="221" t="s">
        <v>501</v>
      </c>
      <c r="E43" s="222"/>
      <c r="F43" s="222"/>
      <c r="G43" s="236">
        <f>_xlfn.MAXIFS(J12:J37,J12:J37,"&gt;12,5")</f>
        <v>17</v>
      </c>
    </row>
    <row r="44" spans="3:10" ht="2.1" customHeight="1">
      <c r="F44" s="106"/>
    </row>
    <row r="45" spans="3:10" ht="3.6" customHeight="1"/>
    <row r="46" spans="3:10" ht="39.950000000000003" customHeight="1">
      <c r="D46" s="221" t="s">
        <v>532</v>
      </c>
      <c r="E46" s="211"/>
      <c r="F46" s="223"/>
      <c r="G46" s="237">
        <f>_xlfn.MINIFS(J12:J37,F12:F37,"T",E12:E37,"CONTA")</f>
        <v>11.666666666666666</v>
      </c>
      <c r="H46" s="107"/>
    </row>
    <row r="47" spans="3:10" ht="30" customHeight="1"/>
    <row r="48" spans="3:10" ht="48" customHeight="1"/>
    <row r="49" ht="48" customHeight="1"/>
    <row r="50" ht="48" customHeight="1"/>
    <row r="51" ht="48" customHeight="1"/>
    <row r="52" ht="48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2.1" customHeight="1"/>
    <row r="68" ht="2.1" customHeight="1"/>
    <row r="69" ht="2.1" customHeight="1"/>
    <row r="70" ht="30" customHeight="1"/>
    <row r="71" ht="2.1" customHeight="1"/>
    <row r="72" ht="2.1" customHeight="1"/>
    <row r="73" ht="2.1" customHeight="1"/>
    <row r="74" ht="30" customHeight="1"/>
    <row r="75" ht="30" customHeight="1"/>
    <row r="76" ht="2.1" customHeight="1"/>
    <row r="77" ht="30" customHeight="1"/>
    <row r="78" ht="2.1" customHeight="1"/>
    <row r="79" ht="30" customHeight="1"/>
    <row r="80" ht="2.1" customHeight="1"/>
    <row r="81" ht="30" customHeight="1"/>
    <row r="82" ht="2.1" customHeight="1"/>
    <row r="83" ht="30" customHeight="1"/>
    <row r="84" ht="2.1" customHeight="1"/>
    <row r="85" ht="30" customHeight="1"/>
    <row r="86" ht="2.1" customHeight="1"/>
    <row r="87" ht="30" customHeight="1"/>
    <row r="88" ht="2.1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</sheetData>
  <mergeCells count="4">
    <mergeCell ref="B3:D3"/>
    <mergeCell ref="C5:H5"/>
    <mergeCell ref="D41:G41"/>
    <mergeCell ref="E1:H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18</vt:i4>
      </vt:variant>
    </vt:vector>
  </HeadingPairs>
  <TitlesOfParts>
    <vt:vector size="28" baseType="lpstr">
      <vt:lpstr>Inicio</vt:lpstr>
      <vt:lpstr>Función Promedio</vt:lpstr>
      <vt:lpstr>Base_de_Datos-1</vt:lpstr>
      <vt:lpstr>Función Promedio.Si</vt:lpstr>
      <vt:lpstr>Promedio.Si.Conjunto</vt:lpstr>
      <vt:lpstr>Función Contar.Si</vt:lpstr>
      <vt:lpstr>Contar.Si.Conjunto</vt:lpstr>
      <vt:lpstr>Contara,Contar.Blanco,Max,Min</vt:lpstr>
      <vt:lpstr>K.Esimo.Mayor | K.Esimo.Menor</vt:lpstr>
      <vt:lpstr>Max.Si.Conjunto Min.Si.Conjunto</vt:lpstr>
      <vt:lpstr>CURSO</vt:lpstr>
      <vt:lpstr>ECONTINUA</vt:lpstr>
      <vt:lpstr>EF</vt:lpstr>
      <vt:lpstr>EFINAL</vt:lpstr>
      <vt:lpstr>EGRESOS</vt:lpstr>
      <vt:lpstr>EP</vt:lpstr>
      <vt:lpstr>INGRESOS</vt:lpstr>
      <vt:lpstr>LISTA_MES</vt:lpstr>
      <vt:lpstr>LISTA_SUCURSAL</vt:lpstr>
      <vt:lpstr>LISTA_SUCURSAL2</vt:lpstr>
      <vt:lpstr>MENSUALIDAD</vt:lpstr>
      <vt:lpstr>MES</vt:lpstr>
      <vt:lpstr>OBSERVACION</vt:lpstr>
      <vt:lpstr>PF</vt:lpstr>
      <vt:lpstr>producto</vt:lpstr>
      <vt:lpstr>PROMEDIOFINAL</vt:lpstr>
      <vt:lpstr>REGION</vt:lpstr>
      <vt:lpstr>SUCURSAL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Ejercicios de Excel</dc:title>
  <dc:subject>Celdas: Tipos- Porcentajes: Extraer, Aumentar, Disminuir, Distribuir</dc:subject>
  <dc:creator>User</dc:creator>
  <dc:description>Para uso exclusivo de los alumnos del Autor</dc:description>
  <cp:lastModifiedBy>Eric salinas</cp:lastModifiedBy>
  <cp:lastPrinted>2008-09-12T20:16:10Z</cp:lastPrinted>
  <dcterms:created xsi:type="dcterms:W3CDTF">1998-03-16T16:48:42Z</dcterms:created>
  <dcterms:modified xsi:type="dcterms:W3CDTF">2025-07-24T04:54:35Z</dcterms:modified>
</cp:coreProperties>
</file>